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430"/>
  <workbookPr defaultThemeVersion="124226"/>
  <mc:AlternateContent xmlns:mc="http://schemas.openxmlformats.org/markup-compatibility/2006">
    <mc:Choice Requires="x15">
      <x15ac:absPath xmlns:x15ac="http://schemas.microsoft.com/office/spreadsheetml/2010/11/ac" url="D:\2019-11-25-Steward Conslutancy Ltd\2019-11-25-Projects\23-07-2019-EDMP Project\EDMP REPORT\EDMP Edits-_V4.0\C2-RW\C2-STN 68-MATUGGA-KASANGATI ROAD\OD\"/>
    </mc:Choice>
  </mc:AlternateContent>
  <xr:revisionPtr revIDLastSave="0" documentId="13_ncr:1_{A45861D4-BA28-436A-AF92-C8294A0DE3DC}" xr6:coauthVersionLast="45" xr6:coauthVersionMax="45" xr10:uidLastSave="{00000000-0000-0000-0000-000000000000}"/>
  <bookViews>
    <workbookView xWindow="-120" yWindow="-120" windowWidth="20730" windowHeight="11160" firstSheet="1" activeTab="1" xr2:uid="{00000000-000D-0000-FFFF-FFFF00000000}"/>
  </bookViews>
  <sheets>
    <sheet name="RSI FORM" sheetId="4" state="hidden" r:id="rId1"/>
    <sheet name="Analysis" sheetId="43" r:id="rId2"/>
    <sheet name="ALL DATA" sheetId="40" r:id="rId3"/>
    <sheet name="Zones" sheetId="41" r:id="rId4"/>
    <sheet name="Zone analysis" sheetId="42" r:id="rId5"/>
    <sheet name="12.10 MATUGGA-KASANGATTI" sheetId="38" r:id="rId6"/>
    <sheet name="12.10 KASANGATTI-MATUGGA" sheetId="39" r:id="rId7"/>
    <sheet name="14.10 MATUGGA-KASANGATI" sheetId="37" r:id="rId8"/>
    <sheet name="14.10 KASANGATI-MATUGGA" sheetId="3" r:id="rId9"/>
    <sheet name="Key" sheetId="5" r:id="rId10"/>
  </sheets>
  <externalReferences>
    <externalReference r:id="rId11"/>
    <externalReference r:id="rId12"/>
  </externalReferences>
  <definedNames>
    <definedName name="_xlnm._FilterDatabase" localSheetId="6" hidden="1">'12.10 KASANGATTI-MATUGGA'!$B$9:$AB$105</definedName>
    <definedName name="_xlnm._FilterDatabase" localSheetId="5" hidden="1">'12.10 MATUGGA-KASANGATTI'!$B$9:$AB$105</definedName>
    <definedName name="_xlnm._FilterDatabase" localSheetId="8" hidden="1">'14.10 KASANGATI-MATUGGA'!$B$9:$AB$105</definedName>
    <definedName name="_xlnm._FilterDatabase" localSheetId="7" hidden="1">'14.10 MATUGGA-KASANGATI'!$B$9:$AB$105</definedName>
    <definedName name="_xlnm._FilterDatabase" localSheetId="2" hidden="1">'ALL DATA'!$AB$1:$AB$493</definedName>
    <definedName name="_xlnm._FilterDatabase" localSheetId="4" hidden="1">'Zone analysis'!$A$1:$E$1532</definedName>
    <definedName name="_xlnm._FilterDatabase" localSheetId="3" hidden="1">Zones!$A$1:$N$2164</definedName>
    <definedName name="Dist">'ALL DATA'!$S:$S</definedName>
    <definedName name="Jtime">'ALL DATA'!$T:$T</definedName>
    <definedName name="Pay">'ALL DATA'!$Z:$Z</definedName>
    <definedName name="TripFreq">'ALL DATA'!$U:$U</definedName>
    <definedName name="Veh">'ALL DATA'!$D:$D</definedName>
    <definedName name="Veh_Type" localSheetId="6">'12.10 KASANGATTI-MATUGGA'!$D$9:$D$37</definedName>
    <definedName name="Veh_Type" localSheetId="7">'14.10 MATUGGA-KASANGATI'!$D$9:$D$37</definedName>
    <definedName name="Veh_Type" localSheetId="4">'[1]25.07 BUSEGA-NATEETE'!$D:$D</definedName>
    <definedName name="Veh_Type" localSheetId="3">'[1]25.07 BUSEGA-NATEETE'!$D:$D</definedName>
    <definedName name="Veh_Type">'14.10 KASANGATI-MATUGGA'!$D$9:$D$37</definedName>
    <definedName name="zones" localSheetId="4">#REF!</definedName>
    <definedName name="zones" localSheetId="3">#REF!</definedName>
    <definedName name="zones">#REF!</definedName>
    <definedName name="Zones_Ndeke" localSheetId="4">#REF!</definedName>
    <definedName name="Zones_Ndeke" localSheetId="3">#REF!</definedName>
    <definedName name="Zones_Ndeke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Y66" i="43" l="1"/>
  <c r="X66" i="43"/>
  <c r="W66" i="43"/>
  <c r="V66" i="43"/>
  <c r="U66" i="43"/>
  <c r="T66" i="43"/>
  <c r="S66" i="43"/>
  <c r="R66" i="43"/>
  <c r="Y65" i="43"/>
  <c r="X65" i="43"/>
  <c r="W65" i="43"/>
  <c r="V65" i="43"/>
  <c r="U65" i="43"/>
  <c r="T65" i="43"/>
  <c r="S65" i="43"/>
  <c r="R65" i="43"/>
  <c r="Y64" i="43"/>
  <c r="X64" i="43"/>
  <c r="W64" i="43"/>
  <c r="V64" i="43"/>
  <c r="U64" i="43"/>
  <c r="T64" i="43"/>
  <c r="S64" i="43"/>
  <c r="R64" i="43"/>
  <c r="Y63" i="43"/>
  <c r="X63" i="43"/>
  <c r="W63" i="43"/>
  <c r="V63" i="43"/>
  <c r="U63" i="43"/>
  <c r="T63" i="43"/>
  <c r="S63" i="43"/>
  <c r="R63" i="43"/>
  <c r="Y62" i="43"/>
  <c r="X62" i="43"/>
  <c r="W62" i="43"/>
  <c r="V62" i="43"/>
  <c r="U62" i="43"/>
  <c r="T62" i="43"/>
  <c r="S62" i="43"/>
  <c r="R62" i="43"/>
  <c r="Y61" i="43"/>
  <c r="X61" i="43"/>
  <c r="W61" i="43"/>
  <c r="V61" i="43"/>
  <c r="U61" i="43"/>
  <c r="T61" i="43"/>
  <c r="S61" i="43"/>
  <c r="R61" i="43"/>
  <c r="Y60" i="43"/>
  <c r="X60" i="43"/>
  <c r="W60" i="43"/>
  <c r="V60" i="43"/>
  <c r="U60" i="43"/>
  <c r="T60" i="43"/>
  <c r="S60" i="43"/>
  <c r="R60" i="43"/>
  <c r="Y59" i="43"/>
  <c r="X59" i="43"/>
  <c r="W59" i="43"/>
  <c r="V59" i="43"/>
  <c r="U59" i="43"/>
  <c r="T59" i="43"/>
  <c r="S59" i="43"/>
  <c r="R59" i="43"/>
  <c r="Y55" i="43" s="1"/>
  <c r="Y76" i="43"/>
  <c r="X76" i="43"/>
  <c r="W76" i="43"/>
  <c r="V76" i="43"/>
  <c r="U76" i="43"/>
  <c r="T76" i="43"/>
  <c r="S76" i="43"/>
  <c r="R76" i="43"/>
  <c r="Y75" i="43"/>
  <c r="X75" i="43"/>
  <c r="W75" i="43"/>
  <c r="V75" i="43"/>
  <c r="U75" i="43"/>
  <c r="T75" i="43"/>
  <c r="S75" i="43"/>
  <c r="R75" i="43"/>
  <c r="Y74" i="43"/>
  <c r="X74" i="43"/>
  <c r="W74" i="43"/>
  <c r="V74" i="43"/>
  <c r="U74" i="43"/>
  <c r="T74" i="43"/>
  <c r="S74" i="43"/>
  <c r="R74" i="43"/>
  <c r="Y73" i="43"/>
  <c r="X73" i="43"/>
  <c r="W73" i="43"/>
  <c r="V73" i="43"/>
  <c r="U73" i="43"/>
  <c r="T73" i="43"/>
  <c r="S73" i="43"/>
  <c r="R73" i="43"/>
  <c r="Y72" i="43"/>
  <c r="X72" i="43"/>
  <c r="W72" i="43"/>
  <c r="V72" i="43"/>
  <c r="U72" i="43"/>
  <c r="T72" i="43"/>
  <c r="S72" i="43"/>
  <c r="R72" i="43"/>
  <c r="Y71" i="43"/>
  <c r="X71" i="43"/>
  <c r="W71" i="43"/>
  <c r="V71" i="43"/>
  <c r="U71" i="43"/>
  <c r="T71" i="43"/>
  <c r="S71" i="43"/>
  <c r="R71" i="43"/>
  <c r="Y70" i="43"/>
  <c r="X70" i="43"/>
  <c r="W70" i="43"/>
  <c r="V70" i="43"/>
  <c r="U70" i="43"/>
  <c r="T70" i="43"/>
  <c r="S70" i="43"/>
  <c r="R70" i="43"/>
  <c r="Y69" i="43"/>
  <c r="X69" i="43"/>
  <c r="W69" i="43"/>
  <c r="V69" i="43"/>
  <c r="U69" i="43"/>
  <c r="T69" i="43"/>
  <c r="S69" i="43"/>
  <c r="R69" i="43"/>
  <c r="V48" i="43" l="1"/>
  <c r="V50" i="43"/>
  <c r="S50" i="43"/>
  <c r="W51" i="43"/>
  <c r="S53" i="43"/>
  <c r="W54" i="43"/>
  <c r="S55" i="43"/>
  <c r="W55" i="43"/>
  <c r="R48" i="43"/>
  <c r="R49" i="43"/>
  <c r="V49" i="43"/>
  <c r="R50" i="43"/>
  <c r="R51" i="43"/>
  <c r="V51" i="43"/>
  <c r="R52" i="43"/>
  <c r="V52" i="43"/>
  <c r="R53" i="43"/>
  <c r="V53" i="43"/>
  <c r="R54" i="43"/>
  <c r="V54" i="43"/>
  <c r="R55" i="43"/>
  <c r="V55" i="43"/>
  <c r="W48" i="43"/>
  <c r="S49" i="43"/>
  <c r="S51" i="43"/>
  <c r="W52" i="43"/>
  <c r="S54" i="43"/>
  <c r="T48" i="43"/>
  <c r="X48" i="43"/>
  <c r="T49" i="43"/>
  <c r="X49" i="43"/>
  <c r="T50" i="43"/>
  <c r="X50" i="43"/>
  <c r="T51" i="43"/>
  <c r="X51" i="43"/>
  <c r="T52" i="43"/>
  <c r="X52" i="43"/>
  <c r="T53" i="43"/>
  <c r="X53" i="43"/>
  <c r="T54" i="43"/>
  <c r="X54" i="43"/>
  <c r="T55" i="43"/>
  <c r="X55" i="43"/>
  <c r="S48" i="43"/>
  <c r="W49" i="43"/>
  <c r="W50" i="43"/>
  <c r="S52" i="43"/>
  <c r="W53" i="43"/>
  <c r="U48" i="43"/>
  <c r="Y48" i="43"/>
  <c r="U49" i="43"/>
  <c r="Y49" i="43"/>
  <c r="U50" i="43"/>
  <c r="Y50" i="43"/>
  <c r="U51" i="43"/>
  <c r="Y51" i="43"/>
  <c r="U52" i="43"/>
  <c r="Y52" i="43"/>
  <c r="U53" i="43"/>
  <c r="Y53" i="43"/>
  <c r="U54" i="43"/>
  <c r="Y54" i="43"/>
  <c r="U55" i="43"/>
  <c r="C71" i="43" l="1"/>
  <c r="C70" i="43"/>
  <c r="C69" i="43"/>
  <c r="C68" i="43"/>
  <c r="C67" i="43"/>
  <c r="C66" i="43"/>
  <c r="C65" i="43"/>
  <c r="C64" i="43"/>
  <c r="C63" i="43"/>
  <c r="C62" i="43"/>
  <c r="C61" i="43"/>
  <c r="C60" i="43"/>
  <c r="C42" i="43"/>
  <c r="C16" i="43"/>
  <c r="C15" i="43"/>
  <c r="C14" i="43"/>
  <c r="C13" i="43"/>
  <c r="C12" i="43"/>
  <c r="C11" i="43"/>
  <c r="C10" i="43"/>
  <c r="C9" i="43"/>
  <c r="C8" i="43"/>
  <c r="C7" i="43"/>
  <c r="C6" i="43"/>
  <c r="C5" i="43"/>
  <c r="C88" i="43"/>
  <c r="C87" i="43"/>
  <c r="C86" i="43"/>
  <c r="C85" i="43"/>
  <c r="C84" i="43"/>
  <c r="C83" i="43"/>
  <c r="C82" i="43"/>
  <c r="C81" i="43"/>
  <c r="C80" i="43"/>
  <c r="D80" i="43" s="1"/>
  <c r="E80" i="43" s="1"/>
  <c r="O28" i="43"/>
  <c r="O27" i="43"/>
  <c r="O26" i="43"/>
  <c r="O25" i="43"/>
  <c r="O24" i="43"/>
  <c r="O23" i="43"/>
  <c r="O15" i="43"/>
  <c r="O14" i="43"/>
  <c r="O13" i="43"/>
  <c r="O12" i="43"/>
  <c r="O11" i="43"/>
  <c r="O10" i="43"/>
  <c r="O9" i="43"/>
  <c r="O8" i="43"/>
  <c r="O7" i="43"/>
  <c r="O6" i="43"/>
  <c r="O5" i="43"/>
  <c r="P5" i="43" s="1"/>
  <c r="Q5" i="43" s="1"/>
  <c r="O29" i="43" l="1"/>
  <c r="D83" i="43"/>
  <c r="E83" i="43" s="1"/>
  <c r="D87" i="43"/>
  <c r="E87" i="43" s="1"/>
  <c r="D85" i="43"/>
  <c r="E85" i="43" s="1"/>
  <c r="C17" i="43"/>
  <c r="D12" i="43" s="1"/>
  <c r="P28" i="43"/>
  <c r="P7" i="43"/>
  <c r="Q7" i="43" s="1"/>
  <c r="P9" i="43"/>
  <c r="Q9" i="43" s="1"/>
  <c r="P11" i="43"/>
  <c r="Q11" i="43" s="1"/>
  <c r="P13" i="43"/>
  <c r="Q13" i="43" s="1"/>
  <c r="P15" i="43"/>
  <c r="Q15" i="43" s="1"/>
  <c r="D81" i="43"/>
  <c r="E81" i="43" s="1"/>
  <c r="P24" i="43"/>
  <c r="P25" i="43"/>
  <c r="P26" i="43"/>
  <c r="P27" i="43"/>
  <c r="P6" i="43"/>
  <c r="Q6" i="43" s="1"/>
  <c r="P8" i="43"/>
  <c r="Q8" i="43" s="1"/>
  <c r="P10" i="43"/>
  <c r="Q10" i="43" s="1"/>
  <c r="D82" i="43"/>
  <c r="E82" i="43" s="1"/>
  <c r="D84" i="43"/>
  <c r="E84" i="43" s="1"/>
  <c r="D86" i="43"/>
  <c r="E86" i="43" s="1"/>
  <c r="D88" i="43"/>
  <c r="E88" i="43" s="1"/>
  <c r="P12" i="43"/>
  <c r="Q12" i="43" s="1"/>
  <c r="P14" i="43"/>
  <c r="Q14" i="43" s="1"/>
  <c r="P23" i="43"/>
  <c r="D14" i="43" l="1"/>
  <c r="D7" i="43"/>
  <c r="D16" i="43"/>
  <c r="D9" i="43"/>
  <c r="D10" i="43"/>
  <c r="D13" i="43"/>
  <c r="D6" i="43"/>
  <c r="C29" i="43"/>
  <c r="C44" i="43" s="1"/>
  <c r="D15" i="43"/>
  <c r="D5" i="43"/>
  <c r="D11" i="43"/>
  <c r="D8" i="43"/>
  <c r="C43" i="43" l="1"/>
  <c r="D43" i="43" s="1"/>
  <c r="D42" i="43"/>
  <c r="AB345" i="40" l="1"/>
  <c r="AB346" i="40"/>
  <c r="AB347" i="40"/>
  <c r="AB348" i="40"/>
  <c r="AB349" i="40"/>
  <c r="AB350" i="40"/>
  <c r="AB351" i="40"/>
  <c r="AB352" i="40"/>
  <c r="AB353" i="40"/>
  <c r="AB354" i="40"/>
  <c r="AB355" i="40"/>
  <c r="AB356" i="40"/>
  <c r="AB357" i="40"/>
  <c r="AB358" i="40"/>
  <c r="AB359" i="40"/>
  <c r="AB360" i="40"/>
  <c r="AB361" i="40"/>
  <c r="AB362" i="40"/>
  <c r="AB363" i="40"/>
  <c r="AB364" i="40"/>
  <c r="AB365" i="40"/>
  <c r="AB366" i="40"/>
  <c r="AB367" i="40"/>
  <c r="AB368" i="40"/>
  <c r="AB369" i="40"/>
  <c r="AB370" i="40"/>
  <c r="AB371" i="40"/>
  <c r="AB372" i="40"/>
  <c r="AB373" i="40"/>
  <c r="AB374" i="40"/>
  <c r="AB375" i="40"/>
  <c r="AB376" i="40"/>
  <c r="AB377" i="40"/>
  <c r="AB378" i="40"/>
  <c r="AB379" i="40"/>
  <c r="AB380" i="40"/>
  <c r="AB381" i="40"/>
  <c r="AB382" i="40"/>
  <c r="AB383" i="40"/>
  <c r="AB384" i="40"/>
  <c r="AB385" i="40"/>
  <c r="AB386" i="40"/>
  <c r="AB387" i="40"/>
  <c r="AB388" i="40"/>
  <c r="AB389" i="40"/>
  <c r="AB390" i="40"/>
  <c r="AB391" i="40"/>
  <c r="AB392" i="40"/>
  <c r="AB393" i="40"/>
  <c r="AB394" i="40"/>
  <c r="AB395" i="40"/>
  <c r="AB396" i="40"/>
  <c r="AB397" i="40"/>
  <c r="AB398" i="40"/>
  <c r="AB399" i="40"/>
  <c r="AB400" i="40"/>
  <c r="AB401" i="40"/>
  <c r="AB402" i="40"/>
  <c r="AB403" i="40"/>
  <c r="AB404" i="40"/>
  <c r="AB405" i="40"/>
  <c r="AB406" i="40"/>
  <c r="AB407" i="40"/>
  <c r="AB408" i="40"/>
  <c r="AB409" i="40"/>
  <c r="AB410" i="40"/>
  <c r="AB411" i="40"/>
  <c r="AB412" i="40"/>
  <c r="AB413" i="40"/>
  <c r="AB414" i="40"/>
  <c r="AB415" i="40"/>
  <c r="AB416" i="40"/>
  <c r="AB417" i="40"/>
  <c r="AB418" i="40"/>
  <c r="AB419" i="40"/>
  <c r="AB420" i="40"/>
  <c r="AB421" i="40"/>
  <c r="AB422" i="40"/>
  <c r="AB423" i="40"/>
  <c r="AB424" i="40"/>
  <c r="AB425" i="40"/>
  <c r="AB426" i="40"/>
  <c r="AB427" i="40"/>
  <c r="AB428" i="40"/>
  <c r="AB429" i="40"/>
  <c r="AB430" i="40"/>
  <c r="AB431" i="40"/>
  <c r="AB432" i="40"/>
  <c r="AB433" i="40"/>
  <c r="AB434" i="40"/>
  <c r="AB435" i="40"/>
  <c r="AB436" i="40"/>
  <c r="AB437" i="40"/>
  <c r="AB438" i="40"/>
  <c r="AB439" i="40"/>
  <c r="AB440" i="40"/>
  <c r="AB441" i="40"/>
  <c r="AB442" i="40"/>
  <c r="AB443" i="40"/>
  <c r="AB444" i="40"/>
  <c r="AB445" i="40"/>
  <c r="AB446" i="40"/>
  <c r="AB447" i="40"/>
  <c r="AB448" i="40"/>
  <c r="AB449" i="40"/>
  <c r="AB450" i="40"/>
  <c r="AB451" i="40"/>
  <c r="AB452" i="40"/>
  <c r="AB453" i="40"/>
  <c r="AB454" i="40"/>
  <c r="AB455" i="40"/>
  <c r="AB456" i="40"/>
  <c r="AB457" i="40"/>
  <c r="AB458" i="40"/>
  <c r="AB459" i="40"/>
  <c r="AB460" i="40"/>
  <c r="AB461" i="40"/>
  <c r="AB462" i="40"/>
  <c r="AB463" i="40"/>
  <c r="AB464" i="40"/>
  <c r="AB465" i="40"/>
  <c r="AB466" i="40"/>
  <c r="AB467" i="40"/>
  <c r="AB468" i="40"/>
  <c r="AB469" i="40"/>
  <c r="AB470" i="40"/>
  <c r="AB471" i="40"/>
  <c r="AB472" i="40"/>
  <c r="AB473" i="40"/>
  <c r="AB474" i="40"/>
  <c r="AB475" i="40"/>
  <c r="AB476" i="40"/>
  <c r="AB477" i="40"/>
  <c r="AB478" i="40"/>
  <c r="AB479" i="40"/>
  <c r="AB480" i="40"/>
  <c r="AB481" i="40"/>
  <c r="AB482" i="40"/>
  <c r="AB483" i="40"/>
  <c r="AB484" i="40"/>
  <c r="AB485" i="40"/>
  <c r="AB486" i="40"/>
  <c r="AB487" i="40"/>
  <c r="AB488" i="40"/>
  <c r="AB489" i="40"/>
  <c r="AB490" i="40"/>
  <c r="AB491" i="40"/>
  <c r="AB492" i="40"/>
  <c r="AB493" i="40"/>
  <c r="AB344" i="40"/>
  <c r="AA345" i="40"/>
  <c r="AA346" i="40"/>
  <c r="AA347" i="40"/>
  <c r="AA348" i="40"/>
  <c r="AA349" i="40"/>
  <c r="AA350" i="40"/>
  <c r="AA351" i="40"/>
  <c r="AA352" i="40"/>
  <c r="AA353" i="40"/>
  <c r="AA354" i="40"/>
  <c r="AA355" i="40"/>
  <c r="AA356" i="40"/>
  <c r="AA357" i="40"/>
  <c r="AA358" i="40"/>
  <c r="AA359" i="40"/>
  <c r="AA360" i="40"/>
  <c r="AA361" i="40"/>
  <c r="AA362" i="40"/>
  <c r="AA363" i="40"/>
  <c r="AA364" i="40"/>
  <c r="AA365" i="40"/>
  <c r="AA366" i="40"/>
  <c r="AA367" i="40"/>
  <c r="AA368" i="40"/>
  <c r="AA369" i="40"/>
  <c r="AA370" i="40"/>
  <c r="AA371" i="40"/>
  <c r="AA372" i="40"/>
  <c r="AA373" i="40"/>
  <c r="AA374" i="40"/>
  <c r="AA375" i="40"/>
  <c r="AA376" i="40"/>
  <c r="AA377" i="40"/>
  <c r="AA378" i="40"/>
  <c r="AA379" i="40"/>
  <c r="AA380" i="40"/>
  <c r="AA381" i="40"/>
  <c r="AA382" i="40"/>
  <c r="AA383" i="40"/>
  <c r="AA384" i="40"/>
  <c r="AA385" i="40"/>
  <c r="AA386" i="40"/>
  <c r="AA387" i="40"/>
  <c r="AA388" i="40"/>
  <c r="AA389" i="40"/>
  <c r="AA390" i="40"/>
  <c r="AA391" i="40"/>
  <c r="AA392" i="40"/>
  <c r="AA393" i="40"/>
  <c r="AA394" i="40"/>
  <c r="AA395" i="40"/>
  <c r="AA396" i="40"/>
  <c r="AA397" i="40"/>
  <c r="AA398" i="40"/>
  <c r="AA399" i="40"/>
  <c r="AA400" i="40"/>
  <c r="AA401" i="40"/>
  <c r="AA402" i="40"/>
  <c r="AA403" i="40"/>
  <c r="AA404" i="40"/>
  <c r="AA405" i="40"/>
  <c r="AA406" i="40"/>
  <c r="AA407" i="40"/>
  <c r="AA408" i="40"/>
  <c r="AA409" i="40"/>
  <c r="AA410" i="40"/>
  <c r="AA411" i="40"/>
  <c r="AA412" i="40"/>
  <c r="AA413" i="40"/>
  <c r="AA414" i="40"/>
  <c r="AA415" i="40"/>
  <c r="AA416" i="40"/>
  <c r="AA417" i="40"/>
  <c r="AA418" i="40"/>
  <c r="AA419" i="40"/>
  <c r="AA420" i="40"/>
  <c r="AA421" i="40"/>
  <c r="AA422" i="40"/>
  <c r="AA423" i="40"/>
  <c r="AA424" i="40"/>
  <c r="AA425" i="40"/>
  <c r="AA426" i="40"/>
  <c r="AA427" i="40"/>
  <c r="AA428" i="40"/>
  <c r="AA429" i="40"/>
  <c r="AA430" i="40"/>
  <c r="AA431" i="40"/>
  <c r="AA432" i="40"/>
  <c r="AA433" i="40"/>
  <c r="AA434" i="40"/>
  <c r="AA435" i="40"/>
  <c r="AA436" i="40"/>
  <c r="AA437" i="40"/>
  <c r="AA438" i="40"/>
  <c r="AA439" i="40"/>
  <c r="AA440" i="40"/>
  <c r="AA441" i="40"/>
  <c r="AA442" i="40"/>
  <c r="AA443" i="40"/>
  <c r="AA444" i="40"/>
  <c r="AA445" i="40"/>
  <c r="AA446" i="40"/>
  <c r="AA447" i="40"/>
  <c r="AA448" i="40"/>
  <c r="AA449" i="40"/>
  <c r="AA450" i="40"/>
  <c r="AA451" i="40"/>
  <c r="AA452" i="40"/>
  <c r="AA453" i="40"/>
  <c r="AA454" i="40"/>
  <c r="AA455" i="40"/>
  <c r="AA456" i="40"/>
  <c r="AA457" i="40"/>
  <c r="AA458" i="40"/>
  <c r="AA459" i="40"/>
  <c r="AA460" i="40"/>
  <c r="AA461" i="40"/>
  <c r="AA462" i="40"/>
  <c r="AA463" i="40"/>
  <c r="AA464" i="40"/>
  <c r="AA465" i="40"/>
  <c r="AA466" i="40"/>
  <c r="AA467" i="40"/>
  <c r="AA468" i="40"/>
  <c r="AA469" i="40"/>
  <c r="AA470" i="40"/>
  <c r="AA471" i="40"/>
  <c r="AA472" i="40"/>
  <c r="AA473" i="40"/>
  <c r="AA474" i="40"/>
  <c r="AA475" i="40"/>
  <c r="AA476" i="40"/>
  <c r="AA477" i="40"/>
  <c r="AA478" i="40"/>
  <c r="AA479" i="40"/>
  <c r="AA480" i="40"/>
  <c r="AA481" i="40"/>
  <c r="AA482" i="40"/>
  <c r="AA483" i="40"/>
  <c r="AA484" i="40"/>
  <c r="AA485" i="40"/>
  <c r="AA486" i="40"/>
  <c r="AA487" i="40"/>
  <c r="AA488" i="40"/>
  <c r="AA489" i="40"/>
  <c r="AA490" i="40"/>
  <c r="AA491" i="40"/>
  <c r="AA492" i="40"/>
  <c r="AA493" i="40"/>
  <c r="AA344" i="40"/>
  <c r="AB307" i="40"/>
  <c r="AB308" i="40"/>
  <c r="AB309" i="40"/>
  <c r="AB310" i="40"/>
  <c r="AB311" i="40"/>
  <c r="AB312" i="40"/>
  <c r="AB313" i="40"/>
  <c r="AB314" i="40"/>
  <c r="AB315" i="40"/>
  <c r="AB316" i="40"/>
  <c r="AB317" i="40"/>
  <c r="AB318" i="40"/>
  <c r="AB319" i="40"/>
  <c r="AB320" i="40"/>
  <c r="AB321" i="40"/>
  <c r="AB322" i="40"/>
  <c r="AB323" i="40"/>
  <c r="AB324" i="40"/>
  <c r="AB325" i="40"/>
  <c r="AB326" i="40"/>
  <c r="AB327" i="40"/>
  <c r="AB328" i="40"/>
  <c r="AB329" i="40"/>
  <c r="AB330" i="40"/>
  <c r="AB331" i="40"/>
  <c r="AB332" i="40"/>
  <c r="AB333" i="40"/>
  <c r="AB334" i="40"/>
  <c r="AB335" i="40"/>
  <c r="AB336" i="40"/>
  <c r="AB337" i="40"/>
  <c r="AB338" i="40"/>
  <c r="AB339" i="40"/>
  <c r="AB340" i="40"/>
  <c r="AB341" i="40"/>
  <c r="AB342" i="40"/>
  <c r="AB343" i="40"/>
  <c r="AA307" i="40"/>
  <c r="AA308" i="40"/>
  <c r="AA309" i="40"/>
  <c r="AA310" i="40"/>
  <c r="AA311" i="40"/>
  <c r="AA312" i="40"/>
  <c r="AA313" i="40"/>
  <c r="AA314" i="40"/>
  <c r="AA315" i="40"/>
  <c r="AA316" i="40"/>
  <c r="AA317" i="40"/>
  <c r="AA318" i="40"/>
  <c r="AA319" i="40"/>
  <c r="AA320" i="40"/>
  <c r="AA321" i="40"/>
  <c r="AA322" i="40"/>
  <c r="AA323" i="40"/>
  <c r="AA324" i="40"/>
  <c r="AA325" i="40"/>
  <c r="AA326" i="40"/>
  <c r="AA327" i="40"/>
  <c r="AA328" i="40"/>
  <c r="AA329" i="40"/>
  <c r="AA330" i="40"/>
  <c r="AA331" i="40"/>
  <c r="AA332" i="40"/>
  <c r="AA333" i="40"/>
  <c r="AA334" i="40"/>
  <c r="AA335" i="40"/>
  <c r="AA336" i="40"/>
  <c r="AA337" i="40"/>
  <c r="AA338" i="40"/>
  <c r="AA339" i="40"/>
  <c r="AA340" i="40"/>
  <c r="AA341" i="40"/>
  <c r="AA342" i="40"/>
  <c r="AA343" i="40"/>
  <c r="AB201" i="40"/>
  <c r="AB202" i="40"/>
  <c r="AB203" i="40"/>
  <c r="AB204" i="40"/>
  <c r="AB205" i="40"/>
  <c r="AB206" i="40"/>
  <c r="AB207" i="40"/>
  <c r="AB208" i="40"/>
  <c r="AB209" i="40"/>
  <c r="AB210" i="40"/>
  <c r="AB211" i="40"/>
  <c r="AB212" i="40"/>
  <c r="AB213" i="40"/>
  <c r="AB214" i="40"/>
  <c r="AB215" i="40"/>
  <c r="AB216" i="40"/>
  <c r="AB217" i="40"/>
  <c r="AB218" i="40"/>
  <c r="AB219" i="40"/>
  <c r="AB220" i="40"/>
  <c r="AB221" i="40"/>
  <c r="AB222" i="40"/>
  <c r="AB223" i="40"/>
  <c r="AB224" i="40"/>
  <c r="AB225" i="40"/>
  <c r="AB226" i="40"/>
  <c r="AB227" i="40"/>
  <c r="AB228" i="40"/>
  <c r="AB229" i="40"/>
  <c r="AB230" i="40"/>
  <c r="AB231" i="40"/>
  <c r="AB232" i="40"/>
  <c r="AB233" i="40"/>
  <c r="AB234" i="40"/>
  <c r="AB235" i="40"/>
  <c r="AB236" i="40"/>
  <c r="AB237" i="40"/>
  <c r="AB238" i="40"/>
  <c r="AB239" i="40"/>
  <c r="AB240" i="40"/>
  <c r="AB241" i="40"/>
  <c r="AB242" i="40"/>
  <c r="AB243" i="40"/>
  <c r="AB244" i="40"/>
  <c r="AB245" i="40"/>
  <c r="AB246" i="40"/>
  <c r="AB247" i="40"/>
  <c r="AB248" i="40"/>
  <c r="AB249" i="40"/>
  <c r="AB250" i="40"/>
  <c r="AB251" i="40"/>
  <c r="AB252" i="40"/>
  <c r="AB253" i="40"/>
  <c r="AB254" i="40"/>
  <c r="AB255" i="40"/>
  <c r="AB256" i="40"/>
  <c r="AB257" i="40"/>
  <c r="AB258" i="40"/>
  <c r="AB259" i="40"/>
  <c r="AB260" i="40"/>
  <c r="AB261" i="40"/>
  <c r="AB262" i="40"/>
  <c r="AB263" i="40"/>
  <c r="AB264" i="40"/>
  <c r="AB265" i="40"/>
  <c r="AB266" i="40"/>
  <c r="AB267" i="40"/>
  <c r="AB268" i="40"/>
  <c r="AB269" i="40"/>
  <c r="AB270" i="40"/>
  <c r="AB271" i="40"/>
  <c r="AB272" i="40"/>
  <c r="AB273" i="40"/>
  <c r="AB274" i="40"/>
  <c r="AB275" i="40"/>
  <c r="AB276" i="40"/>
  <c r="AB277" i="40"/>
  <c r="AB278" i="40"/>
  <c r="AB279" i="40"/>
  <c r="AB280" i="40"/>
  <c r="AB281" i="40"/>
  <c r="AB282" i="40"/>
  <c r="AB283" i="40"/>
  <c r="AB284" i="40"/>
  <c r="AB285" i="40"/>
  <c r="AB286" i="40"/>
  <c r="AB287" i="40"/>
  <c r="AB288" i="40"/>
  <c r="AB289" i="40"/>
  <c r="AB290" i="40"/>
  <c r="AB291" i="40"/>
  <c r="AB292" i="40"/>
  <c r="AB293" i="40"/>
  <c r="AB294" i="40"/>
  <c r="AB295" i="40"/>
  <c r="AB296" i="40"/>
  <c r="AB297" i="40"/>
  <c r="AB298" i="40"/>
  <c r="AB299" i="40"/>
  <c r="AB300" i="40"/>
  <c r="AB301" i="40"/>
  <c r="AB302" i="40"/>
  <c r="AB303" i="40"/>
  <c r="AB304" i="40"/>
  <c r="AB305" i="40"/>
  <c r="AB306" i="40"/>
  <c r="AB200" i="40"/>
  <c r="AA201" i="40"/>
  <c r="AA202" i="40"/>
  <c r="AA203" i="40"/>
  <c r="AA204" i="40"/>
  <c r="AA205" i="40"/>
  <c r="AA206" i="40"/>
  <c r="AA207" i="40"/>
  <c r="AA208" i="40"/>
  <c r="AA209" i="40"/>
  <c r="AA210" i="40"/>
  <c r="AA211" i="40"/>
  <c r="AA212" i="40"/>
  <c r="AA213" i="40"/>
  <c r="AA214" i="40"/>
  <c r="AA215" i="40"/>
  <c r="AA216" i="40"/>
  <c r="AA217" i="40"/>
  <c r="AA218" i="40"/>
  <c r="AA219" i="40"/>
  <c r="AA220" i="40"/>
  <c r="AA221" i="40"/>
  <c r="AA222" i="40"/>
  <c r="AA223" i="40"/>
  <c r="AA224" i="40"/>
  <c r="AA225" i="40"/>
  <c r="AA226" i="40"/>
  <c r="AA227" i="40"/>
  <c r="AA228" i="40"/>
  <c r="AA229" i="40"/>
  <c r="AA230" i="40"/>
  <c r="AA231" i="40"/>
  <c r="AA232" i="40"/>
  <c r="AA233" i="40"/>
  <c r="AA234" i="40"/>
  <c r="AA235" i="40"/>
  <c r="AA236" i="40"/>
  <c r="AA237" i="40"/>
  <c r="AA238" i="40"/>
  <c r="AA239" i="40"/>
  <c r="AA240" i="40"/>
  <c r="AA241" i="40"/>
  <c r="AA242" i="40"/>
  <c r="AA243" i="40"/>
  <c r="AA244" i="40"/>
  <c r="AA245" i="40"/>
  <c r="AA246" i="40"/>
  <c r="AA247" i="40"/>
  <c r="AA248" i="40"/>
  <c r="AA249" i="40"/>
  <c r="AA250" i="40"/>
  <c r="AA251" i="40"/>
  <c r="AA252" i="40"/>
  <c r="AA253" i="40"/>
  <c r="AA254" i="40"/>
  <c r="AA255" i="40"/>
  <c r="AA256" i="40"/>
  <c r="AA257" i="40"/>
  <c r="AA258" i="40"/>
  <c r="AA259" i="40"/>
  <c r="AA260" i="40"/>
  <c r="AA261" i="40"/>
  <c r="AA262" i="40"/>
  <c r="AA263" i="40"/>
  <c r="AA264" i="40"/>
  <c r="AA265" i="40"/>
  <c r="AA266" i="40"/>
  <c r="AA267" i="40"/>
  <c r="AA268" i="40"/>
  <c r="AA269" i="40"/>
  <c r="AA270" i="40"/>
  <c r="AA271" i="40"/>
  <c r="AA272" i="40"/>
  <c r="AA273" i="40"/>
  <c r="AA274" i="40"/>
  <c r="AA275" i="40"/>
  <c r="AA276" i="40"/>
  <c r="AA277" i="40"/>
  <c r="AA278" i="40"/>
  <c r="AA279" i="40"/>
  <c r="AA280" i="40"/>
  <c r="AA281" i="40"/>
  <c r="AA282" i="40"/>
  <c r="AA283" i="40"/>
  <c r="AA284" i="40"/>
  <c r="AA285" i="40"/>
  <c r="AA286" i="40"/>
  <c r="AA287" i="40"/>
  <c r="AA288" i="40"/>
  <c r="AA289" i="40"/>
  <c r="AA290" i="40"/>
  <c r="AA291" i="40"/>
  <c r="AA292" i="40"/>
  <c r="AA293" i="40"/>
  <c r="AA294" i="40"/>
  <c r="AA295" i="40"/>
  <c r="AA296" i="40"/>
  <c r="AA297" i="40"/>
  <c r="AA298" i="40"/>
  <c r="AA299" i="40"/>
  <c r="AA300" i="40"/>
  <c r="AA301" i="40"/>
  <c r="AA302" i="40"/>
  <c r="AA303" i="40"/>
  <c r="AA304" i="40"/>
  <c r="AA305" i="40"/>
  <c r="AA306" i="40"/>
  <c r="AA200" i="40"/>
  <c r="AB117" i="40"/>
  <c r="AB118" i="40"/>
  <c r="AB119" i="40"/>
  <c r="AB120" i="40"/>
  <c r="AB121" i="40"/>
  <c r="AB122" i="40"/>
  <c r="AB123" i="40"/>
  <c r="AB124" i="40"/>
  <c r="AB125" i="40"/>
  <c r="AB126" i="40"/>
  <c r="AB127" i="40"/>
  <c r="AB128" i="40"/>
  <c r="AB129" i="40"/>
  <c r="AB130" i="40"/>
  <c r="AB131" i="40"/>
  <c r="AB132" i="40"/>
  <c r="AB133" i="40"/>
  <c r="AB134" i="40"/>
  <c r="AB135" i="40"/>
  <c r="AB136" i="40"/>
  <c r="AB137" i="40"/>
  <c r="AB138" i="40"/>
  <c r="AB139" i="40"/>
  <c r="AB140" i="40"/>
  <c r="AB141" i="40"/>
  <c r="AB142" i="40"/>
  <c r="AB143" i="40"/>
  <c r="AB144" i="40"/>
  <c r="AB145" i="40"/>
  <c r="AB146" i="40"/>
  <c r="AB147" i="40"/>
  <c r="AB148" i="40"/>
  <c r="AB149" i="40"/>
  <c r="AB150" i="40"/>
  <c r="AB151" i="40"/>
  <c r="AB152" i="40"/>
  <c r="AB153" i="40"/>
  <c r="AB154" i="40"/>
  <c r="AB155" i="40"/>
  <c r="AB156" i="40"/>
  <c r="AB157" i="40"/>
  <c r="AB158" i="40"/>
  <c r="AB159" i="40"/>
  <c r="AB160" i="40"/>
  <c r="AB161" i="40"/>
  <c r="AB162" i="40"/>
  <c r="AB163" i="40"/>
  <c r="AB164" i="40"/>
  <c r="AB165" i="40"/>
  <c r="AB166" i="40"/>
  <c r="AB167" i="40"/>
  <c r="AB168" i="40"/>
  <c r="AB169" i="40"/>
  <c r="AB170" i="40"/>
  <c r="AB171" i="40"/>
  <c r="AB172" i="40"/>
  <c r="AB173" i="40"/>
  <c r="AB174" i="40"/>
  <c r="AB175" i="40"/>
  <c r="AB176" i="40"/>
  <c r="AB177" i="40"/>
  <c r="AB178" i="40"/>
  <c r="AB179" i="40"/>
  <c r="AB180" i="40"/>
  <c r="AB181" i="40"/>
  <c r="AB182" i="40"/>
  <c r="AB183" i="40"/>
  <c r="AB184" i="40"/>
  <c r="AB185" i="40"/>
  <c r="AB186" i="40"/>
  <c r="AB187" i="40"/>
  <c r="AB188" i="40"/>
  <c r="AB189" i="40"/>
  <c r="AB190" i="40"/>
  <c r="AB191" i="40"/>
  <c r="AB192" i="40"/>
  <c r="AB193" i="40"/>
  <c r="AB194" i="40"/>
  <c r="AB195" i="40"/>
  <c r="AB196" i="40"/>
  <c r="AB197" i="40"/>
  <c r="AB198" i="40"/>
  <c r="AB199" i="40"/>
  <c r="AB116" i="40"/>
  <c r="AA117" i="40"/>
  <c r="AA118" i="40"/>
  <c r="AA119" i="40"/>
  <c r="AA120" i="40"/>
  <c r="AA121" i="40"/>
  <c r="AA122" i="40"/>
  <c r="AA123" i="40"/>
  <c r="AA124" i="40"/>
  <c r="AA125" i="40"/>
  <c r="AA126" i="40"/>
  <c r="AA127" i="40"/>
  <c r="AA128" i="40"/>
  <c r="AA129" i="40"/>
  <c r="AA130" i="40"/>
  <c r="AA131" i="40"/>
  <c r="AA132" i="40"/>
  <c r="AA133" i="40"/>
  <c r="AA134" i="40"/>
  <c r="AA135" i="40"/>
  <c r="AA136" i="40"/>
  <c r="AA137" i="40"/>
  <c r="AA138" i="40"/>
  <c r="AA139" i="40"/>
  <c r="AA140" i="40"/>
  <c r="AA141" i="40"/>
  <c r="AA142" i="40"/>
  <c r="AA143" i="40"/>
  <c r="AA144" i="40"/>
  <c r="AA145" i="40"/>
  <c r="AA146" i="40"/>
  <c r="AA147" i="40"/>
  <c r="AA148" i="40"/>
  <c r="AA149" i="40"/>
  <c r="AA150" i="40"/>
  <c r="AA151" i="40"/>
  <c r="AA152" i="40"/>
  <c r="AA153" i="40"/>
  <c r="AA154" i="40"/>
  <c r="AA155" i="40"/>
  <c r="AA156" i="40"/>
  <c r="AA157" i="40"/>
  <c r="AA158" i="40"/>
  <c r="AA159" i="40"/>
  <c r="AA160" i="40"/>
  <c r="AA161" i="40"/>
  <c r="AA162" i="40"/>
  <c r="AA163" i="40"/>
  <c r="AA164" i="40"/>
  <c r="AA165" i="40"/>
  <c r="AA166" i="40"/>
  <c r="AA167" i="40"/>
  <c r="AA168" i="40"/>
  <c r="AA169" i="40"/>
  <c r="AA170" i="40"/>
  <c r="AA171" i="40"/>
  <c r="AA172" i="40"/>
  <c r="AA173" i="40"/>
  <c r="AA174" i="40"/>
  <c r="AA175" i="40"/>
  <c r="AA176" i="40"/>
  <c r="AA177" i="40"/>
  <c r="AA178" i="40"/>
  <c r="AA179" i="40"/>
  <c r="AA180" i="40"/>
  <c r="AA181" i="40"/>
  <c r="AA182" i="40"/>
  <c r="AA183" i="40"/>
  <c r="AA184" i="40"/>
  <c r="AA185" i="40"/>
  <c r="AA186" i="40"/>
  <c r="AA187" i="40"/>
  <c r="AA188" i="40"/>
  <c r="AA189" i="40"/>
  <c r="AA190" i="40"/>
  <c r="AA191" i="40"/>
  <c r="AA192" i="40"/>
  <c r="AA193" i="40"/>
  <c r="AA194" i="40"/>
  <c r="AA195" i="40"/>
  <c r="AA196" i="40"/>
  <c r="AA197" i="40"/>
  <c r="AA198" i="40"/>
  <c r="AA199" i="40"/>
  <c r="AA116" i="40"/>
  <c r="E644" i="41"/>
  <c r="AB10" i="40"/>
  <c r="AB11" i="40"/>
  <c r="AB12" i="40"/>
  <c r="AB13" i="40"/>
  <c r="AB14" i="40"/>
  <c r="AB15" i="40"/>
  <c r="AB16" i="40"/>
  <c r="AB17" i="40"/>
  <c r="AB18" i="40"/>
  <c r="AB19" i="40"/>
  <c r="AB20" i="40"/>
  <c r="AB21" i="40"/>
  <c r="AB22" i="40"/>
  <c r="AB23" i="40"/>
  <c r="AB24" i="40"/>
  <c r="AB25" i="40"/>
  <c r="AB26" i="40"/>
  <c r="AB27" i="40"/>
  <c r="AB28" i="40"/>
  <c r="AB29" i="40"/>
  <c r="AB30" i="40"/>
  <c r="AB31" i="40"/>
  <c r="AB32" i="40"/>
  <c r="AB33" i="40"/>
  <c r="AB34" i="40"/>
  <c r="AB35" i="40"/>
  <c r="AB36" i="40"/>
  <c r="AB37" i="40"/>
  <c r="AB38" i="40"/>
  <c r="AB39" i="40"/>
  <c r="AB40" i="40"/>
  <c r="AB41" i="40"/>
  <c r="AB42" i="40"/>
  <c r="AB43" i="40"/>
  <c r="AB44" i="40"/>
  <c r="AB45" i="40"/>
  <c r="AB46" i="40"/>
  <c r="AB47" i="40"/>
  <c r="AB48" i="40"/>
  <c r="AB49" i="40"/>
  <c r="AB50" i="40"/>
  <c r="AB51" i="40"/>
  <c r="AB52" i="40"/>
  <c r="AB53" i="40"/>
  <c r="AB54" i="40"/>
  <c r="AB55" i="40"/>
  <c r="AB56" i="40"/>
  <c r="AB57" i="40"/>
  <c r="AB58" i="40"/>
  <c r="AB59" i="40"/>
  <c r="AB60" i="40"/>
  <c r="AB61" i="40"/>
  <c r="AB62" i="40"/>
  <c r="AB63" i="40"/>
  <c r="AB64" i="40"/>
  <c r="AB65" i="40"/>
  <c r="AB66" i="40"/>
  <c r="AB67" i="40"/>
  <c r="AB68" i="40"/>
  <c r="AB69" i="40"/>
  <c r="AB70" i="40"/>
  <c r="AB71" i="40"/>
  <c r="AB72" i="40"/>
  <c r="AB73" i="40"/>
  <c r="AB74" i="40"/>
  <c r="AB75" i="40"/>
  <c r="AB76" i="40"/>
  <c r="AB77" i="40"/>
  <c r="AB78" i="40"/>
  <c r="AB79" i="40"/>
  <c r="AB80" i="40"/>
  <c r="AB81" i="40"/>
  <c r="AB82" i="40"/>
  <c r="AB83" i="40"/>
  <c r="AB84" i="40"/>
  <c r="AB85" i="40"/>
  <c r="AB86" i="40"/>
  <c r="AB87" i="40"/>
  <c r="AB88" i="40"/>
  <c r="AB89" i="40"/>
  <c r="AB90" i="40"/>
  <c r="AB91" i="40"/>
  <c r="AB92" i="40"/>
  <c r="AB93" i="40"/>
  <c r="AB94" i="40"/>
  <c r="AB95" i="40"/>
  <c r="AB96" i="40"/>
  <c r="AB97" i="40"/>
  <c r="AB98" i="40"/>
  <c r="AB99" i="40"/>
  <c r="AB100" i="40"/>
  <c r="AB101" i="40"/>
  <c r="AB102" i="40"/>
  <c r="AB103" i="40"/>
  <c r="AB104" i="40"/>
  <c r="AB105" i="40"/>
  <c r="AB106" i="40"/>
  <c r="AB107" i="40"/>
  <c r="AB108" i="40"/>
  <c r="AB109" i="40"/>
  <c r="AB110" i="40"/>
  <c r="AB111" i="40"/>
  <c r="AB112" i="40"/>
  <c r="AB113" i="40"/>
  <c r="AB114" i="40"/>
  <c r="AB115" i="40"/>
  <c r="AB9" i="40"/>
  <c r="AA10" i="40"/>
  <c r="AA11" i="40"/>
  <c r="AA12" i="40"/>
  <c r="AA13" i="40"/>
  <c r="AA14" i="40"/>
  <c r="AA15" i="40"/>
  <c r="AA16" i="40"/>
  <c r="AA17" i="40"/>
  <c r="AA18" i="40"/>
  <c r="AA19" i="40"/>
  <c r="AA20" i="40"/>
  <c r="AA21" i="40"/>
  <c r="AA22" i="40"/>
  <c r="AA23" i="40"/>
  <c r="AA24" i="40"/>
  <c r="AA25" i="40"/>
  <c r="AA26" i="40"/>
  <c r="AA27" i="40"/>
  <c r="AA28" i="40"/>
  <c r="AA29" i="40"/>
  <c r="AA30" i="40"/>
  <c r="AA31" i="40"/>
  <c r="AA32" i="40"/>
  <c r="AA33" i="40"/>
  <c r="AA34" i="40"/>
  <c r="AA35" i="40"/>
  <c r="AA36" i="40"/>
  <c r="AA37" i="40"/>
  <c r="AA38" i="40"/>
  <c r="AA39" i="40"/>
  <c r="AA40" i="40"/>
  <c r="AA41" i="40"/>
  <c r="AA42" i="40"/>
  <c r="AA43" i="40"/>
  <c r="AA44" i="40"/>
  <c r="AA45" i="40"/>
  <c r="AA46" i="40"/>
  <c r="AA47" i="40"/>
  <c r="AA48" i="40"/>
  <c r="AA49" i="40"/>
  <c r="AA50" i="40"/>
  <c r="AA51" i="40"/>
  <c r="AA52" i="40"/>
  <c r="AA53" i="40"/>
  <c r="AA54" i="40"/>
  <c r="AA55" i="40"/>
  <c r="AA56" i="40"/>
  <c r="AA57" i="40"/>
  <c r="AA58" i="40"/>
  <c r="AA59" i="40"/>
  <c r="AA60" i="40"/>
  <c r="AA61" i="40"/>
  <c r="AA62" i="40"/>
  <c r="AA63" i="40"/>
  <c r="AA64" i="40"/>
  <c r="AA65" i="40"/>
  <c r="AA66" i="40"/>
  <c r="AA67" i="40"/>
  <c r="AA68" i="40"/>
  <c r="AA69" i="40"/>
  <c r="AA70" i="40"/>
  <c r="AA71" i="40"/>
  <c r="AA72" i="40"/>
  <c r="AA73" i="40"/>
  <c r="AA74" i="40"/>
  <c r="AA75" i="40"/>
  <c r="AA76" i="40"/>
  <c r="AA77" i="40"/>
  <c r="AA78" i="40"/>
  <c r="AA79" i="40"/>
  <c r="AA80" i="40"/>
  <c r="AA81" i="40"/>
  <c r="AA82" i="40"/>
  <c r="AA83" i="40"/>
  <c r="AA84" i="40"/>
  <c r="AA85" i="40"/>
  <c r="AA86" i="40"/>
  <c r="AA87" i="40"/>
  <c r="AA88" i="40"/>
  <c r="AA89" i="40"/>
  <c r="AA90" i="40"/>
  <c r="AA91" i="40"/>
  <c r="AA92" i="40"/>
  <c r="AA93" i="40"/>
  <c r="AA94" i="40"/>
  <c r="AA95" i="40"/>
  <c r="AA96" i="40"/>
  <c r="AA97" i="40"/>
  <c r="AA98" i="40"/>
  <c r="AA99" i="40"/>
  <c r="AA100" i="40"/>
  <c r="AA101" i="40"/>
  <c r="AA102" i="40"/>
  <c r="AA103" i="40"/>
  <c r="AA104" i="40"/>
  <c r="AA105" i="40"/>
  <c r="AA106" i="40"/>
  <c r="AA107" i="40"/>
  <c r="AA108" i="40"/>
  <c r="AA109" i="40"/>
  <c r="AA110" i="40"/>
  <c r="AA111" i="40"/>
  <c r="AA112" i="40"/>
  <c r="AA113" i="40"/>
  <c r="AA114" i="40"/>
  <c r="AA115" i="40"/>
  <c r="AA9" i="40"/>
  <c r="G1532" i="42"/>
  <c r="F1532" i="42"/>
  <c r="G1531" i="42"/>
  <c r="F1531" i="42"/>
  <c r="G1530" i="42"/>
  <c r="F1530" i="42"/>
  <c r="G1529" i="42"/>
  <c r="F1529" i="42"/>
  <c r="G1528" i="42"/>
  <c r="F1528" i="42"/>
  <c r="G1527" i="42"/>
  <c r="F1527" i="42"/>
  <c r="G1526" i="42"/>
  <c r="F1526" i="42"/>
  <c r="G1525" i="42"/>
  <c r="F1525" i="42"/>
  <c r="G1524" i="42"/>
  <c r="F1524" i="42"/>
  <c r="G1523" i="42"/>
  <c r="F1523" i="42"/>
  <c r="G1522" i="42"/>
  <c r="F1522" i="42"/>
  <c r="G1521" i="42"/>
  <c r="F1521" i="42"/>
  <c r="G1520" i="42"/>
  <c r="F1520" i="42"/>
  <c r="G1519" i="42"/>
  <c r="F1519" i="42"/>
  <c r="G1518" i="42"/>
  <c r="F1518" i="42"/>
  <c r="G1517" i="42"/>
  <c r="F1517" i="42"/>
  <c r="G1516" i="42"/>
  <c r="F1516" i="42"/>
  <c r="G1515" i="42"/>
  <c r="F1515" i="42"/>
  <c r="G1514" i="42"/>
  <c r="F1514" i="42"/>
  <c r="G1513" i="42"/>
  <c r="F1513" i="42"/>
  <c r="G1512" i="42"/>
  <c r="F1512" i="42"/>
  <c r="G1511" i="42"/>
  <c r="F1511" i="42"/>
  <c r="G1510" i="42"/>
  <c r="F1510" i="42"/>
  <c r="G1509" i="42"/>
  <c r="F1509" i="42"/>
  <c r="G1508" i="42"/>
  <c r="F1508" i="42"/>
  <c r="G1507" i="42"/>
  <c r="F1507" i="42"/>
  <c r="G1506" i="42"/>
  <c r="F1506" i="42"/>
  <c r="G1505" i="42"/>
  <c r="F1505" i="42"/>
  <c r="G1504" i="42"/>
  <c r="F1504" i="42"/>
  <c r="G1503" i="42"/>
  <c r="F1503" i="42"/>
  <c r="G1502" i="42"/>
  <c r="F1502" i="42"/>
  <c r="G1501" i="42"/>
  <c r="F1501" i="42"/>
  <c r="G1500" i="42"/>
  <c r="F1500" i="42"/>
  <c r="G1499" i="42"/>
  <c r="F1499" i="42"/>
  <c r="G1498" i="42"/>
  <c r="F1498" i="42"/>
  <c r="G1497" i="42"/>
  <c r="F1497" i="42"/>
  <c r="G1496" i="42"/>
  <c r="F1496" i="42"/>
  <c r="G1495" i="42"/>
  <c r="F1495" i="42"/>
  <c r="G1494" i="42"/>
  <c r="F1494" i="42"/>
  <c r="G1493" i="42"/>
  <c r="F1493" i="42"/>
  <c r="G1492" i="42"/>
  <c r="F1492" i="42"/>
  <c r="G1491" i="42"/>
  <c r="F1491" i="42"/>
  <c r="G1490" i="42"/>
  <c r="F1490" i="42"/>
  <c r="G1489" i="42"/>
  <c r="F1489" i="42"/>
  <c r="G1488" i="42"/>
  <c r="F1488" i="42"/>
  <c r="G1487" i="42"/>
  <c r="F1487" i="42"/>
  <c r="G1486" i="42"/>
  <c r="F1486" i="42"/>
  <c r="G1485" i="42"/>
  <c r="F1485" i="42"/>
  <c r="G1484" i="42"/>
  <c r="F1484" i="42"/>
  <c r="G1483" i="42"/>
  <c r="F1483" i="42"/>
  <c r="G1482" i="42"/>
  <c r="F1482" i="42"/>
  <c r="G1481" i="42"/>
  <c r="F1481" i="42"/>
  <c r="G1480" i="42"/>
  <c r="F1480" i="42"/>
  <c r="G1479" i="42"/>
  <c r="F1479" i="42"/>
  <c r="G1478" i="42"/>
  <c r="F1478" i="42"/>
  <c r="G1477" i="42"/>
  <c r="F1477" i="42"/>
  <c r="G1476" i="42"/>
  <c r="F1476" i="42"/>
  <c r="G1475" i="42"/>
  <c r="F1475" i="42"/>
  <c r="G1474" i="42"/>
  <c r="F1474" i="42"/>
  <c r="G1473" i="42"/>
  <c r="F1473" i="42"/>
  <c r="G1472" i="42"/>
  <c r="F1472" i="42"/>
  <c r="G1471" i="42"/>
  <c r="F1471" i="42"/>
  <c r="G1470" i="42"/>
  <c r="F1470" i="42"/>
  <c r="G1469" i="42"/>
  <c r="F1469" i="42"/>
  <c r="G1468" i="42"/>
  <c r="F1468" i="42"/>
  <c r="G1467" i="42"/>
  <c r="F1467" i="42"/>
  <c r="G1466" i="42"/>
  <c r="F1466" i="42"/>
  <c r="G1465" i="42"/>
  <c r="F1465" i="42"/>
  <c r="G1464" i="42"/>
  <c r="F1464" i="42"/>
  <c r="G1463" i="42"/>
  <c r="F1463" i="42"/>
  <c r="G1462" i="42"/>
  <c r="F1462" i="42"/>
  <c r="G1461" i="42"/>
  <c r="F1461" i="42"/>
  <c r="G1460" i="42"/>
  <c r="F1460" i="42"/>
  <c r="G1459" i="42"/>
  <c r="F1459" i="42"/>
  <c r="G1458" i="42"/>
  <c r="F1458" i="42"/>
  <c r="G1457" i="42"/>
  <c r="F1457" i="42"/>
  <c r="G1456" i="42"/>
  <c r="F1456" i="42"/>
  <c r="G1455" i="42"/>
  <c r="F1455" i="42"/>
  <c r="G1454" i="42"/>
  <c r="F1454" i="42"/>
  <c r="G1453" i="42"/>
  <c r="F1453" i="42"/>
  <c r="G1452" i="42"/>
  <c r="F1452" i="42"/>
  <c r="G1451" i="42"/>
  <c r="F1451" i="42"/>
  <c r="G1450" i="42"/>
  <c r="F1450" i="42"/>
  <c r="G1449" i="42"/>
  <c r="F1449" i="42"/>
  <c r="G1448" i="42"/>
  <c r="F1448" i="42"/>
  <c r="G1447" i="42"/>
  <c r="F1447" i="42"/>
  <c r="G1446" i="42"/>
  <c r="F1446" i="42"/>
  <c r="G1445" i="42"/>
  <c r="F1445" i="42"/>
  <c r="G1444" i="42"/>
  <c r="F1444" i="42"/>
  <c r="G1443" i="42"/>
  <c r="F1443" i="42"/>
  <c r="G1442" i="42"/>
  <c r="F1442" i="42"/>
  <c r="G1441" i="42"/>
  <c r="F1441" i="42"/>
  <c r="G1440" i="42"/>
  <c r="F1440" i="42"/>
  <c r="G1439" i="42"/>
  <c r="F1439" i="42"/>
  <c r="G1438" i="42"/>
  <c r="F1438" i="42"/>
  <c r="G1437" i="42"/>
  <c r="F1437" i="42"/>
  <c r="G1436" i="42"/>
  <c r="F1436" i="42"/>
  <c r="G1435" i="42"/>
  <c r="F1435" i="42"/>
  <c r="G1434" i="42"/>
  <c r="F1434" i="42"/>
  <c r="G1433" i="42"/>
  <c r="F1433" i="42"/>
  <c r="G1432" i="42"/>
  <c r="F1432" i="42"/>
  <c r="G1431" i="42"/>
  <c r="F1431" i="42"/>
  <c r="G1430" i="42"/>
  <c r="F1430" i="42"/>
  <c r="G1429" i="42"/>
  <c r="F1429" i="42"/>
  <c r="G1428" i="42"/>
  <c r="F1428" i="42"/>
  <c r="G1427" i="42"/>
  <c r="F1427" i="42"/>
  <c r="G1426" i="42"/>
  <c r="F1426" i="42"/>
  <c r="G1425" i="42"/>
  <c r="F1425" i="42"/>
  <c r="G1424" i="42"/>
  <c r="F1424" i="42"/>
  <c r="G1423" i="42"/>
  <c r="F1423" i="42"/>
  <c r="G1422" i="42"/>
  <c r="F1422" i="42"/>
  <c r="G1421" i="42"/>
  <c r="F1421" i="42"/>
  <c r="G1420" i="42"/>
  <c r="F1420" i="42"/>
  <c r="G1419" i="42"/>
  <c r="F1419" i="42"/>
  <c r="G1418" i="42"/>
  <c r="F1418" i="42"/>
  <c r="G1417" i="42"/>
  <c r="F1417" i="42"/>
  <c r="G1416" i="42"/>
  <c r="F1416" i="42"/>
  <c r="G1415" i="42"/>
  <c r="F1415" i="42"/>
  <c r="G1414" i="42"/>
  <c r="F1414" i="42"/>
  <c r="G1413" i="42"/>
  <c r="F1413" i="42"/>
  <c r="G1412" i="42"/>
  <c r="F1412" i="42"/>
  <c r="G1411" i="42"/>
  <c r="F1411" i="42"/>
  <c r="G1410" i="42"/>
  <c r="F1410" i="42"/>
  <c r="G1409" i="42"/>
  <c r="F1409" i="42"/>
  <c r="G1408" i="42"/>
  <c r="F1408" i="42"/>
  <c r="G1407" i="42"/>
  <c r="F1407" i="42"/>
  <c r="G1406" i="42"/>
  <c r="F1406" i="42"/>
  <c r="G1405" i="42"/>
  <c r="F1405" i="42"/>
  <c r="G1404" i="42"/>
  <c r="F1404" i="42"/>
  <c r="G1403" i="42"/>
  <c r="F1403" i="42"/>
  <c r="G1402" i="42"/>
  <c r="F1402" i="42"/>
  <c r="G1401" i="42"/>
  <c r="G1400" i="42"/>
  <c r="G1399" i="42"/>
  <c r="G1398" i="42"/>
  <c r="G1397" i="42"/>
  <c r="G1396" i="42"/>
  <c r="G1395" i="42"/>
  <c r="G1394" i="42"/>
  <c r="G1393" i="42"/>
  <c r="G1392" i="42"/>
  <c r="G1391" i="42"/>
  <c r="G1390" i="42"/>
  <c r="G1389" i="42"/>
  <c r="G1388" i="42"/>
  <c r="F1388" i="42"/>
  <c r="G1387" i="42"/>
  <c r="F1387" i="42"/>
  <c r="G1386" i="42"/>
  <c r="F1386" i="42"/>
  <c r="G1385" i="42"/>
  <c r="F1385" i="42"/>
  <c r="G1384" i="42"/>
  <c r="F1384" i="42"/>
  <c r="G1383" i="42"/>
  <c r="F1383" i="42"/>
  <c r="G1382" i="42"/>
  <c r="F1382" i="42"/>
  <c r="G1381" i="42"/>
  <c r="F1381" i="42"/>
  <c r="G1380" i="42"/>
  <c r="F1380" i="42"/>
  <c r="G1379" i="42"/>
  <c r="F1379" i="42"/>
  <c r="G1378" i="42"/>
  <c r="F1378" i="42"/>
  <c r="G1377" i="42"/>
  <c r="F1377" i="42"/>
  <c r="G1376" i="42"/>
  <c r="F1376" i="42"/>
  <c r="G1375" i="42"/>
  <c r="F1375" i="42"/>
  <c r="G1374" i="42"/>
  <c r="F1374" i="42"/>
  <c r="G1373" i="42"/>
  <c r="F1373" i="42"/>
  <c r="G1372" i="42"/>
  <c r="F1372" i="42"/>
  <c r="G1371" i="42"/>
  <c r="F1371" i="42"/>
  <c r="G1370" i="42"/>
  <c r="F1370" i="42"/>
  <c r="G1369" i="42"/>
  <c r="F1369" i="42"/>
  <c r="G1368" i="42"/>
  <c r="F1368" i="42"/>
  <c r="G1367" i="42"/>
  <c r="F1367" i="42"/>
  <c r="G1366" i="42"/>
  <c r="F1366" i="42"/>
  <c r="G1365" i="42"/>
  <c r="F1365" i="42"/>
  <c r="G1364" i="42"/>
  <c r="F1364" i="42"/>
  <c r="G1363" i="42"/>
  <c r="F1363" i="42"/>
  <c r="G1362" i="42"/>
  <c r="F1362" i="42"/>
  <c r="G1361" i="42"/>
  <c r="F1361" i="42"/>
  <c r="G1360" i="42"/>
  <c r="F1360" i="42"/>
  <c r="G1359" i="42"/>
  <c r="F1359" i="42"/>
  <c r="G1358" i="42"/>
  <c r="F1358" i="42"/>
  <c r="G1357" i="42"/>
  <c r="G1356" i="42"/>
  <c r="G1355" i="42"/>
  <c r="G1354" i="42"/>
  <c r="F1354" i="42"/>
  <c r="G1353" i="42"/>
  <c r="F1353" i="42"/>
  <c r="G1352" i="42"/>
  <c r="F1352" i="42"/>
  <c r="G1351" i="42"/>
  <c r="F1351" i="42"/>
  <c r="G1350" i="42"/>
  <c r="F1350" i="42"/>
  <c r="G1349" i="42"/>
  <c r="F1349" i="42"/>
  <c r="G1348" i="42"/>
  <c r="F1348" i="42"/>
  <c r="G1347" i="42"/>
  <c r="F1347" i="42"/>
  <c r="G1346" i="42"/>
  <c r="F1346" i="42"/>
  <c r="G1345" i="42"/>
  <c r="F1345" i="42"/>
  <c r="G1344" i="42"/>
  <c r="F1344" i="42"/>
  <c r="G1343" i="42"/>
  <c r="G1342" i="42"/>
  <c r="G1341" i="42"/>
  <c r="G1340" i="42"/>
  <c r="F1340" i="42"/>
  <c r="G1339" i="42"/>
  <c r="F1339" i="42"/>
  <c r="G1338" i="42"/>
  <c r="F1338" i="42"/>
  <c r="G1337" i="42"/>
  <c r="F1337" i="42"/>
  <c r="G1336" i="42"/>
  <c r="F1336" i="42"/>
  <c r="G1335" i="42"/>
  <c r="F1335" i="42"/>
  <c r="G1334" i="42"/>
  <c r="F1334" i="42"/>
  <c r="G1333" i="42"/>
  <c r="F1333" i="42"/>
  <c r="G1332" i="42"/>
  <c r="F1332" i="42"/>
  <c r="G1331" i="42"/>
  <c r="F1331" i="42"/>
  <c r="G1330" i="42"/>
  <c r="F1330" i="42"/>
  <c r="G1329" i="42"/>
  <c r="F1329" i="42"/>
  <c r="G1328" i="42"/>
  <c r="F1328" i="42"/>
  <c r="G1327" i="42"/>
  <c r="F1327" i="42"/>
  <c r="G1326" i="42"/>
  <c r="F1326" i="42"/>
  <c r="G1325" i="42"/>
  <c r="F1325" i="42"/>
  <c r="G1324" i="42"/>
  <c r="F1324" i="42"/>
  <c r="G1323" i="42"/>
  <c r="F1323" i="42"/>
  <c r="G1322" i="42"/>
  <c r="F1322" i="42"/>
  <c r="G1321" i="42"/>
  <c r="F1321" i="42"/>
  <c r="G1320" i="42"/>
  <c r="F1320" i="42"/>
  <c r="G1319" i="42"/>
  <c r="F1319" i="42"/>
  <c r="G1318" i="42"/>
  <c r="F1318" i="42"/>
  <c r="G1317" i="42"/>
  <c r="F1317" i="42"/>
  <c r="G1316" i="42"/>
  <c r="F1316" i="42"/>
  <c r="G1315" i="42"/>
  <c r="F1315" i="42"/>
  <c r="G1314" i="42"/>
  <c r="F1314" i="42"/>
  <c r="G1313" i="42"/>
  <c r="F1313" i="42"/>
  <c r="G1312" i="42"/>
  <c r="F1312" i="42"/>
  <c r="G1311" i="42"/>
  <c r="F1311" i="42"/>
  <c r="G1310" i="42"/>
  <c r="F1310" i="42"/>
  <c r="G1309" i="42"/>
  <c r="F1309" i="42"/>
  <c r="G1308" i="42"/>
  <c r="F1308" i="42"/>
  <c r="G1307" i="42"/>
  <c r="F1307" i="42"/>
  <c r="G1306" i="42"/>
  <c r="F1306" i="42"/>
  <c r="G1305" i="42"/>
  <c r="F1305" i="42"/>
  <c r="G1304" i="42"/>
  <c r="F1304" i="42"/>
  <c r="G1303" i="42"/>
  <c r="F1303" i="42"/>
  <c r="G1302" i="42"/>
  <c r="F1302" i="42"/>
  <c r="G1301" i="42"/>
  <c r="F1301" i="42"/>
  <c r="G1300" i="42"/>
  <c r="F1300" i="42"/>
  <c r="G1299" i="42"/>
  <c r="F1299" i="42"/>
  <c r="G1298" i="42"/>
  <c r="F1298" i="42"/>
  <c r="G1297" i="42"/>
  <c r="F1297" i="42"/>
  <c r="G1296" i="42"/>
  <c r="F1296" i="42"/>
  <c r="G1295" i="42"/>
  <c r="F1295" i="42"/>
  <c r="G1294" i="42"/>
  <c r="F1294" i="42"/>
  <c r="G1293" i="42"/>
  <c r="F1293" i="42"/>
  <c r="G1292" i="42"/>
  <c r="F1292" i="42"/>
  <c r="G1291" i="42"/>
  <c r="F1291" i="42"/>
  <c r="G1290" i="42"/>
  <c r="F1290" i="42"/>
  <c r="G1289" i="42"/>
  <c r="F1289" i="42"/>
  <c r="G1288" i="42"/>
  <c r="F1288" i="42"/>
  <c r="G1287" i="42"/>
  <c r="F1287" i="42"/>
  <c r="G1286" i="42"/>
  <c r="F1286" i="42"/>
  <c r="G1285" i="42"/>
  <c r="F1285" i="42"/>
  <c r="G1284" i="42"/>
  <c r="F1284" i="42"/>
  <c r="G1283" i="42"/>
  <c r="F1283" i="42"/>
  <c r="G1282" i="42"/>
  <c r="F1282" i="42"/>
  <c r="G1281" i="42"/>
  <c r="F1281" i="42"/>
  <c r="G1280" i="42"/>
  <c r="F1280" i="42"/>
  <c r="G1279" i="42"/>
  <c r="F1279" i="42"/>
  <c r="G1278" i="42"/>
  <c r="F1278" i="42"/>
  <c r="G1277" i="42"/>
  <c r="F1277" i="42"/>
  <c r="G1276" i="42"/>
  <c r="F1276" i="42"/>
  <c r="G1275" i="42"/>
  <c r="F1275" i="42"/>
  <c r="G1274" i="42"/>
  <c r="F1274" i="42"/>
  <c r="G1273" i="42"/>
  <c r="F1273" i="42"/>
  <c r="G1272" i="42"/>
  <c r="F1272" i="42"/>
  <c r="G1271" i="42"/>
  <c r="F1271" i="42"/>
  <c r="G1270" i="42"/>
  <c r="F1270" i="42"/>
  <c r="G1269" i="42"/>
  <c r="F1269" i="42"/>
  <c r="G1268" i="42"/>
  <c r="F1268" i="42"/>
  <c r="G1267" i="42"/>
  <c r="F1267" i="42"/>
  <c r="G1266" i="42"/>
  <c r="F1266" i="42"/>
  <c r="G1265" i="42"/>
  <c r="F1265" i="42"/>
  <c r="G1264" i="42"/>
  <c r="F1264" i="42"/>
  <c r="G1263" i="42"/>
  <c r="F1263" i="42"/>
  <c r="G1262" i="42"/>
  <c r="F1262" i="42"/>
  <c r="G1261" i="42"/>
  <c r="F1261" i="42"/>
  <c r="G1260" i="42"/>
  <c r="F1260" i="42"/>
  <c r="G1259" i="42"/>
  <c r="F1259" i="42"/>
  <c r="G1258" i="42"/>
  <c r="F1258" i="42"/>
  <c r="G1257" i="42"/>
  <c r="F1257" i="42"/>
  <c r="G1256" i="42"/>
  <c r="F1256" i="42"/>
  <c r="G1255" i="42"/>
  <c r="F1255" i="42"/>
  <c r="G1254" i="42"/>
  <c r="F1254" i="42"/>
  <c r="G1253" i="42"/>
  <c r="F1253" i="42"/>
  <c r="G1252" i="42"/>
  <c r="F1252" i="42"/>
  <c r="G1251" i="42"/>
  <c r="F1251" i="42"/>
  <c r="G1250" i="42"/>
  <c r="F1250" i="42"/>
  <c r="G1249" i="42"/>
  <c r="F1249" i="42"/>
  <c r="G1248" i="42"/>
  <c r="F1248" i="42"/>
  <c r="G1247" i="42"/>
  <c r="F1247" i="42"/>
  <c r="G1246" i="42"/>
  <c r="F1246" i="42"/>
  <c r="G1245" i="42"/>
  <c r="F1245" i="42"/>
  <c r="G1244" i="42"/>
  <c r="F1244" i="42"/>
  <c r="G1243" i="42"/>
  <c r="F1243" i="42"/>
  <c r="G1242" i="42"/>
  <c r="F1242" i="42"/>
  <c r="G1241" i="42"/>
  <c r="F1241" i="42"/>
  <c r="G1240" i="42"/>
  <c r="F1240" i="42"/>
  <c r="G1239" i="42"/>
  <c r="F1239" i="42"/>
  <c r="G1238" i="42"/>
  <c r="F1238" i="42"/>
  <c r="G1237" i="42"/>
  <c r="F1237" i="42"/>
  <c r="G1236" i="42"/>
  <c r="F1236" i="42"/>
  <c r="G1235" i="42"/>
  <c r="F1235" i="42"/>
  <c r="G1234" i="42"/>
  <c r="F1234" i="42"/>
  <c r="G1233" i="42"/>
  <c r="F1233" i="42"/>
  <c r="G1232" i="42"/>
  <c r="F1232" i="42"/>
  <c r="G1231" i="42"/>
  <c r="F1231" i="42"/>
  <c r="G1230" i="42"/>
  <c r="F1230" i="42"/>
  <c r="G1229" i="42"/>
  <c r="F1229" i="42"/>
  <c r="G1228" i="42"/>
  <c r="F1228" i="42"/>
  <c r="G1227" i="42"/>
  <c r="F1227" i="42"/>
  <c r="G1226" i="42"/>
  <c r="F1226" i="42"/>
  <c r="G1225" i="42"/>
  <c r="F1225" i="42"/>
  <c r="G1224" i="42"/>
  <c r="F1224" i="42"/>
  <c r="G1223" i="42"/>
  <c r="F1223" i="42"/>
  <c r="G1222" i="42"/>
  <c r="F1222" i="42"/>
  <c r="G1221" i="42"/>
  <c r="F1221" i="42"/>
  <c r="G1220" i="42"/>
  <c r="F1220" i="42"/>
  <c r="G1219" i="42"/>
  <c r="F1219" i="42"/>
  <c r="G1218" i="42"/>
  <c r="F1218" i="42"/>
  <c r="G1217" i="42"/>
  <c r="F1217" i="42"/>
  <c r="G1216" i="42"/>
  <c r="F1216" i="42"/>
  <c r="G1215" i="42"/>
  <c r="F1215" i="42"/>
  <c r="G1214" i="42"/>
  <c r="F1214" i="42"/>
  <c r="G1213" i="42"/>
  <c r="F1213" i="42"/>
  <c r="G1212" i="42"/>
  <c r="F1212" i="42"/>
  <c r="G1211" i="42"/>
  <c r="F1211" i="42"/>
  <c r="G1210" i="42"/>
  <c r="F1210" i="42"/>
  <c r="G1209" i="42"/>
  <c r="F1209" i="42"/>
  <c r="G1208" i="42"/>
  <c r="F1208" i="42"/>
  <c r="G1207" i="42"/>
  <c r="F1207" i="42"/>
  <c r="G1206" i="42"/>
  <c r="F1206" i="42"/>
  <c r="G1205" i="42"/>
  <c r="F1205" i="42"/>
  <c r="G1204" i="42"/>
  <c r="F1204" i="42"/>
  <c r="G1203" i="42"/>
  <c r="F1203" i="42"/>
  <c r="G1202" i="42"/>
  <c r="F1202" i="42"/>
  <c r="G1201" i="42"/>
  <c r="F1201" i="42"/>
  <c r="G1200" i="42"/>
  <c r="F1200" i="42"/>
  <c r="G1199" i="42"/>
  <c r="F1199" i="42"/>
  <c r="G1198" i="42"/>
  <c r="F1198" i="42"/>
  <c r="G1197" i="42"/>
  <c r="F1197" i="42"/>
  <c r="G1196" i="42"/>
  <c r="G1195" i="42"/>
  <c r="F1195" i="42"/>
  <c r="G1194" i="42"/>
  <c r="F1194" i="42"/>
  <c r="G1193" i="42"/>
  <c r="F1193" i="42"/>
  <c r="G1192" i="42"/>
  <c r="F1192" i="42"/>
  <c r="G1191" i="42"/>
  <c r="F1191" i="42"/>
  <c r="G1190" i="42"/>
  <c r="F1190" i="42"/>
  <c r="G1189" i="42"/>
  <c r="F1189" i="42"/>
  <c r="G1188" i="42"/>
  <c r="F1188" i="42"/>
  <c r="G1187" i="42"/>
  <c r="F1187" i="42"/>
  <c r="G1186" i="42"/>
  <c r="F1186" i="42"/>
  <c r="G1185" i="42"/>
  <c r="F1185" i="42"/>
  <c r="G1184" i="42"/>
  <c r="F1184" i="42"/>
  <c r="G1183" i="42"/>
  <c r="F1183" i="42"/>
  <c r="G1182" i="42"/>
  <c r="F1182" i="42"/>
  <c r="G1181" i="42"/>
  <c r="F1181" i="42"/>
  <c r="G1180" i="42"/>
  <c r="G1179" i="42"/>
  <c r="F1179" i="42"/>
  <c r="G1178" i="42"/>
  <c r="F1178" i="42"/>
  <c r="G1177" i="42"/>
  <c r="F1177" i="42"/>
  <c r="G1176" i="42"/>
  <c r="F1176" i="42"/>
  <c r="G1175" i="42"/>
  <c r="F1175" i="42"/>
  <c r="G1174" i="42"/>
  <c r="F1174" i="42"/>
  <c r="G1173" i="42"/>
  <c r="F1173" i="42"/>
  <c r="G1172" i="42"/>
  <c r="F1172" i="42"/>
  <c r="G1171" i="42"/>
  <c r="G1170" i="42"/>
  <c r="F1170" i="42"/>
  <c r="G1169" i="42"/>
  <c r="F1169" i="42"/>
  <c r="G1168" i="42"/>
  <c r="F1168" i="42"/>
  <c r="G1167" i="42"/>
  <c r="F1167" i="42"/>
  <c r="G1166" i="42"/>
  <c r="F1166" i="42"/>
  <c r="G1165" i="42"/>
  <c r="F1165" i="42"/>
  <c r="G1164" i="42"/>
  <c r="F1164" i="42"/>
  <c r="G1163" i="42"/>
  <c r="F1163" i="42"/>
  <c r="G1162" i="42"/>
  <c r="F1162" i="42"/>
  <c r="G1161" i="42"/>
  <c r="F1161" i="42"/>
  <c r="G1160" i="42"/>
  <c r="F1160" i="42"/>
  <c r="G1159" i="42"/>
  <c r="F1159" i="42"/>
  <c r="G1158" i="42"/>
  <c r="F1158" i="42"/>
  <c r="G1157" i="42"/>
  <c r="F1157" i="42"/>
  <c r="G1156" i="42"/>
  <c r="F1156" i="42"/>
  <c r="G1155" i="42"/>
  <c r="F1155" i="42"/>
  <c r="G1154" i="42"/>
  <c r="F1154" i="42"/>
  <c r="G1153" i="42"/>
  <c r="F1153" i="42"/>
  <c r="G1152" i="42"/>
  <c r="F1152" i="42"/>
  <c r="G1151" i="42"/>
  <c r="F1151" i="42"/>
  <c r="G1150" i="42"/>
  <c r="F1150" i="42"/>
  <c r="G1149" i="42"/>
  <c r="F1149" i="42"/>
  <c r="G1148" i="42"/>
  <c r="F1148" i="42"/>
  <c r="G1147" i="42"/>
  <c r="F1147" i="42"/>
  <c r="G1146" i="42"/>
  <c r="F1146" i="42"/>
  <c r="G1145" i="42"/>
  <c r="F1145" i="42"/>
  <c r="G1144" i="42"/>
  <c r="G1143" i="42"/>
  <c r="G1142" i="42"/>
  <c r="G1141" i="42"/>
  <c r="G1140" i="42"/>
  <c r="G1139" i="42"/>
  <c r="G1138" i="42"/>
  <c r="G1137" i="42"/>
  <c r="G1136" i="42"/>
  <c r="G1135" i="42"/>
  <c r="G1134" i="42"/>
  <c r="G1133" i="42"/>
  <c r="G1132" i="42"/>
  <c r="G1131" i="42"/>
  <c r="G1130" i="42"/>
  <c r="G1129" i="42"/>
  <c r="G1128" i="42"/>
  <c r="G1127" i="42"/>
  <c r="G1126" i="42"/>
  <c r="G1125" i="42"/>
  <c r="G1124" i="42"/>
  <c r="G1123" i="42"/>
  <c r="G1122" i="42"/>
  <c r="G1121" i="42"/>
  <c r="F1121" i="42"/>
  <c r="G1120" i="42"/>
  <c r="F1120" i="42"/>
  <c r="G1119" i="42"/>
  <c r="F1119" i="42"/>
  <c r="G1118" i="42"/>
  <c r="F1118" i="42"/>
  <c r="G1117" i="42"/>
  <c r="F1117" i="42"/>
  <c r="G1116" i="42"/>
  <c r="F1116" i="42"/>
  <c r="G1115" i="42"/>
  <c r="F1115" i="42"/>
  <c r="G1114" i="42"/>
  <c r="F1114" i="42"/>
  <c r="G1113" i="42"/>
  <c r="F1113" i="42"/>
  <c r="G1112" i="42"/>
  <c r="F1112" i="42"/>
  <c r="G1111" i="42"/>
  <c r="F1111" i="42"/>
  <c r="G1110" i="42"/>
  <c r="F1110" i="42"/>
  <c r="G1109" i="42"/>
  <c r="F1109" i="42"/>
  <c r="G1108" i="42"/>
  <c r="F1108" i="42"/>
  <c r="G1107" i="42"/>
  <c r="F1107" i="42"/>
  <c r="G1106" i="42"/>
  <c r="F1106" i="42"/>
  <c r="G1105" i="42"/>
  <c r="F1105" i="42"/>
  <c r="G1104" i="42"/>
  <c r="F1104" i="42"/>
  <c r="G1103" i="42"/>
  <c r="F1103" i="42"/>
  <c r="G1102" i="42"/>
  <c r="G1101" i="42"/>
  <c r="F1101" i="42"/>
  <c r="G1100" i="42"/>
  <c r="F1100" i="42"/>
  <c r="G1099" i="42"/>
  <c r="F1099" i="42"/>
  <c r="G1098" i="42"/>
  <c r="F1098" i="42"/>
  <c r="G1097" i="42"/>
  <c r="F1097" i="42"/>
  <c r="G1096" i="42"/>
  <c r="F1096" i="42"/>
  <c r="G1095" i="42"/>
  <c r="F1095" i="42"/>
  <c r="G1094" i="42"/>
  <c r="F1094" i="42"/>
  <c r="G1093" i="42"/>
  <c r="F1093" i="42"/>
  <c r="G1092" i="42"/>
  <c r="F1092" i="42"/>
  <c r="G1091" i="42"/>
  <c r="F1091" i="42"/>
  <c r="G1090" i="42"/>
  <c r="F1090" i="42"/>
  <c r="G1089" i="42"/>
  <c r="F1089" i="42"/>
  <c r="G1088" i="42"/>
  <c r="F1088" i="42"/>
  <c r="G1087" i="42"/>
  <c r="F1087" i="42"/>
  <c r="G1086" i="42"/>
  <c r="F1086" i="42"/>
  <c r="G1085" i="42"/>
  <c r="F1085" i="42"/>
  <c r="G1084" i="42"/>
  <c r="F1084" i="42"/>
  <c r="G1083" i="42"/>
  <c r="F1083" i="42"/>
  <c r="G1082" i="42"/>
  <c r="F1082" i="42"/>
  <c r="G1081" i="42"/>
  <c r="F1081" i="42"/>
  <c r="G1080" i="42"/>
  <c r="F1080" i="42"/>
  <c r="G1079" i="42"/>
  <c r="F1079" i="42"/>
  <c r="G1078" i="42"/>
  <c r="F1078" i="42"/>
  <c r="G1077" i="42"/>
  <c r="F1077" i="42"/>
  <c r="G1076" i="42"/>
  <c r="F1076" i="42"/>
  <c r="G1075" i="42"/>
  <c r="F1075" i="42"/>
  <c r="G1074" i="42"/>
  <c r="F1074" i="42"/>
  <c r="G1073" i="42"/>
  <c r="F1073" i="42"/>
  <c r="G1072" i="42"/>
  <c r="F1072" i="42"/>
  <c r="G1071" i="42"/>
  <c r="F1071" i="42"/>
  <c r="G1070" i="42"/>
  <c r="F1070" i="42"/>
  <c r="G1069" i="42"/>
  <c r="F1069" i="42"/>
  <c r="G1068" i="42"/>
  <c r="F1068" i="42"/>
  <c r="G1067" i="42"/>
  <c r="F1067" i="42"/>
  <c r="G1066" i="42"/>
  <c r="F1066" i="42"/>
  <c r="G1065" i="42"/>
  <c r="F1065" i="42"/>
  <c r="G1064" i="42"/>
  <c r="F1064" i="42"/>
  <c r="G1063" i="42"/>
  <c r="F1063" i="42"/>
  <c r="G1062" i="42"/>
  <c r="F1062" i="42"/>
  <c r="G1061" i="42"/>
  <c r="F1061" i="42"/>
  <c r="G1060" i="42"/>
  <c r="F1060" i="42"/>
  <c r="G1059" i="42"/>
  <c r="F1059" i="42"/>
  <c r="G1058" i="42"/>
  <c r="F1058" i="42"/>
  <c r="G1057" i="42"/>
  <c r="F1057" i="42"/>
  <c r="G1056" i="42"/>
  <c r="F1056" i="42"/>
  <c r="G1055" i="42"/>
  <c r="F1055" i="42"/>
  <c r="G1054" i="42"/>
  <c r="F1054" i="42"/>
  <c r="G1053" i="42"/>
  <c r="F1053" i="42"/>
  <c r="G1052" i="42"/>
  <c r="F1052" i="42"/>
  <c r="G1051" i="42"/>
  <c r="F1051" i="42"/>
  <c r="G1050" i="42"/>
  <c r="F1050" i="42"/>
  <c r="G1049" i="42"/>
  <c r="F1049" i="42"/>
  <c r="G1048" i="42"/>
  <c r="F1048" i="42"/>
  <c r="G1047" i="42"/>
  <c r="F1047" i="42"/>
  <c r="G1046" i="42"/>
  <c r="F1046" i="42"/>
  <c r="G1045" i="42"/>
  <c r="F1045" i="42"/>
  <c r="G1044" i="42"/>
  <c r="F1044" i="42"/>
  <c r="G1043" i="42"/>
  <c r="F1043" i="42"/>
  <c r="G1042" i="42"/>
  <c r="F1042" i="42"/>
  <c r="G1041" i="42"/>
  <c r="F1041" i="42"/>
  <c r="G1040" i="42"/>
  <c r="F1040" i="42"/>
  <c r="G1039" i="42"/>
  <c r="F1039" i="42"/>
  <c r="G1038" i="42"/>
  <c r="F1038" i="42"/>
  <c r="G1037" i="42"/>
  <c r="F1037" i="42"/>
  <c r="G1036" i="42"/>
  <c r="F1036" i="42"/>
  <c r="G1035" i="42"/>
  <c r="F1035" i="42"/>
  <c r="G1034" i="42"/>
  <c r="F1034" i="42"/>
  <c r="G1033" i="42"/>
  <c r="F1033" i="42"/>
  <c r="G1032" i="42"/>
  <c r="F1032" i="42"/>
  <c r="G1031" i="42"/>
  <c r="F1031" i="42"/>
  <c r="G1030" i="42"/>
  <c r="F1030" i="42"/>
  <c r="G1029" i="42"/>
  <c r="F1029" i="42"/>
  <c r="G1028" i="42"/>
  <c r="F1028" i="42"/>
  <c r="G1027" i="42"/>
  <c r="F1027" i="42"/>
  <c r="G1026" i="42"/>
  <c r="F1026" i="42"/>
  <c r="G1025" i="42"/>
  <c r="F1025" i="42"/>
  <c r="G1024" i="42"/>
  <c r="F1024" i="42"/>
  <c r="G1023" i="42"/>
  <c r="F1023" i="42"/>
  <c r="G1022" i="42"/>
  <c r="F1022" i="42"/>
  <c r="G1021" i="42"/>
  <c r="F1021" i="42"/>
  <c r="G1020" i="42"/>
  <c r="F1020" i="42"/>
  <c r="G1019" i="42"/>
  <c r="F1019" i="42"/>
  <c r="G1018" i="42"/>
  <c r="F1018" i="42"/>
  <c r="G1017" i="42"/>
  <c r="F1017" i="42"/>
  <c r="G1016" i="42"/>
  <c r="F1016" i="42"/>
  <c r="G1015" i="42"/>
  <c r="F1015" i="42"/>
  <c r="G1014" i="42"/>
  <c r="F1014" i="42"/>
  <c r="G1013" i="42"/>
  <c r="F1013" i="42"/>
  <c r="G1012" i="42"/>
  <c r="F1012" i="42"/>
  <c r="G1011" i="42"/>
  <c r="F1011" i="42"/>
  <c r="G1010" i="42"/>
  <c r="F1010" i="42"/>
  <c r="G1009" i="42"/>
  <c r="F1009" i="42"/>
  <c r="G1008" i="42"/>
  <c r="F1008" i="42"/>
  <c r="G1007" i="42"/>
  <c r="F1007" i="42"/>
  <c r="G1006" i="42"/>
  <c r="F1006" i="42"/>
  <c r="G1005" i="42"/>
  <c r="F1005" i="42"/>
  <c r="G1004" i="42"/>
  <c r="G1003" i="42"/>
  <c r="F1003" i="42"/>
  <c r="G1002" i="42"/>
  <c r="F1002" i="42"/>
  <c r="G1001" i="42"/>
  <c r="F1001" i="42"/>
  <c r="G1000" i="42"/>
  <c r="F1000" i="42"/>
  <c r="G999" i="42"/>
  <c r="F999" i="42"/>
  <c r="G998" i="42"/>
  <c r="F998" i="42"/>
  <c r="G997" i="42"/>
  <c r="F997" i="42"/>
  <c r="G996" i="42"/>
  <c r="F996" i="42"/>
  <c r="G995" i="42"/>
  <c r="F995" i="42"/>
  <c r="G994" i="42"/>
  <c r="F994" i="42"/>
  <c r="G993" i="42"/>
  <c r="F993" i="42"/>
  <c r="G992" i="42"/>
  <c r="F992" i="42"/>
  <c r="G991" i="42"/>
  <c r="F991" i="42"/>
  <c r="G990" i="42"/>
  <c r="F990" i="42"/>
  <c r="G989" i="42"/>
  <c r="F989" i="42"/>
  <c r="G988" i="42"/>
  <c r="F988" i="42"/>
  <c r="G987" i="42"/>
  <c r="G986" i="42"/>
  <c r="G985" i="42"/>
  <c r="G984" i="42"/>
  <c r="G983" i="42"/>
  <c r="G982" i="42"/>
  <c r="G981" i="42"/>
  <c r="G980" i="42"/>
  <c r="G979" i="42"/>
  <c r="G978" i="42"/>
  <c r="G977" i="42"/>
  <c r="G976" i="42"/>
  <c r="G975" i="42"/>
  <c r="G974" i="42"/>
  <c r="G973" i="42"/>
  <c r="G972" i="42"/>
  <c r="G971" i="42"/>
  <c r="G970" i="42"/>
  <c r="G969" i="42"/>
  <c r="G968" i="42"/>
  <c r="G967" i="42"/>
  <c r="G966" i="42"/>
  <c r="F966" i="42"/>
  <c r="G965" i="42"/>
  <c r="F965" i="42"/>
  <c r="G964" i="42"/>
  <c r="F964" i="42"/>
  <c r="G963" i="42"/>
  <c r="F963" i="42"/>
  <c r="G962" i="42"/>
  <c r="F962" i="42"/>
  <c r="G961" i="42"/>
  <c r="F961" i="42"/>
  <c r="G960" i="42"/>
  <c r="F960" i="42"/>
  <c r="G959" i="42"/>
  <c r="F959" i="42"/>
  <c r="G958" i="42"/>
  <c r="F958" i="42"/>
  <c r="G957" i="42"/>
  <c r="F957" i="42"/>
  <c r="G956" i="42"/>
  <c r="F956" i="42"/>
  <c r="G955" i="42"/>
  <c r="F955" i="42"/>
  <c r="G954" i="42"/>
  <c r="F954" i="42"/>
  <c r="G953" i="42"/>
  <c r="F953" i="42"/>
  <c r="G952" i="42"/>
  <c r="F952" i="42"/>
  <c r="G951" i="42"/>
  <c r="F951" i="42"/>
  <c r="G950" i="42"/>
  <c r="F950" i="42"/>
  <c r="G949" i="42"/>
  <c r="F949" i="42"/>
  <c r="G948" i="42"/>
  <c r="F948" i="42"/>
  <c r="G947" i="42"/>
  <c r="F947" i="42"/>
  <c r="G946" i="42"/>
  <c r="F946" i="42"/>
  <c r="G945" i="42"/>
  <c r="F945" i="42"/>
  <c r="G944" i="42"/>
  <c r="F944" i="42"/>
  <c r="G943" i="42"/>
  <c r="F943" i="42"/>
  <c r="G942" i="42"/>
  <c r="F942" i="42"/>
  <c r="G941" i="42"/>
  <c r="F941" i="42"/>
  <c r="G940" i="42"/>
  <c r="F940" i="42"/>
  <c r="G939" i="42"/>
  <c r="F939" i="42"/>
  <c r="G938" i="42"/>
  <c r="F938" i="42"/>
  <c r="G937" i="42"/>
  <c r="F937" i="42"/>
  <c r="G936" i="42"/>
  <c r="F936" i="42"/>
  <c r="G935" i="42"/>
  <c r="F935" i="42"/>
  <c r="G934" i="42"/>
  <c r="F934" i="42"/>
  <c r="G933" i="42"/>
  <c r="F933" i="42"/>
  <c r="G932" i="42"/>
  <c r="F932" i="42"/>
  <c r="G931" i="42"/>
  <c r="F931" i="42"/>
  <c r="G930" i="42"/>
  <c r="F930" i="42"/>
  <c r="G929" i="42"/>
  <c r="F929" i="42"/>
  <c r="G928" i="42"/>
  <c r="F928" i="42"/>
  <c r="G927" i="42"/>
  <c r="F927" i="42"/>
  <c r="G926" i="42"/>
  <c r="F926" i="42"/>
  <c r="G925" i="42"/>
  <c r="F925" i="42"/>
  <c r="G924" i="42"/>
  <c r="F924" i="42"/>
  <c r="G923" i="42"/>
  <c r="F923" i="42"/>
  <c r="G922" i="42"/>
  <c r="F922" i="42"/>
  <c r="G921" i="42"/>
  <c r="F921" i="42"/>
  <c r="G920" i="42"/>
  <c r="F920" i="42"/>
  <c r="G919" i="42"/>
  <c r="F919" i="42"/>
  <c r="G918" i="42"/>
  <c r="F918" i="42"/>
  <c r="G917" i="42"/>
  <c r="F917" i="42"/>
  <c r="G916" i="42"/>
  <c r="F916" i="42"/>
  <c r="G915" i="42"/>
  <c r="F915" i="42"/>
  <c r="G914" i="42"/>
  <c r="F914" i="42"/>
  <c r="G913" i="42"/>
  <c r="F913" i="42"/>
  <c r="G912" i="42"/>
  <c r="F912" i="42"/>
  <c r="G911" i="42"/>
  <c r="F911" i="42"/>
  <c r="G910" i="42"/>
  <c r="F910" i="42"/>
  <c r="G909" i="42"/>
  <c r="F909" i="42"/>
  <c r="G908" i="42"/>
  <c r="F908" i="42"/>
  <c r="G907" i="42"/>
  <c r="F907" i="42"/>
  <c r="G906" i="42"/>
  <c r="F906" i="42"/>
  <c r="G905" i="42"/>
  <c r="F905" i="42"/>
  <c r="G904" i="42"/>
  <c r="F904" i="42"/>
  <c r="G903" i="42"/>
  <c r="F903" i="42"/>
  <c r="G902" i="42"/>
  <c r="F902" i="42"/>
  <c r="G901" i="42"/>
  <c r="F901" i="42"/>
  <c r="G900" i="42"/>
  <c r="F900" i="42"/>
  <c r="G899" i="42"/>
  <c r="F899" i="42"/>
  <c r="G898" i="42"/>
  <c r="F898" i="42"/>
  <c r="G897" i="42"/>
  <c r="F897" i="42"/>
  <c r="G896" i="42"/>
  <c r="F896" i="42"/>
  <c r="G895" i="42"/>
  <c r="F895" i="42"/>
  <c r="G894" i="42"/>
  <c r="F894" i="42"/>
  <c r="G893" i="42"/>
  <c r="F893" i="42"/>
  <c r="G892" i="42"/>
  <c r="F892" i="42"/>
  <c r="G891" i="42"/>
  <c r="F891" i="42"/>
  <c r="G890" i="42"/>
  <c r="F890" i="42"/>
  <c r="G889" i="42"/>
  <c r="F889" i="42"/>
  <c r="G888" i="42"/>
  <c r="F888" i="42"/>
  <c r="G887" i="42"/>
  <c r="F887" i="42"/>
  <c r="G886" i="42"/>
  <c r="F886" i="42"/>
  <c r="G885" i="42"/>
  <c r="F885" i="42"/>
  <c r="G884" i="42"/>
  <c r="F884" i="42"/>
  <c r="G883" i="42"/>
  <c r="F883" i="42"/>
  <c r="G882" i="42"/>
  <c r="F882" i="42"/>
  <c r="G881" i="42"/>
  <c r="F881" i="42"/>
  <c r="G880" i="42"/>
  <c r="F880" i="42"/>
  <c r="G879" i="42"/>
  <c r="F879" i="42"/>
  <c r="G878" i="42"/>
  <c r="F878" i="42"/>
  <c r="G877" i="42"/>
  <c r="F877" i="42"/>
  <c r="G876" i="42"/>
  <c r="F876" i="42"/>
  <c r="G875" i="42"/>
  <c r="F875" i="42"/>
  <c r="G874" i="42"/>
  <c r="F874" i="42"/>
  <c r="G873" i="42"/>
  <c r="F873" i="42"/>
  <c r="G872" i="42"/>
  <c r="F872" i="42"/>
  <c r="G871" i="42"/>
  <c r="F871" i="42"/>
  <c r="G870" i="42"/>
  <c r="F870" i="42"/>
  <c r="G869" i="42"/>
  <c r="F869" i="42"/>
  <c r="G868" i="42"/>
  <c r="F868" i="42"/>
  <c r="G867" i="42"/>
  <c r="F867" i="42"/>
  <c r="G866" i="42"/>
  <c r="F866" i="42"/>
  <c r="G865" i="42"/>
  <c r="F865" i="42"/>
  <c r="G864" i="42"/>
  <c r="F864" i="42"/>
  <c r="G863" i="42"/>
  <c r="F863" i="42"/>
  <c r="G862" i="42"/>
  <c r="F862" i="42"/>
  <c r="G861" i="42"/>
  <c r="F861" i="42"/>
  <c r="G860" i="42"/>
  <c r="F860" i="42"/>
  <c r="G859" i="42"/>
  <c r="F859" i="42"/>
  <c r="G858" i="42"/>
  <c r="F858" i="42"/>
  <c r="G857" i="42"/>
  <c r="F857" i="42"/>
  <c r="G856" i="42"/>
  <c r="F856" i="42"/>
  <c r="G855" i="42"/>
  <c r="F855" i="42"/>
  <c r="G854" i="42"/>
  <c r="F854" i="42"/>
  <c r="G853" i="42"/>
  <c r="F853" i="42"/>
  <c r="G852" i="42"/>
  <c r="F852" i="42"/>
  <c r="G851" i="42"/>
  <c r="F851" i="42"/>
  <c r="G850" i="42"/>
  <c r="F850" i="42"/>
  <c r="G849" i="42"/>
  <c r="F849" i="42"/>
  <c r="G848" i="42"/>
  <c r="F848" i="42"/>
  <c r="G847" i="42"/>
  <c r="F847" i="42"/>
  <c r="G846" i="42"/>
  <c r="F846" i="42"/>
  <c r="G845" i="42"/>
  <c r="F845" i="42"/>
  <c r="G844" i="42"/>
  <c r="F844" i="42"/>
  <c r="G843" i="42"/>
  <c r="F843" i="42"/>
  <c r="G842" i="42"/>
  <c r="F842" i="42"/>
  <c r="G841" i="42"/>
  <c r="F841" i="42"/>
  <c r="G840" i="42"/>
  <c r="F840" i="42"/>
  <c r="G839" i="42"/>
  <c r="F839" i="42"/>
  <c r="G838" i="42"/>
  <c r="F838" i="42"/>
  <c r="G837" i="42"/>
  <c r="F837" i="42"/>
  <c r="G836" i="42"/>
  <c r="F836" i="42"/>
  <c r="G835" i="42"/>
  <c r="F835" i="42"/>
  <c r="G834" i="42"/>
  <c r="F834" i="42"/>
  <c r="G833" i="42"/>
  <c r="F833" i="42"/>
  <c r="G832" i="42"/>
  <c r="F832" i="42"/>
  <c r="G831" i="42"/>
  <c r="F831" i="42"/>
  <c r="G830" i="42"/>
  <c r="F830" i="42"/>
  <c r="G829" i="42"/>
  <c r="F829" i="42"/>
  <c r="G828" i="42"/>
  <c r="F828" i="42"/>
  <c r="G827" i="42"/>
  <c r="F827" i="42"/>
  <c r="G826" i="42"/>
  <c r="F826" i="42"/>
  <c r="G825" i="42"/>
  <c r="F825" i="42"/>
  <c r="G824" i="42"/>
  <c r="F824" i="42"/>
  <c r="G823" i="42"/>
  <c r="F823" i="42"/>
  <c r="G822" i="42"/>
  <c r="F822" i="42"/>
  <c r="G821" i="42"/>
  <c r="F821" i="42"/>
  <c r="G820" i="42"/>
  <c r="F820" i="42"/>
  <c r="G819" i="42"/>
  <c r="F819" i="42"/>
  <c r="G818" i="42"/>
  <c r="F818" i="42"/>
  <c r="G817" i="42"/>
  <c r="F817" i="42"/>
  <c r="G816" i="42"/>
  <c r="F816" i="42"/>
  <c r="G815" i="42"/>
  <c r="F815" i="42"/>
  <c r="G814" i="42"/>
  <c r="F814" i="42"/>
  <c r="G813" i="42"/>
  <c r="F813" i="42"/>
  <c r="G812" i="42"/>
  <c r="F812" i="42"/>
  <c r="G811" i="42"/>
  <c r="F811" i="42"/>
  <c r="G810" i="42"/>
  <c r="F810" i="42"/>
  <c r="G809" i="42"/>
  <c r="F809" i="42"/>
  <c r="G808" i="42"/>
  <c r="F808" i="42"/>
  <c r="G807" i="42"/>
  <c r="F807" i="42"/>
  <c r="G806" i="42"/>
  <c r="F806" i="42"/>
  <c r="G805" i="42"/>
  <c r="F805" i="42"/>
  <c r="G804" i="42"/>
  <c r="F804" i="42"/>
  <c r="G803" i="42"/>
  <c r="F803" i="42"/>
  <c r="G802" i="42"/>
  <c r="F802" i="42"/>
  <c r="G801" i="42"/>
  <c r="F801" i="42"/>
  <c r="G800" i="42"/>
  <c r="F800" i="42"/>
  <c r="G799" i="42"/>
  <c r="F799" i="42"/>
  <c r="G798" i="42"/>
  <c r="F798" i="42"/>
  <c r="G797" i="42"/>
  <c r="F797" i="42"/>
  <c r="G796" i="42"/>
  <c r="F796" i="42"/>
  <c r="G795" i="42"/>
  <c r="F795" i="42"/>
  <c r="G794" i="42"/>
  <c r="F794" i="42"/>
  <c r="G793" i="42"/>
  <c r="F793" i="42"/>
  <c r="G792" i="42"/>
  <c r="F792" i="42"/>
  <c r="G791" i="42"/>
  <c r="F791" i="42"/>
  <c r="G790" i="42"/>
  <c r="F790" i="42"/>
  <c r="G789" i="42"/>
  <c r="F789" i="42"/>
  <c r="G788" i="42"/>
  <c r="F788" i="42"/>
  <c r="G787" i="42"/>
  <c r="F787" i="42"/>
  <c r="G786" i="42"/>
  <c r="F786" i="42"/>
  <c r="G785" i="42"/>
  <c r="F785" i="42"/>
  <c r="G784" i="42"/>
  <c r="F784" i="42"/>
  <c r="G783" i="42"/>
  <c r="F783" i="42"/>
  <c r="G782" i="42"/>
  <c r="F782" i="42"/>
  <c r="G781" i="42"/>
  <c r="F781" i="42"/>
  <c r="G780" i="42"/>
  <c r="F780" i="42"/>
  <c r="G779" i="42"/>
  <c r="F779" i="42"/>
  <c r="G778" i="42"/>
  <c r="F778" i="42"/>
  <c r="G777" i="42"/>
  <c r="F777" i="42"/>
  <c r="G776" i="42"/>
  <c r="F776" i="42"/>
  <c r="G775" i="42"/>
  <c r="F775" i="42"/>
  <c r="G774" i="42"/>
  <c r="F774" i="42"/>
  <c r="G773" i="42"/>
  <c r="F773" i="42"/>
  <c r="G772" i="42"/>
  <c r="F772" i="42"/>
  <c r="G771" i="42"/>
  <c r="G770" i="42"/>
  <c r="F770" i="42"/>
  <c r="G769" i="42"/>
  <c r="F769" i="42"/>
  <c r="G768" i="42"/>
  <c r="F768" i="42"/>
  <c r="G767" i="42"/>
  <c r="F767" i="42"/>
  <c r="G766" i="42"/>
  <c r="F766" i="42"/>
  <c r="G765" i="42"/>
  <c r="F765" i="42"/>
  <c r="G764" i="42"/>
  <c r="F764" i="42"/>
  <c r="G763" i="42"/>
  <c r="F763" i="42"/>
  <c r="G762" i="42"/>
  <c r="F762" i="42"/>
  <c r="G761" i="42"/>
  <c r="F761" i="42"/>
  <c r="G760" i="42"/>
  <c r="F760" i="42"/>
  <c r="G759" i="42"/>
  <c r="F759" i="42"/>
  <c r="G758" i="42"/>
  <c r="F758" i="42"/>
  <c r="G757" i="42"/>
  <c r="F757" i="42"/>
  <c r="G756" i="42"/>
  <c r="F756" i="42"/>
  <c r="G755" i="42"/>
  <c r="F755" i="42"/>
  <c r="G754" i="42"/>
  <c r="F754" i="42"/>
  <c r="G753" i="42"/>
  <c r="F753" i="42"/>
  <c r="G752" i="42"/>
  <c r="F752" i="42"/>
  <c r="G751" i="42"/>
  <c r="F751" i="42"/>
  <c r="G750" i="42"/>
  <c r="F750" i="42"/>
  <c r="G749" i="42"/>
  <c r="F749" i="42"/>
  <c r="G748" i="42"/>
  <c r="F748" i="42"/>
  <c r="G747" i="42"/>
  <c r="F747" i="42"/>
  <c r="G746" i="42"/>
  <c r="F746" i="42"/>
  <c r="G745" i="42"/>
  <c r="F745" i="42"/>
  <c r="G744" i="42"/>
  <c r="F744" i="42"/>
  <c r="G743" i="42"/>
  <c r="F743" i="42"/>
  <c r="G742" i="42"/>
  <c r="F742" i="42"/>
  <c r="G741" i="42"/>
  <c r="F741" i="42"/>
  <c r="G740" i="42"/>
  <c r="F740" i="42"/>
  <c r="G739" i="42"/>
  <c r="F739" i="42"/>
  <c r="G738" i="42"/>
  <c r="F738" i="42"/>
  <c r="G737" i="42"/>
  <c r="F737" i="42"/>
  <c r="G736" i="42"/>
  <c r="F736" i="42"/>
  <c r="G735" i="42"/>
  <c r="F735" i="42"/>
  <c r="G734" i="42"/>
  <c r="F734" i="42"/>
  <c r="G733" i="42"/>
  <c r="F733" i="42"/>
  <c r="G732" i="42"/>
  <c r="F732" i="42"/>
  <c r="G731" i="42"/>
  <c r="F731" i="42"/>
  <c r="G730" i="42"/>
  <c r="F730" i="42"/>
  <c r="G729" i="42"/>
  <c r="F729" i="42"/>
  <c r="G728" i="42"/>
  <c r="F728" i="42"/>
  <c r="G727" i="42"/>
  <c r="F727" i="42"/>
  <c r="G726" i="42"/>
  <c r="F726" i="42"/>
  <c r="G725" i="42"/>
  <c r="F725" i="42"/>
  <c r="G724" i="42"/>
  <c r="F724" i="42"/>
  <c r="G723" i="42"/>
  <c r="F723" i="42"/>
  <c r="G722" i="42"/>
  <c r="F722" i="42"/>
  <c r="G721" i="42"/>
  <c r="F721" i="42"/>
  <c r="G720" i="42"/>
  <c r="F720" i="42"/>
  <c r="G719" i="42"/>
  <c r="F719" i="42"/>
  <c r="G718" i="42"/>
  <c r="F718" i="42"/>
  <c r="G717" i="42"/>
  <c r="F717" i="42"/>
  <c r="G716" i="42"/>
  <c r="F716" i="42"/>
  <c r="G715" i="42"/>
  <c r="F715" i="42"/>
  <c r="G714" i="42"/>
  <c r="F714" i="42"/>
  <c r="G713" i="42"/>
  <c r="F713" i="42"/>
  <c r="G712" i="42"/>
  <c r="F712" i="42"/>
  <c r="G711" i="42"/>
  <c r="F711" i="42"/>
  <c r="G710" i="42"/>
  <c r="F710" i="42"/>
  <c r="G709" i="42"/>
  <c r="F709" i="42"/>
  <c r="G708" i="42"/>
  <c r="F708" i="42"/>
  <c r="G707" i="42"/>
  <c r="F707" i="42"/>
  <c r="G706" i="42"/>
  <c r="F706" i="42"/>
  <c r="G705" i="42"/>
  <c r="F705" i="42"/>
  <c r="G704" i="42"/>
  <c r="F704" i="42"/>
  <c r="G703" i="42"/>
  <c r="F703" i="42"/>
  <c r="G702" i="42"/>
  <c r="F702" i="42"/>
  <c r="G701" i="42"/>
  <c r="F701" i="42"/>
  <c r="G700" i="42"/>
  <c r="F700" i="42"/>
  <c r="G699" i="42"/>
  <c r="F699" i="42"/>
  <c r="G698" i="42"/>
  <c r="F698" i="42"/>
  <c r="G697" i="42"/>
  <c r="F697" i="42"/>
  <c r="G696" i="42"/>
  <c r="G695" i="42"/>
  <c r="G694" i="42"/>
  <c r="F694" i="42"/>
  <c r="G693" i="42"/>
  <c r="F693" i="42"/>
  <c r="G692" i="42"/>
  <c r="F692" i="42"/>
  <c r="G691" i="42"/>
  <c r="G690" i="42"/>
  <c r="G689" i="42"/>
  <c r="F689" i="42"/>
  <c r="G688" i="42"/>
  <c r="F688" i="42"/>
  <c r="G687" i="42"/>
  <c r="F687" i="42"/>
  <c r="G686" i="42"/>
  <c r="F686" i="42"/>
  <c r="G685" i="42"/>
  <c r="F685" i="42"/>
  <c r="G684" i="42"/>
  <c r="G683" i="42"/>
  <c r="F683" i="42"/>
  <c r="G682" i="42"/>
  <c r="F682" i="42"/>
  <c r="G681" i="42"/>
  <c r="G680" i="42"/>
  <c r="G679" i="42"/>
  <c r="F679" i="42"/>
  <c r="G678" i="42"/>
  <c r="F678" i="42"/>
  <c r="G677" i="42"/>
  <c r="F677" i="42"/>
  <c r="G676" i="42"/>
  <c r="F676" i="42"/>
  <c r="G675" i="42"/>
  <c r="F675" i="42"/>
  <c r="G674" i="42"/>
  <c r="F674" i="42"/>
  <c r="G673" i="42"/>
  <c r="F673" i="42"/>
  <c r="G672" i="42"/>
  <c r="F672" i="42"/>
  <c r="G671" i="42"/>
  <c r="F671" i="42"/>
  <c r="G670" i="42"/>
  <c r="F670" i="42"/>
  <c r="G669" i="42"/>
  <c r="F669" i="42"/>
  <c r="G668" i="42"/>
  <c r="F668" i="42"/>
  <c r="G667" i="42"/>
  <c r="F667" i="42"/>
  <c r="G666" i="42"/>
  <c r="F666" i="42"/>
  <c r="G665" i="42"/>
  <c r="F665" i="42"/>
  <c r="G664" i="42"/>
  <c r="F664" i="42"/>
  <c r="G663" i="42"/>
  <c r="F663" i="42"/>
  <c r="G662" i="42"/>
  <c r="F662" i="42"/>
  <c r="G661" i="42"/>
  <c r="F661" i="42"/>
  <c r="G660" i="42"/>
  <c r="F660" i="42"/>
  <c r="G659" i="42"/>
  <c r="F659" i="42"/>
  <c r="G658" i="42"/>
  <c r="F658" i="42"/>
  <c r="G657" i="42"/>
  <c r="F657" i="42"/>
  <c r="G656" i="42"/>
  <c r="F656" i="42"/>
  <c r="G655" i="42"/>
  <c r="F655" i="42"/>
  <c r="G654" i="42"/>
  <c r="F654" i="42"/>
  <c r="G653" i="42"/>
  <c r="F653" i="42"/>
  <c r="G652" i="42"/>
  <c r="F652" i="42"/>
  <c r="G651" i="42"/>
  <c r="F651" i="42"/>
  <c r="G650" i="42"/>
  <c r="F650" i="42"/>
  <c r="G649" i="42"/>
  <c r="F649" i="42"/>
  <c r="G648" i="42"/>
  <c r="F648" i="42"/>
  <c r="G647" i="42"/>
  <c r="F647" i="42"/>
  <c r="G646" i="42"/>
  <c r="F646" i="42"/>
  <c r="G645" i="42"/>
  <c r="F645" i="42"/>
  <c r="G644" i="42"/>
  <c r="F644" i="42"/>
  <c r="G643" i="42"/>
  <c r="F643" i="42"/>
  <c r="G642" i="42"/>
  <c r="F642" i="42"/>
  <c r="G641" i="42"/>
  <c r="F641" i="42"/>
  <c r="G640" i="42"/>
  <c r="F640" i="42"/>
  <c r="G639" i="42"/>
  <c r="F639" i="42"/>
  <c r="G638" i="42"/>
  <c r="F638" i="42"/>
  <c r="G637" i="42"/>
  <c r="F637" i="42"/>
  <c r="G636" i="42"/>
  <c r="F636" i="42"/>
  <c r="G635" i="42"/>
  <c r="F635" i="42"/>
  <c r="G634" i="42"/>
  <c r="F634" i="42"/>
  <c r="G633" i="42"/>
  <c r="F633" i="42"/>
  <c r="G632" i="42"/>
  <c r="F632" i="42"/>
  <c r="G631" i="42"/>
  <c r="F631" i="42"/>
  <c r="G630" i="42"/>
  <c r="F630" i="42"/>
  <c r="G629" i="42"/>
  <c r="F629" i="42"/>
  <c r="G628" i="42"/>
  <c r="F628" i="42"/>
  <c r="G627" i="42"/>
  <c r="F627" i="42"/>
  <c r="G626" i="42"/>
  <c r="F626" i="42"/>
  <c r="G625" i="42"/>
  <c r="F625" i="42"/>
  <c r="G624" i="42"/>
  <c r="F624" i="42"/>
  <c r="G623" i="42"/>
  <c r="F623" i="42"/>
  <c r="G622" i="42"/>
  <c r="F622" i="42"/>
  <c r="G621" i="42"/>
  <c r="F621" i="42"/>
  <c r="G620" i="42"/>
  <c r="F620" i="42"/>
  <c r="G619" i="42"/>
  <c r="F619" i="42"/>
  <c r="G618" i="42"/>
  <c r="F618" i="42"/>
  <c r="G617" i="42"/>
  <c r="F617" i="42"/>
  <c r="G616" i="42"/>
  <c r="F616" i="42"/>
  <c r="G615" i="42"/>
  <c r="F615" i="42"/>
  <c r="G614" i="42"/>
  <c r="F614" i="42"/>
  <c r="G613" i="42"/>
  <c r="F613" i="42"/>
  <c r="G612" i="42"/>
  <c r="F612" i="42"/>
  <c r="G611" i="42"/>
  <c r="F611" i="42"/>
  <c r="G610" i="42"/>
  <c r="F610" i="42"/>
  <c r="G609" i="42"/>
  <c r="F609" i="42"/>
  <c r="G608" i="42"/>
  <c r="F608" i="42"/>
  <c r="G607" i="42"/>
  <c r="F607" i="42"/>
  <c r="G606" i="42"/>
  <c r="F606" i="42"/>
  <c r="G605" i="42"/>
  <c r="F605" i="42"/>
  <c r="G604" i="42"/>
  <c r="F604" i="42"/>
  <c r="G603" i="42"/>
  <c r="F603" i="42"/>
  <c r="G602" i="42"/>
  <c r="F602" i="42"/>
  <c r="G601" i="42"/>
  <c r="F601" i="42"/>
  <c r="G600" i="42"/>
  <c r="F600" i="42"/>
  <c r="G599" i="42"/>
  <c r="F599" i="42"/>
  <c r="G598" i="42"/>
  <c r="F598" i="42"/>
  <c r="G597" i="42"/>
  <c r="F597" i="42"/>
  <c r="G596" i="42"/>
  <c r="F596" i="42"/>
  <c r="G595" i="42"/>
  <c r="F595" i="42"/>
  <c r="G594" i="42"/>
  <c r="F594" i="42"/>
  <c r="G593" i="42"/>
  <c r="F593" i="42"/>
  <c r="G592" i="42"/>
  <c r="F592" i="42"/>
  <c r="G591" i="42"/>
  <c r="F591" i="42"/>
  <c r="G590" i="42"/>
  <c r="F590" i="42"/>
  <c r="G589" i="42"/>
  <c r="F589" i="42"/>
  <c r="G588" i="42"/>
  <c r="F588" i="42"/>
  <c r="G587" i="42"/>
  <c r="F587" i="42"/>
  <c r="G586" i="42"/>
  <c r="F586" i="42"/>
  <c r="G585" i="42"/>
  <c r="F585" i="42"/>
  <c r="G584" i="42"/>
  <c r="F584" i="42"/>
  <c r="G583" i="42"/>
  <c r="F583" i="42"/>
  <c r="G582" i="42"/>
  <c r="F582" i="42"/>
  <c r="G581" i="42"/>
  <c r="F581" i="42"/>
  <c r="G580" i="42"/>
  <c r="F580" i="42"/>
  <c r="G579" i="42"/>
  <c r="F579" i="42"/>
  <c r="G578" i="42"/>
  <c r="F578" i="42"/>
  <c r="G577" i="42"/>
  <c r="F577" i="42"/>
  <c r="G576" i="42"/>
  <c r="F576" i="42"/>
  <c r="G575" i="42"/>
  <c r="F575" i="42"/>
  <c r="G574" i="42"/>
  <c r="F574" i="42"/>
  <c r="G573" i="42"/>
  <c r="F573" i="42"/>
  <c r="G572" i="42"/>
  <c r="F572" i="42"/>
  <c r="G571" i="42"/>
  <c r="F571" i="42"/>
  <c r="G570" i="42"/>
  <c r="F570" i="42"/>
  <c r="G569" i="42"/>
  <c r="F569" i="42"/>
  <c r="G568" i="42"/>
  <c r="F568" i="42"/>
  <c r="G567" i="42"/>
  <c r="F567" i="42"/>
  <c r="G566" i="42"/>
  <c r="F566" i="42"/>
  <c r="G565" i="42"/>
  <c r="F565" i="42"/>
  <c r="G564" i="42"/>
  <c r="F564" i="42"/>
  <c r="G563" i="42"/>
  <c r="F563" i="42"/>
  <c r="G562" i="42"/>
  <c r="F562" i="42"/>
  <c r="G561" i="42"/>
  <c r="F561" i="42"/>
  <c r="G560" i="42"/>
  <c r="F560" i="42"/>
  <c r="G559" i="42"/>
  <c r="F559" i="42"/>
  <c r="G558" i="42"/>
  <c r="F558" i="42"/>
  <c r="G557" i="42"/>
  <c r="F557" i="42"/>
  <c r="G556" i="42"/>
  <c r="F556" i="42"/>
  <c r="G555" i="42"/>
  <c r="F555" i="42"/>
  <c r="G554" i="42"/>
  <c r="F554" i="42"/>
  <c r="G553" i="42"/>
  <c r="F553" i="42"/>
  <c r="G552" i="42"/>
  <c r="F552" i="42"/>
  <c r="G551" i="42"/>
  <c r="F551" i="42"/>
  <c r="G550" i="42"/>
  <c r="F550" i="42"/>
  <c r="G549" i="42"/>
  <c r="F549" i="42"/>
  <c r="G548" i="42"/>
  <c r="F548" i="42"/>
  <c r="G547" i="42"/>
  <c r="F547" i="42"/>
  <c r="G546" i="42"/>
  <c r="F546" i="42"/>
  <c r="G545" i="42"/>
  <c r="F545" i="42"/>
  <c r="G544" i="42"/>
  <c r="F544" i="42"/>
  <c r="G543" i="42"/>
  <c r="F543" i="42"/>
  <c r="G542" i="42"/>
  <c r="F542" i="42"/>
  <c r="G541" i="42"/>
  <c r="F541" i="42"/>
  <c r="G540" i="42"/>
  <c r="F540" i="42"/>
  <c r="G539" i="42"/>
  <c r="F539" i="42"/>
  <c r="G538" i="42"/>
  <c r="F538" i="42"/>
  <c r="G537" i="42"/>
  <c r="F537" i="42"/>
  <c r="G536" i="42"/>
  <c r="F536" i="42"/>
  <c r="G535" i="42"/>
  <c r="F535" i="42"/>
  <c r="G534" i="42"/>
  <c r="F534" i="42"/>
  <c r="G533" i="42"/>
  <c r="F533" i="42"/>
  <c r="G532" i="42"/>
  <c r="F532" i="42"/>
  <c r="G531" i="42"/>
  <c r="F531" i="42"/>
  <c r="G530" i="42"/>
  <c r="F530" i="42"/>
  <c r="G529" i="42"/>
  <c r="F529" i="42"/>
  <c r="G528" i="42"/>
  <c r="F528" i="42"/>
  <c r="G527" i="42"/>
  <c r="F527" i="42"/>
  <c r="G526" i="42"/>
  <c r="F526" i="42"/>
  <c r="G525" i="42"/>
  <c r="F525" i="42"/>
  <c r="G524" i="42"/>
  <c r="F524" i="42"/>
  <c r="G523" i="42"/>
  <c r="F523" i="42"/>
  <c r="G522" i="42"/>
  <c r="F522" i="42"/>
  <c r="G521" i="42"/>
  <c r="F521" i="42"/>
  <c r="G520" i="42"/>
  <c r="F520" i="42"/>
  <c r="G519" i="42"/>
  <c r="F519" i="42"/>
  <c r="G518" i="42"/>
  <c r="F518" i="42"/>
  <c r="G517" i="42"/>
  <c r="F517" i="42"/>
  <c r="G516" i="42"/>
  <c r="F516" i="42"/>
  <c r="G515" i="42"/>
  <c r="F515" i="42"/>
  <c r="G514" i="42"/>
  <c r="F514" i="42"/>
  <c r="G513" i="42"/>
  <c r="F513" i="42"/>
  <c r="G512" i="42"/>
  <c r="F512" i="42"/>
  <c r="G511" i="42"/>
  <c r="F511" i="42"/>
  <c r="G510" i="42"/>
  <c r="F510" i="42"/>
  <c r="G509" i="42"/>
  <c r="F509" i="42"/>
  <c r="G508" i="42"/>
  <c r="F508" i="42"/>
  <c r="G507" i="42"/>
  <c r="F507" i="42"/>
  <c r="G506" i="42"/>
  <c r="F506" i="42"/>
  <c r="G505" i="42"/>
  <c r="F505" i="42"/>
  <c r="G504" i="42"/>
  <c r="F504" i="42"/>
  <c r="G503" i="42"/>
  <c r="F503" i="42"/>
  <c r="G502" i="42"/>
  <c r="F502" i="42"/>
  <c r="G501" i="42"/>
  <c r="F501" i="42"/>
  <c r="G500" i="42"/>
  <c r="F500" i="42"/>
  <c r="G499" i="42"/>
  <c r="F499" i="42"/>
  <c r="G498" i="42"/>
  <c r="F498" i="42"/>
  <c r="G497" i="42"/>
  <c r="F497" i="42"/>
  <c r="G496" i="42"/>
  <c r="F496" i="42"/>
  <c r="G495" i="42"/>
  <c r="F495" i="42"/>
  <c r="G494" i="42"/>
  <c r="F494" i="42"/>
  <c r="G493" i="42"/>
  <c r="F493" i="42"/>
  <c r="G492" i="42"/>
  <c r="F492" i="42"/>
  <c r="G491" i="42"/>
  <c r="F491" i="42"/>
  <c r="G490" i="42"/>
  <c r="F490" i="42"/>
  <c r="G489" i="42"/>
  <c r="F489" i="42"/>
  <c r="G488" i="42"/>
  <c r="F488" i="42"/>
  <c r="G487" i="42"/>
  <c r="F487" i="42"/>
  <c r="G486" i="42"/>
  <c r="F486" i="42"/>
  <c r="G485" i="42"/>
  <c r="F485" i="42"/>
  <c r="G484" i="42"/>
  <c r="F484" i="42"/>
  <c r="G483" i="42"/>
  <c r="F483" i="42"/>
  <c r="G482" i="42"/>
  <c r="F482" i="42"/>
  <c r="G481" i="42"/>
  <c r="F481" i="42"/>
  <c r="G480" i="42"/>
  <c r="F480" i="42"/>
  <c r="G479" i="42"/>
  <c r="F479" i="42"/>
  <c r="G478" i="42"/>
  <c r="F478" i="42"/>
  <c r="G477" i="42"/>
  <c r="F477" i="42"/>
  <c r="G476" i="42"/>
  <c r="F476" i="42"/>
  <c r="G475" i="42"/>
  <c r="F475" i="42"/>
  <c r="G474" i="42"/>
  <c r="F474" i="42"/>
  <c r="G473" i="42"/>
  <c r="F473" i="42"/>
  <c r="G472" i="42"/>
  <c r="F472" i="42"/>
  <c r="G471" i="42"/>
  <c r="F471" i="42"/>
  <c r="G470" i="42"/>
  <c r="F470" i="42"/>
  <c r="G469" i="42"/>
  <c r="F469" i="42"/>
  <c r="G468" i="42"/>
  <c r="F468" i="42"/>
  <c r="G467" i="42"/>
  <c r="F467" i="42"/>
  <c r="G466" i="42"/>
  <c r="F466" i="42"/>
  <c r="G465" i="42"/>
  <c r="F465" i="42"/>
  <c r="G464" i="42"/>
  <c r="F464" i="42"/>
  <c r="G463" i="42"/>
  <c r="F463" i="42"/>
  <c r="G462" i="42"/>
  <c r="F462" i="42"/>
  <c r="G461" i="42"/>
  <c r="F461" i="42"/>
  <c r="G460" i="42"/>
  <c r="F460" i="42"/>
  <c r="G459" i="42"/>
  <c r="F459" i="42"/>
  <c r="G458" i="42"/>
  <c r="F458" i="42"/>
  <c r="G457" i="42"/>
  <c r="F457" i="42"/>
  <c r="G456" i="42"/>
  <c r="F456" i="42"/>
  <c r="G455" i="42"/>
  <c r="F455" i="42"/>
  <c r="G454" i="42"/>
  <c r="F454" i="42"/>
  <c r="G453" i="42"/>
  <c r="F453" i="42"/>
  <c r="G452" i="42"/>
  <c r="F452" i="42"/>
  <c r="G451" i="42"/>
  <c r="G450" i="42"/>
  <c r="F450" i="42"/>
  <c r="G449" i="42"/>
  <c r="F449" i="42"/>
  <c r="G448" i="42"/>
  <c r="F448" i="42"/>
  <c r="G447" i="42"/>
  <c r="F447" i="42"/>
  <c r="G446" i="42"/>
  <c r="F446" i="42"/>
  <c r="G445" i="42"/>
  <c r="F445" i="42"/>
  <c r="G444" i="42"/>
  <c r="F444" i="42"/>
  <c r="G443" i="42"/>
  <c r="F443" i="42"/>
  <c r="G442" i="42"/>
  <c r="F442" i="42"/>
  <c r="G441" i="42"/>
  <c r="F441" i="42"/>
  <c r="G440" i="42"/>
  <c r="F440" i="42"/>
  <c r="G439" i="42"/>
  <c r="F439" i="42"/>
  <c r="G438" i="42"/>
  <c r="F438" i="42"/>
  <c r="G437" i="42"/>
  <c r="F437" i="42"/>
  <c r="G436" i="42"/>
  <c r="F436" i="42"/>
  <c r="G435" i="42"/>
  <c r="F435" i="42"/>
  <c r="G434" i="42"/>
  <c r="F434" i="42"/>
  <c r="G433" i="42"/>
  <c r="F433" i="42"/>
  <c r="G432" i="42"/>
  <c r="F432" i="42"/>
  <c r="G431" i="42"/>
  <c r="F431" i="42"/>
  <c r="G430" i="42"/>
  <c r="G429" i="42"/>
  <c r="F429" i="42"/>
  <c r="G428" i="42"/>
  <c r="F428" i="42"/>
  <c r="G427" i="42"/>
  <c r="F427" i="42"/>
  <c r="G426" i="42"/>
  <c r="F426" i="42"/>
  <c r="G425" i="42"/>
  <c r="F425" i="42"/>
  <c r="G424" i="42"/>
  <c r="F424" i="42"/>
  <c r="G423" i="42"/>
  <c r="F423" i="42"/>
  <c r="G422" i="42"/>
  <c r="G421" i="42"/>
  <c r="F421" i="42"/>
  <c r="G420" i="42"/>
  <c r="F420" i="42"/>
  <c r="G419" i="42"/>
  <c r="F419" i="42"/>
  <c r="G418" i="42"/>
  <c r="F418" i="42"/>
  <c r="G417" i="42"/>
  <c r="F417" i="42"/>
  <c r="G416" i="42"/>
  <c r="F416" i="42"/>
  <c r="G415" i="42"/>
  <c r="F415" i="42"/>
  <c r="G414" i="42"/>
  <c r="F414" i="42"/>
  <c r="G413" i="42"/>
  <c r="F413" i="42"/>
  <c r="G412" i="42"/>
  <c r="F412" i="42"/>
  <c r="G411" i="42"/>
  <c r="F411" i="42"/>
  <c r="G410" i="42"/>
  <c r="F410" i="42"/>
  <c r="G409" i="42"/>
  <c r="F409" i="42"/>
  <c r="G408" i="42"/>
  <c r="F408" i="42"/>
  <c r="G407" i="42"/>
  <c r="F407" i="42"/>
  <c r="G406" i="42"/>
  <c r="F406" i="42"/>
  <c r="G405" i="42"/>
  <c r="F405" i="42"/>
  <c r="G404" i="42"/>
  <c r="F404" i="42"/>
  <c r="G403" i="42"/>
  <c r="F403" i="42"/>
  <c r="G402" i="42"/>
  <c r="F402" i="42"/>
  <c r="G401" i="42"/>
  <c r="F401" i="42"/>
  <c r="G400" i="42"/>
  <c r="F400" i="42"/>
  <c r="G399" i="42"/>
  <c r="F399" i="42"/>
  <c r="G398" i="42"/>
  <c r="F398" i="42"/>
  <c r="G397" i="42"/>
  <c r="F397" i="42"/>
  <c r="G396" i="42"/>
  <c r="F396" i="42"/>
  <c r="G395" i="42"/>
  <c r="F395" i="42"/>
  <c r="G394" i="42"/>
  <c r="F394" i="42"/>
  <c r="G393" i="42"/>
  <c r="G392" i="42"/>
  <c r="G391" i="42"/>
  <c r="G390" i="42"/>
  <c r="G389" i="42"/>
  <c r="F389" i="42"/>
  <c r="G388" i="42"/>
  <c r="G387" i="42"/>
  <c r="G386" i="42"/>
  <c r="G385" i="42"/>
  <c r="G384" i="42"/>
  <c r="G383" i="42"/>
  <c r="G382" i="42"/>
  <c r="G381" i="42"/>
  <c r="G380" i="42"/>
  <c r="G379" i="42"/>
  <c r="F379" i="42"/>
  <c r="G378" i="42"/>
  <c r="F378" i="42"/>
  <c r="G377" i="42"/>
  <c r="F377" i="42"/>
  <c r="G376" i="42"/>
  <c r="F376" i="42"/>
  <c r="G375" i="42"/>
  <c r="F375" i="42"/>
  <c r="G374" i="42"/>
  <c r="F374" i="42"/>
  <c r="G373" i="42"/>
  <c r="F373" i="42"/>
  <c r="G372" i="42"/>
  <c r="F372" i="42"/>
  <c r="G371" i="42"/>
  <c r="F371" i="42"/>
  <c r="G370" i="42"/>
  <c r="F370" i="42"/>
  <c r="G369" i="42"/>
  <c r="F369" i="42"/>
  <c r="G368" i="42"/>
  <c r="F368" i="42"/>
  <c r="G367" i="42"/>
  <c r="F367" i="42"/>
  <c r="G366" i="42"/>
  <c r="F366" i="42"/>
  <c r="G365" i="42"/>
  <c r="F365" i="42"/>
  <c r="G364" i="42"/>
  <c r="F364" i="42"/>
  <c r="G363" i="42"/>
  <c r="F363" i="42"/>
  <c r="G362" i="42"/>
  <c r="F362" i="42"/>
  <c r="G361" i="42"/>
  <c r="F361" i="42"/>
  <c r="G360" i="42"/>
  <c r="F360" i="42"/>
  <c r="G359" i="42"/>
  <c r="F359" i="42"/>
  <c r="G358" i="42"/>
  <c r="F358" i="42"/>
  <c r="G357" i="42"/>
  <c r="F357" i="42"/>
  <c r="G356" i="42"/>
  <c r="F356" i="42"/>
  <c r="G355" i="42"/>
  <c r="F355" i="42"/>
  <c r="G354" i="42"/>
  <c r="F354" i="42"/>
  <c r="G353" i="42"/>
  <c r="F353" i="42"/>
  <c r="G352" i="42"/>
  <c r="F352" i="42"/>
  <c r="G351" i="42"/>
  <c r="F351" i="42"/>
  <c r="G350" i="42"/>
  <c r="F350" i="42"/>
  <c r="G349" i="42"/>
  <c r="F349" i="42"/>
  <c r="G348" i="42"/>
  <c r="F348" i="42"/>
  <c r="G347" i="42"/>
  <c r="F347" i="42"/>
  <c r="G346" i="42"/>
  <c r="F346" i="42"/>
  <c r="G345" i="42"/>
  <c r="F345" i="42"/>
  <c r="G344" i="42"/>
  <c r="F344" i="42"/>
  <c r="G343" i="42"/>
  <c r="F343" i="42"/>
  <c r="G342" i="42"/>
  <c r="F342" i="42"/>
  <c r="G341" i="42"/>
  <c r="F341" i="42"/>
  <c r="G340" i="42"/>
  <c r="F340" i="42"/>
  <c r="G339" i="42"/>
  <c r="F339" i="42"/>
  <c r="G338" i="42"/>
  <c r="F338" i="42"/>
  <c r="G337" i="42"/>
  <c r="F337" i="42"/>
  <c r="G336" i="42"/>
  <c r="F336" i="42"/>
  <c r="G335" i="42"/>
  <c r="F335" i="42"/>
  <c r="G334" i="42"/>
  <c r="F334" i="42"/>
  <c r="G333" i="42"/>
  <c r="F333" i="42"/>
  <c r="G332" i="42"/>
  <c r="F332" i="42"/>
  <c r="G331" i="42"/>
  <c r="F331" i="42"/>
  <c r="G330" i="42"/>
  <c r="F330" i="42"/>
  <c r="G329" i="42"/>
  <c r="F329" i="42"/>
  <c r="G328" i="42"/>
  <c r="F328" i="42"/>
  <c r="G327" i="42"/>
  <c r="F327" i="42"/>
  <c r="G326" i="42"/>
  <c r="F326" i="42"/>
  <c r="G325" i="42"/>
  <c r="F325" i="42"/>
  <c r="G324" i="42"/>
  <c r="F324" i="42"/>
  <c r="G323" i="42"/>
  <c r="F323" i="42"/>
  <c r="G322" i="42"/>
  <c r="F322" i="42"/>
  <c r="G321" i="42"/>
  <c r="F321" i="42"/>
  <c r="G320" i="42"/>
  <c r="F320" i="42"/>
  <c r="G319" i="42"/>
  <c r="F319" i="42"/>
  <c r="G318" i="42"/>
  <c r="F318" i="42"/>
  <c r="G317" i="42"/>
  <c r="F317" i="42"/>
  <c r="G316" i="42"/>
  <c r="F316" i="42"/>
  <c r="G315" i="42"/>
  <c r="F315" i="42"/>
  <c r="G314" i="42"/>
  <c r="F314" i="42"/>
  <c r="G313" i="42"/>
  <c r="F313" i="42"/>
  <c r="G312" i="42"/>
  <c r="F312" i="42"/>
  <c r="G311" i="42"/>
  <c r="F311" i="42"/>
  <c r="G310" i="42"/>
  <c r="F310" i="42"/>
  <c r="G309" i="42"/>
  <c r="F309" i="42"/>
  <c r="G308" i="42"/>
  <c r="F308" i="42"/>
  <c r="G307" i="42"/>
  <c r="F307" i="42"/>
  <c r="G306" i="42"/>
  <c r="F306" i="42"/>
  <c r="G305" i="42"/>
  <c r="F305" i="42"/>
  <c r="G304" i="42"/>
  <c r="F304" i="42"/>
  <c r="G303" i="42"/>
  <c r="F303" i="42"/>
  <c r="G302" i="42"/>
  <c r="F302" i="42"/>
  <c r="G301" i="42"/>
  <c r="F301" i="42"/>
  <c r="G300" i="42"/>
  <c r="F300" i="42"/>
  <c r="G299" i="42"/>
  <c r="F299" i="42"/>
  <c r="G298" i="42"/>
  <c r="F298" i="42"/>
  <c r="G297" i="42"/>
  <c r="F297" i="42"/>
  <c r="G296" i="42"/>
  <c r="F296" i="42"/>
  <c r="G295" i="42"/>
  <c r="F295" i="42"/>
  <c r="G294" i="42"/>
  <c r="F294" i="42"/>
  <c r="G293" i="42"/>
  <c r="F293" i="42"/>
  <c r="G292" i="42"/>
  <c r="F292" i="42"/>
  <c r="G291" i="42"/>
  <c r="F291" i="42"/>
  <c r="G290" i="42"/>
  <c r="F290" i="42"/>
  <c r="G289" i="42"/>
  <c r="F289" i="42"/>
  <c r="G288" i="42"/>
  <c r="F288" i="42"/>
  <c r="G287" i="42"/>
  <c r="F287" i="42"/>
  <c r="G286" i="42"/>
  <c r="F286" i="42"/>
  <c r="G285" i="42"/>
  <c r="F285" i="42"/>
  <c r="G284" i="42"/>
  <c r="F284" i="42"/>
  <c r="G283" i="42"/>
  <c r="F283" i="42"/>
  <c r="G282" i="42"/>
  <c r="F282" i="42"/>
  <c r="G281" i="42"/>
  <c r="F281" i="42"/>
  <c r="G280" i="42"/>
  <c r="F280" i="42"/>
  <c r="G279" i="42"/>
  <c r="F279" i="42"/>
  <c r="G278" i="42"/>
  <c r="F278" i="42"/>
  <c r="G277" i="42"/>
  <c r="F277" i="42"/>
  <c r="G276" i="42"/>
  <c r="F276" i="42"/>
  <c r="G275" i="42"/>
  <c r="F275" i="42"/>
  <c r="G274" i="42"/>
  <c r="F274" i="42"/>
  <c r="G273" i="42"/>
  <c r="F273" i="42"/>
  <c r="G272" i="42"/>
  <c r="F272" i="42"/>
  <c r="G271" i="42"/>
  <c r="F271" i="42"/>
  <c r="G270" i="42"/>
  <c r="F270" i="42"/>
  <c r="G269" i="42"/>
  <c r="F269" i="42"/>
  <c r="G268" i="42"/>
  <c r="F268" i="42"/>
  <c r="G267" i="42"/>
  <c r="F267" i="42"/>
  <c r="G266" i="42"/>
  <c r="F266" i="42"/>
  <c r="G265" i="42"/>
  <c r="F265" i="42"/>
  <c r="G264" i="42"/>
  <c r="F264" i="42"/>
  <c r="G263" i="42"/>
  <c r="F263" i="42"/>
  <c r="G262" i="42"/>
  <c r="F262" i="42"/>
  <c r="G261" i="42"/>
  <c r="F261" i="42"/>
  <c r="G260" i="42"/>
  <c r="F260" i="42"/>
  <c r="G259" i="42"/>
  <c r="F259" i="42"/>
  <c r="G258" i="42"/>
  <c r="F258" i="42"/>
  <c r="G257" i="42"/>
  <c r="F257" i="42"/>
  <c r="G256" i="42"/>
  <c r="F256" i="42"/>
  <c r="G255" i="42"/>
  <c r="F255" i="42"/>
  <c r="G254" i="42"/>
  <c r="F254" i="42"/>
  <c r="G253" i="42"/>
  <c r="F253" i="42"/>
  <c r="G252" i="42"/>
  <c r="F252" i="42"/>
  <c r="G251" i="42"/>
  <c r="F251" i="42"/>
  <c r="G250" i="42"/>
  <c r="F250" i="42"/>
  <c r="G249" i="42"/>
  <c r="F249" i="42"/>
  <c r="G248" i="42"/>
  <c r="F248" i="42"/>
  <c r="G247" i="42"/>
  <c r="F247" i="42"/>
  <c r="G246" i="42"/>
  <c r="F246" i="42"/>
  <c r="G245" i="42"/>
  <c r="F245" i="42"/>
  <c r="G244" i="42"/>
  <c r="F244" i="42"/>
  <c r="G243" i="42"/>
  <c r="F243" i="42"/>
  <c r="G242" i="42"/>
  <c r="F242" i="42"/>
  <c r="G241" i="42"/>
  <c r="F241" i="42"/>
  <c r="G240" i="42"/>
  <c r="F240" i="42"/>
  <c r="G239" i="42"/>
  <c r="F239" i="42"/>
  <c r="G238" i="42"/>
  <c r="F238" i="42"/>
  <c r="G237" i="42"/>
  <c r="F237" i="42"/>
  <c r="G236" i="42"/>
  <c r="F236" i="42"/>
  <c r="G235" i="42"/>
  <c r="F235" i="42"/>
  <c r="G234" i="42"/>
  <c r="F234" i="42"/>
  <c r="G233" i="42"/>
  <c r="F233" i="42"/>
  <c r="G232" i="42"/>
  <c r="F232" i="42"/>
  <c r="G231" i="42"/>
  <c r="F231" i="42"/>
  <c r="G230" i="42"/>
  <c r="F230" i="42"/>
  <c r="G229" i="42"/>
  <c r="F229" i="42"/>
  <c r="G228" i="42"/>
  <c r="F228" i="42"/>
  <c r="G227" i="42"/>
  <c r="F227" i="42"/>
  <c r="G226" i="42"/>
  <c r="F226" i="42"/>
  <c r="G225" i="42"/>
  <c r="F225" i="42"/>
  <c r="G224" i="42"/>
  <c r="F224" i="42"/>
  <c r="G223" i="42"/>
  <c r="F223" i="42"/>
  <c r="G222" i="42"/>
  <c r="F222" i="42"/>
  <c r="G221" i="42"/>
  <c r="F221" i="42"/>
  <c r="G220" i="42"/>
  <c r="F220" i="42"/>
  <c r="G219" i="42"/>
  <c r="F219" i="42"/>
  <c r="G218" i="42"/>
  <c r="F218" i="42"/>
  <c r="G217" i="42"/>
  <c r="F217" i="42"/>
  <c r="G216" i="42"/>
  <c r="F216" i="42"/>
  <c r="G215" i="42"/>
  <c r="F215" i="42"/>
  <c r="G214" i="42"/>
  <c r="F214" i="42"/>
  <c r="G213" i="42"/>
  <c r="F213" i="42"/>
  <c r="G212" i="42"/>
  <c r="F212" i="42"/>
  <c r="G211" i="42"/>
  <c r="F211" i="42"/>
  <c r="G210" i="42"/>
  <c r="F210" i="42"/>
  <c r="G209" i="42"/>
  <c r="F209" i="42"/>
  <c r="G208" i="42"/>
  <c r="F208" i="42"/>
  <c r="G207" i="42"/>
  <c r="F207" i="42"/>
  <c r="G206" i="42"/>
  <c r="F206" i="42"/>
  <c r="G205" i="42"/>
  <c r="F205" i="42"/>
  <c r="G204" i="42"/>
  <c r="F204" i="42"/>
  <c r="G203" i="42"/>
  <c r="F203" i="42"/>
  <c r="G202" i="42"/>
  <c r="F202" i="42"/>
  <c r="G201" i="42"/>
  <c r="F201" i="42"/>
  <c r="G200" i="42"/>
  <c r="F200" i="42"/>
  <c r="G199" i="42"/>
  <c r="F199" i="42"/>
  <c r="G198" i="42"/>
  <c r="F198" i="42"/>
  <c r="G197" i="42"/>
  <c r="F197" i="42"/>
  <c r="G196" i="42"/>
  <c r="F196" i="42"/>
  <c r="G195" i="42"/>
  <c r="F195" i="42"/>
  <c r="G194" i="42"/>
  <c r="F194" i="42"/>
  <c r="G193" i="42"/>
  <c r="F193" i="42"/>
  <c r="G192" i="42"/>
  <c r="F192" i="42"/>
  <c r="G191" i="42"/>
  <c r="F191" i="42"/>
  <c r="G190" i="42"/>
  <c r="F190" i="42"/>
  <c r="G189" i="42"/>
  <c r="F189" i="42"/>
  <c r="G188" i="42"/>
  <c r="F188" i="42"/>
  <c r="G187" i="42"/>
  <c r="F187" i="42"/>
  <c r="G186" i="42"/>
  <c r="F186" i="42"/>
  <c r="G185" i="42"/>
  <c r="F185" i="42"/>
  <c r="G184" i="42"/>
  <c r="F184" i="42"/>
  <c r="G183" i="42"/>
  <c r="F183" i="42"/>
  <c r="G182" i="42"/>
  <c r="F182" i="42"/>
  <c r="G181" i="42"/>
  <c r="F181" i="42"/>
  <c r="G180" i="42"/>
  <c r="F180" i="42"/>
  <c r="G179" i="42"/>
  <c r="F179" i="42"/>
  <c r="G178" i="42"/>
  <c r="F178" i="42"/>
  <c r="G177" i="42"/>
  <c r="F177" i="42"/>
  <c r="G176" i="42"/>
  <c r="F176" i="42"/>
  <c r="G175" i="42"/>
  <c r="F175" i="42"/>
  <c r="G174" i="42"/>
  <c r="F174" i="42"/>
  <c r="G173" i="42"/>
  <c r="F173" i="42"/>
  <c r="G172" i="42"/>
  <c r="F172" i="42"/>
  <c r="G171" i="42"/>
  <c r="F171" i="42"/>
  <c r="G170" i="42"/>
  <c r="F170" i="42"/>
  <c r="G169" i="42"/>
  <c r="F169" i="42"/>
  <c r="G168" i="42"/>
  <c r="F168" i="42"/>
  <c r="G167" i="42"/>
  <c r="F167" i="42"/>
  <c r="G166" i="42"/>
  <c r="F166" i="42"/>
  <c r="G165" i="42"/>
  <c r="F165" i="42"/>
  <c r="G164" i="42"/>
  <c r="F164" i="42"/>
  <c r="G163" i="42"/>
  <c r="F163" i="42"/>
  <c r="G162" i="42"/>
  <c r="F162" i="42"/>
  <c r="G161" i="42"/>
  <c r="F161" i="42"/>
  <c r="G160" i="42"/>
  <c r="F160" i="42"/>
  <c r="G159" i="42"/>
  <c r="F159" i="42"/>
  <c r="G158" i="42"/>
  <c r="F158" i="42"/>
  <c r="G157" i="42"/>
  <c r="F157" i="42"/>
  <c r="G156" i="42"/>
  <c r="F156" i="42"/>
  <c r="G155" i="42"/>
  <c r="F155" i="42"/>
  <c r="G154" i="42"/>
  <c r="F154" i="42"/>
  <c r="G153" i="42"/>
  <c r="F153" i="42"/>
  <c r="G152" i="42"/>
  <c r="F152" i="42"/>
  <c r="G151" i="42"/>
  <c r="F151" i="42"/>
  <c r="G150" i="42"/>
  <c r="F150" i="42"/>
  <c r="G149" i="42"/>
  <c r="F149" i="42"/>
  <c r="G148" i="42"/>
  <c r="F148" i="42"/>
  <c r="G147" i="42"/>
  <c r="F147" i="42"/>
  <c r="G146" i="42"/>
  <c r="F146" i="42"/>
  <c r="G145" i="42"/>
  <c r="F145" i="42"/>
  <c r="G144" i="42"/>
  <c r="F144" i="42"/>
  <c r="G143" i="42"/>
  <c r="F143" i="42"/>
  <c r="G142" i="42"/>
  <c r="F142" i="42"/>
  <c r="G141" i="42"/>
  <c r="F141" i="42"/>
  <c r="G140" i="42"/>
  <c r="F140" i="42"/>
  <c r="G139" i="42"/>
  <c r="F139" i="42"/>
  <c r="G138" i="42"/>
  <c r="F138" i="42"/>
  <c r="G137" i="42"/>
  <c r="F137" i="42"/>
  <c r="G136" i="42"/>
  <c r="F136" i="42"/>
  <c r="G135" i="42"/>
  <c r="F135" i="42"/>
  <c r="G134" i="42"/>
  <c r="F134" i="42"/>
  <c r="G133" i="42"/>
  <c r="F133" i="42"/>
  <c r="G132" i="42"/>
  <c r="F132" i="42"/>
  <c r="G131" i="42"/>
  <c r="F131" i="42"/>
  <c r="G130" i="42"/>
  <c r="F130" i="42"/>
  <c r="G129" i="42"/>
  <c r="F129" i="42"/>
  <c r="G128" i="42"/>
  <c r="F128" i="42"/>
  <c r="G127" i="42"/>
  <c r="F127" i="42"/>
  <c r="G126" i="42"/>
  <c r="F126" i="42"/>
  <c r="G125" i="42"/>
  <c r="F125" i="42"/>
  <c r="G124" i="42"/>
  <c r="F124" i="42"/>
  <c r="G123" i="42"/>
  <c r="F123" i="42"/>
  <c r="G122" i="42"/>
  <c r="F122" i="42"/>
  <c r="G121" i="42"/>
  <c r="F121" i="42"/>
  <c r="G120" i="42"/>
  <c r="F120" i="42"/>
  <c r="G119" i="42"/>
  <c r="F119" i="42"/>
  <c r="G118" i="42"/>
  <c r="F118" i="42"/>
  <c r="G117" i="42"/>
  <c r="F117" i="42"/>
  <c r="G116" i="42"/>
  <c r="F116" i="42"/>
  <c r="G115" i="42"/>
  <c r="F115" i="42"/>
  <c r="G114" i="42"/>
  <c r="F114" i="42"/>
  <c r="G113" i="42"/>
  <c r="F113" i="42"/>
  <c r="G112" i="42"/>
  <c r="F112" i="42"/>
  <c r="G111" i="42"/>
  <c r="F111" i="42"/>
  <c r="G110" i="42"/>
  <c r="F110" i="42"/>
  <c r="G109" i="42"/>
  <c r="F109" i="42"/>
  <c r="G108" i="42"/>
  <c r="F108" i="42"/>
  <c r="G107" i="42"/>
  <c r="F107" i="42"/>
  <c r="G106" i="42"/>
  <c r="F106" i="42"/>
  <c r="G105" i="42"/>
  <c r="F105" i="42"/>
  <c r="G104" i="42"/>
  <c r="F104" i="42"/>
  <c r="G103" i="42"/>
  <c r="F103" i="42"/>
  <c r="G102" i="42"/>
  <c r="F102" i="42"/>
  <c r="G101" i="42"/>
  <c r="F101" i="42"/>
  <c r="G100" i="42"/>
  <c r="F100" i="42"/>
  <c r="G99" i="42"/>
  <c r="F99" i="42"/>
  <c r="G98" i="42"/>
  <c r="F98" i="42"/>
  <c r="G97" i="42"/>
  <c r="F97" i="42"/>
  <c r="G96" i="42"/>
  <c r="F96" i="42"/>
  <c r="G95" i="42"/>
  <c r="F95" i="42"/>
  <c r="G94" i="42"/>
  <c r="F94" i="42"/>
  <c r="G93" i="42"/>
  <c r="F93" i="42"/>
  <c r="G92" i="42"/>
  <c r="F92" i="42"/>
  <c r="G91" i="42"/>
  <c r="F91" i="42"/>
  <c r="G90" i="42"/>
  <c r="F90" i="42"/>
  <c r="G89" i="42"/>
  <c r="F89" i="42"/>
  <c r="G88" i="42"/>
  <c r="F88" i="42"/>
  <c r="G87" i="42"/>
  <c r="F87" i="42"/>
  <c r="G86" i="42"/>
  <c r="F86" i="42"/>
  <c r="G85" i="42"/>
  <c r="F85" i="42"/>
  <c r="G84" i="42"/>
  <c r="F84" i="42"/>
  <c r="G83" i="42"/>
  <c r="F83" i="42"/>
  <c r="G82" i="42"/>
  <c r="F82" i="42"/>
  <c r="G81" i="42"/>
  <c r="F81" i="42"/>
  <c r="G80" i="42"/>
  <c r="F80" i="42"/>
  <c r="G79" i="42"/>
  <c r="F79" i="42"/>
  <c r="G78" i="42"/>
  <c r="F78" i="42"/>
  <c r="G77" i="42"/>
  <c r="F77" i="42"/>
  <c r="G76" i="42"/>
  <c r="F76" i="42"/>
  <c r="G75" i="42"/>
  <c r="F75" i="42"/>
  <c r="G74" i="42"/>
  <c r="F74" i="42"/>
  <c r="G73" i="42"/>
  <c r="F73" i="42"/>
  <c r="G72" i="42"/>
  <c r="F72" i="42"/>
  <c r="G71" i="42"/>
  <c r="F71" i="42"/>
  <c r="G70" i="42"/>
  <c r="F70" i="42"/>
  <c r="G69" i="42"/>
  <c r="F69" i="42"/>
  <c r="G68" i="42"/>
  <c r="F68" i="42"/>
  <c r="G67" i="42"/>
  <c r="F67" i="42"/>
  <c r="G66" i="42"/>
  <c r="F66" i="42"/>
  <c r="G65" i="42"/>
  <c r="F65" i="42"/>
  <c r="G64" i="42"/>
  <c r="F64" i="42"/>
  <c r="G63" i="42"/>
  <c r="F63" i="42"/>
  <c r="G62" i="42"/>
  <c r="F62" i="42"/>
  <c r="G61" i="42"/>
  <c r="F61" i="42"/>
  <c r="G60" i="42"/>
  <c r="F60" i="42"/>
  <c r="G59" i="42"/>
  <c r="F59" i="42"/>
  <c r="G58" i="42"/>
  <c r="F58" i="42"/>
  <c r="G57" i="42"/>
  <c r="F57" i="42"/>
  <c r="G56" i="42"/>
  <c r="F56" i="42"/>
  <c r="G55" i="42"/>
  <c r="F55" i="42"/>
  <c r="G54" i="42"/>
  <c r="F54" i="42"/>
  <c r="G53" i="42"/>
  <c r="F53" i="42"/>
  <c r="G52" i="42"/>
  <c r="F52" i="42"/>
  <c r="G51" i="42"/>
  <c r="F51" i="42"/>
  <c r="G50" i="42"/>
  <c r="F50" i="42"/>
  <c r="G49" i="42"/>
  <c r="F49" i="42"/>
  <c r="G48" i="42"/>
  <c r="F48" i="42"/>
  <c r="G47" i="42"/>
  <c r="F47" i="42"/>
  <c r="G46" i="42"/>
  <c r="F46" i="42"/>
  <c r="G45" i="42"/>
  <c r="F45" i="42"/>
  <c r="G44" i="42"/>
  <c r="F44" i="42"/>
  <c r="G43" i="42"/>
  <c r="F43" i="42"/>
  <c r="G42" i="42"/>
  <c r="F42" i="42"/>
  <c r="G41" i="42"/>
  <c r="F41" i="42"/>
  <c r="G40" i="42"/>
  <c r="F40" i="42"/>
  <c r="G39" i="42"/>
  <c r="F39" i="42"/>
  <c r="G38" i="42"/>
  <c r="F38" i="42"/>
  <c r="G37" i="42"/>
  <c r="F37" i="42"/>
  <c r="G36" i="42"/>
  <c r="F36" i="42"/>
  <c r="G35" i="42"/>
  <c r="F35" i="42"/>
  <c r="G34" i="42"/>
  <c r="F34" i="42"/>
  <c r="G33" i="42"/>
  <c r="F33" i="42"/>
  <c r="G32" i="42"/>
  <c r="F32" i="42"/>
  <c r="G31" i="42"/>
  <c r="F31" i="42"/>
  <c r="G30" i="42"/>
  <c r="F30" i="42"/>
  <c r="G29" i="42"/>
  <c r="F29" i="42"/>
  <c r="G28" i="42"/>
  <c r="F28" i="42"/>
  <c r="G27" i="42"/>
  <c r="F27" i="42"/>
  <c r="G26" i="42"/>
  <c r="F26" i="42"/>
  <c r="G25" i="42"/>
  <c r="F25" i="42"/>
  <c r="G24" i="42"/>
  <c r="F24" i="42"/>
  <c r="G23" i="42"/>
  <c r="F23" i="42"/>
  <c r="G22" i="42"/>
  <c r="F22" i="42"/>
  <c r="G21" i="42"/>
  <c r="F21" i="42"/>
  <c r="G20" i="42"/>
  <c r="F20" i="42"/>
  <c r="G19" i="42"/>
  <c r="F19" i="42"/>
  <c r="G18" i="42"/>
  <c r="F18" i="42"/>
  <c r="G17" i="42"/>
  <c r="F17" i="42"/>
  <c r="G16" i="42"/>
  <c r="F16" i="42"/>
  <c r="G15" i="42"/>
  <c r="F15" i="42"/>
  <c r="G14" i="42"/>
  <c r="F14" i="42"/>
  <c r="G13" i="42"/>
  <c r="F13" i="42"/>
  <c r="G12" i="42"/>
  <c r="F12" i="42"/>
  <c r="G11" i="42"/>
  <c r="F11" i="42"/>
  <c r="G10" i="42"/>
  <c r="F10" i="42"/>
  <c r="G9" i="42"/>
  <c r="F9" i="42"/>
  <c r="G8" i="42"/>
  <c r="F8" i="42"/>
  <c r="G7" i="42"/>
  <c r="F7" i="42"/>
  <c r="G6" i="42"/>
  <c r="F6" i="42"/>
  <c r="G5" i="42"/>
  <c r="F5" i="42"/>
  <c r="G4" i="42"/>
  <c r="F4" i="42"/>
  <c r="G3" i="42"/>
  <c r="F3" i="42"/>
  <c r="G2" i="42"/>
  <c r="F2" i="42"/>
  <c r="D2164" i="41"/>
  <c r="D2163" i="41"/>
  <c r="D2162" i="41"/>
  <c r="D2161" i="41"/>
  <c r="D2160" i="41"/>
  <c r="D2159" i="41"/>
  <c r="D2158" i="41"/>
  <c r="D2157" i="41"/>
  <c r="D2156" i="41"/>
  <c r="D2155" i="41"/>
  <c r="D2153" i="41"/>
  <c r="D2152" i="41"/>
  <c r="D2151" i="41"/>
  <c r="D2150" i="41"/>
  <c r="D2149" i="41"/>
  <c r="D2148" i="41"/>
  <c r="D2147" i="41"/>
  <c r="D2146" i="41"/>
  <c r="D2145" i="41"/>
  <c r="D2144" i="41"/>
  <c r="D2143" i="41"/>
  <c r="D2142" i="41"/>
  <c r="D2141" i="41"/>
  <c r="D2140" i="41"/>
  <c r="D2139" i="41"/>
  <c r="D2133" i="41"/>
  <c r="D2124" i="41"/>
  <c r="D2106" i="41"/>
  <c r="D2103" i="41"/>
  <c r="D2102" i="41"/>
  <c r="D2101" i="41"/>
  <c r="D2100" i="41"/>
  <c r="D2088" i="41"/>
  <c r="D2085" i="41"/>
  <c r="D2084" i="41"/>
  <c r="D2079" i="41"/>
  <c r="D2078" i="41"/>
  <c r="D2077" i="41"/>
  <c r="D2076" i="41"/>
  <c r="D2075" i="41"/>
  <c r="D2069" i="41"/>
  <c r="D2068" i="41"/>
  <c r="D2066" i="41"/>
  <c r="D2065" i="41"/>
  <c r="D2061" i="41"/>
  <c r="D2060" i="41"/>
  <c r="D2059" i="41"/>
  <c r="D2058" i="41"/>
  <c r="D2057" i="41"/>
  <c r="D2056" i="41"/>
  <c r="D2053" i="41"/>
  <c r="D2051" i="41"/>
  <c r="D2049" i="41"/>
  <c r="D2040" i="41"/>
  <c r="D2039" i="41"/>
  <c r="D2038" i="41"/>
  <c r="D2037" i="41"/>
  <c r="D2036" i="41"/>
  <c r="D2035" i="41"/>
  <c r="D2034" i="41"/>
  <c r="D2033" i="41"/>
  <c r="D2032" i="41"/>
  <c r="D2030" i="41"/>
  <c r="D2029" i="41"/>
  <c r="D2028" i="41"/>
  <c r="D2027" i="41"/>
  <c r="D2026" i="41"/>
  <c r="D2024" i="41"/>
  <c r="D2023" i="41"/>
  <c r="D2022" i="41"/>
  <c r="D2021" i="41"/>
  <c r="D2020" i="41"/>
  <c r="D2019" i="41"/>
  <c r="D2018" i="41"/>
  <c r="D2017" i="41"/>
  <c r="D2016" i="41"/>
  <c r="D2015" i="41"/>
  <c r="D2014" i="41"/>
  <c r="D2013" i="41"/>
  <c r="D2012" i="41"/>
  <c r="D2005" i="41"/>
  <c r="D2004" i="41"/>
  <c r="D2003" i="41"/>
  <c r="D2000" i="41"/>
  <c r="D1999" i="41"/>
  <c r="D1998" i="41"/>
  <c r="D1997" i="41"/>
  <c r="D1996" i="41"/>
  <c r="D1995" i="41"/>
  <c r="D1994" i="41"/>
  <c r="D1993" i="41"/>
  <c r="D1992" i="41"/>
  <c r="D1991" i="41"/>
  <c r="D1978" i="41"/>
  <c r="D1977" i="41"/>
  <c r="D1972" i="41"/>
  <c r="D1970" i="41"/>
  <c r="D1964" i="41"/>
  <c r="D1961" i="41"/>
  <c r="D1960" i="41"/>
  <c r="D1958" i="41"/>
  <c r="D1954" i="41"/>
  <c r="D1953" i="41"/>
  <c r="D1952" i="41"/>
  <c r="D1951" i="41"/>
  <c r="D1950" i="41"/>
  <c r="D1949" i="41"/>
  <c r="D1947" i="41"/>
  <c r="D1945" i="41"/>
  <c r="D1944" i="41"/>
  <c r="D1938" i="41"/>
  <c r="D1937" i="41"/>
  <c r="D1936" i="41"/>
  <c r="D1934" i="41"/>
  <c r="D1928" i="41"/>
  <c r="D1927" i="41"/>
  <c r="D1926" i="41"/>
  <c r="D1924" i="41"/>
  <c r="D1923" i="41"/>
  <c r="D1922" i="41"/>
  <c r="D1921" i="41"/>
  <c r="D1920" i="41"/>
  <c r="D1919" i="41"/>
  <c r="D1918" i="41"/>
  <c r="D1917" i="41"/>
  <c r="D1916" i="41"/>
  <c r="D1915" i="41"/>
  <c r="D1914" i="41"/>
  <c r="D1913" i="41"/>
  <c r="D1912" i="41"/>
  <c r="D1911" i="41"/>
  <c r="D1910" i="41"/>
  <c r="D1909" i="41"/>
  <c r="D1908" i="41"/>
  <c r="D1907" i="41"/>
  <c r="D1906" i="41"/>
  <c r="D1905" i="41"/>
  <c r="D1904" i="41"/>
  <c r="D1903" i="41"/>
  <c r="D1902" i="41"/>
  <c r="D1901" i="41"/>
  <c r="D1900" i="41"/>
  <c r="D1899" i="41"/>
  <c r="D1898" i="41"/>
  <c r="D1897" i="41"/>
  <c r="D1896" i="41"/>
  <c r="D1895" i="41"/>
  <c r="D1894" i="41"/>
  <c r="D1893" i="41"/>
  <c r="D1892" i="41"/>
  <c r="D1891" i="41"/>
  <c r="D1890" i="41"/>
  <c r="D1889" i="41"/>
  <c r="D1888" i="41"/>
  <c r="D1887" i="41"/>
  <c r="D1886" i="41"/>
  <c r="D1885" i="41"/>
  <c r="D1884" i="41"/>
  <c r="D1883" i="41"/>
  <c r="D1882" i="41"/>
  <c r="D1881" i="41"/>
  <c r="D1880" i="41"/>
  <c r="D1879" i="41"/>
  <c r="D1878" i="41"/>
  <c r="D1877" i="41"/>
  <c r="D1876" i="41"/>
  <c r="D1875" i="41"/>
  <c r="D1874" i="41"/>
  <c r="D1873" i="41"/>
  <c r="D1872" i="41"/>
  <c r="D1871" i="41"/>
  <c r="D1870" i="41"/>
  <c r="D1869" i="41"/>
  <c r="D1868" i="41"/>
  <c r="D1867" i="41"/>
  <c r="D1866" i="41"/>
  <c r="D1865" i="41"/>
  <c r="D1864" i="41"/>
  <c r="D1863" i="41"/>
  <c r="D1862" i="41"/>
  <c r="D1861" i="41"/>
  <c r="D1860" i="41"/>
  <c r="D1859" i="41"/>
  <c r="D1858" i="41"/>
  <c r="D1857" i="41"/>
  <c r="D1856" i="41"/>
  <c r="D1855" i="41"/>
  <c r="D1854" i="41"/>
  <c r="D1853" i="41"/>
  <c r="D1852" i="41"/>
  <c r="D1851" i="41"/>
  <c r="D1850" i="41"/>
  <c r="D1849" i="41"/>
  <c r="D1848" i="41"/>
  <c r="D1847" i="41"/>
  <c r="D1846" i="41"/>
  <c r="D1845" i="41"/>
  <c r="D1844" i="41"/>
  <c r="D1843" i="41"/>
  <c r="D1842" i="41"/>
  <c r="D1841" i="41"/>
  <c r="D1840" i="41"/>
  <c r="D1839" i="41"/>
  <c r="D1838" i="41"/>
  <c r="D1837" i="41"/>
  <c r="D1836" i="41"/>
  <c r="D1835" i="41"/>
  <c r="D1834" i="41"/>
  <c r="D1833" i="41"/>
  <c r="D1832" i="41"/>
  <c r="D1831" i="41"/>
  <c r="D1830" i="41"/>
  <c r="D1829" i="41"/>
  <c r="D1828" i="41"/>
  <c r="D1827" i="41"/>
  <c r="D1826" i="41"/>
  <c r="D1825" i="41"/>
  <c r="D1824" i="41"/>
  <c r="D1823" i="41"/>
  <c r="D1822" i="41"/>
  <c r="D1821" i="41"/>
  <c r="D1820" i="41"/>
  <c r="D1819" i="41"/>
  <c r="D1818" i="41"/>
  <c r="D1817" i="41"/>
  <c r="D1816" i="41"/>
  <c r="D1815" i="41"/>
  <c r="D1814" i="41"/>
  <c r="D1813" i="41"/>
  <c r="D1812" i="41"/>
  <c r="D1811" i="41"/>
  <c r="D1810" i="41"/>
  <c r="D1809" i="41"/>
  <c r="D1808" i="41"/>
  <c r="D1807" i="41"/>
  <c r="D1806" i="41"/>
  <c r="D1805" i="41"/>
  <c r="D1804" i="41"/>
  <c r="D1803" i="41"/>
  <c r="D1802" i="41"/>
  <c r="D1801" i="41"/>
  <c r="D1800" i="41"/>
  <c r="D1799" i="41"/>
  <c r="D1797" i="41"/>
  <c r="D1796" i="41"/>
  <c r="D1795" i="41"/>
  <c r="D1794" i="41"/>
  <c r="D1793" i="41"/>
  <c r="D1792" i="41"/>
  <c r="D1791" i="41"/>
  <c r="D1790" i="41"/>
  <c r="D1789" i="41"/>
  <c r="D1788" i="41"/>
  <c r="D1787" i="41"/>
  <c r="D1786" i="41"/>
  <c r="D1785" i="41"/>
  <c r="D1784" i="41"/>
  <c r="D1783" i="41"/>
  <c r="D1782" i="41"/>
  <c r="D1781" i="41"/>
  <c r="D1780" i="41"/>
  <c r="D1779" i="41"/>
  <c r="D1778" i="41"/>
  <c r="D1777" i="41"/>
  <c r="D1776" i="41"/>
  <c r="D1775" i="41"/>
  <c r="D1774" i="41"/>
  <c r="D1773" i="41"/>
  <c r="D1772" i="41"/>
  <c r="D1771" i="41"/>
  <c r="D1769" i="41"/>
  <c r="D1768" i="41"/>
  <c r="D1767" i="41"/>
  <c r="D1766" i="41"/>
  <c r="D1765" i="41"/>
  <c r="D1764" i="41"/>
  <c r="D1763" i="41"/>
  <c r="D1762" i="41"/>
  <c r="D1761" i="41"/>
  <c r="D1760" i="41"/>
  <c r="D1759" i="41"/>
  <c r="D1758" i="41"/>
  <c r="D1757" i="41"/>
  <c r="D1756" i="41"/>
  <c r="D1755" i="41"/>
  <c r="D1754" i="41"/>
  <c r="D1753" i="41"/>
  <c r="D1752" i="41"/>
  <c r="D1751" i="41"/>
  <c r="D1750" i="41"/>
  <c r="D1748" i="41"/>
  <c r="D1747" i="41"/>
  <c r="D1746" i="41"/>
  <c r="D1745" i="41"/>
  <c r="D1744" i="41"/>
  <c r="D1743" i="41"/>
  <c r="D1742" i="41"/>
  <c r="D1741" i="41"/>
  <c r="D1740" i="41"/>
  <c r="D1739" i="41"/>
  <c r="D1738" i="41"/>
  <c r="D1737" i="41"/>
  <c r="D1736" i="41"/>
  <c r="D1735" i="41"/>
  <c r="D1734" i="41"/>
  <c r="D1733" i="41"/>
  <c r="D1732" i="41"/>
  <c r="D1731" i="41"/>
  <c r="D1730" i="41"/>
  <c r="D1729" i="41"/>
  <c r="D1728" i="41"/>
  <c r="D1727" i="41"/>
  <c r="D1726" i="41"/>
  <c r="D1725" i="41"/>
  <c r="D1724" i="41"/>
  <c r="D1723" i="41"/>
  <c r="D1722" i="41"/>
  <c r="D1721" i="41"/>
  <c r="D1720" i="41"/>
  <c r="D1719" i="41"/>
  <c r="D1718" i="41"/>
  <c r="D1717" i="41"/>
  <c r="D1716" i="41"/>
  <c r="D1715" i="41"/>
  <c r="D1714" i="41"/>
  <c r="D1713" i="41"/>
  <c r="D1711" i="41"/>
  <c r="D1710" i="41"/>
  <c r="D1709" i="41"/>
  <c r="D1708" i="41"/>
  <c r="D1707" i="41"/>
  <c r="D1706" i="41"/>
  <c r="D1705" i="41"/>
  <c r="D1704" i="41"/>
  <c r="D1703" i="41"/>
  <c r="D1702" i="41"/>
  <c r="D1701" i="41"/>
  <c r="D1700" i="41"/>
  <c r="D1699" i="41"/>
  <c r="D1698" i="41"/>
  <c r="D1697" i="41"/>
  <c r="D1696" i="41"/>
  <c r="D1695" i="41"/>
  <c r="D1694" i="41"/>
  <c r="D1693" i="41"/>
  <c r="D1692" i="41"/>
  <c r="D1691" i="41"/>
  <c r="D1690" i="41"/>
  <c r="D1689" i="41"/>
  <c r="D1688" i="41"/>
  <c r="D1687" i="41"/>
  <c r="D1686" i="41"/>
  <c r="D1685" i="41"/>
  <c r="D1684" i="41"/>
  <c r="D1683" i="41"/>
  <c r="D1682" i="41"/>
  <c r="D1681" i="41"/>
  <c r="D1680" i="41"/>
  <c r="D1679" i="41"/>
  <c r="D1678" i="41"/>
  <c r="D1677" i="41"/>
  <c r="D1676" i="41"/>
  <c r="D1675" i="41"/>
  <c r="D1674" i="41"/>
  <c r="D1673" i="41"/>
  <c r="D1672" i="41"/>
  <c r="D1671" i="41"/>
  <c r="D1670" i="41"/>
  <c r="D1669" i="41"/>
  <c r="D1668" i="41"/>
  <c r="D1667" i="41"/>
  <c r="D1666" i="41"/>
  <c r="D1665" i="41"/>
  <c r="D1664" i="41"/>
  <c r="D1663" i="41"/>
  <c r="D1662" i="41"/>
  <c r="D1661" i="41"/>
  <c r="D1660" i="41"/>
  <c r="D1659" i="41"/>
  <c r="D1658" i="41"/>
  <c r="D1657" i="41"/>
  <c r="D1656" i="41"/>
  <c r="D1655" i="41"/>
  <c r="D1654" i="41"/>
  <c r="D1653" i="41"/>
  <c r="D1652" i="41"/>
  <c r="D1651" i="41"/>
  <c r="D1650" i="41"/>
  <c r="D1649" i="41"/>
  <c r="D1648" i="41"/>
  <c r="D1647" i="41"/>
  <c r="D1646" i="41"/>
  <c r="D1645" i="41"/>
  <c r="D1644" i="41"/>
  <c r="D1643" i="41"/>
  <c r="D1642" i="41"/>
  <c r="D1641" i="41"/>
  <c r="D1640" i="41"/>
  <c r="D1639" i="41"/>
  <c r="D1638" i="41"/>
  <c r="D1637" i="41"/>
  <c r="D1636" i="41"/>
  <c r="D1635" i="41"/>
  <c r="D1633" i="41"/>
  <c r="D1632" i="41"/>
  <c r="D1631" i="41"/>
  <c r="D1630" i="41"/>
  <c r="D1628" i="41"/>
  <c r="D1627" i="41"/>
  <c r="D1626" i="41"/>
  <c r="D1625" i="41"/>
  <c r="D1624" i="41"/>
  <c r="D1623" i="41"/>
  <c r="D1622" i="41"/>
  <c r="D1621" i="41"/>
  <c r="D1620" i="41"/>
  <c r="D1619" i="41"/>
  <c r="D1618" i="41"/>
  <c r="D1616" i="41"/>
  <c r="D1615" i="41"/>
  <c r="D1613" i="41"/>
  <c r="D1611" i="41"/>
  <c r="D1610" i="41"/>
  <c r="D1609" i="41"/>
  <c r="D1608" i="41"/>
  <c r="D1607" i="41"/>
  <c r="D1606" i="41"/>
  <c r="D1605" i="41"/>
  <c r="D1604" i="41"/>
  <c r="D1603" i="41"/>
  <c r="D1602" i="41"/>
  <c r="D1601" i="41"/>
  <c r="D1600" i="41"/>
  <c r="D1599" i="41"/>
  <c r="D1598" i="41"/>
  <c r="D1597" i="41"/>
  <c r="D1596" i="41"/>
  <c r="D1595" i="41"/>
  <c r="D1594" i="41"/>
  <c r="D1593" i="41"/>
  <c r="D1589" i="41"/>
  <c r="D1588" i="41"/>
  <c r="D1587" i="41"/>
  <c r="D1586" i="41"/>
  <c r="D1585" i="41"/>
  <c r="D1584" i="41"/>
  <c r="D1583" i="41"/>
  <c r="D1582" i="41"/>
  <c r="D1581" i="41"/>
  <c r="D1580" i="41"/>
  <c r="D1579" i="41"/>
  <c r="D1578" i="41"/>
  <c r="D1574" i="41"/>
  <c r="D1569" i="41"/>
  <c r="D1568" i="41"/>
  <c r="D1567" i="41"/>
  <c r="D1566" i="41"/>
  <c r="D1565" i="41"/>
  <c r="D1564" i="41"/>
  <c r="D1563" i="41"/>
  <c r="D1562" i="41"/>
  <c r="D1561" i="41"/>
  <c r="D1560" i="41"/>
  <c r="D1559" i="41"/>
  <c r="D1558" i="41"/>
  <c r="D1557" i="41"/>
  <c r="D1556" i="41"/>
  <c r="D1555" i="41"/>
  <c r="D1554" i="41"/>
  <c r="D1553" i="41"/>
  <c r="D1552" i="41"/>
  <c r="D1551" i="41"/>
  <c r="D1550" i="41"/>
  <c r="D1549" i="41"/>
  <c r="D1548" i="41"/>
  <c r="D1547" i="41"/>
  <c r="D1546" i="41"/>
  <c r="D1544" i="41"/>
  <c r="D1543" i="41"/>
  <c r="D1542" i="41"/>
  <c r="D1541" i="41"/>
  <c r="D1540" i="41"/>
  <c r="D1539" i="41"/>
  <c r="D1538" i="41"/>
  <c r="D1537" i="41"/>
  <c r="D1536" i="41"/>
  <c r="D1535" i="41"/>
  <c r="D1534" i="41"/>
  <c r="D1532" i="41"/>
  <c r="D1530" i="41"/>
  <c r="D1529" i="41"/>
  <c r="D1528" i="41"/>
  <c r="D1527" i="41"/>
  <c r="D1526" i="41"/>
  <c r="D1525" i="41"/>
  <c r="D1524" i="41"/>
  <c r="D1523" i="41"/>
  <c r="D1522" i="41"/>
  <c r="D1521" i="41"/>
  <c r="D1520" i="41"/>
  <c r="D1519" i="41"/>
  <c r="D1518" i="41"/>
  <c r="D1517" i="41"/>
  <c r="D1516" i="41"/>
  <c r="D1515" i="41"/>
  <c r="D1514" i="41"/>
  <c r="D1513" i="41"/>
  <c r="D1512" i="41"/>
  <c r="D1511" i="41"/>
  <c r="D1510" i="41"/>
  <c r="D1509" i="41"/>
  <c r="D1501" i="41"/>
  <c r="D1500" i="41"/>
  <c r="D1499" i="41"/>
  <c r="D1498" i="41"/>
  <c r="D1497" i="41"/>
  <c r="D1496" i="41"/>
  <c r="D1495" i="41"/>
  <c r="D1494" i="41"/>
  <c r="D1493" i="41"/>
  <c r="D1491" i="41"/>
  <c r="D1490" i="41"/>
  <c r="D1489" i="41"/>
  <c r="D1488" i="41"/>
  <c r="D1487" i="41"/>
  <c r="D1486" i="41"/>
  <c r="D1485" i="41"/>
  <c r="D1484" i="41"/>
  <c r="D1483" i="41"/>
  <c r="D1482" i="41"/>
  <c r="D1481" i="41"/>
  <c r="D1480" i="41"/>
  <c r="D1479" i="41"/>
  <c r="D1478" i="41"/>
  <c r="D1477" i="41"/>
  <c r="D1476" i="41"/>
  <c r="D1475" i="41"/>
  <c r="D1474" i="41"/>
  <c r="D1473" i="41"/>
  <c r="D1472" i="41"/>
  <c r="D1471" i="41"/>
  <c r="D1470" i="41"/>
  <c r="D1469" i="41"/>
  <c r="D1468" i="41"/>
  <c r="D1467" i="41"/>
  <c r="D1466" i="41"/>
  <c r="D1465" i="41"/>
  <c r="D1464" i="41"/>
  <c r="D1463" i="41"/>
  <c r="D1462" i="41"/>
  <c r="D1461" i="41"/>
  <c r="D1460" i="41"/>
  <c r="D1459" i="41"/>
  <c r="D1458" i="41"/>
  <c r="D1457" i="41"/>
  <c r="D1456" i="41"/>
  <c r="D1455" i="41"/>
  <c r="D1454" i="41"/>
  <c r="D1453" i="41"/>
  <c r="D1450" i="41"/>
  <c r="D1449" i="41"/>
  <c r="D1448" i="41"/>
  <c r="D1447" i="41"/>
  <c r="D1446" i="41"/>
  <c r="D1445" i="41"/>
  <c r="D1444" i="41"/>
  <c r="D1443" i="41"/>
  <c r="D1442" i="41"/>
  <c r="D1441" i="41"/>
  <c r="D1440" i="41"/>
  <c r="D1439" i="41"/>
  <c r="D1438" i="41"/>
  <c r="D1437" i="41"/>
  <c r="D1436" i="41"/>
  <c r="D1435" i="41"/>
  <c r="D1434" i="41"/>
  <c r="D1433" i="41"/>
  <c r="D1432" i="41"/>
  <c r="D1431" i="41"/>
  <c r="D1430" i="41"/>
  <c r="D1429" i="41"/>
  <c r="D1428" i="41"/>
  <c r="D1427" i="41"/>
  <c r="D1426" i="41"/>
  <c r="D1425" i="41"/>
  <c r="D1424" i="41"/>
  <c r="D1423" i="41"/>
  <c r="D1422" i="41"/>
  <c r="D1421" i="41"/>
  <c r="D1420" i="41"/>
  <c r="D1419" i="41"/>
  <c r="D1418" i="41"/>
  <c r="D1417" i="41"/>
  <c r="D1415" i="41"/>
  <c r="D1414" i="41"/>
  <c r="D1413" i="41"/>
  <c r="D1412" i="41"/>
  <c r="D1411" i="41"/>
  <c r="D1409" i="41"/>
  <c r="D1408" i="41"/>
  <c r="D1407" i="41"/>
  <c r="D1406" i="41"/>
  <c r="D1403" i="41"/>
  <c r="D1402" i="41"/>
  <c r="D1401" i="41"/>
  <c r="D1400" i="41"/>
  <c r="D1399" i="41"/>
  <c r="D1398" i="41"/>
  <c r="D1397" i="41"/>
  <c r="D1396" i="41"/>
  <c r="D1395" i="41"/>
  <c r="D1394" i="41"/>
  <c r="D1393" i="41"/>
  <c r="D1392" i="41"/>
  <c r="D1391" i="41"/>
  <c r="D1390" i="41"/>
  <c r="D1389" i="41"/>
  <c r="D1388" i="41"/>
  <c r="D1387" i="41"/>
  <c r="D1386" i="41"/>
  <c r="D1385" i="41"/>
  <c r="D1384" i="41"/>
  <c r="D1383" i="41"/>
  <c r="D1382" i="41"/>
  <c r="D1381" i="41"/>
  <c r="D1380" i="41"/>
  <c r="D1379" i="41"/>
  <c r="D1378" i="41"/>
  <c r="D1377" i="41"/>
  <c r="D1376" i="41"/>
  <c r="D1375" i="41"/>
  <c r="D1374" i="41"/>
  <c r="D1373" i="41"/>
  <c r="D1372" i="41"/>
  <c r="D1371" i="41"/>
  <c r="D1370" i="41"/>
  <c r="D1369" i="41"/>
  <c r="D1368" i="41"/>
  <c r="D1367" i="41"/>
  <c r="D1366" i="41"/>
  <c r="D1365" i="41"/>
  <c r="D1364" i="41"/>
  <c r="D1363" i="41"/>
  <c r="D1362" i="41"/>
  <c r="D1361" i="41"/>
  <c r="D1360" i="41"/>
  <c r="D1359" i="41"/>
  <c r="D1358" i="41"/>
  <c r="D1357" i="41"/>
  <c r="D1354" i="41"/>
  <c r="D1351" i="41"/>
  <c r="D1350" i="41"/>
  <c r="D1349" i="41"/>
  <c r="D1348" i="41"/>
  <c r="D1347" i="41"/>
  <c r="D1346" i="41"/>
  <c r="D1345" i="41"/>
  <c r="D1343" i="41"/>
  <c r="D1342" i="41"/>
  <c r="D1340" i="41"/>
  <c r="D1339" i="41"/>
  <c r="D1338" i="41"/>
  <c r="D1336" i="41"/>
  <c r="D1334" i="41"/>
  <c r="D1333" i="41"/>
  <c r="D1332" i="41"/>
  <c r="D1331" i="41"/>
  <c r="D1330" i="41"/>
  <c r="D1329" i="41"/>
  <c r="D1328" i="41"/>
  <c r="D1327" i="41"/>
  <c r="D1326" i="41"/>
  <c r="D1325" i="41"/>
  <c r="D1324" i="41"/>
  <c r="D1323" i="41"/>
  <c r="D1322" i="41"/>
  <c r="D1321" i="41"/>
  <c r="D1320" i="41"/>
  <c r="D1319" i="41"/>
  <c r="D1318" i="41"/>
  <c r="D1317" i="41"/>
  <c r="D1316" i="41"/>
  <c r="D1315" i="41"/>
  <c r="D1314" i="41"/>
  <c r="D1313" i="41"/>
  <c r="D1312" i="41"/>
  <c r="D1311" i="41"/>
  <c r="D1310" i="41"/>
  <c r="D1309" i="41"/>
  <c r="D1308" i="41"/>
  <c r="D1307" i="41"/>
  <c r="D1306" i="41"/>
  <c r="D1305" i="41"/>
  <c r="D1304" i="41"/>
  <c r="D1303" i="41"/>
  <c r="D1302" i="41"/>
  <c r="D1301" i="41"/>
  <c r="D1300" i="41"/>
  <c r="D1299" i="41"/>
  <c r="D1298" i="41"/>
  <c r="D1297" i="41"/>
  <c r="D1296" i="41"/>
  <c r="D1295" i="41"/>
  <c r="D1294" i="41"/>
  <c r="D1293" i="41"/>
  <c r="D1292" i="41"/>
  <c r="D1291" i="41"/>
  <c r="D1290" i="41"/>
  <c r="D1289" i="41"/>
  <c r="D1288" i="41"/>
  <c r="D1287" i="41"/>
  <c r="D1286" i="41"/>
  <c r="D1285" i="41"/>
  <c r="D1284" i="41"/>
  <c r="D1283" i="41"/>
  <c r="D1282" i="41"/>
  <c r="D1281" i="41"/>
  <c r="D1280" i="41"/>
  <c r="D1279" i="41"/>
  <c r="D1278" i="41"/>
  <c r="D1277" i="41"/>
  <c r="D1276" i="41"/>
  <c r="D1275" i="41"/>
  <c r="D1274" i="41"/>
  <c r="D1273" i="41"/>
  <c r="D1272" i="41"/>
  <c r="D1271" i="41"/>
  <c r="D1270" i="41"/>
  <c r="D1269" i="41"/>
  <c r="D1268" i="41"/>
  <c r="D1267" i="41"/>
  <c r="D1266" i="41"/>
  <c r="D1265" i="41"/>
  <c r="D1264" i="41"/>
  <c r="D1263" i="41"/>
  <c r="D1261" i="41"/>
  <c r="D1259" i="41"/>
  <c r="D1257" i="41"/>
  <c r="D1255" i="41"/>
  <c r="D1253" i="41"/>
  <c r="D1252" i="41"/>
  <c r="D1251" i="41"/>
  <c r="D1250" i="41"/>
  <c r="D1249" i="41"/>
  <c r="D1248" i="41"/>
  <c r="D1247" i="41"/>
  <c r="D1246" i="41"/>
  <c r="D1245" i="41"/>
  <c r="D1244" i="41"/>
  <c r="D1243" i="41"/>
  <c r="D1242" i="41"/>
  <c r="D1241" i="41"/>
  <c r="D1240" i="41"/>
  <c r="D1239" i="41"/>
  <c r="D1238" i="41"/>
  <c r="D1237" i="41"/>
  <c r="D1236" i="41"/>
  <c r="D1235" i="41"/>
  <c r="D1234" i="41"/>
  <c r="D1233" i="41"/>
  <c r="D1232" i="41"/>
  <c r="D1231" i="41"/>
  <c r="D1230" i="41"/>
  <c r="D1229" i="41"/>
  <c r="D1228" i="41"/>
  <c r="D1227" i="41"/>
  <c r="D1226" i="41"/>
  <c r="D1225" i="41"/>
  <c r="D1224" i="41"/>
  <c r="D1223" i="41"/>
  <c r="D1222" i="41"/>
  <c r="D1221" i="41"/>
  <c r="D1220" i="41"/>
  <c r="D1219" i="41"/>
  <c r="D1218" i="41"/>
  <c r="D1217" i="41"/>
  <c r="D1216" i="41"/>
  <c r="D1215" i="41"/>
  <c r="D1214" i="41"/>
  <c r="D1213" i="41"/>
  <c r="D1212" i="41"/>
  <c r="D1211" i="41"/>
  <c r="D1210" i="41"/>
  <c r="D1209" i="41"/>
  <c r="D1208" i="41"/>
  <c r="D1207" i="41"/>
  <c r="D1206" i="41"/>
  <c r="D1205" i="41"/>
  <c r="D1204" i="41"/>
  <c r="D1203" i="41"/>
  <c r="D1202" i="41"/>
  <c r="D1200" i="41"/>
  <c r="D1199" i="41"/>
  <c r="D1198" i="41"/>
  <c r="D1197" i="41"/>
  <c r="D1196" i="41"/>
  <c r="D1195" i="41"/>
  <c r="D1194" i="41"/>
  <c r="D1193" i="41"/>
  <c r="D1192" i="41"/>
  <c r="D1191" i="41"/>
  <c r="D1190" i="41"/>
  <c r="D1189" i="41"/>
  <c r="D1188" i="41"/>
  <c r="D1187" i="41"/>
  <c r="D1186" i="41"/>
  <c r="D1185" i="41"/>
  <c r="D1184" i="41"/>
  <c r="D1183" i="41"/>
  <c r="D1182" i="41"/>
  <c r="D1180" i="41"/>
  <c r="D1179" i="41"/>
  <c r="D1178" i="41"/>
  <c r="D1176" i="41"/>
  <c r="D1175" i="41"/>
  <c r="D1173" i="41"/>
  <c r="D1172" i="41"/>
  <c r="D1171" i="41"/>
  <c r="D1170" i="41"/>
  <c r="D1169" i="41"/>
  <c r="D1168" i="41"/>
  <c r="D1167" i="41"/>
  <c r="D1166" i="41"/>
  <c r="D1165" i="41"/>
  <c r="D1164" i="41"/>
  <c r="D1163" i="41"/>
  <c r="D1162" i="41"/>
  <c r="D1160" i="41"/>
  <c r="D1159" i="41"/>
  <c r="D1158" i="41"/>
  <c r="D1157" i="41"/>
  <c r="D1156" i="41"/>
  <c r="D1155" i="41"/>
  <c r="D1154" i="41"/>
  <c r="D1153" i="41"/>
  <c r="D1152" i="41"/>
  <c r="D1151" i="41"/>
  <c r="D1150" i="41"/>
  <c r="D1149" i="41"/>
  <c r="D1148" i="41"/>
  <c r="D1147" i="41"/>
  <c r="D1146" i="41"/>
  <c r="D1145" i="41"/>
  <c r="D1144" i="41"/>
  <c r="D1143" i="41"/>
  <c r="D1142" i="41"/>
  <c r="D1141" i="41"/>
  <c r="D1140" i="41"/>
  <c r="D1139" i="41"/>
  <c r="D1138" i="41"/>
  <c r="D1137" i="41"/>
  <c r="D1136" i="41"/>
  <c r="D1135" i="41"/>
  <c r="D1134" i="41"/>
  <c r="D1133" i="41"/>
  <c r="D1132" i="41"/>
  <c r="D1131" i="41"/>
  <c r="D1130" i="41"/>
  <c r="D1129" i="41"/>
  <c r="D1128" i="41"/>
  <c r="D1127" i="41"/>
  <c r="D1126" i="41"/>
  <c r="D1125" i="41"/>
  <c r="D1124" i="41"/>
  <c r="D1123" i="41"/>
  <c r="D1122" i="41"/>
  <c r="D1121" i="41"/>
  <c r="D1120" i="41"/>
  <c r="D1117" i="41"/>
  <c r="D1116" i="41"/>
  <c r="D1115" i="41"/>
  <c r="D1114" i="41"/>
  <c r="D1113" i="41"/>
  <c r="D1112" i="41"/>
  <c r="D1111" i="41"/>
  <c r="D1110" i="41"/>
  <c r="D1109" i="41"/>
  <c r="D1108" i="41"/>
  <c r="D1107" i="41"/>
  <c r="D1106" i="41"/>
  <c r="D1105" i="41"/>
  <c r="D1104" i="41"/>
  <c r="D1103" i="41"/>
  <c r="D1102" i="41"/>
  <c r="D1101" i="41"/>
  <c r="D1100" i="41"/>
  <c r="D1099" i="41"/>
  <c r="D1098" i="41"/>
  <c r="D1097" i="41"/>
  <c r="D1096" i="41"/>
  <c r="D1095" i="41"/>
  <c r="D1094" i="41"/>
  <c r="D1093" i="41"/>
  <c r="D1092" i="41"/>
  <c r="D1091" i="41"/>
  <c r="D1090" i="41"/>
  <c r="D1089" i="41"/>
  <c r="D1088" i="41"/>
  <c r="D1087" i="41"/>
  <c r="D1086" i="41"/>
  <c r="D1085" i="41"/>
  <c r="D1084" i="41"/>
  <c r="D1083" i="41"/>
  <c r="D1082" i="41"/>
  <c r="D1081" i="41"/>
  <c r="D1080" i="41"/>
  <c r="D1079" i="41"/>
  <c r="D1078" i="41"/>
  <c r="D1077" i="41"/>
  <c r="D1076" i="41"/>
  <c r="D1075" i="41"/>
  <c r="D1074" i="41"/>
  <c r="D1073" i="41"/>
  <c r="D1072" i="41"/>
  <c r="D1071" i="41"/>
  <c r="D1070" i="41"/>
  <c r="D1069" i="41"/>
  <c r="D1068" i="41"/>
  <c r="D1067" i="41"/>
  <c r="D1066" i="41"/>
  <c r="D1065" i="41"/>
  <c r="D1064" i="41"/>
  <c r="D1063" i="41"/>
  <c r="D1062" i="41"/>
  <c r="D1061" i="41"/>
  <c r="D1060" i="41"/>
  <c r="D1059" i="41"/>
  <c r="D1058" i="41"/>
  <c r="D1057" i="41"/>
  <c r="D1056" i="41"/>
  <c r="D1055" i="41"/>
  <c r="D1054" i="41"/>
  <c r="D1053" i="41"/>
  <c r="D1052" i="41"/>
  <c r="D1051" i="41"/>
  <c r="D1050" i="41"/>
  <c r="D1049" i="41"/>
  <c r="D1048" i="41"/>
  <c r="D1047" i="41"/>
  <c r="D1046" i="41"/>
  <c r="D1045" i="41"/>
  <c r="D1044" i="41"/>
  <c r="D1043" i="41"/>
  <c r="D1042" i="41"/>
  <c r="D1041" i="41"/>
  <c r="D1040" i="41"/>
  <c r="D1039" i="41"/>
  <c r="D1038" i="41"/>
  <c r="D1037" i="41"/>
  <c r="D1035" i="41"/>
  <c r="D1034" i="41"/>
  <c r="D1033" i="41"/>
  <c r="D1032" i="41"/>
  <c r="D1031" i="41"/>
  <c r="D1030" i="41"/>
  <c r="D1029" i="41"/>
  <c r="D1028" i="41"/>
  <c r="D1027" i="41"/>
  <c r="D1026" i="41"/>
  <c r="D1025" i="41"/>
  <c r="D1024" i="41"/>
  <c r="D1023" i="41"/>
  <c r="D1022" i="41"/>
  <c r="D1021" i="41"/>
  <c r="D1020" i="41"/>
  <c r="D1019" i="41"/>
  <c r="D1018" i="41"/>
  <c r="D1017" i="41"/>
  <c r="D1016" i="41"/>
  <c r="D1015" i="41"/>
  <c r="D1014" i="41"/>
  <c r="D1013" i="41"/>
  <c r="D1012" i="41"/>
  <c r="D1011" i="41"/>
  <c r="D1010" i="41"/>
  <c r="E1009" i="41"/>
  <c r="E1008" i="41"/>
  <c r="E1007" i="41"/>
  <c r="E1006" i="41"/>
  <c r="E1005" i="41"/>
  <c r="E1003" i="41"/>
  <c r="E1002" i="41"/>
  <c r="E1001" i="41"/>
  <c r="E1000" i="41"/>
  <c r="E999" i="41"/>
  <c r="E998" i="41"/>
  <c r="E997" i="41"/>
  <c r="E996" i="41"/>
  <c r="E995" i="41"/>
  <c r="E993" i="41"/>
  <c r="E992" i="41"/>
  <c r="E991" i="41"/>
  <c r="E990" i="41"/>
  <c r="E988" i="41"/>
  <c r="E986" i="41"/>
  <c r="E980" i="41"/>
  <c r="E975" i="41"/>
  <c r="E974" i="41"/>
  <c r="E973" i="41"/>
  <c r="E970" i="41"/>
  <c r="E969" i="41"/>
  <c r="E968" i="41"/>
  <c r="E967" i="41"/>
  <c r="E966" i="41"/>
  <c r="E964" i="41"/>
  <c r="E963" i="41"/>
  <c r="E962" i="41"/>
  <c r="E960" i="41"/>
  <c r="E959" i="41"/>
  <c r="E957" i="41"/>
  <c r="E956" i="41"/>
  <c r="E955" i="41"/>
  <c r="E954" i="41"/>
  <c r="E953" i="41"/>
  <c r="E952" i="41"/>
  <c r="E951" i="41"/>
  <c r="E949" i="41"/>
  <c r="E948" i="41"/>
  <c r="E947" i="41"/>
  <c r="E943" i="41"/>
  <c r="E942" i="41"/>
  <c r="E941" i="41"/>
  <c r="E934" i="41"/>
  <c r="E933" i="41"/>
  <c r="E930" i="41"/>
  <c r="E926" i="41"/>
  <c r="E915" i="41"/>
  <c r="E913" i="41"/>
  <c r="E903" i="41"/>
  <c r="E902" i="41"/>
  <c r="E901" i="41"/>
  <c r="E898" i="41"/>
  <c r="E897" i="41"/>
  <c r="E896" i="41"/>
  <c r="E895" i="41"/>
  <c r="E894" i="41"/>
  <c r="E891" i="41"/>
  <c r="E889" i="41"/>
  <c r="E884" i="41"/>
  <c r="E880" i="41"/>
  <c r="E871" i="41"/>
  <c r="E870" i="41"/>
  <c r="E869" i="41"/>
  <c r="E866" i="41"/>
  <c r="E865" i="41"/>
  <c r="E863" i="41"/>
  <c r="E862" i="41"/>
  <c r="E861" i="41"/>
  <c r="E859" i="41"/>
  <c r="E857" i="41"/>
  <c r="E856" i="41"/>
  <c r="E855" i="41"/>
  <c r="E854" i="41"/>
  <c r="E853" i="41"/>
  <c r="E852" i="41"/>
  <c r="E850" i="41"/>
  <c r="E849" i="41"/>
  <c r="E848" i="41"/>
  <c r="E847" i="41"/>
  <c r="E846" i="41"/>
  <c r="E842" i="41"/>
  <c r="E841" i="41"/>
  <c r="E840" i="41"/>
  <c r="E839" i="41"/>
  <c r="E835" i="41"/>
  <c r="E834" i="41"/>
  <c r="E829" i="41"/>
  <c r="E810" i="41"/>
  <c r="E804" i="41"/>
  <c r="E803" i="41"/>
  <c r="E802" i="41"/>
  <c r="E796" i="41"/>
  <c r="E795" i="41"/>
  <c r="E794" i="41"/>
  <c r="E793" i="41"/>
  <c r="E792" i="41"/>
  <c r="E791" i="41"/>
  <c r="E789" i="41"/>
  <c r="E787" i="41"/>
  <c r="E780" i="41"/>
  <c r="E778" i="41"/>
  <c r="E776" i="41"/>
  <c r="E772" i="41"/>
  <c r="E771" i="41"/>
  <c r="E768" i="41"/>
  <c r="E757" i="41"/>
  <c r="E756" i="41"/>
  <c r="E755" i="41"/>
  <c r="E754" i="41"/>
  <c r="E753" i="41"/>
  <c r="E752" i="41"/>
  <c r="E751" i="41"/>
  <c r="E750" i="41"/>
  <c r="E749" i="41"/>
  <c r="E747" i="41"/>
  <c r="E746" i="41"/>
  <c r="E745" i="41"/>
  <c r="E744" i="41"/>
  <c r="E743" i="41"/>
  <c r="E742" i="41"/>
  <c r="E740" i="41"/>
  <c r="E738" i="41"/>
  <c r="E737" i="41"/>
  <c r="E732" i="41"/>
  <c r="E730" i="41"/>
  <c r="E725" i="41"/>
  <c r="E715" i="41"/>
  <c r="E714" i="41"/>
  <c r="E713" i="41"/>
  <c r="E711" i="41"/>
  <c r="E710" i="41"/>
  <c r="E706" i="41"/>
  <c r="E705" i="41"/>
  <c r="E704" i="41"/>
  <c r="E703" i="41"/>
  <c r="E702" i="41"/>
  <c r="E701" i="41"/>
  <c r="E700" i="41"/>
  <c r="E699" i="41"/>
  <c r="E698" i="41"/>
  <c r="E697" i="41"/>
  <c r="E696" i="41"/>
  <c r="E695" i="41"/>
  <c r="E692" i="41"/>
  <c r="E690" i="41"/>
  <c r="E689" i="41"/>
  <c r="E687" i="41"/>
  <c r="E686" i="41"/>
  <c r="E685" i="41"/>
  <c r="E684" i="41"/>
  <c r="E683" i="41"/>
  <c r="E682" i="41"/>
  <c r="E680" i="41"/>
  <c r="E679" i="41"/>
  <c r="E678" i="41"/>
  <c r="E673" i="41"/>
  <c r="E670" i="41"/>
  <c r="E669" i="41"/>
  <c r="E666" i="41"/>
  <c r="E665" i="41"/>
  <c r="E664" i="41"/>
  <c r="E662" i="41"/>
  <c r="E661" i="41"/>
  <c r="E658" i="41"/>
  <c r="E654" i="41"/>
  <c r="E653" i="41"/>
  <c r="E652" i="41"/>
  <c r="E651" i="41"/>
  <c r="E649" i="41"/>
  <c r="E648" i="41"/>
  <c r="E647" i="41"/>
  <c r="E646" i="41"/>
  <c r="E645" i="41"/>
  <c r="E643" i="41"/>
  <c r="E642" i="41"/>
  <c r="E641" i="41"/>
  <c r="E640" i="41"/>
  <c r="E639" i="41"/>
  <c r="E638" i="41"/>
  <c r="E637" i="41"/>
  <c r="E636" i="41"/>
  <c r="E635" i="41"/>
  <c r="E634" i="41"/>
  <c r="E633" i="41"/>
  <c r="E632" i="41"/>
  <c r="E631" i="41"/>
  <c r="E630" i="41"/>
  <c r="E629" i="41"/>
  <c r="E628" i="41"/>
  <c r="E627" i="41"/>
  <c r="E626" i="41"/>
  <c r="E625" i="41"/>
  <c r="E624" i="41"/>
  <c r="E623" i="41"/>
  <c r="E622" i="41"/>
  <c r="E621" i="41"/>
  <c r="E620" i="41"/>
  <c r="E619" i="41"/>
  <c r="E618" i="41"/>
  <c r="E616" i="41"/>
  <c r="E615" i="41"/>
  <c r="E614" i="41"/>
  <c r="E608" i="41"/>
  <c r="E606" i="41"/>
  <c r="E603" i="41"/>
  <c r="E600" i="41"/>
  <c r="E598" i="41"/>
  <c r="E595" i="41"/>
  <c r="E594" i="41"/>
  <c r="E592" i="41"/>
  <c r="E590" i="41"/>
  <c r="E586" i="41"/>
  <c r="E576" i="41"/>
  <c r="E575" i="41"/>
  <c r="E574" i="41"/>
  <c r="E573" i="41"/>
  <c r="E572" i="41"/>
  <c r="E568" i="41"/>
  <c r="E567" i="41"/>
  <c r="E560" i="41"/>
  <c r="E559" i="41"/>
  <c r="E557" i="41"/>
  <c r="E549" i="41"/>
  <c r="E548" i="41"/>
  <c r="D547" i="41"/>
  <c r="D546" i="41"/>
  <c r="D545" i="41"/>
  <c r="D544" i="41"/>
  <c r="D543" i="41"/>
  <c r="D542" i="41"/>
  <c r="D541" i="41"/>
  <c r="D540" i="41"/>
  <c r="D539" i="41"/>
  <c r="D538" i="41"/>
  <c r="D537" i="41"/>
  <c r="D536" i="41"/>
  <c r="D535" i="41"/>
  <c r="D534" i="41"/>
  <c r="D533" i="41"/>
  <c r="D532" i="41"/>
  <c r="D531" i="41"/>
  <c r="D530" i="41"/>
  <c r="D529" i="41"/>
  <c r="D528" i="41"/>
  <c r="D527" i="41"/>
  <c r="D526" i="41"/>
  <c r="D525" i="41"/>
  <c r="D524" i="41"/>
  <c r="D523" i="41"/>
  <c r="D522" i="41"/>
  <c r="D521" i="41"/>
  <c r="D520" i="41"/>
  <c r="D519" i="41"/>
  <c r="D518" i="41"/>
  <c r="D517" i="41"/>
  <c r="D516" i="41"/>
  <c r="D515" i="41"/>
  <c r="D514" i="41"/>
  <c r="D513" i="41"/>
  <c r="D512" i="41"/>
  <c r="D511" i="41"/>
  <c r="D510" i="41"/>
  <c r="D509" i="41"/>
  <c r="D508" i="41"/>
  <c r="D507" i="41"/>
  <c r="D506" i="41"/>
  <c r="D505" i="41"/>
  <c r="D504" i="41"/>
  <c r="D503" i="41"/>
  <c r="D502" i="41"/>
  <c r="D501" i="41"/>
  <c r="D500" i="41"/>
  <c r="D499" i="41"/>
  <c r="D498" i="41"/>
  <c r="D497" i="41"/>
  <c r="D496" i="41"/>
  <c r="D495" i="41"/>
  <c r="D494" i="41"/>
  <c r="D493" i="41"/>
  <c r="D492" i="41"/>
  <c r="D491" i="41"/>
  <c r="D490" i="41"/>
  <c r="D489" i="41"/>
  <c r="D488" i="41"/>
  <c r="D487" i="41"/>
  <c r="D486" i="41"/>
  <c r="D485" i="41"/>
  <c r="D484" i="41"/>
  <c r="D483" i="41"/>
  <c r="D482" i="41"/>
  <c r="D481" i="41"/>
  <c r="D480" i="41"/>
  <c r="D479" i="41"/>
  <c r="D478" i="41"/>
  <c r="D477" i="41"/>
  <c r="D476" i="41"/>
  <c r="D475" i="41"/>
  <c r="D474" i="41"/>
  <c r="D473" i="41"/>
  <c r="D472" i="41"/>
  <c r="D471" i="41"/>
  <c r="D470" i="41"/>
  <c r="D469" i="41"/>
  <c r="D468" i="41"/>
  <c r="D464" i="41"/>
  <c r="D463" i="41"/>
  <c r="D462" i="41"/>
  <c r="D461" i="41"/>
  <c r="D460" i="41"/>
  <c r="D459" i="41"/>
  <c r="D458" i="41"/>
  <c r="D457" i="41"/>
  <c r="D456" i="41"/>
  <c r="D455" i="41"/>
  <c r="D454" i="41"/>
  <c r="D453" i="41"/>
  <c r="D452" i="41"/>
  <c r="D451" i="41"/>
  <c r="D450" i="41"/>
  <c r="D449" i="41"/>
  <c r="D448" i="41"/>
  <c r="D447" i="41"/>
  <c r="D446" i="41"/>
  <c r="D445" i="41"/>
  <c r="D444" i="41"/>
  <c r="D443" i="41"/>
  <c r="D442" i="41"/>
  <c r="D441" i="41"/>
  <c r="D440" i="41"/>
  <c r="D439" i="41"/>
  <c r="D438" i="41"/>
  <c r="D437" i="41"/>
  <c r="D436" i="41"/>
  <c r="D435" i="41"/>
  <c r="D434" i="41"/>
  <c r="D433" i="41"/>
  <c r="D432" i="41"/>
  <c r="D431" i="41"/>
  <c r="D429" i="41"/>
  <c r="D428" i="41"/>
  <c r="D427" i="41"/>
  <c r="D426" i="41"/>
  <c r="D425" i="41"/>
  <c r="D424" i="41"/>
  <c r="D423" i="41"/>
  <c r="D422" i="41"/>
  <c r="D421" i="41"/>
  <c r="D420" i="41"/>
  <c r="D419" i="41"/>
  <c r="D418" i="41"/>
  <c r="D417" i="41"/>
  <c r="D416" i="41"/>
  <c r="D415" i="41"/>
  <c r="D414" i="41"/>
  <c r="D413" i="41"/>
  <c r="D412" i="41"/>
  <c r="D411" i="41"/>
  <c r="D410" i="41"/>
  <c r="D409" i="41"/>
  <c r="D408" i="41"/>
  <c r="D407" i="41"/>
  <c r="D406" i="41"/>
  <c r="D405" i="41"/>
  <c r="D404" i="41"/>
  <c r="D403" i="41"/>
  <c r="D402" i="41"/>
  <c r="D401" i="41"/>
  <c r="D400" i="41"/>
  <c r="D399" i="41"/>
  <c r="D398" i="41"/>
  <c r="D397" i="41"/>
  <c r="D396" i="41"/>
  <c r="D395" i="41"/>
  <c r="D394" i="41"/>
  <c r="D393" i="41"/>
  <c r="D392" i="41"/>
  <c r="D391" i="41"/>
  <c r="D390" i="41"/>
  <c r="D389" i="41"/>
  <c r="D388" i="41"/>
  <c r="D387" i="41"/>
  <c r="D386" i="41"/>
  <c r="D385" i="41"/>
  <c r="D384" i="41"/>
  <c r="D383" i="41"/>
  <c r="D382" i="41"/>
  <c r="D381" i="41"/>
  <c r="D380" i="41"/>
  <c r="D379" i="41"/>
  <c r="D378" i="41"/>
  <c r="D377" i="41"/>
  <c r="D376" i="41"/>
  <c r="D375" i="41"/>
  <c r="D374" i="41"/>
  <c r="D373" i="41"/>
  <c r="D371" i="41"/>
  <c r="D370" i="41"/>
  <c r="D369" i="41"/>
  <c r="D368" i="41"/>
  <c r="D367" i="41"/>
  <c r="D366" i="41"/>
  <c r="D365" i="41"/>
  <c r="D364" i="41"/>
  <c r="D363" i="41"/>
  <c r="D361" i="41"/>
  <c r="D360" i="41"/>
  <c r="D359" i="41"/>
  <c r="D358" i="41"/>
  <c r="D357" i="41"/>
  <c r="D356" i="41"/>
  <c r="D355" i="41"/>
  <c r="D354" i="41"/>
  <c r="D351" i="41"/>
  <c r="D350" i="41"/>
  <c r="D349" i="41"/>
  <c r="D348" i="41"/>
  <c r="D347" i="41"/>
  <c r="D346" i="41"/>
  <c r="D345" i="41"/>
  <c r="D344" i="41"/>
  <c r="D343" i="41"/>
  <c r="D342" i="41"/>
  <c r="D341" i="41"/>
  <c r="D340" i="41"/>
  <c r="D339" i="41"/>
  <c r="D338" i="41"/>
  <c r="D337" i="41"/>
  <c r="D336" i="41"/>
  <c r="D335" i="41"/>
  <c r="D334" i="41"/>
  <c r="D333" i="41"/>
  <c r="D332" i="41"/>
  <c r="D331" i="41"/>
  <c r="D330" i="41"/>
  <c r="D329" i="41"/>
  <c r="D328" i="41"/>
  <c r="D327" i="41"/>
  <c r="D326" i="41"/>
  <c r="D325" i="41"/>
  <c r="D324" i="41"/>
  <c r="D322" i="41"/>
  <c r="D321" i="41"/>
  <c r="D320" i="41"/>
  <c r="D319" i="41"/>
  <c r="D318" i="41"/>
  <c r="D317" i="41"/>
  <c r="D316" i="41"/>
  <c r="D315" i="41"/>
  <c r="D314" i="41"/>
  <c r="D313" i="41"/>
  <c r="D312" i="41"/>
  <c r="D311" i="41"/>
  <c r="D310" i="41"/>
  <c r="D309" i="41"/>
  <c r="D308" i="41"/>
  <c r="D307" i="41"/>
  <c r="D306" i="41"/>
  <c r="D305" i="41"/>
  <c r="D304" i="41"/>
  <c r="D303" i="41"/>
  <c r="D302" i="41"/>
  <c r="D301" i="41"/>
  <c r="D300" i="41"/>
  <c r="D299" i="41"/>
  <c r="D298" i="41"/>
  <c r="D297" i="41"/>
  <c r="D296" i="41"/>
  <c r="D295" i="41"/>
  <c r="D294" i="41"/>
  <c r="D293" i="41"/>
  <c r="D292" i="41"/>
  <c r="D291" i="41"/>
  <c r="D290" i="41"/>
  <c r="D289" i="41"/>
  <c r="D288" i="41"/>
  <c r="D287" i="41"/>
  <c r="D286" i="41"/>
  <c r="D285" i="41"/>
  <c r="D284" i="41"/>
  <c r="D283" i="41"/>
  <c r="D282" i="41"/>
  <c r="D281" i="41"/>
  <c r="D280" i="41"/>
  <c r="D279" i="41"/>
  <c r="D278" i="41"/>
  <c r="D277" i="41"/>
  <c r="D276" i="41"/>
  <c r="D275" i="41"/>
  <c r="D274" i="41"/>
  <c r="D273" i="41"/>
  <c r="D272" i="41"/>
  <c r="D271" i="41"/>
  <c r="D270" i="41"/>
  <c r="D269" i="41"/>
  <c r="D268" i="41"/>
  <c r="D267" i="41"/>
  <c r="D266" i="41"/>
  <c r="D264" i="41"/>
  <c r="D263" i="41"/>
  <c r="D262" i="41"/>
  <c r="D261" i="41"/>
  <c r="D260" i="41"/>
  <c r="D259" i="41"/>
  <c r="D258" i="41"/>
  <c r="D257" i="41"/>
  <c r="D256" i="41"/>
  <c r="D255" i="41"/>
  <c r="D254" i="41"/>
  <c r="D253" i="41"/>
  <c r="D252" i="41"/>
  <c r="D251" i="41"/>
  <c r="D250" i="41"/>
  <c r="D249" i="41"/>
  <c r="D248" i="41"/>
  <c r="D247" i="41"/>
  <c r="D246" i="41"/>
  <c r="D245" i="41"/>
  <c r="D244" i="41"/>
  <c r="D243" i="41"/>
  <c r="D242" i="41"/>
  <c r="D241" i="41"/>
  <c r="D240" i="41"/>
  <c r="D239" i="41"/>
  <c r="D238" i="41"/>
  <c r="D237" i="41"/>
  <c r="D236" i="41"/>
  <c r="D235" i="41"/>
  <c r="D234" i="41"/>
  <c r="D233" i="41"/>
  <c r="D232" i="41"/>
  <c r="D231" i="41"/>
  <c r="D230" i="41"/>
  <c r="D229" i="41"/>
  <c r="D228" i="41"/>
  <c r="D227" i="41"/>
  <c r="D226" i="41"/>
  <c r="D225" i="41"/>
  <c r="D224" i="41"/>
  <c r="D223" i="41"/>
  <c r="D222" i="41"/>
  <c r="D221" i="41"/>
  <c r="D220" i="41"/>
  <c r="D219" i="41"/>
  <c r="D218" i="41"/>
  <c r="D217" i="41"/>
  <c r="D216" i="41"/>
  <c r="D215" i="41"/>
  <c r="D214" i="41"/>
  <c r="D213" i="41"/>
  <c r="D212" i="41"/>
  <c r="D211" i="41"/>
  <c r="D210" i="41"/>
  <c r="D209" i="41"/>
  <c r="D208" i="41"/>
  <c r="D207" i="41"/>
  <c r="D206" i="41"/>
  <c r="D205" i="41"/>
  <c r="D204" i="41"/>
  <c r="D203" i="41"/>
  <c r="D202" i="41"/>
  <c r="D201" i="41"/>
  <c r="D200" i="41"/>
  <c r="D199" i="41"/>
  <c r="D198" i="41"/>
  <c r="D197" i="41"/>
  <c r="D196" i="41"/>
  <c r="D195" i="41"/>
  <c r="D194" i="41"/>
  <c r="D193" i="41"/>
  <c r="D192" i="41"/>
  <c r="D191" i="41"/>
  <c r="D190" i="41"/>
  <c r="D189" i="41"/>
  <c r="D188" i="41"/>
  <c r="D187" i="41"/>
  <c r="D186" i="41"/>
  <c r="D185" i="41"/>
  <c r="D184" i="41"/>
  <c r="D183" i="41"/>
  <c r="D182" i="41"/>
  <c r="D181" i="41"/>
  <c r="D180" i="41"/>
  <c r="D179" i="41"/>
  <c r="D178" i="41"/>
  <c r="D177" i="41"/>
  <c r="D176" i="41"/>
  <c r="D175" i="41"/>
  <c r="D174" i="41"/>
  <c r="D173" i="41"/>
  <c r="D172" i="41"/>
  <c r="D171" i="41"/>
  <c r="D168" i="41"/>
  <c r="D166" i="41"/>
  <c r="D165" i="41"/>
  <c r="D164" i="41"/>
  <c r="D163" i="41"/>
  <c r="D162" i="41"/>
  <c r="D161" i="41"/>
  <c r="D160" i="41"/>
  <c r="D159" i="41"/>
  <c r="D158" i="41"/>
  <c r="D157" i="41"/>
  <c r="D156" i="41"/>
  <c r="D155" i="41"/>
  <c r="D154" i="41"/>
  <c r="D153" i="41"/>
  <c r="D152" i="41"/>
  <c r="D151" i="41"/>
  <c r="D150" i="41"/>
  <c r="D149" i="41"/>
  <c r="D148" i="41"/>
  <c r="D147" i="41"/>
  <c r="D146" i="41"/>
  <c r="D145" i="41"/>
  <c r="D144" i="41"/>
  <c r="D143" i="41"/>
  <c r="D142" i="41"/>
  <c r="D141" i="41"/>
  <c r="D140" i="41"/>
  <c r="D139" i="41"/>
  <c r="D138" i="41"/>
  <c r="D137" i="41"/>
  <c r="D136" i="41"/>
  <c r="D135" i="41"/>
  <c r="D134" i="41"/>
  <c r="D133" i="41"/>
  <c r="D132" i="41"/>
  <c r="D131" i="41"/>
  <c r="D130" i="41"/>
  <c r="D129" i="41"/>
  <c r="D128" i="41"/>
  <c r="D127" i="41"/>
  <c r="D126" i="41"/>
  <c r="D125" i="41"/>
  <c r="D124" i="41"/>
  <c r="D123" i="41"/>
  <c r="D122" i="41"/>
  <c r="D121" i="41"/>
  <c r="D120" i="41"/>
  <c r="D119" i="41"/>
  <c r="D118" i="41"/>
  <c r="D117" i="41"/>
  <c r="D116" i="41"/>
  <c r="D115" i="41"/>
  <c r="D114" i="41"/>
  <c r="D113" i="41"/>
  <c r="D112" i="41"/>
  <c r="D111" i="41"/>
  <c r="D110" i="41"/>
  <c r="D109" i="41"/>
  <c r="D108" i="41"/>
  <c r="D107" i="41"/>
  <c r="D106" i="41"/>
  <c r="D105" i="41"/>
  <c r="D104" i="41"/>
  <c r="D103" i="41"/>
  <c r="D102" i="41"/>
  <c r="D101" i="41"/>
  <c r="D100" i="41"/>
  <c r="D99" i="41"/>
  <c r="D98" i="41"/>
  <c r="D96" i="41"/>
  <c r="D95" i="41"/>
  <c r="D94" i="41"/>
  <c r="D93" i="41"/>
  <c r="D92" i="41"/>
  <c r="D91" i="41"/>
  <c r="D90" i="41"/>
  <c r="D89" i="41"/>
  <c r="D88" i="41"/>
  <c r="D87" i="41"/>
  <c r="D86" i="41"/>
  <c r="D85" i="41"/>
  <c r="D84" i="41"/>
  <c r="D83" i="41"/>
  <c r="D82" i="41"/>
  <c r="D81" i="41"/>
  <c r="D80" i="41"/>
  <c r="D79" i="41"/>
  <c r="D78" i="41"/>
  <c r="D77" i="41"/>
  <c r="D76" i="41"/>
  <c r="D75" i="41"/>
  <c r="D74" i="41"/>
  <c r="D73" i="41"/>
  <c r="D72" i="41"/>
  <c r="D71" i="41"/>
  <c r="D70" i="41"/>
  <c r="D69" i="41"/>
  <c r="D68" i="41"/>
  <c r="D67" i="41"/>
  <c r="D66" i="41"/>
  <c r="D65" i="41"/>
  <c r="D64" i="41"/>
  <c r="D63" i="41"/>
  <c r="D62" i="41"/>
  <c r="D61" i="41"/>
  <c r="D60" i="41"/>
  <c r="D59" i="41"/>
  <c r="D58" i="41"/>
  <c r="D57" i="41"/>
  <c r="D56" i="41"/>
  <c r="D55" i="41"/>
  <c r="D54" i="41"/>
  <c r="D53" i="41"/>
  <c r="D52" i="41"/>
  <c r="D51" i="41"/>
  <c r="D50" i="41"/>
  <c r="D49" i="41"/>
  <c r="D48" i="41"/>
  <c r="D47" i="41"/>
  <c r="D46" i="41"/>
  <c r="D45" i="41"/>
  <c r="D44" i="41"/>
  <c r="D43" i="41"/>
  <c r="D42" i="41"/>
  <c r="D41" i="41"/>
  <c r="D40" i="41"/>
  <c r="D39" i="41"/>
  <c r="D38" i="41"/>
  <c r="D37" i="41"/>
  <c r="D36" i="41"/>
  <c r="D35" i="41"/>
  <c r="D34" i="41"/>
  <c r="D33" i="41"/>
  <c r="D32" i="41"/>
  <c r="D31" i="41"/>
  <c r="D30" i="41"/>
  <c r="D29" i="41"/>
  <c r="D28" i="41"/>
  <c r="D27" i="41"/>
  <c r="D26" i="41"/>
  <c r="D25" i="41"/>
  <c r="D24" i="41"/>
  <c r="D23" i="41"/>
  <c r="D22" i="41"/>
  <c r="D21" i="41"/>
  <c r="D20" i="41"/>
  <c r="D19" i="41"/>
  <c r="D18" i="41"/>
  <c r="D17" i="41"/>
  <c r="D16" i="41"/>
  <c r="D15" i="41"/>
  <c r="D14" i="41"/>
  <c r="D13" i="41"/>
  <c r="D12" i="41"/>
  <c r="D11" i="41"/>
  <c r="D10" i="41"/>
  <c r="D9" i="41"/>
  <c r="D8" i="41"/>
  <c r="D7" i="41"/>
  <c r="D6" i="41"/>
  <c r="D5" i="41"/>
  <c r="D4" i="41"/>
  <c r="D3" i="41"/>
  <c r="D2" i="41"/>
  <c r="Q493" i="40"/>
  <c r="K493" i="40"/>
  <c r="Q492" i="40"/>
  <c r="K492" i="40"/>
  <c r="Q491" i="40"/>
  <c r="K491" i="40"/>
  <c r="Q490" i="40"/>
  <c r="K490" i="40"/>
  <c r="Q489" i="40"/>
  <c r="K489" i="40"/>
  <c r="Q488" i="40"/>
  <c r="K488" i="40"/>
  <c r="Q487" i="40"/>
  <c r="K487" i="40"/>
  <c r="Q486" i="40"/>
  <c r="K486" i="40"/>
  <c r="Q485" i="40"/>
  <c r="K485" i="40"/>
  <c r="Q484" i="40"/>
  <c r="K484" i="40"/>
  <c r="Q483" i="40"/>
  <c r="K483" i="40"/>
  <c r="Q482" i="40"/>
  <c r="K482" i="40"/>
  <c r="Q481" i="40"/>
  <c r="K481" i="40"/>
  <c r="Q480" i="40"/>
  <c r="K480" i="40"/>
  <c r="Q479" i="40"/>
  <c r="K479" i="40"/>
  <c r="Q478" i="40"/>
  <c r="K478" i="40"/>
  <c r="Q477" i="40"/>
  <c r="K477" i="40"/>
  <c r="Q476" i="40"/>
  <c r="K476" i="40"/>
  <c r="Q475" i="40"/>
  <c r="K475" i="40"/>
  <c r="Q474" i="40"/>
  <c r="K474" i="40"/>
  <c r="Q473" i="40"/>
  <c r="K473" i="40"/>
  <c r="Q472" i="40"/>
  <c r="K472" i="40"/>
  <c r="Q471" i="40"/>
  <c r="K471" i="40"/>
  <c r="Q470" i="40"/>
  <c r="K470" i="40"/>
  <c r="Q469" i="40"/>
  <c r="K469" i="40"/>
  <c r="Q468" i="40"/>
  <c r="K468" i="40"/>
  <c r="Q467" i="40"/>
  <c r="K467" i="40"/>
  <c r="Q466" i="40"/>
  <c r="K466" i="40"/>
  <c r="Q465" i="40"/>
  <c r="K465" i="40"/>
  <c r="Q464" i="40"/>
  <c r="K464" i="40"/>
  <c r="Q463" i="40"/>
  <c r="K463" i="40"/>
  <c r="Q462" i="40"/>
  <c r="K462" i="40"/>
  <c r="Q461" i="40"/>
  <c r="K461" i="40"/>
  <c r="Q460" i="40"/>
  <c r="K460" i="40"/>
  <c r="Q459" i="40"/>
  <c r="K459" i="40"/>
  <c r="Q458" i="40"/>
  <c r="K458" i="40"/>
  <c r="Q457" i="40"/>
  <c r="K457" i="40"/>
  <c r="Q456" i="40"/>
  <c r="K456" i="40"/>
  <c r="Q455" i="40"/>
  <c r="K455" i="40"/>
  <c r="Q454" i="40"/>
  <c r="K454" i="40"/>
  <c r="Q453" i="40"/>
  <c r="K453" i="40"/>
  <c r="Q452" i="40"/>
  <c r="K452" i="40"/>
  <c r="Q451" i="40"/>
  <c r="K451" i="40"/>
  <c r="Q450" i="40"/>
  <c r="K450" i="40"/>
  <c r="Q449" i="40"/>
  <c r="K449" i="40"/>
  <c r="Q448" i="40"/>
  <c r="K448" i="40"/>
  <c r="Q447" i="40"/>
  <c r="K447" i="40"/>
  <c r="Q446" i="40"/>
  <c r="K446" i="40"/>
  <c r="Q445" i="40"/>
  <c r="K445" i="40"/>
  <c r="Q444" i="40"/>
  <c r="K444" i="40"/>
  <c r="Q443" i="40"/>
  <c r="K443" i="40"/>
  <c r="Q442" i="40"/>
  <c r="K442" i="40"/>
  <c r="Q441" i="40"/>
  <c r="K441" i="40"/>
  <c r="Q440" i="40"/>
  <c r="K440" i="40"/>
  <c r="Q439" i="40"/>
  <c r="K439" i="40"/>
  <c r="Q438" i="40"/>
  <c r="K438" i="40"/>
  <c r="Q437" i="40"/>
  <c r="K437" i="40"/>
  <c r="Q436" i="40"/>
  <c r="K436" i="40"/>
  <c r="Q435" i="40"/>
  <c r="K435" i="40"/>
  <c r="Q434" i="40"/>
  <c r="K434" i="40"/>
  <c r="Q433" i="40"/>
  <c r="K433" i="40"/>
  <c r="Q432" i="40"/>
  <c r="K432" i="40"/>
  <c r="Q431" i="40"/>
  <c r="K431" i="40"/>
  <c r="Q430" i="40"/>
  <c r="K430" i="40"/>
  <c r="Q429" i="40"/>
  <c r="K429" i="40"/>
  <c r="Q428" i="40"/>
  <c r="K428" i="40"/>
  <c r="Q427" i="40"/>
  <c r="K427" i="40"/>
  <c r="Q426" i="40"/>
  <c r="K426" i="40"/>
  <c r="Q425" i="40"/>
  <c r="K425" i="40"/>
  <c r="Q424" i="40"/>
  <c r="K424" i="40"/>
  <c r="Q423" i="40"/>
  <c r="K423" i="40"/>
  <c r="Q422" i="40"/>
  <c r="K422" i="40"/>
  <c r="Q421" i="40"/>
  <c r="K421" i="40"/>
  <c r="Q420" i="40"/>
  <c r="K420" i="40"/>
  <c r="Q419" i="40"/>
  <c r="K419" i="40"/>
  <c r="Q418" i="40"/>
  <c r="K418" i="40"/>
  <c r="Q417" i="40"/>
  <c r="K417" i="40"/>
  <c r="Q416" i="40"/>
  <c r="K416" i="40"/>
  <c r="Q415" i="40"/>
  <c r="K415" i="40"/>
  <c r="Q414" i="40"/>
  <c r="K414" i="40"/>
  <c r="Q413" i="40"/>
  <c r="K413" i="40"/>
  <c r="Q412" i="40"/>
  <c r="K412" i="40"/>
  <c r="Q411" i="40"/>
  <c r="K411" i="40"/>
  <c r="Q410" i="40"/>
  <c r="K410" i="40"/>
  <c r="Q409" i="40"/>
  <c r="K409" i="40"/>
  <c r="Q408" i="40"/>
  <c r="K408" i="40"/>
  <c r="Q407" i="40"/>
  <c r="K407" i="40"/>
  <c r="Q406" i="40"/>
  <c r="K406" i="40"/>
  <c r="Q405" i="40"/>
  <c r="K405" i="40"/>
  <c r="Q404" i="40"/>
  <c r="K404" i="40"/>
  <c r="Q403" i="40"/>
  <c r="K403" i="40"/>
  <c r="Q402" i="40"/>
  <c r="K402" i="40"/>
  <c r="Q401" i="40"/>
  <c r="K401" i="40"/>
  <c r="Q400" i="40"/>
  <c r="K400" i="40"/>
  <c r="Q399" i="40"/>
  <c r="K399" i="40"/>
  <c r="Q398" i="40"/>
  <c r="K398" i="40"/>
  <c r="Q397" i="40"/>
  <c r="K397" i="40"/>
  <c r="Q396" i="40"/>
  <c r="K396" i="40"/>
  <c r="Q395" i="40"/>
  <c r="K395" i="40"/>
  <c r="Q394" i="40"/>
  <c r="K394" i="40"/>
  <c r="Q393" i="40"/>
  <c r="K393" i="40"/>
  <c r="Q392" i="40"/>
  <c r="K392" i="40"/>
  <c r="Q391" i="40"/>
  <c r="K391" i="40"/>
  <c r="Q390" i="40"/>
  <c r="K390" i="40"/>
  <c r="Q389" i="40"/>
  <c r="K389" i="40"/>
  <c r="Q388" i="40"/>
  <c r="K388" i="40"/>
  <c r="Q387" i="40"/>
  <c r="K387" i="40"/>
  <c r="Q386" i="40"/>
  <c r="K386" i="40"/>
  <c r="Q385" i="40"/>
  <c r="K385" i="40"/>
  <c r="Q384" i="40"/>
  <c r="K384" i="40"/>
  <c r="Q383" i="40"/>
  <c r="K383" i="40"/>
  <c r="Q382" i="40"/>
  <c r="K382" i="40"/>
  <c r="Q381" i="40"/>
  <c r="K381" i="40"/>
  <c r="Q380" i="40"/>
  <c r="K380" i="40"/>
  <c r="Q379" i="40"/>
  <c r="K379" i="40"/>
  <c r="Q378" i="40"/>
  <c r="K378" i="40"/>
  <c r="Q377" i="40"/>
  <c r="K377" i="40"/>
  <c r="Q376" i="40"/>
  <c r="K376" i="40"/>
  <c r="Q375" i="40"/>
  <c r="K375" i="40"/>
  <c r="Q374" i="40"/>
  <c r="K374" i="40"/>
  <c r="Q373" i="40"/>
  <c r="K373" i="40"/>
  <c r="Q372" i="40"/>
  <c r="K372" i="40"/>
  <c r="Q371" i="40"/>
  <c r="K371" i="40"/>
  <c r="Q370" i="40"/>
  <c r="K370" i="40"/>
  <c r="Q369" i="40"/>
  <c r="K369" i="40"/>
  <c r="Q368" i="40"/>
  <c r="K368" i="40"/>
  <c r="Q367" i="40"/>
  <c r="K367" i="40"/>
  <c r="Q366" i="40"/>
  <c r="K366" i="40"/>
  <c r="Q365" i="40"/>
  <c r="K365" i="40"/>
  <c r="Q364" i="40"/>
  <c r="K364" i="40"/>
  <c r="Q363" i="40"/>
  <c r="K363" i="40"/>
  <c r="Q362" i="40"/>
  <c r="K362" i="40"/>
  <c r="Q361" i="40"/>
  <c r="K361" i="40"/>
  <c r="Q360" i="40"/>
  <c r="K360" i="40"/>
  <c r="Q359" i="40"/>
  <c r="K359" i="40"/>
  <c r="Q358" i="40"/>
  <c r="K358" i="40"/>
  <c r="Q357" i="40"/>
  <c r="K357" i="40"/>
  <c r="Q356" i="40"/>
  <c r="K356" i="40"/>
  <c r="Q355" i="40"/>
  <c r="K355" i="40"/>
  <c r="Q354" i="40"/>
  <c r="K354" i="40"/>
  <c r="Q353" i="40"/>
  <c r="K353" i="40"/>
  <c r="Q352" i="40"/>
  <c r="K352" i="40"/>
  <c r="Q351" i="40"/>
  <c r="K351" i="40"/>
  <c r="Q350" i="40"/>
  <c r="K350" i="40"/>
  <c r="Q349" i="40"/>
  <c r="K349" i="40"/>
  <c r="Q348" i="40"/>
  <c r="K348" i="40"/>
  <c r="Q347" i="40"/>
  <c r="K347" i="40"/>
  <c r="Q346" i="40"/>
  <c r="K346" i="40"/>
  <c r="Q345" i="40"/>
  <c r="K345" i="40"/>
  <c r="Q344" i="40"/>
  <c r="K344" i="40"/>
  <c r="Q343" i="40"/>
  <c r="K343" i="40"/>
  <c r="Q342" i="40"/>
  <c r="K342" i="40"/>
  <c r="Q341" i="40"/>
  <c r="K341" i="40"/>
  <c r="Q340" i="40"/>
  <c r="K340" i="40"/>
  <c r="Q339" i="40"/>
  <c r="K339" i="40"/>
  <c r="Q338" i="40"/>
  <c r="K338" i="40"/>
  <c r="Q337" i="40"/>
  <c r="K337" i="40"/>
  <c r="Q336" i="40"/>
  <c r="K336" i="40"/>
  <c r="Q335" i="40"/>
  <c r="K335" i="40"/>
  <c r="Q334" i="40"/>
  <c r="K334" i="40"/>
  <c r="Q333" i="40"/>
  <c r="K333" i="40"/>
  <c r="Q332" i="40"/>
  <c r="K332" i="40"/>
  <c r="Q331" i="40"/>
  <c r="K331" i="40"/>
  <c r="Q330" i="40"/>
  <c r="K330" i="40"/>
  <c r="Q329" i="40"/>
  <c r="K329" i="40"/>
  <c r="Q328" i="40"/>
  <c r="K328" i="40"/>
  <c r="Q327" i="40"/>
  <c r="K327" i="40"/>
  <c r="Q326" i="40"/>
  <c r="K326" i="40"/>
  <c r="Q325" i="40"/>
  <c r="K325" i="40"/>
  <c r="Q324" i="40"/>
  <c r="K324" i="40"/>
  <c r="Q323" i="40"/>
  <c r="K323" i="40"/>
  <c r="Q322" i="40"/>
  <c r="K322" i="40"/>
  <c r="Q321" i="40"/>
  <c r="K321" i="40"/>
  <c r="Q320" i="40"/>
  <c r="K320" i="40"/>
  <c r="Q319" i="40"/>
  <c r="K319" i="40"/>
  <c r="Q318" i="40"/>
  <c r="K318" i="40"/>
  <c r="Q317" i="40"/>
  <c r="K317" i="40"/>
  <c r="Q316" i="40"/>
  <c r="K316" i="40"/>
  <c r="Q315" i="40"/>
  <c r="K315" i="40"/>
  <c r="Q314" i="40"/>
  <c r="K314" i="40"/>
  <c r="Q313" i="40"/>
  <c r="K313" i="40"/>
  <c r="Q312" i="40"/>
  <c r="K312" i="40"/>
  <c r="Q311" i="40"/>
  <c r="K311" i="40"/>
  <c r="Q310" i="40"/>
  <c r="K310" i="40"/>
  <c r="Q309" i="40"/>
  <c r="K309" i="40"/>
  <c r="Q308" i="40"/>
  <c r="K308" i="40"/>
  <c r="Q307" i="40"/>
  <c r="K307" i="40"/>
  <c r="Q306" i="40"/>
  <c r="K306" i="40"/>
  <c r="Q305" i="40"/>
  <c r="K305" i="40"/>
  <c r="Q304" i="40"/>
  <c r="K304" i="40"/>
  <c r="Q303" i="40"/>
  <c r="K303" i="40"/>
  <c r="Q302" i="40"/>
  <c r="K302" i="40"/>
  <c r="Q301" i="40"/>
  <c r="K301" i="40"/>
  <c r="Q300" i="40"/>
  <c r="K300" i="40"/>
  <c r="Q299" i="40"/>
  <c r="K299" i="40"/>
  <c r="Q298" i="40"/>
  <c r="K298" i="40"/>
  <c r="Q297" i="40"/>
  <c r="K297" i="40"/>
  <c r="Q296" i="40"/>
  <c r="K296" i="40"/>
  <c r="Q295" i="40"/>
  <c r="K295" i="40"/>
  <c r="Q294" i="40"/>
  <c r="K294" i="40"/>
  <c r="Q293" i="40"/>
  <c r="K293" i="40"/>
  <c r="Q292" i="40"/>
  <c r="K292" i="40"/>
  <c r="Q291" i="40"/>
  <c r="K291" i="40"/>
  <c r="Q290" i="40"/>
  <c r="K290" i="40"/>
  <c r="Q289" i="40"/>
  <c r="K289" i="40"/>
  <c r="Q288" i="40"/>
  <c r="K288" i="40"/>
  <c r="Q287" i="40"/>
  <c r="K287" i="40"/>
  <c r="Q286" i="40"/>
  <c r="K286" i="40"/>
  <c r="Q285" i="40"/>
  <c r="K285" i="40"/>
  <c r="Q284" i="40"/>
  <c r="K284" i="40"/>
  <c r="Q283" i="40"/>
  <c r="K283" i="40"/>
  <c r="Q282" i="40"/>
  <c r="K282" i="40"/>
  <c r="Q281" i="40"/>
  <c r="K281" i="40"/>
  <c r="Q280" i="40"/>
  <c r="K280" i="40"/>
  <c r="Q279" i="40"/>
  <c r="K279" i="40"/>
  <c r="Q278" i="40"/>
  <c r="K278" i="40"/>
  <c r="Q277" i="40"/>
  <c r="K277" i="40"/>
  <c r="Q276" i="40"/>
  <c r="K276" i="40"/>
  <c r="Q275" i="40"/>
  <c r="K275" i="40"/>
  <c r="Q274" i="40"/>
  <c r="K274" i="40"/>
  <c r="Q273" i="40"/>
  <c r="K273" i="40"/>
  <c r="Q272" i="40"/>
  <c r="K272" i="40"/>
  <c r="Q271" i="40"/>
  <c r="K271" i="40"/>
  <c r="Q270" i="40"/>
  <c r="K270" i="40"/>
  <c r="Q269" i="40"/>
  <c r="K269" i="40"/>
  <c r="Q268" i="40"/>
  <c r="K268" i="40"/>
  <c r="Q267" i="40"/>
  <c r="K267" i="40"/>
  <c r="Q266" i="40"/>
  <c r="K266" i="40"/>
  <c r="Q265" i="40"/>
  <c r="K265" i="40"/>
  <c r="Q264" i="40"/>
  <c r="K264" i="40"/>
  <c r="Q263" i="40"/>
  <c r="K263" i="40"/>
  <c r="Q262" i="40"/>
  <c r="K262" i="40"/>
  <c r="Q261" i="40"/>
  <c r="K261" i="40"/>
  <c r="Q260" i="40"/>
  <c r="K260" i="40"/>
  <c r="Q259" i="40"/>
  <c r="K259" i="40"/>
  <c r="Q258" i="40"/>
  <c r="K258" i="40"/>
  <c r="Q257" i="40"/>
  <c r="K257" i="40"/>
  <c r="Q256" i="40"/>
  <c r="K256" i="40"/>
  <c r="Q255" i="40"/>
  <c r="K255" i="40"/>
  <c r="Q254" i="40"/>
  <c r="K254" i="40"/>
  <c r="Q253" i="40"/>
  <c r="K253" i="40"/>
  <c r="Q252" i="40"/>
  <c r="K252" i="40"/>
  <c r="Q251" i="40"/>
  <c r="K251" i="40"/>
  <c r="Q250" i="40"/>
  <c r="K250" i="40"/>
  <c r="Q249" i="40"/>
  <c r="K249" i="40"/>
  <c r="Q248" i="40"/>
  <c r="K248" i="40"/>
  <c r="Q247" i="40"/>
  <c r="K247" i="40"/>
  <c r="Q246" i="40"/>
  <c r="K246" i="40"/>
  <c r="Q245" i="40"/>
  <c r="K245" i="40"/>
  <c r="Q244" i="40"/>
  <c r="K244" i="40"/>
  <c r="Q243" i="40"/>
  <c r="K243" i="40"/>
  <c r="Q242" i="40"/>
  <c r="K242" i="40"/>
  <c r="Q241" i="40"/>
  <c r="K241" i="40"/>
  <c r="Q240" i="40"/>
  <c r="K240" i="40"/>
  <c r="Q239" i="40"/>
  <c r="K239" i="40"/>
  <c r="Q238" i="40"/>
  <c r="K238" i="40"/>
  <c r="Q237" i="40"/>
  <c r="K237" i="40"/>
  <c r="Q236" i="40"/>
  <c r="K236" i="40"/>
  <c r="Q235" i="40"/>
  <c r="K235" i="40"/>
  <c r="Q234" i="40"/>
  <c r="K234" i="40"/>
  <c r="Q233" i="40"/>
  <c r="K233" i="40"/>
  <c r="Q232" i="40"/>
  <c r="K232" i="40"/>
  <c r="Q231" i="40"/>
  <c r="K231" i="40"/>
  <c r="Q230" i="40"/>
  <c r="K230" i="40"/>
  <c r="Q229" i="40"/>
  <c r="K229" i="40"/>
  <c r="Q228" i="40"/>
  <c r="K228" i="40"/>
  <c r="Q227" i="40"/>
  <c r="K227" i="40"/>
  <c r="Q226" i="40"/>
  <c r="K226" i="40"/>
  <c r="Q225" i="40"/>
  <c r="K225" i="40"/>
  <c r="Q224" i="40"/>
  <c r="K224" i="40"/>
  <c r="Q223" i="40"/>
  <c r="K223" i="40"/>
  <c r="Q222" i="40"/>
  <c r="K222" i="40"/>
  <c r="Q221" i="40"/>
  <c r="K221" i="40"/>
  <c r="Q220" i="40"/>
  <c r="K220" i="40"/>
  <c r="Q219" i="40"/>
  <c r="K219" i="40"/>
  <c r="Q218" i="40"/>
  <c r="K218" i="40"/>
  <c r="Q217" i="40"/>
  <c r="K217" i="40"/>
  <c r="Q216" i="40"/>
  <c r="K216" i="40"/>
  <c r="Q215" i="40"/>
  <c r="K215" i="40"/>
  <c r="Q214" i="40"/>
  <c r="K214" i="40"/>
  <c r="Q213" i="40"/>
  <c r="K213" i="40"/>
  <c r="Q212" i="40"/>
  <c r="K212" i="40"/>
  <c r="Q211" i="40"/>
  <c r="K211" i="40"/>
  <c r="Q210" i="40"/>
  <c r="K210" i="40"/>
  <c r="Q209" i="40"/>
  <c r="K209" i="40"/>
  <c r="Q208" i="40"/>
  <c r="K208" i="40"/>
  <c r="Q207" i="40"/>
  <c r="K207" i="40"/>
  <c r="Q206" i="40"/>
  <c r="K206" i="40"/>
  <c r="Q205" i="40"/>
  <c r="K205" i="40"/>
  <c r="Q204" i="40"/>
  <c r="K204" i="40"/>
  <c r="Q203" i="40"/>
  <c r="K203" i="40"/>
  <c r="Q202" i="40"/>
  <c r="K202" i="40"/>
  <c r="Q201" i="40"/>
  <c r="K201" i="40"/>
  <c r="Q200" i="40"/>
  <c r="K200" i="40"/>
  <c r="Q199" i="40"/>
  <c r="K199" i="40"/>
  <c r="Q198" i="40"/>
  <c r="K198" i="40"/>
  <c r="Q197" i="40"/>
  <c r="K197" i="40"/>
  <c r="Q196" i="40"/>
  <c r="K196" i="40"/>
  <c r="Q195" i="40"/>
  <c r="K195" i="40"/>
  <c r="Q194" i="40"/>
  <c r="K194" i="40"/>
  <c r="Q193" i="40"/>
  <c r="K193" i="40"/>
  <c r="Q192" i="40"/>
  <c r="K192" i="40"/>
  <c r="Q191" i="40"/>
  <c r="K191" i="40"/>
  <c r="Q190" i="40"/>
  <c r="K190" i="40"/>
  <c r="Q189" i="40"/>
  <c r="K189" i="40"/>
  <c r="Q188" i="40"/>
  <c r="K188" i="40"/>
  <c r="Q187" i="40"/>
  <c r="K187" i="40"/>
  <c r="Q186" i="40"/>
  <c r="K186" i="40"/>
  <c r="Q185" i="40"/>
  <c r="K185" i="40"/>
  <c r="Q184" i="40"/>
  <c r="K184" i="40"/>
  <c r="Q183" i="40"/>
  <c r="K183" i="40"/>
  <c r="Q182" i="40"/>
  <c r="K182" i="40"/>
  <c r="Q181" i="40"/>
  <c r="K181" i="40"/>
  <c r="Q180" i="40"/>
  <c r="K180" i="40"/>
  <c r="Q179" i="40"/>
  <c r="K179" i="40"/>
  <c r="Q178" i="40"/>
  <c r="K178" i="40"/>
  <c r="Q177" i="40"/>
  <c r="K177" i="40"/>
  <c r="Q176" i="40"/>
  <c r="K176" i="40"/>
  <c r="Q175" i="40"/>
  <c r="K175" i="40"/>
  <c r="Q174" i="40"/>
  <c r="K174" i="40"/>
  <c r="Q173" i="40"/>
  <c r="K173" i="40"/>
  <c r="Q172" i="40"/>
  <c r="K172" i="40"/>
  <c r="Q171" i="40"/>
  <c r="K171" i="40"/>
  <c r="Q170" i="40"/>
  <c r="K170" i="40"/>
  <c r="Q169" i="40"/>
  <c r="K169" i="40"/>
  <c r="Q168" i="40"/>
  <c r="K168" i="40"/>
  <c r="Q167" i="40"/>
  <c r="K167" i="40"/>
  <c r="Q166" i="40"/>
  <c r="K166" i="40"/>
  <c r="Q165" i="40"/>
  <c r="K165" i="40"/>
  <c r="Q164" i="40"/>
  <c r="K164" i="40"/>
  <c r="Q163" i="40"/>
  <c r="K163" i="40"/>
  <c r="Q162" i="40"/>
  <c r="K162" i="40"/>
  <c r="Q161" i="40"/>
  <c r="K161" i="40"/>
  <c r="Q160" i="40"/>
  <c r="K160" i="40"/>
  <c r="Q159" i="40"/>
  <c r="K159" i="40"/>
  <c r="Q158" i="40"/>
  <c r="K158" i="40"/>
  <c r="Q157" i="40"/>
  <c r="K157" i="40"/>
  <c r="Q156" i="40"/>
  <c r="K156" i="40"/>
  <c r="Q155" i="40"/>
  <c r="K155" i="40"/>
  <c r="Q154" i="40"/>
  <c r="K154" i="40"/>
  <c r="Q153" i="40"/>
  <c r="K153" i="40"/>
  <c r="Q152" i="40"/>
  <c r="K152" i="40"/>
  <c r="Q151" i="40"/>
  <c r="K151" i="40"/>
  <c r="Q150" i="40"/>
  <c r="K150" i="40"/>
  <c r="Q149" i="40"/>
  <c r="K149" i="40"/>
  <c r="Q148" i="40"/>
  <c r="K148" i="40"/>
  <c r="Q147" i="40"/>
  <c r="K147" i="40"/>
  <c r="Q146" i="40"/>
  <c r="K146" i="40"/>
  <c r="Q145" i="40"/>
  <c r="K145" i="40"/>
  <c r="Q144" i="40"/>
  <c r="K144" i="40"/>
  <c r="Q143" i="40"/>
  <c r="K143" i="40"/>
  <c r="Q142" i="40"/>
  <c r="K142" i="40"/>
  <c r="Q141" i="40"/>
  <c r="K141" i="40"/>
  <c r="Q140" i="40"/>
  <c r="K140" i="40"/>
  <c r="Q139" i="40"/>
  <c r="K139" i="40"/>
  <c r="Q138" i="40"/>
  <c r="K138" i="40"/>
  <c r="Q137" i="40"/>
  <c r="K137" i="40"/>
  <c r="Q136" i="40"/>
  <c r="K136" i="40"/>
  <c r="Q135" i="40"/>
  <c r="K135" i="40"/>
  <c r="Q134" i="40"/>
  <c r="K134" i="40"/>
  <c r="Q133" i="40"/>
  <c r="K133" i="40"/>
  <c r="Q132" i="40"/>
  <c r="K132" i="40"/>
  <c r="Q131" i="40"/>
  <c r="K131" i="40"/>
  <c r="Q130" i="40"/>
  <c r="K130" i="40"/>
  <c r="Q129" i="40"/>
  <c r="K129" i="40"/>
  <c r="Q128" i="40"/>
  <c r="K128" i="40"/>
  <c r="Q127" i="40"/>
  <c r="K127" i="40"/>
  <c r="Q126" i="40"/>
  <c r="K126" i="40"/>
  <c r="Q125" i="40"/>
  <c r="K125" i="40"/>
  <c r="Q124" i="40"/>
  <c r="K124" i="40"/>
  <c r="Q123" i="40"/>
  <c r="K123" i="40"/>
  <c r="Q122" i="40"/>
  <c r="K122" i="40"/>
  <c r="Q121" i="40"/>
  <c r="K121" i="40"/>
  <c r="Q120" i="40"/>
  <c r="K120" i="40"/>
  <c r="Q119" i="40"/>
  <c r="K119" i="40"/>
  <c r="Q118" i="40"/>
  <c r="K118" i="40"/>
  <c r="Q117" i="40"/>
  <c r="K117" i="40"/>
  <c r="Q116" i="40"/>
  <c r="K116" i="40"/>
  <c r="Q115" i="40"/>
  <c r="K115" i="40"/>
  <c r="Q114" i="40"/>
  <c r="K114" i="40"/>
  <c r="Q113" i="40"/>
  <c r="K113" i="40"/>
  <c r="Q112" i="40"/>
  <c r="K112" i="40"/>
  <c r="Q111" i="40"/>
  <c r="K111" i="40"/>
  <c r="Q110" i="40"/>
  <c r="K110" i="40"/>
  <c r="Q109" i="40"/>
  <c r="K109" i="40"/>
  <c r="Q108" i="40"/>
  <c r="K108" i="40"/>
  <c r="Q107" i="40"/>
  <c r="K107" i="40"/>
  <c r="Q106" i="40"/>
  <c r="K106" i="40"/>
  <c r="Q105" i="40"/>
  <c r="K105" i="40"/>
  <c r="Q104" i="40"/>
  <c r="K104" i="40"/>
  <c r="Q103" i="40"/>
  <c r="K103" i="40"/>
  <c r="Q102" i="40"/>
  <c r="K102" i="40"/>
  <c r="Q101" i="40"/>
  <c r="K101" i="40"/>
  <c r="Q100" i="40"/>
  <c r="K100" i="40"/>
  <c r="Q99" i="40"/>
  <c r="K99" i="40"/>
  <c r="Q98" i="40"/>
  <c r="K98" i="40"/>
  <c r="Q97" i="40"/>
  <c r="K97" i="40"/>
  <c r="Q96" i="40"/>
  <c r="K96" i="40"/>
  <c r="Q95" i="40"/>
  <c r="K95" i="40"/>
  <c r="Q94" i="40"/>
  <c r="K94" i="40"/>
  <c r="Q93" i="40"/>
  <c r="K93" i="40"/>
  <c r="Q92" i="40"/>
  <c r="K92" i="40"/>
  <c r="Q91" i="40"/>
  <c r="K91" i="40"/>
  <c r="Q90" i="40"/>
  <c r="K90" i="40"/>
  <c r="Q89" i="40"/>
  <c r="K89" i="40"/>
  <c r="Q88" i="40"/>
  <c r="K88" i="40"/>
  <c r="Q87" i="40"/>
  <c r="K87" i="40"/>
  <c r="Q86" i="40"/>
  <c r="K86" i="40"/>
  <c r="Q85" i="40"/>
  <c r="K85" i="40"/>
  <c r="Q84" i="40"/>
  <c r="K84" i="40"/>
  <c r="Q83" i="40"/>
  <c r="K83" i="40"/>
  <c r="Q82" i="40"/>
  <c r="K82" i="40"/>
  <c r="Q81" i="40"/>
  <c r="K81" i="40"/>
  <c r="Q80" i="40"/>
  <c r="K80" i="40"/>
  <c r="Q79" i="40"/>
  <c r="K79" i="40"/>
  <c r="Q78" i="40"/>
  <c r="K78" i="40"/>
  <c r="Q77" i="40"/>
  <c r="K77" i="40"/>
  <c r="Q76" i="40"/>
  <c r="K76" i="40"/>
  <c r="Q75" i="40"/>
  <c r="K75" i="40"/>
  <c r="Q74" i="40"/>
  <c r="K74" i="40"/>
  <c r="Q73" i="40"/>
  <c r="K73" i="40"/>
  <c r="Q72" i="40"/>
  <c r="K72" i="40"/>
  <c r="Q71" i="40"/>
  <c r="K71" i="40"/>
  <c r="Q70" i="40"/>
  <c r="K70" i="40"/>
  <c r="Q69" i="40"/>
  <c r="K69" i="40"/>
  <c r="Q68" i="40"/>
  <c r="K68" i="40"/>
  <c r="Q67" i="40"/>
  <c r="K67" i="40"/>
  <c r="Q66" i="40"/>
  <c r="K66" i="40"/>
  <c r="Q65" i="40"/>
  <c r="K65" i="40"/>
  <c r="Q64" i="40"/>
  <c r="K64" i="40"/>
  <c r="Q63" i="40"/>
  <c r="K63" i="40"/>
  <c r="Q62" i="40"/>
  <c r="K62" i="40"/>
  <c r="Q61" i="40"/>
  <c r="K61" i="40"/>
  <c r="Q60" i="40"/>
  <c r="K60" i="40"/>
  <c r="Q59" i="40"/>
  <c r="K59" i="40"/>
  <c r="Q58" i="40"/>
  <c r="K58" i="40"/>
  <c r="Q57" i="40"/>
  <c r="K57" i="40"/>
  <c r="Q56" i="40"/>
  <c r="K56" i="40"/>
  <c r="Q55" i="40"/>
  <c r="K55" i="40"/>
  <c r="Q54" i="40"/>
  <c r="K54" i="40"/>
  <c r="Q53" i="40"/>
  <c r="K53" i="40"/>
  <c r="Q52" i="40"/>
  <c r="K52" i="40"/>
  <c r="Q51" i="40"/>
  <c r="K51" i="40"/>
  <c r="Q50" i="40"/>
  <c r="K50" i="40"/>
  <c r="Q49" i="40"/>
  <c r="K49" i="40"/>
  <c r="Q48" i="40"/>
  <c r="K48" i="40"/>
  <c r="Q47" i="40"/>
  <c r="K47" i="40"/>
  <c r="Q46" i="40"/>
  <c r="K46" i="40"/>
  <c r="Q45" i="40"/>
  <c r="K45" i="40"/>
  <c r="Q44" i="40"/>
  <c r="K44" i="40"/>
  <c r="Q43" i="40"/>
  <c r="K43" i="40"/>
  <c r="Q42" i="40"/>
  <c r="K42" i="40"/>
  <c r="Q41" i="40"/>
  <c r="K41" i="40"/>
  <c r="Q40" i="40"/>
  <c r="K40" i="40"/>
  <c r="Q39" i="40"/>
  <c r="K39" i="40"/>
  <c r="Q38" i="40"/>
  <c r="K38" i="40"/>
  <c r="Q37" i="40"/>
  <c r="K37" i="40"/>
  <c r="Q36" i="40"/>
  <c r="K36" i="40"/>
  <c r="Q35" i="40"/>
  <c r="K35" i="40"/>
  <c r="Q34" i="40"/>
  <c r="K34" i="40"/>
  <c r="Q33" i="40"/>
  <c r="K33" i="40"/>
  <c r="Q32" i="40"/>
  <c r="K32" i="40"/>
  <c r="Q31" i="40"/>
  <c r="K31" i="40"/>
  <c r="Q30" i="40"/>
  <c r="K30" i="40"/>
  <c r="Q29" i="40"/>
  <c r="K29" i="40"/>
  <c r="Q28" i="40"/>
  <c r="K28" i="40"/>
  <c r="Q27" i="40"/>
  <c r="K27" i="40"/>
  <c r="Q26" i="40"/>
  <c r="K26" i="40"/>
  <c r="Q25" i="40"/>
  <c r="K25" i="40"/>
  <c r="Q24" i="40"/>
  <c r="K24" i="40"/>
  <c r="Q23" i="40"/>
  <c r="K23" i="40"/>
  <c r="Q22" i="40"/>
  <c r="K22" i="40"/>
  <c r="Q21" i="40"/>
  <c r="K21" i="40"/>
  <c r="Q20" i="40"/>
  <c r="K20" i="40"/>
  <c r="Q19" i="40"/>
  <c r="K19" i="40"/>
  <c r="Q18" i="40"/>
  <c r="K18" i="40"/>
  <c r="Q17" i="40"/>
  <c r="K17" i="40"/>
  <c r="Q16" i="40"/>
  <c r="K16" i="40"/>
  <c r="Q15" i="40"/>
  <c r="K15" i="40"/>
  <c r="Q14" i="40"/>
  <c r="K14" i="40"/>
  <c r="Q13" i="40"/>
  <c r="K13" i="40"/>
  <c r="Q12" i="40"/>
  <c r="K12" i="40"/>
  <c r="Q11" i="40"/>
  <c r="K11" i="40"/>
  <c r="Q10" i="40"/>
  <c r="K10" i="40"/>
  <c r="Q9" i="40"/>
  <c r="K9" i="40"/>
  <c r="Z4" i="40"/>
  <c r="F4" i="40"/>
  <c r="R354" i="40" l="1"/>
  <c r="R358" i="40"/>
  <c r="R362" i="40"/>
  <c r="R370" i="40"/>
  <c r="R374" i="40"/>
  <c r="R378" i="40"/>
  <c r="R386" i="40"/>
  <c r="R390" i="40"/>
  <c r="R394" i="40"/>
  <c r="R418" i="40"/>
  <c r="R422" i="40"/>
  <c r="R426" i="40"/>
  <c r="R434" i="40"/>
  <c r="R438" i="40"/>
  <c r="R442" i="40"/>
  <c r="R450" i="40"/>
  <c r="R454" i="40"/>
  <c r="R458" i="40"/>
  <c r="R121" i="40"/>
  <c r="R397" i="40"/>
  <c r="R401" i="40"/>
  <c r="R409" i="40"/>
  <c r="R413" i="40"/>
  <c r="R417" i="40"/>
  <c r="R425" i="40"/>
  <c r="R445" i="40"/>
  <c r="R449" i="40"/>
  <c r="R457" i="40"/>
  <c r="R124" i="40"/>
  <c r="R128" i="40"/>
  <c r="R136" i="40"/>
  <c r="R188" i="40"/>
  <c r="R192" i="40"/>
  <c r="R196" i="40"/>
  <c r="R200" i="40"/>
  <c r="R344" i="40"/>
  <c r="R9" i="40"/>
  <c r="R77" i="40"/>
  <c r="R81" i="40"/>
  <c r="R89" i="40"/>
  <c r="R109" i="40"/>
  <c r="R113" i="40"/>
  <c r="R153" i="40"/>
  <c r="R161" i="40"/>
  <c r="R165" i="40"/>
  <c r="R169" i="40"/>
  <c r="R122" i="40"/>
  <c r="R126" i="40"/>
  <c r="R134" i="40"/>
  <c r="R186" i="40"/>
  <c r="R190" i="40"/>
  <c r="R194" i="40"/>
  <c r="R198" i="40"/>
  <c r="R75" i="40"/>
  <c r="R79" i="40"/>
  <c r="R87" i="40"/>
  <c r="R107" i="40"/>
  <c r="R111" i="40"/>
  <c r="R159" i="40"/>
  <c r="R163" i="40"/>
  <c r="R167" i="40"/>
  <c r="R116" i="40"/>
  <c r="R356" i="40"/>
  <c r="R360" i="40"/>
  <c r="R364" i="40"/>
  <c r="R372" i="40"/>
  <c r="R376" i="40"/>
  <c r="R380" i="40"/>
  <c r="R388" i="40"/>
  <c r="R392" i="40"/>
  <c r="R396" i="40"/>
  <c r="R420" i="40"/>
  <c r="R424" i="40"/>
  <c r="R428" i="40"/>
  <c r="R436" i="40"/>
  <c r="R440" i="40"/>
  <c r="R444" i="40"/>
  <c r="R452" i="40"/>
  <c r="R456" i="40"/>
  <c r="R460" i="40"/>
  <c r="R464" i="40"/>
  <c r="R476" i="40"/>
  <c r="R375" i="40"/>
  <c r="R461" i="40"/>
  <c r="R465" i="40"/>
  <c r="R473" i="40"/>
  <c r="R477" i="40"/>
  <c r="R481" i="40"/>
  <c r="R489" i="40"/>
  <c r="R439" i="40"/>
  <c r="R348" i="40"/>
  <c r="R345" i="40"/>
  <c r="R349" i="40"/>
  <c r="R353" i="40"/>
  <c r="R361" i="40"/>
  <c r="R381" i="40"/>
  <c r="R385" i="40"/>
  <c r="R393" i="40"/>
  <c r="R400" i="40"/>
  <c r="R412" i="40"/>
  <c r="R482" i="40"/>
  <c r="R484" i="40"/>
  <c r="R486" i="40"/>
  <c r="R488" i="40"/>
  <c r="R490" i="40"/>
  <c r="R492" i="40"/>
  <c r="R352" i="40"/>
  <c r="R391" i="40"/>
  <c r="R416" i="40"/>
  <c r="R455" i="40"/>
  <c r="R480" i="40"/>
  <c r="R368" i="40"/>
  <c r="R407" i="40"/>
  <c r="R432" i="40"/>
  <c r="R471" i="40"/>
  <c r="R346" i="40"/>
  <c r="R359" i="40"/>
  <c r="R365" i="40"/>
  <c r="R369" i="40"/>
  <c r="R377" i="40"/>
  <c r="R384" i="40"/>
  <c r="R402" i="40"/>
  <c r="R404" i="40"/>
  <c r="R406" i="40"/>
  <c r="R408" i="40"/>
  <c r="R410" i="40"/>
  <c r="R423" i="40"/>
  <c r="R429" i="40"/>
  <c r="R433" i="40"/>
  <c r="R441" i="40"/>
  <c r="R448" i="40"/>
  <c r="R466" i="40"/>
  <c r="R468" i="40"/>
  <c r="R470" i="40"/>
  <c r="R472" i="40"/>
  <c r="R474" i="40"/>
  <c r="R487" i="40"/>
  <c r="R493" i="40"/>
  <c r="R347" i="40"/>
  <c r="R363" i="40"/>
  <c r="R427" i="40"/>
  <c r="R443" i="40"/>
  <c r="R459" i="40"/>
  <c r="R379" i="40"/>
  <c r="R395" i="40"/>
  <c r="R411" i="40"/>
  <c r="R475" i="40"/>
  <c r="R491" i="40"/>
  <c r="R351" i="40"/>
  <c r="R367" i="40"/>
  <c r="R383" i="40"/>
  <c r="R399" i="40"/>
  <c r="R415" i="40"/>
  <c r="R431" i="40"/>
  <c r="R447" i="40"/>
  <c r="R463" i="40"/>
  <c r="R479" i="40"/>
  <c r="R350" i="40"/>
  <c r="R355" i="40"/>
  <c r="R357" i="40"/>
  <c r="R366" i="40"/>
  <c r="R371" i="40"/>
  <c r="R373" i="40"/>
  <c r="R382" i="40"/>
  <c r="R387" i="40"/>
  <c r="R389" i="40"/>
  <c r="R398" i="40"/>
  <c r="R403" i="40"/>
  <c r="R405" i="40"/>
  <c r="R414" i="40"/>
  <c r="R419" i="40"/>
  <c r="R421" i="40"/>
  <c r="R430" i="40"/>
  <c r="R435" i="40"/>
  <c r="R437" i="40"/>
  <c r="R446" i="40"/>
  <c r="R451" i="40"/>
  <c r="R453" i="40"/>
  <c r="R462" i="40"/>
  <c r="R467" i="40"/>
  <c r="R469" i="40"/>
  <c r="R478" i="40"/>
  <c r="R483" i="40"/>
  <c r="R485" i="40"/>
  <c r="R230" i="40"/>
  <c r="R300" i="40"/>
  <c r="R308" i="40"/>
  <c r="R310" i="40"/>
  <c r="R312" i="40"/>
  <c r="R314" i="40"/>
  <c r="R316" i="40"/>
  <c r="R318" i="40"/>
  <c r="R324" i="40"/>
  <c r="R326" i="40"/>
  <c r="R328" i="40"/>
  <c r="R330" i="40"/>
  <c r="R332" i="40"/>
  <c r="R334" i="40"/>
  <c r="R340" i="40"/>
  <c r="R342" i="40"/>
  <c r="R203" i="40"/>
  <c r="R205" i="40"/>
  <c r="R215" i="40"/>
  <c r="R217" i="40"/>
  <c r="R219" i="40"/>
  <c r="R221" i="40"/>
  <c r="R227" i="40"/>
  <c r="R229" i="40"/>
  <c r="R247" i="40"/>
  <c r="R249" i="40"/>
  <c r="R251" i="40"/>
  <c r="R253" i="40"/>
  <c r="R259" i="40"/>
  <c r="R261" i="40"/>
  <c r="R267" i="40"/>
  <c r="R283" i="40"/>
  <c r="R285" i="40"/>
  <c r="R291" i="40"/>
  <c r="R293" i="40"/>
  <c r="R299" i="40"/>
  <c r="R301" i="40"/>
  <c r="R307" i="40"/>
  <c r="R309" i="40"/>
  <c r="R315" i="40"/>
  <c r="R317" i="40"/>
  <c r="R335" i="40"/>
  <c r="R337" i="40"/>
  <c r="R339" i="40"/>
  <c r="R341" i="40"/>
  <c r="R234" i="40"/>
  <c r="R266" i="40"/>
  <c r="R246" i="40"/>
  <c r="R282" i="40"/>
  <c r="R294" i="40"/>
  <c r="R322" i="40"/>
  <c r="R210" i="40"/>
  <c r="R214" i="40"/>
  <c r="R220" i="40"/>
  <c r="R222" i="40"/>
  <c r="R224" i="40"/>
  <c r="R226" i="40"/>
  <c r="R228" i="40"/>
  <c r="R319" i="40"/>
  <c r="R321" i="40"/>
  <c r="R323" i="40"/>
  <c r="R325" i="40"/>
  <c r="R331" i="40"/>
  <c r="R333" i="40"/>
  <c r="R338" i="40"/>
  <c r="R298" i="40"/>
  <c r="R202" i="40"/>
  <c r="R242" i="40"/>
  <c r="R252" i="40"/>
  <c r="R254" i="40"/>
  <c r="R256" i="40"/>
  <c r="R258" i="40"/>
  <c r="R260" i="40"/>
  <c r="R262" i="40"/>
  <c r="R268" i="40"/>
  <c r="R278" i="40"/>
  <c r="R284" i="40"/>
  <c r="R286" i="40"/>
  <c r="R290" i="40"/>
  <c r="R292" i="40"/>
  <c r="R311" i="40"/>
  <c r="R313" i="40"/>
  <c r="R320" i="40"/>
  <c r="R327" i="40"/>
  <c r="R329" i="40"/>
  <c r="R336" i="40"/>
  <c r="R343" i="40"/>
  <c r="R204" i="40"/>
  <c r="R206" i="40"/>
  <c r="R208" i="40"/>
  <c r="R212" i="40"/>
  <c r="R231" i="40"/>
  <c r="R233" i="40"/>
  <c r="R235" i="40"/>
  <c r="R237" i="40"/>
  <c r="R243" i="40"/>
  <c r="R245" i="40"/>
  <c r="R250" i="40"/>
  <c r="R270" i="40"/>
  <c r="R272" i="40"/>
  <c r="R274" i="40"/>
  <c r="R276" i="40"/>
  <c r="R201" i="40"/>
  <c r="R211" i="40"/>
  <c r="R213" i="40"/>
  <c r="R218" i="40"/>
  <c r="R236" i="40"/>
  <c r="R238" i="40"/>
  <c r="R240" i="40"/>
  <c r="R244" i="40"/>
  <c r="R263" i="40"/>
  <c r="R265" i="40"/>
  <c r="R269" i="40"/>
  <c r="R275" i="40"/>
  <c r="R277" i="40"/>
  <c r="R302" i="40"/>
  <c r="R306" i="40"/>
  <c r="R279" i="40"/>
  <c r="R281" i="40"/>
  <c r="R288" i="40"/>
  <c r="R295" i="40"/>
  <c r="R297" i="40"/>
  <c r="R304" i="40"/>
  <c r="R207" i="40"/>
  <c r="R209" i="40"/>
  <c r="R216" i="40"/>
  <c r="R223" i="40"/>
  <c r="R225" i="40"/>
  <c r="R232" i="40"/>
  <c r="R239" i="40"/>
  <c r="R241" i="40"/>
  <c r="R248" i="40"/>
  <c r="R255" i="40"/>
  <c r="R257" i="40"/>
  <c r="R264" i="40"/>
  <c r="R271" i="40"/>
  <c r="R273" i="40"/>
  <c r="R280" i="40"/>
  <c r="R287" i="40"/>
  <c r="R289" i="40"/>
  <c r="R296" i="40"/>
  <c r="R303" i="40"/>
  <c r="R305" i="40"/>
  <c r="R125" i="40"/>
  <c r="R137" i="40"/>
  <c r="R141" i="40"/>
  <c r="R173" i="40"/>
  <c r="R185" i="40"/>
  <c r="R148" i="40"/>
  <c r="R164" i="40"/>
  <c r="R180" i="40"/>
  <c r="R118" i="40"/>
  <c r="R143" i="40"/>
  <c r="R145" i="40"/>
  <c r="R147" i="40"/>
  <c r="R149" i="40"/>
  <c r="R151" i="40"/>
  <c r="R170" i="40"/>
  <c r="R174" i="40"/>
  <c r="R182" i="40"/>
  <c r="R184" i="40"/>
  <c r="R117" i="40"/>
  <c r="R119" i="40"/>
  <c r="R138" i="40"/>
  <c r="R142" i="40"/>
  <c r="R150" i="40"/>
  <c r="R157" i="40"/>
  <c r="R175" i="40"/>
  <c r="R177" i="40"/>
  <c r="R179" i="40"/>
  <c r="R181" i="40"/>
  <c r="R183" i="40"/>
  <c r="R127" i="40"/>
  <c r="R129" i="40"/>
  <c r="R131" i="40"/>
  <c r="R133" i="40"/>
  <c r="R135" i="40"/>
  <c r="R154" i="40"/>
  <c r="R158" i="40"/>
  <c r="R166" i="40"/>
  <c r="R120" i="40"/>
  <c r="R152" i="40"/>
  <c r="R168" i="40"/>
  <c r="R140" i="40"/>
  <c r="R156" i="40"/>
  <c r="R172" i="40"/>
  <c r="R123" i="40"/>
  <c r="R130" i="40"/>
  <c r="R132" i="40"/>
  <c r="R139" i="40"/>
  <c r="R144" i="40"/>
  <c r="R146" i="40"/>
  <c r="R155" i="40"/>
  <c r="R160" i="40"/>
  <c r="R162" i="40"/>
  <c r="R171" i="40"/>
  <c r="R176" i="40"/>
  <c r="R178" i="40"/>
  <c r="R187" i="40"/>
  <c r="R189" i="40"/>
  <c r="R191" i="40"/>
  <c r="R193" i="40"/>
  <c r="R195" i="40"/>
  <c r="R197" i="40"/>
  <c r="R199" i="40"/>
  <c r="R16" i="40"/>
  <c r="R18" i="40"/>
  <c r="R20" i="40"/>
  <c r="R22" i="40"/>
  <c r="R24" i="40"/>
  <c r="R26" i="40"/>
  <c r="R42" i="40"/>
  <c r="R48" i="40"/>
  <c r="R50" i="40"/>
  <c r="R52" i="40"/>
  <c r="R54" i="40"/>
  <c r="R56" i="40"/>
  <c r="R58" i="40"/>
  <c r="R80" i="40"/>
  <c r="R82" i="40"/>
  <c r="R84" i="40"/>
  <c r="R86" i="40"/>
  <c r="R88" i="40"/>
  <c r="R90" i="40"/>
  <c r="R106" i="40"/>
  <c r="R112" i="40"/>
  <c r="R114" i="40"/>
  <c r="R10" i="40"/>
  <c r="R30" i="40"/>
  <c r="R11" i="40"/>
  <c r="R13" i="40"/>
  <c r="R15" i="40"/>
  <c r="R17" i="40"/>
  <c r="R23" i="40"/>
  <c r="R25" i="40"/>
  <c r="R43" i="40"/>
  <c r="R45" i="40"/>
  <c r="R47" i="40"/>
  <c r="R49" i="40"/>
  <c r="R55" i="40"/>
  <c r="R57" i="40"/>
  <c r="R62" i="40"/>
  <c r="R74" i="40"/>
  <c r="R94" i="40"/>
  <c r="R14" i="40"/>
  <c r="R32" i="40"/>
  <c r="R34" i="40"/>
  <c r="R36" i="40"/>
  <c r="R38" i="40"/>
  <c r="R40" i="40"/>
  <c r="R59" i="40"/>
  <c r="R61" i="40"/>
  <c r="R63" i="40"/>
  <c r="R65" i="40"/>
  <c r="R71" i="40"/>
  <c r="R73" i="40"/>
  <c r="R78" i="40"/>
  <c r="R96" i="40"/>
  <c r="R98" i="40"/>
  <c r="R100" i="40"/>
  <c r="R102" i="40"/>
  <c r="R104" i="40"/>
  <c r="R27" i="40"/>
  <c r="R29" i="40"/>
  <c r="R31" i="40"/>
  <c r="R33" i="40"/>
  <c r="R39" i="40"/>
  <c r="R41" i="40"/>
  <c r="R46" i="40"/>
  <c r="R64" i="40"/>
  <c r="R66" i="40"/>
  <c r="R68" i="40"/>
  <c r="R70" i="40"/>
  <c r="R72" i="40"/>
  <c r="R91" i="40"/>
  <c r="R93" i="40"/>
  <c r="R95" i="40"/>
  <c r="R97" i="40"/>
  <c r="R103" i="40"/>
  <c r="R105" i="40"/>
  <c r="R110" i="40"/>
  <c r="R12" i="40"/>
  <c r="R19" i="40"/>
  <c r="R21" i="40"/>
  <c r="R28" i="40"/>
  <c r="R35" i="40"/>
  <c r="R37" i="40"/>
  <c r="R44" i="40"/>
  <c r="R51" i="40"/>
  <c r="R53" i="40"/>
  <c r="R60" i="40"/>
  <c r="R67" i="40"/>
  <c r="R69" i="40"/>
  <c r="R76" i="40"/>
  <c r="R83" i="40"/>
  <c r="R85" i="40"/>
  <c r="R92" i="40"/>
  <c r="R99" i="40"/>
  <c r="R101" i="40"/>
  <c r="R108" i="40"/>
  <c r="R115" i="40"/>
  <c r="Q32" i="39"/>
  <c r="Q71" i="38"/>
  <c r="Q55" i="38"/>
  <c r="C24" i="43" l="1"/>
  <c r="C25" i="43"/>
  <c r="D25" i="43" s="1"/>
  <c r="C27" i="43"/>
  <c r="D27" i="43" s="1"/>
  <c r="C26" i="43"/>
  <c r="D26" i="43" s="1"/>
  <c r="Q121" i="37"/>
  <c r="D24" i="43" l="1"/>
  <c r="C28" i="43"/>
  <c r="D28" i="43" s="1"/>
  <c r="Q88" i="37"/>
  <c r="Q29" i="37"/>
  <c r="Q33" i="3" l="1"/>
  <c r="K38" i="3" l="1"/>
  <c r="Q38" i="3"/>
  <c r="R38" i="3" s="1"/>
  <c r="K39" i="3"/>
  <c r="Q39" i="3"/>
  <c r="K40" i="3"/>
  <c r="Q40" i="3"/>
  <c r="K41" i="3"/>
  <c r="Q41" i="3"/>
  <c r="K42" i="3"/>
  <c r="Q42" i="3"/>
  <c r="K43" i="3"/>
  <c r="Q43" i="3"/>
  <c r="K44" i="3"/>
  <c r="Q44" i="3"/>
  <c r="K45" i="3"/>
  <c r="Q45" i="3"/>
  <c r="K46" i="3"/>
  <c r="Q46" i="3"/>
  <c r="K47" i="3"/>
  <c r="Q47" i="3"/>
  <c r="K48" i="3"/>
  <c r="Q48" i="3"/>
  <c r="K49" i="3"/>
  <c r="Q49" i="3"/>
  <c r="K50" i="3"/>
  <c r="Q50" i="3"/>
  <c r="K51" i="3"/>
  <c r="Q51" i="3"/>
  <c r="K52" i="3"/>
  <c r="Q52" i="3"/>
  <c r="K53" i="3"/>
  <c r="Q53" i="3"/>
  <c r="K54" i="3"/>
  <c r="Q54" i="3"/>
  <c r="K55" i="3"/>
  <c r="Q55" i="3"/>
  <c r="K56" i="3"/>
  <c r="Q56" i="3"/>
  <c r="K57" i="3"/>
  <c r="Q57" i="3"/>
  <c r="K58" i="3"/>
  <c r="Q58" i="3"/>
  <c r="K59" i="3"/>
  <c r="Q59" i="3"/>
  <c r="K60" i="3"/>
  <c r="Q60" i="3"/>
  <c r="K61" i="3"/>
  <c r="Q61" i="3"/>
  <c r="R61" i="3" s="1"/>
  <c r="K62" i="3"/>
  <c r="Q62" i="3"/>
  <c r="K63" i="3"/>
  <c r="Q63" i="3"/>
  <c r="K64" i="3"/>
  <c r="Q64" i="3"/>
  <c r="K65" i="3"/>
  <c r="Q65" i="3"/>
  <c r="K66" i="3"/>
  <c r="Q66" i="3"/>
  <c r="K67" i="3"/>
  <c r="Q67" i="3"/>
  <c r="K68" i="3"/>
  <c r="Q68" i="3"/>
  <c r="K69" i="3"/>
  <c r="Q69" i="3"/>
  <c r="K70" i="3"/>
  <c r="Q70" i="3"/>
  <c r="K71" i="3"/>
  <c r="Q71" i="3"/>
  <c r="K72" i="3"/>
  <c r="Q72" i="3"/>
  <c r="K73" i="3"/>
  <c r="Q73" i="3"/>
  <c r="K74" i="3"/>
  <c r="Q74" i="3"/>
  <c r="K75" i="3"/>
  <c r="Q75" i="3"/>
  <c r="K76" i="3"/>
  <c r="Q76" i="3"/>
  <c r="K77" i="3"/>
  <c r="Q77" i="3"/>
  <c r="K78" i="3"/>
  <c r="Q78" i="3"/>
  <c r="K79" i="3"/>
  <c r="Q79" i="3"/>
  <c r="R79" i="3" s="1"/>
  <c r="K80" i="3"/>
  <c r="Q80" i="3"/>
  <c r="K81" i="3"/>
  <c r="Q81" i="3"/>
  <c r="R81" i="3" s="1"/>
  <c r="K82" i="3"/>
  <c r="Q82" i="3"/>
  <c r="K83" i="3"/>
  <c r="Q83" i="3"/>
  <c r="R83" i="3" s="1"/>
  <c r="K84" i="3"/>
  <c r="Q84" i="3"/>
  <c r="K85" i="3"/>
  <c r="Q85" i="3"/>
  <c r="R85" i="3" s="1"/>
  <c r="K86" i="3"/>
  <c r="Q86" i="3"/>
  <c r="K87" i="3"/>
  <c r="Q87" i="3"/>
  <c r="K88" i="3"/>
  <c r="Q88" i="3"/>
  <c r="K89" i="3"/>
  <c r="Q89" i="3"/>
  <c r="K90" i="3"/>
  <c r="Q90" i="3"/>
  <c r="K91" i="3"/>
  <c r="Q91" i="3"/>
  <c r="K92" i="3"/>
  <c r="Q92" i="3"/>
  <c r="K93" i="3"/>
  <c r="Q93" i="3"/>
  <c r="K94" i="3"/>
  <c r="Q94" i="3"/>
  <c r="K95" i="3"/>
  <c r="Q95" i="3"/>
  <c r="K96" i="3"/>
  <c r="Q96" i="3"/>
  <c r="K97" i="3"/>
  <c r="Q97" i="3"/>
  <c r="K98" i="3"/>
  <c r="Q98" i="3"/>
  <c r="K99" i="3"/>
  <c r="Q99" i="3"/>
  <c r="K100" i="3"/>
  <c r="Q100" i="3"/>
  <c r="K101" i="3"/>
  <c r="Q101" i="3"/>
  <c r="K102" i="3"/>
  <c r="Q102" i="3"/>
  <c r="K103" i="3"/>
  <c r="Q103" i="3"/>
  <c r="K104" i="3"/>
  <c r="Q104" i="3"/>
  <c r="K105" i="3"/>
  <c r="Q105" i="3"/>
  <c r="K106" i="3"/>
  <c r="Q106" i="3"/>
  <c r="K107" i="3"/>
  <c r="Q107" i="3"/>
  <c r="K108" i="3"/>
  <c r="Q108" i="3"/>
  <c r="R108" i="3" s="1"/>
  <c r="K109" i="3"/>
  <c r="Q109" i="3"/>
  <c r="K110" i="3"/>
  <c r="Q110" i="3"/>
  <c r="K111" i="3"/>
  <c r="Q111" i="3"/>
  <c r="K112" i="3"/>
  <c r="Q112" i="3"/>
  <c r="K113" i="3"/>
  <c r="Q113" i="3"/>
  <c r="K114" i="3"/>
  <c r="Q114" i="3"/>
  <c r="K115" i="3"/>
  <c r="Q115" i="3"/>
  <c r="K116" i="3"/>
  <c r="Q116" i="3"/>
  <c r="K117" i="3"/>
  <c r="Q117" i="3"/>
  <c r="K118" i="3"/>
  <c r="Q118" i="3"/>
  <c r="K119" i="3"/>
  <c r="Q119" i="3"/>
  <c r="K120" i="3"/>
  <c r="Q120" i="3"/>
  <c r="K121" i="3"/>
  <c r="Q121" i="3"/>
  <c r="K122" i="3"/>
  <c r="Q122" i="3"/>
  <c r="K123" i="3"/>
  <c r="Q123" i="3"/>
  <c r="K124" i="3"/>
  <c r="Q124" i="3"/>
  <c r="K125" i="3"/>
  <c r="Q125" i="3"/>
  <c r="K126" i="3"/>
  <c r="Q126" i="3"/>
  <c r="K127" i="3"/>
  <c r="Q127" i="3"/>
  <c r="K128" i="3"/>
  <c r="Q128" i="3"/>
  <c r="K129" i="3"/>
  <c r="Q129" i="3"/>
  <c r="K130" i="3"/>
  <c r="Q130" i="3"/>
  <c r="K131" i="3"/>
  <c r="Q131" i="3"/>
  <c r="K132" i="3"/>
  <c r="Q132" i="3"/>
  <c r="K133" i="3"/>
  <c r="Q133" i="3"/>
  <c r="K134" i="3"/>
  <c r="Q134" i="3"/>
  <c r="K135" i="3"/>
  <c r="Q135" i="3"/>
  <c r="K136" i="3"/>
  <c r="Q136" i="3"/>
  <c r="K137" i="3"/>
  <c r="Q137" i="3"/>
  <c r="K138" i="3"/>
  <c r="Q138" i="3"/>
  <c r="K139" i="3"/>
  <c r="Q139" i="3"/>
  <c r="K140" i="3"/>
  <c r="Q140" i="3"/>
  <c r="K141" i="3"/>
  <c r="Q141" i="3"/>
  <c r="K142" i="3"/>
  <c r="Q142" i="3"/>
  <c r="K143" i="3"/>
  <c r="Q143" i="3"/>
  <c r="K144" i="3"/>
  <c r="Q144" i="3"/>
  <c r="K145" i="3"/>
  <c r="Q145" i="3"/>
  <c r="K146" i="3"/>
  <c r="Q146" i="3"/>
  <c r="K147" i="3"/>
  <c r="Q147" i="3"/>
  <c r="K148" i="3"/>
  <c r="Q148" i="3"/>
  <c r="K149" i="3"/>
  <c r="Q149" i="3"/>
  <c r="K150" i="3"/>
  <c r="Q150" i="3"/>
  <c r="K151" i="3"/>
  <c r="Q151" i="3"/>
  <c r="K152" i="3"/>
  <c r="Q152" i="3"/>
  <c r="K153" i="3"/>
  <c r="Q153" i="3"/>
  <c r="K154" i="3"/>
  <c r="Q154" i="3"/>
  <c r="K155" i="3"/>
  <c r="Q155" i="3"/>
  <c r="K156" i="3"/>
  <c r="Q156" i="3"/>
  <c r="K157" i="3"/>
  <c r="Q157" i="3"/>
  <c r="K158" i="3"/>
  <c r="Q158" i="3"/>
  <c r="K159" i="3"/>
  <c r="Q159" i="3"/>
  <c r="K160" i="3"/>
  <c r="Q160" i="3"/>
  <c r="K161" i="3"/>
  <c r="Q161" i="3"/>
  <c r="K162" i="3"/>
  <c r="Q162" i="3"/>
  <c r="K163" i="3"/>
  <c r="Q163" i="3"/>
  <c r="K164" i="3"/>
  <c r="Q164" i="3"/>
  <c r="K165" i="3"/>
  <c r="Q165" i="3"/>
  <c r="K166" i="3"/>
  <c r="Q166" i="3"/>
  <c r="K167" i="3"/>
  <c r="Q167" i="3"/>
  <c r="K168" i="3"/>
  <c r="Q168" i="3"/>
  <c r="K169" i="3"/>
  <c r="Q169" i="3"/>
  <c r="K170" i="3"/>
  <c r="Q170" i="3"/>
  <c r="K171" i="3"/>
  <c r="Q171" i="3"/>
  <c r="K172" i="3"/>
  <c r="Q172" i="3"/>
  <c r="K173" i="3"/>
  <c r="Q173" i="3"/>
  <c r="K174" i="3"/>
  <c r="Q174" i="3"/>
  <c r="K175" i="3"/>
  <c r="Q175" i="3"/>
  <c r="K176" i="3"/>
  <c r="Q176" i="3"/>
  <c r="K177" i="3"/>
  <c r="Q177" i="3"/>
  <c r="K178" i="3"/>
  <c r="Q178" i="3"/>
  <c r="K179" i="3"/>
  <c r="Q179" i="3"/>
  <c r="K180" i="3"/>
  <c r="Q180" i="3"/>
  <c r="K181" i="3"/>
  <c r="R181" i="3" s="1"/>
  <c r="Q181" i="3"/>
  <c r="K182" i="3"/>
  <c r="Q182" i="3"/>
  <c r="K183" i="3"/>
  <c r="Q183" i="3"/>
  <c r="K184" i="3"/>
  <c r="Q184" i="3"/>
  <c r="K185" i="3"/>
  <c r="Q185" i="3"/>
  <c r="K186" i="3"/>
  <c r="Q186" i="3"/>
  <c r="K187" i="3"/>
  <c r="Q187" i="3"/>
  <c r="K188" i="3"/>
  <c r="Q188" i="3"/>
  <c r="K189" i="3"/>
  <c r="Q189" i="3"/>
  <c r="K190" i="3"/>
  <c r="Q190" i="3"/>
  <c r="K191" i="3"/>
  <c r="Q191" i="3"/>
  <c r="K192" i="3"/>
  <c r="Q192" i="3"/>
  <c r="K193" i="3"/>
  <c r="Q193" i="3"/>
  <c r="K194" i="3"/>
  <c r="Q194" i="3"/>
  <c r="K195" i="3"/>
  <c r="Q195" i="3"/>
  <c r="K196" i="3"/>
  <c r="Q196" i="3"/>
  <c r="K197" i="3"/>
  <c r="Q197" i="3"/>
  <c r="K198" i="3"/>
  <c r="Q198" i="3"/>
  <c r="K199" i="3"/>
  <c r="Q199" i="3"/>
  <c r="K200" i="3"/>
  <c r="Q200" i="3"/>
  <c r="K201" i="3"/>
  <c r="R201" i="3" s="1"/>
  <c r="Q201" i="3"/>
  <c r="K202" i="3"/>
  <c r="Q202" i="3"/>
  <c r="K203" i="3"/>
  <c r="R203" i="3" s="1"/>
  <c r="Q203" i="3"/>
  <c r="K204" i="3"/>
  <c r="Q204" i="3"/>
  <c r="K205" i="3"/>
  <c r="R205" i="3" s="1"/>
  <c r="Q205" i="3"/>
  <c r="K206" i="3"/>
  <c r="Q206" i="3"/>
  <c r="K207" i="3"/>
  <c r="Q207" i="3"/>
  <c r="K208" i="3"/>
  <c r="Q208" i="3"/>
  <c r="K209" i="3"/>
  <c r="Q209" i="3"/>
  <c r="K210" i="3"/>
  <c r="Q210" i="3"/>
  <c r="K211" i="3"/>
  <c r="Q211" i="3"/>
  <c r="K212" i="3"/>
  <c r="Q212" i="3"/>
  <c r="K213" i="3"/>
  <c r="Q213" i="3"/>
  <c r="K214" i="3"/>
  <c r="Q214" i="3"/>
  <c r="K215" i="3"/>
  <c r="Q215" i="3"/>
  <c r="K216" i="3"/>
  <c r="Q216" i="3"/>
  <c r="K217" i="3"/>
  <c r="Q217" i="3"/>
  <c r="K218" i="3"/>
  <c r="Q218" i="3"/>
  <c r="K219" i="3"/>
  <c r="Q219" i="3"/>
  <c r="K220" i="3"/>
  <c r="Q220" i="3"/>
  <c r="R220" i="3"/>
  <c r="K221" i="3"/>
  <c r="Q221" i="3"/>
  <c r="K222" i="3"/>
  <c r="Q222" i="3"/>
  <c r="K223" i="3"/>
  <c r="Q223" i="3"/>
  <c r="R223" i="3" s="1"/>
  <c r="K224" i="3"/>
  <c r="Q224" i="3"/>
  <c r="K225" i="3"/>
  <c r="Q225" i="3"/>
  <c r="R225" i="3" s="1"/>
  <c r="K226" i="3"/>
  <c r="Q226" i="3"/>
  <c r="K227" i="3"/>
  <c r="Q227" i="3"/>
  <c r="K228" i="3"/>
  <c r="Q228" i="3"/>
  <c r="K229" i="3"/>
  <c r="Q229" i="3"/>
  <c r="K230" i="3"/>
  <c r="Q230" i="3"/>
  <c r="K231" i="3"/>
  <c r="Q231" i="3"/>
  <c r="R231" i="3" s="1"/>
  <c r="K232" i="3"/>
  <c r="Q232" i="3"/>
  <c r="K233" i="3"/>
  <c r="Q233" i="3"/>
  <c r="R233" i="3" s="1"/>
  <c r="K234" i="3"/>
  <c r="Q234" i="3"/>
  <c r="R234" i="3" s="1"/>
  <c r="K235" i="3"/>
  <c r="Q235" i="3"/>
  <c r="K236" i="3"/>
  <c r="Q236" i="3"/>
  <c r="R236" i="3" s="1"/>
  <c r="K237" i="3"/>
  <c r="Q237" i="3"/>
  <c r="K238" i="3"/>
  <c r="Q238" i="3"/>
  <c r="K239" i="3"/>
  <c r="Q239" i="3"/>
  <c r="K240" i="3"/>
  <c r="Q240" i="3"/>
  <c r="K241" i="3"/>
  <c r="Q241" i="3"/>
  <c r="K242" i="3"/>
  <c r="Q242" i="3"/>
  <c r="K243" i="3"/>
  <c r="Q243" i="3"/>
  <c r="K244" i="3"/>
  <c r="Q244" i="3"/>
  <c r="K245" i="3"/>
  <c r="Q245" i="3"/>
  <c r="K246" i="3"/>
  <c r="Q246" i="3"/>
  <c r="K247" i="3"/>
  <c r="Q247" i="3"/>
  <c r="K248" i="3"/>
  <c r="Q248" i="3"/>
  <c r="K249" i="3"/>
  <c r="Q249" i="3"/>
  <c r="R249" i="3" s="1"/>
  <c r="K250" i="3"/>
  <c r="Q250" i="3"/>
  <c r="K251" i="3"/>
  <c r="Q251" i="3"/>
  <c r="K252" i="3"/>
  <c r="Q252" i="3"/>
  <c r="K253" i="3"/>
  <c r="Q253" i="3"/>
  <c r="K254" i="3"/>
  <c r="Q254" i="3"/>
  <c r="K255" i="3"/>
  <c r="Q255" i="3"/>
  <c r="R255" i="3" s="1"/>
  <c r="K256" i="3"/>
  <c r="Q256" i="3"/>
  <c r="K257" i="3"/>
  <c r="Q257" i="3"/>
  <c r="R257" i="3" s="1"/>
  <c r="K258" i="3"/>
  <c r="Q258" i="3"/>
  <c r="R258" i="3" s="1"/>
  <c r="K259" i="3"/>
  <c r="Q259" i="3"/>
  <c r="K260" i="3"/>
  <c r="Q260" i="3"/>
  <c r="K261" i="3"/>
  <c r="Q261" i="3"/>
  <c r="K262" i="3"/>
  <c r="Q262" i="3"/>
  <c r="K263" i="3"/>
  <c r="Q263" i="3"/>
  <c r="R263" i="3" s="1"/>
  <c r="K264" i="3"/>
  <c r="Q264" i="3"/>
  <c r="K265" i="3"/>
  <c r="Q265" i="3"/>
  <c r="R265" i="3" s="1"/>
  <c r="K266" i="3"/>
  <c r="Q266" i="3"/>
  <c r="K267" i="3"/>
  <c r="Q267" i="3"/>
  <c r="K268" i="3"/>
  <c r="R268" i="3" s="1"/>
  <c r="Q268" i="3"/>
  <c r="K269" i="3"/>
  <c r="Q269" i="3"/>
  <c r="K270" i="3"/>
  <c r="Q270" i="3"/>
  <c r="K271" i="3"/>
  <c r="Q271" i="3"/>
  <c r="K272" i="3"/>
  <c r="Q272" i="3"/>
  <c r="K273" i="3"/>
  <c r="Q273" i="3"/>
  <c r="K274" i="3"/>
  <c r="Q274" i="3"/>
  <c r="K275" i="3"/>
  <c r="Q275" i="3"/>
  <c r="K276" i="3"/>
  <c r="Q276" i="3"/>
  <c r="K277" i="3"/>
  <c r="Q277" i="3"/>
  <c r="K278" i="3"/>
  <c r="Q278" i="3"/>
  <c r="K279" i="3"/>
  <c r="Q279" i="3"/>
  <c r="K280" i="3"/>
  <c r="Q280" i="3"/>
  <c r="K281" i="3"/>
  <c r="Q281" i="3"/>
  <c r="K282" i="3"/>
  <c r="Q282" i="3"/>
  <c r="K283" i="3"/>
  <c r="Q283" i="3"/>
  <c r="K284" i="3"/>
  <c r="R284" i="3" s="1"/>
  <c r="Q284" i="3"/>
  <c r="K285" i="3"/>
  <c r="Q285" i="3"/>
  <c r="K286" i="3"/>
  <c r="Q286" i="3"/>
  <c r="K287" i="3"/>
  <c r="Q287" i="3"/>
  <c r="R287" i="3" s="1"/>
  <c r="K288" i="3"/>
  <c r="Q288" i="3"/>
  <c r="K289" i="3"/>
  <c r="Q289" i="3"/>
  <c r="R289" i="3" s="1"/>
  <c r="K290" i="3"/>
  <c r="Q290" i="3"/>
  <c r="R290" i="3" s="1"/>
  <c r="K291" i="3"/>
  <c r="Q291" i="3"/>
  <c r="K292" i="3"/>
  <c r="Q292" i="3"/>
  <c r="K293" i="3"/>
  <c r="Q293" i="3"/>
  <c r="K294" i="3"/>
  <c r="Q294" i="3"/>
  <c r="K295" i="3"/>
  <c r="Q295" i="3"/>
  <c r="R295" i="3" s="1"/>
  <c r="K296" i="3"/>
  <c r="Q296" i="3"/>
  <c r="K297" i="3"/>
  <c r="Q297" i="3"/>
  <c r="R297" i="3" s="1"/>
  <c r="K298" i="3"/>
  <c r="Q298" i="3"/>
  <c r="K299" i="3"/>
  <c r="Q299" i="3"/>
  <c r="K300" i="3"/>
  <c r="Q300" i="3"/>
  <c r="K301" i="3"/>
  <c r="Q301" i="3"/>
  <c r="K302" i="3"/>
  <c r="Q302" i="3"/>
  <c r="K303" i="3"/>
  <c r="Q303" i="3"/>
  <c r="R303" i="3" s="1"/>
  <c r="K304" i="3"/>
  <c r="Q304" i="3"/>
  <c r="K305" i="3"/>
  <c r="Q305" i="3"/>
  <c r="R305" i="3" s="1"/>
  <c r="K306" i="3"/>
  <c r="Q306" i="3"/>
  <c r="K307" i="3"/>
  <c r="Q307" i="3"/>
  <c r="K308" i="3"/>
  <c r="Q308" i="3"/>
  <c r="K309" i="3"/>
  <c r="Q309" i="3"/>
  <c r="K310" i="3"/>
  <c r="Q310" i="3"/>
  <c r="K311" i="3"/>
  <c r="Q311" i="3"/>
  <c r="R311" i="3" s="1"/>
  <c r="K312" i="3"/>
  <c r="Q312" i="3"/>
  <c r="K313" i="3"/>
  <c r="Q313" i="3"/>
  <c r="R313" i="3" s="1"/>
  <c r="K314" i="3"/>
  <c r="Q314" i="3"/>
  <c r="K315" i="3"/>
  <c r="Q315" i="3"/>
  <c r="K316" i="3"/>
  <c r="Q316" i="3"/>
  <c r="K317" i="3"/>
  <c r="Q317" i="3"/>
  <c r="K318" i="3"/>
  <c r="Q318" i="3"/>
  <c r="K319" i="3"/>
  <c r="Q319" i="3"/>
  <c r="R319" i="3" s="1"/>
  <c r="K320" i="3"/>
  <c r="Q320" i="3"/>
  <c r="K321" i="3"/>
  <c r="Q321" i="3"/>
  <c r="R321" i="3" s="1"/>
  <c r="K322" i="3"/>
  <c r="Q322" i="3"/>
  <c r="K323" i="3"/>
  <c r="Q323" i="3"/>
  <c r="K324" i="3"/>
  <c r="Q324" i="3"/>
  <c r="K325" i="3"/>
  <c r="Q325" i="3"/>
  <c r="K326" i="3"/>
  <c r="Q326" i="3"/>
  <c r="K327" i="3"/>
  <c r="Q327" i="3"/>
  <c r="R327" i="3" s="1"/>
  <c r="K328" i="3"/>
  <c r="Q328" i="3"/>
  <c r="K329" i="3"/>
  <c r="Q329" i="3"/>
  <c r="R329" i="3" s="1"/>
  <c r="K330" i="3"/>
  <c r="Q330" i="3"/>
  <c r="K331" i="3"/>
  <c r="Q331" i="3"/>
  <c r="K332" i="3"/>
  <c r="Q332" i="3"/>
  <c r="R332" i="3"/>
  <c r="K333" i="3"/>
  <c r="Q333" i="3"/>
  <c r="K334" i="3"/>
  <c r="Q334" i="3"/>
  <c r="K335" i="3"/>
  <c r="Q335" i="3"/>
  <c r="K336" i="3"/>
  <c r="Q336" i="3"/>
  <c r="K337" i="3"/>
  <c r="Q337" i="3"/>
  <c r="K338" i="3"/>
  <c r="Q338" i="3"/>
  <c r="R338" i="3" s="1"/>
  <c r="K339" i="3"/>
  <c r="Q339" i="3"/>
  <c r="K340" i="3"/>
  <c r="Q340" i="3"/>
  <c r="K341" i="3"/>
  <c r="Q341" i="3"/>
  <c r="K342" i="3"/>
  <c r="Q342" i="3"/>
  <c r="K343" i="3"/>
  <c r="Q343" i="3"/>
  <c r="K344" i="3"/>
  <c r="Q344" i="3"/>
  <c r="K345" i="3"/>
  <c r="Q345" i="3"/>
  <c r="K346" i="3"/>
  <c r="Q346" i="3"/>
  <c r="R346" i="3" s="1"/>
  <c r="K347" i="3"/>
  <c r="Q347" i="3"/>
  <c r="K348" i="3"/>
  <c r="Q348" i="3"/>
  <c r="K349" i="3"/>
  <c r="Q349" i="3"/>
  <c r="K350" i="3"/>
  <c r="Q350" i="3"/>
  <c r="K351" i="3"/>
  <c r="Q351" i="3"/>
  <c r="K352" i="3"/>
  <c r="Q352" i="3"/>
  <c r="K353" i="3"/>
  <c r="Q353" i="3"/>
  <c r="K354" i="3"/>
  <c r="Q354" i="3"/>
  <c r="R354" i="3"/>
  <c r="K355" i="3"/>
  <c r="Q355" i="3"/>
  <c r="K356" i="3"/>
  <c r="Q356" i="3"/>
  <c r="R356" i="3" s="1"/>
  <c r="K357" i="3"/>
  <c r="Q357" i="3"/>
  <c r="K358" i="3"/>
  <c r="Q358" i="3"/>
  <c r="K359" i="3"/>
  <c r="Q359" i="3"/>
  <c r="K360" i="3"/>
  <c r="Q360" i="3"/>
  <c r="K361" i="3"/>
  <c r="Q361" i="3"/>
  <c r="K362" i="3"/>
  <c r="Q362" i="3"/>
  <c r="K363" i="3"/>
  <c r="Q363" i="3"/>
  <c r="K364" i="3"/>
  <c r="Q364" i="3"/>
  <c r="R364" i="3" s="1"/>
  <c r="K365" i="3"/>
  <c r="Q365" i="3"/>
  <c r="K366" i="3"/>
  <c r="Q366" i="3"/>
  <c r="K367" i="3"/>
  <c r="Q367" i="3"/>
  <c r="R367" i="3" s="1"/>
  <c r="K368" i="3"/>
  <c r="Q368" i="3"/>
  <c r="K369" i="3"/>
  <c r="Q369" i="3"/>
  <c r="R369" i="3" s="1"/>
  <c r="K370" i="3"/>
  <c r="Q370" i="3"/>
  <c r="K371" i="3"/>
  <c r="Q371" i="3"/>
  <c r="K372" i="3"/>
  <c r="Q372" i="3"/>
  <c r="K373" i="3"/>
  <c r="Q373" i="3"/>
  <c r="K374" i="3"/>
  <c r="Q374" i="3"/>
  <c r="K375" i="3"/>
  <c r="Q375" i="3"/>
  <c r="K376" i="3"/>
  <c r="Q376" i="3"/>
  <c r="K377" i="3"/>
  <c r="Q377" i="3"/>
  <c r="K378" i="3"/>
  <c r="Q378" i="3"/>
  <c r="K379" i="3"/>
  <c r="Q379" i="3"/>
  <c r="K380" i="3"/>
  <c r="Q380" i="3"/>
  <c r="K381" i="3"/>
  <c r="Q381" i="3"/>
  <c r="K382" i="3"/>
  <c r="Q382" i="3"/>
  <c r="K383" i="3"/>
  <c r="Q383" i="3"/>
  <c r="K384" i="3"/>
  <c r="Q384" i="3"/>
  <c r="K385" i="3"/>
  <c r="Q385" i="3"/>
  <c r="K386" i="3"/>
  <c r="Q386" i="3"/>
  <c r="K387" i="3"/>
  <c r="Q387" i="3"/>
  <c r="K388" i="3"/>
  <c r="Q388" i="3"/>
  <c r="K389" i="3"/>
  <c r="Q389" i="3"/>
  <c r="K390" i="3"/>
  <c r="Q390" i="3"/>
  <c r="K391" i="3"/>
  <c r="Q391" i="3"/>
  <c r="K392" i="3"/>
  <c r="Q392" i="3"/>
  <c r="K393" i="3"/>
  <c r="Q393" i="3"/>
  <c r="R393" i="3" s="1"/>
  <c r="K394" i="3"/>
  <c r="Q394" i="3"/>
  <c r="K395" i="3"/>
  <c r="Q395" i="3"/>
  <c r="K396" i="3"/>
  <c r="Q396" i="3"/>
  <c r="K397" i="3"/>
  <c r="Q397" i="3"/>
  <c r="R397" i="3" s="1"/>
  <c r="K398" i="3"/>
  <c r="Q398" i="3"/>
  <c r="K399" i="3"/>
  <c r="Q399" i="3"/>
  <c r="K400" i="3"/>
  <c r="Q400" i="3"/>
  <c r="K401" i="3"/>
  <c r="Q401" i="3"/>
  <c r="K402" i="3"/>
  <c r="Q402" i="3"/>
  <c r="K403" i="3"/>
  <c r="Q403" i="3"/>
  <c r="K404" i="3"/>
  <c r="Q404" i="3"/>
  <c r="K405" i="3"/>
  <c r="Q405" i="3"/>
  <c r="K406" i="3"/>
  <c r="Q406" i="3"/>
  <c r="K407" i="3"/>
  <c r="Q407" i="3"/>
  <c r="K408" i="3"/>
  <c r="Q408" i="3"/>
  <c r="K409" i="3"/>
  <c r="Q409" i="3"/>
  <c r="R409" i="3" s="1"/>
  <c r="K410" i="3"/>
  <c r="Q410" i="3"/>
  <c r="K411" i="3"/>
  <c r="Q411" i="3"/>
  <c r="K412" i="3"/>
  <c r="Q412" i="3"/>
  <c r="K413" i="3"/>
  <c r="Q413" i="3"/>
  <c r="R413" i="3" s="1"/>
  <c r="K414" i="3"/>
  <c r="Q414" i="3"/>
  <c r="K415" i="3"/>
  <c r="Q415" i="3"/>
  <c r="K416" i="3"/>
  <c r="Q416" i="3"/>
  <c r="K417" i="3"/>
  <c r="Q417" i="3"/>
  <c r="K418" i="3"/>
  <c r="Q418" i="3"/>
  <c r="K419" i="3"/>
  <c r="Q419" i="3"/>
  <c r="K420" i="3"/>
  <c r="Q420" i="3"/>
  <c r="K421" i="3"/>
  <c r="Q421" i="3"/>
  <c r="K422" i="3"/>
  <c r="Q422" i="3"/>
  <c r="K423" i="3"/>
  <c r="Q423" i="3"/>
  <c r="K424" i="3"/>
  <c r="Q424" i="3"/>
  <c r="K425" i="3"/>
  <c r="Q425" i="3"/>
  <c r="K426" i="3"/>
  <c r="Q426" i="3"/>
  <c r="K427" i="3"/>
  <c r="Q427" i="3"/>
  <c r="K428" i="3"/>
  <c r="Q428" i="3"/>
  <c r="K429" i="3"/>
  <c r="Q429" i="3"/>
  <c r="K430" i="3"/>
  <c r="Q430" i="3"/>
  <c r="K431" i="3"/>
  <c r="Q431" i="3"/>
  <c r="K432" i="3"/>
  <c r="Q432" i="3"/>
  <c r="K433" i="3"/>
  <c r="Q433" i="3"/>
  <c r="K434" i="3"/>
  <c r="Q434" i="3"/>
  <c r="K435" i="3"/>
  <c r="Q435" i="3"/>
  <c r="K436" i="3"/>
  <c r="Q436" i="3"/>
  <c r="K437" i="3"/>
  <c r="Q437" i="3"/>
  <c r="K438" i="3"/>
  <c r="Q438" i="3"/>
  <c r="K439" i="3"/>
  <c r="Q439" i="3"/>
  <c r="K440" i="3"/>
  <c r="Q440" i="3"/>
  <c r="K441" i="3"/>
  <c r="Q441" i="3"/>
  <c r="K442" i="3"/>
  <c r="Q442" i="3"/>
  <c r="K443" i="3"/>
  <c r="Q443" i="3"/>
  <c r="K444" i="3"/>
  <c r="Q444" i="3"/>
  <c r="K445" i="3"/>
  <c r="Q445" i="3"/>
  <c r="K446" i="3"/>
  <c r="Q446" i="3"/>
  <c r="K447" i="3"/>
  <c r="Q447" i="3"/>
  <c r="K448" i="3"/>
  <c r="Q448" i="3"/>
  <c r="K449" i="3"/>
  <c r="Q449" i="3"/>
  <c r="K450" i="3"/>
  <c r="Q450" i="3"/>
  <c r="K451" i="3"/>
  <c r="Q451" i="3"/>
  <c r="K452" i="3"/>
  <c r="Q452" i="3"/>
  <c r="K453" i="3"/>
  <c r="Q453" i="3"/>
  <c r="K454" i="3"/>
  <c r="Q454" i="3"/>
  <c r="K455" i="3"/>
  <c r="Q455" i="3"/>
  <c r="K456" i="3"/>
  <c r="R456" i="3" s="1"/>
  <c r="Q456" i="3"/>
  <c r="K457" i="3"/>
  <c r="Q457" i="3"/>
  <c r="K458" i="3"/>
  <c r="Q458" i="3"/>
  <c r="K459" i="3"/>
  <c r="Q459" i="3"/>
  <c r="K460" i="3"/>
  <c r="Q460" i="3"/>
  <c r="K461" i="3"/>
  <c r="Q461" i="3"/>
  <c r="K462" i="3"/>
  <c r="Q462" i="3"/>
  <c r="K463" i="3"/>
  <c r="Q463" i="3"/>
  <c r="K464" i="3"/>
  <c r="Q464" i="3"/>
  <c r="K465" i="3"/>
  <c r="Q465" i="3"/>
  <c r="K466" i="3"/>
  <c r="Q466" i="3"/>
  <c r="K467" i="3"/>
  <c r="Q467" i="3"/>
  <c r="K468" i="3"/>
  <c r="Q468" i="3"/>
  <c r="K469" i="3"/>
  <c r="Q469" i="3"/>
  <c r="K470" i="3"/>
  <c r="Q470" i="3"/>
  <c r="K471" i="3"/>
  <c r="Q471" i="3"/>
  <c r="K472" i="3"/>
  <c r="Q472" i="3"/>
  <c r="K473" i="3"/>
  <c r="Q473" i="3"/>
  <c r="K474" i="3"/>
  <c r="Q474" i="3"/>
  <c r="K475" i="3"/>
  <c r="Q475" i="3"/>
  <c r="K476" i="3"/>
  <c r="Q476" i="3"/>
  <c r="K477" i="3"/>
  <c r="Q477" i="3"/>
  <c r="K478" i="3"/>
  <c r="Q478" i="3"/>
  <c r="K479" i="3"/>
  <c r="Q479" i="3"/>
  <c r="K480" i="3"/>
  <c r="R480" i="3" s="1"/>
  <c r="Q480" i="3"/>
  <c r="K481" i="3"/>
  <c r="Q481" i="3"/>
  <c r="K482" i="3"/>
  <c r="R482" i="3" s="1"/>
  <c r="Q482" i="3"/>
  <c r="K483" i="3"/>
  <c r="Q483" i="3"/>
  <c r="K484" i="3"/>
  <c r="R484" i="3" s="1"/>
  <c r="Q484" i="3"/>
  <c r="K485" i="3"/>
  <c r="Q485" i="3"/>
  <c r="K486" i="3"/>
  <c r="Q486" i="3"/>
  <c r="K487" i="3"/>
  <c r="Q487" i="3"/>
  <c r="K488" i="3"/>
  <c r="R488" i="3" s="1"/>
  <c r="Q488" i="3"/>
  <c r="K489" i="3"/>
  <c r="Q489" i="3"/>
  <c r="K490" i="3"/>
  <c r="Q490" i="3"/>
  <c r="K491" i="3"/>
  <c r="Q491" i="3"/>
  <c r="K492" i="3"/>
  <c r="Q492" i="3"/>
  <c r="K493" i="3"/>
  <c r="Q493" i="3"/>
  <c r="K494" i="3"/>
  <c r="Q494" i="3"/>
  <c r="K495" i="3"/>
  <c r="Q495" i="3"/>
  <c r="K496" i="3"/>
  <c r="Q496" i="3"/>
  <c r="K497" i="3"/>
  <c r="Q497" i="3"/>
  <c r="K498" i="3"/>
  <c r="R498" i="3" s="1"/>
  <c r="Q498" i="3"/>
  <c r="K499" i="3"/>
  <c r="Q499" i="3"/>
  <c r="K500" i="3"/>
  <c r="R500" i="3" s="1"/>
  <c r="Q500" i="3"/>
  <c r="K501" i="3"/>
  <c r="Q501" i="3"/>
  <c r="K502" i="3"/>
  <c r="Q502" i="3"/>
  <c r="K503" i="3"/>
  <c r="Q503" i="3"/>
  <c r="K504" i="3"/>
  <c r="R504" i="3" s="1"/>
  <c r="Q504" i="3"/>
  <c r="K505" i="3"/>
  <c r="Q505" i="3"/>
  <c r="K506" i="3"/>
  <c r="Q506" i="3"/>
  <c r="K507" i="3"/>
  <c r="Q507" i="3"/>
  <c r="K508" i="3"/>
  <c r="Q508" i="3"/>
  <c r="K509" i="3"/>
  <c r="Q509" i="3"/>
  <c r="K510" i="3"/>
  <c r="Q510" i="3"/>
  <c r="K511" i="3"/>
  <c r="Q511" i="3"/>
  <c r="K512" i="3"/>
  <c r="Q512" i="3"/>
  <c r="K513" i="3"/>
  <c r="Q513" i="3"/>
  <c r="K514" i="3"/>
  <c r="R514" i="3" s="1"/>
  <c r="Q514" i="3"/>
  <c r="K515" i="3"/>
  <c r="Q515" i="3"/>
  <c r="K516" i="3"/>
  <c r="R516" i="3" s="1"/>
  <c r="Q516" i="3"/>
  <c r="K517" i="3"/>
  <c r="Q517" i="3"/>
  <c r="K518" i="3"/>
  <c r="Q518" i="3"/>
  <c r="K519" i="3"/>
  <c r="Q519" i="3"/>
  <c r="K520" i="3"/>
  <c r="R520" i="3" s="1"/>
  <c r="Q520" i="3"/>
  <c r="K521" i="3"/>
  <c r="Q521" i="3"/>
  <c r="R521" i="3" s="1"/>
  <c r="K522" i="3"/>
  <c r="Q522" i="3"/>
  <c r="K523" i="3"/>
  <c r="Q523" i="3"/>
  <c r="K524" i="3"/>
  <c r="Q524" i="3"/>
  <c r="K525" i="3"/>
  <c r="Q525" i="3"/>
  <c r="R525" i="3" s="1"/>
  <c r="K526" i="3"/>
  <c r="Q526" i="3"/>
  <c r="K527" i="3"/>
  <c r="Q527" i="3"/>
  <c r="K528" i="3"/>
  <c r="Q528" i="3"/>
  <c r="K529" i="3"/>
  <c r="Q529" i="3"/>
  <c r="K530" i="3"/>
  <c r="Q530" i="3"/>
  <c r="K531" i="3"/>
  <c r="Q531" i="3"/>
  <c r="K532" i="3"/>
  <c r="R532" i="3" s="1"/>
  <c r="Q532" i="3"/>
  <c r="K533" i="3"/>
  <c r="Q533" i="3"/>
  <c r="K534" i="3"/>
  <c r="R534" i="3" s="1"/>
  <c r="Q534" i="3"/>
  <c r="K535" i="3"/>
  <c r="Q535" i="3"/>
  <c r="K536" i="3"/>
  <c r="R536" i="3" s="1"/>
  <c r="Q536" i="3"/>
  <c r="K537" i="3"/>
  <c r="Q537" i="3"/>
  <c r="R537" i="3" s="1"/>
  <c r="K538" i="3"/>
  <c r="Q538" i="3"/>
  <c r="K539" i="3"/>
  <c r="Q539" i="3"/>
  <c r="K540" i="3"/>
  <c r="Q540" i="3"/>
  <c r="K541" i="3"/>
  <c r="Q541" i="3"/>
  <c r="R541" i="3" s="1"/>
  <c r="K542" i="3"/>
  <c r="Q542" i="3"/>
  <c r="K543" i="3"/>
  <c r="Q543" i="3"/>
  <c r="K544" i="3"/>
  <c r="R544" i="3" s="1"/>
  <c r="Q544" i="3"/>
  <c r="K545" i="3"/>
  <c r="Q545" i="3"/>
  <c r="K546" i="3"/>
  <c r="Q546" i="3"/>
  <c r="K547" i="3"/>
  <c r="Q547" i="3"/>
  <c r="K548" i="3"/>
  <c r="R548" i="3" s="1"/>
  <c r="Q548" i="3"/>
  <c r="K549" i="3"/>
  <c r="Q549" i="3"/>
  <c r="K550" i="3"/>
  <c r="R550" i="3" s="1"/>
  <c r="Q550" i="3"/>
  <c r="K551" i="3"/>
  <c r="Q551" i="3"/>
  <c r="K552" i="3"/>
  <c r="R552" i="3" s="1"/>
  <c r="Q552" i="3"/>
  <c r="K553" i="3"/>
  <c r="Q553" i="3"/>
  <c r="K554" i="3"/>
  <c r="Q554" i="3"/>
  <c r="K555" i="3"/>
  <c r="Q555" i="3"/>
  <c r="K556" i="3"/>
  <c r="Q556" i="3"/>
  <c r="K557" i="3"/>
  <c r="Q557" i="3"/>
  <c r="K558" i="3"/>
  <c r="Q558" i="3"/>
  <c r="K559" i="3"/>
  <c r="Q559" i="3"/>
  <c r="K560" i="3"/>
  <c r="Q560" i="3"/>
  <c r="K561" i="3"/>
  <c r="Q561" i="3"/>
  <c r="K562" i="3"/>
  <c r="Q562" i="3"/>
  <c r="K563" i="3"/>
  <c r="Q563" i="3"/>
  <c r="K564" i="3"/>
  <c r="R564" i="3" s="1"/>
  <c r="Q564" i="3"/>
  <c r="K565" i="3"/>
  <c r="Q565" i="3"/>
  <c r="K566" i="3"/>
  <c r="R566" i="3" s="1"/>
  <c r="Q566" i="3"/>
  <c r="K567" i="3"/>
  <c r="Q567" i="3"/>
  <c r="K568" i="3"/>
  <c r="R568" i="3" s="1"/>
  <c r="Q568" i="3"/>
  <c r="K569" i="3"/>
  <c r="Q569" i="3"/>
  <c r="K570" i="3"/>
  <c r="Q570" i="3"/>
  <c r="K571" i="3"/>
  <c r="Q571" i="3"/>
  <c r="K572" i="3"/>
  <c r="Q572" i="3"/>
  <c r="K573" i="3"/>
  <c r="Q573" i="3"/>
  <c r="K574" i="3"/>
  <c r="Q574" i="3"/>
  <c r="K575" i="3"/>
  <c r="Q575" i="3"/>
  <c r="K576" i="3"/>
  <c r="R576" i="3" s="1"/>
  <c r="Q576" i="3"/>
  <c r="K577" i="3"/>
  <c r="Q577" i="3"/>
  <c r="K578" i="3"/>
  <c r="Q578" i="3"/>
  <c r="K579" i="3"/>
  <c r="Q579" i="3"/>
  <c r="K580" i="3"/>
  <c r="R580" i="3" s="1"/>
  <c r="Q580" i="3"/>
  <c r="K581" i="3"/>
  <c r="Q581" i="3"/>
  <c r="K582" i="3"/>
  <c r="R582" i="3" s="1"/>
  <c r="Q582" i="3"/>
  <c r="K583" i="3"/>
  <c r="Q583" i="3"/>
  <c r="K584" i="3"/>
  <c r="R584" i="3" s="1"/>
  <c r="Q584" i="3"/>
  <c r="K585" i="3"/>
  <c r="Q585" i="3"/>
  <c r="K586" i="3"/>
  <c r="Q586" i="3"/>
  <c r="R586" i="3" s="1"/>
  <c r="K587" i="3"/>
  <c r="Q587" i="3"/>
  <c r="K588" i="3"/>
  <c r="Q588" i="3"/>
  <c r="K589" i="3"/>
  <c r="Q589" i="3"/>
  <c r="K590" i="3"/>
  <c r="Q590" i="3"/>
  <c r="K591" i="3"/>
  <c r="Q591" i="3"/>
  <c r="K592" i="3"/>
  <c r="Q592" i="3"/>
  <c r="R592" i="3" s="1"/>
  <c r="K593" i="3"/>
  <c r="Q593" i="3"/>
  <c r="K594" i="3"/>
  <c r="Q594" i="3"/>
  <c r="K595" i="3"/>
  <c r="Q595" i="3"/>
  <c r="K596" i="3"/>
  <c r="Q596" i="3"/>
  <c r="K597" i="3"/>
  <c r="Q597" i="3"/>
  <c r="K598" i="3"/>
  <c r="Q598" i="3"/>
  <c r="K599" i="3"/>
  <c r="Q599" i="3"/>
  <c r="K600" i="3"/>
  <c r="Q600" i="3"/>
  <c r="K601" i="3"/>
  <c r="Q601" i="3"/>
  <c r="K602" i="3"/>
  <c r="Q602" i="3"/>
  <c r="R602" i="3" s="1"/>
  <c r="K603" i="3"/>
  <c r="Q603" i="3"/>
  <c r="K604" i="3"/>
  <c r="Q604" i="3"/>
  <c r="K605" i="3"/>
  <c r="Q605" i="3"/>
  <c r="K606" i="3"/>
  <c r="Q606" i="3"/>
  <c r="K607" i="3"/>
  <c r="Q607" i="3"/>
  <c r="K608" i="3"/>
  <c r="Q608" i="3"/>
  <c r="K609" i="3"/>
  <c r="Q609" i="3"/>
  <c r="K610" i="3"/>
  <c r="Q610" i="3"/>
  <c r="K611" i="3"/>
  <c r="Q611" i="3"/>
  <c r="K612" i="3"/>
  <c r="Q612" i="3"/>
  <c r="K613" i="3"/>
  <c r="Q613" i="3"/>
  <c r="K614" i="3"/>
  <c r="Q614" i="3"/>
  <c r="K615" i="3"/>
  <c r="Q615" i="3"/>
  <c r="K616" i="3"/>
  <c r="Q616" i="3"/>
  <c r="R616" i="3" s="1"/>
  <c r="K617" i="3"/>
  <c r="Q617" i="3"/>
  <c r="K618" i="3"/>
  <c r="Q618" i="3"/>
  <c r="K619" i="3"/>
  <c r="Q619" i="3"/>
  <c r="K620" i="3"/>
  <c r="Q620" i="3"/>
  <c r="K621" i="3"/>
  <c r="Q621" i="3"/>
  <c r="K622" i="3"/>
  <c r="Q622" i="3"/>
  <c r="K623" i="3"/>
  <c r="Q623" i="3"/>
  <c r="K624" i="3"/>
  <c r="Q624" i="3"/>
  <c r="K625" i="3"/>
  <c r="Q625" i="3"/>
  <c r="K626" i="3"/>
  <c r="Q626" i="3"/>
  <c r="K627" i="3"/>
  <c r="Q627" i="3"/>
  <c r="K628" i="3"/>
  <c r="R628" i="3" s="1"/>
  <c r="Q628" i="3"/>
  <c r="K629" i="3"/>
  <c r="Q629" i="3"/>
  <c r="K630" i="3"/>
  <c r="R630" i="3" s="1"/>
  <c r="Q630" i="3"/>
  <c r="K631" i="3"/>
  <c r="Q631" i="3"/>
  <c r="K632" i="3"/>
  <c r="R632" i="3" s="1"/>
  <c r="Q632" i="3"/>
  <c r="K633" i="3"/>
  <c r="Q633" i="3"/>
  <c r="K634" i="3"/>
  <c r="Q634" i="3"/>
  <c r="K635" i="3"/>
  <c r="Q635" i="3"/>
  <c r="K636" i="3"/>
  <c r="Q636" i="3"/>
  <c r="K637" i="3"/>
  <c r="Q637" i="3"/>
  <c r="K638" i="3"/>
  <c r="Q638" i="3"/>
  <c r="K639" i="3"/>
  <c r="Q639" i="3"/>
  <c r="K640" i="3"/>
  <c r="R640" i="3" s="1"/>
  <c r="Q640" i="3"/>
  <c r="K641" i="3"/>
  <c r="Q641" i="3"/>
  <c r="K642" i="3"/>
  <c r="Q642" i="3"/>
  <c r="K643" i="3"/>
  <c r="Q643" i="3"/>
  <c r="K644" i="3"/>
  <c r="R644" i="3" s="1"/>
  <c r="Q644" i="3"/>
  <c r="K645" i="3"/>
  <c r="Q645" i="3"/>
  <c r="K646" i="3"/>
  <c r="R646" i="3" s="1"/>
  <c r="Q646" i="3"/>
  <c r="K647" i="3"/>
  <c r="Q647" i="3"/>
  <c r="K648" i="3"/>
  <c r="R648" i="3" s="1"/>
  <c r="Q648" i="3"/>
  <c r="K649" i="3"/>
  <c r="Q649" i="3"/>
  <c r="K650" i="3"/>
  <c r="Q650" i="3"/>
  <c r="K651" i="3"/>
  <c r="Q651" i="3"/>
  <c r="K652" i="3"/>
  <c r="Q652" i="3"/>
  <c r="K653" i="3"/>
  <c r="Q653" i="3"/>
  <c r="R653" i="3" s="1"/>
  <c r="K654" i="3"/>
  <c r="Q654" i="3"/>
  <c r="K655" i="3"/>
  <c r="Q655" i="3"/>
  <c r="K656" i="3"/>
  <c r="Q656" i="3"/>
  <c r="K657" i="3"/>
  <c r="Q657" i="3"/>
  <c r="K658" i="3"/>
  <c r="Q658" i="3"/>
  <c r="K659" i="3"/>
  <c r="Q659" i="3"/>
  <c r="K660" i="3"/>
  <c r="R660" i="3" s="1"/>
  <c r="Q660" i="3"/>
  <c r="K661" i="3"/>
  <c r="Q661" i="3"/>
  <c r="K662" i="3"/>
  <c r="R662" i="3" s="1"/>
  <c r="Q662" i="3"/>
  <c r="K663" i="3"/>
  <c r="Q663" i="3"/>
  <c r="K664" i="3"/>
  <c r="R664" i="3" s="1"/>
  <c r="Q664" i="3"/>
  <c r="K665" i="3"/>
  <c r="Q665" i="3"/>
  <c r="K666" i="3"/>
  <c r="Q666" i="3"/>
  <c r="K667" i="3"/>
  <c r="Q667" i="3"/>
  <c r="K668" i="3"/>
  <c r="Q668" i="3"/>
  <c r="K669" i="3"/>
  <c r="Q669" i="3"/>
  <c r="R669" i="3" s="1"/>
  <c r="K670" i="3"/>
  <c r="Q670" i="3"/>
  <c r="K671" i="3"/>
  <c r="Q671" i="3"/>
  <c r="K672" i="3"/>
  <c r="R672" i="3" s="1"/>
  <c r="Q672" i="3"/>
  <c r="K673" i="3"/>
  <c r="Q673" i="3"/>
  <c r="K674" i="3"/>
  <c r="Q674" i="3"/>
  <c r="K675" i="3"/>
  <c r="Q675" i="3"/>
  <c r="K676" i="3"/>
  <c r="R676" i="3" s="1"/>
  <c r="Q676" i="3"/>
  <c r="K677" i="3"/>
  <c r="Q677" i="3"/>
  <c r="K678" i="3"/>
  <c r="R678" i="3" s="1"/>
  <c r="Q678" i="3"/>
  <c r="K679" i="3"/>
  <c r="Q679" i="3"/>
  <c r="K680" i="3"/>
  <c r="R680" i="3" s="1"/>
  <c r="Q680" i="3"/>
  <c r="K681" i="3"/>
  <c r="Q681" i="3"/>
  <c r="K682" i="3"/>
  <c r="Q682" i="3"/>
  <c r="K683" i="3"/>
  <c r="Q683" i="3"/>
  <c r="K684" i="3"/>
  <c r="Q684" i="3"/>
  <c r="K685" i="3"/>
  <c r="Q685" i="3"/>
  <c r="K686" i="3"/>
  <c r="Q686" i="3"/>
  <c r="K687" i="3"/>
  <c r="Q687" i="3"/>
  <c r="K688" i="3"/>
  <c r="Q688" i="3"/>
  <c r="K689" i="3"/>
  <c r="Q689" i="3"/>
  <c r="K690" i="3"/>
  <c r="Q690" i="3"/>
  <c r="K691" i="3"/>
  <c r="Q691" i="3"/>
  <c r="K692" i="3"/>
  <c r="R692" i="3" s="1"/>
  <c r="Q692" i="3"/>
  <c r="K693" i="3"/>
  <c r="Q693" i="3"/>
  <c r="K694" i="3"/>
  <c r="R694" i="3" s="1"/>
  <c r="Q694" i="3"/>
  <c r="K695" i="3"/>
  <c r="Q695" i="3"/>
  <c r="K696" i="3"/>
  <c r="R696" i="3" s="1"/>
  <c r="Q696" i="3"/>
  <c r="K697" i="3"/>
  <c r="Q697" i="3"/>
  <c r="K698" i="3"/>
  <c r="Q698" i="3"/>
  <c r="K699" i="3"/>
  <c r="Q699" i="3"/>
  <c r="K700" i="3"/>
  <c r="Q700" i="3"/>
  <c r="K701" i="3"/>
  <c r="Q701" i="3"/>
  <c r="K702" i="3"/>
  <c r="Q702" i="3"/>
  <c r="K703" i="3"/>
  <c r="Q703" i="3"/>
  <c r="K704" i="3"/>
  <c r="R704" i="3" s="1"/>
  <c r="Q704" i="3"/>
  <c r="K705" i="3"/>
  <c r="Q705" i="3"/>
  <c r="K706" i="3"/>
  <c r="Q706" i="3"/>
  <c r="R706" i="3"/>
  <c r="K707" i="3"/>
  <c r="Q707" i="3"/>
  <c r="K708" i="3"/>
  <c r="Q708" i="3"/>
  <c r="K709" i="3"/>
  <c r="Q709" i="3"/>
  <c r="K710" i="3"/>
  <c r="Q710" i="3"/>
  <c r="K711" i="3"/>
  <c r="Q711" i="3"/>
  <c r="K712" i="3"/>
  <c r="Q712" i="3"/>
  <c r="R712" i="3" s="1"/>
  <c r="K713" i="3"/>
  <c r="Q713" i="3"/>
  <c r="K714" i="3"/>
  <c r="Q714" i="3"/>
  <c r="K715" i="3"/>
  <c r="Q715" i="3"/>
  <c r="K716" i="3"/>
  <c r="Q716" i="3"/>
  <c r="K717" i="3"/>
  <c r="Q717" i="3"/>
  <c r="K718" i="3"/>
  <c r="Q718" i="3"/>
  <c r="K719" i="3"/>
  <c r="Q719" i="3"/>
  <c r="K720" i="3"/>
  <c r="Q720" i="3"/>
  <c r="K721" i="3"/>
  <c r="Q721" i="3"/>
  <c r="K722" i="3"/>
  <c r="Q722" i="3"/>
  <c r="R722" i="3" s="1"/>
  <c r="K723" i="3"/>
  <c r="Q723" i="3"/>
  <c r="K724" i="3"/>
  <c r="Q724" i="3"/>
  <c r="K725" i="3"/>
  <c r="Q725" i="3"/>
  <c r="K726" i="3"/>
  <c r="Q726" i="3"/>
  <c r="K727" i="3"/>
  <c r="Q727" i="3"/>
  <c r="K728" i="3"/>
  <c r="Q728" i="3"/>
  <c r="K729" i="3"/>
  <c r="Q729" i="3"/>
  <c r="K730" i="3"/>
  <c r="Q730" i="3"/>
  <c r="K731" i="3"/>
  <c r="Q731" i="3"/>
  <c r="K732" i="3"/>
  <c r="Q732" i="3"/>
  <c r="K733" i="3"/>
  <c r="Q733" i="3"/>
  <c r="K734" i="3"/>
  <c r="Q734" i="3"/>
  <c r="K735" i="3"/>
  <c r="Q735" i="3"/>
  <c r="K736" i="3"/>
  <c r="Q736" i="3"/>
  <c r="K737" i="3"/>
  <c r="Q737" i="3"/>
  <c r="K738" i="3"/>
  <c r="Q738" i="3"/>
  <c r="K739" i="3"/>
  <c r="Q739" i="3"/>
  <c r="K740" i="3"/>
  <c r="Q740" i="3"/>
  <c r="K741" i="3"/>
  <c r="Q741" i="3"/>
  <c r="K742" i="3"/>
  <c r="Q742" i="3"/>
  <c r="K743" i="3"/>
  <c r="Q743" i="3"/>
  <c r="K744" i="3"/>
  <c r="Q744" i="3"/>
  <c r="K745" i="3"/>
  <c r="Q745" i="3"/>
  <c r="K746" i="3"/>
  <c r="Q746" i="3"/>
  <c r="K747" i="3"/>
  <c r="Q747" i="3"/>
  <c r="K748" i="3"/>
  <c r="Q748" i="3"/>
  <c r="K749" i="3"/>
  <c r="Q749" i="3"/>
  <c r="K750" i="3"/>
  <c r="Q750" i="3"/>
  <c r="K751" i="3"/>
  <c r="Q751" i="3"/>
  <c r="K752" i="3"/>
  <c r="Q752" i="3"/>
  <c r="K753" i="3"/>
  <c r="Q753" i="3"/>
  <c r="K754" i="3"/>
  <c r="Q754" i="3"/>
  <c r="K755" i="3"/>
  <c r="Q755" i="3"/>
  <c r="K756" i="3"/>
  <c r="Q756" i="3"/>
  <c r="K757" i="3"/>
  <c r="Q757" i="3"/>
  <c r="K758" i="3"/>
  <c r="Q758" i="3"/>
  <c r="K759" i="3"/>
  <c r="Q759" i="3"/>
  <c r="K760" i="3"/>
  <c r="Q760" i="3"/>
  <c r="K761" i="3"/>
  <c r="Q761" i="3"/>
  <c r="K762" i="3"/>
  <c r="Q762" i="3"/>
  <c r="K763" i="3"/>
  <c r="Q763" i="3"/>
  <c r="K764" i="3"/>
  <c r="Q764" i="3"/>
  <c r="K765" i="3"/>
  <c r="Q765" i="3"/>
  <c r="K766" i="3"/>
  <c r="Q766" i="3"/>
  <c r="K767" i="3"/>
  <c r="Q767" i="3"/>
  <c r="K768" i="3"/>
  <c r="Q768" i="3"/>
  <c r="K769" i="3"/>
  <c r="Q769" i="3"/>
  <c r="K770" i="3"/>
  <c r="Q770" i="3"/>
  <c r="R770" i="3"/>
  <c r="K771" i="3"/>
  <c r="Q771" i="3"/>
  <c r="K772" i="3"/>
  <c r="Q772" i="3"/>
  <c r="K773" i="3"/>
  <c r="Q773" i="3"/>
  <c r="K774" i="3"/>
  <c r="Q774" i="3"/>
  <c r="K775" i="3"/>
  <c r="Q775" i="3"/>
  <c r="K776" i="3"/>
  <c r="Q776" i="3"/>
  <c r="R776" i="3" s="1"/>
  <c r="K777" i="3"/>
  <c r="Q777" i="3"/>
  <c r="K778" i="3"/>
  <c r="Q778" i="3"/>
  <c r="K779" i="3"/>
  <c r="Q779" i="3"/>
  <c r="K780" i="3"/>
  <c r="Q780" i="3"/>
  <c r="K781" i="3"/>
  <c r="Q781" i="3"/>
  <c r="K782" i="3"/>
  <c r="Q782" i="3"/>
  <c r="K783" i="3"/>
  <c r="Q783" i="3"/>
  <c r="K784" i="3"/>
  <c r="Q784" i="3"/>
  <c r="K785" i="3"/>
  <c r="Q785" i="3"/>
  <c r="K786" i="3"/>
  <c r="Q786" i="3"/>
  <c r="R786" i="3" s="1"/>
  <c r="K787" i="3"/>
  <c r="Q787" i="3"/>
  <c r="K788" i="3"/>
  <c r="Q788" i="3"/>
  <c r="K789" i="3"/>
  <c r="Q789" i="3"/>
  <c r="K790" i="3"/>
  <c r="Q790" i="3"/>
  <c r="K791" i="3"/>
  <c r="Q791" i="3"/>
  <c r="K792" i="3"/>
  <c r="Q792" i="3"/>
  <c r="K793" i="3"/>
  <c r="Q793" i="3"/>
  <c r="K794" i="3"/>
  <c r="Q794" i="3"/>
  <c r="K795" i="3"/>
  <c r="Q795" i="3"/>
  <c r="K796" i="3"/>
  <c r="Q796" i="3"/>
  <c r="K797" i="3"/>
  <c r="Q797" i="3"/>
  <c r="K798" i="3"/>
  <c r="Q798" i="3"/>
  <c r="K799" i="3"/>
  <c r="Q799" i="3"/>
  <c r="K800" i="3"/>
  <c r="Q800" i="3"/>
  <c r="K801" i="3"/>
  <c r="Q801" i="3"/>
  <c r="K802" i="3"/>
  <c r="Q802" i="3"/>
  <c r="K803" i="3"/>
  <c r="Q803" i="3"/>
  <c r="K804" i="3"/>
  <c r="Q804" i="3"/>
  <c r="K805" i="3"/>
  <c r="Q805" i="3"/>
  <c r="K806" i="3"/>
  <c r="Q806" i="3"/>
  <c r="K807" i="3"/>
  <c r="Q807" i="3"/>
  <c r="K808" i="3"/>
  <c r="Q808" i="3"/>
  <c r="R808" i="3" s="1"/>
  <c r="K809" i="3"/>
  <c r="Q809" i="3"/>
  <c r="K810" i="3"/>
  <c r="Q810" i="3"/>
  <c r="K811" i="3"/>
  <c r="Q811" i="3"/>
  <c r="K812" i="3"/>
  <c r="Q812" i="3"/>
  <c r="K813" i="3"/>
  <c r="Q813" i="3"/>
  <c r="K814" i="3"/>
  <c r="Q814" i="3"/>
  <c r="K815" i="3"/>
  <c r="Q815" i="3"/>
  <c r="K816" i="3"/>
  <c r="Q816" i="3"/>
  <c r="K817" i="3"/>
  <c r="Q817" i="3"/>
  <c r="K818" i="3"/>
  <c r="Q818" i="3"/>
  <c r="K819" i="3"/>
  <c r="Q819" i="3"/>
  <c r="K820" i="3"/>
  <c r="Q820" i="3"/>
  <c r="K821" i="3"/>
  <c r="Q821" i="3"/>
  <c r="K822" i="3"/>
  <c r="Q822" i="3"/>
  <c r="K823" i="3"/>
  <c r="Q823" i="3"/>
  <c r="K824" i="3"/>
  <c r="Q824" i="3"/>
  <c r="K825" i="3"/>
  <c r="Q825" i="3"/>
  <c r="K826" i="3"/>
  <c r="Q826" i="3"/>
  <c r="K827" i="3"/>
  <c r="Q827" i="3"/>
  <c r="R827" i="3" s="1"/>
  <c r="K828" i="3"/>
  <c r="Q828" i="3"/>
  <c r="K829" i="3"/>
  <c r="Q829" i="3"/>
  <c r="R829" i="3" s="1"/>
  <c r="K830" i="3"/>
  <c r="Q830" i="3"/>
  <c r="K831" i="3"/>
  <c r="Q831" i="3"/>
  <c r="R831" i="3" s="1"/>
  <c r="K832" i="3"/>
  <c r="Q832" i="3"/>
  <c r="K833" i="3"/>
  <c r="Q833" i="3"/>
  <c r="K834" i="3"/>
  <c r="R834" i="3" s="1"/>
  <c r="Q834" i="3"/>
  <c r="K835" i="3"/>
  <c r="Q835" i="3"/>
  <c r="K836" i="3"/>
  <c r="Q836" i="3"/>
  <c r="K837" i="3"/>
  <c r="Q837" i="3"/>
  <c r="K838" i="3"/>
  <c r="Q838" i="3"/>
  <c r="K839" i="3"/>
  <c r="Q839" i="3"/>
  <c r="K840" i="3"/>
  <c r="Q840" i="3"/>
  <c r="K841" i="3"/>
  <c r="Q841" i="3"/>
  <c r="K842" i="3"/>
  <c r="Q842" i="3"/>
  <c r="K843" i="3"/>
  <c r="Q843" i="3"/>
  <c r="K844" i="3"/>
  <c r="Q844" i="3"/>
  <c r="K845" i="3"/>
  <c r="Q845" i="3"/>
  <c r="K846" i="3"/>
  <c r="Q846" i="3"/>
  <c r="K847" i="3"/>
  <c r="Q847" i="3"/>
  <c r="K848" i="3"/>
  <c r="Q848" i="3"/>
  <c r="K849" i="3"/>
  <c r="Q849" i="3"/>
  <c r="K850" i="3"/>
  <c r="R850" i="3" s="1"/>
  <c r="Q850" i="3"/>
  <c r="K851" i="3"/>
  <c r="Q851" i="3"/>
  <c r="K852" i="3"/>
  <c r="Q852" i="3"/>
  <c r="K853" i="3"/>
  <c r="Q853" i="3"/>
  <c r="K854" i="3"/>
  <c r="Q854" i="3"/>
  <c r="K855" i="3"/>
  <c r="Q855" i="3"/>
  <c r="K856" i="3"/>
  <c r="Q856" i="3"/>
  <c r="R856" i="3" s="1"/>
  <c r="K857" i="3"/>
  <c r="Q857" i="3"/>
  <c r="K858" i="3"/>
  <c r="Q858" i="3"/>
  <c r="K859" i="3"/>
  <c r="Q859" i="3"/>
  <c r="K860" i="3"/>
  <c r="Q860" i="3"/>
  <c r="K861" i="3"/>
  <c r="Q861" i="3"/>
  <c r="K862" i="3"/>
  <c r="Q862" i="3"/>
  <c r="K863" i="3"/>
  <c r="Q863" i="3"/>
  <c r="K864" i="3"/>
  <c r="Q864" i="3"/>
  <c r="K865" i="3"/>
  <c r="Q865" i="3"/>
  <c r="K866" i="3"/>
  <c r="Q866" i="3"/>
  <c r="K867" i="3"/>
  <c r="Q867" i="3"/>
  <c r="R867" i="3" s="1"/>
  <c r="K868" i="3"/>
  <c r="Q868" i="3"/>
  <c r="K869" i="3"/>
  <c r="Q869" i="3"/>
  <c r="R869" i="3" s="1"/>
  <c r="K870" i="3"/>
  <c r="Q870" i="3"/>
  <c r="K871" i="3"/>
  <c r="Q871" i="3"/>
  <c r="R871" i="3" s="1"/>
  <c r="K872" i="3"/>
  <c r="Q872" i="3"/>
  <c r="K873" i="3"/>
  <c r="Q873" i="3"/>
  <c r="K874" i="3"/>
  <c r="R874" i="3" s="1"/>
  <c r="Q874" i="3"/>
  <c r="K875" i="3"/>
  <c r="Q875" i="3"/>
  <c r="R875" i="3" s="1"/>
  <c r="K876" i="3"/>
  <c r="Q876" i="3"/>
  <c r="K877" i="3"/>
  <c r="Q877" i="3"/>
  <c r="R877" i="3" s="1"/>
  <c r="K878" i="3"/>
  <c r="Q878" i="3"/>
  <c r="K879" i="3"/>
  <c r="Q879" i="3"/>
  <c r="R879" i="3" s="1"/>
  <c r="K880" i="3"/>
  <c r="R880" i="3" s="1"/>
  <c r="Q880" i="3"/>
  <c r="K881" i="3"/>
  <c r="Q881" i="3"/>
  <c r="K882" i="3"/>
  <c r="R882" i="3" s="1"/>
  <c r="Q882" i="3"/>
  <c r="K883" i="3"/>
  <c r="Q883" i="3"/>
  <c r="R883" i="3" s="1"/>
  <c r="K884" i="3"/>
  <c r="Q884" i="3"/>
  <c r="K885" i="3"/>
  <c r="Q885" i="3"/>
  <c r="R885" i="3" s="1"/>
  <c r="K886" i="3"/>
  <c r="Q886" i="3"/>
  <c r="K887" i="3"/>
  <c r="Q887" i="3"/>
  <c r="R887" i="3" s="1"/>
  <c r="K888" i="3"/>
  <c r="Q888" i="3"/>
  <c r="K889" i="3"/>
  <c r="Q889" i="3"/>
  <c r="K890" i="3"/>
  <c r="R890" i="3" s="1"/>
  <c r="Q890" i="3"/>
  <c r="K891" i="3"/>
  <c r="Q891" i="3"/>
  <c r="R891" i="3" s="1"/>
  <c r="K892" i="3"/>
  <c r="Q892" i="3"/>
  <c r="K893" i="3"/>
  <c r="Q893" i="3"/>
  <c r="R893" i="3" s="1"/>
  <c r="K894" i="3"/>
  <c r="Q894" i="3"/>
  <c r="K895" i="3"/>
  <c r="Q895" i="3"/>
  <c r="R895" i="3" s="1"/>
  <c r="K896" i="3"/>
  <c r="R896" i="3" s="1"/>
  <c r="Q896" i="3"/>
  <c r="K897" i="3"/>
  <c r="Q897" i="3"/>
  <c r="K898" i="3"/>
  <c r="R898" i="3" s="1"/>
  <c r="Q898" i="3"/>
  <c r="K899" i="3"/>
  <c r="Q899" i="3"/>
  <c r="R899" i="3" s="1"/>
  <c r="K900" i="3"/>
  <c r="Q900" i="3"/>
  <c r="K901" i="3"/>
  <c r="Q901" i="3"/>
  <c r="R901" i="3" s="1"/>
  <c r="K902" i="3"/>
  <c r="Q902" i="3"/>
  <c r="K903" i="3"/>
  <c r="Q903" i="3"/>
  <c r="R903" i="3" s="1"/>
  <c r="K904" i="3"/>
  <c r="Q904" i="3"/>
  <c r="K905" i="3"/>
  <c r="Q905" i="3"/>
  <c r="K906" i="3"/>
  <c r="Q906" i="3"/>
  <c r="K907" i="3"/>
  <c r="Q907" i="3"/>
  <c r="R907" i="3" s="1"/>
  <c r="K908" i="3"/>
  <c r="Q908" i="3"/>
  <c r="K909" i="3"/>
  <c r="Q909" i="3"/>
  <c r="R909" i="3" s="1"/>
  <c r="K910" i="3"/>
  <c r="Q910" i="3"/>
  <c r="K911" i="3"/>
  <c r="Q911" i="3"/>
  <c r="R911" i="3" s="1"/>
  <c r="K912" i="3"/>
  <c r="Q912" i="3"/>
  <c r="K913" i="3"/>
  <c r="Q913" i="3"/>
  <c r="K914" i="3"/>
  <c r="Q914" i="3"/>
  <c r="R914" i="3"/>
  <c r="K915" i="3"/>
  <c r="Q915" i="3"/>
  <c r="K916" i="3"/>
  <c r="Q916" i="3"/>
  <c r="K917" i="3"/>
  <c r="Q917" i="3"/>
  <c r="K918" i="3"/>
  <c r="Q918" i="3"/>
  <c r="K919" i="3"/>
  <c r="Q919" i="3"/>
  <c r="K920" i="3"/>
  <c r="Q920" i="3"/>
  <c r="R920" i="3" s="1"/>
  <c r="K921" i="3"/>
  <c r="Q921" i="3"/>
  <c r="K922" i="3"/>
  <c r="Q922" i="3"/>
  <c r="K923" i="3"/>
  <c r="Q923" i="3"/>
  <c r="K924" i="3"/>
  <c r="Q924" i="3"/>
  <c r="K925" i="3"/>
  <c r="Q925" i="3"/>
  <c r="K926" i="3"/>
  <c r="Q926" i="3"/>
  <c r="K927" i="3"/>
  <c r="Q927" i="3"/>
  <c r="K928" i="3"/>
  <c r="Q928" i="3"/>
  <c r="K929" i="3"/>
  <c r="Q929" i="3"/>
  <c r="K930" i="3"/>
  <c r="Q930" i="3"/>
  <c r="R930" i="3"/>
  <c r="K931" i="3"/>
  <c r="Q931" i="3"/>
  <c r="K932" i="3"/>
  <c r="Q932" i="3"/>
  <c r="K933" i="3"/>
  <c r="Q933" i="3"/>
  <c r="K934" i="3"/>
  <c r="Q934" i="3"/>
  <c r="K935" i="3"/>
  <c r="Q935" i="3"/>
  <c r="K936" i="3"/>
  <c r="Q936" i="3"/>
  <c r="R936" i="3" s="1"/>
  <c r="K937" i="3"/>
  <c r="Q937" i="3"/>
  <c r="K938" i="3"/>
  <c r="Q938" i="3"/>
  <c r="K939" i="3"/>
  <c r="Q939" i="3"/>
  <c r="K940" i="3"/>
  <c r="Q940" i="3"/>
  <c r="K941" i="3"/>
  <c r="Q941" i="3"/>
  <c r="K942" i="3"/>
  <c r="Q942" i="3"/>
  <c r="K943" i="3"/>
  <c r="Q943" i="3"/>
  <c r="K944" i="3"/>
  <c r="Q944" i="3"/>
  <c r="K945" i="3"/>
  <c r="Q945" i="3"/>
  <c r="K946" i="3"/>
  <c r="Q946" i="3"/>
  <c r="K947" i="3"/>
  <c r="Q947" i="3"/>
  <c r="K948" i="3"/>
  <c r="Q948" i="3"/>
  <c r="K949" i="3"/>
  <c r="Q949" i="3"/>
  <c r="R949" i="3" s="1"/>
  <c r="K950" i="3"/>
  <c r="Q950" i="3"/>
  <c r="K951" i="3"/>
  <c r="Q951" i="3"/>
  <c r="R951" i="3" s="1"/>
  <c r="K952" i="3"/>
  <c r="Q952" i="3"/>
  <c r="K953" i="3"/>
  <c r="Q953" i="3"/>
  <c r="K954" i="3"/>
  <c r="Q954" i="3"/>
  <c r="K955" i="3"/>
  <c r="Q955" i="3"/>
  <c r="R955" i="3" s="1"/>
  <c r="K956" i="3"/>
  <c r="Q956" i="3"/>
  <c r="K957" i="3"/>
  <c r="Q957" i="3"/>
  <c r="R957" i="3" s="1"/>
  <c r="K958" i="3"/>
  <c r="Q958" i="3"/>
  <c r="K959" i="3"/>
  <c r="Q959" i="3"/>
  <c r="R959" i="3" s="1"/>
  <c r="K960" i="3"/>
  <c r="Q960" i="3"/>
  <c r="K961" i="3"/>
  <c r="Q961" i="3"/>
  <c r="K962" i="3"/>
  <c r="Q962" i="3"/>
  <c r="K963" i="3"/>
  <c r="Q963" i="3"/>
  <c r="R963" i="3" s="1"/>
  <c r="K964" i="3"/>
  <c r="Q964" i="3"/>
  <c r="K965" i="3"/>
  <c r="Q965" i="3"/>
  <c r="R965" i="3" s="1"/>
  <c r="K966" i="3"/>
  <c r="Q966" i="3"/>
  <c r="K967" i="3"/>
  <c r="Q967" i="3"/>
  <c r="R967" i="3" s="1"/>
  <c r="K968" i="3"/>
  <c r="Q968" i="3"/>
  <c r="R968" i="3" s="1"/>
  <c r="K969" i="3"/>
  <c r="Q969" i="3"/>
  <c r="K970" i="3"/>
  <c r="Q970" i="3"/>
  <c r="K971" i="3"/>
  <c r="Q971" i="3"/>
  <c r="R971" i="3" s="1"/>
  <c r="K972" i="3"/>
  <c r="Q972" i="3"/>
  <c r="K973" i="3"/>
  <c r="Q973" i="3"/>
  <c r="R973" i="3" s="1"/>
  <c r="K974" i="3"/>
  <c r="Q974" i="3"/>
  <c r="K975" i="3"/>
  <c r="Q975" i="3"/>
  <c r="R975" i="3" s="1"/>
  <c r="K976" i="3"/>
  <c r="Q976" i="3"/>
  <c r="K977" i="3"/>
  <c r="Q977" i="3"/>
  <c r="K978" i="3"/>
  <c r="Q978" i="3"/>
  <c r="K979" i="3"/>
  <c r="Q979" i="3"/>
  <c r="K980" i="3"/>
  <c r="Q980" i="3"/>
  <c r="K981" i="3"/>
  <c r="Q981" i="3"/>
  <c r="K982" i="3"/>
  <c r="Q982" i="3"/>
  <c r="K983" i="3"/>
  <c r="Q983" i="3"/>
  <c r="K984" i="3"/>
  <c r="R984" i="3" s="1"/>
  <c r="Q984" i="3"/>
  <c r="K985" i="3"/>
  <c r="Q985" i="3"/>
  <c r="K986" i="3"/>
  <c r="Q986" i="3"/>
  <c r="K987" i="3"/>
  <c r="Q987" i="3"/>
  <c r="K988" i="3"/>
  <c r="Q988" i="3"/>
  <c r="K989" i="3"/>
  <c r="Q989" i="3"/>
  <c r="K990" i="3"/>
  <c r="Q990" i="3"/>
  <c r="K991" i="3"/>
  <c r="Q991" i="3"/>
  <c r="K992" i="3"/>
  <c r="Q992" i="3"/>
  <c r="K993" i="3"/>
  <c r="Q993" i="3"/>
  <c r="K994" i="3"/>
  <c r="Q994" i="3"/>
  <c r="K995" i="3"/>
  <c r="Q995" i="3"/>
  <c r="K996" i="3"/>
  <c r="Q996" i="3"/>
  <c r="K997" i="3"/>
  <c r="Q997" i="3"/>
  <c r="K998" i="3"/>
  <c r="Q998" i="3"/>
  <c r="K999" i="3"/>
  <c r="Q999" i="3"/>
  <c r="K1000" i="3"/>
  <c r="R1000" i="3" s="1"/>
  <c r="Q1000" i="3"/>
  <c r="K1001" i="3"/>
  <c r="Q1001" i="3"/>
  <c r="K1002" i="3"/>
  <c r="Q1002" i="3"/>
  <c r="R1002" i="3" s="1"/>
  <c r="K1003" i="3"/>
  <c r="Q1003" i="3"/>
  <c r="R1003" i="3" s="1"/>
  <c r="K1004" i="3"/>
  <c r="Q1004" i="3"/>
  <c r="K1005" i="3"/>
  <c r="Q1005" i="3"/>
  <c r="R1005" i="3" s="1"/>
  <c r="K1006" i="3"/>
  <c r="Q1006" i="3"/>
  <c r="K1007" i="3"/>
  <c r="Q1007" i="3"/>
  <c r="K1008" i="3"/>
  <c r="Q1008" i="3"/>
  <c r="K1009" i="3"/>
  <c r="Q1009" i="3"/>
  <c r="K1010" i="3"/>
  <c r="Q1010" i="3"/>
  <c r="K1011" i="3"/>
  <c r="Q1011" i="3"/>
  <c r="K1012" i="3"/>
  <c r="Q1012" i="3"/>
  <c r="K1013" i="3"/>
  <c r="Q1013" i="3"/>
  <c r="K1014" i="3"/>
  <c r="Q1014" i="3"/>
  <c r="K1015" i="3"/>
  <c r="Q1015" i="3"/>
  <c r="K1016" i="3"/>
  <c r="Q1016" i="3"/>
  <c r="K1017" i="3"/>
  <c r="Q1017" i="3"/>
  <c r="K1018" i="3"/>
  <c r="Q1018" i="3"/>
  <c r="R1018" i="3" s="1"/>
  <c r="K1019" i="3"/>
  <c r="Q1019" i="3"/>
  <c r="R1019" i="3" s="1"/>
  <c r="K1020" i="3"/>
  <c r="Q1020" i="3"/>
  <c r="K1021" i="3"/>
  <c r="Q1021" i="3"/>
  <c r="R1021" i="3" s="1"/>
  <c r="K1022" i="3"/>
  <c r="Q1022" i="3"/>
  <c r="K1023" i="3"/>
  <c r="Q1023" i="3"/>
  <c r="K1024" i="3"/>
  <c r="Q1024" i="3"/>
  <c r="R1024" i="3" s="1"/>
  <c r="K1025" i="3"/>
  <c r="Q1025" i="3"/>
  <c r="K1026" i="3"/>
  <c r="Q1026" i="3"/>
  <c r="K1027" i="3"/>
  <c r="Q1027" i="3"/>
  <c r="K1028" i="3"/>
  <c r="Q1028" i="3"/>
  <c r="K1029" i="3"/>
  <c r="Q1029" i="3"/>
  <c r="K1030" i="3"/>
  <c r="Q1030" i="3"/>
  <c r="K1031" i="3"/>
  <c r="Q1031" i="3"/>
  <c r="K1032" i="3"/>
  <c r="Q1032" i="3"/>
  <c r="K1033" i="3"/>
  <c r="Q1033" i="3"/>
  <c r="K1034" i="3"/>
  <c r="Q1034" i="3"/>
  <c r="K1035" i="3"/>
  <c r="Q1035" i="3"/>
  <c r="R1035" i="3" s="1"/>
  <c r="K1036" i="3"/>
  <c r="Q1036" i="3"/>
  <c r="K1037" i="3"/>
  <c r="Q1037" i="3"/>
  <c r="K1038" i="3"/>
  <c r="Q1038" i="3"/>
  <c r="K1039" i="3"/>
  <c r="Q1039" i="3"/>
  <c r="R1039" i="3" s="1"/>
  <c r="K1040" i="3"/>
  <c r="Q1040" i="3"/>
  <c r="K1041" i="3"/>
  <c r="Q1041" i="3"/>
  <c r="K1042" i="3"/>
  <c r="Q1042" i="3"/>
  <c r="K1043" i="3"/>
  <c r="Q1043" i="3"/>
  <c r="K1044" i="3"/>
  <c r="Q1044" i="3"/>
  <c r="K1045" i="3"/>
  <c r="Q1045" i="3"/>
  <c r="K1046" i="3"/>
  <c r="Q1046" i="3"/>
  <c r="K1047" i="3"/>
  <c r="Q1047" i="3"/>
  <c r="K1048" i="3"/>
  <c r="Q1048" i="3"/>
  <c r="K1049" i="3"/>
  <c r="Q1049" i="3"/>
  <c r="K1050" i="3"/>
  <c r="Q1050" i="3"/>
  <c r="K1051" i="3"/>
  <c r="Q1051" i="3"/>
  <c r="R1051" i="3" s="1"/>
  <c r="K1052" i="3"/>
  <c r="Q1052" i="3"/>
  <c r="K1053" i="3"/>
  <c r="Q1053" i="3"/>
  <c r="K1054" i="3"/>
  <c r="Q1054" i="3"/>
  <c r="K1055" i="3"/>
  <c r="Q1055" i="3"/>
  <c r="R1055" i="3" s="1"/>
  <c r="K1056" i="3"/>
  <c r="Q1056" i="3"/>
  <c r="K1057" i="3"/>
  <c r="Q1057" i="3"/>
  <c r="K1058" i="3"/>
  <c r="Q1058" i="3"/>
  <c r="K1059" i="3"/>
  <c r="Q1059" i="3"/>
  <c r="K1060" i="3"/>
  <c r="R1060" i="3" s="1"/>
  <c r="Q1060" i="3"/>
  <c r="K1061" i="3"/>
  <c r="Q1061" i="3"/>
  <c r="K1062" i="3"/>
  <c r="R1062" i="3" s="1"/>
  <c r="Q1062" i="3"/>
  <c r="K1063" i="3"/>
  <c r="Q1063" i="3"/>
  <c r="K1064" i="3"/>
  <c r="Q1064" i="3"/>
  <c r="K1065" i="3"/>
  <c r="Q1065" i="3"/>
  <c r="K1066" i="3"/>
  <c r="R1066" i="3" s="1"/>
  <c r="Q1066" i="3"/>
  <c r="K1067" i="3"/>
  <c r="Q1067" i="3"/>
  <c r="R1067" i="3" s="1"/>
  <c r="K1068" i="3"/>
  <c r="Q1068" i="3"/>
  <c r="K1069" i="3"/>
  <c r="Q1069" i="3"/>
  <c r="K1070" i="3"/>
  <c r="Q1070" i="3"/>
  <c r="K1071" i="3"/>
  <c r="Q1071" i="3"/>
  <c r="R1071" i="3" s="1"/>
  <c r="K1072" i="3"/>
  <c r="Q1072" i="3"/>
  <c r="K1073" i="3"/>
  <c r="Q1073" i="3"/>
  <c r="K1074" i="3"/>
  <c r="Q1074" i="3"/>
  <c r="K1075" i="3"/>
  <c r="Q1075" i="3"/>
  <c r="K1076" i="3"/>
  <c r="Q1076" i="3"/>
  <c r="K1077" i="3"/>
  <c r="Q1077" i="3"/>
  <c r="K1078" i="3"/>
  <c r="Q1078" i="3"/>
  <c r="K1079" i="3"/>
  <c r="Q1079" i="3"/>
  <c r="K1080" i="3"/>
  <c r="Q1080" i="3"/>
  <c r="K1081" i="3"/>
  <c r="Q1081" i="3"/>
  <c r="K1082" i="3"/>
  <c r="Q1082" i="3"/>
  <c r="K1083" i="3"/>
  <c r="Q1083" i="3"/>
  <c r="R1083" i="3" s="1"/>
  <c r="K1084" i="3"/>
  <c r="Q1084" i="3"/>
  <c r="K1085" i="3"/>
  <c r="Q1085" i="3"/>
  <c r="K1086" i="3"/>
  <c r="Q1086" i="3"/>
  <c r="K1087" i="3"/>
  <c r="Q1087" i="3"/>
  <c r="R1087" i="3" s="1"/>
  <c r="K1088" i="3"/>
  <c r="Q1088" i="3"/>
  <c r="K1089" i="3"/>
  <c r="Q1089" i="3"/>
  <c r="K1090" i="3"/>
  <c r="Q1090" i="3"/>
  <c r="K1091" i="3"/>
  <c r="Q1091" i="3"/>
  <c r="K1092" i="3"/>
  <c r="Q1092" i="3"/>
  <c r="K1093" i="3"/>
  <c r="Q1093" i="3"/>
  <c r="K1094" i="3"/>
  <c r="Q1094" i="3"/>
  <c r="K1095" i="3"/>
  <c r="Q1095" i="3"/>
  <c r="K1096" i="3"/>
  <c r="Q1096" i="3"/>
  <c r="K1097" i="3"/>
  <c r="Q1097" i="3"/>
  <c r="K1098" i="3"/>
  <c r="Q1098" i="3"/>
  <c r="R1098" i="3"/>
  <c r="K1099" i="3"/>
  <c r="Q1099" i="3"/>
  <c r="K1100" i="3"/>
  <c r="Q1100" i="3"/>
  <c r="K1101" i="3"/>
  <c r="Q1101" i="3"/>
  <c r="K1102" i="3"/>
  <c r="Q1102" i="3"/>
  <c r="K1103" i="3"/>
  <c r="Q1103" i="3"/>
  <c r="K1104" i="3"/>
  <c r="Q1104" i="3"/>
  <c r="R1104" i="3" s="1"/>
  <c r="K1105" i="3"/>
  <c r="Q1105" i="3"/>
  <c r="K1106" i="3"/>
  <c r="Q1106" i="3"/>
  <c r="K1107" i="3"/>
  <c r="Q1107" i="3"/>
  <c r="K1108" i="3"/>
  <c r="Q1108" i="3"/>
  <c r="K1109" i="3"/>
  <c r="Q1109" i="3"/>
  <c r="K1110" i="3"/>
  <c r="Q1110" i="3"/>
  <c r="K1111" i="3"/>
  <c r="Q1111" i="3"/>
  <c r="K1112" i="3"/>
  <c r="Q1112" i="3"/>
  <c r="K1113" i="3"/>
  <c r="Q1113" i="3"/>
  <c r="K1114" i="3"/>
  <c r="Q1114" i="3"/>
  <c r="K1115" i="3"/>
  <c r="Q1115" i="3"/>
  <c r="K1116" i="3"/>
  <c r="Q1116" i="3"/>
  <c r="K1117" i="3"/>
  <c r="Q1117" i="3"/>
  <c r="K1118" i="3"/>
  <c r="Q1118" i="3"/>
  <c r="K1119" i="3"/>
  <c r="Q1119" i="3"/>
  <c r="K1120" i="3"/>
  <c r="Q1120" i="3"/>
  <c r="R1120" i="3" s="1"/>
  <c r="K1121" i="3"/>
  <c r="Q1121" i="3"/>
  <c r="K1122" i="3"/>
  <c r="Q1122" i="3"/>
  <c r="R1122" i="3" s="1"/>
  <c r="K1123" i="3"/>
  <c r="Q1123" i="3"/>
  <c r="K1124" i="3"/>
  <c r="Q1124" i="3"/>
  <c r="K1125" i="3"/>
  <c r="Q1125" i="3"/>
  <c r="K1126" i="3"/>
  <c r="Q1126" i="3"/>
  <c r="K1127" i="3"/>
  <c r="Q1127" i="3"/>
  <c r="K1128" i="3"/>
  <c r="Q1128" i="3"/>
  <c r="K1129" i="3"/>
  <c r="Q1129" i="3"/>
  <c r="K1130" i="3"/>
  <c r="Q1130" i="3"/>
  <c r="R1130" i="3"/>
  <c r="K1131" i="3"/>
  <c r="Q1131" i="3"/>
  <c r="R1131" i="3" s="1"/>
  <c r="K1132" i="3"/>
  <c r="Q1132" i="3"/>
  <c r="K1133" i="3"/>
  <c r="Q1133" i="3"/>
  <c r="K1134" i="3"/>
  <c r="Q1134" i="3"/>
  <c r="K1135" i="3"/>
  <c r="Q1135" i="3"/>
  <c r="R1135" i="3" s="1"/>
  <c r="K1136" i="3"/>
  <c r="Q1136" i="3"/>
  <c r="R1136" i="3" s="1"/>
  <c r="K1137" i="3"/>
  <c r="Q1137" i="3"/>
  <c r="K1138" i="3"/>
  <c r="Q1138" i="3"/>
  <c r="K1139" i="3"/>
  <c r="Q1139" i="3"/>
  <c r="K1140" i="3"/>
  <c r="Q1140" i="3"/>
  <c r="K1141" i="3"/>
  <c r="Q1141" i="3"/>
  <c r="K1142" i="3"/>
  <c r="Q1142" i="3"/>
  <c r="K1143" i="3"/>
  <c r="Q1143" i="3"/>
  <c r="K1144" i="3"/>
  <c r="Q1144" i="3"/>
  <c r="K1145" i="3"/>
  <c r="Q1145" i="3"/>
  <c r="K1146" i="3"/>
  <c r="Q1146" i="3"/>
  <c r="K1147" i="3"/>
  <c r="Q1147" i="3"/>
  <c r="R1147" i="3" s="1"/>
  <c r="K1148" i="3"/>
  <c r="Q1148" i="3"/>
  <c r="K1149" i="3"/>
  <c r="Q1149" i="3"/>
  <c r="K1150" i="3"/>
  <c r="Q1150" i="3"/>
  <c r="K1151" i="3"/>
  <c r="Q1151" i="3"/>
  <c r="R1151" i="3" s="1"/>
  <c r="K1152" i="3"/>
  <c r="Q1152" i="3"/>
  <c r="R1152" i="3" s="1"/>
  <c r="K1153" i="3"/>
  <c r="Q1153" i="3"/>
  <c r="K1154" i="3"/>
  <c r="Q1154" i="3"/>
  <c r="R1154" i="3" s="1"/>
  <c r="K1155" i="3"/>
  <c r="Q1155" i="3"/>
  <c r="K1156" i="3"/>
  <c r="Q1156" i="3"/>
  <c r="K1157" i="3"/>
  <c r="Q1157" i="3"/>
  <c r="K1158" i="3"/>
  <c r="Q1158" i="3"/>
  <c r="K1159" i="3"/>
  <c r="Q1159" i="3"/>
  <c r="K1160" i="3"/>
  <c r="Q1160" i="3"/>
  <c r="K1161" i="3"/>
  <c r="Q1161" i="3"/>
  <c r="K1162" i="3"/>
  <c r="Q1162" i="3"/>
  <c r="K1163" i="3"/>
  <c r="Q1163" i="3"/>
  <c r="R1163" i="3" s="1"/>
  <c r="K1164" i="3"/>
  <c r="Q1164" i="3"/>
  <c r="K1165" i="3"/>
  <c r="Q1165" i="3"/>
  <c r="K1166" i="3"/>
  <c r="Q1166" i="3"/>
  <c r="K1167" i="3"/>
  <c r="Q1167" i="3"/>
  <c r="R1167" i="3" s="1"/>
  <c r="K1168" i="3"/>
  <c r="Q1168" i="3"/>
  <c r="K1169" i="3"/>
  <c r="Q1169" i="3"/>
  <c r="K1170" i="3"/>
  <c r="Q1170" i="3"/>
  <c r="K1171" i="3"/>
  <c r="Q1171" i="3"/>
  <c r="K1172" i="3"/>
  <c r="Q1172" i="3"/>
  <c r="K1173" i="3"/>
  <c r="Q1173" i="3"/>
  <c r="K1174" i="3"/>
  <c r="Q1174" i="3"/>
  <c r="K1175" i="3"/>
  <c r="Q1175" i="3"/>
  <c r="K1176" i="3"/>
  <c r="Q1176" i="3"/>
  <c r="K1177" i="3"/>
  <c r="Q1177" i="3"/>
  <c r="K1178" i="3"/>
  <c r="Q1178" i="3"/>
  <c r="K1179" i="3"/>
  <c r="Q1179" i="3"/>
  <c r="R1179" i="3" s="1"/>
  <c r="K1180" i="3"/>
  <c r="Q1180" i="3"/>
  <c r="K1181" i="3"/>
  <c r="Q1181" i="3"/>
  <c r="K1182" i="3"/>
  <c r="Q1182" i="3"/>
  <c r="K1183" i="3"/>
  <c r="Q1183" i="3"/>
  <c r="R1183" i="3" s="1"/>
  <c r="K1184" i="3"/>
  <c r="Q1184" i="3"/>
  <c r="K1185" i="3"/>
  <c r="Q1185" i="3"/>
  <c r="K1186" i="3"/>
  <c r="Q1186" i="3"/>
  <c r="K1187" i="3"/>
  <c r="Q1187" i="3"/>
  <c r="K1188" i="3"/>
  <c r="Q1188" i="3"/>
  <c r="K1189" i="3"/>
  <c r="Q1189" i="3"/>
  <c r="K1190" i="3"/>
  <c r="Q1190" i="3"/>
  <c r="K1191" i="3"/>
  <c r="Q1191" i="3"/>
  <c r="K1192" i="3"/>
  <c r="Q1192" i="3"/>
  <c r="K1193" i="3"/>
  <c r="Q1193" i="3"/>
  <c r="K1194" i="3"/>
  <c r="Q1194" i="3"/>
  <c r="K1195" i="3"/>
  <c r="Q1195" i="3"/>
  <c r="R1195" i="3" s="1"/>
  <c r="K1196" i="3"/>
  <c r="Q1196" i="3"/>
  <c r="K1197" i="3"/>
  <c r="Q1197" i="3"/>
  <c r="K1198" i="3"/>
  <c r="Q1198" i="3"/>
  <c r="K1199" i="3"/>
  <c r="Q1199" i="3"/>
  <c r="R1199" i="3" s="1"/>
  <c r="K1200" i="3"/>
  <c r="Q1200" i="3"/>
  <c r="R1200" i="3" s="1"/>
  <c r="K1201" i="3"/>
  <c r="Q1201" i="3"/>
  <c r="K1202" i="3"/>
  <c r="Q1202" i="3"/>
  <c r="K1203" i="3"/>
  <c r="Q1203" i="3"/>
  <c r="K1204" i="3"/>
  <c r="Q1204" i="3"/>
  <c r="K1205" i="3"/>
  <c r="Q1205" i="3"/>
  <c r="K1206" i="3"/>
  <c r="Q1206" i="3"/>
  <c r="K1207" i="3"/>
  <c r="Q1207" i="3"/>
  <c r="K1208" i="3"/>
  <c r="Q1208" i="3"/>
  <c r="K1209" i="3"/>
  <c r="Q1209" i="3"/>
  <c r="K1210" i="3"/>
  <c r="Q1210" i="3"/>
  <c r="K1211" i="3"/>
  <c r="Q1211" i="3"/>
  <c r="R1211" i="3" s="1"/>
  <c r="K1212" i="3"/>
  <c r="Q1212" i="3"/>
  <c r="K1213" i="3"/>
  <c r="Q1213" i="3"/>
  <c r="K1214" i="3"/>
  <c r="Q1214" i="3"/>
  <c r="K1215" i="3"/>
  <c r="Q1215" i="3"/>
  <c r="R1215" i="3" s="1"/>
  <c r="K1216" i="3"/>
  <c r="Q1216" i="3"/>
  <c r="R1216" i="3" s="1"/>
  <c r="K1217" i="3"/>
  <c r="Q1217" i="3"/>
  <c r="K1218" i="3"/>
  <c r="Q1218" i="3"/>
  <c r="R1218" i="3" s="1"/>
  <c r="K1219" i="3"/>
  <c r="Q1219" i="3"/>
  <c r="K1220" i="3"/>
  <c r="Q1220" i="3"/>
  <c r="K1221" i="3"/>
  <c r="Q1221" i="3"/>
  <c r="K1222" i="3"/>
  <c r="Q1222" i="3"/>
  <c r="K1223" i="3"/>
  <c r="Q1223" i="3"/>
  <c r="K1224" i="3"/>
  <c r="Q1224" i="3"/>
  <c r="K1225" i="3"/>
  <c r="Q1225" i="3"/>
  <c r="K1226" i="3"/>
  <c r="R1226" i="3" s="1"/>
  <c r="Q1226" i="3"/>
  <c r="K1227" i="3"/>
  <c r="Q1227" i="3"/>
  <c r="K1228" i="3"/>
  <c r="Q1228" i="3"/>
  <c r="K1229" i="3"/>
  <c r="Q1229" i="3"/>
  <c r="K1230" i="3"/>
  <c r="Q1230" i="3"/>
  <c r="K1231" i="3"/>
  <c r="Q1231" i="3"/>
  <c r="K1232" i="3"/>
  <c r="Q1232" i="3"/>
  <c r="K1233" i="3"/>
  <c r="Q1233" i="3"/>
  <c r="K1234" i="3"/>
  <c r="Q1234" i="3"/>
  <c r="K1235" i="3"/>
  <c r="Q1235" i="3"/>
  <c r="K1236" i="3"/>
  <c r="Q1236" i="3"/>
  <c r="K1237" i="3"/>
  <c r="Q1237" i="3"/>
  <c r="K1238" i="3"/>
  <c r="Q1238" i="3"/>
  <c r="K1239" i="3"/>
  <c r="Q1239" i="3"/>
  <c r="K1240" i="3"/>
  <c r="Q1240" i="3"/>
  <c r="K1241" i="3"/>
  <c r="Q1241" i="3"/>
  <c r="R1241" i="3" s="1"/>
  <c r="K1242" i="3"/>
  <c r="Q1242" i="3"/>
  <c r="K1243" i="3"/>
  <c r="Q1243" i="3"/>
  <c r="K1244" i="3"/>
  <c r="Q1244" i="3"/>
  <c r="K1245" i="3"/>
  <c r="Q1245" i="3"/>
  <c r="R1245" i="3" s="1"/>
  <c r="K1246" i="3"/>
  <c r="Q1246" i="3"/>
  <c r="K1247" i="3"/>
  <c r="Q1247" i="3"/>
  <c r="R1247" i="3" s="1"/>
  <c r="K1248" i="3"/>
  <c r="Q1248" i="3"/>
  <c r="K1249" i="3"/>
  <c r="Q1249" i="3"/>
  <c r="K1250" i="3"/>
  <c r="Q1250" i="3"/>
  <c r="K1251" i="3"/>
  <c r="Q1251" i="3"/>
  <c r="K1252" i="3"/>
  <c r="Q1252" i="3"/>
  <c r="K1253" i="3"/>
  <c r="Q1253" i="3"/>
  <c r="K1254" i="3"/>
  <c r="Q1254" i="3"/>
  <c r="K1255" i="3"/>
  <c r="Q1255" i="3"/>
  <c r="K1256" i="3"/>
  <c r="Q1256" i="3"/>
  <c r="K1257" i="3"/>
  <c r="Q1257" i="3"/>
  <c r="R1257" i="3" s="1"/>
  <c r="K1258" i="3"/>
  <c r="Q1258" i="3"/>
  <c r="K1259" i="3"/>
  <c r="Q1259" i="3"/>
  <c r="K1260" i="3"/>
  <c r="Q1260" i="3"/>
  <c r="K1261" i="3"/>
  <c r="Q1261" i="3"/>
  <c r="R1261" i="3" s="1"/>
  <c r="K1262" i="3"/>
  <c r="Q1262" i="3"/>
  <c r="K1263" i="3"/>
  <c r="Q1263" i="3"/>
  <c r="K1264" i="3"/>
  <c r="Q1264" i="3"/>
  <c r="K1265" i="3"/>
  <c r="Q1265" i="3"/>
  <c r="K1266" i="3"/>
  <c r="Q1266" i="3"/>
  <c r="K1267" i="3"/>
  <c r="Q1267" i="3"/>
  <c r="K1268" i="3"/>
  <c r="Q1268" i="3"/>
  <c r="K1269" i="3"/>
  <c r="Q1269" i="3"/>
  <c r="K1270" i="3"/>
  <c r="Q1270" i="3"/>
  <c r="K38" i="39"/>
  <c r="Q38" i="39"/>
  <c r="K39" i="39"/>
  <c r="Q39" i="39"/>
  <c r="K40" i="39"/>
  <c r="Q40" i="39"/>
  <c r="K41" i="39"/>
  <c r="Q41" i="39"/>
  <c r="K42" i="39"/>
  <c r="Q42" i="39"/>
  <c r="K43" i="39"/>
  <c r="Q43" i="39"/>
  <c r="K44" i="39"/>
  <c r="Q44" i="39"/>
  <c r="K45" i="39"/>
  <c r="Q45" i="39"/>
  <c r="K46" i="39"/>
  <c r="Q46" i="39"/>
  <c r="K47" i="39"/>
  <c r="Q47" i="39"/>
  <c r="K48" i="39"/>
  <c r="Q48" i="39"/>
  <c r="K49" i="39"/>
  <c r="Q49" i="39"/>
  <c r="K50" i="39"/>
  <c r="Q50" i="39"/>
  <c r="K51" i="39"/>
  <c r="Q51" i="39"/>
  <c r="K52" i="39"/>
  <c r="Q52" i="39"/>
  <c r="K53" i="39"/>
  <c r="Q53" i="39"/>
  <c r="K54" i="39"/>
  <c r="Q54" i="39"/>
  <c r="K55" i="39"/>
  <c r="Q55" i="39"/>
  <c r="K56" i="39"/>
  <c r="Q56" i="39"/>
  <c r="K57" i="39"/>
  <c r="Q57" i="39"/>
  <c r="K58" i="39"/>
  <c r="Q58" i="39"/>
  <c r="K59" i="39"/>
  <c r="Q59" i="39"/>
  <c r="K60" i="39"/>
  <c r="Q60" i="39"/>
  <c r="K61" i="39"/>
  <c r="Q61" i="39"/>
  <c r="K62" i="39"/>
  <c r="Q62" i="39"/>
  <c r="K63" i="39"/>
  <c r="Q63" i="39"/>
  <c r="K64" i="39"/>
  <c r="Q64" i="39"/>
  <c r="K65" i="39"/>
  <c r="Q65" i="39"/>
  <c r="K66" i="39"/>
  <c r="Q66" i="39"/>
  <c r="K67" i="39"/>
  <c r="Q67" i="39"/>
  <c r="K68" i="39"/>
  <c r="Q68" i="39"/>
  <c r="K69" i="39"/>
  <c r="Q69" i="39"/>
  <c r="K70" i="39"/>
  <c r="Q70" i="39"/>
  <c r="K71" i="39"/>
  <c r="Q71" i="39"/>
  <c r="K72" i="39"/>
  <c r="Q72" i="39"/>
  <c r="K73" i="39"/>
  <c r="Q73" i="39"/>
  <c r="K74" i="39"/>
  <c r="Q74" i="39"/>
  <c r="K75" i="39"/>
  <c r="Q75" i="39"/>
  <c r="K76" i="39"/>
  <c r="Q76" i="39"/>
  <c r="K77" i="39"/>
  <c r="Q77" i="39"/>
  <c r="K78" i="39"/>
  <c r="Q78" i="39"/>
  <c r="K79" i="39"/>
  <c r="Q79" i="39"/>
  <c r="K80" i="39"/>
  <c r="Q80" i="39"/>
  <c r="K81" i="39"/>
  <c r="Q81" i="39"/>
  <c r="K82" i="39"/>
  <c r="Q82" i="39"/>
  <c r="K83" i="39"/>
  <c r="Q83" i="39"/>
  <c r="K84" i="39"/>
  <c r="Q84" i="39"/>
  <c r="K85" i="39"/>
  <c r="Q85" i="39"/>
  <c r="K86" i="39"/>
  <c r="Q86" i="39"/>
  <c r="K87" i="39"/>
  <c r="Q87" i="39"/>
  <c r="K88" i="39"/>
  <c r="Q88" i="39"/>
  <c r="K89" i="39"/>
  <c r="Q89" i="39"/>
  <c r="K90" i="39"/>
  <c r="Q90" i="39"/>
  <c r="K91" i="39"/>
  <c r="Q91" i="39"/>
  <c r="K92" i="39"/>
  <c r="Q92" i="39"/>
  <c r="K38" i="38"/>
  <c r="Q38" i="38"/>
  <c r="K39" i="38"/>
  <c r="Q39" i="38"/>
  <c r="K40" i="38"/>
  <c r="Q40" i="38"/>
  <c r="K41" i="38"/>
  <c r="Q41" i="38"/>
  <c r="K42" i="38"/>
  <c r="Q42" i="38"/>
  <c r="K43" i="38"/>
  <c r="Q43" i="38"/>
  <c r="K44" i="38"/>
  <c r="Q44" i="38"/>
  <c r="K45" i="38"/>
  <c r="Q45" i="38"/>
  <c r="K46" i="38"/>
  <c r="Q46" i="38"/>
  <c r="K47" i="38"/>
  <c r="Q47" i="38"/>
  <c r="K48" i="38"/>
  <c r="Q48" i="38"/>
  <c r="K49" i="38"/>
  <c r="Q49" i="38"/>
  <c r="K50" i="38"/>
  <c r="Q50" i="38"/>
  <c r="K51" i="38"/>
  <c r="Q51" i="38"/>
  <c r="K52" i="38"/>
  <c r="Q52" i="38"/>
  <c r="K53" i="38"/>
  <c r="Q53" i="38"/>
  <c r="K54" i="38"/>
  <c r="Q54" i="38"/>
  <c r="K55" i="38"/>
  <c r="R55" i="38" s="1"/>
  <c r="K56" i="38"/>
  <c r="Q56" i="38"/>
  <c r="K57" i="38"/>
  <c r="Q57" i="38"/>
  <c r="K58" i="38"/>
  <c r="Q58" i="38"/>
  <c r="K59" i="38"/>
  <c r="Q59" i="38"/>
  <c r="K60" i="38"/>
  <c r="Q60" i="38"/>
  <c r="K61" i="38"/>
  <c r="Q61" i="38"/>
  <c r="K62" i="38"/>
  <c r="Q62" i="38"/>
  <c r="R62" i="38" s="1"/>
  <c r="K63" i="38"/>
  <c r="Q63" i="38"/>
  <c r="K64" i="38"/>
  <c r="Q64" i="38"/>
  <c r="K65" i="38"/>
  <c r="Q65" i="38"/>
  <c r="K66" i="38"/>
  <c r="Q66" i="38"/>
  <c r="K67" i="38"/>
  <c r="Q67" i="38"/>
  <c r="K68" i="38"/>
  <c r="Q68" i="38"/>
  <c r="K69" i="38"/>
  <c r="Q69" i="38"/>
  <c r="K70" i="38"/>
  <c r="Q70" i="38"/>
  <c r="K71" i="38"/>
  <c r="R71" i="38" s="1"/>
  <c r="K72" i="38"/>
  <c r="Q72" i="38"/>
  <c r="K73" i="38"/>
  <c r="Q73" i="38"/>
  <c r="K74" i="38"/>
  <c r="Q74" i="38"/>
  <c r="K75" i="38"/>
  <c r="Q75" i="38"/>
  <c r="K76" i="38"/>
  <c r="Q76" i="38"/>
  <c r="K77" i="38"/>
  <c r="Q77" i="38"/>
  <c r="K78" i="38"/>
  <c r="Q78" i="38"/>
  <c r="K79" i="38"/>
  <c r="Q79" i="38"/>
  <c r="K80" i="38"/>
  <c r="Q80" i="38"/>
  <c r="K81" i="38"/>
  <c r="Q81" i="38"/>
  <c r="K82" i="38"/>
  <c r="Q82" i="38"/>
  <c r="K83" i="38"/>
  <c r="Q83" i="38"/>
  <c r="K84" i="38"/>
  <c r="Q84" i="38"/>
  <c r="K85" i="38"/>
  <c r="Q85" i="38"/>
  <c r="K86" i="38"/>
  <c r="Q86" i="38"/>
  <c r="K87" i="38"/>
  <c r="Q87" i="38"/>
  <c r="K88" i="38"/>
  <c r="Q88" i="38"/>
  <c r="K89" i="38"/>
  <c r="Q89" i="38"/>
  <c r="K90" i="38"/>
  <c r="Q90" i="38"/>
  <c r="K91" i="38"/>
  <c r="Q91" i="38"/>
  <c r="K92" i="38"/>
  <c r="Q92" i="38"/>
  <c r="K93" i="38"/>
  <c r="Q93" i="38"/>
  <c r="K94" i="38"/>
  <c r="Q94" i="38"/>
  <c r="K95" i="38"/>
  <c r="Q95" i="38"/>
  <c r="K96" i="38"/>
  <c r="Q96" i="38"/>
  <c r="K97" i="38"/>
  <c r="Q97" i="38"/>
  <c r="K98" i="38"/>
  <c r="Q98" i="38"/>
  <c r="K99" i="38"/>
  <c r="Q99" i="38"/>
  <c r="K100" i="38"/>
  <c r="Q100" i="38"/>
  <c r="K101" i="38"/>
  <c r="Q101" i="38"/>
  <c r="K102" i="38"/>
  <c r="Q102" i="38"/>
  <c r="K103" i="38"/>
  <c r="Q103" i="38"/>
  <c r="K104" i="38"/>
  <c r="Q104" i="38"/>
  <c r="K105" i="38"/>
  <c r="Q105" i="38"/>
  <c r="K106" i="38"/>
  <c r="Q106" i="38"/>
  <c r="K107" i="38"/>
  <c r="Q107" i="38"/>
  <c r="K108" i="38"/>
  <c r="Q108" i="38"/>
  <c r="K109" i="38"/>
  <c r="Q109" i="38"/>
  <c r="K110" i="38"/>
  <c r="Q110" i="38"/>
  <c r="K111" i="38"/>
  <c r="Q111" i="38"/>
  <c r="K112" i="38"/>
  <c r="Q112" i="38"/>
  <c r="K113" i="38"/>
  <c r="Q113" i="38"/>
  <c r="K114" i="38"/>
  <c r="Q114" i="38"/>
  <c r="K115" i="38"/>
  <c r="Q115" i="38"/>
  <c r="Q38" i="37"/>
  <c r="Q39" i="37"/>
  <c r="Q40" i="37"/>
  <c r="Q41" i="37"/>
  <c r="Q42" i="37"/>
  <c r="Q43" i="37"/>
  <c r="Q44" i="37"/>
  <c r="Q45" i="37"/>
  <c r="Q46" i="37"/>
  <c r="Q47" i="37"/>
  <c r="Q48" i="37"/>
  <c r="Q49" i="37"/>
  <c r="Q50" i="37"/>
  <c r="Q51" i="37"/>
  <c r="Q52" i="37"/>
  <c r="Q53" i="37"/>
  <c r="Q54" i="37"/>
  <c r="Q55" i="37"/>
  <c r="Q56" i="37"/>
  <c r="Q57" i="37"/>
  <c r="Q58" i="37"/>
  <c r="Q59" i="37"/>
  <c r="Q60" i="37"/>
  <c r="Q61" i="37"/>
  <c r="Q62" i="37"/>
  <c r="Q63" i="37"/>
  <c r="Q64" i="37"/>
  <c r="Q65" i="37"/>
  <c r="Q66" i="37"/>
  <c r="Q67" i="37"/>
  <c r="Q68" i="37"/>
  <c r="Q69" i="37"/>
  <c r="Q70" i="37"/>
  <c r="Q71" i="37"/>
  <c r="Q72" i="37"/>
  <c r="Q73" i="37"/>
  <c r="Q74" i="37"/>
  <c r="Q75" i="37"/>
  <c r="Q76" i="37"/>
  <c r="Q77" i="37"/>
  <c r="Q78" i="37"/>
  <c r="Q79" i="37"/>
  <c r="Q80" i="37"/>
  <c r="Q81" i="37"/>
  <c r="Q82" i="37"/>
  <c r="Q83" i="37"/>
  <c r="Q84" i="37"/>
  <c r="Q85" i="37"/>
  <c r="Q86" i="37"/>
  <c r="Q87" i="37"/>
  <c r="Q89" i="37"/>
  <c r="Q90" i="37"/>
  <c r="Q91" i="37"/>
  <c r="Q92" i="37"/>
  <c r="Q93" i="37"/>
  <c r="Q94" i="37"/>
  <c r="Q95" i="37"/>
  <c r="Q96" i="37"/>
  <c r="Q97" i="37"/>
  <c r="Q98" i="37"/>
  <c r="Q99" i="37"/>
  <c r="Q100" i="37"/>
  <c r="Q101" i="37"/>
  <c r="Q102" i="37"/>
  <c r="Q103" i="37"/>
  <c r="Q104" i="37"/>
  <c r="Q105" i="37"/>
  <c r="Q106" i="37"/>
  <c r="Q107" i="37"/>
  <c r="Q108" i="37"/>
  <c r="Q109" i="37"/>
  <c r="Q110" i="37"/>
  <c r="Q111" i="37"/>
  <c r="Q112" i="37"/>
  <c r="Q113" i="37"/>
  <c r="Q114" i="37"/>
  <c r="Q115" i="37"/>
  <c r="Q116" i="37"/>
  <c r="Q117" i="37"/>
  <c r="Q118" i="37"/>
  <c r="Q119" i="37"/>
  <c r="Q120" i="37"/>
  <c r="Q122" i="37"/>
  <c r="Q123" i="37"/>
  <c r="Q124" i="37"/>
  <c r="Q125" i="37"/>
  <c r="Q126" i="37"/>
  <c r="Q127" i="37"/>
  <c r="Q128" i="37"/>
  <c r="Q129" i="37"/>
  <c r="Q130" i="37"/>
  <c r="Q131" i="37"/>
  <c r="Q132" i="37"/>
  <c r="Q133" i="37"/>
  <c r="Q134" i="37"/>
  <c r="Q135" i="37"/>
  <c r="Q136" i="37"/>
  <c r="Q137" i="37"/>
  <c r="Q138" i="37"/>
  <c r="Q139" i="37"/>
  <c r="Q140" i="37"/>
  <c r="Q141" i="37"/>
  <c r="Q142" i="37"/>
  <c r="Q143" i="37"/>
  <c r="Q144" i="37"/>
  <c r="Q145" i="37"/>
  <c r="Q146" i="37"/>
  <c r="Q147" i="37"/>
  <c r="Q148" i="37"/>
  <c r="Q149" i="37"/>
  <c r="Q150" i="37"/>
  <c r="Q151" i="37"/>
  <c r="Q152" i="37"/>
  <c r="K38" i="37"/>
  <c r="K39" i="37"/>
  <c r="K40" i="37"/>
  <c r="K41" i="37"/>
  <c r="K42" i="37"/>
  <c r="K43" i="37"/>
  <c r="K44" i="37"/>
  <c r="K45" i="37"/>
  <c r="K46" i="37"/>
  <c r="K47" i="37"/>
  <c r="K48" i="37"/>
  <c r="K49" i="37"/>
  <c r="K50" i="37"/>
  <c r="K51" i="37"/>
  <c r="K52" i="37"/>
  <c r="K53" i="37"/>
  <c r="K54" i="37"/>
  <c r="K55" i="37"/>
  <c r="K56" i="37"/>
  <c r="K57" i="37"/>
  <c r="K58" i="37"/>
  <c r="K59" i="37"/>
  <c r="K60" i="37"/>
  <c r="K61" i="37"/>
  <c r="K62" i="37"/>
  <c r="K63" i="37"/>
  <c r="K64" i="37"/>
  <c r="K65" i="37"/>
  <c r="K66" i="37"/>
  <c r="K67" i="37"/>
  <c r="K68" i="37"/>
  <c r="K69" i="37"/>
  <c r="K70" i="37"/>
  <c r="K71" i="37"/>
  <c r="K72" i="37"/>
  <c r="K73" i="37"/>
  <c r="K74" i="37"/>
  <c r="K75" i="37"/>
  <c r="K76" i="37"/>
  <c r="K77" i="37"/>
  <c r="K78" i="37"/>
  <c r="K79" i="37"/>
  <c r="K80" i="37"/>
  <c r="K81" i="37"/>
  <c r="K82" i="37"/>
  <c r="K83" i="37"/>
  <c r="K84" i="37"/>
  <c r="K85" i="37"/>
  <c r="K86" i="37"/>
  <c r="K87" i="37"/>
  <c r="K88" i="37"/>
  <c r="R88" i="37" s="1"/>
  <c r="K89" i="37"/>
  <c r="K90" i="37"/>
  <c r="K91" i="37"/>
  <c r="K92" i="37"/>
  <c r="K93" i="37"/>
  <c r="K94" i="37"/>
  <c r="K95" i="37"/>
  <c r="R95" i="37" s="1"/>
  <c r="K96" i="37"/>
  <c r="K97" i="37"/>
  <c r="K98" i="37"/>
  <c r="K99" i="37"/>
  <c r="R99" i="37" s="1"/>
  <c r="K100" i="37"/>
  <c r="K101" i="37"/>
  <c r="K102" i="37"/>
  <c r="K103" i="37"/>
  <c r="K104" i="37"/>
  <c r="K105" i="37"/>
  <c r="K106" i="37"/>
  <c r="K107" i="37"/>
  <c r="R107" i="37" s="1"/>
  <c r="K108" i="37"/>
  <c r="K109" i="37"/>
  <c r="K110" i="37"/>
  <c r="K111" i="37"/>
  <c r="R111" i="37" s="1"/>
  <c r="K112" i="37"/>
  <c r="K113" i="37"/>
  <c r="K114" i="37"/>
  <c r="K115" i="37"/>
  <c r="R115" i="37" s="1"/>
  <c r="K116" i="37"/>
  <c r="K117" i="37"/>
  <c r="K118" i="37"/>
  <c r="K119" i="37"/>
  <c r="R119" i="37" s="1"/>
  <c r="K120" i="37"/>
  <c r="K121" i="37"/>
  <c r="R121" i="37" s="1"/>
  <c r="K122" i="37"/>
  <c r="K123" i="37"/>
  <c r="K124" i="37"/>
  <c r="K125" i="37"/>
  <c r="K126" i="37"/>
  <c r="K127" i="37"/>
  <c r="K128" i="37"/>
  <c r="K129" i="37"/>
  <c r="K130" i="37"/>
  <c r="K131" i="37"/>
  <c r="K132" i="37"/>
  <c r="K133" i="37"/>
  <c r="K134" i="37"/>
  <c r="K135" i="37"/>
  <c r="K136" i="37"/>
  <c r="K137" i="37"/>
  <c r="K138" i="37"/>
  <c r="K139" i="37"/>
  <c r="K140" i="37"/>
  <c r="K141" i="37"/>
  <c r="K142" i="37"/>
  <c r="K143" i="37"/>
  <c r="K144" i="37"/>
  <c r="K145" i="37"/>
  <c r="K146" i="37"/>
  <c r="K147" i="37"/>
  <c r="K148" i="37"/>
  <c r="K149" i="37"/>
  <c r="K150" i="37"/>
  <c r="K151" i="37"/>
  <c r="K152" i="37"/>
  <c r="R1194" i="3" l="1"/>
  <c r="R1190" i="3"/>
  <c r="R1188" i="3"/>
  <c r="R1178" i="3"/>
  <c r="R1174" i="3"/>
  <c r="R1172" i="3"/>
  <c r="R1170" i="3"/>
  <c r="R1162" i="3"/>
  <c r="R954" i="3"/>
  <c r="R946" i="3"/>
  <c r="R832" i="3"/>
  <c r="R826" i="3"/>
  <c r="R802" i="3"/>
  <c r="R800" i="3"/>
  <c r="R794" i="3"/>
  <c r="R452" i="3"/>
  <c r="R450" i="3"/>
  <c r="R448" i="3"/>
  <c r="R440" i="3"/>
  <c r="R436" i="3"/>
  <c r="R434" i="3"/>
  <c r="R432" i="3"/>
  <c r="R424" i="3"/>
  <c r="R420" i="3"/>
  <c r="R418" i="3"/>
  <c r="R408" i="3"/>
  <c r="R404" i="3"/>
  <c r="R402" i="3"/>
  <c r="R392" i="3"/>
  <c r="R388" i="3"/>
  <c r="R386" i="3"/>
  <c r="R384" i="3"/>
  <c r="R380" i="3"/>
  <c r="R378" i="3"/>
  <c r="R252" i="3"/>
  <c r="R244" i="3"/>
  <c r="R242" i="3"/>
  <c r="R179" i="3"/>
  <c r="R177" i="3"/>
  <c r="R173" i="3"/>
  <c r="R171" i="3"/>
  <c r="R169" i="3"/>
  <c r="R165" i="3"/>
  <c r="R163" i="3"/>
  <c r="R161" i="3"/>
  <c r="R159" i="3"/>
  <c r="R135" i="3"/>
  <c r="R133" i="3"/>
  <c r="R131" i="3"/>
  <c r="R125" i="3"/>
  <c r="R123" i="3"/>
  <c r="R111" i="3"/>
  <c r="R117" i="37"/>
  <c r="R113" i="37"/>
  <c r="R105" i="37"/>
  <c r="R101" i="37"/>
  <c r="R97" i="37"/>
  <c r="R93" i="37"/>
  <c r="R89" i="37"/>
  <c r="R45" i="38"/>
  <c r="R1239" i="3"/>
  <c r="R1235" i="3"/>
  <c r="R1231" i="3"/>
  <c r="R1090" i="3"/>
  <c r="R1088" i="3"/>
  <c r="R1072" i="3"/>
  <c r="R947" i="3"/>
  <c r="R943" i="3"/>
  <c r="R941" i="3"/>
  <c r="R939" i="3"/>
  <c r="R935" i="3"/>
  <c r="R933" i="3"/>
  <c r="R931" i="3"/>
  <c r="R904" i="3"/>
  <c r="R823" i="3"/>
  <c r="R821" i="3"/>
  <c r="R819" i="3"/>
  <c r="R815" i="3"/>
  <c r="R813" i="3"/>
  <c r="R811" i="3"/>
  <c r="R807" i="3"/>
  <c r="R805" i="3"/>
  <c r="R803" i="3"/>
  <c r="R783" i="3"/>
  <c r="R781" i="3"/>
  <c r="R779" i="3"/>
  <c r="R768" i="3"/>
  <c r="R762" i="3"/>
  <c r="R754" i="3"/>
  <c r="R752" i="3"/>
  <c r="R746" i="3"/>
  <c r="R738" i="3"/>
  <c r="R736" i="3"/>
  <c r="R730" i="3"/>
  <c r="R212" i="3"/>
  <c r="R210" i="3"/>
  <c r="R1260" i="3"/>
  <c r="R1256" i="3"/>
  <c r="R1244" i="3"/>
  <c r="R1240" i="3"/>
  <c r="R1228" i="3"/>
  <c r="R1050" i="3"/>
  <c r="R1046" i="3"/>
  <c r="R1044" i="3"/>
  <c r="R1042" i="3"/>
  <c r="R1032" i="3"/>
  <c r="R994" i="3"/>
  <c r="R986" i="3"/>
  <c r="R866" i="3"/>
  <c r="R840" i="3"/>
  <c r="R751" i="3"/>
  <c r="R749" i="3"/>
  <c r="R747" i="3"/>
  <c r="R743" i="3"/>
  <c r="R741" i="3"/>
  <c r="R739" i="3"/>
  <c r="R472" i="3"/>
  <c r="R462" i="3"/>
  <c r="R316" i="3"/>
  <c r="R308" i="3"/>
  <c r="R274" i="3"/>
  <c r="R197" i="3"/>
  <c r="R191" i="3"/>
  <c r="R183" i="3"/>
  <c r="R151" i="37"/>
  <c r="R139" i="37"/>
  <c r="R127" i="37"/>
  <c r="R115" i="38"/>
  <c r="R107" i="38"/>
  <c r="R91" i="38"/>
  <c r="R65" i="39"/>
  <c r="R47" i="39"/>
  <c r="R1158" i="3"/>
  <c r="R1156" i="3"/>
  <c r="R1146" i="3"/>
  <c r="R1142" i="3"/>
  <c r="R1140" i="3"/>
  <c r="R1138" i="3"/>
  <c r="R1030" i="3"/>
  <c r="R1028" i="3"/>
  <c r="R1016" i="3"/>
  <c r="R1014" i="3"/>
  <c r="R1012" i="3"/>
  <c r="R1008" i="3"/>
  <c r="R944" i="3"/>
  <c r="R938" i="3"/>
  <c r="R864" i="3"/>
  <c r="R858" i="3"/>
  <c r="R372" i="3"/>
  <c r="R97" i="3"/>
  <c r="R147" i="37"/>
  <c r="R123" i="37"/>
  <c r="R110" i="37"/>
  <c r="R98" i="37"/>
  <c r="R1126" i="3"/>
  <c r="R1124" i="3"/>
  <c r="R1114" i="3"/>
  <c r="R1110" i="3"/>
  <c r="R1108" i="3"/>
  <c r="R1106" i="3"/>
  <c r="R928" i="3"/>
  <c r="R922" i="3"/>
  <c r="R143" i="37"/>
  <c r="R131" i="37"/>
  <c r="R61" i="37"/>
  <c r="R67" i="38"/>
  <c r="R65" i="38"/>
  <c r="R63" i="38"/>
  <c r="R61" i="38"/>
  <c r="R59" i="38"/>
  <c r="R1269" i="3"/>
  <c r="R1267" i="3"/>
  <c r="R1263" i="3"/>
  <c r="R1255" i="3"/>
  <c r="R1251" i="3"/>
  <c r="R1229" i="3"/>
  <c r="R1227" i="3"/>
  <c r="R1222" i="3"/>
  <c r="R1220" i="3"/>
  <c r="R1210" i="3"/>
  <c r="R1206" i="3"/>
  <c r="R1204" i="3"/>
  <c r="R1202" i="3"/>
  <c r="R1186" i="3"/>
  <c r="R1184" i="3"/>
  <c r="R1168" i="3"/>
  <c r="R1119" i="3"/>
  <c r="R1115" i="3"/>
  <c r="R1103" i="3"/>
  <c r="R1099" i="3"/>
  <c r="R1094" i="3"/>
  <c r="R1092" i="3"/>
  <c r="R1082" i="3"/>
  <c r="R1078" i="3"/>
  <c r="R1076" i="3"/>
  <c r="R1074" i="3"/>
  <c r="R1058" i="3"/>
  <c r="R1056" i="3"/>
  <c r="R1040" i="3"/>
  <c r="R989" i="3"/>
  <c r="R987" i="3"/>
  <c r="R982" i="3"/>
  <c r="R980" i="3"/>
  <c r="R970" i="3"/>
  <c r="R962" i="3"/>
  <c r="R952" i="3"/>
  <c r="R927" i="3"/>
  <c r="R925" i="3"/>
  <c r="R923" i="3"/>
  <c r="R919" i="3"/>
  <c r="R917" i="3"/>
  <c r="R872" i="3"/>
  <c r="R847" i="3"/>
  <c r="R845" i="3"/>
  <c r="R843" i="3"/>
  <c r="R839" i="3"/>
  <c r="R837" i="3"/>
  <c r="R835" i="3"/>
  <c r="R818" i="3"/>
  <c r="R816" i="3"/>
  <c r="R810" i="3"/>
  <c r="R792" i="3"/>
  <c r="R767" i="3"/>
  <c r="R300" i="3"/>
  <c r="R915" i="3"/>
  <c r="R912" i="3"/>
  <c r="R906" i="3"/>
  <c r="R888" i="3"/>
  <c r="R863" i="3"/>
  <c r="R861" i="3"/>
  <c r="R859" i="3"/>
  <c r="R855" i="3"/>
  <c r="R853" i="3"/>
  <c r="R851" i="3"/>
  <c r="R848" i="3"/>
  <c r="R842" i="3"/>
  <c r="R824" i="3"/>
  <c r="R799" i="3"/>
  <c r="R797" i="3"/>
  <c r="R795" i="3"/>
  <c r="R791" i="3"/>
  <c r="R789" i="3"/>
  <c r="R787" i="3"/>
  <c r="R784" i="3"/>
  <c r="R778" i="3"/>
  <c r="R760" i="3"/>
  <c r="R735" i="3"/>
  <c r="R733" i="3"/>
  <c r="R731" i="3"/>
  <c r="R727" i="3"/>
  <c r="R725" i="3"/>
  <c r="R723" i="3"/>
  <c r="R720" i="3"/>
  <c r="R714" i="3"/>
  <c r="R698" i="3"/>
  <c r="R688" i="3"/>
  <c r="R682" i="3"/>
  <c r="R637" i="3"/>
  <c r="R621" i="3"/>
  <c r="R614" i="3"/>
  <c r="R612" i="3"/>
  <c r="R608" i="3"/>
  <c r="R600" i="3"/>
  <c r="R598" i="3"/>
  <c r="R596" i="3"/>
  <c r="R570" i="3"/>
  <c r="R560" i="3"/>
  <c r="R554" i="3"/>
  <c r="R509" i="3"/>
  <c r="R505" i="3"/>
  <c r="R493" i="3"/>
  <c r="R489" i="3"/>
  <c r="R477" i="3"/>
  <c r="R473" i="3"/>
  <c r="R468" i="3"/>
  <c r="R466" i="3"/>
  <c r="R446" i="3"/>
  <c r="R430" i="3"/>
  <c r="R381" i="3"/>
  <c r="R370" i="3"/>
  <c r="R362" i="3"/>
  <c r="R360" i="3"/>
  <c r="R298" i="3"/>
  <c r="R292" i="3"/>
  <c r="R247" i="3"/>
  <c r="R241" i="3"/>
  <c r="R239" i="3"/>
  <c r="R228" i="3"/>
  <c r="R218" i="3"/>
  <c r="R195" i="3"/>
  <c r="R193" i="3"/>
  <c r="R189" i="3"/>
  <c r="R187" i="3"/>
  <c r="R185" i="3"/>
  <c r="R175" i="3"/>
  <c r="R167" i="3"/>
  <c r="R102" i="3"/>
  <c r="R93" i="3"/>
  <c r="R91" i="3"/>
  <c r="R59" i="3"/>
  <c r="R55" i="3"/>
  <c r="R51" i="3"/>
  <c r="R775" i="3"/>
  <c r="R773" i="3"/>
  <c r="R771" i="3"/>
  <c r="R744" i="3"/>
  <c r="R719" i="3"/>
  <c r="R717" i="3"/>
  <c r="R711" i="3"/>
  <c r="R709" i="3"/>
  <c r="R666" i="3"/>
  <c r="R656" i="3"/>
  <c r="R650" i="3"/>
  <c r="R605" i="3"/>
  <c r="R589" i="3"/>
  <c r="R538" i="3"/>
  <c r="R528" i="3"/>
  <c r="R461" i="3"/>
  <c r="R457" i="3"/>
  <c r="R416" i="3"/>
  <c r="R414" i="3"/>
  <c r="R400" i="3"/>
  <c r="R398" i="3"/>
  <c r="R352" i="3"/>
  <c r="R350" i="3"/>
  <c r="R340" i="3"/>
  <c r="R282" i="3"/>
  <c r="R276" i="3"/>
  <c r="R765" i="3"/>
  <c r="R763" i="3"/>
  <c r="R759" i="3"/>
  <c r="R757" i="3"/>
  <c r="R755" i="3"/>
  <c r="R728" i="3"/>
  <c r="R703" i="3"/>
  <c r="R701" i="3"/>
  <c r="R685" i="3"/>
  <c r="R634" i="3"/>
  <c r="R624" i="3"/>
  <c r="R618" i="3"/>
  <c r="R573" i="3"/>
  <c r="R557" i="3"/>
  <c r="R512" i="3"/>
  <c r="R510" i="3"/>
  <c r="R494" i="3"/>
  <c r="R478" i="3"/>
  <c r="R445" i="3"/>
  <c r="R441" i="3"/>
  <c r="R429" i="3"/>
  <c r="R425" i="3"/>
  <c r="R382" i="3"/>
  <c r="R374" i="3"/>
  <c r="R343" i="3"/>
  <c r="R337" i="3"/>
  <c r="R335" i="3"/>
  <c r="R330" i="3"/>
  <c r="R324" i="3"/>
  <c r="R322" i="3"/>
  <c r="R314" i="3"/>
  <c r="R306" i="3"/>
  <c r="R281" i="3"/>
  <c r="R279" i="3"/>
  <c r="R273" i="3"/>
  <c r="R271" i="3"/>
  <c r="R266" i="3"/>
  <c r="R260" i="3"/>
  <c r="R250" i="3"/>
  <c r="R217" i="3"/>
  <c r="R215" i="3"/>
  <c r="R209" i="3"/>
  <c r="R207" i="3"/>
  <c r="R199" i="3"/>
  <c r="R157" i="3"/>
  <c r="R155" i="3"/>
  <c r="R143" i="3"/>
  <c r="R127" i="3"/>
  <c r="R99" i="3"/>
  <c r="R149" i="37"/>
  <c r="R145" i="37"/>
  <c r="R137" i="37"/>
  <c r="R133" i="37"/>
  <c r="R129" i="37"/>
  <c r="R125" i="37"/>
  <c r="R98" i="38"/>
  <c r="R47" i="38"/>
  <c r="R52" i="39"/>
  <c r="R50" i="39"/>
  <c r="R48" i="39"/>
  <c r="R1265" i="3"/>
  <c r="R1252" i="3"/>
  <c r="R1248" i="3"/>
  <c r="R1243" i="3"/>
  <c r="R1237" i="3"/>
  <c r="R1233" i="3"/>
  <c r="R1224" i="3"/>
  <c r="R1207" i="3"/>
  <c r="R1203" i="3"/>
  <c r="R1198" i="3"/>
  <c r="R1196" i="3"/>
  <c r="R1192" i="3"/>
  <c r="R1175" i="3"/>
  <c r="R1171" i="3"/>
  <c r="R1166" i="3"/>
  <c r="R1164" i="3"/>
  <c r="R1160" i="3"/>
  <c r="R1143" i="3"/>
  <c r="R1139" i="3"/>
  <c r="R1134" i="3"/>
  <c r="R1132" i="3"/>
  <c r="R1128" i="3"/>
  <c r="R1111" i="3"/>
  <c r="R1107" i="3"/>
  <c r="R1102" i="3"/>
  <c r="R1100" i="3"/>
  <c r="R1096" i="3"/>
  <c r="R1079" i="3"/>
  <c r="R1075" i="3"/>
  <c r="R1070" i="3"/>
  <c r="R1068" i="3"/>
  <c r="R1064" i="3"/>
  <c r="R1047" i="3"/>
  <c r="R1043" i="3"/>
  <c r="R1038" i="3"/>
  <c r="R1036" i="3"/>
  <c r="R1034" i="3"/>
  <c r="R1026" i="3"/>
  <c r="R1013" i="3"/>
  <c r="R1011" i="3"/>
  <c r="R1006" i="3"/>
  <c r="R1004" i="3"/>
  <c r="R960" i="3"/>
  <c r="R108" i="37"/>
  <c r="R104" i="37"/>
  <c r="R100" i="37"/>
  <c r="R998" i="3"/>
  <c r="R996" i="3"/>
  <c r="R992" i="3"/>
  <c r="R990" i="3"/>
  <c r="R101" i="38"/>
  <c r="R99" i="38"/>
  <c r="R97" i="38"/>
  <c r="R93" i="38"/>
  <c r="R57" i="38"/>
  <c r="R59" i="39"/>
  <c r="R55" i="39"/>
  <c r="R53" i="39"/>
  <c r="R51" i="39"/>
  <c r="R49" i="39"/>
  <c r="R1268" i="3"/>
  <c r="R1264" i="3"/>
  <c r="R1259" i="3"/>
  <c r="R1253" i="3"/>
  <c r="R1249" i="3"/>
  <c r="R1236" i="3"/>
  <c r="R1232" i="3"/>
  <c r="R1223" i="3"/>
  <c r="R1219" i="3"/>
  <c r="R1214" i="3"/>
  <c r="R1212" i="3"/>
  <c r="R1208" i="3"/>
  <c r="R1191" i="3"/>
  <c r="R1187" i="3"/>
  <c r="R1182" i="3"/>
  <c r="R1180" i="3"/>
  <c r="R1176" i="3"/>
  <c r="R1159" i="3"/>
  <c r="R1155" i="3"/>
  <c r="R1150" i="3"/>
  <c r="R1148" i="3"/>
  <c r="R1144" i="3"/>
  <c r="R1127" i="3"/>
  <c r="R1123" i="3"/>
  <c r="R1118" i="3"/>
  <c r="R1116" i="3"/>
  <c r="R1112" i="3"/>
  <c r="R1095" i="3"/>
  <c r="R1091" i="3"/>
  <c r="R1086" i="3"/>
  <c r="R1084" i="3"/>
  <c r="R1080" i="3"/>
  <c r="R1063" i="3"/>
  <c r="R1059" i="3"/>
  <c r="R1054" i="3"/>
  <c r="R1052" i="3"/>
  <c r="R1048" i="3"/>
  <c r="R1029" i="3"/>
  <c r="R1027" i="3"/>
  <c r="R1022" i="3"/>
  <c r="R1020" i="3"/>
  <c r="R1010" i="3"/>
  <c r="R997" i="3"/>
  <c r="R995" i="3"/>
  <c r="R976" i="3"/>
  <c r="R988" i="3"/>
  <c r="R978" i="3"/>
  <c r="R966" i="3"/>
  <c r="R964" i="3"/>
  <c r="R950" i="3"/>
  <c r="R948" i="3"/>
  <c r="R934" i="3"/>
  <c r="R932" i="3"/>
  <c r="R918" i="3"/>
  <c r="R916" i="3"/>
  <c r="R902" i="3"/>
  <c r="R900" i="3"/>
  <c r="R886" i="3"/>
  <c r="R884" i="3"/>
  <c r="R870" i="3"/>
  <c r="R868" i="3"/>
  <c r="R854" i="3"/>
  <c r="R852" i="3"/>
  <c r="R838" i="3"/>
  <c r="R836" i="3"/>
  <c r="R822" i="3"/>
  <c r="R820" i="3"/>
  <c r="R806" i="3"/>
  <c r="R804" i="3"/>
  <c r="R790" i="3"/>
  <c r="R788" i="3"/>
  <c r="R774" i="3"/>
  <c r="R772" i="3"/>
  <c r="R758" i="3"/>
  <c r="R756" i="3"/>
  <c r="R742" i="3"/>
  <c r="R740" i="3"/>
  <c r="R726" i="3"/>
  <c r="R724" i="3"/>
  <c r="R710" i="3"/>
  <c r="R708" i="3"/>
  <c r="R693" i="3"/>
  <c r="R686" i="3"/>
  <c r="R684" i="3"/>
  <c r="R674" i="3"/>
  <c r="R661" i="3"/>
  <c r="R654" i="3"/>
  <c r="R652" i="3"/>
  <c r="R642" i="3"/>
  <c r="R629" i="3"/>
  <c r="R622" i="3"/>
  <c r="R620" i="3"/>
  <c r="R610" i="3"/>
  <c r="R597" i="3"/>
  <c r="R590" i="3"/>
  <c r="R588" i="3"/>
  <c r="R578" i="3"/>
  <c r="R565" i="3"/>
  <c r="R558" i="3"/>
  <c r="R556" i="3"/>
  <c r="R546" i="3"/>
  <c r="R533" i="3"/>
  <c r="R529" i="3"/>
  <c r="R464" i="3"/>
  <c r="R226" i="3"/>
  <c r="R43" i="3"/>
  <c r="R981" i="3"/>
  <c r="R979" i="3"/>
  <c r="R974" i="3"/>
  <c r="R972" i="3"/>
  <c r="R958" i="3"/>
  <c r="R956" i="3"/>
  <c r="R942" i="3"/>
  <c r="R940" i="3"/>
  <c r="R926" i="3"/>
  <c r="R924" i="3"/>
  <c r="R910" i="3"/>
  <c r="R908" i="3"/>
  <c r="R894" i="3"/>
  <c r="R892" i="3"/>
  <c r="R878" i="3"/>
  <c r="R876" i="3"/>
  <c r="R862" i="3"/>
  <c r="R860" i="3"/>
  <c r="R846" i="3"/>
  <c r="R844" i="3"/>
  <c r="R830" i="3"/>
  <c r="R828" i="3"/>
  <c r="R814" i="3"/>
  <c r="R812" i="3"/>
  <c r="R798" i="3"/>
  <c r="R796" i="3"/>
  <c r="R782" i="3"/>
  <c r="R780" i="3"/>
  <c r="R766" i="3"/>
  <c r="R764" i="3"/>
  <c r="R750" i="3"/>
  <c r="R748" i="3"/>
  <c r="R734" i="3"/>
  <c r="R732" i="3"/>
  <c r="R718" i="3"/>
  <c r="R716" i="3"/>
  <c r="R702" i="3"/>
  <c r="R690" i="3"/>
  <c r="R677" i="3"/>
  <c r="R670" i="3"/>
  <c r="R668" i="3"/>
  <c r="R658" i="3"/>
  <c r="R645" i="3"/>
  <c r="R638" i="3"/>
  <c r="R636" i="3"/>
  <c r="R626" i="3"/>
  <c r="R613" i="3"/>
  <c r="R606" i="3"/>
  <c r="R604" i="3"/>
  <c r="R594" i="3"/>
  <c r="R581" i="3"/>
  <c r="R574" i="3"/>
  <c r="R572" i="3"/>
  <c r="R562" i="3"/>
  <c r="R549" i="3"/>
  <c r="R545" i="3"/>
  <c r="R542" i="3"/>
  <c r="R540" i="3"/>
  <c r="R530" i="3"/>
  <c r="R496" i="3"/>
  <c r="R137" i="3"/>
  <c r="R526" i="3"/>
  <c r="R524" i="3"/>
  <c r="R522" i="3"/>
  <c r="R518" i="3"/>
  <c r="R501" i="3"/>
  <c r="R497" i="3"/>
  <c r="R492" i="3"/>
  <c r="R490" i="3"/>
  <c r="R486" i="3"/>
  <c r="R469" i="3"/>
  <c r="R465" i="3"/>
  <c r="R460" i="3"/>
  <c r="R458" i="3"/>
  <c r="R454" i="3"/>
  <c r="R437" i="3"/>
  <c r="R433" i="3"/>
  <c r="R428" i="3"/>
  <c r="R426" i="3"/>
  <c r="R422" i="3"/>
  <c r="R405" i="3"/>
  <c r="R401" i="3"/>
  <c r="R396" i="3"/>
  <c r="R394" i="3"/>
  <c r="R390" i="3"/>
  <c r="R377" i="3"/>
  <c r="R375" i="3"/>
  <c r="R359" i="3"/>
  <c r="R348" i="3"/>
  <c r="R336" i="3"/>
  <c r="R320" i="3"/>
  <c r="R318" i="3"/>
  <c r="R304" i="3"/>
  <c r="R302" i="3"/>
  <c r="R288" i="3"/>
  <c r="R286" i="3"/>
  <c r="R272" i="3"/>
  <c r="R270" i="3"/>
  <c r="R256" i="3"/>
  <c r="R254" i="3"/>
  <c r="R240" i="3"/>
  <c r="R238" i="3"/>
  <c r="R224" i="3"/>
  <c r="R222" i="3"/>
  <c r="R208" i="3"/>
  <c r="R204" i="3"/>
  <c r="R202" i="3"/>
  <c r="R188" i="3"/>
  <c r="R186" i="3"/>
  <c r="R172" i="3"/>
  <c r="R170" i="3"/>
  <c r="R156" i="3"/>
  <c r="R154" i="3"/>
  <c r="R152" i="3"/>
  <c r="R150" i="3"/>
  <c r="R146" i="3"/>
  <c r="R129" i="3"/>
  <c r="R122" i="3"/>
  <c r="R118" i="3"/>
  <c r="R116" i="3"/>
  <c r="R114" i="3"/>
  <c r="R109" i="3"/>
  <c r="R105" i="3"/>
  <c r="R95" i="3"/>
  <c r="R87" i="3"/>
  <c r="R39" i="3"/>
  <c r="R517" i="3"/>
  <c r="R513" i="3"/>
  <c r="R508" i="3"/>
  <c r="R506" i="3"/>
  <c r="R502" i="3"/>
  <c r="R485" i="3"/>
  <c r="R481" i="3"/>
  <c r="R476" i="3"/>
  <c r="R474" i="3"/>
  <c r="R470" i="3"/>
  <c r="R453" i="3"/>
  <c r="R449" i="3"/>
  <c r="R444" i="3"/>
  <c r="R442" i="3"/>
  <c r="R438" i="3"/>
  <c r="R421" i="3"/>
  <c r="R417" i="3"/>
  <c r="R412" i="3"/>
  <c r="R410" i="3"/>
  <c r="R406" i="3"/>
  <c r="R389" i="3"/>
  <c r="R385" i="3"/>
  <c r="R368" i="3"/>
  <c r="R366" i="3"/>
  <c r="R353" i="3"/>
  <c r="R351" i="3"/>
  <c r="R344" i="3"/>
  <c r="R328" i="3"/>
  <c r="R326" i="3"/>
  <c r="R312" i="3"/>
  <c r="R310" i="3"/>
  <c r="R296" i="3"/>
  <c r="R294" i="3"/>
  <c r="R280" i="3"/>
  <c r="R278" i="3"/>
  <c r="R264" i="3"/>
  <c r="R262" i="3"/>
  <c r="R248" i="3"/>
  <c r="R246" i="3"/>
  <c r="R232" i="3"/>
  <c r="R230" i="3"/>
  <c r="R216" i="3"/>
  <c r="R214" i="3"/>
  <c r="R196" i="3"/>
  <c r="R194" i="3"/>
  <c r="R180" i="3"/>
  <c r="R178" i="3"/>
  <c r="R164" i="3"/>
  <c r="R162" i="3"/>
  <c r="R141" i="3"/>
  <c r="R139" i="3"/>
  <c r="R113" i="3"/>
  <c r="R92" i="3"/>
  <c r="R90" i="3"/>
  <c r="R69" i="3"/>
  <c r="R67" i="3"/>
  <c r="R45" i="3"/>
  <c r="R111" i="38"/>
  <c r="R109" i="38"/>
  <c r="R71" i="39"/>
  <c r="R69" i="39"/>
  <c r="R67" i="39"/>
  <c r="R38" i="39"/>
  <c r="R1266" i="3"/>
  <c r="R1258" i="3"/>
  <c r="R1250" i="3"/>
  <c r="R1242" i="3"/>
  <c r="R1234" i="3"/>
  <c r="R1221" i="3"/>
  <c r="R1213" i="3"/>
  <c r="R1205" i="3"/>
  <c r="R1197" i="3"/>
  <c r="R1189" i="3"/>
  <c r="R1181" i="3"/>
  <c r="R1173" i="3"/>
  <c r="R1165" i="3"/>
  <c r="R1157" i="3"/>
  <c r="R1149" i="3"/>
  <c r="R1141" i="3"/>
  <c r="R1133" i="3"/>
  <c r="R1125" i="3"/>
  <c r="R1117" i="3"/>
  <c r="R1109" i="3"/>
  <c r="R1101" i="3"/>
  <c r="R1093" i="3"/>
  <c r="R1085" i="3"/>
  <c r="R1077" i="3"/>
  <c r="R1069" i="3"/>
  <c r="R1061" i="3"/>
  <c r="R1053" i="3"/>
  <c r="R1045" i="3"/>
  <c r="R1037" i="3"/>
  <c r="R1023" i="3"/>
  <c r="R1007" i="3"/>
  <c r="R68" i="39"/>
  <c r="R41" i="39"/>
  <c r="R39" i="39"/>
  <c r="R1270" i="3"/>
  <c r="R1262" i="3"/>
  <c r="R1254" i="3"/>
  <c r="R1246" i="3"/>
  <c r="R1238" i="3"/>
  <c r="R1230" i="3"/>
  <c r="R1225" i="3"/>
  <c r="R1217" i="3"/>
  <c r="R1209" i="3"/>
  <c r="R1201" i="3"/>
  <c r="R1193" i="3"/>
  <c r="R1185" i="3"/>
  <c r="R1177" i="3"/>
  <c r="R1169" i="3"/>
  <c r="R1161" i="3"/>
  <c r="R1153" i="3"/>
  <c r="R1145" i="3"/>
  <c r="R1137" i="3"/>
  <c r="R1129" i="3"/>
  <c r="R1121" i="3"/>
  <c r="R1113" i="3"/>
  <c r="R1105" i="3"/>
  <c r="R1097" i="3"/>
  <c r="R1089" i="3"/>
  <c r="R1081" i="3"/>
  <c r="R1073" i="3"/>
  <c r="R1065" i="3"/>
  <c r="R1057" i="3"/>
  <c r="R1049" i="3"/>
  <c r="R1041" i="3"/>
  <c r="R1031" i="3"/>
  <c r="R1015" i="3"/>
  <c r="R999" i="3"/>
  <c r="R991" i="3"/>
  <c r="R983" i="3"/>
  <c r="R715" i="3"/>
  <c r="R707" i="3"/>
  <c r="R1033" i="3"/>
  <c r="R1025" i="3"/>
  <c r="R1017" i="3"/>
  <c r="R1009" i="3"/>
  <c r="R1001" i="3"/>
  <c r="R993" i="3"/>
  <c r="R985" i="3"/>
  <c r="R977" i="3"/>
  <c r="R969" i="3"/>
  <c r="R961" i="3"/>
  <c r="R953" i="3"/>
  <c r="R945" i="3"/>
  <c r="R937" i="3"/>
  <c r="R929" i="3"/>
  <c r="R921" i="3"/>
  <c r="R913" i="3"/>
  <c r="R905" i="3"/>
  <c r="R897" i="3"/>
  <c r="R889" i="3"/>
  <c r="R881" i="3"/>
  <c r="R873" i="3"/>
  <c r="R865" i="3"/>
  <c r="R857" i="3"/>
  <c r="R849" i="3"/>
  <c r="R841" i="3"/>
  <c r="R833" i="3"/>
  <c r="R825" i="3"/>
  <c r="R817" i="3"/>
  <c r="R809" i="3"/>
  <c r="R801" i="3"/>
  <c r="R793" i="3"/>
  <c r="R785" i="3"/>
  <c r="R777" i="3"/>
  <c r="R769" i="3"/>
  <c r="R761" i="3"/>
  <c r="R753" i="3"/>
  <c r="R745" i="3"/>
  <c r="R737" i="3"/>
  <c r="R729" i="3"/>
  <c r="R721" i="3"/>
  <c r="R713" i="3"/>
  <c r="R705" i="3"/>
  <c r="R700" i="3"/>
  <c r="R695" i="3"/>
  <c r="R687" i="3"/>
  <c r="R679" i="3"/>
  <c r="R671" i="3"/>
  <c r="R663" i="3"/>
  <c r="R655" i="3"/>
  <c r="R647" i="3"/>
  <c r="R639" i="3"/>
  <c r="R631" i="3"/>
  <c r="R623" i="3"/>
  <c r="R615" i="3"/>
  <c r="R607" i="3"/>
  <c r="R599" i="3"/>
  <c r="R591" i="3"/>
  <c r="R583" i="3"/>
  <c r="R575" i="3"/>
  <c r="R567" i="3"/>
  <c r="R559" i="3"/>
  <c r="R551" i="3"/>
  <c r="R543" i="3"/>
  <c r="R535" i="3"/>
  <c r="R527" i="3"/>
  <c r="R519" i="3"/>
  <c r="R511" i="3"/>
  <c r="R503" i="3"/>
  <c r="R495" i="3"/>
  <c r="R487" i="3"/>
  <c r="R479" i="3"/>
  <c r="R471" i="3"/>
  <c r="R463" i="3"/>
  <c r="R455" i="3"/>
  <c r="R447" i="3"/>
  <c r="R439" i="3"/>
  <c r="R431" i="3"/>
  <c r="R423" i="3"/>
  <c r="R415" i="3"/>
  <c r="R407" i="3"/>
  <c r="R399" i="3"/>
  <c r="R391" i="3"/>
  <c r="R383" i="3"/>
  <c r="R361" i="3"/>
  <c r="R345" i="3"/>
  <c r="R334" i="3"/>
  <c r="R699" i="3"/>
  <c r="R691" i="3"/>
  <c r="R683" i="3"/>
  <c r="R675" i="3"/>
  <c r="R667" i="3"/>
  <c r="R659" i="3"/>
  <c r="R651" i="3"/>
  <c r="R643" i="3"/>
  <c r="R635" i="3"/>
  <c r="R627" i="3"/>
  <c r="R619" i="3"/>
  <c r="R611" i="3"/>
  <c r="R603" i="3"/>
  <c r="R595" i="3"/>
  <c r="R587" i="3"/>
  <c r="R579" i="3"/>
  <c r="R571" i="3"/>
  <c r="R563" i="3"/>
  <c r="R555" i="3"/>
  <c r="R547" i="3"/>
  <c r="R539" i="3"/>
  <c r="R531" i="3"/>
  <c r="R523" i="3"/>
  <c r="R515" i="3"/>
  <c r="R507" i="3"/>
  <c r="R499" i="3"/>
  <c r="R491" i="3"/>
  <c r="R483" i="3"/>
  <c r="R475" i="3"/>
  <c r="R467" i="3"/>
  <c r="R459" i="3"/>
  <c r="R451" i="3"/>
  <c r="R443" i="3"/>
  <c r="R435" i="3"/>
  <c r="R427" i="3"/>
  <c r="R419" i="3"/>
  <c r="R411" i="3"/>
  <c r="R403" i="3"/>
  <c r="R395" i="3"/>
  <c r="R387" i="3"/>
  <c r="R379" i="3"/>
  <c r="R376" i="3"/>
  <c r="R697" i="3"/>
  <c r="R689" i="3"/>
  <c r="R681" i="3"/>
  <c r="R673" i="3"/>
  <c r="R665" i="3"/>
  <c r="R657" i="3"/>
  <c r="R649" i="3"/>
  <c r="R641" i="3"/>
  <c r="R633" i="3"/>
  <c r="R625" i="3"/>
  <c r="R617" i="3"/>
  <c r="R609" i="3"/>
  <c r="R601" i="3"/>
  <c r="R593" i="3"/>
  <c r="R585" i="3"/>
  <c r="R577" i="3"/>
  <c r="R569" i="3"/>
  <c r="R561" i="3"/>
  <c r="R553" i="3"/>
  <c r="R358" i="3"/>
  <c r="R342" i="3"/>
  <c r="R373" i="3"/>
  <c r="R365" i="3"/>
  <c r="R357" i="3"/>
  <c r="R349" i="3"/>
  <c r="R341" i="3"/>
  <c r="R333" i="3"/>
  <c r="R325" i="3"/>
  <c r="R317" i="3"/>
  <c r="R309" i="3"/>
  <c r="R301" i="3"/>
  <c r="R293" i="3"/>
  <c r="R285" i="3"/>
  <c r="R277" i="3"/>
  <c r="R269" i="3"/>
  <c r="R261" i="3"/>
  <c r="R253" i="3"/>
  <c r="R245" i="3"/>
  <c r="R237" i="3"/>
  <c r="R229" i="3"/>
  <c r="R221" i="3"/>
  <c r="R213" i="3"/>
  <c r="R200" i="3"/>
  <c r="R192" i="3"/>
  <c r="R184" i="3"/>
  <c r="R176" i="3"/>
  <c r="R168" i="3"/>
  <c r="R160" i="3"/>
  <c r="R140" i="3"/>
  <c r="R138" i="3"/>
  <c r="R128" i="3"/>
  <c r="R112" i="3"/>
  <c r="R107" i="3"/>
  <c r="R60" i="3"/>
  <c r="R53" i="3"/>
  <c r="R371" i="3"/>
  <c r="R363" i="3"/>
  <c r="R355" i="3"/>
  <c r="R347" i="3"/>
  <c r="R339" i="3"/>
  <c r="R331" i="3"/>
  <c r="R323" i="3"/>
  <c r="R315" i="3"/>
  <c r="R307" i="3"/>
  <c r="R299" i="3"/>
  <c r="R291" i="3"/>
  <c r="R283" i="3"/>
  <c r="R275" i="3"/>
  <c r="R267" i="3"/>
  <c r="R259" i="3"/>
  <c r="R251" i="3"/>
  <c r="R243" i="3"/>
  <c r="R235" i="3"/>
  <c r="R227" i="3"/>
  <c r="R219" i="3"/>
  <c r="R211" i="3"/>
  <c r="R206" i="3"/>
  <c r="R198" i="3"/>
  <c r="R190" i="3"/>
  <c r="R182" i="3"/>
  <c r="R174" i="3"/>
  <c r="R166" i="3"/>
  <c r="R153" i="3"/>
  <c r="R151" i="3"/>
  <c r="R149" i="3"/>
  <c r="R147" i="3"/>
  <c r="R145" i="3"/>
  <c r="R121" i="3"/>
  <c r="R119" i="3"/>
  <c r="R117" i="3"/>
  <c r="R115" i="3"/>
  <c r="R103" i="3"/>
  <c r="R101" i="3"/>
  <c r="R89" i="3"/>
  <c r="R84" i="3"/>
  <c r="R82" i="3"/>
  <c r="R78" i="3"/>
  <c r="R76" i="3"/>
  <c r="R72" i="3"/>
  <c r="R70" i="3"/>
  <c r="R65" i="3"/>
  <c r="R63" i="3"/>
  <c r="R58" i="3"/>
  <c r="R56" i="3"/>
  <c r="R49" i="3"/>
  <c r="R47" i="3"/>
  <c r="R40" i="3"/>
  <c r="R77" i="3"/>
  <c r="R75" i="3"/>
  <c r="R73" i="3"/>
  <c r="R71" i="3"/>
  <c r="R66" i="3"/>
  <c r="R64" i="3"/>
  <c r="R57" i="3"/>
  <c r="R41" i="3"/>
  <c r="R150" i="37"/>
  <c r="R148" i="37"/>
  <c r="R144" i="37"/>
  <c r="R134" i="37"/>
  <c r="R128" i="37"/>
  <c r="R86" i="37"/>
  <c r="R84" i="37"/>
  <c r="R82" i="37"/>
  <c r="R80" i="37"/>
  <c r="R76" i="37"/>
  <c r="R74" i="37"/>
  <c r="R72" i="37"/>
  <c r="R70" i="37"/>
  <c r="R68" i="37"/>
  <c r="R66" i="37"/>
  <c r="R64" i="37"/>
  <c r="R62" i="37"/>
  <c r="R60" i="37"/>
  <c r="R58" i="37"/>
  <c r="R56" i="37"/>
  <c r="R54" i="37"/>
  <c r="R52" i="37"/>
  <c r="R50" i="37"/>
  <c r="R48" i="37"/>
  <c r="R46" i="37"/>
  <c r="R44" i="37"/>
  <c r="R42" i="37"/>
  <c r="R40" i="37"/>
  <c r="R38" i="37"/>
  <c r="R91" i="39"/>
  <c r="R90" i="39"/>
  <c r="R89" i="39"/>
  <c r="R88" i="39"/>
  <c r="R87" i="39"/>
  <c r="R86" i="39"/>
  <c r="R85" i="39"/>
  <c r="R83" i="39"/>
  <c r="R82" i="39"/>
  <c r="R81" i="39"/>
  <c r="R80" i="39"/>
  <c r="R79" i="39"/>
  <c r="R78" i="39"/>
  <c r="R77" i="39"/>
  <c r="R76" i="39"/>
  <c r="R75" i="39"/>
  <c r="R73" i="39"/>
  <c r="R72" i="39"/>
  <c r="R63" i="39"/>
  <c r="R62" i="39"/>
  <c r="R61" i="39"/>
  <c r="R43" i="39"/>
  <c r="R42" i="39"/>
  <c r="R57" i="39"/>
  <c r="R56" i="39"/>
  <c r="R46" i="39"/>
  <c r="R45" i="39"/>
  <c r="R40" i="39"/>
  <c r="R113" i="38"/>
  <c r="R103" i="38"/>
  <c r="R102" i="38"/>
  <c r="R89" i="38"/>
  <c r="R87" i="38"/>
  <c r="R85" i="38"/>
  <c r="R84" i="38"/>
  <c r="R83" i="38"/>
  <c r="R82" i="38"/>
  <c r="R81" i="38"/>
  <c r="R80" i="38"/>
  <c r="R79" i="38"/>
  <c r="R78" i="38"/>
  <c r="R77" i="38"/>
  <c r="R76" i="38"/>
  <c r="R75" i="38"/>
  <c r="R74" i="38"/>
  <c r="R73" i="38"/>
  <c r="R72" i="38"/>
  <c r="R70" i="38"/>
  <c r="R69" i="38"/>
  <c r="R106" i="38"/>
  <c r="R105" i="38"/>
  <c r="R104" i="38"/>
  <c r="R90" i="38"/>
  <c r="R66" i="38"/>
  <c r="R54" i="38"/>
  <c r="R53" i="38"/>
  <c r="R51" i="38"/>
  <c r="R50" i="38"/>
  <c r="R49" i="38"/>
  <c r="R44" i="38"/>
  <c r="R43" i="38"/>
  <c r="R42" i="38"/>
  <c r="R41" i="38"/>
  <c r="R39" i="38"/>
  <c r="R38" i="38"/>
  <c r="R92" i="39"/>
  <c r="R84" i="39"/>
  <c r="R74" i="39"/>
  <c r="R70" i="39"/>
  <c r="R66" i="39"/>
  <c r="R64" i="39"/>
  <c r="R60" i="39"/>
  <c r="R58" i="39"/>
  <c r="R54" i="39"/>
  <c r="R44" i="39"/>
  <c r="R114" i="38"/>
  <c r="R112" i="38"/>
  <c r="R110" i="38"/>
  <c r="R108" i="38"/>
  <c r="R100" i="38"/>
  <c r="R96" i="38"/>
  <c r="R95" i="38"/>
  <c r="R94" i="38"/>
  <c r="R92" i="38"/>
  <c r="R88" i="38"/>
  <c r="R86" i="38"/>
  <c r="R68" i="38"/>
  <c r="R64" i="38"/>
  <c r="R60" i="38"/>
  <c r="R58" i="38"/>
  <c r="R56" i="38"/>
  <c r="R52" i="38"/>
  <c r="R48" i="38"/>
  <c r="R46" i="38"/>
  <c r="R40" i="38"/>
  <c r="R152" i="37"/>
  <c r="R146" i="37"/>
  <c r="R142" i="37"/>
  <c r="R141" i="37"/>
  <c r="R140" i="37"/>
  <c r="R138" i="37"/>
  <c r="R136" i="37"/>
  <c r="R135" i="37"/>
  <c r="R132" i="37"/>
  <c r="R130" i="37"/>
  <c r="R126" i="37"/>
  <c r="R124" i="37"/>
  <c r="R122" i="37"/>
  <c r="R120" i="37"/>
  <c r="R118" i="37"/>
  <c r="R116" i="37"/>
  <c r="R114" i="37"/>
  <c r="R112" i="37"/>
  <c r="R109" i="37"/>
  <c r="R106" i="37"/>
  <c r="R103" i="37"/>
  <c r="R102" i="37"/>
  <c r="R96" i="37"/>
  <c r="R94" i="37"/>
  <c r="R92" i="37"/>
  <c r="R91" i="37"/>
  <c r="R90" i="37"/>
  <c r="R87" i="37"/>
  <c r="R85" i="37"/>
  <c r="R83" i="37"/>
  <c r="R81" i="37"/>
  <c r="R79" i="37"/>
  <c r="R78" i="37"/>
  <c r="R77" i="37"/>
  <c r="R75" i="37"/>
  <c r="R73" i="37"/>
  <c r="R71" i="37"/>
  <c r="R69" i="37"/>
  <c r="R67" i="37"/>
  <c r="R65" i="37"/>
  <c r="R63" i="37"/>
  <c r="R59" i="37"/>
  <c r="R57" i="37"/>
  <c r="R55" i="37"/>
  <c r="R53" i="37"/>
  <c r="R51" i="37"/>
  <c r="R49" i="37"/>
  <c r="R47" i="37"/>
  <c r="R45" i="37"/>
  <c r="R43" i="37"/>
  <c r="R41" i="37"/>
  <c r="R39" i="37"/>
  <c r="R158" i="3"/>
  <c r="R148" i="3"/>
  <c r="R144" i="3"/>
  <c r="R142" i="3"/>
  <c r="R136" i="3"/>
  <c r="R134" i="3"/>
  <c r="R132" i="3"/>
  <c r="R130" i="3"/>
  <c r="R126" i="3"/>
  <c r="R124" i="3"/>
  <c r="R120" i="3"/>
  <c r="R110" i="3"/>
  <c r="R106" i="3"/>
  <c r="R104" i="3"/>
  <c r="R100" i="3"/>
  <c r="R98" i="3"/>
  <c r="R96" i="3"/>
  <c r="R94" i="3"/>
  <c r="R88" i="3"/>
  <c r="R86" i="3"/>
  <c r="R80" i="3"/>
  <c r="R74" i="3"/>
  <c r="R68" i="3"/>
  <c r="R62" i="3"/>
  <c r="R54" i="3"/>
  <c r="R52" i="3"/>
  <c r="R50" i="3"/>
  <c r="R48" i="3"/>
  <c r="R46" i="3"/>
  <c r="R44" i="3"/>
  <c r="R42" i="3"/>
  <c r="Z4" i="38"/>
  <c r="F4" i="38"/>
  <c r="F4" i="39" s="1"/>
  <c r="Q37" i="39"/>
  <c r="K37" i="39"/>
  <c r="Q36" i="39"/>
  <c r="K36" i="39"/>
  <c r="Q35" i="39"/>
  <c r="K35" i="39"/>
  <c r="Q34" i="39"/>
  <c r="K34" i="39"/>
  <c r="Q33" i="39"/>
  <c r="K33" i="39"/>
  <c r="K32" i="39"/>
  <c r="R32" i="39" s="1"/>
  <c r="Q31" i="39"/>
  <c r="K31" i="39"/>
  <c r="Q30" i="39"/>
  <c r="K30" i="39"/>
  <c r="Q29" i="39"/>
  <c r="K29" i="39"/>
  <c r="Q28" i="39"/>
  <c r="K28" i="39"/>
  <c r="Q27" i="39"/>
  <c r="K27" i="39"/>
  <c r="Q26" i="39"/>
  <c r="K26" i="39"/>
  <c r="Q25" i="39"/>
  <c r="K25" i="39"/>
  <c r="Q24" i="39"/>
  <c r="K24" i="39"/>
  <c r="Q23" i="39"/>
  <c r="K23" i="39"/>
  <c r="Q22" i="39"/>
  <c r="K22" i="39"/>
  <c r="Q21" i="39"/>
  <c r="K21" i="39"/>
  <c r="Q20" i="39"/>
  <c r="K20" i="39"/>
  <c r="Q19" i="39"/>
  <c r="K19" i="39"/>
  <c r="Q18" i="39"/>
  <c r="K18" i="39"/>
  <c r="Q17" i="39"/>
  <c r="K17" i="39"/>
  <c r="Q16" i="39"/>
  <c r="K16" i="39"/>
  <c r="Q15" i="39"/>
  <c r="K15" i="39"/>
  <c r="Q14" i="39"/>
  <c r="K14" i="39"/>
  <c r="Q13" i="39"/>
  <c r="K13" i="39"/>
  <c r="Q12" i="39"/>
  <c r="K12" i="39"/>
  <c r="Q11" i="39"/>
  <c r="K11" i="39"/>
  <c r="Q10" i="39"/>
  <c r="K10" i="39"/>
  <c r="Q9" i="39"/>
  <c r="K9" i="39"/>
  <c r="AB4" i="39"/>
  <c r="Z4" i="39"/>
  <c r="W4" i="39"/>
  <c r="C4" i="39"/>
  <c r="Q37" i="38"/>
  <c r="K37" i="38"/>
  <c r="Q36" i="38"/>
  <c r="K36" i="38"/>
  <c r="Q35" i="38"/>
  <c r="K35" i="38"/>
  <c r="Q34" i="38"/>
  <c r="K34" i="38"/>
  <c r="Q33" i="38"/>
  <c r="K33" i="38"/>
  <c r="Q32" i="38"/>
  <c r="K32" i="38"/>
  <c r="Q31" i="38"/>
  <c r="K31" i="38"/>
  <c r="Q30" i="38"/>
  <c r="K30" i="38"/>
  <c r="Q29" i="38"/>
  <c r="K29" i="38"/>
  <c r="Q28" i="38"/>
  <c r="K28" i="38"/>
  <c r="Q27" i="38"/>
  <c r="K27" i="38"/>
  <c r="Q26" i="38"/>
  <c r="K26" i="38"/>
  <c r="Q25" i="38"/>
  <c r="K25" i="38"/>
  <c r="Q24" i="38"/>
  <c r="K24" i="38"/>
  <c r="Q23" i="38"/>
  <c r="K23" i="38"/>
  <c r="Q22" i="38"/>
  <c r="K22" i="38"/>
  <c r="Q21" i="38"/>
  <c r="K21" i="38"/>
  <c r="Q20" i="38"/>
  <c r="K20" i="38"/>
  <c r="Q19" i="38"/>
  <c r="K19" i="38"/>
  <c r="Q18" i="38"/>
  <c r="K18" i="38"/>
  <c r="Q17" i="38"/>
  <c r="K17" i="38"/>
  <c r="Q16" i="38"/>
  <c r="K16" i="38"/>
  <c r="Q15" i="38"/>
  <c r="K15" i="38"/>
  <c r="Q14" i="38"/>
  <c r="K14" i="38"/>
  <c r="Q13" i="38"/>
  <c r="K13" i="38"/>
  <c r="Q12" i="38"/>
  <c r="K12" i="38"/>
  <c r="Q11" i="38"/>
  <c r="K11" i="38"/>
  <c r="Q10" i="38"/>
  <c r="K10" i="38"/>
  <c r="Q9" i="38"/>
  <c r="K9" i="38"/>
  <c r="Z4" i="37"/>
  <c r="W4" i="37"/>
  <c r="F4" i="37"/>
  <c r="C4" i="37"/>
  <c r="Q37" i="37"/>
  <c r="K37" i="37"/>
  <c r="Q36" i="37"/>
  <c r="K36" i="37"/>
  <c r="Q35" i="37"/>
  <c r="K35" i="37"/>
  <c r="Q34" i="37"/>
  <c r="K34" i="37"/>
  <c r="Q33" i="37"/>
  <c r="K33" i="37"/>
  <c r="Q32" i="37"/>
  <c r="K32" i="37"/>
  <c r="Q31" i="37"/>
  <c r="K31" i="37"/>
  <c r="Q30" i="37"/>
  <c r="K30" i="37"/>
  <c r="K29" i="37"/>
  <c r="Q28" i="37"/>
  <c r="K28" i="37"/>
  <c r="Q27" i="37"/>
  <c r="K27" i="37"/>
  <c r="Q26" i="37"/>
  <c r="K26" i="37"/>
  <c r="Q25" i="37"/>
  <c r="K25" i="37"/>
  <c r="Q24" i="37"/>
  <c r="K24" i="37"/>
  <c r="Q23" i="37"/>
  <c r="K23" i="37"/>
  <c r="Q22" i="37"/>
  <c r="K22" i="37"/>
  <c r="Q21" i="37"/>
  <c r="K21" i="37"/>
  <c r="Q20" i="37"/>
  <c r="K20" i="37"/>
  <c r="Q19" i="37"/>
  <c r="K19" i="37"/>
  <c r="Q18" i="37"/>
  <c r="K18" i="37"/>
  <c r="Q17" i="37"/>
  <c r="K17" i="37"/>
  <c r="Q16" i="37"/>
  <c r="K16" i="37"/>
  <c r="Q15" i="37"/>
  <c r="K15" i="37"/>
  <c r="Q14" i="37"/>
  <c r="K14" i="37"/>
  <c r="Q13" i="37"/>
  <c r="K13" i="37"/>
  <c r="Q12" i="37"/>
  <c r="K12" i="37"/>
  <c r="Q11" i="37"/>
  <c r="K11" i="37"/>
  <c r="Q10" i="37"/>
  <c r="K10" i="37"/>
  <c r="Q9" i="37"/>
  <c r="K9" i="37"/>
  <c r="Q10" i="3"/>
  <c r="Q12" i="3"/>
  <c r="Q13" i="3"/>
  <c r="Q14" i="3"/>
  <c r="Q15" i="3"/>
  <c r="Q16" i="3"/>
  <c r="Q17" i="3"/>
  <c r="Q18" i="3"/>
  <c r="Q19" i="3"/>
  <c r="Q20" i="3"/>
  <c r="Q21" i="3"/>
  <c r="Q22" i="3"/>
  <c r="Q23" i="3"/>
  <c r="Q24" i="3"/>
  <c r="Q25" i="3"/>
  <c r="Q26" i="3"/>
  <c r="Q27" i="3"/>
  <c r="Q28" i="3"/>
  <c r="Q29" i="3"/>
  <c r="Q30" i="3"/>
  <c r="Q31" i="3"/>
  <c r="Q32" i="3"/>
  <c r="Q34" i="3"/>
  <c r="Q35" i="3"/>
  <c r="Q36" i="3"/>
  <c r="Q37" i="3"/>
  <c r="Q9" i="3"/>
  <c r="K11" i="3"/>
  <c r="K12" i="3"/>
  <c r="K13" i="3"/>
  <c r="K14" i="3"/>
  <c r="K15" i="3"/>
  <c r="K16" i="3"/>
  <c r="K17" i="3"/>
  <c r="K18" i="3"/>
  <c r="K19" i="3"/>
  <c r="K20" i="3"/>
  <c r="K21" i="3"/>
  <c r="K22" i="3"/>
  <c r="K23" i="3"/>
  <c r="K24" i="3"/>
  <c r="K25" i="3"/>
  <c r="K26" i="3"/>
  <c r="K27" i="3"/>
  <c r="K28" i="3"/>
  <c r="K29" i="3"/>
  <c r="K30" i="3"/>
  <c r="K31" i="3"/>
  <c r="K32" i="3"/>
  <c r="K33" i="3"/>
  <c r="K34" i="3"/>
  <c r="K35" i="3"/>
  <c r="K36" i="3"/>
  <c r="K37" i="3"/>
  <c r="K9" i="3"/>
  <c r="K10" i="3"/>
  <c r="Q11" i="3"/>
  <c r="R18" i="39" l="1"/>
  <c r="R20" i="39"/>
  <c r="R22" i="39"/>
  <c r="R24" i="39"/>
  <c r="R26" i="39"/>
  <c r="R30" i="39"/>
  <c r="R34" i="39"/>
  <c r="R28" i="39"/>
  <c r="R16" i="39"/>
  <c r="R14" i="39"/>
  <c r="R12" i="39"/>
  <c r="R10" i="39"/>
  <c r="R37" i="37"/>
  <c r="R33" i="37"/>
  <c r="R31" i="37"/>
  <c r="R29" i="37"/>
  <c r="R27" i="37"/>
  <c r="R25" i="37"/>
  <c r="R9" i="39"/>
  <c r="R11" i="39"/>
  <c r="R13" i="39"/>
  <c r="R15" i="39"/>
  <c r="R17" i="39"/>
  <c r="R19" i="39"/>
  <c r="R21" i="39"/>
  <c r="R23" i="39"/>
  <c r="R25" i="39"/>
  <c r="R27" i="39"/>
  <c r="R29" i="39"/>
  <c r="R31" i="39"/>
  <c r="R33" i="39"/>
  <c r="R35" i="39"/>
  <c r="R37" i="39"/>
  <c r="R9" i="38"/>
  <c r="R26" i="37"/>
  <c r="R28" i="37"/>
  <c r="R30" i="37"/>
  <c r="R32" i="37"/>
  <c r="R36" i="37"/>
  <c r="R36" i="39"/>
  <c r="R34" i="37"/>
  <c r="R10" i="38"/>
  <c r="R11" i="38"/>
  <c r="R12" i="38"/>
  <c r="R13" i="38"/>
  <c r="R14" i="38"/>
  <c r="R15" i="38"/>
  <c r="R16" i="38"/>
  <c r="R17" i="38"/>
  <c r="R18" i="38"/>
  <c r="R19" i="38"/>
  <c r="R20" i="38"/>
  <c r="R21" i="38"/>
  <c r="R22" i="38"/>
  <c r="R23" i="38"/>
  <c r="R24" i="38"/>
  <c r="R25" i="38"/>
  <c r="R26" i="38"/>
  <c r="R27" i="38"/>
  <c r="R28" i="38"/>
  <c r="R29" i="38"/>
  <c r="R30" i="38"/>
  <c r="R31" i="38"/>
  <c r="R32" i="38"/>
  <c r="R33" i="38"/>
  <c r="R34" i="38"/>
  <c r="R35" i="38"/>
  <c r="R36" i="38"/>
  <c r="R37" i="38"/>
  <c r="R35" i="37"/>
  <c r="R10" i="37"/>
  <c r="R11" i="37"/>
  <c r="R14" i="37"/>
  <c r="R15" i="37"/>
  <c r="R17" i="37"/>
  <c r="R19" i="37"/>
  <c r="R21" i="37"/>
  <c r="R24" i="37"/>
  <c r="R9" i="37"/>
  <c r="R12" i="37"/>
  <c r="R13" i="37"/>
  <c r="R16" i="37"/>
  <c r="R18" i="37"/>
  <c r="R20" i="37"/>
  <c r="R22" i="37"/>
  <c r="R23" i="37"/>
  <c r="R33" i="3"/>
  <c r="R25" i="3"/>
  <c r="R37" i="3"/>
  <c r="R35" i="3"/>
  <c r="R31" i="3"/>
  <c r="R29" i="3"/>
  <c r="R27" i="3"/>
  <c r="R23" i="3"/>
  <c r="R19" i="3"/>
  <c r="R17" i="3"/>
  <c r="R15" i="3"/>
  <c r="R13" i="3"/>
  <c r="R11" i="3"/>
  <c r="R21" i="3"/>
  <c r="R34" i="3"/>
  <c r="R30" i="3"/>
  <c r="R26" i="3"/>
  <c r="R22" i="3"/>
  <c r="R18" i="3"/>
  <c r="R14" i="3"/>
  <c r="R10" i="3"/>
  <c r="R36" i="3"/>
  <c r="R32" i="3"/>
  <c r="R28" i="3"/>
  <c r="R24" i="3"/>
  <c r="R20" i="3"/>
  <c r="R16" i="3"/>
  <c r="R12" i="3"/>
  <c r="R9" i="3"/>
</calcChain>
</file>

<file path=xl/sharedStrings.xml><?xml version="1.0" encoding="utf-8"?>
<sst xmlns="http://schemas.openxmlformats.org/spreadsheetml/2006/main" count="24174" uniqueCount="3327">
  <si>
    <t>Feasibility Study and Detailed Design of Kampala - Jinja Highway</t>
  </si>
  <si>
    <t>Roadside OD Interview Survey</t>
  </si>
  <si>
    <t>Date:</t>
  </si>
  <si>
    <t>Interviewer:</t>
  </si>
  <si>
    <t>Survey Station:</t>
  </si>
  <si>
    <t>Direction:</t>
  </si>
  <si>
    <t>Coded By:</t>
  </si>
  <si>
    <t>Chkd By:</t>
  </si>
  <si>
    <t>Time Period</t>
  </si>
  <si>
    <t>Veh_Type</t>
  </si>
  <si>
    <t>Veh_Other</t>
  </si>
  <si>
    <t>Occupancy</t>
  </si>
  <si>
    <t>Origin_Address</t>
  </si>
  <si>
    <t>Village/Town</t>
  </si>
  <si>
    <t>City/Country</t>
  </si>
  <si>
    <t>Origin_Purpose</t>
  </si>
  <si>
    <t>Origin_other</t>
  </si>
  <si>
    <t>Destination_Address</t>
  </si>
  <si>
    <t>Destination_Purpose</t>
  </si>
  <si>
    <t>Destination_Other</t>
  </si>
  <si>
    <t>Origin_Zone</t>
  </si>
  <si>
    <t>Dest_Zone</t>
  </si>
  <si>
    <t>AM</t>
  </si>
  <si>
    <t>Bukoto</t>
  </si>
  <si>
    <t>Kla, Ug</t>
  </si>
  <si>
    <t>Kla</t>
  </si>
  <si>
    <t>Blank</t>
  </si>
  <si>
    <t>WTP</t>
  </si>
  <si>
    <t>Bweyogerere</t>
  </si>
  <si>
    <t>Bweyogerere-Kireka</t>
  </si>
  <si>
    <t>Entebbe</t>
  </si>
  <si>
    <t>Kiwanga</t>
  </si>
  <si>
    <t>Yes</t>
  </si>
  <si>
    <t>Vehicle Type</t>
  </si>
  <si>
    <t>Time</t>
  </si>
  <si>
    <t>No. Occupants</t>
  </si>
  <si>
    <t>Kasese</t>
  </si>
  <si>
    <t>Bwera</t>
  </si>
  <si>
    <t>Bushenyi</t>
  </si>
  <si>
    <t>Masaka</t>
  </si>
  <si>
    <t>Rukungiri</t>
  </si>
  <si>
    <t>Sheema</t>
  </si>
  <si>
    <t>Rwanda</t>
  </si>
  <si>
    <t>Ibanda</t>
  </si>
  <si>
    <t>Congo</t>
  </si>
  <si>
    <t>Kamwenge</t>
  </si>
  <si>
    <t>Mitooma</t>
  </si>
  <si>
    <t>Ntungamo</t>
  </si>
  <si>
    <t>Isingiro</t>
  </si>
  <si>
    <t>Bunyaruguru</t>
  </si>
  <si>
    <t>Kenya</t>
  </si>
  <si>
    <t>Kyamuhunga</t>
  </si>
  <si>
    <t>Kichwamba</t>
  </si>
  <si>
    <t>Tanzania</t>
  </si>
  <si>
    <t>Ishasha</t>
  </si>
  <si>
    <t>Rubaare</t>
  </si>
  <si>
    <t>Veh_Reg_No.</t>
  </si>
  <si>
    <t>District</t>
  </si>
  <si>
    <t>Country</t>
  </si>
  <si>
    <t>Origin_Establish</t>
  </si>
  <si>
    <t>Destination_Establish</t>
  </si>
  <si>
    <t>Trip_Frequency</t>
  </si>
  <si>
    <t>Goods_Type</t>
  </si>
  <si>
    <t>Would You Use Xpressways?</t>
  </si>
  <si>
    <t>GOODS VEHICLES ONLY</t>
  </si>
  <si>
    <t>Road Name:</t>
  </si>
  <si>
    <t>Direction From:</t>
  </si>
  <si>
    <t>Direction To:</t>
  </si>
  <si>
    <t>Interviewers:</t>
  </si>
  <si>
    <t>Supervisor:</t>
  </si>
  <si>
    <t>Village or Town</t>
  </si>
  <si>
    <t>Car</t>
  </si>
  <si>
    <t>Station Wagon</t>
  </si>
  <si>
    <t>Pickups</t>
  </si>
  <si>
    <t>Minibus, matatu</t>
  </si>
  <si>
    <t xml:space="preserve">Medium bus </t>
  </si>
  <si>
    <t>Large Bus</t>
  </si>
  <si>
    <t xml:space="preserve">Light Truck </t>
  </si>
  <si>
    <t xml:space="preserve">Medium Truck </t>
  </si>
  <si>
    <t xml:space="preserve">Heavy truck </t>
  </si>
  <si>
    <t xml:space="preserve">Truck Trailer </t>
  </si>
  <si>
    <t>Tractors</t>
  </si>
  <si>
    <t>Motor cycles</t>
  </si>
  <si>
    <t>Establishment Type</t>
  </si>
  <si>
    <t xml:space="preserve">Residential </t>
  </si>
  <si>
    <t>Office</t>
  </si>
  <si>
    <t>Factory</t>
  </si>
  <si>
    <t>Educational Facility</t>
  </si>
  <si>
    <t>Hospital</t>
  </si>
  <si>
    <t>Bus / Taxi Park</t>
  </si>
  <si>
    <t>Wholesale shopping</t>
  </si>
  <si>
    <t>Boda boda stage</t>
  </si>
  <si>
    <t>Farm</t>
  </si>
  <si>
    <t>Construction Site</t>
  </si>
  <si>
    <t>Retail Shop/Market</t>
  </si>
  <si>
    <t>Warehouse</t>
  </si>
  <si>
    <t>Harbour</t>
  </si>
  <si>
    <t>Timber Centre</t>
  </si>
  <si>
    <t>Quarry</t>
  </si>
  <si>
    <t>Others (to be specified)</t>
  </si>
  <si>
    <t>Origin / Destination Purpose</t>
  </si>
  <si>
    <t>Home</t>
  </si>
  <si>
    <t>Work</t>
  </si>
  <si>
    <t>Study</t>
  </si>
  <si>
    <t>Commercial</t>
  </si>
  <si>
    <t>Tourism</t>
  </si>
  <si>
    <t>Leisure/Social</t>
  </si>
  <si>
    <t>Others</t>
  </si>
  <si>
    <t>Trip Frequency</t>
  </si>
  <si>
    <t>more than 2 times every day</t>
  </si>
  <si>
    <t>Daily (Up and Down)</t>
  </si>
  <si>
    <t>2/3 times a week</t>
  </si>
  <si>
    <t>Once a week</t>
  </si>
  <si>
    <t>Once a month</t>
  </si>
  <si>
    <t>Once in a while</t>
  </si>
  <si>
    <t>Goods Type</t>
  </si>
  <si>
    <t>Food crop (Maize,rice,wheat etc)</t>
  </si>
  <si>
    <t>Cash Crops (coffee,tea etc)</t>
  </si>
  <si>
    <t>Perishable (fish,milk,tea etc)</t>
  </si>
  <si>
    <t>Construction Material (cement,
gravel,stones,gravel,pipes)</t>
  </si>
  <si>
    <t>Metal/machinery</t>
  </si>
  <si>
    <t>Forestry products (timber &amp; charcoal)</t>
  </si>
  <si>
    <t>Fuels (any petroleum products)</t>
  </si>
  <si>
    <t>Chemical Products (fertilizer,paints)</t>
  </si>
  <si>
    <t>Livestock (cows,goats,camel etc)</t>
  </si>
  <si>
    <t>Household retail products 
(beverage,oil,sugar,salt,flour)</t>
  </si>
  <si>
    <t>Empty</t>
  </si>
  <si>
    <t>Others (Pl specify)</t>
  </si>
  <si>
    <t>Origin-Purpose Desc</t>
  </si>
  <si>
    <t>Destination_Purpose Desc</t>
  </si>
  <si>
    <t>Journey_Purpose</t>
  </si>
  <si>
    <t>Approx_Journey Time (Hrs)</t>
  </si>
  <si>
    <t>Approx_Distance (Km)</t>
  </si>
  <si>
    <t>Goods_Quantity (Ton)</t>
  </si>
  <si>
    <t>Goods_Value (UGXm)</t>
  </si>
  <si>
    <t>Pay How Much? (UGX)</t>
  </si>
  <si>
    <t>Vehicle Types</t>
  </si>
  <si>
    <t>Journey Purpose</t>
  </si>
  <si>
    <t>Home-Work</t>
  </si>
  <si>
    <t>Home-Study</t>
  </si>
  <si>
    <t>Work-Home</t>
  </si>
  <si>
    <t>Work-Work</t>
  </si>
  <si>
    <t>Total</t>
  </si>
  <si>
    <t>Expressway Use</t>
  </si>
  <si>
    <t>No</t>
  </si>
  <si>
    <t>14.10.19</t>
  </si>
  <si>
    <t>KASANGATI</t>
  </si>
  <si>
    <t>MATUGGA</t>
  </si>
  <si>
    <t>MATUGGA-WAKISO ROAD</t>
  </si>
  <si>
    <t>NAKAYO JOAN</t>
  </si>
  <si>
    <t>ANDREW</t>
  </si>
  <si>
    <t>DAVID</t>
  </si>
  <si>
    <t>UAL 541W</t>
  </si>
  <si>
    <t>KITIKUTWE</t>
  </si>
  <si>
    <t>WAKISO</t>
  </si>
  <si>
    <t>UGA</t>
  </si>
  <si>
    <t>Y</t>
  </si>
  <si>
    <t xml:space="preserve">  18:00</t>
  </si>
  <si>
    <t>UAQ 983V</t>
  </si>
  <si>
    <t>KAMPALA</t>
  </si>
  <si>
    <t>MAWULE</t>
  </si>
  <si>
    <t>UBB 299P</t>
  </si>
  <si>
    <t>BUKERERE</t>
  </si>
  <si>
    <t>MUKONO</t>
  </si>
  <si>
    <t>UBE 226X</t>
  </si>
  <si>
    <t>KOLOLO</t>
  </si>
  <si>
    <t>KILEMOZI</t>
  </si>
  <si>
    <t>UAJ 837U</t>
  </si>
  <si>
    <t>NANGABO</t>
  </si>
  <si>
    <t>UAZ 889Q</t>
  </si>
  <si>
    <t>MBUYA</t>
  </si>
  <si>
    <t>UBA 695R</t>
  </si>
  <si>
    <t>UBC 817A</t>
  </si>
  <si>
    <t>KITEGOBWA</t>
  </si>
  <si>
    <t>UAQ 659M</t>
  </si>
  <si>
    <t>BUWAMBO</t>
  </si>
  <si>
    <t>UAN 330G</t>
  </si>
  <si>
    <t>NAKAWA</t>
  </si>
  <si>
    <t>UAN 671C</t>
  </si>
  <si>
    <t>UAZ 376A</t>
  </si>
  <si>
    <t>WAMPEWO</t>
  </si>
  <si>
    <t>UAL 811L</t>
  </si>
  <si>
    <t>UAK 186N</t>
  </si>
  <si>
    <t>UAX 474M</t>
  </si>
  <si>
    <t>GAYAZA</t>
  </si>
  <si>
    <t>UBF 618X</t>
  </si>
  <si>
    <t>UBB 450P</t>
  </si>
  <si>
    <t>NAMANVE</t>
  </si>
  <si>
    <t>UAQ 617X</t>
  </si>
  <si>
    <t>BWEYOGERERE</t>
  </si>
  <si>
    <t>UBB 132T</t>
  </si>
  <si>
    <t>UBA 632P</t>
  </si>
  <si>
    <t>BOMBO</t>
  </si>
  <si>
    <t>UBB 623L</t>
  </si>
  <si>
    <t>KYANJA</t>
  </si>
  <si>
    <t>KAKERENGE</t>
  </si>
  <si>
    <t>UBF 120P</t>
  </si>
  <si>
    <t>BUGOLOBI</t>
  </si>
  <si>
    <t>UAZ 240A</t>
  </si>
  <si>
    <t>NTINDA</t>
  </si>
  <si>
    <t>UBB 525N</t>
  </si>
  <si>
    <t>SEMUTO</t>
  </si>
  <si>
    <t>LUWERO</t>
  </si>
  <si>
    <t>UAR 484Q</t>
  </si>
  <si>
    <t>UP 484I</t>
  </si>
  <si>
    <t>ZIROBWA ROAD</t>
  </si>
  <si>
    <t>UAT 737P</t>
  </si>
  <si>
    <t>NANSANA</t>
  </si>
  <si>
    <t>UAL 448Y</t>
  </si>
  <si>
    <t>KYALIWAJJALA</t>
  </si>
  <si>
    <t>UAR 663C</t>
  </si>
  <si>
    <t>NAKASAJO</t>
  </si>
  <si>
    <t>UBB 886B</t>
  </si>
  <si>
    <t>UAN 386N</t>
  </si>
  <si>
    <t>UBB 575T</t>
  </si>
  <si>
    <t>GULU</t>
  </si>
  <si>
    <t>UAQ 137Z</t>
  </si>
  <si>
    <t>MAKERERE</t>
  </si>
  <si>
    <t>UAF 364C</t>
  </si>
  <si>
    <t>UBB 353M</t>
  </si>
  <si>
    <t>UBB 050R</t>
  </si>
  <si>
    <t>ENTEBBE</t>
  </si>
  <si>
    <t>NALUSOGA</t>
  </si>
  <si>
    <t>UAX 315T</t>
  </si>
  <si>
    <t>UAU 418F</t>
  </si>
  <si>
    <t>UAE 827H</t>
  </si>
  <si>
    <t>NAKWERO</t>
  </si>
  <si>
    <t>MASINDI</t>
  </si>
  <si>
    <t>UAK 718G</t>
  </si>
  <si>
    <t>UAN 261D</t>
  </si>
  <si>
    <t>UAX 769C</t>
  </si>
  <si>
    <t>UBB 871M</t>
  </si>
  <si>
    <t>UAQ 499N</t>
  </si>
  <si>
    <t>KAWEMPE</t>
  </si>
  <si>
    <t>UBB 720H</t>
  </si>
  <si>
    <t>UBB 736A</t>
  </si>
  <si>
    <t>UAN 016E</t>
  </si>
  <si>
    <t>UBD 772L</t>
  </si>
  <si>
    <t>UAW 784V</t>
  </si>
  <si>
    <t>BULAMU</t>
  </si>
  <si>
    <t>UAT 098G</t>
  </si>
  <si>
    <t>LUTEETE</t>
  </si>
  <si>
    <t>UAM 577W</t>
  </si>
  <si>
    <t>UAS 493C</t>
  </si>
  <si>
    <t>UAL 918L</t>
  </si>
  <si>
    <t>KITI</t>
  </si>
  <si>
    <t>UBA 672S</t>
  </si>
  <si>
    <t>NAJARA</t>
  </si>
  <si>
    <t>ARUA</t>
  </si>
  <si>
    <t>UAW 468D</t>
  </si>
  <si>
    <t>UBE 190H</t>
  </si>
  <si>
    <t>MBALE</t>
  </si>
  <si>
    <t>UAP 342Y</t>
  </si>
  <si>
    <t>UAQ 173H</t>
  </si>
  <si>
    <t>NAKASEKE</t>
  </si>
  <si>
    <t>UBA 537K</t>
  </si>
  <si>
    <t>UAN 155J</t>
  </si>
  <si>
    <t>UAX 950A</t>
  </si>
  <si>
    <t>UAS 754Q</t>
  </si>
  <si>
    <t>KALERWE</t>
  </si>
  <si>
    <t>UAY 761T</t>
  </si>
  <si>
    <t>UAF 337X</t>
  </si>
  <si>
    <t>JINJA</t>
  </si>
  <si>
    <t>UBE 155R</t>
  </si>
  <si>
    <t>UAX 716Z</t>
  </si>
  <si>
    <t>KARUMA</t>
  </si>
  <si>
    <t>KIRYANDONGO</t>
  </si>
  <si>
    <t>UBD 041G</t>
  </si>
  <si>
    <t>KIIRA</t>
  </si>
  <si>
    <t>MITYANA</t>
  </si>
  <si>
    <t>UAY 562S</t>
  </si>
  <si>
    <t>UBD 992E</t>
  </si>
  <si>
    <t>UBF 028Y</t>
  </si>
  <si>
    <t>UAW 292C</t>
  </si>
  <si>
    <t>UBF 902L</t>
  </si>
  <si>
    <t>UBE 406D</t>
  </si>
  <si>
    <t>UAQ 247E</t>
  </si>
  <si>
    <t>UAK 492U</t>
  </si>
  <si>
    <t>KIREKA</t>
  </si>
  <si>
    <t>UBB 230F</t>
  </si>
  <si>
    <t>UBA 034G</t>
  </si>
  <si>
    <t>KASOOLI</t>
  </si>
  <si>
    <t>UAM 472C</t>
  </si>
  <si>
    <t>UBF 269F</t>
  </si>
  <si>
    <t>UAJ 985W</t>
  </si>
  <si>
    <t>NALINGA</t>
  </si>
  <si>
    <t>UBD 866Y</t>
  </si>
  <si>
    <t>BUYINJA</t>
  </si>
  <si>
    <t>UAK 812A</t>
  </si>
  <si>
    <t>UAA 782R</t>
  </si>
  <si>
    <t>UAU 663H</t>
  </si>
  <si>
    <t>UBE 023D</t>
  </si>
  <si>
    <t>BUWATTE</t>
  </si>
  <si>
    <t>UAT 438V</t>
  </si>
  <si>
    <t>UAY 620B</t>
  </si>
  <si>
    <t>NAMUGONGO</t>
  </si>
  <si>
    <t>UAU 364X</t>
  </si>
  <si>
    <t>UAJ 289C</t>
  </si>
  <si>
    <t>UAN 027J</t>
  </si>
  <si>
    <t>UBD 848A</t>
  </si>
  <si>
    <t>KAPEEKA</t>
  </si>
  <si>
    <t>UAN 457S</t>
  </si>
  <si>
    <t>UBE 350K</t>
  </si>
  <si>
    <t>WOBULENZI</t>
  </si>
  <si>
    <t>UAT 227H</t>
  </si>
  <si>
    <t>NGOMA</t>
  </si>
  <si>
    <t>UAN 117M</t>
  </si>
  <si>
    <t>UAS 328E</t>
  </si>
  <si>
    <t>UAQ 447D</t>
  </si>
  <si>
    <t>KAKIRI</t>
  </si>
  <si>
    <t>UAR 226H</t>
  </si>
  <si>
    <t>KAZINGA</t>
  </si>
  <si>
    <t>UAZ 686D</t>
  </si>
  <si>
    <t>UBD 208C</t>
  </si>
  <si>
    <t>UAS 113K</t>
  </si>
  <si>
    <t>UAX 449P</t>
  </si>
  <si>
    <t>KYAMPALE</t>
  </si>
  <si>
    <t>UAP 641V</t>
  </si>
  <si>
    <t>UBF 502G</t>
  </si>
  <si>
    <t>NAJEERA</t>
  </si>
  <si>
    <t>MIJEERA</t>
  </si>
  <si>
    <t>NAKASONGOLA</t>
  </si>
  <si>
    <t>UAY 564A</t>
  </si>
  <si>
    <t>UAJ 442H</t>
  </si>
  <si>
    <t>UAF 403V</t>
  </si>
  <si>
    <t>UAP 560J</t>
  </si>
  <si>
    <t>UAK 228E</t>
  </si>
  <si>
    <t>MAKULE</t>
  </si>
  <si>
    <t>UAS 433L</t>
  </si>
  <si>
    <t>UAX 731D</t>
  </si>
  <si>
    <t>UAZ 368G</t>
  </si>
  <si>
    <t>UAL 688E</t>
  </si>
  <si>
    <t>UAY 795E</t>
  </si>
  <si>
    <t>UAW 982G</t>
  </si>
  <si>
    <t>UAX 296D</t>
  </si>
  <si>
    <t>UAT 374Q</t>
  </si>
  <si>
    <t>KANYANYA</t>
  </si>
  <si>
    <t>GITTA</t>
  </si>
  <si>
    <t>UAW 810W</t>
  </si>
  <si>
    <t>MASOOTI</t>
  </si>
  <si>
    <t>UBF 945L</t>
  </si>
  <si>
    <t>KITEGOMA</t>
  </si>
  <si>
    <t>UAP 513P</t>
  </si>
  <si>
    <t>UAP 892P</t>
  </si>
  <si>
    <t>BAMBA</t>
  </si>
  <si>
    <t>UAW 789U</t>
  </si>
  <si>
    <t>UAZ 211D</t>
  </si>
  <si>
    <t>UBA 790M</t>
  </si>
  <si>
    <t>WALULEETA</t>
  </si>
  <si>
    <t>UAV 262D</t>
  </si>
  <si>
    <t>KITEGOMWA</t>
  </si>
  <si>
    <t>UBA 555X</t>
  </si>
  <si>
    <t>UBE 525N</t>
  </si>
  <si>
    <t>UBA 782L</t>
  </si>
  <si>
    <t>UBB 801Y</t>
  </si>
  <si>
    <t>UBF 067V</t>
  </si>
  <si>
    <t>UBA 794F</t>
  </si>
  <si>
    <t>UBE 822Z</t>
  </si>
  <si>
    <t>UAU 397P</t>
  </si>
  <si>
    <t>UBD 724F</t>
  </si>
  <si>
    <t>NDEJJE</t>
  </si>
  <si>
    <t>UBD 327X</t>
  </si>
  <si>
    <t>UAW 617J</t>
  </si>
  <si>
    <t>WANDEGEYA</t>
  </si>
  <si>
    <t>KITEGAMBA</t>
  </si>
  <si>
    <t>UBB 203F</t>
  </si>
  <si>
    <t>KAMWOKYA</t>
  </si>
  <si>
    <t>UAN 176V</t>
  </si>
  <si>
    <t>MAGIJE</t>
  </si>
  <si>
    <t>UBE 937X</t>
  </si>
  <si>
    <t>UBB 544N</t>
  </si>
  <si>
    <t>KISAASI</t>
  </si>
  <si>
    <t>MASACHI</t>
  </si>
  <si>
    <t>UBE 198U</t>
  </si>
  <si>
    <t>UBA 540S</t>
  </si>
  <si>
    <t>KIWENDA</t>
  </si>
  <si>
    <t>KITEGOMBA</t>
  </si>
  <si>
    <t>UAH 176T</t>
  </si>
  <si>
    <t>MANYANGWA</t>
  </si>
  <si>
    <t>KASANA</t>
  </si>
  <si>
    <t>LUWEERA</t>
  </si>
  <si>
    <t>UBB 578W</t>
  </si>
  <si>
    <t>MPERERWE</t>
  </si>
  <si>
    <t>UAF 774Z</t>
  </si>
  <si>
    <t>UAP 931U</t>
  </si>
  <si>
    <t>MASAOOLI</t>
  </si>
  <si>
    <t>UAZ 864Y</t>
  </si>
  <si>
    <t>UAV 667Y</t>
  </si>
  <si>
    <t>KALULU</t>
  </si>
  <si>
    <t>UAE 399S</t>
  </si>
  <si>
    <t>UAY 261Q</t>
  </si>
  <si>
    <t>KITAGOBWA</t>
  </si>
  <si>
    <t>KITETIKA</t>
  </si>
  <si>
    <t>UAS 784H</t>
  </si>
  <si>
    <t>MASOOLI</t>
  </si>
  <si>
    <t>UBA 898Z</t>
  </si>
  <si>
    <t>UAJ 010W</t>
  </si>
  <si>
    <t>UAF 525D</t>
  </si>
  <si>
    <t>UBB 224F</t>
  </si>
  <si>
    <t>KINAAWA</t>
  </si>
  <si>
    <t>UAV 442M</t>
  </si>
  <si>
    <t>UAG 421Q</t>
  </si>
  <si>
    <t>UAT 402Q</t>
  </si>
  <si>
    <t>UAK 103A</t>
  </si>
  <si>
    <t>KITEGOMBWA</t>
  </si>
  <si>
    <t>UAF 241S</t>
  </si>
  <si>
    <t>UAY 391W</t>
  </si>
  <si>
    <t>UBD 756A</t>
  </si>
  <si>
    <t>UAS 330Y</t>
  </si>
  <si>
    <t>UBD 644W</t>
  </si>
  <si>
    <t>UAG 507E</t>
  </si>
  <si>
    <t>UBA 316R</t>
  </si>
  <si>
    <t>UAP 324Y</t>
  </si>
  <si>
    <t>BWAISE</t>
  </si>
  <si>
    <t>UAQ 771G</t>
  </si>
  <si>
    <t>UAW 992Y</t>
  </si>
  <si>
    <t>UBD 811R</t>
  </si>
  <si>
    <t>GGABA</t>
  </si>
  <si>
    <t>UBD 916G</t>
  </si>
  <si>
    <t>MAYIRIKITI</t>
  </si>
  <si>
    <t>MULAGO</t>
  </si>
  <si>
    <t>UAS 966Y</t>
  </si>
  <si>
    <t>UAE 615F</t>
  </si>
  <si>
    <t>UAP 094N</t>
  </si>
  <si>
    <t>UBA 410K</t>
  </si>
  <si>
    <t>UAQ 442J</t>
  </si>
  <si>
    <t>UAR 390D</t>
  </si>
  <si>
    <t>UAF 246D</t>
  </si>
  <si>
    <t>UAU 196H</t>
  </si>
  <si>
    <t>UAD 945M</t>
  </si>
  <si>
    <t>KALACOL</t>
  </si>
  <si>
    <t>UBB 492Z</t>
  </si>
  <si>
    <t>UAZ 807C</t>
  </si>
  <si>
    <t>UBD 715R</t>
  </si>
  <si>
    <t>2000]</t>
  </si>
  <si>
    <t>UAY 012M</t>
  </si>
  <si>
    <t>BULOBA</t>
  </si>
  <si>
    <t>UAS 218W</t>
  </si>
  <si>
    <t>UBB 085Q</t>
  </si>
  <si>
    <t>UBF 806Q</t>
  </si>
  <si>
    <t>MAGUGYE</t>
  </si>
  <si>
    <t>UBD 946P</t>
  </si>
  <si>
    <t>MAVVULE</t>
  </si>
  <si>
    <t>UAS 798N</t>
  </si>
  <si>
    <t>UAY 446Q</t>
  </si>
  <si>
    <t>UBA 671N</t>
  </si>
  <si>
    <t>NALUSUGA</t>
  </si>
  <si>
    <t>UAV 323Y</t>
  </si>
  <si>
    <t>UAK 009K</t>
  </si>
  <si>
    <t>UAX 408Q</t>
  </si>
  <si>
    <t>UAT 386D</t>
  </si>
  <si>
    <t>UBE 206J</t>
  </si>
  <si>
    <t>KISENYI</t>
  </si>
  <si>
    <t>UBF 281K</t>
  </si>
  <si>
    <t>LUGAZI</t>
  </si>
  <si>
    <t>BUIKWE</t>
  </si>
  <si>
    <t>UAW 140X</t>
  </si>
  <si>
    <t>UBF 325M</t>
  </si>
  <si>
    <t>UAQ 44A</t>
  </si>
  <si>
    <t>UBD 985R</t>
  </si>
  <si>
    <t>UAW 147L</t>
  </si>
  <si>
    <t>UAZ 244P</t>
  </si>
  <si>
    <t>UAZ 001A</t>
  </si>
  <si>
    <t>NAKANAKU</t>
  </si>
  <si>
    <t>UAY 437N</t>
  </si>
  <si>
    <t>UAW 869Q</t>
  </si>
  <si>
    <t>UBD 921T</t>
  </si>
  <si>
    <t>UAN 375B</t>
  </si>
  <si>
    <t>BUKOTO</t>
  </si>
  <si>
    <t>UAV 584W</t>
  </si>
  <si>
    <t>UAX 675G</t>
  </si>
  <si>
    <t>KASENGEJJE</t>
  </si>
  <si>
    <t>UAW 392Y</t>
  </si>
  <si>
    <t>BUWAATE</t>
  </si>
  <si>
    <t>UAV 108L</t>
  </si>
  <si>
    <t>UAZ 779P</t>
  </si>
  <si>
    <t>UAN 176Z</t>
  </si>
  <si>
    <t>JOKOLERA</t>
  </si>
  <si>
    <t>UAY 369K</t>
  </si>
  <si>
    <t>KITALYA</t>
  </si>
  <si>
    <t>UAU 149U</t>
  </si>
  <si>
    <t>UAV 073D</t>
  </si>
  <si>
    <t>UBE 822E</t>
  </si>
  <si>
    <t>UBD 933L</t>
  </si>
  <si>
    <t>UAZ 765L</t>
  </si>
  <si>
    <t>UAY 797U</t>
  </si>
  <si>
    <t>UBB 590B</t>
  </si>
  <si>
    <t>KIRA</t>
  </si>
  <si>
    <t>UAA 270B</t>
  </si>
  <si>
    <t>UBF 485K</t>
  </si>
  <si>
    <t>NANGBO</t>
  </si>
  <si>
    <t>UBB 954Y</t>
  </si>
  <si>
    <t>UBD 781L</t>
  </si>
  <si>
    <t>UAZ 802L</t>
  </si>
  <si>
    <t>UAY 882B</t>
  </si>
  <si>
    <t>UAW 704S</t>
  </si>
  <si>
    <t>UBD 532E</t>
  </si>
  <si>
    <t>UBE 933U</t>
  </si>
  <si>
    <t>UBF 928Q</t>
  </si>
  <si>
    <t>UBD 866F</t>
  </si>
  <si>
    <t>UAY 216V</t>
  </si>
  <si>
    <t>UAZ 508M</t>
  </si>
  <si>
    <t>MAWULA</t>
  </si>
  <si>
    <t>UBB 468T</t>
  </si>
  <si>
    <t>GITA</t>
  </si>
  <si>
    <t>UAL 779V</t>
  </si>
  <si>
    <t>UAH 425Y</t>
  </si>
  <si>
    <t>UBG 678K</t>
  </si>
  <si>
    <t>UAT 875J</t>
  </si>
  <si>
    <t>MUSOLI</t>
  </si>
  <si>
    <t>UAF 754W</t>
  </si>
  <si>
    <t>KALAYI</t>
  </si>
  <si>
    <t>UBB 877E</t>
  </si>
  <si>
    <t>UAN 434E</t>
  </si>
  <si>
    <t>UBA 727F</t>
  </si>
  <si>
    <t>UAW 458B</t>
  </si>
  <si>
    <t>UAR 788B</t>
  </si>
  <si>
    <t>GIITA</t>
  </si>
  <si>
    <t>UBE 191L</t>
  </si>
  <si>
    <t>UAU 225W</t>
  </si>
  <si>
    <t>UAU 393K</t>
  </si>
  <si>
    <t>UAK 833L</t>
  </si>
  <si>
    <t>UBA 148Y</t>
  </si>
  <si>
    <t>UBB 729Z</t>
  </si>
  <si>
    <t>UAB 199K</t>
  </si>
  <si>
    <t>UAY 617J</t>
  </si>
  <si>
    <t>MBOGO</t>
  </si>
  <si>
    <t>UAH 151Q</t>
  </si>
  <si>
    <t>UAQ 182J</t>
  </si>
  <si>
    <t>UAU 300A</t>
  </si>
  <si>
    <t>UBE 781L</t>
  </si>
  <si>
    <t>UAU 773M</t>
  </si>
  <si>
    <t>UAW 945H</t>
  </si>
  <si>
    <t>UBF 648H</t>
  </si>
  <si>
    <t>UAS 423K</t>
  </si>
  <si>
    <t>UAS 711K</t>
  </si>
  <si>
    <t>UBA 646E</t>
  </si>
  <si>
    <t>UAN 856T</t>
  </si>
  <si>
    <t>UAU 314N</t>
  </si>
  <si>
    <t>UAP 506L</t>
  </si>
  <si>
    <t>UBE 369K</t>
  </si>
  <si>
    <t>UAU 826H</t>
  </si>
  <si>
    <t>UBE 880M</t>
  </si>
  <si>
    <t>UBF 599V</t>
  </si>
  <si>
    <t>UAY 371W</t>
  </si>
  <si>
    <t>UAU 727H</t>
  </si>
  <si>
    <t>UAU 647Q</t>
  </si>
  <si>
    <t>UAL 196K</t>
  </si>
  <si>
    <t>UG 0422Y</t>
  </si>
  <si>
    <t>UAN 156Z</t>
  </si>
  <si>
    <t>UAX 411X</t>
  </si>
  <si>
    <t>UAT 011S</t>
  </si>
  <si>
    <t>KALUNGI</t>
  </si>
  <si>
    <t>UBF 466R</t>
  </si>
  <si>
    <t>NAJASAJJA</t>
  </si>
  <si>
    <t>UAZ 290B</t>
  </si>
  <si>
    <t>UAY 271R</t>
  </si>
  <si>
    <t>UAQ 266Y</t>
  </si>
  <si>
    <t>UBE 698J</t>
  </si>
  <si>
    <t>UAN 633G</t>
  </si>
  <si>
    <t>KITEZEE</t>
  </si>
  <si>
    <t>UBF 903H</t>
  </si>
  <si>
    <t>UAP 596X</t>
  </si>
  <si>
    <t>12.10.19</t>
  </si>
  <si>
    <t>KASANGATTI</t>
  </si>
  <si>
    <t>SHAMIRAH, JULIUS</t>
  </si>
  <si>
    <t>TUMWINE LINUS, SSEMUKO JUNIOR</t>
  </si>
  <si>
    <t>STEVEN</t>
  </si>
  <si>
    <t>UAP 387B</t>
  </si>
  <si>
    <t>MAGORA</t>
  </si>
  <si>
    <t>UAN 185N</t>
  </si>
  <si>
    <t>MABUSU</t>
  </si>
  <si>
    <t>UAK 338U</t>
  </si>
  <si>
    <t>UBE 33Q</t>
  </si>
  <si>
    <t>UAL 290P</t>
  </si>
  <si>
    <t>MUGABO</t>
  </si>
  <si>
    <t>UBB 241W</t>
  </si>
  <si>
    <t>UBE 794R</t>
  </si>
  <si>
    <t>UBA 121B</t>
  </si>
  <si>
    <t>WAGABO</t>
  </si>
  <si>
    <t>UAY 217M</t>
  </si>
  <si>
    <t>UAZ 061X</t>
  </si>
  <si>
    <t>MAWULAR</t>
  </si>
  <si>
    <t>STAGAZA</t>
  </si>
  <si>
    <t>UBA 239X</t>
  </si>
  <si>
    <t>UBE 072G</t>
  </si>
  <si>
    <t>MAKULO</t>
  </si>
  <si>
    <t>UAM 669D</t>
  </si>
  <si>
    <t>UAR 383B</t>
  </si>
  <si>
    <t>MASAACHI</t>
  </si>
  <si>
    <t>UAP 465T</t>
  </si>
  <si>
    <t>NAMALOLO</t>
  </si>
  <si>
    <t>NATEETE</t>
  </si>
  <si>
    <t>UBE 012B</t>
  </si>
  <si>
    <t>UAG 516K</t>
  </si>
  <si>
    <t>UAW 117W</t>
  </si>
  <si>
    <t>UAH 787V</t>
  </si>
  <si>
    <t>UAZ 508R</t>
  </si>
  <si>
    <t>UAL 858S</t>
  </si>
  <si>
    <t>UAM 016T</t>
  </si>
  <si>
    <t>UBB 033X</t>
  </si>
  <si>
    <t>NAALYA</t>
  </si>
  <si>
    <t>UAT 557Z</t>
  </si>
  <si>
    <t>UAZ 646P</t>
  </si>
  <si>
    <t>ZANA</t>
  </si>
  <si>
    <t>NAKASERO</t>
  </si>
  <si>
    <t>UAP 666J</t>
  </si>
  <si>
    <t>UBB 762V</t>
  </si>
  <si>
    <t>UBB 501B</t>
  </si>
  <si>
    <t>UAK 084B</t>
  </si>
  <si>
    <t>MPERRWE</t>
  </si>
  <si>
    <t>UAG 564B</t>
  </si>
  <si>
    <t>UAQ 112T</t>
  </si>
  <si>
    <t>LUTOOTO</t>
  </si>
  <si>
    <t>UAV 218T</t>
  </si>
  <si>
    <t>SEETA</t>
  </si>
  <si>
    <t>UBF 607T</t>
  </si>
  <si>
    <t>UAR 285A</t>
  </si>
  <si>
    <t>MAVUULE</t>
  </si>
  <si>
    <t>UAM 057J</t>
  </si>
  <si>
    <t>UED 711D</t>
  </si>
  <si>
    <t>UAL 002F</t>
  </si>
  <si>
    <t>SSEMUTO</t>
  </si>
  <si>
    <t>MASALI</t>
  </si>
  <si>
    <t>UAR 726J</t>
  </si>
  <si>
    <t>UAW 068P</t>
  </si>
  <si>
    <t>BUSEGA</t>
  </si>
  <si>
    <t>UAR 877H</t>
  </si>
  <si>
    <t>MPIGI</t>
  </si>
  <si>
    <t>UBB 648R</t>
  </si>
  <si>
    <t>KISASO</t>
  </si>
  <si>
    <t>UBE 625H</t>
  </si>
  <si>
    <t>UAZ 476E</t>
  </si>
  <si>
    <t>NDOOGA</t>
  </si>
  <si>
    <t>UBB 963V</t>
  </si>
  <si>
    <t>KAWANDA</t>
  </si>
  <si>
    <t>UAY 892J</t>
  </si>
  <si>
    <t>UBA 034D</t>
  </si>
  <si>
    <t>UAB 809Z</t>
  </si>
  <si>
    <t>LUWEROO</t>
  </si>
  <si>
    <t>UAQ 128S</t>
  </si>
  <si>
    <t>UBB 683B</t>
  </si>
  <si>
    <t>UAH 249U</t>
  </si>
  <si>
    <t>UBF 599F</t>
  </si>
  <si>
    <t>UAN 162M</t>
  </si>
  <si>
    <t>UAW 822A</t>
  </si>
  <si>
    <t>KIITA</t>
  </si>
  <si>
    <t>UBE 345F</t>
  </si>
  <si>
    <t>UAL 541F</t>
  </si>
  <si>
    <t>UAN 672B</t>
  </si>
  <si>
    <t>UAQ 736D</t>
  </si>
  <si>
    <t>MUKIITA</t>
  </si>
  <si>
    <t>UAW 841B</t>
  </si>
  <si>
    <t>UAN 935S</t>
  </si>
  <si>
    <t>UBE 809J</t>
  </si>
  <si>
    <t>UBD 272Y</t>
  </si>
  <si>
    <t>UBB 626E</t>
  </si>
  <si>
    <t>UAP 500J</t>
  </si>
  <si>
    <t>UBA 280B</t>
  </si>
  <si>
    <t>MASOLI</t>
  </si>
  <si>
    <t>UAY 348M</t>
  </si>
  <si>
    <t>UAN 166B</t>
  </si>
  <si>
    <t>UAU 715G</t>
  </si>
  <si>
    <t>UBB 936Y</t>
  </si>
  <si>
    <t>KINAWA</t>
  </si>
  <si>
    <t>UAV 197T</t>
  </si>
  <si>
    <t>UAS 538M</t>
  </si>
  <si>
    <t>KAVULE</t>
  </si>
  <si>
    <t>BALUMA</t>
  </si>
  <si>
    <t>UBA 109V</t>
  </si>
  <si>
    <t>KASANSANGA</t>
  </si>
  <si>
    <t>UAM 695L</t>
  </si>
  <si>
    <t>UAU 967F</t>
  </si>
  <si>
    <t>UAH 249F</t>
  </si>
  <si>
    <t>UBE 068F</t>
  </si>
  <si>
    <t>UAZ 845X</t>
  </si>
  <si>
    <t>UAV 492M</t>
  </si>
  <si>
    <t>UAM 704W</t>
  </si>
  <si>
    <t>UBA 873J</t>
  </si>
  <si>
    <t>UAV 890G</t>
  </si>
  <si>
    <t>UBF 096D</t>
  </si>
  <si>
    <t>KISASI</t>
  </si>
  <si>
    <t>UAS 295U</t>
  </si>
  <si>
    <t>UBC 559A</t>
  </si>
  <si>
    <t>NAWULE</t>
  </si>
  <si>
    <t>UBA 132R</t>
  </si>
  <si>
    <t>KANGAYI</t>
  </si>
  <si>
    <t>UAY 377L</t>
  </si>
  <si>
    <t>UAY 082J</t>
  </si>
  <si>
    <t>KAWANGA</t>
  </si>
  <si>
    <t>NAMULONGE</t>
  </si>
  <si>
    <t>UAQ 530L</t>
  </si>
  <si>
    <t>UAN 428E</t>
  </si>
  <si>
    <t>UAG 305H</t>
  </si>
  <si>
    <t>KULAMBIRO</t>
  </si>
  <si>
    <t>UAQ 069Q</t>
  </si>
  <si>
    <t>KAMKIMA</t>
  </si>
  <si>
    <t>UAW 659C</t>
  </si>
  <si>
    <t>UAQ 811Z</t>
  </si>
  <si>
    <t>UAF 616E</t>
  </si>
  <si>
    <t>ZILOBWE</t>
  </si>
  <si>
    <t>UBA 887T</t>
  </si>
  <si>
    <t>UAS 543B</t>
  </si>
  <si>
    <t>UAJ 305U</t>
  </si>
  <si>
    <t>ZOLOBWE</t>
  </si>
  <si>
    <t>UAW 644A</t>
  </si>
  <si>
    <t>UAG 241Q</t>
  </si>
  <si>
    <t>UAY 078T</t>
  </si>
  <si>
    <t>UAZ 872Y</t>
  </si>
  <si>
    <t>UAY 793P</t>
  </si>
  <si>
    <t>UAV 436E</t>
  </si>
  <si>
    <t>BUGERERE</t>
  </si>
  <si>
    <t>KAYUNGA</t>
  </si>
  <si>
    <t>UAM 543K</t>
  </si>
  <si>
    <t>UAS 950Y</t>
  </si>
  <si>
    <t>MUTUNGO</t>
  </si>
  <si>
    <t>UAM 277S</t>
  </si>
  <si>
    <t>KINTI</t>
  </si>
  <si>
    <t>UAR 778L</t>
  </si>
  <si>
    <t>UBE 302K</t>
  </si>
  <si>
    <t>UBD 238A</t>
  </si>
  <si>
    <t>MAIZIKIT</t>
  </si>
  <si>
    <t>UAJ 072Y</t>
  </si>
  <si>
    <t>GWAFU</t>
  </si>
  <si>
    <t>UAJ 787Y</t>
  </si>
  <si>
    <t>UAH 749H</t>
  </si>
  <si>
    <t>MAGANJO</t>
  </si>
  <si>
    <t>UAL 718T</t>
  </si>
  <si>
    <t>UBA 458Q</t>
  </si>
  <si>
    <t>KOMAMBOGA</t>
  </si>
  <si>
    <t>UAG 330P</t>
  </si>
  <si>
    <t>KYAKIMA</t>
  </si>
  <si>
    <t>UBF 875B</t>
  </si>
  <si>
    <t>KAYIMBA</t>
  </si>
  <si>
    <t>NAMGABOBWA</t>
  </si>
  <si>
    <t>UAY 037S</t>
  </si>
  <si>
    <t>UAV 468T</t>
  </si>
  <si>
    <t>NJINTA</t>
  </si>
  <si>
    <t>UAM 431G</t>
  </si>
  <si>
    <t>UBB 995G</t>
  </si>
  <si>
    <t>KANSANGA</t>
  </si>
  <si>
    <t>N</t>
  </si>
  <si>
    <t>UAV 761T</t>
  </si>
  <si>
    <t>UAP 484R</t>
  </si>
  <si>
    <t>UBA 237N</t>
  </si>
  <si>
    <t>UAU 383G</t>
  </si>
  <si>
    <t>UAV 056Q</t>
  </si>
  <si>
    <t>UAL 361D</t>
  </si>
  <si>
    <t>UAZ 841S</t>
  </si>
  <si>
    <t>UAQ 128A</t>
  </si>
  <si>
    <t>LUZIRA</t>
  </si>
  <si>
    <t>UBA 585R</t>
  </si>
  <si>
    <t>NAJERA</t>
  </si>
  <si>
    <t>UAX 918A</t>
  </si>
  <si>
    <t>KATIKAMU</t>
  </si>
  <si>
    <t>UBB 444N</t>
  </si>
  <si>
    <t>UAP 565W</t>
  </si>
  <si>
    <t>NAKALOLO</t>
  </si>
  <si>
    <t>UAR 764B</t>
  </si>
  <si>
    <t>NSETA</t>
  </si>
  <si>
    <t>NKOWE</t>
  </si>
  <si>
    <t>UAW 801S</t>
  </si>
  <si>
    <t>UAT 892J</t>
  </si>
  <si>
    <t>MUNYONYO</t>
  </si>
  <si>
    <t>UAU 156S</t>
  </si>
  <si>
    <t>NABUTITI</t>
  </si>
  <si>
    <t>UAV 416B</t>
  </si>
  <si>
    <t>KISANGI</t>
  </si>
  <si>
    <t>UAZ 657D</t>
  </si>
  <si>
    <t>MAENDE</t>
  </si>
  <si>
    <t>UA 993C</t>
  </si>
  <si>
    <t>KILA</t>
  </si>
  <si>
    <t>UEP 783D</t>
  </si>
  <si>
    <t>UAR 152V</t>
  </si>
  <si>
    <t>LUBAGA</t>
  </si>
  <si>
    <t>UBE 667U</t>
  </si>
  <si>
    <t>UAR 525Q</t>
  </si>
  <si>
    <t>UAU 508E</t>
  </si>
  <si>
    <t>UAZ 220P</t>
  </si>
  <si>
    <t>SENTA</t>
  </si>
  <si>
    <t>MBALALA</t>
  </si>
  <si>
    <t>UBD 897R</t>
  </si>
  <si>
    <t>NANGABA</t>
  </si>
  <si>
    <t>UBA 884V</t>
  </si>
  <si>
    <t>UAU 956L</t>
  </si>
  <si>
    <t>UAR 037N</t>
  </si>
  <si>
    <t>UBA 290Z</t>
  </si>
  <si>
    <t>UAU 642V</t>
  </si>
  <si>
    <t>UAX 986Y</t>
  </si>
  <si>
    <t>UAR 005Z</t>
  </si>
  <si>
    <t>UAU 584U</t>
  </si>
  <si>
    <t>UAY 500W</t>
  </si>
  <si>
    <t>LIRA</t>
  </si>
  <si>
    <t>UAU 972D</t>
  </si>
  <si>
    <t>UBD 391L</t>
  </si>
  <si>
    <t>UAK 922L</t>
  </si>
  <si>
    <t>CGO 223AB07</t>
  </si>
  <si>
    <t>UAN 338G</t>
  </si>
  <si>
    <t>UAZ 070G</t>
  </si>
  <si>
    <t>SONDE</t>
  </si>
  <si>
    <t>UAZ 124A</t>
  </si>
  <si>
    <t>KIWATULE</t>
  </si>
  <si>
    <t>UAP 214X</t>
  </si>
  <si>
    <t>UAQ 105Y</t>
  </si>
  <si>
    <t>UAU 849U</t>
  </si>
  <si>
    <t>KIWOKO</t>
  </si>
  <si>
    <t>UAQ 698U</t>
  </si>
  <si>
    <t>KALAGI</t>
  </si>
  <si>
    <t>UAH 612P</t>
  </si>
  <si>
    <t>UBE 710K</t>
  </si>
  <si>
    <t>UAM 433D</t>
  </si>
  <si>
    <t>UAY 067X</t>
  </si>
  <si>
    <t>UBF 321S</t>
  </si>
  <si>
    <t>NANGABWA</t>
  </si>
  <si>
    <t>UBF 416F</t>
  </si>
  <si>
    <t>UAX 703S</t>
  </si>
  <si>
    <t>UAS 362Z</t>
  </si>
  <si>
    <t>UBB 416L</t>
  </si>
  <si>
    <t>UAM 696H</t>
  </si>
  <si>
    <t>UAP 761T</t>
  </si>
  <si>
    <t>UAZ 693T</t>
  </si>
  <si>
    <t>UBE 876Z</t>
  </si>
  <si>
    <t>NATUGG</t>
  </si>
  <si>
    <t>NATAGU</t>
  </si>
  <si>
    <t>UAH 726K</t>
  </si>
  <si>
    <t>KALIWAJJALA</t>
  </si>
  <si>
    <t>MAVULE</t>
  </si>
  <si>
    <t>UAB 801Y</t>
  </si>
  <si>
    <t>BALAMU</t>
  </si>
  <si>
    <t>UAQ 283T</t>
  </si>
  <si>
    <t>UAZ 835C</t>
  </si>
  <si>
    <t>KIJUDE</t>
  </si>
  <si>
    <t>Consultancy services for Preparation of Expressway Develo PMent Master Plan (EDMP) for Uganda</t>
  </si>
  <si>
    <t>Road Ne:</t>
  </si>
  <si>
    <t>KASOMA JP, JAL</t>
  </si>
  <si>
    <t>BBA</t>
  </si>
  <si>
    <t>KPALA</t>
  </si>
  <si>
    <t>BULU</t>
  </si>
  <si>
    <t>BUWBO</t>
  </si>
  <si>
    <t>U 773N</t>
  </si>
  <si>
    <t>NUGONGO</t>
  </si>
  <si>
    <t>BBU</t>
  </si>
  <si>
    <t>NANVE</t>
  </si>
  <si>
    <t>U 094K</t>
  </si>
  <si>
    <t>U 789H</t>
  </si>
  <si>
    <t>KYBOGO</t>
  </si>
  <si>
    <t>NULONGA</t>
  </si>
  <si>
    <t>Consultancy services for Preparation of Expressway Develo  PMent Master Plan (EDMP) for Uganda</t>
  </si>
  <si>
    <t>Bakole Deo</t>
  </si>
  <si>
    <t>ZONE NAME</t>
  </si>
  <si>
    <t>DISTRICT</t>
  </si>
  <si>
    <t>COUNTY</t>
  </si>
  <si>
    <t>SUBCOUNTY</t>
  </si>
  <si>
    <t>Parish</t>
  </si>
  <si>
    <t>ZONE No.</t>
  </si>
  <si>
    <t>Abim</t>
  </si>
  <si>
    <t>Labwor</t>
  </si>
  <si>
    <t>Abim Town Council</t>
  </si>
  <si>
    <t>Alerek</t>
  </si>
  <si>
    <t>Lotukei</t>
  </si>
  <si>
    <t>Morulem</t>
  </si>
  <si>
    <t>Nyakwae</t>
  </si>
  <si>
    <t>Adjumani Town Council</t>
  </si>
  <si>
    <t>Adjumani</t>
  </si>
  <si>
    <t>East Moyo</t>
  </si>
  <si>
    <t>Adropi</t>
  </si>
  <si>
    <t>Arinyapi</t>
  </si>
  <si>
    <t>Ciforo</t>
  </si>
  <si>
    <t>Dzaipi</t>
  </si>
  <si>
    <t>Itirikwa</t>
  </si>
  <si>
    <t>Ofua</t>
  </si>
  <si>
    <t>Pacara</t>
  </si>
  <si>
    <t>Pakele</t>
  </si>
  <si>
    <t>Ukusijoni</t>
  </si>
  <si>
    <t>Adilang</t>
  </si>
  <si>
    <t>Agago</t>
  </si>
  <si>
    <t>Agago Town Council</t>
  </si>
  <si>
    <t>Arum</t>
  </si>
  <si>
    <t>Kalongo Town Council</t>
  </si>
  <si>
    <t>Kotomol</t>
  </si>
  <si>
    <t>Lamiyo</t>
  </si>
  <si>
    <t>Lapono</t>
  </si>
  <si>
    <t>Lira Palwo</t>
  </si>
  <si>
    <t>Lokole</t>
  </si>
  <si>
    <t>Omiya Pacwa</t>
  </si>
  <si>
    <t>Omot</t>
  </si>
  <si>
    <t>Paimol</t>
  </si>
  <si>
    <t>Parabongo</t>
  </si>
  <si>
    <t>Patongo</t>
  </si>
  <si>
    <t>Patongo Town Council</t>
  </si>
  <si>
    <t>Wol</t>
  </si>
  <si>
    <t>Abako</t>
  </si>
  <si>
    <t>Alebtong</t>
  </si>
  <si>
    <t>Moroto</t>
  </si>
  <si>
    <t>Abia</t>
  </si>
  <si>
    <t>Akura</t>
  </si>
  <si>
    <t>Alebtong Town Council</t>
  </si>
  <si>
    <t>Aloi</t>
  </si>
  <si>
    <t>Amugu</t>
  </si>
  <si>
    <t>Apala</t>
  </si>
  <si>
    <t>Awei</t>
  </si>
  <si>
    <t>Omoro</t>
  </si>
  <si>
    <t>Agikdak</t>
  </si>
  <si>
    <t>Amolatar</t>
  </si>
  <si>
    <t>Kioga</t>
  </si>
  <si>
    <t>Agwingiri</t>
  </si>
  <si>
    <t>Akwon</t>
  </si>
  <si>
    <t>Amolatar Town Council</t>
  </si>
  <si>
    <t>Aputi</t>
  </si>
  <si>
    <t>Arwotcek</t>
  </si>
  <si>
    <t>Awelo</t>
  </si>
  <si>
    <t>Etam</t>
  </si>
  <si>
    <t>Muntu</t>
  </si>
  <si>
    <t>Namasale</t>
  </si>
  <si>
    <t>Namasale Town Council</t>
  </si>
  <si>
    <t>Amudat</t>
  </si>
  <si>
    <t>Pokot</t>
  </si>
  <si>
    <t>Amudat Town Council</t>
  </si>
  <si>
    <t>Karita</t>
  </si>
  <si>
    <t>Loroo</t>
  </si>
  <si>
    <t>Abarilela</t>
  </si>
  <si>
    <t>Amuria</t>
  </si>
  <si>
    <t>Acowa</t>
  </si>
  <si>
    <t>Kapelebyong</t>
  </si>
  <si>
    <t>Akeriau</t>
  </si>
  <si>
    <t>Akoromit</t>
  </si>
  <si>
    <t>Amuria Town Council</t>
  </si>
  <si>
    <t>Apeduru</t>
  </si>
  <si>
    <t>Asamuk</t>
  </si>
  <si>
    <t>Kuju</t>
  </si>
  <si>
    <t>Morungatuny</t>
  </si>
  <si>
    <t>Obalanga</t>
  </si>
  <si>
    <t>Ogolai</t>
  </si>
  <si>
    <t>Okungur</t>
  </si>
  <si>
    <t>Orungo</t>
  </si>
  <si>
    <t>Wera</t>
  </si>
  <si>
    <t>Willa</t>
  </si>
  <si>
    <t>Amuru</t>
  </si>
  <si>
    <t>Kilak</t>
  </si>
  <si>
    <t>Amuru Town Council</t>
  </si>
  <si>
    <t>Amur town</t>
  </si>
  <si>
    <t>Attiak</t>
  </si>
  <si>
    <t>Lamogi</t>
  </si>
  <si>
    <t>Pabo</t>
  </si>
  <si>
    <t>Abongomola</t>
  </si>
  <si>
    <t>Apac</t>
  </si>
  <si>
    <t>Kwania</t>
  </si>
  <si>
    <t>Aduku</t>
  </si>
  <si>
    <t>Aduku Town Council</t>
  </si>
  <si>
    <t>Akokoro</t>
  </si>
  <si>
    <t>Maruzi</t>
  </si>
  <si>
    <t>Apac Muicipality</t>
  </si>
  <si>
    <t>Apac Municipality</t>
  </si>
  <si>
    <t>Chawente</t>
  </si>
  <si>
    <t>Chegere</t>
  </si>
  <si>
    <t>Ibuje</t>
  </si>
  <si>
    <t>Inomo</t>
  </si>
  <si>
    <t>Nambieso</t>
  </si>
  <si>
    <t>Adumi</t>
  </si>
  <si>
    <t>Arua</t>
  </si>
  <si>
    <t>Ayivu</t>
  </si>
  <si>
    <t>Aii-Vu</t>
  </si>
  <si>
    <t>Terego</t>
  </si>
  <si>
    <t>Ajia</t>
  </si>
  <si>
    <t>Vurra</t>
  </si>
  <si>
    <t>Anyiribu</t>
  </si>
  <si>
    <t>Madi Okollo</t>
  </si>
  <si>
    <t>Arivu</t>
  </si>
  <si>
    <t>Aroi</t>
  </si>
  <si>
    <t>Arua Municipality</t>
  </si>
  <si>
    <t>Ayivuni</t>
  </si>
  <si>
    <t>Bileafe</t>
  </si>
  <si>
    <t>Dadamu</t>
  </si>
  <si>
    <t>Ewanga</t>
  </si>
  <si>
    <t>Katrini</t>
  </si>
  <si>
    <t>Logiri</t>
  </si>
  <si>
    <t>Manibe</t>
  </si>
  <si>
    <t>Odupi</t>
  </si>
  <si>
    <t>Offaka</t>
  </si>
  <si>
    <t>Ogoko</t>
  </si>
  <si>
    <t>Okollo</t>
  </si>
  <si>
    <t>Oluko</t>
  </si>
  <si>
    <t>Omugo</t>
  </si>
  <si>
    <t>Pajulu</t>
  </si>
  <si>
    <t>Pawor</t>
  </si>
  <si>
    <t>Rhino Camp</t>
  </si>
  <si>
    <t>Rigbo</t>
  </si>
  <si>
    <t>Uleppi</t>
  </si>
  <si>
    <t>Uriama</t>
  </si>
  <si>
    <t>Budaka</t>
  </si>
  <si>
    <t>Budaka Town Council</t>
  </si>
  <si>
    <t>Iki-Iki</t>
  </si>
  <si>
    <t>Kachomo</t>
  </si>
  <si>
    <t>Kaderuna</t>
  </si>
  <si>
    <t>Kakule</t>
  </si>
  <si>
    <t>Kameruka</t>
  </si>
  <si>
    <t>Kamonkoli</t>
  </si>
  <si>
    <t>Katiira</t>
  </si>
  <si>
    <t>Lyama</t>
  </si>
  <si>
    <t>Mugiti</t>
  </si>
  <si>
    <t>Naboa</t>
  </si>
  <si>
    <t>Nansanga</t>
  </si>
  <si>
    <t>Bubiita</t>
  </si>
  <si>
    <t>Bududa</t>
  </si>
  <si>
    <t>Manjiya</t>
  </si>
  <si>
    <t>Bududa Town Council</t>
  </si>
  <si>
    <t>Bukalasi</t>
  </si>
  <si>
    <t>Bukibokolo</t>
  </si>
  <si>
    <t>Bukigai</t>
  </si>
  <si>
    <t>Bulucheke</t>
  </si>
  <si>
    <t>Bumasheti</t>
  </si>
  <si>
    <t>Bumayoka</t>
  </si>
  <si>
    <t>Bushika</t>
  </si>
  <si>
    <t>Bushiribo</t>
  </si>
  <si>
    <t>Bushiyi</t>
  </si>
  <si>
    <t>Buwali</t>
  </si>
  <si>
    <t>Nabweya</t>
  </si>
  <si>
    <t>Nakatsi</t>
  </si>
  <si>
    <t>Nalwanza</t>
  </si>
  <si>
    <t>Budhaya</t>
  </si>
  <si>
    <t>Bugiri</t>
  </si>
  <si>
    <t>Bukooli North</t>
  </si>
  <si>
    <t>Bugiri Municipality</t>
  </si>
  <si>
    <t>Bulesa</t>
  </si>
  <si>
    <t>Bulidha</t>
  </si>
  <si>
    <t>Buluguyi</t>
  </si>
  <si>
    <t>Buwunga-Bugiri</t>
  </si>
  <si>
    <t>Iwemba</t>
  </si>
  <si>
    <t>Kapyanga</t>
  </si>
  <si>
    <t>Muterere</t>
  </si>
  <si>
    <t>Nabukalu</t>
  </si>
  <si>
    <t>Nankoma</t>
  </si>
  <si>
    <t>Bihanga-Buhweju</t>
  </si>
  <si>
    <t>Buhweju</t>
  </si>
  <si>
    <t>Bitsya</t>
  </si>
  <si>
    <t>Burere</t>
  </si>
  <si>
    <t>Engaju</t>
  </si>
  <si>
    <t>Karungu</t>
  </si>
  <si>
    <t>Nsiika Town Council</t>
  </si>
  <si>
    <t>Nyakishana</t>
  </si>
  <si>
    <t>Rwengwe</t>
  </si>
  <si>
    <t>Buikwe</t>
  </si>
  <si>
    <t>Lweru</t>
  </si>
  <si>
    <t>Buikwe Town Council</t>
  </si>
  <si>
    <t>NAJJEMBA</t>
  </si>
  <si>
    <t>NAJEMBA</t>
  </si>
  <si>
    <t>Buyikwe</t>
  </si>
  <si>
    <t>BUIKWE TOWN</t>
  </si>
  <si>
    <t>Lugazi Municipality</t>
  </si>
  <si>
    <t>Namagunga</t>
  </si>
  <si>
    <t>Najja</t>
  </si>
  <si>
    <t>Ngogwe</t>
  </si>
  <si>
    <t>Njeru Municipality</t>
  </si>
  <si>
    <t>Nkokonjeru Town Council</t>
  </si>
  <si>
    <t>Ssi-Bukunja</t>
  </si>
  <si>
    <t>Bukedea</t>
  </si>
  <si>
    <t>Bukedea Town Council</t>
  </si>
  <si>
    <t>Kachumbala</t>
  </si>
  <si>
    <t>Kidongole</t>
  </si>
  <si>
    <t>Kolir</t>
  </si>
  <si>
    <t>Malera</t>
  </si>
  <si>
    <t>Bigasa</t>
  </si>
  <si>
    <t>Bukomansimbi</t>
  </si>
  <si>
    <t>Bukomansimbi Town Council</t>
  </si>
  <si>
    <t>Butenga</t>
  </si>
  <si>
    <t>Kibinge</t>
  </si>
  <si>
    <t>Kitanda</t>
  </si>
  <si>
    <t>Bukwo</t>
  </si>
  <si>
    <t>Kongasis</t>
  </si>
  <si>
    <t>Bukwo Town Council</t>
  </si>
  <si>
    <t>Chepkwasta</t>
  </si>
  <si>
    <t>Chesower</t>
  </si>
  <si>
    <t>Kabei</t>
  </si>
  <si>
    <t>Kamet</t>
  </si>
  <si>
    <t>Kaptererwo</t>
  </si>
  <si>
    <t>Kortek</t>
  </si>
  <si>
    <t>Riwo</t>
  </si>
  <si>
    <t>Senendet</t>
  </si>
  <si>
    <t>Suam</t>
  </si>
  <si>
    <t>Tulel</t>
  </si>
  <si>
    <t>Buginyanya</t>
  </si>
  <si>
    <t>Bulambuli</t>
  </si>
  <si>
    <t>Bukhalu</t>
  </si>
  <si>
    <t>Bulaago</t>
  </si>
  <si>
    <t>Bulambuli Town Council</t>
  </si>
  <si>
    <t>Bulegeni</t>
  </si>
  <si>
    <t>Bulegeni Town Council</t>
  </si>
  <si>
    <t>Buluganya</t>
  </si>
  <si>
    <t>Bumasobo</t>
  </si>
  <si>
    <t>Bumugibole</t>
  </si>
  <si>
    <t>Bunambutye</t>
  </si>
  <si>
    <t>Bwikhonge</t>
  </si>
  <si>
    <t>Kamu</t>
  </si>
  <si>
    <t>Lusha</t>
  </si>
  <si>
    <t>Masiira</t>
  </si>
  <si>
    <t>Muyembe</t>
  </si>
  <si>
    <t>Nabbongo</t>
  </si>
  <si>
    <t>Namisuni</t>
  </si>
  <si>
    <t>Simu</t>
  </si>
  <si>
    <t>Sisiyi</t>
  </si>
  <si>
    <t>Biiso</t>
  </si>
  <si>
    <t>Buliisa</t>
  </si>
  <si>
    <t>Buliisa Town Council</t>
  </si>
  <si>
    <t>Butiaba</t>
  </si>
  <si>
    <t>Kigwera</t>
  </si>
  <si>
    <t>Kihungya</t>
  </si>
  <si>
    <t>Ngwedo</t>
  </si>
  <si>
    <t>Bubandi</t>
  </si>
  <si>
    <t>Bundibugyo</t>
  </si>
  <si>
    <t>Bwamba</t>
  </si>
  <si>
    <t>Bubukwanga</t>
  </si>
  <si>
    <t>Bukonzo</t>
  </si>
  <si>
    <t>Bughendera</t>
  </si>
  <si>
    <t>Bundibugyo Town Council</t>
  </si>
  <si>
    <t>Bundingoma</t>
  </si>
  <si>
    <t>Burondo</t>
  </si>
  <si>
    <t>Busaru</t>
  </si>
  <si>
    <t>Harugale</t>
  </si>
  <si>
    <t>Kagugu</t>
  </si>
  <si>
    <t>Kasitu</t>
  </si>
  <si>
    <t>Kirumya</t>
  </si>
  <si>
    <t>Kisubba</t>
  </si>
  <si>
    <t>Mirambi</t>
  </si>
  <si>
    <t>Nduguto</t>
  </si>
  <si>
    <t>Ngamba</t>
  </si>
  <si>
    <t>Ntandi Town Council</t>
  </si>
  <si>
    <t>Ntotoro</t>
  </si>
  <si>
    <t>Nyahuka Town Council</t>
  </si>
  <si>
    <t>Sindila</t>
  </si>
  <si>
    <t>Tokwe</t>
  </si>
  <si>
    <t>Buheesi</t>
  </si>
  <si>
    <t>Bunyangabu</t>
  </si>
  <si>
    <t>Buheesi Town Council</t>
  </si>
  <si>
    <t>Kabonero</t>
  </si>
  <si>
    <t>Katebwa</t>
  </si>
  <si>
    <t>Kibiito</t>
  </si>
  <si>
    <t>Kibiito Town Council</t>
  </si>
  <si>
    <t>Kisomoro</t>
  </si>
  <si>
    <t>Kyamukube Town Council</t>
  </si>
  <si>
    <t>Rubona Town Council</t>
  </si>
  <si>
    <t>Rwimi</t>
  </si>
  <si>
    <t>Rwimi Town Council</t>
  </si>
  <si>
    <t>Bitooma</t>
  </si>
  <si>
    <t>Igara</t>
  </si>
  <si>
    <t>Bumbaire</t>
  </si>
  <si>
    <t>Bushenyi-Ishaka Municipality</t>
  </si>
  <si>
    <t>BUSHENYI</t>
  </si>
  <si>
    <t>Munyonyi</t>
  </si>
  <si>
    <t>Ibaare</t>
  </si>
  <si>
    <t>Kakanju</t>
  </si>
  <si>
    <t>Kyabugimbi</t>
  </si>
  <si>
    <t>Kyamuhunga Town Council</t>
  </si>
  <si>
    <t>Kyeizooba</t>
  </si>
  <si>
    <t>Nyabubare</t>
  </si>
  <si>
    <t>Ruhumuro</t>
  </si>
  <si>
    <t>Buhehe</t>
  </si>
  <si>
    <t>Busia</t>
  </si>
  <si>
    <t>Samia-Bugwe</t>
  </si>
  <si>
    <t>Bulumbi</t>
  </si>
  <si>
    <t>Busia Municipality</t>
  </si>
  <si>
    <t>Busia town</t>
  </si>
  <si>
    <t>Busime</t>
  </si>
  <si>
    <t>Busitema</t>
  </si>
  <si>
    <t>Buteba</t>
  </si>
  <si>
    <t>Buyanga-Busia</t>
  </si>
  <si>
    <t>Dabani</t>
  </si>
  <si>
    <t>Lumino</t>
  </si>
  <si>
    <t>Lunyo</t>
  </si>
  <si>
    <t>Majanji</t>
  </si>
  <si>
    <t>Masaba-Busia</t>
  </si>
  <si>
    <t>Masafu</t>
  </si>
  <si>
    <t>Masinya</t>
  </si>
  <si>
    <t>Sikuda</t>
  </si>
  <si>
    <t>Budumba</t>
  </si>
  <si>
    <t>Butaleja</t>
  </si>
  <si>
    <t>Bunyole</t>
  </si>
  <si>
    <t>Busaba</t>
  </si>
  <si>
    <t>Busabi</t>
  </si>
  <si>
    <t>Busolwe</t>
  </si>
  <si>
    <t>Busolwe Town Council</t>
  </si>
  <si>
    <t>Butaleja Town Council</t>
  </si>
  <si>
    <t>Himutu</t>
  </si>
  <si>
    <t>Kachonga</t>
  </si>
  <si>
    <t>Mazimasa</t>
  </si>
  <si>
    <t>Nawanjofu</t>
  </si>
  <si>
    <t>Naweyo</t>
  </si>
  <si>
    <t>Budde</t>
  </si>
  <si>
    <t>Butambala</t>
  </si>
  <si>
    <t>Bulo</t>
  </si>
  <si>
    <t>Gombe Town Council</t>
  </si>
  <si>
    <t>Kalamba</t>
  </si>
  <si>
    <t>Kibibi</t>
  </si>
  <si>
    <t>Ngando</t>
  </si>
  <si>
    <t>Butebo</t>
  </si>
  <si>
    <t>Butebo Town Council</t>
  </si>
  <si>
    <t>Kabwangasi</t>
  </si>
  <si>
    <t>Kakoro</t>
  </si>
  <si>
    <t>Kanginima</t>
  </si>
  <si>
    <t>Kibale</t>
  </si>
  <si>
    <t>Kibale town</t>
  </si>
  <si>
    <t xml:space="preserve">KIBALE </t>
  </si>
  <si>
    <t>Opwateta</t>
  </si>
  <si>
    <t>Petete</t>
  </si>
  <si>
    <t>Bugaya-Buvuma</t>
  </si>
  <si>
    <t>Buvuma</t>
  </si>
  <si>
    <t>Buvuma Island</t>
  </si>
  <si>
    <t>Busamuzi</t>
  </si>
  <si>
    <t>Buvuma Town Council</t>
  </si>
  <si>
    <t>Buwooya</t>
  </si>
  <si>
    <t>Bweema</t>
  </si>
  <si>
    <t>Lubya</t>
  </si>
  <si>
    <t>Lwajje</t>
  </si>
  <si>
    <t>Lyabaana</t>
  </si>
  <si>
    <t>Nairambi</t>
  </si>
  <si>
    <t>Bugaya-Buyende</t>
  </si>
  <si>
    <t>Buyende</t>
  </si>
  <si>
    <t>Budiope</t>
  </si>
  <si>
    <t>Buyende Town Council</t>
  </si>
  <si>
    <t>Kagulu</t>
  </si>
  <si>
    <t>Kidera</t>
  </si>
  <si>
    <t>Nkondo</t>
  </si>
  <si>
    <t>Adeknino</t>
  </si>
  <si>
    <t>Dokolo</t>
  </si>
  <si>
    <t>Adok</t>
  </si>
  <si>
    <t>Agwata</t>
  </si>
  <si>
    <t>Amwoma</t>
  </si>
  <si>
    <t>Batta</t>
  </si>
  <si>
    <t>Dokolo Tc</t>
  </si>
  <si>
    <t>Kangai</t>
  </si>
  <si>
    <t>Kwera</t>
  </si>
  <si>
    <t>Okwalongwen</t>
  </si>
  <si>
    <t>Okwongodul</t>
  </si>
  <si>
    <t>Kabulasoke</t>
  </si>
  <si>
    <t>Gomba</t>
  </si>
  <si>
    <t>Kanoni Town Council</t>
  </si>
  <si>
    <t>Kyegonza</t>
  </si>
  <si>
    <t>Maddu</t>
  </si>
  <si>
    <t>Mpenja</t>
  </si>
  <si>
    <t>Awach</t>
  </si>
  <si>
    <t>Gulu</t>
  </si>
  <si>
    <t>Aswa</t>
  </si>
  <si>
    <t>Bungatira</t>
  </si>
  <si>
    <t>Gulu Municipality</t>
  </si>
  <si>
    <t xml:space="preserve">gulu  </t>
  </si>
  <si>
    <t>Gulu town</t>
  </si>
  <si>
    <t>Paicho</t>
  </si>
  <si>
    <t>Unyama</t>
  </si>
  <si>
    <t>Bugambe</t>
  </si>
  <si>
    <t>Hoima</t>
  </si>
  <si>
    <t>Buhaguzi</t>
  </si>
  <si>
    <t>Kitwetwe</t>
  </si>
  <si>
    <t>Buhanika</t>
  </si>
  <si>
    <t>Bugahya</t>
  </si>
  <si>
    <t>Buhimba</t>
  </si>
  <si>
    <t>Hoima Municipality</t>
  </si>
  <si>
    <t>HOIMA</t>
  </si>
  <si>
    <t>HOIMA TOWN</t>
  </si>
  <si>
    <t>Hima cement</t>
  </si>
  <si>
    <t>Kabwoya</t>
  </si>
  <si>
    <t>Kigorobya</t>
  </si>
  <si>
    <t>Kigorobya Town Council</t>
  </si>
  <si>
    <t>Kitoba</t>
  </si>
  <si>
    <t>Kiziranfumbi</t>
  </si>
  <si>
    <t>Kyabigambire</t>
  </si>
  <si>
    <t>Kyangwali</t>
  </si>
  <si>
    <t>Ibanda Municipality</t>
  </si>
  <si>
    <t>Kakinga</t>
  </si>
  <si>
    <t>Igorora Town Council</t>
  </si>
  <si>
    <t>Ishongororo</t>
  </si>
  <si>
    <t>Ishongororo Town Council</t>
  </si>
  <si>
    <t>Kagango Division-Ibanda</t>
  </si>
  <si>
    <t>Keihangara</t>
  </si>
  <si>
    <t>Kicuzi</t>
  </si>
  <si>
    <t>Kijongo</t>
  </si>
  <si>
    <t>Kikyenkye</t>
  </si>
  <si>
    <t>Nyamarebe</t>
  </si>
  <si>
    <t>Rukiri</t>
  </si>
  <si>
    <t>Rushango Town Council</t>
  </si>
  <si>
    <t>Bulamogi</t>
  </si>
  <si>
    <t>Iganga</t>
  </si>
  <si>
    <t>Kigulu</t>
  </si>
  <si>
    <t>Busembatia Town Council</t>
  </si>
  <si>
    <t>Bugweri</t>
  </si>
  <si>
    <t>Buyanga-Iganga</t>
  </si>
  <si>
    <t>Ibulanku</t>
  </si>
  <si>
    <t>Iganga Municipality</t>
  </si>
  <si>
    <t>IGANGA</t>
  </si>
  <si>
    <t>Igombe</t>
  </si>
  <si>
    <t>Makuutu</t>
  </si>
  <si>
    <t>Nabitende</t>
  </si>
  <si>
    <t>Nakalama</t>
  </si>
  <si>
    <t>Nakigo</t>
  </si>
  <si>
    <t>Namalemba</t>
  </si>
  <si>
    <t>Nambale</t>
  </si>
  <si>
    <t>Namungalwe</t>
  </si>
  <si>
    <t>Nawandala</t>
  </si>
  <si>
    <t>Nawanyingi</t>
  </si>
  <si>
    <t>Birere</t>
  </si>
  <si>
    <t>Endiinzi</t>
  </si>
  <si>
    <t>Bukanga</t>
  </si>
  <si>
    <t>Endiinzi Town Council</t>
  </si>
  <si>
    <t>Isingiro Town Council</t>
  </si>
  <si>
    <t>ISIGIRO TOWN</t>
  </si>
  <si>
    <t>Kaberebere Town Council</t>
  </si>
  <si>
    <t>Kabingo</t>
  </si>
  <si>
    <t>Kabuyanda</t>
  </si>
  <si>
    <t>Kabuyanda Town Council</t>
  </si>
  <si>
    <t>Kakamba-Isingiro</t>
  </si>
  <si>
    <t>Kikagate</t>
  </si>
  <si>
    <t>Masha</t>
  </si>
  <si>
    <t>Mbaare</t>
  </si>
  <si>
    <t>Nakivale Refugee Camp</t>
  </si>
  <si>
    <t>Ngarama</t>
  </si>
  <si>
    <t>Nyakitunda</t>
  </si>
  <si>
    <t>Nyamuyanja</t>
  </si>
  <si>
    <t>Oruchinga Refugee Camp</t>
  </si>
  <si>
    <t>Ruborogota</t>
  </si>
  <si>
    <t>Rugaaga</t>
  </si>
  <si>
    <t>Rushasha</t>
  </si>
  <si>
    <t>Budondo</t>
  </si>
  <si>
    <t>Jinja</t>
  </si>
  <si>
    <t>Kagoma</t>
  </si>
  <si>
    <t>Bugembe Town Council</t>
  </si>
  <si>
    <t>Butembe</t>
  </si>
  <si>
    <t>Busedde</t>
  </si>
  <si>
    <t>Butagaya</t>
  </si>
  <si>
    <t>Buwenge</t>
  </si>
  <si>
    <t>Buwenge Town Council</t>
  </si>
  <si>
    <t>Buyengo</t>
  </si>
  <si>
    <t>Jinja Municipality</t>
  </si>
  <si>
    <t>Nagalama</t>
  </si>
  <si>
    <t>Masese</t>
  </si>
  <si>
    <t>Jinja town</t>
  </si>
  <si>
    <t>Kakira Town Council</t>
  </si>
  <si>
    <t xml:space="preserve">Kakira  </t>
  </si>
  <si>
    <t>Mafubira</t>
  </si>
  <si>
    <t>Kaabong East</t>
  </si>
  <si>
    <t>Kaabong</t>
  </si>
  <si>
    <t>Dodoth</t>
  </si>
  <si>
    <t>Kaabong Town Council</t>
  </si>
  <si>
    <t>Kaabong West</t>
  </si>
  <si>
    <t>Kalapata</t>
  </si>
  <si>
    <t>Kamion</t>
  </si>
  <si>
    <t>Kapedo</t>
  </si>
  <si>
    <t>Kathile</t>
  </si>
  <si>
    <t>Kawalakol</t>
  </si>
  <si>
    <t>Lobalangit</t>
  </si>
  <si>
    <t>Lodiko</t>
  </si>
  <si>
    <t>Lolelia</t>
  </si>
  <si>
    <t>Loyoro</t>
  </si>
  <si>
    <t>Napore Karenga</t>
  </si>
  <si>
    <t>Sidok</t>
  </si>
  <si>
    <t>Buhara</t>
  </si>
  <si>
    <t>Kabale</t>
  </si>
  <si>
    <t>Ndorwa</t>
  </si>
  <si>
    <t>Butanda</t>
  </si>
  <si>
    <t>Kabale Municipality</t>
  </si>
  <si>
    <t>Kabale town</t>
  </si>
  <si>
    <t>Kaharo</t>
  </si>
  <si>
    <t>Kamuganguzi</t>
  </si>
  <si>
    <t>Katuna Town Council</t>
  </si>
  <si>
    <t>Kitumba</t>
  </si>
  <si>
    <t>Kyanamira</t>
  </si>
  <si>
    <t>Maziba</t>
  </si>
  <si>
    <t>Rubaya-Kabale</t>
  </si>
  <si>
    <t>Ryakirimira Town Council</t>
  </si>
  <si>
    <t>Bukuuku</t>
  </si>
  <si>
    <t>Kabarole</t>
  </si>
  <si>
    <t>Burahya</t>
  </si>
  <si>
    <t>Busoro</t>
  </si>
  <si>
    <t>Fort Portal Municipality</t>
  </si>
  <si>
    <t>Fortportal</t>
  </si>
  <si>
    <t>FORT PORTAL TOWN</t>
  </si>
  <si>
    <t>FORT PORTAL</t>
  </si>
  <si>
    <t>Hakibaale</t>
  </si>
  <si>
    <t>Karago Town Council</t>
  </si>
  <si>
    <t>Karambi-Kabarole</t>
  </si>
  <si>
    <t>Karangura</t>
  </si>
  <si>
    <t>Kasenda</t>
  </si>
  <si>
    <t>Kicwamba</t>
  </si>
  <si>
    <t>Kijura Town Council</t>
  </si>
  <si>
    <t>Kiko Town Council</t>
  </si>
  <si>
    <t>Mugusu</t>
  </si>
  <si>
    <t>Mugusu Town Council</t>
  </si>
  <si>
    <t>Ruteete-Kabarole</t>
  </si>
  <si>
    <t>Alwa</t>
  </si>
  <si>
    <t>Kaberamaido</t>
  </si>
  <si>
    <t>Anyara</t>
  </si>
  <si>
    <t>Kalaki</t>
  </si>
  <si>
    <t>Apapai</t>
  </si>
  <si>
    <t>Aperkira</t>
  </si>
  <si>
    <t>Bululu</t>
  </si>
  <si>
    <t>Kaberamaido Town Council</t>
  </si>
  <si>
    <t>Kakure</t>
  </si>
  <si>
    <t>Kobulubulu</t>
  </si>
  <si>
    <t>Ochero</t>
  </si>
  <si>
    <t>Otuboi</t>
  </si>
  <si>
    <t>Burora</t>
  </si>
  <si>
    <t>Kagadi</t>
  </si>
  <si>
    <t>Buyaga</t>
  </si>
  <si>
    <t>Bwikara</t>
  </si>
  <si>
    <t>Kabamba</t>
  </si>
  <si>
    <t>Kagadi Town Council</t>
  </si>
  <si>
    <t>Kiryanga</t>
  </si>
  <si>
    <t>Kyakabadiima</t>
  </si>
  <si>
    <t>Kyanaisoke</t>
  </si>
  <si>
    <t>Kyaterekera</t>
  </si>
  <si>
    <t>Kyenzige</t>
  </si>
  <si>
    <t>Mabaale</t>
  </si>
  <si>
    <t>Mpeefu</t>
  </si>
  <si>
    <t>Muhorro</t>
  </si>
  <si>
    <t>Muhorro Town Council</t>
  </si>
  <si>
    <t>Ndaiga</t>
  </si>
  <si>
    <t>Paacwa</t>
  </si>
  <si>
    <t>Rugashari</t>
  </si>
  <si>
    <t>Ruteete-Kagadi</t>
  </si>
  <si>
    <t>Birembo</t>
  </si>
  <si>
    <t>Kakumiro</t>
  </si>
  <si>
    <t>Bugangaizi</t>
  </si>
  <si>
    <t>Bwanswa</t>
  </si>
  <si>
    <t>Kakindo</t>
  </si>
  <si>
    <t>Kakumiro Town Council</t>
  </si>
  <si>
    <t>KAKUMIRO TOWN</t>
  </si>
  <si>
    <t>Kasambya-Kakumiro</t>
  </si>
  <si>
    <t>Kikwaya</t>
  </si>
  <si>
    <t>Kisiita</t>
  </si>
  <si>
    <t>Kitaihuka</t>
  </si>
  <si>
    <t>Mpasaana</t>
  </si>
  <si>
    <t>Nalweyo</t>
  </si>
  <si>
    <t>Nkooko</t>
  </si>
  <si>
    <t>Bubeke</t>
  </si>
  <si>
    <t>Kalangala</t>
  </si>
  <si>
    <t>Kyamuswa</t>
  </si>
  <si>
    <t>Bufumira</t>
  </si>
  <si>
    <t>Bujumba</t>
  </si>
  <si>
    <t>Kalangala Town Council</t>
  </si>
  <si>
    <t>Mazinga</t>
  </si>
  <si>
    <t>Mugoye</t>
  </si>
  <si>
    <t>Budomero</t>
  </si>
  <si>
    <t>Kaliro</t>
  </si>
  <si>
    <t>Bukamba</t>
  </si>
  <si>
    <t>Bumanya</t>
  </si>
  <si>
    <t>Buyinda</t>
  </si>
  <si>
    <t>Gadumire</t>
  </si>
  <si>
    <t>Kaliro Town Council</t>
  </si>
  <si>
    <t>KALIRO TOWN</t>
  </si>
  <si>
    <t>Kasokwe</t>
  </si>
  <si>
    <t>Kisinda</t>
  </si>
  <si>
    <t>Namugongo-Kaliro</t>
  </si>
  <si>
    <t>Namwiwa</t>
  </si>
  <si>
    <t>Nansololo</t>
  </si>
  <si>
    <t>Nawaikoke</t>
  </si>
  <si>
    <t>Bukulula</t>
  </si>
  <si>
    <t>Kalungu</t>
  </si>
  <si>
    <t>Kalungu Town Council</t>
  </si>
  <si>
    <t>Kyamulibwa</t>
  </si>
  <si>
    <t>Kyamulibwa Town Council</t>
  </si>
  <si>
    <t>Lukaya Town Council</t>
  </si>
  <si>
    <t>Lwabenge</t>
  </si>
  <si>
    <t>Banda</t>
  </si>
  <si>
    <t>Kampala</t>
  </si>
  <si>
    <t>KCCA</t>
  </si>
  <si>
    <t>Nakawa Division</t>
  </si>
  <si>
    <t>Bugolobi</t>
  </si>
  <si>
    <t>Namuwonge</t>
  </si>
  <si>
    <t>Village mall</t>
  </si>
  <si>
    <t>VILLAGE MLL</t>
  </si>
  <si>
    <t>Namuwongo</t>
  </si>
  <si>
    <t>WABIGOLO</t>
  </si>
  <si>
    <t>IHK</t>
  </si>
  <si>
    <t>Tanka</t>
  </si>
  <si>
    <t>Bukasa</t>
  </si>
  <si>
    <t>Makindye Division</t>
  </si>
  <si>
    <t>NAKABUGO</t>
  </si>
  <si>
    <t>Bukesa</t>
  </si>
  <si>
    <t>Central Division</t>
  </si>
  <si>
    <t>KABIRA C.C</t>
  </si>
  <si>
    <t>KPS</t>
  </si>
  <si>
    <t>KAMPALA PARENTS SCHOOL</t>
  </si>
  <si>
    <t>Kikulu Zone</t>
  </si>
  <si>
    <t>Kira road</t>
  </si>
  <si>
    <t>KIIRA ROAD</t>
  </si>
  <si>
    <t>Busega</t>
  </si>
  <si>
    <t>Rubaga Division</t>
  </si>
  <si>
    <t>Lugala</t>
  </si>
  <si>
    <t>LUNGALA</t>
  </si>
  <si>
    <t>Munaku</t>
  </si>
  <si>
    <t>Wakasanke</t>
  </si>
  <si>
    <t>Masanafu</t>
  </si>
  <si>
    <t>Butabika</t>
  </si>
  <si>
    <t>Buziga</t>
  </si>
  <si>
    <t>Bwaise</t>
  </si>
  <si>
    <t>Kawempe Division</t>
  </si>
  <si>
    <t>Civic Centre</t>
  </si>
  <si>
    <t>KCCA CITY HALL</t>
  </si>
  <si>
    <t>UMI</t>
  </si>
  <si>
    <t>William strt</t>
  </si>
  <si>
    <t>UMA show ground</t>
  </si>
  <si>
    <t>Bus park kla</t>
  </si>
  <si>
    <t>Planning House</t>
  </si>
  <si>
    <t>MTN Arena</t>
  </si>
  <si>
    <t>KAMPALA  ROAD</t>
  </si>
  <si>
    <t>Kampala rd</t>
  </si>
  <si>
    <t>CITY KAMPALA</t>
  </si>
  <si>
    <t>FOREIGN AFFAIRS</t>
  </si>
  <si>
    <t>Buganda road</t>
  </si>
  <si>
    <t>Equtorial hotel</t>
  </si>
  <si>
    <t>Uganda house</t>
  </si>
  <si>
    <t>SHOPRITE</t>
  </si>
  <si>
    <t>Oasis mall</t>
  </si>
  <si>
    <t>kk hotel</t>
  </si>
  <si>
    <t>TOWN KAMPALA</t>
  </si>
  <si>
    <t>MINISTRY OF WORKS</t>
  </si>
  <si>
    <t>Namirembe road</t>
  </si>
  <si>
    <t>QUALICELL</t>
  </si>
  <si>
    <t>Ssebagala rd</t>
  </si>
  <si>
    <t>INDUSTRAIL AREA</t>
  </si>
  <si>
    <t>NABUGABO PLAZA</t>
  </si>
  <si>
    <t>Mini price</t>
  </si>
  <si>
    <t>MINI PRIZE</t>
  </si>
  <si>
    <t>CAPITAL SHOPPERS</t>
  </si>
  <si>
    <t>William street</t>
  </si>
  <si>
    <t>KAMPALA CENTRAL</t>
  </si>
  <si>
    <t>Down town</t>
  </si>
  <si>
    <t>KIIKUBO</t>
  </si>
  <si>
    <t>Parliament</t>
  </si>
  <si>
    <t>MUKWANO ARCADE</t>
  </si>
  <si>
    <t>Gazaland</t>
  </si>
  <si>
    <t>PIONEER MALL</t>
  </si>
  <si>
    <t>New vision</t>
  </si>
  <si>
    <t>Sheraton</t>
  </si>
  <si>
    <t>Hotel african</t>
  </si>
  <si>
    <t>AFRICANA</t>
  </si>
  <si>
    <t>Clement rd</t>
  </si>
  <si>
    <t>Entebbe rd</t>
  </si>
  <si>
    <t>Sselumaga Rd</t>
  </si>
  <si>
    <t>Speke hotel</t>
  </si>
  <si>
    <t>MUKWANO</t>
  </si>
  <si>
    <t>Jinja rd</t>
  </si>
  <si>
    <t>OWINO</t>
  </si>
  <si>
    <t>SEVENTH STREET</t>
  </si>
  <si>
    <t>Ham towers</t>
  </si>
  <si>
    <t>Sixth street</t>
  </si>
  <si>
    <t>Kampala city</t>
  </si>
  <si>
    <t>State house</t>
  </si>
  <si>
    <t>Martin road</t>
  </si>
  <si>
    <t>old taxi park</t>
  </si>
  <si>
    <t>SIR APPOLLO KAGWA</t>
  </si>
  <si>
    <t>Gaden city</t>
  </si>
  <si>
    <t>Ben Kiwanuka street</t>
  </si>
  <si>
    <t>NAMIREMBE ROARD</t>
  </si>
  <si>
    <t>ENTEBE ROAD</t>
  </si>
  <si>
    <t>Jinja road</t>
  </si>
  <si>
    <t xml:space="preserve">JINJA ROAD </t>
  </si>
  <si>
    <t>NAMIREMBE PARK</t>
  </si>
  <si>
    <t>OWINO MARKET</t>
  </si>
  <si>
    <t>KAMPALA ROARD</t>
  </si>
  <si>
    <t>NEW TAX PARK</t>
  </si>
  <si>
    <t>NAKASERO MARKET</t>
  </si>
  <si>
    <t>Kampala industrian</t>
  </si>
  <si>
    <t>CITY SQUARE</t>
  </si>
  <si>
    <t>CITYSQUARE</t>
  </si>
  <si>
    <t>OLDTAXIPARK</t>
  </si>
  <si>
    <t>NEWTAXIPARK</t>
  </si>
  <si>
    <t>TAX PARK</t>
  </si>
  <si>
    <t>bela</t>
  </si>
  <si>
    <t>Workers house</t>
  </si>
  <si>
    <t>Mega standard</t>
  </si>
  <si>
    <t>Lumumba avenue</t>
  </si>
  <si>
    <t>Luwumba Avenue</t>
  </si>
  <si>
    <t>Mapeera</t>
  </si>
  <si>
    <t>Namayiba taxi park</t>
  </si>
  <si>
    <t>Namayimba</t>
  </si>
  <si>
    <t>NAMAYUBA</t>
  </si>
  <si>
    <t>Kampala road</t>
  </si>
  <si>
    <t>Mukwano mall</t>
  </si>
  <si>
    <t>New taxi park</t>
  </si>
  <si>
    <t>Equatorial mall</t>
  </si>
  <si>
    <t>Nasser road</t>
  </si>
  <si>
    <t>NKURUMAH ROAD</t>
  </si>
  <si>
    <t>Nkrumah Rd</t>
  </si>
  <si>
    <t>NKRUMAH</t>
  </si>
  <si>
    <t>STATION</t>
  </si>
  <si>
    <t>Clock tower</t>
  </si>
  <si>
    <t>CRUSADER HOUSE</t>
  </si>
  <si>
    <t>Engineering solution</t>
  </si>
  <si>
    <t>Sir Apollo</t>
  </si>
  <si>
    <t>Kavuma</t>
  </si>
  <si>
    <t>KAVUUMA</t>
  </si>
  <si>
    <t>CRESTED TOWERS</t>
  </si>
  <si>
    <t>Town city</t>
  </si>
  <si>
    <t>INDUSTRIAL</t>
  </si>
  <si>
    <t>Kikubo</t>
  </si>
  <si>
    <t>Arua park</t>
  </si>
  <si>
    <t>NAMAYUBA PART</t>
  </si>
  <si>
    <t>Speke resort</t>
  </si>
  <si>
    <t>Clemet hill</t>
  </si>
  <si>
    <t>CLEMENT</t>
  </si>
  <si>
    <t>Town</t>
  </si>
  <si>
    <t>Victoria Serena</t>
  </si>
  <si>
    <t>Serena</t>
  </si>
  <si>
    <t>Serena Hotel</t>
  </si>
  <si>
    <t>Northeern bypass</t>
  </si>
  <si>
    <t>Northern bypass</t>
  </si>
  <si>
    <t>NORTHAN BY PASS</t>
  </si>
  <si>
    <t>Taxi park</t>
  </si>
  <si>
    <t>TAXI  PARK</t>
  </si>
  <si>
    <t>Station centre</t>
  </si>
  <si>
    <t>Old park</t>
  </si>
  <si>
    <t>Old parrk</t>
  </si>
  <si>
    <t>Newtax park</t>
  </si>
  <si>
    <t>New park</t>
  </si>
  <si>
    <t>Mwalo</t>
  </si>
  <si>
    <t>Equatorial</t>
  </si>
  <si>
    <t xml:space="preserve">KAMPALA </t>
  </si>
  <si>
    <t>Bahai</t>
  </si>
  <si>
    <t>Bahai tempo</t>
  </si>
  <si>
    <t>Kampala town</t>
  </si>
  <si>
    <t>City center</t>
  </si>
  <si>
    <t>CITY CENTRE</t>
  </si>
  <si>
    <t>CITYCENTRE</t>
  </si>
  <si>
    <t>CITYCENTER</t>
  </si>
  <si>
    <t>Gaba</t>
  </si>
  <si>
    <t>Gabba</t>
  </si>
  <si>
    <t>Soya</t>
  </si>
  <si>
    <t>Auto spa</t>
  </si>
  <si>
    <t>Munyonyo</t>
  </si>
  <si>
    <t>BUGU</t>
  </si>
  <si>
    <t>Kibiri</t>
  </si>
  <si>
    <t>Ggangu</t>
  </si>
  <si>
    <t>Buggu</t>
  </si>
  <si>
    <t>Kibirii</t>
  </si>
  <si>
    <t>Gango</t>
  </si>
  <si>
    <t>Mulungu</t>
  </si>
  <si>
    <t>Mawanga</t>
  </si>
  <si>
    <t>KELTRON SERVICES</t>
  </si>
  <si>
    <t>Kabuuma</t>
  </si>
  <si>
    <t>Kabuma</t>
  </si>
  <si>
    <t xml:space="preserve">KIGO </t>
  </si>
  <si>
    <t>Kakoola</t>
  </si>
  <si>
    <t>Kiggo</t>
  </si>
  <si>
    <t>Kigo</t>
  </si>
  <si>
    <t>KIGO SERENE</t>
  </si>
  <si>
    <t>Busabala</t>
  </si>
  <si>
    <t>BUSAABALA</t>
  </si>
  <si>
    <t>BUSALABA</t>
  </si>
  <si>
    <t>Kanaaba</t>
  </si>
  <si>
    <t>Kibir</t>
  </si>
  <si>
    <t>KIBIIRI</t>
  </si>
  <si>
    <t>KAZI</t>
  </si>
  <si>
    <t>KAAZI</t>
  </si>
  <si>
    <t>Kazii</t>
  </si>
  <si>
    <t>Buzinga</t>
  </si>
  <si>
    <t>Kiruddu</t>
  </si>
  <si>
    <t>Kirundu</t>
  </si>
  <si>
    <t>Kirudu</t>
  </si>
  <si>
    <t>Kirudu hospital</t>
  </si>
  <si>
    <t xml:space="preserve">Bunga </t>
  </si>
  <si>
    <t>Bungu</t>
  </si>
  <si>
    <t>BUNGA</t>
  </si>
  <si>
    <t>Ggaba</t>
  </si>
  <si>
    <t>Konge</t>
  </si>
  <si>
    <t>Industrial Area</t>
  </si>
  <si>
    <t>Itek</t>
  </si>
  <si>
    <t>Kabalagala</t>
  </si>
  <si>
    <t>Muyenga</t>
  </si>
  <si>
    <t>Kabowa</t>
  </si>
  <si>
    <t>Kagugube</t>
  </si>
  <si>
    <t>Kamwokya</t>
  </si>
  <si>
    <t>KAMOKYA</t>
  </si>
  <si>
    <t>Mawanda</t>
  </si>
  <si>
    <t>Mawanda rd</t>
  </si>
  <si>
    <t>KAWOKYA</t>
  </si>
  <si>
    <t>KAMWOJA</t>
  </si>
  <si>
    <t>NBS</t>
  </si>
  <si>
    <t>Acacia mall</t>
  </si>
  <si>
    <t>ACACIA</t>
  </si>
  <si>
    <t>ACASSIA MALL</t>
  </si>
  <si>
    <t>ACACIA MALL KAMOKYA</t>
  </si>
  <si>
    <t>Kansanga</t>
  </si>
  <si>
    <t>Nganda</t>
  </si>
  <si>
    <t>Kasanga</t>
  </si>
  <si>
    <t>Kanyanya</t>
  </si>
  <si>
    <t>Kiteezi</t>
  </si>
  <si>
    <t>Lusanja</t>
  </si>
  <si>
    <t>Bamba</t>
  </si>
  <si>
    <t>Kasubi</t>
  </si>
  <si>
    <t>Hoima rd</t>
  </si>
  <si>
    <t>Namugona</t>
  </si>
  <si>
    <t>Namungona</t>
  </si>
  <si>
    <t>Namungoona</t>
  </si>
  <si>
    <t>NAMUNGHONA</t>
  </si>
  <si>
    <t>MAMUNGONA</t>
  </si>
  <si>
    <t>Cleanex petrol station</t>
  </si>
  <si>
    <t>Nasere</t>
  </si>
  <si>
    <t>KAWALA</t>
  </si>
  <si>
    <t>Kawaala</t>
  </si>
  <si>
    <t>Katwe</t>
  </si>
  <si>
    <t>QUEENS WAY</t>
  </si>
  <si>
    <t>Kawempe</t>
  </si>
  <si>
    <t>CENTRAL KAWEMPE</t>
  </si>
  <si>
    <t>Agakhan</t>
  </si>
  <si>
    <t>Kazo Angola</t>
  </si>
  <si>
    <t>Kibuli</t>
  </si>
  <si>
    <t>Kibuye</t>
  </si>
  <si>
    <t>Kikaaya</t>
  </si>
  <si>
    <t xml:space="preserve">Kisenyi </t>
  </si>
  <si>
    <t>MUKASA ROAD</t>
  </si>
  <si>
    <t>KISENYI  PARK</t>
  </si>
  <si>
    <t>KISENYI BUS TERMINAL</t>
  </si>
  <si>
    <t>Kasenyi</t>
  </si>
  <si>
    <t>Kisugu</t>
  </si>
  <si>
    <t>Kiswa</t>
  </si>
  <si>
    <t>Kiwatule</t>
  </si>
  <si>
    <t>KIWAATULE</t>
  </si>
  <si>
    <t>POLICE STATION KIWATULE</t>
  </si>
  <si>
    <t>KIGOWA</t>
  </si>
  <si>
    <t>Wamala</t>
  </si>
  <si>
    <t>Kajiri</t>
  </si>
  <si>
    <t>Kololo</t>
  </si>
  <si>
    <t>Upper Kololo</t>
  </si>
  <si>
    <t>ADONAI</t>
  </si>
  <si>
    <t>YUSUF LULE ROAD</t>
  </si>
  <si>
    <t>Yusuf Lule</t>
  </si>
  <si>
    <t>Kitante</t>
  </si>
  <si>
    <t>NYONYI GARDENS</t>
  </si>
  <si>
    <t>Lugogo</t>
  </si>
  <si>
    <t>Kinyara</t>
  </si>
  <si>
    <t>WAVA WATER-LUGOGO</t>
  </si>
  <si>
    <t>GAME SHOPPING CENTRE</t>
  </si>
  <si>
    <t>GAME</t>
  </si>
  <si>
    <t>LUGOGO BY PASS</t>
  </si>
  <si>
    <t>Lugogo Bypass</t>
  </si>
  <si>
    <t>Kyadondo</t>
  </si>
  <si>
    <t>Forest mall</t>
  </si>
  <si>
    <t>Kabojja</t>
  </si>
  <si>
    <t>KABOGGA</t>
  </si>
  <si>
    <t>KABOGA</t>
  </si>
  <si>
    <t>Wampewo</t>
  </si>
  <si>
    <t>Masoli</t>
  </si>
  <si>
    <t>Luteete</t>
  </si>
  <si>
    <t>Lutete</t>
  </si>
  <si>
    <t>Komamboga</t>
  </si>
  <si>
    <t>Kyambogo</t>
  </si>
  <si>
    <t>Kyambogo university</t>
  </si>
  <si>
    <t>Kyanja</t>
  </si>
  <si>
    <t>Kyanjja</t>
  </si>
  <si>
    <t>Kumbuzi</t>
  </si>
  <si>
    <t>Kyebando</t>
  </si>
  <si>
    <t>Kalerwe</t>
  </si>
  <si>
    <t>Kalelwe</t>
  </si>
  <si>
    <t>Kalerwa</t>
  </si>
  <si>
    <t>Lubaga</t>
  </si>
  <si>
    <t>Lukuli</t>
  </si>
  <si>
    <t>Lungujja</t>
  </si>
  <si>
    <t>Lunguja</t>
  </si>
  <si>
    <t xml:space="preserve">WAKALIGA </t>
  </si>
  <si>
    <t>Stabex</t>
  </si>
  <si>
    <t>Luwafu</t>
  </si>
  <si>
    <t>Mirembe</t>
  </si>
  <si>
    <t>Luzira</t>
  </si>
  <si>
    <t>Luzira Prisons</t>
  </si>
  <si>
    <t>Makerere</t>
  </si>
  <si>
    <t>MAKRERE</t>
  </si>
  <si>
    <t>Bila</t>
  </si>
  <si>
    <t>Billa</t>
  </si>
  <si>
    <t>KIKONI</t>
  </si>
  <si>
    <t>Makerere University</t>
  </si>
  <si>
    <t>Makindye</t>
  </si>
  <si>
    <t>Gangu</t>
  </si>
  <si>
    <t>Mbuya</t>
  </si>
  <si>
    <t>Mengo</t>
  </si>
  <si>
    <t>MENGO HOSPITAL</t>
  </si>
  <si>
    <t>Kabaka njagala</t>
  </si>
  <si>
    <t>Rubaga</t>
  </si>
  <si>
    <t>Kayanja</t>
  </si>
  <si>
    <t>Mpererwe</t>
  </si>
  <si>
    <t>Mpelerwe</t>
  </si>
  <si>
    <t>MPERWERWE</t>
  </si>
  <si>
    <t>MPEREWE</t>
  </si>
  <si>
    <t>MPERERE</t>
  </si>
  <si>
    <t>KAGOMA</t>
  </si>
  <si>
    <t>KATALEMWA</t>
  </si>
  <si>
    <t>Kitezi</t>
  </si>
  <si>
    <t>KITEZII</t>
  </si>
  <si>
    <t>KOMANBOGA</t>
  </si>
  <si>
    <t>Mulago</t>
  </si>
  <si>
    <t>MASULITA</t>
  </si>
  <si>
    <t>ST JUDE</t>
  </si>
  <si>
    <t>Mulogo</t>
  </si>
  <si>
    <t>MASUULITA</t>
  </si>
  <si>
    <t>Mutundwe</t>
  </si>
  <si>
    <t>KITEBI</t>
  </si>
  <si>
    <t>Mutungo</t>
  </si>
  <si>
    <t>MUTONGO BIINA</t>
  </si>
  <si>
    <t>Binna</t>
  </si>
  <si>
    <t>Mutungu</t>
  </si>
  <si>
    <t>Kitiko</t>
  </si>
  <si>
    <t>Mutugo</t>
  </si>
  <si>
    <t>BWEYA</t>
  </si>
  <si>
    <t>Kitintale</t>
  </si>
  <si>
    <t>KITANTALE</t>
  </si>
  <si>
    <t>KINTINTALE</t>
  </si>
  <si>
    <t>Muntungo</t>
  </si>
  <si>
    <t>Nabisunsa</t>
  </si>
  <si>
    <t>Naguru</t>
  </si>
  <si>
    <t>NAGULU POLICE</t>
  </si>
  <si>
    <t>NAGURU UPPER</t>
  </si>
  <si>
    <t>Lower Naguru</t>
  </si>
  <si>
    <t>Katalima</t>
  </si>
  <si>
    <t>SCHOOL CHERUBS</t>
  </si>
  <si>
    <t>KEMBABAZI</t>
  </si>
  <si>
    <t>NAGGULU</t>
  </si>
  <si>
    <t>NAGULU</t>
  </si>
  <si>
    <t>VICTORIA HOSPITAL</t>
  </si>
  <si>
    <t>Najjanankumbi</t>
  </si>
  <si>
    <t>Freedom city</t>
  </si>
  <si>
    <t>Stella</t>
  </si>
  <si>
    <t>Nyanama</t>
  </si>
  <si>
    <t>NAJJANAMKUMBI</t>
  </si>
  <si>
    <t>NAJJANAKUMBI</t>
  </si>
  <si>
    <t>Lubowa</t>
  </si>
  <si>
    <t>Lubuguma</t>
  </si>
  <si>
    <t>Lumbugu</t>
  </si>
  <si>
    <t>Lubugumu</t>
  </si>
  <si>
    <t>Lumbugumu</t>
  </si>
  <si>
    <t>NAJANANKUMBI</t>
  </si>
  <si>
    <t>NAJANAKUMBI</t>
  </si>
  <si>
    <t>Nalukolongo</t>
  </si>
  <si>
    <t>Wankulukuku</t>
  </si>
  <si>
    <t>Kabusu</t>
  </si>
  <si>
    <t>kabugo</t>
  </si>
  <si>
    <t>Zana</t>
  </si>
  <si>
    <t>Zzana</t>
  </si>
  <si>
    <t>ZAANA</t>
  </si>
  <si>
    <t>Namasuba</t>
  </si>
  <si>
    <t>Nakasero</t>
  </si>
  <si>
    <t>NAKASEERO</t>
  </si>
  <si>
    <t>Pearl Africa</t>
  </si>
  <si>
    <t>Kyagwe</t>
  </si>
  <si>
    <t>COLVILLE STREET</t>
  </si>
  <si>
    <t>Dembe</t>
  </si>
  <si>
    <t>Usafi</t>
  </si>
  <si>
    <t>Rwenzori courts</t>
  </si>
  <si>
    <t>Nakawa</t>
  </si>
  <si>
    <t>MUBS</t>
  </si>
  <si>
    <t xml:space="preserve">CAPITAL SHOPPERS NAKAWA </t>
  </si>
  <si>
    <t>NAKAWA  MARKET</t>
  </si>
  <si>
    <t>Nakawa stage</t>
  </si>
  <si>
    <t>Kinawataka</t>
  </si>
  <si>
    <t>UNRA</t>
  </si>
  <si>
    <t>UNRA OFFICES</t>
  </si>
  <si>
    <t>URA</t>
  </si>
  <si>
    <t>Nakawa Institute</t>
  </si>
  <si>
    <t>Nakivubo Shauriyaako</t>
  </si>
  <si>
    <t>Nakivubo</t>
  </si>
  <si>
    <t>Namirembe</t>
  </si>
  <si>
    <t>Bakuli</t>
  </si>
  <si>
    <t>Bukuli</t>
  </si>
  <si>
    <t>Bakuuli</t>
  </si>
  <si>
    <t>Nankulabye</t>
  </si>
  <si>
    <t>Nakulabye</t>
  </si>
  <si>
    <t>NABULAGALA</t>
  </si>
  <si>
    <t>Lusaze</t>
  </si>
  <si>
    <t>Nateete</t>
  </si>
  <si>
    <t>Natete</t>
  </si>
  <si>
    <t>Ndeeba</t>
  </si>
  <si>
    <t>Sawuliyako</t>
  </si>
  <si>
    <t>Mundebba</t>
  </si>
  <si>
    <t>Ndeba</t>
  </si>
  <si>
    <t>Nsambya</t>
  </si>
  <si>
    <t>Nsambya hospital</t>
  </si>
  <si>
    <t>Nsamya hospital</t>
  </si>
  <si>
    <t xml:space="preserve">NSAMBYA </t>
  </si>
  <si>
    <t>GOGONYA</t>
  </si>
  <si>
    <t>Nsambya Police Barracks</t>
  </si>
  <si>
    <t>Nsambya Railway</t>
  </si>
  <si>
    <t>Ntinda</t>
  </si>
  <si>
    <t>CAPITAL SHOPPERS NTINDA</t>
  </si>
  <si>
    <t>Container village</t>
  </si>
  <si>
    <t>UNEB NTINDA</t>
  </si>
  <si>
    <t>SEMAWATA ROAD</t>
  </si>
  <si>
    <t>Kisasi</t>
  </si>
  <si>
    <t>Kisota</t>
  </si>
  <si>
    <t>Kulambiro</t>
  </si>
  <si>
    <t>Kulambilo</t>
  </si>
  <si>
    <t>Sebagala</t>
  </si>
  <si>
    <t>Old Kampala</t>
  </si>
  <si>
    <t>OLD KAMPALA STAGE</t>
  </si>
  <si>
    <t>Kiseka</t>
  </si>
  <si>
    <t>Salaama</t>
  </si>
  <si>
    <t>Saalama</t>
  </si>
  <si>
    <t>Busiga</t>
  </si>
  <si>
    <t>Kyamula</t>
  </si>
  <si>
    <t>Lubwama</t>
  </si>
  <si>
    <t>Salama</t>
  </si>
  <si>
    <t>Wavamuno road</t>
  </si>
  <si>
    <t>Salaama road</t>
  </si>
  <si>
    <t>Salama road</t>
  </si>
  <si>
    <t>Kulekaana</t>
  </si>
  <si>
    <t>Upk</t>
  </si>
  <si>
    <t>Upper Estate</t>
  </si>
  <si>
    <t>Wabigalo</t>
  </si>
  <si>
    <t>Wandegeya</t>
  </si>
  <si>
    <t>YMCA WANDEGEYA</t>
  </si>
  <si>
    <t>Kavule</t>
  </si>
  <si>
    <t xml:space="preserve">WANDEYA </t>
  </si>
  <si>
    <t>Wandekeya</t>
  </si>
  <si>
    <t>Bombo road</t>
  </si>
  <si>
    <t>Case Hospital</t>
  </si>
  <si>
    <t>Balawoli</t>
  </si>
  <si>
    <t>Kamuli</t>
  </si>
  <si>
    <t>Bugabula</t>
  </si>
  <si>
    <t>Bugulumbya</t>
  </si>
  <si>
    <t>Buzaaya</t>
  </si>
  <si>
    <t>Bulopa</t>
  </si>
  <si>
    <t>Butansi</t>
  </si>
  <si>
    <t>Kamuli Municipality</t>
  </si>
  <si>
    <t>Kisozi</t>
  </si>
  <si>
    <t>Kitayunjwa</t>
  </si>
  <si>
    <t>Mbulamuti</t>
  </si>
  <si>
    <t>Nabwigulu</t>
  </si>
  <si>
    <t>Namasagali</t>
  </si>
  <si>
    <t>Namwendwa</t>
  </si>
  <si>
    <t>Nawanyago</t>
  </si>
  <si>
    <t>Wankole</t>
  </si>
  <si>
    <t>Biguli</t>
  </si>
  <si>
    <t>Bihanga-Kamwenge</t>
  </si>
  <si>
    <t>Buhanda</t>
  </si>
  <si>
    <t>Kitagwenda</t>
  </si>
  <si>
    <t>Busiriba</t>
  </si>
  <si>
    <t>Bwizi</t>
  </si>
  <si>
    <t>Kabambiro</t>
  </si>
  <si>
    <t>Kahunge</t>
  </si>
  <si>
    <t>Kamwenge Town Council</t>
  </si>
  <si>
    <t>Kanara-Kamwenge</t>
  </si>
  <si>
    <t>Kicheche</t>
  </si>
  <si>
    <t>Mahyoro</t>
  </si>
  <si>
    <t>Nkoma</t>
  </si>
  <si>
    <t>ssanga</t>
  </si>
  <si>
    <t>Kungu</t>
  </si>
  <si>
    <t>Ntara</t>
  </si>
  <si>
    <t>Nyabbani</t>
  </si>
  <si>
    <t>Rwamwanja Refugee Camp</t>
  </si>
  <si>
    <t>Butogota Town Council</t>
  </si>
  <si>
    <t>Kanungu</t>
  </si>
  <si>
    <t>Kinkiizi</t>
  </si>
  <si>
    <t>Kambuga</t>
  </si>
  <si>
    <t>Kambuga Town Council</t>
  </si>
  <si>
    <t>Kanungu Town Council</t>
  </si>
  <si>
    <t>Kanyantorogo</t>
  </si>
  <si>
    <t>Katete</t>
  </si>
  <si>
    <t>Kayonza-Kanungu</t>
  </si>
  <si>
    <t>Kihihi</t>
  </si>
  <si>
    <t>Kihiihi Town Council</t>
  </si>
  <si>
    <t>Kinaaba</t>
  </si>
  <si>
    <t>Kirima</t>
  </si>
  <si>
    <t>Mpungu</t>
  </si>
  <si>
    <t>Nyakinoni</t>
  </si>
  <si>
    <t>Nyamirama</t>
  </si>
  <si>
    <t>Nyanga</t>
  </si>
  <si>
    <t>Rugyeyo</t>
  </si>
  <si>
    <t>Rutenga</t>
  </si>
  <si>
    <t>Amukol</t>
  </si>
  <si>
    <t>Kapchorwa</t>
  </si>
  <si>
    <t>Tingey</t>
  </si>
  <si>
    <t>Chema</t>
  </si>
  <si>
    <t>Chepterech</t>
  </si>
  <si>
    <t>Gamogo</t>
  </si>
  <si>
    <t>Kabeywa</t>
  </si>
  <si>
    <t>Kapchorwa Municipality</t>
  </si>
  <si>
    <t>Kapsinda</t>
  </si>
  <si>
    <t>Kaptanya</t>
  </si>
  <si>
    <t>Kaserem</t>
  </si>
  <si>
    <t>Kawowo</t>
  </si>
  <si>
    <t>Munarya</t>
  </si>
  <si>
    <t>Sipi</t>
  </si>
  <si>
    <t>Bugoye</t>
  </si>
  <si>
    <t>Busongora</t>
  </si>
  <si>
    <t>Buhuhira</t>
  </si>
  <si>
    <t>Bwesumbu</t>
  </si>
  <si>
    <t>Hima Town Council</t>
  </si>
  <si>
    <t>Ihandiro</t>
  </si>
  <si>
    <t>Isango</t>
  </si>
  <si>
    <t>Karambi-Kasese</t>
  </si>
  <si>
    <t>Karusandara</t>
  </si>
  <si>
    <t>Kasese Municipality</t>
  </si>
  <si>
    <t>Kasese town</t>
  </si>
  <si>
    <t>Katwe Kabatoro Town Council</t>
  </si>
  <si>
    <t>Kilembe</t>
  </si>
  <si>
    <t>Kisinga</t>
  </si>
  <si>
    <t>Kisinga Town Council</t>
  </si>
  <si>
    <t>Kitholhu</t>
  </si>
  <si>
    <t>Kitswamba</t>
  </si>
  <si>
    <t>Kyabarungira</t>
  </si>
  <si>
    <t>Kyarumba</t>
  </si>
  <si>
    <t>Kyondo</t>
  </si>
  <si>
    <t>Lake Katwe</t>
  </si>
  <si>
    <t>Mahango</t>
  </si>
  <si>
    <t>Maliba</t>
  </si>
  <si>
    <t>Mpondwe-Lhubiriha</t>
  </si>
  <si>
    <t>Muhokya</t>
  </si>
  <si>
    <t>Munkunyu</t>
  </si>
  <si>
    <t>Nyakatonzi</t>
  </si>
  <si>
    <t>Nyakiyumbu</t>
  </si>
  <si>
    <t>Rukoki</t>
  </si>
  <si>
    <t>Kapujan</t>
  </si>
  <si>
    <t>Katakwi</t>
  </si>
  <si>
    <t>Toroma</t>
  </si>
  <si>
    <t>Usuk</t>
  </si>
  <si>
    <t>Katakwi Town Council</t>
  </si>
  <si>
    <t>Magoro</t>
  </si>
  <si>
    <t>Ngariam</t>
  </si>
  <si>
    <t>Omodoi</t>
  </si>
  <si>
    <t>Ongongoja</t>
  </si>
  <si>
    <t>Palam</t>
  </si>
  <si>
    <t>Bbaale</t>
  </si>
  <si>
    <t>Kayunga</t>
  </si>
  <si>
    <t>Busaana</t>
  </si>
  <si>
    <t>Ntenjeru</t>
  </si>
  <si>
    <t>Galiraya</t>
  </si>
  <si>
    <t>Kangulumira</t>
  </si>
  <si>
    <t>Kayonza-Kayunga</t>
  </si>
  <si>
    <t>Kayunga Town Council</t>
  </si>
  <si>
    <t xml:space="preserve">Kayunga town  </t>
  </si>
  <si>
    <t>KAYUNGA TOWN</t>
  </si>
  <si>
    <t>NDESE</t>
  </si>
  <si>
    <t>Ssenge</t>
  </si>
  <si>
    <t>Kitimbwa</t>
  </si>
  <si>
    <t>Nazigo</t>
  </si>
  <si>
    <t>Bubango</t>
  </si>
  <si>
    <t>Kibaale</t>
  </si>
  <si>
    <t>Buyanja</t>
  </si>
  <si>
    <t>Bwamiramira</t>
  </si>
  <si>
    <t>Kabasekende</t>
  </si>
  <si>
    <t>Kasimbi</t>
  </si>
  <si>
    <t>Kibaale Town Council</t>
  </si>
  <si>
    <t>Matale</t>
  </si>
  <si>
    <t>Mugarama</t>
  </si>
  <si>
    <t>Nyamarunda</t>
  </si>
  <si>
    <t>Nyamarwa</t>
  </si>
  <si>
    <t>Bukomero</t>
  </si>
  <si>
    <t>Kiboga</t>
  </si>
  <si>
    <t>Bukomelo</t>
  </si>
  <si>
    <t>Bukomero Town Council</t>
  </si>
  <si>
    <t>Ddwaniro-Kiboga</t>
  </si>
  <si>
    <t>Kapeke</t>
  </si>
  <si>
    <t>Kibiga</t>
  </si>
  <si>
    <t>Kiboga Town Council</t>
  </si>
  <si>
    <t>KIBOGA</t>
  </si>
  <si>
    <t>KIBOGA TOWN</t>
  </si>
  <si>
    <t>Lwamata</t>
  </si>
  <si>
    <t>Muwanga</t>
  </si>
  <si>
    <t>Bulangira</t>
  </si>
  <si>
    <t>Kibuku</t>
  </si>
  <si>
    <t>Buseta</t>
  </si>
  <si>
    <t>Kabweri</t>
  </si>
  <si>
    <t>Kadama</t>
  </si>
  <si>
    <t>Kagumu</t>
  </si>
  <si>
    <t>Kasasira</t>
  </si>
  <si>
    <t>Kibuku Town Council</t>
  </si>
  <si>
    <t>Kirika</t>
  </si>
  <si>
    <t>Tirinyi</t>
  </si>
  <si>
    <t>Buremba</t>
  </si>
  <si>
    <t>Kiruhura</t>
  </si>
  <si>
    <t>Kazo</t>
  </si>
  <si>
    <t>Burunga</t>
  </si>
  <si>
    <t>Engari</t>
  </si>
  <si>
    <t>Kanoni</t>
  </si>
  <si>
    <t>Kanyaryeru</t>
  </si>
  <si>
    <t>Nyabushozi</t>
  </si>
  <si>
    <t>Kashongi</t>
  </si>
  <si>
    <t>Rwakitura</t>
  </si>
  <si>
    <t>Kazo Town Council</t>
  </si>
  <si>
    <t>Kenshunga</t>
  </si>
  <si>
    <t>Kikaatsi</t>
  </si>
  <si>
    <t>Kinoni-Kiruhura</t>
  </si>
  <si>
    <t>Kiruhura Town Council</t>
  </si>
  <si>
    <t>Kitura</t>
  </si>
  <si>
    <t>Nkungu</t>
  </si>
  <si>
    <t>Nyakashashara</t>
  </si>
  <si>
    <t>Rwemikoma</t>
  </si>
  <si>
    <t>Sanga</t>
  </si>
  <si>
    <t>Sanga Town Council</t>
  </si>
  <si>
    <t>Bweyale Town Council</t>
  </si>
  <si>
    <t>Kiryandongo</t>
  </si>
  <si>
    <t>Kibanda</t>
  </si>
  <si>
    <t>Bweyale</t>
  </si>
  <si>
    <t>Kigumba</t>
  </si>
  <si>
    <t>Kigumba Town Council</t>
  </si>
  <si>
    <t>Karuma</t>
  </si>
  <si>
    <t>Kiryandongo Refugee Camp</t>
  </si>
  <si>
    <t>Kiryandongo Town Council</t>
  </si>
  <si>
    <t>KIRYANDONGO TOWN</t>
  </si>
  <si>
    <t>Masindi Port</t>
  </si>
  <si>
    <t>Mutunda</t>
  </si>
  <si>
    <t>Bukimbiri</t>
  </si>
  <si>
    <t>Kisoro</t>
  </si>
  <si>
    <t>Bufumbira</t>
  </si>
  <si>
    <t>Busanza</t>
  </si>
  <si>
    <t>Chahi</t>
  </si>
  <si>
    <t>Kanaba</t>
  </si>
  <si>
    <t>Kirundo</t>
  </si>
  <si>
    <t>Kisoro Municipality</t>
  </si>
  <si>
    <t>Muramba</t>
  </si>
  <si>
    <t>Murora</t>
  </si>
  <si>
    <t>Nyabwishenya</t>
  </si>
  <si>
    <t>Nyakabande</t>
  </si>
  <si>
    <t>Nyakinama</t>
  </si>
  <si>
    <t>Nyarubuye</t>
  </si>
  <si>
    <t>Nyarusiza</t>
  </si>
  <si>
    <t>Nyundo</t>
  </si>
  <si>
    <t>Rubuguri Town Council</t>
  </si>
  <si>
    <t>Kitgum Matidi</t>
  </si>
  <si>
    <t>Kitgum</t>
  </si>
  <si>
    <t>Chua</t>
  </si>
  <si>
    <t>Kitgum Municipality</t>
  </si>
  <si>
    <t>Labongo Akwang</t>
  </si>
  <si>
    <t>Labongo Amida</t>
  </si>
  <si>
    <t>Labongo Layamo</t>
  </si>
  <si>
    <t>Lagoro</t>
  </si>
  <si>
    <t>Mucwini</t>
  </si>
  <si>
    <t>Namokora</t>
  </si>
  <si>
    <t>Omiya Anyima</t>
  </si>
  <si>
    <t>Orom</t>
  </si>
  <si>
    <t>Abuku</t>
  </si>
  <si>
    <t>Koboko</t>
  </si>
  <si>
    <t>Dranya</t>
  </si>
  <si>
    <t>Koboko Municipality</t>
  </si>
  <si>
    <t>Kuluba</t>
  </si>
  <si>
    <t>Lobule</t>
  </si>
  <si>
    <t>Ludara</t>
  </si>
  <si>
    <t>Midia</t>
  </si>
  <si>
    <t>Aboke</t>
  </si>
  <si>
    <t>Kole</t>
  </si>
  <si>
    <t>Akalo</t>
  </si>
  <si>
    <t>Alito</t>
  </si>
  <si>
    <t>Ayer</t>
  </si>
  <si>
    <t>Bala</t>
  </si>
  <si>
    <t>Kole Town Council</t>
  </si>
  <si>
    <t>Okwerodot</t>
  </si>
  <si>
    <t>Kacheri</t>
  </si>
  <si>
    <t>Kotido</t>
  </si>
  <si>
    <t>Jie</t>
  </si>
  <si>
    <t>Kotido Municipality</t>
  </si>
  <si>
    <t>Nakapelimoru</t>
  </si>
  <si>
    <t>Panyangara</t>
  </si>
  <si>
    <t>Rengen</t>
  </si>
  <si>
    <t>Atutur</t>
  </si>
  <si>
    <t>Kumi</t>
  </si>
  <si>
    <t>Kanyum</t>
  </si>
  <si>
    <t>Kumi Municipality</t>
  </si>
  <si>
    <t>Mukongoro</t>
  </si>
  <si>
    <t>Nyero</t>
  </si>
  <si>
    <t>Ongino</t>
  </si>
  <si>
    <t>Benet</t>
  </si>
  <si>
    <t>Kween</t>
  </si>
  <si>
    <t>Binyiny</t>
  </si>
  <si>
    <t>Binyiny Town Council</t>
  </si>
  <si>
    <t>Kaproron</t>
  </si>
  <si>
    <t>Kaptoyoy</t>
  </si>
  <si>
    <t>Kaptum</t>
  </si>
  <si>
    <t>Kiriki</t>
  </si>
  <si>
    <t>Kitawoi</t>
  </si>
  <si>
    <t>Kwanyiy</t>
  </si>
  <si>
    <t>Kwosir</t>
  </si>
  <si>
    <t>Moyok</t>
  </si>
  <si>
    <t>Ngenge</t>
  </si>
  <si>
    <t>Bananywa</t>
  </si>
  <si>
    <t>Kyankwanzi</t>
  </si>
  <si>
    <t>Butemba</t>
  </si>
  <si>
    <t>Butemba Town Council</t>
  </si>
  <si>
    <t>Byerima</t>
  </si>
  <si>
    <t>Gayaza</t>
  </si>
  <si>
    <t>Manyangwa</t>
  </si>
  <si>
    <t>Gayaza rd</t>
  </si>
  <si>
    <t>Kabumba</t>
  </si>
  <si>
    <t>KAYNKWANZI</t>
  </si>
  <si>
    <t>Kyankwanzi Town Council</t>
  </si>
  <si>
    <t>BYELIMA</t>
  </si>
  <si>
    <t>KYANKWANZI TOWN</t>
  </si>
  <si>
    <t>Mulagi</t>
  </si>
  <si>
    <t>Nkandwa</t>
  </si>
  <si>
    <t>Ntwetwe</t>
  </si>
  <si>
    <t>Ntwetwe Town Council</t>
  </si>
  <si>
    <t>Wattuba</t>
  </si>
  <si>
    <t>Hapuuyo</t>
  </si>
  <si>
    <t>Kyegegwa</t>
  </si>
  <si>
    <t>Kyaka</t>
  </si>
  <si>
    <t>Kabweza Kyegegwa</t>
  </si>
  <si>
    <t>Kakabara</t>
  </si>
  <si>
    <t>Kasule</t>
  </si>
  <si>
    <t>Kyaka Ii Refugee Camp</t>
  </si>
  <si>
    <t>Kyegegwa Town Council</t>
  </si>
  <si>
    <t>Mpara</t>
  </si>
  <si>
    <t>Ruyonza</t>
  </si>
  <si>
    <t>Rwentuha</t>
  </si>
  <si>
    <t>Bufunjo</t>
  </si>
  <si>
    <t>Kyenjojo</t>
  </si>
  <si>
    <t>Mwenge</t>
  </si>
  <si>
    <t>Bugaaki</t>
  </si>
  <si>
    <t>Butiiti</t>
  </si>
  <si>
    <t>Butunduzi</t>
  </si>
  <si>
    <t>Butunduzi Town Council</t>
  </si>
  <si>
    <t>Katooke</t>
  </si>
  <si>
    <t>Katooke Town Council</t>
  </si>
  <si>
    <t>Kigaraale</t>
  </si>
  <si>
    <t>Kihuura</t>
  </si>
  <si>
    <t>Kisojo</t>
  </si>
  <si>
    <t>Kyarusozi</t>
  </si>
  <si>
    <t>Kyarusozi Town Council</t>
  </si>
  <si>
    <t>Kyenjojo Town Council</t>
  </si>
  <si>
    <t>Nyabuharwa</t>
  </si>
  <si>
    <t>Nyankwanzi</t>
  </si>
  <si>
    <t>Nyantungo</t>
  </si>
  <si>
    <t>Kabira</t>
  </si>
  <si>
    <t>Kyotera</t>
  </si>
  <si>
    <t>Kalisizo</t>
  </si>
  <si>
    <t>Kalisizo Town Council</t>
  </si>
  <si>
    <t>Kasasa</t>
  </si>
  <si>
    <t>Kooki</t>
  </si>
  <si>
    <t>Kirumba</t>
  </si>
  <si>
    <t>Kyebe</t>
  </si>
  <si>
    <t>Kyotera Town Council</t>
  </si>
  <si>
    <t xml:space="preserve">KYOTERA </t>
  </si>
  <si>
    <t>Lwankoni</t>
  </si>
  <si>
    <t>Nabigasa</t>
  </si>
  <si>
    <t>Agoro</t>
  </si>
  <si>
    <t>Lamwo</t>
  </si>
  <si>
    <t>Lamwo Town Council</t>
  </si>
  <si>
    <t>Lokung</t>
  </si>
  <si>
    <t>Madi Opei</t>
  </si>
  <si>
    <t>Padibe</t>
  </si>
  <si>
    <t>Palabek</t>
  </si>
  <si>
    <t>Paloga</t>
  </si>
  <si>
    <t>Adekokwok</t>
  </si>
  <si>
    <t>Lira</t>
  </si>
  <si>
    <t>Erute</t>
  </si>
  <si>
    <t>Agali</t>
  </si>
  <si>
    <t>Agweng</t>
  </si>
  <si>
    <t>Amach</t>
  </si>
  <si>
    <t>Aromo</t>
  </si>
  <si>
    <t>Barr</t>
  </si>
  <si>
    <t>Lira Municipality</t>
  </si>
  <si>
    <t>Ngetta</t>
  </si>
  <si>
    <t>Ogur</t>
  </si>
  <si>
    <t>Luuka</t>
  </si>
  <si>
    <t>Bukooma</t>
  </si>
  <si>
    <t>Bulongo</t>
  </si>
  <si>
    <t>Ikumbya</t>
  </si>
  <si>
    <t>Irongo</t>
  </si>
  <si>
    <t>Luuka Town Council</t>
  </si>
  <si>
    <t>Nawampiti</t>
  </si>
  <si>
    <t>Waibuga</t>
  </si>
  <si>
    <t>Bamunanika</t>
  </si>
  <si>
    <t>Luwero</t>
  </si>
  <si>
    <t>Bombo Town Council</t>
  </si>
  <si>
    <t>Katikamu</t>
  </si>
  <si>
    <t>Bombo</t>
  </si>
  <si>
    <t>Bombo barax</t>
  </si>
  <si>
    <t>NAKWAYA</t>
  </si>
  <si>
    <t>Butuntumula</t>
  </si>
  <si>
    <t>Kiwoko</t>
  </si>
  <si>
    <t>Kalagala</t>
  </si>
  <si>
    <t>Kamira</t>
  </si>
  <si>
    <t>Bukalasa</t>
  </si>
  <si>
    <t>Kikyusa</t>
  </si>
  <si>
    <t>LUWERO TOWN</t>
  </si>
  <si>
    <t>Luwero Town Council</t>
  </si>
  <si>
    <t>Kalule</t>
  </si>
  <si>
    <t>Makulubita</t>
  </si>
  <si>
    <t>Nyimbwa</t>
  </si>
  <si>
    <t>Wobulenzi Town Council</t>
  </si>
  <si>
    <t xml:space="preserve">Wobulenzi  </t>
  </si>
  <si>
    <t>Wobulenzi</t>
  </si>
  <si>
    <t>WOBULEZI</t>
  </si>
  <si>
    <t>Zirobwe</t>
  </si>
  <si>
    <t>Kisekka</t>
  </si>
  <si>
    <t>Lwengo</t>
  </si>
  <si>
    <t>Kkingo</t>
  </si>
  <si>
    <t>Kyazanga</t>
  </si>
  <si>
    <t>Kyazanga Town Council</t>
  </si>
  <si>
    <t>Lwengo Town Council</t>
  </si>
  <si>
    <t>Malongo-Lwengo</t>
  </si>
  <si>
    <t>Ndagwe</t>
  </si>
  <si>
    <t>Kaliiro</t>
  </si>
  <si>
    <t>Lyantonde</t>
  </si>
  <si>
    <t>Kabula</t>
  </si>
  <si>
    <t>Kasagama</t>
  </si>
  <si>
    <t>Kinuuka</t>
  </si>
  <si>
    <t>Lyantonde Town Council</t>
  </si>
  <si>
    <t>Mpumudde-Lyantonde</t>
  </si>
  <si>
    <t>Nakawuka</t>
  </si>
  <si>
    <t>Bugobero</t>
  </si>
  <si>
    <t>Manafwa</t>
  </si>
  <si>
    <t>Bubulo</t>
  </si>
  <si>
    <t>Bukhofu</t>
  </si>
  <si>
    <t>Bukusu</t>
  </si>
  <si>
    <t>Bunabwana</t>
  </si>
  <si>
    <t>Bunyinza Town Council</t>
  </si>
  <si>
    <t>Busukuya</t>
  </si>
  <si>
    <t>Butiru</t>
  </si>
  <si>
    <t>Butta</t>
  </si>
  <si>
    <t>Buwagogo</t>
  </si>
  <si>
    <t>Buwangani Town Council</t>
  </si>
  <si>
    <t>Kaato</t>
  </si>
  <si>
    <t>Khabutoola</t>
  </si>
  <si>
    <t>Manafwa Town Council</t>
  </si>
  <si>
    <t>Nalondo</t>
  </si>
  <si>
    <t>Sibanga</t>
  </si>
  <si>
    <t>Sisuni</t>
  </si>
  <si>
    <t>Weswa</t>
  </si>
  <si>
    <t>Kijomoro</t>
  </si>
  <si>
    <t>Maracha</t>
  </si>
  <si>
    <t>Maracha Town Council</t>
  </si>
  <si>
    <t>Nyadri</t>
  </si>
  <si>
    <t>Oleba</t>
  </si>
  <si>
    <t>Oluffe</t>
  </si>
  <si>
    <t>Oluvu</t>
  </si>
  <si>
    <t>Tara</t>
  </si>
  <si>
    <t>Yivu</t>
  </si>
  <si>
    <t>Bukakata</t>
  </si>
  <si>
    <t>Buwunga-Masaka</t>
  </si>
  <si>
    <t>Kabonera</t>
  </si>
  <si>
    <t>Kyanamukaaka</t>
  </si>
  <si>
    <t>Kyesiiga</t>
  </si>
  <si>
    <t>Masaka Municipality</t>
  </si>
  <si>
    <t>MAYA</t>
  </si>
  <si>
    <t>MAAYA</t>
  </si>
  <si>
    <t xml:space="preserve">MASAKA TOWN </t>
  </si>
  <si>
    <t>masaka town</t>
  </si>
  <si>
    <t>Nabugabo</t>
  </si>
  <si>
    <t>Masaka road</t>
  </si>
  <si>
    <t xml:space="preserve">Masaka  </t>
  </si>
  <si>
    <t>MASAKA</t>
  </si>
  <si>
    <t>Mukungwe</t>
  </si>
  <si>
    <t>Budongo</t>
  </si>
  <si>
    <t>Masindi</t>
  </si>
  <si>
    <t>Bujenje</t>
  </si>
  <si>
    <t>Bwijanga</t>
  </si>
  <si>
    <t>Kimengo</t>
  </si>
  <si>
    <t>Buruli</t>
  </si>
  <si>
    <t>Masindi Municipality</t>
  </si>
  <si>
    <t>Miirya</t>
  </si>
  <si>
    <t>Pakanyi</t>
  </si>
  <si>
    <t>Baitambogwe</t>
  </si>
  <si>
    <t>Mayuge</t>
  </si>
  <si>
    <t>Bunya</t>
  </si>
  <si>
    <t>Bukabooli</t>
  </si>
  <si>
    <t>Bukatube</t>
  </si>
  <si>
    <t>Busakira</t>
  </si>
  <si>
    <t>Buwaaya</t>
  </si>
  <si>
    <t>Imanyiro</t>
  </si>
  <si>
    <t>Jaguzi</t>
  </si>
  <si>
    <t>Kigandalo</t>
  </si>
  <si>
    <t>Kityerera</t>
  </si>
  <si>
    <t>Magamaga Town Council</t>
  </si>
  <si>
    <t>Malongo-Mayuge</t>
  </si>
  <si>
    <t>Mayuge Town Council</t>
  </si>
  <si>
    <t>Mpungwe</t>
  </si>
  <si>
    <t>Wairasa</t>
  </si>
  <si>
    <t>Bubyangu</t>
  </si>
  <si>
    <t>Mbale</t>
  </si>
  <si>
    <t>Bungokho</t>
  </si>
  <si>
    <t>Budwale</t>
  </si>
  <si>
    <t>Bufumbo</t>
  </si>
  <si>
    <t>Bukasakya</t>
  </si>
  <si>
    <t>Bukiende</t>
  </si>
  <si>
    <t>Bukonde</t>
  </si>
  <si>
    <t>Bumasikye</t>
  </si>
  <si>
    <t>Bumbobi</t>
  </si>
  <si>
    <t>Bungokho Mutoto</t>
  </si>
  <si>
    <t>Busano</t>
  </si>
  <si>
    <t>Busiu</t>
  </si>
  <si>
    <t>Busiu Town Council</t>
  </si>
  <si>
    <t>Busoba</t>
  </si>
  <si>
    <t>Lukhonge</t>
  </si>
  <si>
    <t>Lwasso</t>
  </si>
  <si>
    <t>Mbale Municipality</t>
  </si>
  <si>
    <t>Mbale town</t>
  </si>
  <si>
    <t>MBALE  TOWN</t>
  </si>
  <si>
    <t>Nabumali Town Council</t>
  </si>
  <si>
    <t>Nakaloke</t>
  </si>
  <si>
    <t>Nakaloke Town Council</t>
  </si>
  <si>
    <t>Namanyonyi</t>
  </si>
  <si>
    <t>Nyondo</t>
  </si>
  <si>
    <t>Wanale</t>
  </si>
  <si>
    <t>Bubaare-Mbarara</t>
  </si>
  <si>
    <t>Mbarara</t>
  </si>
  <si>
    <t>Kashari</t>
  </si>
  <si>
    <t>Bugamba</t>
  </si>
  <si>
    <t>Rwampara</t>
  </si>
  <si>
    <t>Bukiro</t>
  </si>
  <si>
    <t>Kagongi</t>
  </si>
  <si>
    <t>Kashare</t>
  </si>
  <si>
    <t>Mbarara Municipality</t>
  </si>
  <si>
    <t>Mbarara town</t>
  </si>
  <si>
    <t>MBARARA</t>
  </si>
  <si>
    <t>Mwizi</t>
  </si>
  <si>
    <t>Ndeija</t>
  </si>
  <si>
    <t>Rubaya-Mbarara</t>
  </si>
  <si>
    <t>Rubindi</t>
  </si>
  <si>
    <t>Rugando</t>
  </si>
  <si>
    <t>Rwanyamahembe</t>
  </si>
  <si>
    <t>Bitereko</t>
  </si>
  <si>
    <t>Ruhinda</t>
  </si>
  <si>
    <t>Kanyabwanga</t>
  </si>
  <si>
    <t>Kashenshero</t>
  </si>
  <si>
    <t>Kashenshero Town Council</t>
  </si>
  <si>
    <t>Katenga</t>
  </si>
  <si>
    <t>Kiyanga</t>
  </si>
  <si>
    <t>Mayanga</t>
  </si>
  <si>
    <t>Mitooma Town Council</t>
  </si>
  <si>
    <t>Mutara</t>
  </si>
  <si>
    <t>Rurehe</t>
  </si>
  <si>
    <t>Bbanda</t>
  </si>
  <si>
    <t>Mityana</t>
  </si>
  <si>
    <t>Busujju</t>
  </si>
  <si>
    <t>Bulera</t>
  </si>
  <si>
    <t>Busimbi Division</t>
  </si>
  <si>
    <t>Mityana Municipality</t>
  </si>
  <si>
    <t>Busunju Town Council</t>
  </si>
  <si>
    <t>Busunju</t>
  </si>
  <si>
    <t>Busunjo</t>
  </si>
  <si>
    <t>BUSINJU</t>
  </si>
  <si>
    <t>Busunjju</t>
  </si>
  <si>
    <t>Butayunja</t>
  </si>
  <si>
    <t>Kakindu</t>
  </si>
  <si>
    <t>Kalangaalo</t>
  </si>
  <si>
    <t>Kikandwa</t>
  </si>
  <si>
    <t>Maanyi</t>
  </si>
  <si>
    <t>Malangala</t>
  </si>
  <si>
    <t xml:space="preserve">Mityana  </t>
  </si>
  <si>
    <t>Busula</t>
  </si>
  <si>
    <t>MITIYANA</t>
  </si>
  <si>
    <t>KOONA</t>
  </si>
  <si>
    <t>SEKANYONYI</t>
  </si>
  <si>
    <t>Mityana town</t>
  </si>
  <si>
    <t>Mitiyana town</t>
  </si>
  <si>
    <t>Namungo</t>
  </si>
  <si>
    <t>Ssekanyonyi</t>
  </si>
  <si>
    <t>Katikekile</t>
  </si>
  <si>
    <t>Matheniko</t>
  </si>
  <si>
    <t>Moroto Municipality</t>
  </si>
  <si>
    <t>MOROTO</t>
  </si>
  <si>
    <t>Nadunget</t>
  </si>
  <si>
    <t>Rupa</t>
  </si>
  <si>
    <t>Tapac</t>
  </si>
  <si>
    <t>Aliba</t>
  </si>
  <si>
    <t>Moyo</t>
  </si>
  <si>
    <t>Obongi</t>
  </si>
  <si>
    <t>Difule</t>
  </si>
  <si>
    <t>West Moyo</t>
  </si>
  <si>
    <t>Gimara</t>
  </si>
  <si>
    <t>Itula</t>
  </si>
  <si>
    <t>Laropi</t>
  </si>
  <si>
    <t>Lefori</t>
  </si>
  <si>
    <t>Metu</t>
  </si>
  <si>
    <t>Moyo Town Council</t>
  </si>
  <si>
    <t>Buwama</t>
  </si>
  <si>
    <t>Mpigi</t>
  </si>
  <si>
    <t>Mawokota</t>
  </si>
  <si>
    <t>Kammengo</t>
  </si>
  <si>
    <t>Kiringente</t>
  </si>
  <si>
    <t>Kituntu</t>
  </si>
  <si>
    <t>Mpigi Town Council</t>
  </si>
  <si>
    <t xml:space="preserve">MPIGI TOWN </t>
  </si>
  <si>
    <t>Kayabwe</t>
  </si>
  <si>
    <t>Watubba</t>
  </si>
  <si>
    <t>Kayebwe</t>
  </si>
  <si>
    <t>Muduuma</t>
  </si>
  <si>
    <t>Nkozi</t>
  </si>
  <si>
    <t>Bagezza</t>
  </si>
  <si>
    <t>Mubende</t>
  </si>
  <si>
    <t>Kasambya</t>
  </si>
  <si>
    <t>Bukuya</t>
  </si>
  <si>
    <t>Kassanda</t>
  </si>
  <si>
    <t>Kamengo</t>
  </si>
  <si>
    <t>Butoloogo</t>
  </si>
  <si>
    <t>Buwekula</t>
  </si>
  <si>
    <t>Kalwana</t>
  </si>
  <si>
    <t>Kasambya-Mubende</t>
  </si>
  <si>
    <t>Kasanda</t>
  </si>
  <si>
    <t>Kibalinga</t>
  </si>
  <si>
    <t>Kiganda</t>
  </si>
  <si>
    <t>Kigando</t>
  </si>
  <si>
    <t>Kitenga</t>
  </si>
  <si>
    <t>Kitumbi</t>
  </si>
  <si>
    <t>Kiyuni</t>
  </si>
  <si>
    <t>Madudu</t>
  </si>
  <si>
    <t>Makokoto</t>
  </si>
  <si>
    <t>Manyogaseka</t>
  </si>
  <si>
    <t>Mubende Municipality</t>
  </si>
  <si>
    <t>Mubende town</t>
  </si>
  <si>
    <t>Kigezi</t>
  </si>
  <si>
    <t>FORTPOTAL</t>
  </si>
  <si>
    <t>MUBENDE</t>
  </si>
  <si>
    <t>Myanzi</t>
  </si>
  <si>
    <t>Nabingoola</t>
  </si>
  <si>
    <t>Kasawo</t>
  </si>
  <si>
    <t>Mukono</t>
  </si>
  <si>
    <t>Nakifuma</t>
  </si>
  <si>
    <t>Kimenyedde</t>
  </si>
  <si>
    <t>Koome Island</t>
  </si>
  <si>
    <t>Kyampisi</t>
  </si>
  <si>
    <t>Mpatta</t>
  </si>
  <si>
    <t>Mpunge</t>
  </si>
  <si>
    <t>Mukono Municipality</t>
  </si>
  <si>
    <t>TOWN MUKONO</t>
  </si>
  <si>
    <t xml:space="preserve">MUKONO TOWN </t>
  </si>
  <si>
    <t xml:space="preserve">MUKONO </t>
  </si>
  <si>
    <t>Namanve</t>
  </si>
  <si>
    <t>Kalagi</t>
  </si>
  <si>
    <t>NAKIFUMA</t>
  </si>
  <si>
    <t>Mbalala</t>
  </si>
  <si>
    <t>Mukono park</t>
  </si>
  <si>
    <t>Mukono Town</t>
  </si>
  <si>
    <t>Nabbaale</t>
  </si>
  <si>
    <t>Nagojje</t>
  </si>
  <si>
    <t>Nakisunga</t>
  </si>
  <si>
    <t>Nama</t>
  </si>
  <si>
    <t>Kubiiri</t>
  </si>
  <si>
    <t>Ntunda</t>
  </si>
  <si>
    <t>SETTA</t>
  </si>
  <si>
    <t>Seeta Namuganga</t>
  </si>
  <si>
    <t>Kakomongole</t>
  </si>
  <si>
    <t>Nakapiripirit</t>
  </si>
  <si>
    <t>Chekwii</t>
  </si>
  <si>
    <t>Lolachat</t>
  </si>
  <si>
    <t>Pian</t>
  </si>
  <si>
    <t>Loregae</t>
  </si>
  <si>
    <t>Lorengedwat</t>
  </si>
  <si>
    <t>Moruita</t>
  </si>
  <si>
    <t>Nabilatuk</t>
  </si>
  <si>
    <t>Nakapiripirit Town Council</t>
  </si>
  <si>
    <t>Namalu</t>
  </si>
  <si>
    <t>Butalangu Town Council</t>
  </si>
  <si>
    <t>Nakaseke</t>
  </si>
  <si>
    <t>Kapeeka</t>
  </si>
  <si>
    <t>Kasangombe</t>
  </si>
  <si>
    <t>Kikamulo</t>
  </si>
  <si>
    <t>Kinoni-Nakaseke</t>
  </si>
  <si>
    <t>Kinyogoga</t>
  </si>
  <si>
    <t>Kito</t>
  </si>
  <si>
    <t>Kiwoko Town Council</t>
  </si>
  <si>
    <t>Nakaseke Town Council</t>
  </si>
  <si>
    <t>NAKASEKE TOWN</t>
  </si>
  <si>
    <t>Ngoma Town Council</t>
  </si>
  <si>
    <t>Ngoma</t>
  </si>
  <si>
    <t>Ngoma-Nakaseke</t>
  </si>
  <si>
    <t>Semuto</t>
  </si>
  <si>
    <t>KAPEKA</t>
  </si>
  <si>
    <t>Semuto Town Council</t>
  </si>
  <si>
    <t>Wakyato</t>
  </si>
  <si>
    <t>Kakooge</t>
  </si>
  <si>
    <t>Nakasongola</t>
  </si>
  <si>
    <t>Kakooge Town Council</t>
  </si>
  <si>
    <t>Kalongo</t>
  </si>
  <si>
    <t>Kalungi</t>
  </si>
  <si>
    <t>Lwabiyata</t>
  </si>
  <si>
    <t>Lwampanga</t>
  </si>
  <si>
    <t>Migeera Town Council</t>
  </si>
  <si>
    <t>Nabisweera</t>
  </si>
  <si>
    <t>Nakasongola Town Council</t>
  </si>
  <si>
    <t>NAKASONGOLA TOWN</t>
  </si>
  <si>
    <t>Nakitoma</t>
  </si>
  <si>
    <t>Wabinyonyi</t>
  </si>
  <si>
    <t>Namayingo</t>
  </si>
  <si>
    <t>Bukooli</t>
  </si>
  <si>
    <t>Banda stage</t>
  </si>
  <si>
    <t>Buhemba</t>
  </si>
  <si>
    <t>Bukana</t>
  </si>
  <si>
    <t>Buswale</t>
  </si>
  <si>
    <t>Buyinja</t>
  </si>
  <si>
    <t>Lolwe</t>
  </si>
  <si>
    <t>Mutumba</t>
  </si>
  <si>
    <t>Namayingo Town Council</t>
  </si>
  <si>
    <t>Sigulu Island</t>
  </si>
  <si>
    <t>Bubutu</t>
  </si>
  <si>
    <t>Namisindwa</t>
  </si>
  <si>
    <t>Bukhabusi</t>
  </si>
  <si>
    <t>Bukhaweka</t>
  </si>
  <si>
    <t>Bukiabi</t>
  </si>
  <si>
    <t>Bukokho</t>
  </si>
  <si>
    <t>Bumbo</t>
  </si>
  <si>
    <t>Bumwoni</t>
  </si>
  <si>
    <t>Bupoto</t>
  </si>
  <si>
    <t>Buwabwala</t>
  </si>
  <si>
    <t>Lwakhakha Town Council</t>
  </si>
  <si>
    <t>Magale</t>
  </si>
  <si>
    <t>Magale Town Council</t>
  </si>
  <si>
    <t>Mukoto</t>
  </si>
  <si>
    <t>Namabya</t>
  </si>
  <si>
    <t>Namboko</t>
  </si>
  <si>
    <t>Namisindwa Town Council</t>
  </si>
  <si>
    <t>Tsekululu</t>
  </si>
  <si>
    <t>Bulange</t>
  </si>
  <si>
    <t>Namutumba</t>
  </si>
  <si>
    <t>Busiki</t>
  </si>
  <si>
    <t>Ivukula</t>
  </si>
  <si>
    <t>Magada</t>
  </si>
  <si>
    <t>Nabweyo</t>
  </si>
  <si>
    <t>Namutumba Town Council</t>
  </si>
  <si>
    <t>Nangonde</t>
  </si>
  <si>
    <t>Nsinze</t>
  </si>
  <si>
    <t>Iriiri</t>
  </si>
  <si>
    <t>Napak</t>
  </si>
  <si>
    <t>Bokora</t>
  </si>
  <si>
    <t>Lokopo</t>
  </si>
  <si>
    <t>Lopeei</t>
  </si>
  <si>
    <t>Lorengecora</t>
  </si>
  <si>
    <t>Lotome</t>
  </si>
  <si>
    <t>Matany</t>
  </si>
  <si>
    <t>Napak Town Council</t>
  </si>
  <si>
    <t>Ngoleriet</t>
  </si>
  <si>
    <t>Akworo</t>
  </si>
  <si>
    <t>Nebbi</t>
  </si>
  <si>
    <t>Padyere</t>
  </si>
  <si>
    <t>Atego</t>
  </si>
  <si>
    <t>Erussi</t>
  </si>
  <si>
    <t>Kucwiny</t>
  </si>
  <si>
    <t>Ndhew</t>
  </si>
  <si>
    <t>Nebbi Municipality</t>
  </si>
  <si>
    <t>Nyaravur</t>
  </si>
  <si>
    <t>Parombo</t>
  </si>
  <si>
    <t>Kapir</t>
  </si>
  <si>
    <t>Ngora</t>
  </si>
  <si>
    <t>Kobwin</t>
  </si>
  <si>
    <t>Mukura</t>
  </si>
  <si>
    <t>Ngora Town Council</t>
  </si>
  <si>
    <t>Butungama</t>
  </si>
  <si>
    <t>Ntoroko</t>
  </si>
  <si>
    <t>Bweramule</t>
  </si>
  <si>
    <t>Kanara Town Council</t>
  </si>
  <si>
    <t>Kanara-Ntoroko</t>
  </si>
  <si>
    <t>Karugutu</t>
  </si>
  <si>
    <t>Karugutu Town Council</t>
  </si>
  <si>
    <t>Kibuuku Town Council</t>
  </si>
  <si>
    <t>Nombe</t>
  </si>
  <si>
    <t>Rwebisengo</t>
  </si>
  <si>
    <t>Rwebisengo Town Council</t>
  </si>
  <si>
    <t>Bwongyera</t>
  </si>
  <si>
    <t>Kajara</t>
  </si>
  <si>
    <t>Ihunga</t>
  </si>
  <si>
    <t>Itojo</t>
  </si>
  <si>
    <t>Ruhaama</t>
  </si>
  <si>
    <t>Kagarama Town Council</t>
  </si>
  <si>
    <t>Kayonza-Ntungamo</t>
  </si>
  <si>
    <t>Rushenyi</t>
  </si>
  <si>
    <t>Kibatsi</t>
  </si>
  <si>
    <t>Kitwe Town Council</t>
  </si>
  <si>
    <t>Ngoma-Ntungamo</t>
  </si>
  <si>
    <t>Ntungamo Municipality</t>
  </si>
  <si>
    <t>Ntugamo</t>
  </si>
  <si>
    <t>NTUNGAMO TOWN</t>
  </si>
  <si>
    <t>Nyabihoko</t>
  </si>
  <si>
    <t>Nyakyera</t>
  </si>
  <si>
    <t>Rubaare Town Council</t>
  </si>
  <si>
    <t>Rugarama-Ntungamo</t>
  </si>
  <si>
    <t>Rukoni East</t>
  </si>
  <si>
    <t>Rukoni West</t>
  </si>
  <si>
    <t>Rwashamaire Town Council</t>
  </si>
  <si>
    <t>Rweikiniro</t>
  </si>
  <si>
    <t>Alero</t>
  </si>
  <si>
    <t>Nwoya</t>
  </si>
  <si>
    <t>Anaka Payira</t>
  </si>
  <si>
    <t>Anaka Town Council</t>
  </si>
  <si>
    <t>Koch-Goma</t>
  </si>
  <si>
    <t>Purongo</t>
  </si>
  <si>
    <t>Bobi</t>
  </si>
  <si>
    <t>Koro</t>
  </si>
  <si>
    <t>Lakwana</t>
  </si>
  <si>
    <t>Lalogi</t>
  </si>
  <si>
    <t>Odek</t>
  </si>
  <si>
    <t>Omoro Town Council</t>
  </si>
  <si>
    <t>Ongako</t>
  </si>
  <si>
    <t>Adwari</t>
  </si>
  <si>
    <t>Otuke</t>
  </si>
  <si>
    <t>Alango</t>
  </si>
  <si>
    <t>Ogor</t>
  </si>
  <si>
    <t>Ogwette</t>
  </si>
  <si>
    <t>Okwang</t>
  </si>
  <si>
    <t>Olilim</t>
  </si>
  <si>
    <t>Orum</t>
  </si>
  <si>
    <t>Otuke Town Council</t>
  </si>
  <si>
    <t>Aber</t>
  </si>
  <si>
    <t>Oyam</t>
  </si>
  <si>
    <t>Abok</t>
  </si>
  <si>
    <t>Acaba</t>
  </si>
  <si>
    <t>Aleka</t>
  </si>
  <si>
    <t>Iceme</t>
  </si>
  <si>
    <t>Kamdini</t>
  </si>
  <si>
    <t>Kamudini</t>
  </si>
  <si>
    <t>Loro</t>
  </si>
  <si>
    <t>Minakulu</t>
  </si>
  <si>
    <t>Myene</t>
  </si>
  <si>
    <t>Ngai</t>
  </si>
  <si>
    <t>Otwal</t>
  </si>
  <si>
    <t>Oyam Town Council</t>
  </si>
  <si>
    <t>Acholibur</t>
  </si>
  <si>
    <t>Pader</t>
  </si>
  <si>
    <t>Aruu</t>
  </si>
  <si>
    <t>Angagura</t>
  </si>
  <si>
    <t>Atanga</t>
  </si>
  <si>
    <t>Awere</t>
  </si>
  <si>
    <t>Laguti</t>
  </si>
  <si>
    <t>Lapul</t>
  </si>
  <si>
    <t>Latanya</t>
  </si>
  <si>
    <t>Ogom</t>
  </si>
  <si>
    <t>Pader Town Council</t>
  </si>
  <si>
    <t>Pajule</t>
  </si>
  <si>
    <t>Puranga</t>
  </si>
  <si>
    <t>Alwi</t>
  </si>
  <si>
    <t>Pakwach</t>
  </si>
  <si>
    <t>Jonam</t>
  </si>
  <si>
    <t>Parkwach</t>
  </si>
  <si>
    <t>Pakwach Town Council</t>
  </si>
  <si>
    <t>Panyango</t>
  </si>
  <si>
    <t>Panyimur</t>
  </si>
  <si>
    <t>Wadelai</t>
  </si>
  <si>
    <t>Agule</t>
  </si>
  <si>
    <t>Pallisa</t>
  </si>
  <si>
    <t>Akisim</t>
  </si>
  <si>
    <t>Apopong</t>
  </si>
  <si>
    <t>Chelekura</t>
  </si>
  <si>
    <t>Gogonyo</t>
  </si>
  <si>
    <t>Kameke</t>
  </si>
  <si>
    <t>Kamuge</t>
  </si>
  <si>
    <t>Kasodo</t>
  </si>
  <si>
    <t>Olok</t>
  </si>
  <si>
    <t>Pallisa Town Council</t>
  </si>
  <si>
    <t>Puti-Puti</t>
  </si>
  <si>
    <t>Byakabanda</t>
  </si>
  <si>
    <t>Rakai</t>
  </si>
  <si>
    <t>Ddwaniro-Rakai</t>
  </si>
  <si>
    <t>Kacheera</t>
  </si>
  <si>
    <t>Kagamba</t>
  </si>
  <si>
    <t>Kakuuto</t>
  </si>
  <si>
    <t>Kifamba</t>
  </si>
  <si>
    <t>Kiziba</t>
  </si>
  <si>
    <t>Kyalulangira</t>
  </si>
  <si>
    <t>Lwamaggwa</t>
  </si>
  <si>
    <t>Lwanda</t>
  </si>
  <si>
    <t>Rakai Town Council</t>
  </si>
  <si>
    <t>Kiluli</t>
  </si>
  <si>
    <t>Bubaare-Rubanda</t>
  </si>
  <si>
    <t>Rubanda</t>
  </si>
  <si>
    <t>Bufundi</t>
  </si>
  <si>
    <t>Hamurwa</t>
  </si>
  <si>
    <t>Hamurwa Town Council</t>
  </si>
  <si>
    <t>Ikumba</t>
  </si>
  <si>
    <t>Muko</t>
  </si>
  <si>
    <t>Nyamweru</t>
  </si>
  <si>
    <t>Rubanda Town Council</t>
  </si>
  <si>
    <t>Ruhija</t>
  </si>
  <si>
    <t>Katanda</t>
  </si>
  <si>
    <t>Rubirizi</t>
  </si>
  <si>
    <t>Katerera</t>
  </si>
  <si>
    <t>Katerera Town Council</t>
  </si>
  <si>
    <t>Katunguru</t>
  </si>
  <si>
    <t>Kirugu</t>
  </si>
  <si>
    <t>Kyabakara</t>
  </si>
  <si>
    <t>Magambo</t>
  </si>
  <si>
    <t>Rubiriziri Town Council</t>
  </si>
  <si>
    <t>Rutoto</t>
  </si>
  <si>
    <t>Ryeru</t>
  </si>
  <si>
    <t>Bukinda</t>
  </si>
  <si>
    <t>Rukiga</t>
  </si>
  <si>
    <t>Kamwezi</t>
  </si>
  <si>
    <t>Kashambya</t>
  </si>
  <si>
    <t>Mparo Town Council</t>
  </si>
  <si>
    <t>Muhanga Town Council</t>
  </si>
  <si>
    <t>Rwamucucu</t>
  </si>
  <si>
    <t>Bugangari</t>
  </si>
  <si>
    <t>Rujumbura</t>
  </si>
  <si>
    <t>Buhunga</t>
  </si>
  <si>
    <t>Rubabo</t>
  </si>
  <si>
    <t>Buyanja Town Council</t>
  </si>
  <si>
    <t>Bwambara</t>
  </si>
  <si>
    <t>Kebisoni</t>
  </si>
  <si>
    <t>Kebisoni Town Council</t>
  </si>
  <si>
    <t>Nyakagyeme</t>
  </si>
  <si>
    <t>Nyakishenyi</t>
  </si>
  <si>
    <t>Nyarushanje</t>
  </si>
  <si>
    <t>Rukungiri Municipality</t>
  </si>
  <si>
    <t>Atiira</t>
  </si>
  <si>
    <t>Serere</t>
  </si>
  <si>
    <t>Bugondo</t>
  </si>
  <si>
    <t>Kasilo</t>
  </si>
  <si>
    <t>Kadungulu</t>
  </si>
  <si>
    <t>Kasilo Town Council</t>
  </si>
  <si>
    <t>Kateta</t>
  </si>
  <si>
    <t>Kyere</t>
  </si>
  <si>
    <t>Labori</t>
  </si>
  <si>
    <t>Olio</t>
  </si>
  <si>
    <t>Pingire</t>
  </si>
  <si>
    <t>Serere Town Council</t>
  </si>
  <si>
    <t>Bugongi Town Council</t>
  </si>
  <si>
    <t>Kagango Division-Sheema</t>
  </si>
  <si>
    <t>Sheema Municipality</t>
  </si>
  <si>
    <t>Kakindo Town Council</t>
  </si>
  <si>
    <t>Kabwohe</t>
  </si>
  <si>
    <t>Kasaana</t>
  </si>
  <si>
    <t>Kigarama</t>
  </si>
  <si>
    <t>Kitagata</t>
  </si>
  <si>
    <t>Kyangyenyi</t>
  </si>
  <si>
    <t>Masheruka</t>
  </si>
  <si>
    <t>Rugarama-Sheema</t>
  </si>
  <si>
    <t>SHEEMA</t>
  </si>
  <si>
    <t>Shuuku</t>
  </si>
  <si>
    <t>Shuuku Town Council</t>
  </si>
  <si>
    <t>Budadiri Town Council</t>
  </si>
  <si>
    <t>Sironko</t>
  </si>
  <si>
    <t>Budadiri</t>
  </si>
  <si>
    <t>Bugitimwa</t>
  </si>
  <si>
    <t>Buhugu</t>
  </si>
  <si>
    <t>Bukhulo</t>
  </si>
  <si>
    <t>Bukiise</t>
  </si>
  <si>
    <t>Bukiyi</t>
  </si>
  <si>
    <t>Bukyabo</t>
  </si>
  <si>
    <t>Bukyambi</t>
  </si>
  <si>
    <t>Bumalimba</t>
  </si>
  <si>
    <t>Bumasifwa</t>
  </si>
  <si>
    <t>Bunyafa</t>
  </si>
  <si>
    <t>Busulani</t>
  </si>
  <si>
    <t>Butandiga</t>
  </si>
  <si>
    <t>Buteza</t>
  </si>
  <si>
    <t>Buwalasi</t>
  </si>
  <si>
    <t>Buwasa</t>
  </si>
  <si>
    <t>Buyobo</t>
  </si>
  <si>
    <t>Masaba-Sironko</t>
  </si>
  <si>
    <t>Nalusala</t>
  </si>
  <si>
    <t>Sironko Town Council</t>
  </si>
  <si>
    <t>Zesui</t>
  </si>
  <si>
    <t>Arapai</t>
  </si>
  <si>
    <t>Soroti</t>
  </si>
  <si>
    <t>Asuret</t>
  </si>
  <si>
    <t>Gweri</t>
  </si>
  <si>
    <t>Kamuda</t>
  </si>
  <si>
    <t>Katine</t>
  </si>
  <si>
    <t>Soroti Municipality</t>
  </si>
  <si>
    <t>Soroti town</t>
  </si>
  <si>
    <t>Tubur</t>
  </si>
  <si>
    <t>Lugusulu</t>
  </si>
  <si>
    <t>Ssembabule</t>
  </si>
  <si>
    <t>Mawogola</t>
  </si>
  <si>
    <t>Lwebitakuli</t>
  </si>
  <si>
    <t>Lwemiyaga</t>
  </si>
  <si>
    <t>Mateete</t>
  </si>
  <si>
    <t>Mateete Town Council</t>
  </si>
  <si>
    <t>Mijwala</t>
  </si>
  <si>
    <t>Ntuusi</t>
  </si>
  <si>
    <t>Sembabule Town Council</t>
  </si>
  <si>
    <t>Ganda</t>
  </si>
  <si>
    <t>Gganda</t>
  </si>
  <si>
    <t>Iyolwa</t>
  </si>
  <si>
    <t>Tororo</t>
  </si>
  <si>
    <t>West Budama</t>
  </si>
  <si>
    <t>Kirewa</t>
  </si>
  <si>
    <t>Kisoko</t>
  </si>
  <si>
    <t>Kwapa</t>
  </si>
  <si>
    <t>Magola</t>
  </si>
  <si>
    <t>Malaba Town Council</t>
  </si>
  <si>
    <t>Mella</t>
  </si>
  <si>
    <t>Merikit</t>
  </si>
  <si>
    <t>Molo</t>
  </si>
  <si>
    <t>Mukuju</t>
  </si>
  <si>
    <t>Mulanda</t>
  </si>
  <si>
    <t>Nabuyoga</t>
  </si>
  <si>
    <t>Nagongera</t>
  </si>
  <si>
    <t>Nagongera Town Council</t>
  </si>
  <si>
    <t>Osukuru</t>
  </si>
  <si>
    <t>Paya</t>
  </si>
  <si>
    <t>Petta</t>
  </si>
  <si>
    <t>Rubongi</t>
  </si>
  <si>
    <t>Sop-Sop</t>
  </si>
  <si>
    <t>Tororo Municipality</t>
  </si>
  <si>
    <t>Tororo town</t>
  </si>
  <si>
    <t>Bunamwaya</t>
  </si>
  <si>
    <t>Wakiso</t>
  </si>
  <si>
    <t>Makindye Ssabagabo Municipality</t>
  </si>
  <si>
    <t>Bussi</t>
  </si>
  <si>
    <t>Busiro</t>
  </si>
  <si>
    <t>Busukuma</t>
  </si>
  <si>
    <t>Nansana Municipality</t>
  </si>
  <si>
    <t>Kira Municipality</t>
  </si>
  <si>
    <t xml:space="preserve"> BWEYOGERERE</t>
  </si>
  <si>
    <t>BWEYOGERER</t>
  </si>
  <si>
    <t>BYWOGERERE</t>
  </si>
  <si>
    <t>BWEYOGERE</t>
  </si>
  <si>
    <t>KIRINYA</t>
  </si>
  <si>
    <t>Nambole</t>
  </si>
  <si>
    <t>Nanboole</t>
  </si>
  <si>
    <t>Namboole</t>
  </si>
  <si>
    <t>Entebbe Airport</t>
  </si>
  <si>
    <t>Entebbe Municipality</t>
  </si>
  <si>
    <t>Airport</t>
  </si>
  <si>
    <t>ENTEBBE TOWN</t>
  </si>
  <si>
    <t xml:space="preserve">Entebbe </t>
  </si>
  <si>
    <t xml:space="preserve">ENTEBE </t>
  </si>
  <si>
    <t>NTEBBE</t>
  </si>
  <si>
    <t>Enttebe</t>
  </si>
  <si>
    <t>Kitoro</t>
  </si>
  <si>
    <t>Kitooro</t>
  </si>
  <si>
    <t>Kawuku</t>
  </si>
  <si>
    <t>Kawuka</t>
  </si>
  <si>
    <t>Namulanda</t>
  </si>
  <si>
    <t>Gombe</t>
  </si>
  <si>
    <t>Kajjansi Town Council</t>
  </si>
  <si>
    <t xml:space="preserve">Kajjansi  </t>
  </si>
  <si>
    <t>KAJANSI</t>
  </si>
  <si>
    <t>Kajjasi</t>
  </si>
  <si>
    <t>KANJJASI</t>
  </si>
  <si>
    <t>Sseguku</t>
  </si>
  <si>
    <t>SEGGUKU</t>
  </si>
  <si>
    <t>Lunya</t>
  </si>
  <si>
    <t>Bwebajja</t>
  </si>
  <si>
    <t>BWEBAJA</t>
  </si>
  <si>
    <t>Dewe</t>
  </si>
  <si>
    <t>Lweza</t>
  </si>
  <si>
    <t>Lweeza</t>
  </si>
  <si>
    <t>Lwera</t>
  </si>
  <si>
    <t>LWERE</t>
  </si>
  <si>
    <t>Kasana</t>
  </si>
  <si>
    <t>KAJJANSI</t>
  </si>
  <si>
    <t>Kitende</t>
  </si>
  <si>
    <t xml:space="preserve">KITENDE </t>
  </si>
  <si>
    <t>Kakiri</t>
  </si>
  <si>
    <t>BUKALANGO</t>
  </si>
  <si>
    <t>Nkowe</t>
  </si>
  <si>
    <t>Sentema</t>
  </si>
  <si>
    <t>Ssentema</t>
  </si>
  <si>
    <t>Kakiri Town Council</t>
  </si>
  <si>
    <t>Kasangati Town Council</t>
  </si>
  <si>
    <t>Kasangatu</t>
  </si>
  <si>
    <t>Busiika</t>
  </si>
  <si>
    <t>Busika</t>
  </si>
  <si>
    <t>Kansangati</t>
  </si>
  <si>
    <t>Kasanje</t>
  </si>
  <si>
    <t>Kawoko</t>
  </si>
  <si>
    <t>Katabi Town Council</t>
  </si>
  <si>
    <t>Gombolola</t>
  </si>
  <si>
    <t>Kira</t>
  </si>
  <si>
    <t>KIRA MUNICIPAL</t>
  </si>
  <si>
    <t>Mulawa</t>
  </si>
  <si>
    <t>Kireka</t>
  </si>
  <si>
    <t>KAMULI A ZONE</t>
  </si>
  <si>
    <t>Agenda</t>
  </si>
  <si>
    <t>Kiira</t>
  </si>
  <si>
    <t>Bulindo</t>
  </si>
  <si>
    <t xml:space="preserve">BULINDO </t>
  </si>
  <si>
    <t>Nsasa</t>
  </si>
  <si>
    <t>NABUSAGWE</t>
  </si>
  <si>
    <t>KITUKUTWE</t>
  </si>
  <si>
    <t>KIWOLOGOMA</t>
  </si>
  <si>
    <t>Kyengera Town Council</t>
  </si>
  <si>
    <t>KYENGERA</t>
  </si>
  <si>
    <t>NABINGO</t>
  </si>
  <si>
    <t>Namagoma</t>
  </si>
  <si>
    <t>Nsangi</t>
  </si>
  <si>
    <t>Buddo</t>
  </si>
  <si>
    <t>Nsanji</t>
  </si>
  <si>
    <t>Kitaala</t>
  </si>
  <si>
    <t>Kasenge</t>
  </si>
  <si>
    <t>Kayembe</t>
  </si>
  <si>
    <t>Masajja</t>
  </si>
  <si>
    <t>Masjja</t>
  </si>
  <si>
    <t>Massajja</t>
  </si>
  <si>
    <t>KIBUTIKA</t>
  </si>
  <si>
    <t>Masuliita</t>
  </si>
  <si>
    <t>Masulita Town Council</t>
  </si>
  <si>
    <t>Mende</t>
  </si>
  <si>
    <t>Nabweru</t>
  </si>
  <si>
    <t>Nabwera</t>
  </si>
  <si>
    <t>NABWERU ROAD</t>
  </si>
  <si>
    <t>Lubigi</t>
  </si>
  <si>
    <t>Rubigi town</t>
  </si>
  <si>
    <t>LIBINGI</t>
  </si>
  <si>
    <t>Rubigi</t>
  </si>
  <si>
    <t>Kawanda</t>
  </si>
  <si>
    <t>Maganjo</t>
  </si>
  <si>
    <t>Senge</t>
  </si>
  <si>
    <t>Matugo</t>
  </si>
  <si>
    <t>Matugga</t>
  </si>
  <si>
    <t>Kabunza</t>
  </si>
  <si>
    <t>Kigogwa</t>
  </si>
  <si>
    <t>Kiggogwa</t>
  </si>
  <si>
    <t>Kikgogwa</t>
  </si>
  <si>
    <t>Buwambo</t>
  </si>
  <si>
    <t>BUYERA</t>
  </si>
  <si>
    <t>KITTI</t>
  </si>
  <si>
    <t>Kasengejje</t>
  </si>
  <si>
    <t>KASEGEJJE</t>
  </si>
  <si>
    <t>Kasengeje</t>
  </si>
  <si>
    <t>KIMANYA</t>
  </si>
  <si>
    <t>Matuga</t>
  </si>
  <si>
    <t>Mayirikiti</t>
  </si>
  <si>
    <t>Watindo</t>
  </si>
  <si>
    <t>Ssemuto</t>
  </si>
  <si>
    <t>Namengo</t>
  </si>
  <si>
    <t>Green valley</t>
  </si>
  <si>
    <t>Namayumba</t>
  </si>
  <si>
    <t>Namayumba Town Council</t>
  </si>
  <si>
    <t>Namugongo</t>
  </si>
  <si>
    <t>ssonde</t>
  </si>
  <si>
    <t>NAMUGONGO SHRINE</t>
  </si>
  <si>
    <t>Sonde</t>
  </si>
  <si>
    <t>Naalya</t>
  </si>
  <si>
    <t>MBALWA</t>
  </si>
  <si>
    <t>Nalya</t>
  </si>
  <si>
    <t>Kyaliwajala</t>
  </si>
  <si>
    <t>KYALIWAJALA ROAD</t>
  </si>
  <si>
    <t>KYALUWAJALA</t>
  </si>
  <si>
    <t>KYALIWAJARA</t>
  </si>
  <si>
    <t>Najera</t>
  </si>
  <si>
    <t>Najjera</t>
  </si>
  <si>
    <t>Najeera</t>
  </si>
  <si>
    <t>Najeera 1</t>
  </si>
  <si>
    <t>Najeera 2</t>
  </si>
  <si>
    <t xml:space="preserve">NAJEERA </t>
  </si>
  <si>
    <t>NAJJEERA</t>
  </si>
  <si>
    <t>PK SUPERMARKET</t>
  </si>
  <si>
    <t>BULABIRA</t>
  </si>
  <si>
    <t>Buwate</t>
  </si>
  <si>
    <t>Buwaate</t>
  </si>
  <si>
    <t>KIBIRA</t>
  </si>
  <si>
    <t>Nansana</t>
  </si>
  <si>
    <t>NANSANA STORES</t>
  </si>
  <si>
    <t>WORSHIP HOUSE</t>
  </si>
  <si>
    <t>MASITOWA</t>
  </si>
  <si>
    <t>Kabumbi</t>
  </si>
  <si>
    <t>Kabulenga</t>
  </si>
  <si>
    <t>Kabulengwa</t>
  </si>
  <si>
    <t>Naluvule</t>
  </si>
  <si>
    <t>Yesu amala</t>
  </si>
  <si>
    <t>Namuseera</t>
  </si>
  <si>
    <t>YESSU AMALA</t>
  </si>
  <si>
    <t>Ssemakula</t>
  </si>
  <si>
    <t>MAGERE</t>
  </si>
  <si>
    <t>Nasana</t>
  </si>
  <si>
    <t>Ndejje</t>
  </si>
  <si>
    <t>Zanta</t>
  </si>
  <si>
    <t>Ndejja</t>
  </si>
  <si>
    <t>Wakiso town</t>
  </si>
  <si>
    <t>Wakiso road</t>
  </si>
  <si>
    <t>kavumba</t>
  </si>
  <si>
    <t>Watuba</t>
  </si>
  <si>
    <t>Kitagobwa</t>
  </si>
  <si>
    <t>MPUNGA</t>
  </si>
  <si>
    <t>KISIMBIRI</t>
  </si>
  <si>
    <t>Mbuga</t>
  </si>
  <si>
    <t>NAMUSERA</t>
  </si>
  <si>
    <t>NKOOWE</t>
  </si>
  <si>
    <t>Entebbe road</t>
  </si>
  <si>
    <t>Bulenga</t>
  </si>
  <si>
    <t>Nankuwadde</t>
  </si>
  <si>
    <t>NANKUWADE</t>
  </si>
  <si>
    <t>NAKUWADDE</t>
  </si>
  <si>
    <t>Nakuwade</t>
  </si>
  <si>
    <t>Bira</t>
  </si>
  <si>
    <t>Mbira</t>
  </si>
  <si>
    <t>Bbira</t>
  </si>
  <si>
    <t>Biira</t>
  </si>
  <si>
    <t>Buloba</t>
  </si>
  <si>
    <t xml:space="preserve">BULOBA </t>
  </si>
  <si>
    <t>Bujuko</t>
  </si>
  <si>
    <t>Bujuuko</t>
  </si>
  <si>
    <t>BUJJUKO</t>
  </si>
  <si>
    <t>Kisamula</t>
  </si>
  <si>
    <t>Wakiso Town Council</t>
  </si>
  <si>
    <t xml:space="preserve">Wakiso town  </t>
  </si>
  <si>
    <t>Apo</t>
  </si>
  <si>
    <t>Yumbe</t>
  </si>
  <si>
    <t>Aringa</t>
  </si>
  <si>
    <t>Ariwa</t>
  </si>
  <si>
    <t>Drajini</t>
  </si>
  <si>
    <t>Kei</t>
  </si>
  <si>
    <t>Kerwa</t>
  </si>
  <si>
    <t>Kochi</t>
  </si>
  <si>
    <t>Kululu</t>
  </si>
  <si>
    <t>Kuru</t>
  </si>
  <si>
    <t>Lodonga</t>
  </si>
  <si>
    <t>Midigo</t>
  </si>
  <si>
    <t>Odravu</t>
  </si>
  <si>
    <t>Romogi</t>
  </si>
  <si>
    <t>Yumbe Town Council</t>
  </si>
  <si>
    <t>Abanga</t>
  </si>
  <si>
    <t>Zombo</t>
  </si>
  <si>
    <t>Okoro</t>
  </si>
  <si>
    <t>Atyak</t>
  </si>
  <si>
    <t>Jangokoro</t>
  </si>
  <si>
    <t>Kango</t>
  </si>
  <si>
    <t>Nyapea</t>
  </si>
  <si>
    <t>Paidha</t>
  </si>
  <si>
    <t>Paidha Town Council</t>
  </si>
  <si>
    <t>Warr</t>
  </si>
  <si>
    <t>Zeu</t>
  </si>
  <si>
    <t>Zombo Town Council</t>
  </si>
  <si>
    <t>BORDER POSTS</t>
  </si>
  <si>
    <t xml:space="preserve">Malaba </t>
  </si>
  <si>
    <t>Mombasa</t>
  </si>
  <si>
    <t>Mutukula</t>
  </si>
  <si>
    <t>Katuna</t>
  </si>
  <si>
    <t>Manzi</t>
  </si>
  <si>
    <t>Cyanika</t>
  </si>
  <si>
    <t>Bunagana</t>
  </si>
  <si>
    <t>D.R.C</t>
  </si>
  <si>
    <t>Mpondwe</t>
  </si>
  <si>
    <t xml:space="preserve">Kasese  </t>
  </si>
  <si>
    <t>Goli</t>
  </si>
  <si>
    <t xml:space="preserve">Nebbi  </t>
  </si>
  <si>
    <t>Elegu</t>
  </si>
  <si>
    <t>South Sudan</t>
  </si>
  <si>
    <t>Juba</t>
  </si>
  <si>
    <t>Sudan</t>
  </si>
  <si>
    <t>Nimule</t>
  </si>
  <si>
    <t>Mirama Hills</t>
  </si>
  <si>
    <t xml:space="preserve">Ntungamo  </t>
  </si>
  <si>
    <t>Oraba</t>
  </si>
  <si>
    <t>Padea</t>
  </si>
  <si>
    <t>Zone</t>
    <phoneticPr fontId="3" type="noConversion"/>
  </si>
  <si>
    <t>County</t>
  </si>
  <si>
    <t>Subcounty</t>
  </si>
  <si>
    <t>DRAFT FINAL ZONE LIST</t>
  </si>
  <si>
    <t>Abindu Division</t>
  </si>
  <si>
    <t>Abongomola</t>
    <phoneticPr fontId="3" type="noConversion"/>
  </si>
  <si>
    <t>Adyel Division</t>
  </si>
  <si>
    <t>Apac Town Council</t>
    <phoneticPr fontId="3" type="noConversion"/>
  </si>
  <si>
    <t>Arua Hill Division</t>
    <phoneticPr fontId="3" type="noConversion"/>
  </si>
  <si>
    <t>Bar Dege Division</t>
  </si>
  <si>
    <t>Bihanga</t>
  </si>
  <si>
    <t>Biharwe Division</t>
  </si>
  <si>
    <t>Bisheshe Division</t>
  </si>
  <si>
    <t>Bubaare</t>
  </si>
  <si>
    <t>Bufunda Division</t>
  </si>
  <si>
    <t>Bugaya</t>
  </si>
  <si>
    <t>Bujumbura Division</t>
  </si>
  <si>
    <t>Bukinda</t>
    <phoneticPr fontId="3" type="noConversion"/>
  </si>
  <si>
    <t>Bulembia Division</t>
  </si>
  <si>
    <t>Bunamwaya Division</t>
  </si>
  <si>
    <t>Busiisi Division</t>
  </si>
  <si>
    <t>Busukuma Division</t>
  </si>
  <si>
    <t>Buwunga</t>
  </si>
  <si>
    <t>Buyanga</t>
  </si>
  <si>
    <t>Bweyogerere Division</t>
  </si>
  <si>
    <t>Central</t>
  </si>
  <si>
    <t>Kamwokya Ii</t>
  </si>
  <si>
    <t>Kamwokya I</t>
  </si>
  <si>
    <t>REMOVE REPEATED ZONE</t>
  </si>
  <si>
    <t>Kisenyi I</t>
  </si>
  <si>
    <t>Kisenyi Ii</t>
  </si>
  <si>
    <t>Kisenyi Iii</t>
  </si>
  <si>
    <t>Kololo I</t>
  </si>
  <si>
    <t>Kololo Ii</t>
  </si>
  <si>
    <t>Kololo Iii</t>
  </si>
  <si>
    <t>Kololo Iv</t>
  </si>
  <si>
    <t>Nakasero I</t>
  </si>
  <si>
    <t>Nakasero Ii</t>
  </si>
  <si>
    <t>Nakasero Iii</t>
  </si>
  <si>
    <t>Nakasero Iv</t>
  </si>
  <si>
    <t>Central Divison</t>
  </si>
  <si>
    <t>Ddwaniro</t>
  </si>
  <si>
    <t>Division A</t>
  </si>
  <si>
    <t>Division B</t>
  </si>
  <si>
    <t>Eastern Division</t>
  </si>
  <si>
    <t>Eastern Divison</t>
  </si>
  <si>
    <t>Goma Division</t>
  </si>
  <si>
    <t>Gombe Division</t>
  </si>
  <si>
    <t>Industrial Divison</t>
  </si>
  <si>
    <t>Ishaka Divison</t>
  </si>
  <si>
    <t>Kaabong Town Council</t>
    <phoneticPr fontId="3" type="noConversion"/>
  </si>
  <si>
    <t>Kabwohe Division</t>
  </si>
  <si>
    <t>Kagango Division</t>
  </si>
  <si>
    <t>Kahoora Divison</t>
  </si>
  <si>
    <t>Kakamba</t>
  </si>
  <si>
    <t>Kakiika Division</t>
  </si>
  <si>
    <t>Kakoba Division</t>
  </si>
  <si>
    <t>Kamukuzi Division</t>
  </si>
  <si>
    <t>Kamwezi</t>
    <phoneticPr fontId="3" type="noConversion"/>
  </si>
  <si>
    <t>Kanara</t>
  </si>
  <si>
    <t>Kanawat Division</t>
  </si>
  <si>
    <t>Kapadakook Division</t>
  </si>
  <si>
    <t>Karambi</t>
  </si>
  <si>
    <t>Karujubu Division</t>
  </si>
  <si>
    <t>Rukiga</t>
    <phoneticPr fontId="3" type="noConversion"/>
  </si>
  <si>
    <t>Kashambya</t>
    <phoneticPr fontId="3" type="noConversion"/>
  </si>
  <si>
    <t>Kashozi Division</t>
  </si>
  <si>
    <t>Katwe-Butego Division</t>
  </si>
  <si>
    <t>Bwaise I</t>
  </si>
  <si>
    <t>Bwaise Ii</t>
  </si>
  <si>
    <t>Bwaise Iii</t>
  </si>
  <si>
    <t>Kawempe I</t>
  </si>
  <si>
    <t>Kawempe Ii</t>
  </si>
  <si>
    <t>Makerere I</t>
  </si>
  <si>
    <t>Makerere Ii</t>
  </si>
  <si>
    <t>Makerere Iii</t>
  </si>
  <si>
    <t>Mulago I</t>
  </si>
  <si>
    <t>Mulago Ii</t>
  </si>
  <si>
    <t>Mulago Iii</t>
  </si>
  <si>
    <t>Kawolo Division</t>
  </si>
  <si>
    <t>Kayonza</t>
  </si>
  <si>
    <t>Kigulya Division</t>
  </si>
  <si>
    <t>Kimaanya-Kyabakuza Division</t>
  </si>
  <si>
    <t>Kinoni</t>
  </si>
  <si>
    <t>Kira Division</t>
  </si>
  <si>
    <t>Bunyangabu</t>
    <phoneticPr fontId="3" type="noConversion"/>
  </si>
  <si>
    <t>Laroo Division</t>
  </si>
  <si>
    <t>Layibi Division</t>
  </si>
  <si>
    <t>Losilang Division</t>
  </si>
  <si>
    <t>Katwe I</t>
  </si>
  <si>
    <t>Katwe Ii</t>
  </si>
  <si>
    <t>Kibuye I</t>
  </si>
  <si>
    <t>Kibuye Ii</t>
  </si>
  <si>
    <t>Makindye I</t>
  </si>
  <si>
    <t>Makindye Ii</t>
  </si>
  <si>
    <t>Nsambya Central</t>
  </si>
  <si>
    <t>Nsambya Estate</t>
  </si>
  <si>
    <t>Malongo</t>
  </si>
  <si>
    <t>Masaba</t>
  </si>
  <si>
    <t>Masajja Division</t>
  </si>
  <si>
    <t>Masese Walukuba</t>
  </si>
  <si>
    <t>Mparo Divison</t>
  </si>
  <si>
    <t>Mparo Town Council</t>
    <phoneticPr fontId="3" type="noConversion"/>
  </si>
  <si>
    <t>Mpumudde</t>
  </si>
  <si>
    <t>Mpumudde Division</t>
  </si>
  <si>
    <t>Nabweru Division</t>
    <phoneticPr fontId="3" type="noConversion"/>
  </si>
  <si>
    <t>Najjembe Division</t>
  </si>
  <si>
    <t>Bukoto I</t>
  </si>
  <si>
    <t>Bukoto Ii</t>
  </si>
  <si>
    <t>Mbuya I</t>
  </si>
  <si>
    <t>Mbuya Ii</t>
  </si>
  <si>
    <t>Naguru I</t>
  </si>
  <si>
    <t>Naguru Ii</t>
  </si>
  <si>
    <t>Namugongo Division</t>
  </si>
  <si>
    <t>Nansana Division</t>
    <phoneticPr fontId="3" type="noConversion"/>
  </si>
  <si>
    <t>Ndejje Division</t>
  </si>
  <si>
    <t>Njeru Division</t>
  </si>
  <si>
    <t>Northern</t>
  </si>
  <si>
    <t>Northern Division</t>
  </si>
  <si>
    <t>Northern Divison</t>
  </si>
  <si>
    <t>Nyakabirizi Division</t>
  </si>
  <si>
    <t>Nyakayojo Division</t>
  </si>
  <si>
    <t>Nyamitanga Division</t>
  </si>
  <si>
    <t>Nyamwamba Division</t>
  </si>
  <si>
    <t>Nyangahya Division</t>
  </si>
  <si>
    <t>Nyendo-Ssenyange Division</t>
  </si>
  <si>
    <t>Nyenga Division</t>
  </si>
  <si>
    <t>Ojwina Division</t>
  </si>
  <si>
    <t>Padibe East</t>
  </si>
  <si>
    <t>Padibe Town Council</t>
  </si>
  <si>
    <t>Padibe West</t>
  </si>
  <si>
    <t>Pager Division</t>
  </si>
  <si>
    <t>Palabek Gem</t>
  </si>
  <si>
    <t>Palabek Kal</t>
  </si>
  <si>
    <t>Palabek Ogili</t>
  </si>
  <si>
    <t>Pandwong Division</t>
  </si>
  <si>
    <t>Pece Division</t>
  </si>
  <si>
    <t>Railway Division</t>
  </si>
  <si>
    <t>River Oli Division</t>
  </si>
  <si>
    <t>Najjanankumbi I</t>
  </si>
  <si>
    <t>Najjanankumbi Ii</t>
  </si>
  <si>
    <t>Nankulabye I</t>
  </si>
  <si>
    <t>Rubaya</t>
  </si>
  <si>
    <t>Rugarama</t>
  </si>
  <si>
    <t>Ruteete</t>
  </si>
  <si>
    <t>Rwamucucu</t>
    <phoneticPr fontId="3" type="noConversion"/>
  </si>
  <si>
    <t>Sheema Central Division</t>
  </si>
  <si>
    <t>Southern</t>
  </si>
  <si>
    <t>Southern Division</t>
  </si>
  <si>
    <t>Southern Divison</t>
  </si>
  <si>
    <t>Thatha Division</t>
  </si>
  <si>
    <t>Ttamu Division</t>
  </si>
  <si>
    <t>Wakisi Division</t>
  </si>
  <si>
    <t>Wanale Division</t>
  </si>
  <si>
    <t>Western Division</t>
  </si>
  <si>
    <t xml:space="preserve">Kinawa  </t>
  </si>
  <si>
    <t>Bukerere</t>
  </si>
  <si>
    <t>KALULE</t>
  </si>
  <si>
    <t>KITEZI</t>
  </si>
  <si>
    <t>NSANGI</t>
  </si>
  <si>
    <t>KABUSU</t>
  </si>
  <si>
    <t>WAKISO TOWN</t>
  </si>
  <si>
    <t>KAWOKO</t>
  </si>
  <si>
    <t>MIGEERA TOWN COUNCIL</t>
  </si>
  <si>
    <t>LUTETE</t>
  </si>
  <si>
    <t>BUTALANGU TOWN COUNCIL</t>
  </si>
  <si>
    <t>MAKINDYE</t>
  </si>
  <si>
    <t>Vehicle OD Sample Proportions</t>
  </si>
  <si>
    <t>Average Journey Time</t>
  </si>
  <si>
    <t>OD Sample</t>
  </si>
  <si>
    <t>OD Sample, %</t>
  </si>
  <si>
    <t>Journey Time Range (Hrs)</t>
  </si>
  <si>
    <t>Cummu-lative</t>
  </si>
  <si>
    <t>No of Vehicles</t>
  </si>
  <si>
    <t>No. of Vehicles, %</t>
  </si>
  <si>
    <t>0-0.25</t>
  </si>
  <si>
    <t>0.25-0.50</t>
  </si>
  <si>
    <t>0.50-0.75</t>
  </si>
  <si>
    <t>0.75-1.00</t>
  </si>
  <si>
    <t>1.00-1.50</t>
  </si>
  <si>
    <t>1.5-2.0</t>
  </si>
  <si>
    <t>2.0-3.0</t>
  </si>
  <si>
    <t>3.0-5.0</t>
  </si>
  <si>
    <t>5.0-7.5</t>
  </si>
  <si>
    <t>7.5-10</t>
  </si>
  <si>
    <t>Over 10</t>
  </si>
  <si>
    <t>Purpose</t>
  </si>
  <si>
    <t>Respondents</t>
  </si>
  <si>
    <t>Percent</t>
  </si>
  <si>
    <t>More than 2 times every day</t>
  </si>
  <si>
    <t>Response</t>
  </si>
  <si>
    <t>Number</t>
  </si>
  <si>
    <t>Willingness to Pay</t>
  </si>
  <si>
    <t>Average Price</t>
  </si>
  <si>
    <t>Average Trip Length</t>
  </si>
  <si>
    <t>Trip Length Range</t>
  </si>
  <si>
    <t>Cumm-ulative</t>
  </si>
  <si>
    <t>Percentage</t>
  </si>
  <si>
    <t>0-1</t>
  </si>
  <si>
    <t>1-2.5</t>
  </si>
  <si>
    <t>2.5-5.0</t>
  </si>
  <si>
    <t>5.0-10.0</t>
  </si>
  <si>
    <t>10.0-20.0</t>
  </si>
  <si>
    <t>20.0-50.0</t>
  </si>
  <si>
    <t>50.0-100.0</t>
  </si>
  <si>
    <t>100.0-250.0</t>
  </si>
  <si>
    <t>Over 250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</si>
</sst>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_(* #,##0.00_);_(* \(#,##0.00\);_(* &quot;-&quot;??_);_(@_)"/>
    <numFmt numFmtId="165" formatCode="h:mm;@"/>
    <numFmt numFmtId="166" formatCode="0.0"/>
    <numFmt numFmtId="167" formatCode="_(* #,##0_);_(* \(#,##0\);_(* &quot;-&quot;??_);_(@_)"/>
    <numFmt numFmtId="168" formatCode="0.0%"/>
  </numFmts>
  <fonts count="18">
    <font>
      <sz val="10"/>
      <name val="Arial"/>
    </font>
    <font>
      <b/>
      <sz val="10"/>
      <name val="Arial"/>
      <family val="2"/>
    </font>
    <font>
      <b/>
      <sz val="12"/>
      <name val="Arial"/>
      <family val="2"/>
    </font>
    <font>
      <b/>
      <sz val="11"/>
      <name val="Arial"/>
      <family val="2"/>
    </font>
    <font>
      <sz val="9"/>
      <name val="Arial"/>
      <family val="2"/>
    </font>
    <font>
      <sz val="10"/>
      <name val="Arial"/>
      <family val="2"/>
    </font>
    <font>
      <sz val="10"/>
      <name val="Arial"/>
      <family val="2"/>
    </font>
    <font>
      <b/>
      <u/>
      <sz val="11"/>
      <name val="Arial"/>
      <family val="2"/>
    </font>
    <font>
      <b/>
      <sz val="9"/>
      <name val="Arial"/>
      <family val="2"/>
    </font>
    <font>
      <sz val="10"/>
      <color rgb="FFFF0000"/>
      <name val="Arial"/>
      <family val="2"/>
    </font>
    <font>
      <sz val="10"/>
      <name val="Times New Roman"/>
      <family val="1"/>
    </font>
    <font>
      <b/>
      <sz val="11"/>
      <color theme="1"/>
      <name val="Calibri"/>
      <family val="2"/>
      <scheme val="minor"/>
    </font>
    <font>
      <sz val="10"/>
      <color indexed="8"/>
      <name val="Arial"/>
      <family val="2"/>
    </font>
    <font>
      <b/>
      <sz val="10"/>
      <color indexed="8"/>
      <name val="Arial"/>
      <family val="2"/>
    </font>
    <font>
      <sz val="11"/>
      <color theme="1"/>
      <name val="Calibri"/>
      <family val="2"/>
      <charset val="129"/>
      <scheme val="minor"/>
    </font>
    <font>
      <b/>
      <sz val="11"/>
      <color theme="1"/>
      <name val="Calibri"/>
      <family val="2"/>
      <charset val="129"/>
      <scheme val="minor"/>
    </font>
    <font>
      <b/>
      <sz val="10"/>
      <color theme="1"/>
      <name val="Arial"/>
      <family val="2"/>
    </font>
    <font>
      <sz val="11"/>
      <color theme="1"/>
      <name val="Arial"/>
      <family val="2"/>
    </font>
  </fonts>
  <fills count="18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0" tint="-0.14996795556505021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6" tint="-0.249977111117893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0" tint="-4.9989318521683403E-2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ck">
        <color auto="1"/>
      </top>
      <bottom style="double">
        <color auto="1"/>
      </bottom>
      <diagonal/>
    </border>
  </borders>
  <cellStyleXfs count="7">
    <xf numFmtId="0" fontId="0" fillId="0" borderId="0"/>
    <xf numFmtId="164" fontId="6" fillId="0" borderId="0" applyFont="0" applyFill="0" applyBorder="0" applyAlignment="0" applyProtection="0"/>
    <xf numFmtId="9" fontId="5" fillId="0" borderId="0" applyFont="0" applyFill="0" applyBorder="0" applyAlignment="0" applyProtection="0"/>
    <xf numFmtId="0" fontId="10" fillId="0" borderId="0"/>
    <xf numFmtId="0" fontId="12" fillId="0" borderId="0"/>
    <xf numFmtId="0" fontId="14" fillId="0" borderId="0">
      <alignment vertical="center"/>
    </xf>
    <xf numFmtId="164" fontId="5" fillId="0" borderId="0" applyFont="0" applyFill="0" applyBorder="0" applyAlignment="0" applyProtection="0"/>
  </cellStyleXfs>
  <cellXfs count="174">
    <xf numFmtId="0" fontId="0" fillId="0" borderId="0" xfId="0"/>
    <xf numFmtId="0" fontId="1" fillId="0" borderId="0" xfId="0" applyFont="1"/>
    <xf numFmtId="0" fontId="3" fillId="0" borderId="0" xfId="0" applyFont="1" applyAlignment="1">
      <alignment horizontal="center" vertical="center"/>
    </xf>
    <xf numFmtId="0" fontId="4" fillId="0" borderId="0" xfId="0" applyFont="1" applyAlignment="1">
      <alignment vertical="center"/>
    </xf>
    <xf numFmtId="0" fontId="4" fillId="0" borderId="1" xfId="0" applyFont="1" applyBorder="1" applyAlignment="1">
      <alignment vertical="center"/>
    </xf>
    <xf numFmtId="0" fontId="4" fillId="0" borderId="0" xfId="0" applyFont="1" applyBorder="1" applyAlignment="1">
      <alignment vertical="center"/>
    </xf>
    <xf numFmtId="0" fontId="2" fillId="0" borderId="0" xfId="0" applyFont="1" applyAlignment="1">
      <alignment vertical="center"/>
    </xf>
    <xf numFmtId="0" fontId="3" fillId="0" borderId="0" xfId="0" applyFont="1" applyAlignment="1">
      <alignment vertical="center"/>
    </xf>
    <xf numFmtId="0" fontId="0" fillId="0" borderId="1" xfId="0" applyBorder="1"/>
    <xf numFmtId="0" fontId="4" fillId="0" borderId="0" xfId="0" applyFont="1" applyBorder="1" applyAlignment="1">
      <alignment horizontal="left" vertical="center"/>
    </xf>
    <xf numFmtId="0" fontId="0" fillId="0" borderId="0" xfId="0" applyBorder="1"/>
    <xf numFmtId="1" fontId="5" fillId="0" borderId="2" xfId="0" applyNumberFormat="1" applyFont="1" applyBorder="1"/>
    <xf numFmtId="1" fontId="0" fillId="0" borderId="2" xfId="0" applyNumberFormat="1" applyBorder="1"/>
    <xf numFmtId="1" fontId="5" fillId="0" borderId="2" xfId="0" applyNumberFormat="1" applyFont="1" applyBorder="1" applyAlignment="1">
      <alignment horizontal="center"/>
    </xf>
    <xf numFmtId="0" fontId="0" fillId="0" borderId="2" xfId="0" applyBorder="1"/>
    <xf numFmtId="1" fontId="5" fillId="0" borderId="3" xfId="0" applyNumberFormat="1" applyFont="1" applyBorder="1"/>
    <xf numFmtId="1" fontId="0" fillId="0" borderId="3" xfId="0" applyNumberFormat="1" applyBorder="1"/>
    <xf numFmtId="1" fontId="5" fillId="0" borderId="3" xfId="0" applyNumberFormat="1" applyFont="1" applyBorder="1" applyAlignment="1">
      <alignment horizontal="center"/>
    </xf>
    <xf numFmtId="1" fontId="1" fillId="0" borderId="4" xfId="0" applyNumberFormat="1" applyFont="1" applyBorder="1" applyAlignment="1">
      <alignment vertical="center" wrapText="1"/>
    </xf>
    <xf numFmtId="0" fontId="5" fillId="0" borderId="0" xfId="0" applyFont="1"/>
    <xf numFmtId="14" fontId="4" fillId="0" borderId="1" xfId="0" applyNumberFormat="1" applyFont="1" applyBorder="1" applyAlignment="1">
      <alignment vertical="center"/>
    </xf>
    <xf numFmtId="1" fontId="9" fillId="0" borderId="2" xfId="0" applyNumberFormat="1" applyFont="1" applyBorder="1" applyAlignment="1">
      <alignment horizontal="center"/>
    </xf>
    <xf numFmtId="0" fontId="7" fillId="0" borderId="0" xfId="0" applyFont="1" applyAlignment="1">
      <alignment horizontal="center" vertical="center"/>
    </xf>
    <xf numFmtId="1" fontId="1" fillId="0" borderId="8" xfId="0" applyNumberFormat="1" applyFont="1" applyBorder="1" applyAlignment="1">
      <alignment horizontal="center" vertical="center" wrapText="1"/>
    </xf>
    <xf numFmtId="1" fontId="1" fillId="0" borderId="8" xfId="0" applyNumberFormat="1" applyFont="1" applyBorder="1" applyAlignment="1">
      <alignment vertical="center" wrapText="1"/>
    </xf>
    <xf numFmtId="0" fontId="5" fillId="0" borderId="2" xfId="0" applyFont="1" applyBorder="1"/>
    <xf numFmtId="0" fontId="8" fillId="0" borderId="0" xfId="0" applyFont="1" applyAlignment="1">
      <alignment vertical="center"/>
    </xf>
    <xf numFmtId="0" fontId="8" fillId="0" borderId="0" xfId="0" applyFont="1" applyBorder="1" applyAlignment="1">
      <alignment horizontal="left" vertical="center"/>
    </xf>
    <xf numFmtId="0" fontId="8" fillId="0" borderId="0" xfId="0" applyFont="1" applyBorder="1" applyAlignment="1">
      <alignment vertical="center"/>
    </xf>
    <xf numFmtId="1" fontId="1" fillId="0" borderId="3" xfId="0" applyNumberFormat="1" applyFont="1" applyBorder="1" applyAlignment="1">
      <alignment vertical="center" wrapText="1"/>
    </xf>
    <xf numFmtId="1" fontId="1" fillId="0" borderId="7" xfId="0" applyNumberFormat="1" applyFont="1" applyBorder="1" applyAlignment="1">
      <alignment vertical="center" wrapText="1"/>
    </xf>
    <xf numFmtId="20" fontId="8" fillId="2" borderId="2" xfId="0" applyNumberFormat="1" applyFont="1" applyFill="1" applyBorder="1" applyAlignment="1">
      <alignment vertical="center"/>
    </xf>
    <xf numFmtId="0" fontId="8" fillId="0" borderId="0" xfId="0" applyFont="1" applyBorder="1" applyAlignment="1">
      <alignment horizontal="right" vertical="center"/>
    </xf>
    <xf numFmtId="0" fontId="5" fillId="0" borderId="0" xfId="0" applyFont="1" applyBorder="1"/>
    <xf numFmtId="0" fontId="1" fillId="0" borderId="0" xfId="0" applyFont="1" applyBorder="1" applyAlignment="1">
      <alignment vertical="center"/>
    </xf>
    <xf numFmtId="0" fontId="1" fillId="0" borderId="0" xfId="0" applyFont="1" applyBorder="1" applyAlignment="1">
      <alignment vertical="center" wrapText="1"/>
    </xf>
    <xf numFmtId="0" fontId="1" fillId="0" borderId="0" xfId="0" applyFont="1" applyAlignment="1">
      <alignment vertical="center"/>
    </xf>
    <xf numFmtId="0" fontId="5" fillId="0" borderId="0" xfId="0" applyFont="1" applyAlignment="1"/>
    <xf numFmtId="20" fontId="8" fillId="0" borderId="2" xfId="0" applyNumberFormat="1" applyFont="1" applyFill="1" applyBorder="1" applyAlignment="1">
      <alignment vertical="center"/>
    </xf>
    <xf numFmtId="0" fontId="4" fillId="0" borderId="2" xfId="0" applyFont="1" applyFill="1" applyBorder="1" applyAlignment="1">
      <alignment vertical="center"/>
    </xf>
    <xf numFmtId="165" fontId="5" fillId="3" borderId="2" xfId="0" applyNumberFormat="1" applyFont="1" applyFill="1" applyBorder="1" applyAlignment="1">
      <alignment horizontal="center"/>
    </xf>
    <xf numFmtId="1" fontId="5" fillId="3" borderId="2" xfId="0" applyNumberFormat="1" applyFont="1" applyFill="1" applyBorder="1" applyAlignment="1">
      <alignment horizontal="center" wrapText="1"/>
    </xf>
    <xf numFmtId="1" fontId="5" fillId="3" borderId="2" xfId="0" applyNumberFormat="1" applyFont="1" applyFill="1" applyBorder="1" applyAlignment="1">
      <alignment horizontal="center"/>
    </xf>
    <xf numFmtId="0" fontId="5" fillId="3" borderId="2" xfId="0" applyFont="1" applyFill="1" applyBorder="1"/>
    <xf numFmtId="1" fontId="0" fillId="3" borderId="2" xfId="0" applyNumberFormat="1" applyFill="1" applyBorder="1" applyAlignment="1">
      <alignment horizontal="center" wrapText="1"/>
    </xf>
    <xf numFmtId="1" fontId="0" fillId="3" borderId="2" xfId="0" applyNumberFormat="1" applyFill="1" applyBorder="1" applyAlignment="1">
      <alignment horizontal="center"/>
    </xf>
    <xf numFmtId="1" fontId="5" fillId="3" borderId="2" xfId="0" applyNumberFormat="1" applyFont="1" applyFill="1" applyBorder="1" applyAlignment="1">
      <alignment horizontal="center" vertical="center"/>
    </xf>
    <xf numFmtId="1" fontId="0" fillId="3" borderId="2" xfId="0" applyNumberFormat="1" applyFill="1" applyBorder="1" applyAlignment="1">
      <alignment horizontal="center" vertical="center"/>
    </xf>
    <xf numFmtId="1" fontId="0" fillId="3" borderId="2" xfId="0" applyNumberFormat="1" applyFill="1" applyBorder="1"/>
    <xf numFmtId="165" fontId="0" fillId="3" borderId="2" xfId="0" applyNumberFormat="1" applyFill="1" applyBorder="1" applyAlignment="1">
      <alignment horizontal="center"/>
    </xf>
    <xf numFmtId="165" fontId="0" fillId="3" borderId="8" xfId="0" applyNumberFormat="1" applyFill="1" applyBorder="1" applyAlignment="1">
      <alignment horizontal="center"/>
    </xf>
    <xf numFmtId="1" fontId="0" fillId="3" borderId="8" xfId="0" applyNumberFormat="1" applyFill="1" applyBorder="1" applyAlignment="1">
      <alignment horizontal="center" wrapText="1"/>
    </xf>
    <xf numFmtId="0" fontId="0" fillId="3" borderId="2" xfId="0" applyFill="1" applyBorder="1"/>
    <xf numFmtId="1" fontId="5" fillId="3" borderId="8" xfId="0" applyNumberFormat="1" applyFont="1" applyFill="1" applyBorder="1" applyAlignment="1">
      <alignment horizontal="center" vertical="center"/>
    </xf>
    <xf numFmtId="1" fontId="5" fillId="3" borderId="8" xfId="0" applyNumberFormat="1" applyFont="1" applyFill="1" applyBorder="1" applyAlignment="1">
      <alignment horizontal="center"/>
    </xf>
    <xf numFmtId="165" fontId="0" fillId="3" borderId="3" xfId="0" applyNumberFormat="1" applyFill="1" applyBorder="1"/>
    <xf numFmtId="1" fontId="0" fillId="3" borderId="3" xfId="0" applyNumberFormat="1" applyFill="1" applyBorder="1"/>
    <xf numFmtId="165" fontId="0" fillId="3" borderId="2" xfId="0" applyNumberFormat="1" applyFill="1" applyBorder="1"/>
    <xf numFmtId="166" fontId="5" fillId="3" borderId="2" xfId="0" applyNumberFormat="1" applyFont="1" applyFill="1" applyBorder="1"/>
    <xf numFmtId="0" fontId="5" fillId="3" borderId="2" xfId="0" applyFont="1" applyFill="1" applyBorder="1" applyAlignment="1">
      <alignment horizontal="center"/>
    </xf>
    <xf numFmtId="167" fontId="5" fillId="3" borderId="2" xfId="1" applyNumberFormat="1" applyFont="1" applyFill="1" applyBorder="1"/>
    <xf numFmtId="20" fontId="8" fillId="3" borderId="2" xfId="0" applyNumberFormat="1" applyFont="1" applyFill="1" applyBorder="1" applyAlignment="1">
      <alignment vertical="center"/>
    </xf>
    <xf numFmtId="0" fontId="8" fillId="3" borderId="2" xfId="0" applyFont="1" applyFill="1" applyBorder="1" applyAlignment="1">
      <alignment vertical="center"/>
    </xf>
    <xf numFmtId="0" fontId="3" fillId="3" borderId="2" xfId="0" applyFont="1" applyFill="1" applyBorder="1" applyAlignment="1">
      <alignment horizontal="center" vertical="center"/>
    </xf>
    <xf numFmtId="0" fontId="4" fillId="3" borderId="2" xfId="0" applyFont="1" applyFill="1" applyBorder="1" applyAlignment="1">
      <alignment vertical="center"/>
    </xf>
    <xf numFmtId="0" fontId="5" fillId="0" borderId="2" xfId="0" applyFont="1" applyFill="1" applyBorder="1"/>
    <xf numFmtId="0" fontId="1" fillId="4" borderId="0" xfId="0" applyFont="1" applyFill="1"/>
    <xf numFmtId="0" fontId="0" fillId="4" borderId="0" xfId="0" applyFill="1"/>
    <xf numFmtId="20" fontId="0" fillId="3" borderId="2" xfId="0" applyNumberFormat="1" applyFill="1" applyBorder="1" applyAlignment="1">
      <alignment horizontal="center"/>
    </xf>
    <xf numFmtId="165" fontId="0" fillId="3" borderId="3" xfId="0" applyNumberFormat="1" applyFill="1" applyBorder="1" applyAlignment="1">
      <alignment horizontal="center"/>
    </xf>
    <xf numFmtId="0" fontId="0" fillId="0" borderId="0" xfId="0" applyAlignment="1">
      <alignment horizontal="center"/>
    </xf>
    <xf numFmtId="0" fontId="3" fillId="0" borderId="0" xfId="0" applyFont="1" applyAlignment="1">
      <alignment horizontal="center" vertical="center"/>
    </xf>
    <xf numFmtId="1" fontId="1" fillId="0" borderId="8" xfId="0" applyNumberFormat="1" applyFont="1" applyBorder="1" applyAlignment="1">
      <alignment horizontal="center" vertical="center" wrapText="1"/>
    </xf>
    <xf numFmtId="0" fontId="13" fillId="5" borderId="7" xfId="4" applyFont="1" applyFill="1" applyBorder="1" applyAlignment="1">
      <alignment horizontal="center"/>
    </xf>
    <xf numFmtId="0" fontId="13" fillId="5" borderId="0" xfId="4" applyFont="1" applyFill="1" applyAlignment="1">
      <alignment horizontal="center"/>
    </xf>
    <xf numFmtId="0" fontId="14" fillId="0" borderId="0" xfId="5">
      <alignment vertical="center"/>
    </xf>
    <xf numFmtId="0" fontId="14" fillId="6" borderId="0" xfId="5" applyFill="1">
      <alignment vertical="center"/>
    </xf>
    <xf numFmtId="0" fontId="16" fillId="5" borderId="24" xfId="5" applyFont="1" applyFill="1" applyBorder="1" applyAlignment="1">
      <alignment horizontal="center" vertical="center"/>
    </xf>
    <xf numFmtId="0" fontId="13" fillId="5" borderId="24" xfId="4" applyFont="1" applyFill="1" applyBorder="1" applyAlignment="1">
      <alignment horizontal="center"/>
    </xf>
    <xf numFmtId="0" fontId="17" fillId="0" borderId="3" xfId="5" applyFont="1" applyBorder="1" applyAlignment="1">
      <alignment horizontal="center" vertical="center"/>
    </xf>
    <xf numFmtId="0" fontId="12" fillId="0" borderId="3" xfId="4" applyBorder="1" applyAlignment="1">
      <alignment wrapText="1"/>
    </xf>
    <xf numFmtId="0" fontId="17" fillId="0" borderId="2" xfId="5" applyFont="1" applyBorder="1" applyAlignment="1">
      <alignment horizontal="center" vertical="center"/>
    </xf>
    <xf numFmtId="0" fontId="12" fillId="0" borderId="2" xfId="4" applyBorder="1" applyAlignment="1">
      <alignment wrapText="1"/>
    </xf>
    <xf numFmtId="0" fontId="12" fillId="6" borderId="2" xfId="4" applyFill="1" applyBorder="1" applyAlignment="1">
      <alignment wrapText="1"/>
    </xf>
    <xf numFmtId="0" fontId="12" fillId="0" borderId="2" xfId="4" applyBorder="1" applyAlignment="1">
      <alignment vertical="center" wrapText="1"/>
    </xf>
    <xf numFmtId="0" fontId="12" fillId="6" borderId="2" xfId="4" applyFill="1" applyBorder="1" applyAlignment="1">
      <alignment vertical="center" wrapText="1"/>
    </xf>
    <xf numFmtId="0" fontId="12" fillId="2" borderId="2" xfId="4" applyFill="1" applyBorder="1" applyAlignment="1">
      <alignment wrapText="1"/>
    </xf>
    <xf numFmtId="0" fontId="14" fillId="2" borderId="0" xfId="5" applyFill="1">
      <alignment vertical="center"/>
    </xf>
    <xf numFmtId="0" fontId="12" fillId="2" borderId="2" xfId="4" applyFill="1" applyBorder="1" applyAlignment="1">
      <alignment vertical="center" wrapText="1"/>
    </xf>
    <xf numFmtId="0" fontId="17" fillId="2" borderId="2" xfId="5" applyFont="1" applyFill="1" applyBorder="1" applyAlignment="1">
      <alignment horizontal="center" vertical="center"/>
    </xf>
    <xf numFmtId="0" fontId="12" fillId="6" borderId="7" xfId="4" applyFill="1" applyBorder="1" applyAlignment="1">
      <alignment wrapText="1"/>
    </xf>
    <xf numFmtId="0" fontId="17" fillId="0" borderId="0" xfId="5" applyFont="1" applyAlignment="1">
      <alignment horizontal="center" vertical="center"/>
    </xf>
    <xf numFmtId="0" fontId="17" fillId="0" borderId="0" xfId="5" applyFont="1">
      <alignment vertical="center"/>
    </xf>
    <xf numFmtId="0" fontId="13" fillId="0" borderId="0" xfId="4" applyFont="1" applyFill="1" applyBorder="1" applyAlignment="1">
      <alignment horizontal="center"/>
    </xf>
    <xf numFmtId="0" fontId="11" fillId="0" borderId="0" xfId="5" applyFont="1" applyFill="1" applyBorder="1">
      <alignment vertical="center"/>
    </xf>
    <xf numFmtId="0" fontId="14" fillId="0" borderId="0" xfId="5" applyFill="1" applyBorder="1">
      <alignment vertical="center"/>
    </xf>
    <xf numFmtId="0" fontId="12" fillId="0" borderId="0" xfId="4" applyFill="1" applyBorder="1" applyAlignment="1">
      <alignment wrapText="1"/>
    </xf>
    <xf numFmtId="0" fontId="12" fillId="0" borderId="0" xfId="4" applyFill="1" applyBorder="1" applyAlignment="1">
      <alignment horizontal="left" vertical="center" wrapText="1"/>
    </xf>
    <xf numFmtId="0" fontId="14" fillId="0" borderId="0" xfId="5" applyFill="1" applyBorder="1" applyAlignment="1">
      <alignment horizontal="left" vertical="center"/>
    </xf>
    <xf numFmtId="0" fontId="15" fillId="0" borderId="0" xfId="5" applyFont="1" applyFill="1" applyBorder="1">
      <alignment vertical="center"/>
    </xf>
    <xf numFmtId="0" fontId="14" fillId="3" borderId="0" xfId="5" applyFill="1" applyBorder="1">
      <alignment vertical="center"/>
    </xf>
    <xf numFmtId="0" fontId="13" fillId="7" borderId="0" xfId="4" applyFont="1" applyFill="1" applyBorder="1" applyAlignment="1">
      <alignment wrapText="1"/>
    </xf>
    <xf numFmtId="0" fontId="15" fillId="7" borderId="0" xfId="5" applyFont="1" applyFill="1" applyBorder="1">
      <alignment vertical="center"/>
    </xf>
    <xf numFmtId="0" fontId="3" fillId="0" borderId="0" xfId="0" applyFont="1"/>
    <xf numFmtId="0" fontId="1" fillId="8" borderId="0" xfId="0" applyFont="1" applyFill="1" applyAlignment="1">
      <alignment vertical="center" wrapText="1"/>
    </xf>
    <xf numFmtId="0" fontId="1" fillId="9" borderId="2" xfId="0" applyFont="1" applyFill="1" applyBorder="1" applyAlignment="1">
      <alignment vertical="center" wrapText="1"/>
    </xf>
    <xf numFmtId="0" fontId="1" fillId="9" borderId="2" xfId="0" applyFont="1" applyFill="1" applyBorder="1" applyAlignment="1">
      <alignment wrapText="1"/>
    </xf>
    <xf numFmtId="0" fontId="0" fillId="10" borderId="2" xfId="0" applyFill="1" applyBorder="1" applyAlignment="1">
      <alignment horizontal="left"/>
    </xf>
    <xf numFmtId="0" fontId="0" fillId="10" borderId="2" xfId="0" applyFill="1" applyBorder="1"/>
    <xf numFmtId="168" fontId="0" fillId="10" borderId="2" xfId="2" applyNumberFormat="1" applyFont="1" applyFill="1" applyBorder="1"/>
    <xf numFmtId="0" fontId="0" fillId="6" borderId="2" xfId="0" applyFill="1" applyBorder="1" applyAlignment="1">
      <alignment horizontal="left"/>
    </xf>
    <xf numFmtId="167" fontId="0" fillId="6" borderId="2" xfId="6" applyNumberFormat="1" applyFont="1" applyFill="1" applyBorder="1"/>
    <xf numFmtId="167" fontId="0" fillId="6" borderId="2" xfId="0" applyNumberFormat="1" applyFill="1" applyBorder="1"/>
    <xf numFmtId="168" fontId="0" fillId="6" borderId="2" xfId="2" applyNumberFormat="1" applyFont="1" applyFill="1" applyBorder="1"/>
    <xf numFmtId="0" fontId="1" fillId="10" borderId="2" xfId="0" applyFont="1" applyFill="1" applyBorder="1"/>
    <xf numFmtId="0" fontId="1" fillId="11" borderId="2" xfId="0" applyFont="1" applyFill="1" applyBorder="1" applyAlignment="1">
      <alignment vertical="center" wrapText="1"/>
    </xf>
    <xf numFmtId="0" fontId="1" fillId="11" borderId="2" xfId="0" applyFont="1" applyFill="1" applyBorder="1" applyAlignment="1">
      <alignment wrapText="1"/>
    </xf>
    <xf numFmtId="0" fontId="1" fillId="12" borderId="0" xfId="0" applyFont="1" applyFill="1"/>
    <xf numFmtId="0" fontId="5" fillId="10" borderId="2" xfId="0" applyFont="1" applyFill="1" applyBorder="1"/>
    <xf numFmtId="167" fontId="0" fillId="10" borderId="2" xfId="6" applyNumberFormat="1" applyFont="1" applyFill="1" applyBorder="1"/>
    <xf numFmtId="0" fontId="5" fillId="13" borderId="2" xfId="0" applyFont="1" applyFill="1" applyBorder="1"/>
    <xf numFmtId="0" fontId="0" fillId="13" borderId="2" xfId="0" applyFill="1" applyBorder="1"/>
    <xf numFmtId="168" fontId="0" fillId="13" borderId="2" xfId="2" applyNumberFormat="1" applyFont="1" applyFill="1" applyBorder="1"/>
    <xf numFmtId="0" fontId="1" fillId="13" borderId="2" xfId="0" applyFont="1" applyFill="1" applyBorder="1"/>
    <xf numFmtId="167" fontId="1" fillId="10" borderId="2" xfId="6" applyNumberFormat="1" applyFont="1" applyFill="1" applyBorder="1"/>
    <xf numFmtId="0" fontId="1" fillId="9" borderId="0" xfId="0" applyFont="1" applyFill="1"/>
    <xf numFmtId="0" fontId="5" fillId="6" borderId="2" xfId="0" applyFont="1" applyFill="1" applyBorder="1"/>
    <xf numFmtId="0" fontId="0" fillId="6" borderId="2" xfId="0" applyFill="1" applyBorder="1"/>
    <xf numFmtId="0" fontId="1" fillId="6" borderId="2" xfId="0" applyFont="1" applyFill="1" applyBorder="1"/>
    <xf numFmtId="0" fontId="1" fillId="14" borderId="2" xfId="0" applyFont="1" applyFill="1" applyBorder="1" applyAlignment="1">
      <alignment vertical="center"/>
    </xf>
    <xf numFmtId="0" fontId="5" fillId="14" borderId="2" xfId="0" applyFont="1" applyFill="1" applyBorder="1" applyAlignment="1">
      <alignment wrapText="1"/>
    </xf>
    <xf numFmtId="0" fontId="1" fillId="15" borderId="2" xfId="0" applyFont="1" applyFill="1" applyBorder="1" applyAlignment="1">
      <alignment wrapText="1"/>
    </xf>
    <xf numFmtId="0" fontId="1" fillId="15" borderId="2" xfId="0" applyFont="1" applyFill="1" applyBorder="1" applyAlignment="1">
      <alignment horizontal="center" vertical="center" wrapText="1"/>
    </xf>
    <xf numFmtId="0" fontId="1" fillId="15" borderId="2" xfId="0" applyFont="1" applyFill="1" applyBorder="1" applyAlignment="1">
      <alignment vertical="center" wrapText="1"/>
    </xf>
    <xf numFmtId="0" fontId="1" fillId="15" borderId="2" xfId="0" applyFont="1" applyFill="1" applyBorder="1" applyAlignment="1">
      <alignment vertical="center"/>
    </xf>
    <xf numFmtId="0" fontId="0" fillId="16" borderId="2" xfId="0" applyFill="1" applyBorder="1" applyAlignment="1">
      <alignment horizontal="left"/>
    </xf>
    <xf numFmtId="167" fontId="0" fillId="16" borderId="2" xfId="6" applyNumberFormat="1" applyFont="1" applyFill="1" applyBorder="1"/>
    <xf numFmtId="167" fontId="0" fillId="16" borderId="2" xfId="0" applyNumberFormat="1" applyFill="1" applyBorder="1"/>
    <xf numFmtId="168" fontId="0" fillId="16" borderId="2" xfId="2" applyNumberFormat="1" applyFont="1" applyFill="1" applyBorder="1"/>
    <xf numFmtId="1" fontId="1" fillId="0" borderId="14" xfId="0" applyNumberFormat="1" applyFont="1" applyBorder="1" applyAlignment="1">
      <alignment horizontal="center" vertical="center" wrapText="1"/>
    </xf>
    <xf numFmtId="1" fontId="1" fillId="0" borderId="15" xfId="0" applyNumberFormat="1" applyFont="1" applyBorder="1" applyAlignment="1">
      <alignment horizontal="center" vertical="center" wrapText="1"/>
    </xf>
    <xf numFmtId="1" fontId="1" fillId="0" borderId="16" xfId="0" applyNumberFormat="1" applyFont="1" applyBorder="1" applyAlignment="1">
      <alignment horizontal="center" vertical="center" wrapText="1"/>
    </xf>
    <xf numFmtId="1" fontId="1" fillId="0" borderId="6" xfId="0" applyNumberFormat="1" applyFont="1" applyBorder="1" applyAlignment="1">
      <alignment horizontal="center" vertical="center" wrapText="1"/>
    </xf>
    <xf numFmtId="0" fontId="3" fillId="0" borderId="0" xfId="0" applyFont="1" applyAlignment="1">
      <alignment horizontal="center" vertical="center"/>
    </xf>
    <xf numFmtId="1" fontId="1" fillId="0" borderId="12" xfId="0" applyNumberFormat="1" applyFont="1" applyBorder="1" applyAlignment="1">
      <alignment horizontal="center" vertical="center" wrapText="1"/>
    </xf>
    <xf numFmtId="1" fontId="1" fillId="0" borderId="17" xfId="0" applyNumberFormat="1" applyFont="1" applyBorder="1" applyAlignment="1">
      <alignment horizontal="center" vertical="center" wrapText="1"/>
    </xf>
    <xf numFmtId="1" fontId="1" fillId="0" borderId="9" xfId="0" applyNumberFormat="1" applyFont="1" applyBorder="1" applyAlignment="1">
      <alignment horizontal="center" vertical="center" wrapText="1"/>
    </xf>
    <xf numFmtId="1" fontId="1" fillId="0" borderId="4" xfId="0" applyNumberFormat="1" applyFont="1" applyBorder="1" applyAlignment="1">
      <alignment horizontal="center" vertical="center" wrapText="1"/>
    </xf>
    <xf numFmtId="1" fontId="1" fillId="0" borderId="10" xfId="0" applyNumberFormat="1" applyFont="1" applyBorder="1" applyAlignment="1">
      <alignment horizontal="center" vertical="center" wrapText="1"/>
    </xf>
    <xf numFmtId="1" fontId="1" fillId="0" borderId="5" xfId="0" applyNumberFormat="1" applyFont="1" applyBorder="1" applyAlignment="1">
      <alignment horizontal="center" vertical="center" wrapText="1"/>
    </xf>
    <xf numFmtId="1" fontId="1" fillId="0" borderId="11" xfId="0" applyNumberFormat="1" applyFont="1" applyBorder="1" applyAlignment="1">
      <alignment horizontal="center" vertical="center" wrapText="1"/>
    </xf>
    <xf numFmtId="1" fontId="1" fillId="0" borderId="3" xfId="0" applyNumberFormat="1" applyFont="1" applyBorder="1" applyAlignment="1">
      <alignment horizontal="center" vertical="center" wrapText="1"/>
    </xf>
    <xf numFmtId="0" fontId="8" fillId="0" borderId="21" xfId="0" applyFont="1" applyFill="1" applyBorder="1" applyAlignment="1">
      <alignment horizontal="center" vertical="center"/>
    </xf>
    <xf numFmtId="0" fontId="8" fillId="0" borderId="23" xfId="0" applyFont="1" applyFill="1" applyBorder="1" applyAlignment="1">
      <alignment horizontal="center" vertical="center"/>
    </xf>
    <xf numFmtId="0" fontId="5" fillId="3" borderId="2" xfId="0" applyFont="1" applyFill="1" applyBorder="1" applyAlignment="1">
      <alignment horizontal="left"/>
    </xf>
    <xf numFmtId="0" fontId="0" fillId="3" borderId="2" xfId="0" applyFill="1" applyBorder="1" applyAlignment="1">
      <alignment horizontal="left"/>
    </xf>
    <xf numFmtId="1" fontId="1" fillId="0" borderId="13" xfId="0" applyNumberFormat="1" applyFont="1" applyBorder="1" applyAlignment="1">
      <alignment horizontal="center" vertical="center" wrapText="1"/>
    </xf>
    <xf numFmtId="1" fontId="1" fillId="0" borderId="8" xfId="0" applyNumberFormat="1" applyFont="1" applyBorder="1" applyAlignment="1">
      <alignment horizontal="center" vertical="center" wrapText="1"/>
    </xf>
    <xf numFmtId="1" fontId="1" fillId="0" borderId="7" xfId="0" applyNumberFormat="1" applyFont="1" applyBorder="1" applyAlignment="1">
      <alignment horizontal="center" vertical="center" wrapText="1"/>
    </xf>
    <xf numFmtId="1" fontId="1" fillId="0" borderId="19" xfId="0" applyNumberFormat="1" applyFont="1" applyBorder="1" applyAlignment="1">
      <alignment horizontal="center" vertical="center" wrapText="1"/>
    </xf>
    <xf numFmtId="1" fontId="1" fillId="0" borderId="20" xfId="0" applyNumberFormat="1" applyFont="1" applyBorder="1" applyAlignment="1">
      <alignment horizontal="center" vertical="center" wrapText="1"/>
    </xf>
    <xf numFmtId="1" fontId="1" fillId="0" borderId="18" xfId="0" applyNumberFormat="1" applyFont="1" applyBorder="1" applyAlignment="1">
      <alignment horizontal="center" vertical="center" wrapText="1"/>
    </xf>
    <xf numFmtId="1" fontId="1" fillId="0" borderId="0" xfId="0" applyNumberFormat="1" applyFont="1" applyBorder="1" applyAlignment="1">
      <alignment horizontal="center" vertical="center" wrapText="1"/>
    </xf>
    <xf numFmtId="1" fontId="1" fillId="0" borderId="21" xfId="0" applyNumberFormat="1" applyFont="1" applyBorder="1" applyAlignment="1">
      <alignment horizontal="center" vertical="center" wrapText="1"/>
    </xf>
    <xf numFmtId="1" fontId="1" fillId="0" borderId="22" xfId="0" applyNumberFormat="1" applyFont="1" applyBorder="1" applyAlignment="1">
      <alignment horizontal="center" vertical="center" wrapText="1"/>
    </xf>
    <xf numFmtId="1" fontId="1" fillId="0" borderId="23" xfId="0" applyNumberFormat="1" applyFont="1" applyBorder="1" applyAlignment="1">
      <alignment horizontal="center" vertical="center" wrapText="1"/>
    </xf>
    <xf numFmtId="0" fontId="12" fillId="2" borderId="8" xfId="4" applyFill="1" applyBorder="1" applyAlignment="1">
      <alignment horizontal="left" vertical="center" wrapText="1"/>
    </xf>
    <xf numFmtId="0" fontId="12" fillId="2" borderId="3" xfId="4" applyFill="1" applyBorder="1" applyAlignment="1">
      <alignment horizontal="left" vertical="center" wrapText="1"/>
    </xf>
    <xf numFmtId="0" fontId="12" fillId="2" borderId="7" xfId="4" applyFill="1" applyBorder="1" applyAlignment="1">
      <alignment horizontal="left" vertical="center" wrapText="1"/>
    </xf>
    <xf numFmtId="0" fontId="8" fillId="3" borderId="21" xfId="0" applyFont="1" applyFill="1" applyBorder="1" applyAlignment="1">
      <alignment horizontal="center" vertical="center"/>
    </xf>
    <xf numFmtId="0" fontId="8" fillId="3" borderId="23" xfId="0" applyFont="1" applyFill="1" applyBorder="1" applyAlignment="1">
      <alignment horizontal="center" vertical="center"/>
    </xf>
    <xf numFmtId="0" fontId="1" fillId="11" borderId="2" xfId="0" applyFont="1" applyFill="1" applyBorder="1"/>
    <xf numFmtId="0" fontId="0" fillId="11" borderId="2" xfId="0" applyFill="1" applyBorder="1"/>
    <xf numFmtId="168" fontId="0" fillId="17" borderId="2" xfId="2" applyNumberFormat="1" applyFont="1" applyFill="1" applyBorder="1"/>
  </cellXfs>
  <cellStyles count="7">
    <cellStyle name="Comma" xfId="1" builtinId="3"/>
    <cellStyle name="Comma 2" xfId="6" xr:uid="{00000000-0005-0000-0000-000001000000}"/>
    <cellStyle name="Normal" xfId="0" builtinId="0"/>
    <cellStyle name="Normal 2" xfId="3" xr:uid="{00000000-0005-0000-0000-000003000000}"/>
    <cellStyle name="Normal 3" xfId="5" xr:uid="{00000000-0005-0000-0000-000004000000}"/>
    <cellStyle name="Normal_Indicators_12" xfId="4" xr:uid="{00000000-0005-0000-0000-000005000000}"/>
    <cellStyle name="Percent 2" xfId="2" xr:uid="{00000000-0005-0000-0000-000006000000}"/>
  </cellStyles>
  <dxfs count="0"/>
  <tableStyles count="0" defaultTableStyle="TableStyleMedium9" defaultPivotStyle="PivotStyleLight16"/>
  <colors>
    <mruColors>
      <color rgb="FFFFFF99"/>
      <color rgb="FFFFFF6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externalLink" Target="externalLinks/externalLink2.xml"/><Relationship Id="rId2" Type="http://schemas.openxmlformats.org/officeDocument/2006/relationships/worksheet" Target="worksheets/sheet2.xml"/><Relationship Id="rId16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externalLink" Target="externalLinks/externalLink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1400" b="1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Vehicle Proportions in OD Sample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n-UG"/>
        </a:p>
      </c:txPr>
    </c:title>
    <c:autoTitleDeleted val="0"/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dPt>
            <c:idx val="0"/>
            <c:bubble3D val="0"/>
            <c:explosion val="14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1-47E3-4185-8AB8-A817B18A714A}"/>
              </c:ext>
            </c:extLst>
          </c:dPt>
          <c:dPt>
            <c:idx val="1"/>
            <c:bubble3D val="0"/>
            <c:explosion val="17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3-47E3-4185-8AB8-A817B18A714A}"/>
              </c:ext>
            </c:extLst>
          </c:dPt>
          <c:dPt>
            <c:idx val="2"/>
            <c:bubble3D val="0"/>
            <c:explosion val="10"/>
            <c:spPr>
              <a:solidFill>
                <a:schemeClr val="accent3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5-47E3-4185-8AB8-A817B18A714A}"/>
              </c:ext>
            </c:extLst>
          </c:dPt>
          <c:dPt>
            <c:idx val="3"/>
            <c:bubble3D val="0"/>
            <c:explosion val="11"/>
            <c:spPr>
              <a:solidFill>
                <a:schemeClr val="accent4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7-47E3-4185-8AB8-A817B18A714A}"/>
              </c:ext>
            </c:extLst>
          </c:dPt>
          <c:dPt>
            <c:idx val="4"/>
            <c:bubble3D val="0"/>
            <c:explosion val="9"/>
            <c:spPr>
              <a:solidFill>
                <a:schemeClr val="accent5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9-47E3-4185-8AB8-A817B18A714A}"/>
              </c:ext>
            </c:extLst>
          </c:dPt>
          <c:dPt>
            <c:idx val="5"/>
            <c:bubble3D val="0"/>
            <c:explosion val="19"/>
            <c:spPr>
              <a:solidFill>
                <a:schemeClr val="accent6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B-47E3-4185-8AB8-A817B18A714A}"/>
              </c:ext>
            </c:extLst>
          </c:dPt>
          <c:dPt>
            <c:idx val="6"/>
            <c:bubble3D val="0"/>
            <c:explosion val="15"/>
            <c:spPr>
              <a:solidFill>
                <a:schemeClr val="accent1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D-47E3-4185-8AB8-A817B18A714A}"/>
              </c:ext>
            </c:extLst>
          </c:dPt>
          <c:dPt>
            <c:idx val="7"/>
            <c:bubble3D val="0"/>
            <c:explosion val="13"/>
            <c:spPr>
              <a:solidFill>
                <a:schemeClr val="accent2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F-47E3-4185-8AB8-A817B18A714A}"/>
              </c:ext>
            </c:extLst>
          </c:dPt>
          <c:dPt>
            <c:idx val="8"/>
            <c:bubble3D val="0"/>
            <c:explosion val="9"/>
            <c:spPr>
              <a:solidFill>
                <a:schemeClr val="accent3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1-47E3-4185-8AB8-A817B18A714A}"/>
              </c:ext>
            </c:extLst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3-47E3-4185-8AB8-A817B18A714A}"/>
              </c:ext>
            </c:extLst>
          </c:dPt>
          <c:dPt>
            <c:idx val="10"/>
            <c:bubble3D val="0"/>
            <c:explosion val="10"/>
            <c:spPr>
              <a:solidFill>
                <a:schemeClr val="accent5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5-47E3-4185-8AB8-A817B18A714A}"/>
              </c:ext>
            </c:extLst>
          </c:dPt>
          <c:dPt>
            <c:idx val="11"/>
            <c:bubble3D val="0"/>
            <c:explosion val="15"/>
            <c:spPr>
              <a:solidFill>
                <a:schemeClr val="accent6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7-47E3-4185-8AB8-A817B18A714A}"/>
              </c:ext>
            </c:extLst>
          </c:dPt>
          <c:dLbls>
            <c:dLbl>
              <c:idx val="8"/>
              <c:layout>
                <c:manualLayout>
                  <c:x val="2.371937882764655E-3"/>
                  <c:y val="4.9697069116360459E-2"/>
                </c:manualLayout>
              </c:layout>
              <c:showLegendKey val="0"/>
              <c:showVal val="1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1-47E3-4185-8AB8-A817B18A714A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G"/>
              </a:p>
            </c:txPr>
            <c:showLegendKey val="0"/>
            <c:showVal val="1"/>
            <c:showCatName val="1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Analysis!$B$5:$B$16</c:f>
              <c:strCache>
                <c:ptCount val="12"/>
                <c:pt idx="0">
                  <c:v>Car</c:v>
                </c:pt>
                <c:pt idx="1">
                  <c:v>Station Wagon</c:v>
                </c:pt>
                <c:pt idx="2">
                  <c:v>Pickups</c:v>
                </c:pt>
                <c:pt idx="3">
                  <c:v>Minibus, matatu</c:v>
                </c:pt>
                <c:pt idx="4">
                  <c:v>Medium bus </c:v>
                </c:pt>
                <c:pt idx="5">
                  <c:v>Large Bus</c:v>
                </c:pt>
                <c:pt idx="6">
                  <c:v>Light Truck </c:v>
                </c:pt>
                <c:pt idx="7">
                  <c:v>Medium Truck </c:v>
                </c:pt>
                <c:pt idx="8">
                  <c:v>Heavy truck </c:v>
                </c:pt>
                <c:pt idx="9">
                  <c:v>Truck Trailer </c:v>
                </c:pt>
                <c:pt idx="10">
                  <c:v>Motor cycles</c:v>
                </c:pt>
                <c:pt idx="11">
                  <c:v>Tractors</c:v>
                </c:pt>
              </c:strCache>
            </c:strRef>
          </c:cat>
          <c:val>
            <c:numRef>
              <c:f>Analysis!$C$5:$C$16</c:f>
              <c:numCache>
                <c:formatCode>General</c:formatCode>
                <c:ptCount val="12"/>
                <c:pt idx="0">
                  <c:v>271</c:v>
                </c:pt>
                <c:pt idx="1">
                  <c:v>64</c:v>
                </c:pt>
                <c:pt idx="2">
                  <c:v>19</c:v>
                </c:pt>
                <c:pt idx="3">
                  <c:v>33</c:v>
                </c:pt>
                <c:pt idx="4">
                  <c:v>1</c:v>
                </c:pt>
                <c:pt idx="5">
                  <c:v>1</c:v>
                </c:pt>
                <c:pt idx="6">
                  <c:v>66</c:v>
                </c:pt>
                <c:pt idx="7">
                  <c:v>19</c:v>
                </c:pt>
                <c:pt idx="8">
                  <c:v>5</c:v>
                </c:pt>
                <c:pt idx="9">
                  <c:v>2</c:v>
                </c:pt>
                <c:pt idx="10">
                  <c:v>3</c:v>
                </c:pt>
                <c:pt idx="11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8-47E3-4185-8AB8-A817B18A714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</c:pie3DChart>
      <c:spPr>
        <a:noFill/>
        <a:ln>
          <a:noFill/>
        </a:ln>
        <a:effectLst/>
      </c:spPr>
    </c:plotArea>
    <c:plotVisOnly val="1"/>
    <c:dispBlanksAs val="zero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bg1">
          <a:lumMod val="50000"/>
        </a:schemeClr>
      </a:solidFill>
      <a:round/>
    </a:ln>
    <a:effectLst/>
  </c:spPr>
  <c:txPr>
    <a:bodyPr/>
    <a:lstStyle/>
    <a:p>
      <a:pPr>
        <a:defRPr/>
      </a:pPr>
      <a:endParaRPr lang="en-UG"/>
    </a:p>
  </c:txPr>
  <c:printSettings>
    <c:headerFooter/>
    <c:pageMargins b="0.75000000000000011" l="0.70000000000000007" r="0.70000000000000007" t="0.75000000000000011" header="0.30000000000000004" footer="0.30000000000000004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1400" b="1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Journey</a:t>
            </a:r>
            <a:r>
              <a:rPr lang="en-US" sz="1400" b="1" baseline="0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 Purpose Proportions</a:t>
            </a:r>
            <a:endParaRPr lang="en-US" sz="1400" b="1">
              <a:solidFill>
                <a:schemeClr val="tx1"/>
              </a:solidFill>
              <a:latin typeface="Arial" panose="020B0604020202020204" pitchFamily="34" charset="0"/>
              <a:cs typeface="Arial" panose="020B0604020202020204" pitchFamily="34" charset="0"/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n-UG"/>
        </a:p>
      </c:txPr>
    </c:title>
    <c:autoTitleDeleted val="0"/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>
        <c:manualLayout>
          <c:layoutTarget val="inner"/>
          <c:xMode val="edge"/>
          <c:yMode val="edge"/>
          <c:x val="3.4830007572595481E-2"/>
          <c:y val="0.23102917633221154"/>
          <c:w val="0.95203034050608182"/>
          <c:h val="0.69150475668547662"/>
        </c:manualLayout>
      </c:layout>
      <c:pie3D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1-34F1-4F0C-B2C4-66ADBB8B108F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3-34F1-4F0C-B2C4-66ADBB8B108F}"/>
              </c:ext>
            </c:extLst>
          </c:dPt>
          <c:dPt>
            <c:idx val="2"/>
            <c:bubble3D val="0"/>
            <c:explosion val="20"/>
            <c:spPr>
              <a:solidFill>
                <a:schemeClr val="accent3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5-34F1-4F0C-B2C4-66ADBB8B108F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7-34F1-4F0C-B2C4-66ADBB8B108F}"/>
              </c:ext>
            </c:extLst>
          </c:dPt>
          <c:dPt>
            <c:idx val="4"/>
            <c:bubble3D val="0"/>
            <c:explosion val="10"/>
            <c:spPr>
              <a:solidFill>
                <a:schemeClr val="accent5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9-34F1-4F0C-B2C4-66ADBB8B108F}"/>
              </c:ext>
            </c:extLst>
          </c:dPt>
          <c:dLbls>
            <c:dLbl>
              <c:idx val="0"/>
              <c:layout>
                <c:manualLayout>
                  <c:x val="-0.24566885389326337"/>
                  <c:y val="6.4869495479731717E-3"/>
                </c:manualLayout>
              </c:layout>
              <c:showLegendKey val="0"/>
              <c:showVal val="1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34F1-4F0C-B2C4-66ADBB8B108F}"/>
                </c:ext>
              </c:extLst>
            </c:dLbl>
            <c:dLbl>
              <c:idx val="1"/>
              <c:layout>
                <c:manualLayout>
                  <c:x val="-0.12087346894138229"/>
                  <c:y val="-8.5893482064741927E-2"/>
                </c:manualLayout>
              </c:layout>
              <c:showLegendKey val="0"/>
              <c:showVal val="1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34F1-4F0C-B2C4-66ADBB8B108F}"/>
                </c:ext>
              </c:extLst>
            </c:dLbl>
            <c:dLbl>
              <c:idx val="2"/>
              <c:layout>
                <c:manualLayout>
                  <c:x val="0.147621719160105"/>
                  <c:y val="-2.9575678040244975E-2"/>
                </c:manualLayout>
              </c:layout>
              <c:showLegendKey val="0"/>
              <c:showVal val="1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34F1-4F0C-B2C4-66ADBB8B108F}"/>
                </c:ext>
              </c:extLst>
            </c:dLbl>
            <c:dLbl>
              <c:idx val="3"/>
              <c:layout>
                <c:manualLayout>
                  <c:x val="0.14976793525809276"/>
                  <c:y val="5.9194736074657334E-2"/>
                </c:manualLayout>
              </c:layout>
              <c:showLegendKey val="0"/>
              <c:showVal val="1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7-34F1-4F0C-B2C4-66ADBB8B108F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G"/>
              </a:p>
            </c:txPr>
            <c:showLegendKey val="0"/>
            <c:showVal val="1"/>
            <c:showCatName val="1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Analysis!$B$24:$B$28</c:f>
              <c:strCache>
                <c:ptCount val="5"/>
                <c:pt idx="0">
                  <c:v>Home-Work</c:v>
                </c:pt>
                <c:pt idx="1">
                  <c:v>Home-Study</c:v>
                </c:pt>
                <c:pt idx="2">
                  <c:v>Work-Home</c:v>
                </c:pt>
                <c:pt idx="3">
                  <c:v>Work-Work</c:v>
                </c:pt>
                <c:pt idx="4">
                  <c:v>Others</c:v>
                </c:pt>
              </c:strCache>
            </c:strRef>
          </c:cat>
          <c:val>
            <c:numRef>
              <c:f>Analysis!$C$24:$C$28</c:f>
              <c:numCache>
                <c:formatCode>General</c:formatCode>
                <c:ptCount val="5"/>
                <c:pt idx="0">
                  <c:v>122</c:v>
                </c:pt>
                <c:pt idx="1">
                  <c:v>8</c:v>
                </c:pt>
                <c:pt idx="2">
                  <c:v>35</c:v>
                </c:pt>
                <c:pt idx="3">
                  <c:v>39</c:v>
                </c:pt>
                <c:pt idx="4">
                  <c:v>281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A-34F1-4F0C-B2C4-66ADBB8B108F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  <c:showLeaderLines val="1"/>
        </c:dLbls>
      </c:pie3DChart>
      <c:spPr>
        <a:noFill/>
        <a:ln>
          <a:noFill/>
        </a:ln>
        <a:effectLst/>
      </c:spPr>
    </c:plotArea>
    <c:plotVisOnly val="1"/>
    <c:dispBlanksAs val="zero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bg1">
          <a:lumMod val="50000"/>
        </a:schemeClr>
      </a:solidFill>
      <a:round/>
    </a:ln>
    <a:effectLst/>
  </c:spPr>
  <c:txPr>
    <a:bodyPr/>
    <a:lstStyle/>
    <a:p>
      <a:pPr>
        <a:defRPr/>
      </a:pPr>
      <a:endParaRPr lang="en-UG"/>
    </a:p>
  </c:txPr>
  <c:printSettings>
    <c:headerFooter/>
    <c:pageMargins b="0.75000000000000011" l="0.70000000000000007" r="0.70000000000000007" t="0.75000000000000011" header="0.30000000000000004" footer="0.30000000000000004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1400" b="1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Potential Use of Expressways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n-UG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2">
                <a:lumMod val="75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G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Analysis!$B$42:$B$43</c:f>
              <c:strCache>
                <c:ptCount val="2"/>
                <c:pt idx="0">
                  <c:v>Yes</c:v>
                </c:pt>
                <c:pt idx="1">
                  <c:v>No</c:v>
                </c:pt>
              </c:strCache>
            </c:strRef>
          </c:cat>
          <c:val>
            <c:numRef>
              <c:f>Analysis!$D$42:$D$43</c:f>
              <c:numCache>
                <c:formatCode>0.0%</c:formatCode>
                <c:ptCount val="2"/>
                <c:pt idx="0">
                  <c:v>0.98762886597938149</c:v>
                </c:pt>
                <c:pt idx="1">
                  <c:v>1.2371134020618556E-2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AF1-4C7E-8B67-791AE90BEA9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93403776"/>
        <c:axId val="93434624"/>
      </c:barChart>
      <c:catAx>
        <c:axId val="93403776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100" b="1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r>
                  <a:rPr lang="en-US" sz="1100" b="1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Responses</a:t>
                </a:r>
              </a:p>
            </c:rich>
          </c:tx>
          <c:layout>
            <c:manualLayout>
              <c:xMode val="edge"/>
              <c:yMode val="edge"/>
              <c:x val="0.45628605497419872"/>
              <c:y val="0.89256926217556143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100" b="1" i="0" u="none" strike="noStrike" kern="1200" baseline="0">
                  <a:solidFill>
                    <a:schemeClr val="tx1"/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pPr>
              <a:endParaRPr lang="en-UG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G"/>
          </a:p>
        </c:txPr>
        <c:crossAx val="93434624"/>
        <c:crosses val="autoZero"/>
        <c:auto val="1"/>
        <c:lblAlgn val="ctr"/>
        <c:lblOffset val="100"/>
        <c:noMultiLvlLbl val="0"/>
      </c:catAx>
      <c:valAx>
        <c:axId val="9343462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100" b="1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r>
                  <a:rPr lang="en-US" sz="1100" b="1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Proportion of Users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100" b="1" i="0" u="none" strike="noStrike" kern="1200" baseline="0">
                  <a:solidFill>
                    <a:schemeClr val="tx1"/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pPr>
              <a:endParaRPr lang="en-UG"/>
            </a:p>
          </c:txPr>
        </c:title>
        <c:numFmt formatCode="0.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G"/>
          </a:p>
        </c:txPr>
        <c:crossAx val="9340377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bg1">
          <a:lumMod val="50000"/>
        </a:schemeClr>
      </a:solidFill>
      <a:round/>
    </a:ln>
    <a:effectLst/>
  </c:spPr>
  <c:txPr>
    <a:bodyPr/>
    <a:lstStyle/>
    <a:p>
      <a:pPr>
        <a:defRPr/>
      </a:pPr>
      <a:endParaRPr lang="en-UG"/>
    </a:p>
  </c:txPr>
  <c:printSettings>
    <c:headerFooter/>
    <c:pageMargins b="0.75000000000000011" l="0.70000000000000007" r="0.70000000000000007" t="0.75000000000000011" header="0.30000000000000004" footer="0.30000000000000004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1400" b="1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User</a:t>
            </a:r>
            <a:r>
              <a:rPr lang="en-US" sz="1400" b="1" baseline="0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 Charges Public is  Willing to Pay (UGX)</a:t>
            </a:r>
            <a:endParaRPr lang="en-US" sz="1400" b="1">
              <a:solidFill>
                <a:schemeClr val="tx1"/>
              </a:solidFill>
              <a:latin typeface="Arial" panose="020B0604020202020204" pitchFamily="34" charset="0"/>
              <a:cs typeface="Arial" panose="020B0604020202020204" pitchFamily="34" charset="0"/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n-UG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2">
                <a:lumMod val="75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G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Analysis!$B$60:$B$71</c:f>
              <c:strCache>
                <c:ptCount val="12"/>
                <c:pt idx="0">
                  <c:v>Car</c:v>
                </c:pt>
                <c:pt idx="1">
                  <c:v>Station Wagon</c:v>
                </c:pt>
                <c:pt idx="2">
                  <c:v>Pickups</c:v>
                </c:pt>
                <c:pt idx="3">
                  <c:v>Minibus, matatu</c:v>
                </c:pt>
                <c:pt idx="4">
                  <c:v>Medium bus </c:v>
                </c:pt>
                <c:pt idx="5">
                  <c:v>Large Bus</c:v>
                </c:pt>
                <c:pt idx="6">
                  <c:v>Light Truck </c:v>
                </c:pt>
                <c:pt idx="7">
                  <c:v>Medium Truck </c:v>
                </c:pt>
                <c:pt idx="8">
                  <c:v>Heavy truck </c:v>
                </c:pt>
                <c:pt idx="9">
                  <c:v>Truck Trailer </c:v>
                </c:pt>
                <c:pt idx="10">
                  <c:v>Motor cycles</c:v>
                </c:pt>
                <c:pt idx="11">
                  <c:v>Tractors</c:v>
                </c:pt>
              </c:strCache>
            </c:strRef>
          </c:cat>
          <c:val>
            <c:numRef>
              <c:f>Analysis!$C$60:$C$71</c:f>
              <c:numCache>
                <c:formatCode>_(* #,##0_);_(* \(#,##0\);_(* "-"??_);_(@_)</c:formatCode>
                <c:ptCount val="12"/>
                <c:pt idx="0">
                  <c:v>1889.6153846153845</c:v>
                </c:pt>
                <c:pt idx="1">
                  <c:v>1817.4603174603174</c:v>
                </c:pt>
                <c:pt idx="2">
                  <c:v>1176.4705882352941</c:v>
                </c:pt>
                <c:pt idx="3">
                  <c:v>1621.2121212121212</c:v>
                </c:pt>
                <c:pt idx="4">
                  <c:v>2000</c:v>
                </c:pt>
                <c:pt idx="5">
                  <c:v>1000</c:v>
                </c:pt>
                <c:pt idx="6">
                  <c:v>2270.7692307692309</c:v>
                </c:pt>
                <c:pt idx="7">
                  <c:v>1221.0526315789473</c:v>
                </c:pt>
                <c:pt idx="8">
                  <c:v>2000</c:v>
                </c:pt>
                <c:pt idx="9">
                  <c:v>3000</c:v>
                </c:pt>
                <c:pt idx="10">
                  <c:v>2666.6666666666665</c:v>
                </c:pt>
                <c:pt idx="11">
                  <c:v>2000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EEF-4BB8-A5AB-4F88F8B33A64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66"/>
        <c:overlap val="-27"/>
        <c:axId val="93537024"/>
        <c:axId val="93538560"/>
      </c:barChart>
      <c:catAx>
        <c:axId val="9353702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5400000" spcFirstLastPara="1" vertOverflow="ellipsis" wrap="square" anchor="ctr" anchorCtr="1"/>
          <a:lstStyle/>
          <a:p>
            <a:pPr>
              <a:defRPr sz="100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G"/>
          </a:p>
        </c:txPr>
        <c:crossAx val="93538560"/>
        <c:crosses val="autoZero"/>
        <c:auto val="1"/>
        <c:lblAlgn val="ctr"/>
        <c:lblOffset val="100"/>
        <c:noMultiLvlLbl val="0"/>
      </c:catAx>
      <c:valAx>
        <c:axId val="9353856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100" b="0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r>
                  <a:rPr lang="en-US" sz="1100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User</a:t>
                </a:r>
                <a:r>
                  <a:rPr lang="en-US" sz="1100" baseline="0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 </a:t>
                </a:r>
                <a:r>
                  <a:rPr lang="en-US" sz="1100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Charges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100" b="0" i="0" u="none" strike="noStrike" kern="1200" baseline="0">
                  <a:solidFill>
                    <a:schemeClr val="tx1"/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pPr>
              <a:endParaRPr lang="en-UG"/>
            </a:p>
          </c:txPr>
        </c:title>
        <c:numFmt formatCode="_(* #,##0_);_(* \(#,##0\);_(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G"/>
          </a:p>
        </c:txPr>
        <c:crossAx val="9353702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bg1">
          <a:lumMod val="50000"/>
        </a:schemeClr>
      </a:solidFill>
      <a:round/>
    </a:ln>
    <a:effectLst/>
  </c:spPr>
  <c:txPr>
    <a:bodyPr/>
    <a:lstStyle/>
    <a:p>
      <a:pPr>
        <a:defRPr/>
      </a:pPr>
      <a:endParaRPr lang="en-UG"/>
    </a:p>
  </c:txPr>
  <c:printSettings>
    <c:headerFooter/>
    <c:pageMargins b="0.75000000000000011" l="0.70000000000000007" r="0.70000000000000007" t="0.75000000000000011" header="0.30000000000000004" footer="0.30000000000000004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b="1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Trip</a:t>
            </a:r>
            <a:r>
              <a:rPr lang="en-US" b="1" baseline="0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 Length Distribution</a:t>
            </a:r>
            <a:endParaRPr lang="en-US" b="1">
              <a:solidFill>
                <a:schemeClr val="tx1"/>
              </a:solidFill>
              <a:latin typeface="Arial" panose="020B0604020202020204" pitchFamily="34" charset="0"/>
              <a:cs typeface="Arial" panose="020B0604020202020204" pitchFamily="34" charset="0"/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n-UG"/>
        </a:p>
      </c:txPr>
    </c:title>
    <c:autoTitleDeleted val="0"/>
    <c:plotArea>
      <c:layout>
        <c:manualLayout>
          <c:layoutTarget val="inner"/>
          <c:xMode val="edge"/>
          <c:yMode val="edge"/>
          <c:x val="0.14096969097175122"/>
          <c:y val="0.14556451612903226"/>
          <c:w val="0.83274596510861543"/>
          <c:h val="0.54170688341376683"/>
        </c:manualLayout>
      </c:layout>
      <c:barChart>
        <c:barDir val="col"/>
        <c:grouping val="clustered"/>
        <c:varyColors val="0"/>
        <c:ser>
          <c:idx val="0"/>
          <c:order val="0"/>
          <c:spPr>
            <a:solidFill>
              <a:schemeClr val="accent3">
                <a:lumMod val="50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G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Analysis!$B$80:$B$88</c:f>
              <c:strCache>
                <c:ptCount val="9"/>
                <c:pt idx="0">
                  <c:v>0-1</c:v>
                </c:pt>
                <c:pt idx="1">
                  <c:v>1-2.5</c:v>
                </c:pt>
                <c:pt idx="2">
                  <c:v>2.5-5.0</c:v>
                </c:pt>
                <c:pt idx="3">
                  <c:v>5.0-10.0</c:v>
                </c:pt>
                <c:pt idx="4">
                  <c:v>10.0-20.0</c:v>
                </c:pt>
                <c:pt idx="5">
                  <c:v>20.0-50.0</c:v>
                </c:pt>
                <c:pt idx="6">
                  <c:v>50.0-100.0</c:v>
                </c:pt>
                <c:pt idx="7">
                  <c:v>100.0-250.0</c:v>
                </c:pt>
                <c:pt idx="8">
                  <c:v>Over 250</c:v>
                </c:pt>
              </c:strCache>
            </c:strRef>
          </c:cat>
          <c:val>
            <c:numRef>
              <c:f>Analysis!$D$80:$D$88</c:f>
              <c:numCache>
                <c:formatCode>_(* #,##0_);_(* \(#,##0\);_(* "-"??_);_(@_)</c:formatCode>
                <c:ptCount val="9"/>
                <c:pt idx="0">
                  <c:v>18</c:v>
                </c:pt>
                <c:pt idx="1">
                  <c:v>39</c:v>
                </c:pt>
                <c:pt idx="2">
                  <c:v>79</c:v>
                </c:pt>
                <c:pt idx="3">
                  <c:v>67</c:v>
                </c:pt>
                <c:pt idx="4">
                  <c:v>65</c:v>
                </c:pt>
                <c:pt idx="5">
                  <c:v>42</c:v>
                </c:pt>
                <c:pt idx="6">
                  <c:v>12</c:v>
                </c:pt>
                <c:pt idx="7">
                  <c:v>5</c:v>
                </c:pt>
                <c:pt idx="8">
                  <c:v>10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14A-4B5D-9681-75976834B30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50"/>
        <c:overlap val="-27"/>
        <c:axId val="93579520"/>
        <c:axId val="93733248"/>
      </c:barChart>
      <c:catAx>
        <c:axId val="9357952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100" b="1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r>
                  <a:rPr lang="en-US" sz="1100" b="1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Trip Length Range (Km)</a:t>
                </a:r>
              </a:p>
            </c:rich>
          </c:tx>
          <c:layout>
            <c:manualLayout>
              <c:xMode val="edge"/>
              <c:yMode val="edge"/>
              <c:x val="0.31803001153329596"/>
              <c:y val="0.92240509570450047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100" b="1" i="0" u="none" strike="noStrike" kern="1200" baseline="0">
                  <a:solidFill>
                    <a:schemeClr val="tx1"/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pPr>
              <a:endParaRPr lang="en-UG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5400000" spcFirstLastPara="1" vertOverflow="ellipsis" wrap="square" anchor="ctr" anchorCtr="1"/>
          <a:lstStyle/>
          <a:p>
            <a:pPr>
              <a:defRPr sz="100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G"/>
          </a:p>
        </c:txPr>
        <c:crossAx val="93733248"/>
        <c:crosses val="autoZero"/>
        <c:auto val="1"/>
        <c:lblAlgn val="ctr"/>
        <c:lblOffset val="100"/>
        <c:noMultiLvlLbl val="0"/>
      </c:catAx>
      <c:valAx>
        <c:axId val="9373324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100" b="1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r>
                  <a:rPr lang="en-US" sz="1100" b="1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No.</a:t>
                </a:r>
                <a:r>
                  <a:rPr lang="en-US" sz="1100" b="1" baseline="0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 of Vehicles</a:t>
                </a:r>
                <a:endParaRPr lang="en-US" sz="1100" b="1">
                  <a:solidFill>
                    <a:schemeClr val="tx1"/>
                  </a:solidFill>
                  <a:latin typeface="Arial" panose="020B0604020202020204" pitchFamily="34" charset="0"/>
                  <a:cs typeface="Arial" panose="020B0604020202020204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100" b="1" i="0" u="none" strike="noStrike" kern="1200" baseline="0">
                  <a:solidFill>
                    <a:schemeClr val="tx1"/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pPr>
              <a:endParaRPr lang="en-UG"/>
            </a:p>
          </c:txPr>
        </c:title>
        <c:numFmt formatCode="_(* #,##0_);_(* \(#,##0\);_(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G"/>
          </a:p>
        </c:txPr>
        <c:crossAx val="9357952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bg1">
          <a:lumMod val="50000"/>
        </a:schemeClr>
      </a:solidFill>
      <a:round/>
    </a:ln>
    <a:effectLst/>
  </c:spPr>
  <c:txPr>
    <a:bodyPr/>
    <a:lstStyle/>
    <a:p>
      <a:pPr>
        <a:defRPr/>
      </a:pPr>
      <a:endParaRPr lang="en-UG"/>
    </a:p>
  </c:txPr>
  <c:printSettings>
    <c:headerFooter/>
    <c:pageMargins b="0.75000000000000011" l="0.70000000000000007" r="0.70000000000000007" t="0.75000000000000011" header="0.30000000000000004" footer="0.30000000000000004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b="1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Journey Time </a:t>
            </a:r>
            <a:r>
              <a:rPr lang="en-US" b="1" baseline="0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Distribution</a:t>
            </a:r>
            <a:endParaRPr lang="en-US" b="1">
              <a:solidFill>
                <a:schemeClr val="tx1"/>
              </a:solidFill>
              <a:latin typeface="Arial" panose="020B0604020202020204" pitchFamily="34" charset="0"/>
              <a:cs typeface="Arial" panose="020B0604020202020204" pitchFamily="34" charset="0"/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n-UG"/>
        </a:p>
      </c:txPr>
    </c:title>
    <c:autoTitleDeleted val="0"/>
    <c:plotArea>
      <c:layout>
        <c:manualLayout>
          <c:layoutTarget val="inner"/>
          <c:xMode val="edge"/>
          <c:yMode val="edge"/>
          <c:x val="0.14096969097175122"/>
          <c:y val="0.14556451612903226"/>
          <c:w val="0.83274596510861543"/>
          <c:h val="0.54170688341376683"/>
        </c:manualLayout>
      </c:layout>
      <c:barChart>
        <c:barDir val="col"/>
        <c:grouping val="clustered"/>
        <c:varyColors val="0"/>
        <c:ser>
          <c:idx val="0"/>
          <c:order val="0"/>
          <c:spPr>
            <a:solidFill>
              <a:schemeClr val="accent2">
                <a:lumMod val="75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G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Analysis!$N$5:$N$15</c:f>
              <c:strCache>
                <c:ptCount val="11"/>
                <c:pt idx="0">
                  <c:v>0-0.25</c:v>
                </c:pt>
                <c:pt idx="1">
                  <c:v>0.25-0.50</c:v>
                </c:pt>
                <c:pt idx="2">
                  <c:v>0.50-0.75</c:v>
                </c:pt>
                <c:pt idx="3">
                  <c:v>0.75-1.00</c:v>
                </c:pt>
                <c:pt idx="4">
                  <c:v>1.00-1.50</c:v>
                </c:pt>
                <c:pt idx="5">
                  <c:v>1.5-2.0</c:v>
                </c:pt>
                <c:pt idx="6">
                  <c:v>2.0-3.0</c:v>
                </c:pt>
                <c:pt idx="7">
                  <c:v>3.0-5.0</c:v>
                </c:pt>
                <c:pt idx="8">
                  <c:v>5.0-7.5</c:v>
                </c:pt>
                <c:pt idx="9">
                  <c:v>7.5-10</c:v>
                </c:pt>
                <c:pt idx="10">
                  <c:v>Over 10</c:v>
                </c:pt>
              </c:strCache>
            </c:strRef>
          </c:cat>
          <c:val>
            <c:numRef>
              <c:f>Analysis!$P$5:$P$15</c:f>
              <c:numCache>
                <c:formatCode>_(* #,##0_);_(* \(#,##0\);_(* "-"??_);_(@_)</c:formatCode>
                <c:ptCount val="11"/>
                <c:pt idx="0">
                  <c:v>128</c:v>
                </c:pt>
                <c:pt idx="1">
                  <c:v>122</c:v>
                </c:pt>
                <c:pt idx="2">
                  <c:v>53</c:v>
                </c:pt>
                <c:pt idx="3">
                  <c:v>81</c:v>
                </c:pt>
                <c:pt idx="4">
                  <c:v>19</c:v>
                </c:pt>
                <c:pt idx="5">
                  <c:v>22</c:v>
                </c:pt>
                <c:pt idx="6">
                  <c:v>13</c:v>
                </c:pt>
                <c:pt idx="7">
                  <c:v>6</c:v>
                </c:pt>
                <c:pt idx="8">
                  <c:v>3</c:v>
                </c:pt>
                <c:pt idx="9">
                  <c:v>3</c:v>
                </c:pt>
                <c:pt idx="1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9B2-43B0-BAEB-161BC0C00A8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50"/>
        <c:overlap val="-27"/>
        <c:axId val="93454720"/>
        <c:axId val="93456640"/>
      </c:barChart>
      <c:catAx>
        <c:axId val="9345472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100" b="1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r>
                  <a:rPr lang="en-US" sz="1100" b="1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Journey Time Range (Hrs)</a:t>
                </a:r>
              </a:p>
            </c:rich>
          </c:tx>
          <c:layout>
            <c:manualLayout>
              <c:xMode val="edge"/>
              <c:yMode val="edge"/>
              <c:x val="0.38143813555383677"/>
              <c:y val="0.92647002794005573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100" b="1" i="0" u="none" strike="noStrike" kern="1200" baseline="0">
                  <a:solidFill>
                    <a:schemeClr val="tx1"/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pPr>
              <a:endParaRPr lang="en-UG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5400000" spcFirstLastPara="1" vertOverflow="ellipsis" wrap="square" anchor="ctr" anchorCtr="1"/>
          <a:lstStyle/>
          <a:p>
            <a:pPr>
              <a:defRPr sz="100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G"/>
          </a:p>
        </c:txPr>
        <c:crossAx val="93456640"/>
        <c:crosses val="autoZero"/>
        <c:auto val="1"/>
        <c:lblAlgn val="ctr"/>
        <c:lblOffset val="100"/>
        <c:noMultiLvlLbl val="0"/>
      </c:catAx>
      <c:valAx>
        <c:axId val="934566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100" b="1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r>
                  <a:rPr lang="en-US" sz="1100" b="1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No.</a:t>
                </a:r>
                <a:r>
                  <a:rPr lang="en-US" sz="1100" b="1" baseline="0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 of Vehicles</a:t>
                </a:r>
                <a:endParaRPr lang="en-US" sz="1100" b="1">
                  <a:solidFill>
                    <a:schemeClr val="tx1"/>
                  </a:solidFill>
                  <a:latin typeface="Arial" panose="020B0604020202020204" pitchFamily="34" charset="0"/>
                  <a:cs typeface="Arial" panose="020B0604020202020204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100" b="1" i="0" u="none" strike="noStrike" kern="1200" baseline="0">
                  <a:solidFill>
                    <a:schemeClr val="tx1"/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pPr>
              <a:endParaRPr lang="en-UG"/>
            </a:p>
          </c:txPr>
        </c:title>
        <c:numFmt formatCode="_(* #,##0_);_(* \(#,##0\);_(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G"/>
          </a:p>
        </c:txPr>
        <c:crossAx val="9345472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bg1">
          <a:lumMod val="50000"/>
        </a:schemeClr>
      </a:solidFill>
      <a:round/>
    </a:ln>
    <a:effectLst/>
  </c:spPr>
  <c:txPr>
    <a:bodyPr/>
    <a:lstStyle/>
    <a:p>
      <a:pPr>
        <a:defRPr/>
      </a:pPr>
      <a:endParaRPr lang="en-UG"/>
    </a:p>
  </c:txPr>
  <c:printSettings>
    <c:headerFooter/>
    <c:pageMargins b="0.75000000000000011" l="0.70000000000000007" r="0.70000000000000007" t="0.75000000000000011" header="0.30000000000000004" footer="0.30000000000000004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rPr lang="en-US" b="1">
                <a:solidFill>
                  <a:schemeClr val="tx1"/>
                </a:solidFill>
              </a:rPr>
              <a:t>Trip Frequency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en-UG"/>
        </a:p>
      </c:txPr>
    </c:title>
    <c:autoTitleDeleted val="0"/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dPt>
            <c:idx val="0"/>
            <c:bubble3D val="0"/>
            <c:explosion val="8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1-AB87-482A-AD11-04DF721D8543}"/>
              </c:ext>
            </c:extLst>
          </c:dPt>
          <c:dPt>
            <c:idx val="1"/>
            <c:bubble3D val="0"/>
            <c:explosion val="4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3-AB87-482A-AD11-04DF721D8543}"/>
              </c:ext>
            </c:extLst>
          </c:dPt>
          <c:dPt>
            <c:idx val="2"/>
            <c:bubble3D val="0"/>
            <c:explosion val="4"/>
            <c:spPr>
              <a:solidFill>
                <a:schemeClr val="accent3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5-AB87-482A-AD11-04DF721D8543}"/>
              </c:ext>
            </c:extLst>
          </c:dPt>
          <c:dPt>
            <c:idx val="3"/>
            <c:bubble3D val="0"/>
            <c:explosion val="7"/>
            <c:spPr>
              <a:solidFill>
                <a:schemeClr val="accent4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7-AB87-482A-AD11-04DF721D8543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9-AB87-482A-AD11-04DF721D8543}"/>
              </c:ext>
            </c:extLst>
          </c:dPt>
          <c:dPt>
            <c:idx val="5"/>
            <c:bubble3D val="0"/>
            <c:explosion val="9"/>
            <c:spPr>
              <a:solidFill>
                <a:schemeClr val="accent6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B-AB87-482A-AD11-04DF721D8543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G"/>
              </a:p>
            </c:txPr>
            <c:showLegendKey val="0"/>
            <c:showVal val="0"/>
            <c:showCatName val="1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Analysis!$N$23:$N$28</c:f>
              <c:strCache>
                <c:ptCount val="6"/>
                <c:pt idx="0">
                  <c:v>More than 2 times every day</c:v>
                </c:pt>
                <c:pt idx="1">
                  <c:v>Daily (Up and Down)</c:v>
                </c:pt>
                <c:pt idx="2">
                  <c:v>2/3 times a week</c:v>
                </c:pt>
                <c:pt idx="3">
                  <c:v>Once a week</c:v>
                </c:pt>
                <c:pt idx="4">
                  <c:v>Once a month</c:v>
                </c:pt>
                <c:pt idx="5">
                  <c:v>Once in a while</c:v>
                </c:pt>
              </c:strCache>
            </c:strRef>
          </c:cat>
          <c:val>
            <c:numRef>
              <c:f>Analysis!$O$23:$O$28</c:f>
              <c:numCache>
                <c:formatCode>_(* #,##0_);_(* \(#,##0\);_(* "-"??_);_(@_)</c:formatCode>
                <c:ptCount val="6"/>
                <c:pt idx="0">
                  <c:v>131</c:v>
                </c:pt>
                <c:pt idx="1">
                  <c:v>177</c:v>
                </c:pt>
                <c:pt idx="2">
                  <c:v>54</c:v>
                </c:pt>
                <c:pt idx="3">
                  <c:v>26</c:v>
                </c:pt>
                <c:pt idx="4">
                  <c:v>10</c:v>
                </c:pt>
                <c:pt idx="5">
                  <c:v>77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C-AB87-482A-AD11-04DF721D8543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  <c:showLeaderLines val="1"/>
        </c:dLbls>
      </c:pie3DChart>
      <c:spPr>
        <a:noFill/>
        <a:ln>
          <a:noFill/>
        </a:ln>
        <a:effectLst/>
      </c:spPr>
    </c:plotArea>
    <c:plotVisOnly val="1"/>
    <c:dispBlanksAs val="zero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bg1">
          <a:lumMod val="50000"/>
        </a:schemeClr>
      </a:solidFill>
      <a:round/>
    </a:ln>
    <a:effectLst/>
  </c:spPr>
  <c:txPr>
    <a:bodyPr/>
    <a:lstStyle/>
    <a:p>
      <a:pPr>
        <a:defRPr/>
      </a:pPr>
      <a:endParaRPr lang="en-UG"/>
    </a:p>
  </c:txPr>
  <c:printSettings>
    <c:headerFooter/>
    <c:pageMargins b="0.75000000000000011" l="0.70000000000000007" r="0.70000000000000007" t="0.75000000000000011" header="0.30000000000000004" footer="0.30000000000000004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6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6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6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7" Type="http://schemas.openxmlformats.org/officeDocument/2006/relationships/chart" Target="../charts/chart7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31749</xdr:colOff>
      <xdr:row>3</xdr:row>
      <xdr:rowOff>12700</xdr:rowOff>
    </xdr:from>
    <xdr:to>
      <xdr:col>12</xdr:col>
      <xdr:colOff>0</xdr:colOff>
      <xdr:row>17</xdr:row>
      <xdr:rowOff>127000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6E7A25D-0FAB-4493-B600-048AB0BA590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3</xdr:col>
      <xdr:colOff>756136</xdr:colOff>
      <xdr:row>21</xdr:row>
      <xdr:rowOff>468680</xdr:rowOff>
    </xdr:from>
    <xdr:to>
      <xdr:col>11</xdr:col>
      <xdr:colOff>13187</xdr:colOff>
      <xdr:row>38</xdr:row>
      <xdr:rowOff>10992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D175814A-5759-4AD2-BA3E-938BB038484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3</xdr:col>
      <xdr:colOff>740262</xdr:colOff>
      <xdr:row>39</xdr:row>
      <xdr:rowOff>149714</xdr:rowOff>
    </xdr:from>
    <xdr:to>
      <xdr:col>11</xdr:col>
      <xdr:colOff>283062</xdr:colOff>
      <xdr:row>56</xdr:row>
      <xdr:rowOff>92564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8FA06F05-52BB-45CB-A052-7408A59D2F4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2</xdr:col>
      <xdr:colOff>1050923</xdr:colOff>
      <xdr:row>57</xdr:row>
      <xdr:rowOff>200025</xdr:rowOff>
    </xdr:from>
    <xdr:to>
      <xdr:col>10</xdr:col>
      <xdr:colOff>514350</xdr:colOff>
      <xdr:row>74</xdr:row>
      <xdr:rowOff>130175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EAEA28AF-D331-4F9B-9A33-230B956E893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5</xdr:col>
      <xdr:colOff>15873</xdr:colOff>
      <xdr:row>77</xdr:row>
      <xdr:rowOff>200025</xdr:rowOff>
    </xdr:from>
    <xdr:to>
      <xdr:col>12</xdr:col>
      <xdr:colOff>555625</xdr:colOff>
      <xdr:row>94</xdr:row>
      <xdr:rowOff>79375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94FB8127-C015-4EC2-9640-64370227435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17</xdr:col>
      <xdr:colOff>19048</xdr:colOff>
      <xdr:row>2</xdr:row>
      <xdr:rowOff>158750</xdr:rowOff>
    </xdr:from>
    <xdr:to>
      <xdr:col>25</xdr:col>
      <xdr:colOff>15875</xdr:colOff>
      <xdr:row>18</xdr:row>
      <xdr:rowOff>114300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0F41854D-BE22-4DED-BE8D-2DD7600D694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15</xdr:col>
      <xdr:colOff>720722</xdr:colOff>
      <xdr:row>20</xdr:row>
      <xdr:rowOff>155574</xdr:rowOff>
    </xdr:from>
    <xdr:to>
      <xdr:col>23</xdr:col>
      <xdr:colOff>587375</xdr:colOff>
      <xdr:row>39</xdr:row>
      <xdr:rowOff>72047</xdr:rowOff>
    </xdr:to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id="{E3FA9B4F-E281-452A-8EE3-C18866EF1E7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STEWARD%20CONSUTANCY\Desktop\OD-C1-STN10-EXAMPLE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/Documents/0.%20Steward%20Consultancy/00.%20Steward%20Projects/2019-003_EDMP/3.%20Technical/Traffic%20Modelling/Zone_list_1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LLDATA"/>
      <sheetName val="Zones"/>
      <sheetName val="Sheet2"/>
      <sheetName val="Zone analysis"/>
      <sheetName val="25.07 BUSEGA-NATEETE"/>
      <sheetName val="RSI FORM"/>
      <sheetName val="25.07 NATEETE-BUSEGA"/>
      <sheetName val="26.07 BUSEGA-NATEETE"/>
      <sheetName val="26.07 NATEETE-BUSEGA"/>
      <sheetName val="Key"/>
      <sheetName val="Analysis"/>
    </sheetNames>
    <sheetDataSet>
      <sheetData sheetId="0"/>
      <sheetData sheetId="1"/>
      <sheetData sheetId="2"/>
      <sheetData sheetId="3"/>
      <sheetData sheetId="4">
        <row r="7">
          <cell r="D7" t="str">
            <v>Veh_Type</v>
          </cell>
        </row>
        <row r="9">
          <cell r="D9">
            <v>10</v>
          </cell>
        </row>
        <row r="10">
          <cell r="D10">
            <v>1</v>
          </cell>
        </row>
        <row r="11">
          <cell r="D11">
            <v>1</v>
          </cell>
        </row>
        <row r="12">
          <cell r="D12">
            <v>1</v>
          </cell>
        </row>
        <row r="13">
          <cell r="D13">
            <v>8</v>
          </cell>
        </row>
        <row r="14">
          <cell r="D14">
            <v>1</v>
          </cell>
        </row>
        <row r="15">
          <cell r="D15">
            <v>1</v>
          </cell>
        </row>
        <row r="16">
          <cell r="D16">
            <v>11</v>
          </cell>
        </row>
        <row r="17">
          <cell r="D17">
            <v>11</v>
          </cell>
        </row>
        <row r="18">
          <cell r="D18">
            <v>8</v>
          </cell>
        </row>
        <row r="19">
          <cell r="D19">
            <v>5</v>
          </cell>
        </row>
        <row r="20">
          <cell r="D20">
            <v>7</v>
          </cell>
        </row>
        <row r="21">
          <cell r="D21">
            <v>4</v>
          </cell>
        </row>
        <row r="22">
          <cell r="D22">
            <v>11</v>
          </cell>
        </row>
        <row r="23">
          <cell r="D23">
            <v>1</v>
          </cell>
        </row>
        <row r="24">
          <cell r="D24">
            <v>7</v>
          </cell>
        </row>
        <row r="25">
          <cell r="D25">
            <v>5</v>
          </cell>
        </row>
        <row r="26">
          <cell r="D26">
            <v>4</v>
          </cell>
        </row>
        <row r="27">
          <cell r="D27">
            <v>11</v>
          </cell>
        </row>
        <row r="28">
          <cell r="D28">
            <v>11</v>
          </cell>
        </row>
        <row r="29">
          <cell r="D29">
            <v>1</v>
          </cell>
        </row>
        <row r="30">
          <cell r="D30">
            <v>8</v>
          </cell>
        </row>
        <row r="31">
          <cell r="D31">
            <v>1</v>
          </cell>
        </row>
        <row r="32">
          <cell r="D32">
            <v>6</v>
          </cell>
        </row>
        <row r="33">
          <cell r="D33">
            <v>1</v>
          </cell>
        </row>
        <row r="34">
          <cell r="D34">
            <v>1</v>
          </cell>
        </row>
        <row r="35">
          <cell r="D35">
            <v>3</v>
          </cell>
        </row>
        <row r="36">
          <cell r="D36">
            <v>1</v>
          </cell>
        </row>
        <row r="37">
          <cell r="D37">
            <v>3</v>
          </cell>
        </row>
        <row r="38">
          <cell r="D38">
            <v>8</v>
          </cell>
        </row>
        <row r="39">
          <cell r="D39">
            <v>4</v>
          </cell>
        </row>
        <row r="40">
          <cell r="D40">
            <v>1</v>
          </cell>
        </row>
        <row r="41">
          <cell r="D41">
            <v>7</v>
          </cell>
        </row>
        <row r="42">
          <cell r="D42">
            <v>1</v>
          </cell>
        </row>
        <row r="43">
          <cell r="D43">
            <v>11</v>
          </cell>
        </row>
        <row r="44">
          <cell r="D44">
            <v>7</v>
          </cell>
        </row>
        <row r="45">
          <cell r="D45">
            <v>1</v>
          </cell>
        </row>
        <row r="46">
          <cell r="D46">
            <v>11</v>
          </cell>
        </row>
        <row r="47">
          <cell r="D47">
            <v>4</v>
          </cell>
        </row>
        <row r="48">
          <cell r="D48">
            <v>1</v>
          </cell>
        </row>
        <row r="49">
          <cell r="D49">
            <v>1</v>
          </cell>
        </row>
        <row r="50">
          <cell r="D50">
            <v>1</v>
          </cell>
        </row>
        <row r="51">
          <cell r="D51">
            <v>11</v>
          </cell>
        </row>
        <row r="52">
          <cell r="D52">
            <v>7</v>
          </cell>
        </row>
        <row r="53">
          <cell r="D53">
            <v>8</v>
          </cell>
        </row>
        <row r="54">
          <cell r="D54">
            <v>11</v>
          </cell>
        </row>
        <row r="55">
          <cell r="D55">
            <v>11</v>
          </cell>
        </row>
        <row r="56">
          <cell r="D56">
            <v>4</v>
          </cell>
        </row>
        <row r="57">
          <cell r="D57">
            <v>11</v>
          </cell>
        </row>
        <row r="58">
          <cell r="D58">
            <v>11</v>
          </cell>
        </row>
        <row r="59">
          <cell r="D59">
            <v>1</v>
          </cell>
        </row>
        <row r="60">
          <cell r="D60">
            <v>4</v>
          </cell>
        </row>
        <row r="61">
          <cell r="D61">
            <v>1</v>
          </cell>
        </row>
        <row r="62">
          <cell r="D62">
            <v>4</v>
          </cell>
        </row>
        <row r="63">
          <cell r="D63">
            <v>11</v>
          </cell>
        </row>
        <row r="64">
          <cell r="D64">
            <v>11</v>
          </cell>
        </row>
        <row r="65">
          <cell r="D65">
            <v>1</v>
          </cell>
        </row>
        <row r="66">
          <cell r="D66">
            <v>1</v>
          </cell>
        </row>
        <row r="67">
          <cell r="D67">
            <v>4</v>
          </cell>
        </row>
        <row r="68">
          <cell r="D68">
            <v>4</v>
          </cell>
        </row>
        <row r="69">
          <cell r="D69">
            <v>1</v>
          </cell>
        </row>
        <row r="70">
          <cell r="D70">
            <v>8</v>
          </cell>
        </row>
        <row r="71">
          <cell r="D71">
            <v>11</v>
          </cell>
        </row>
        <row r="72">
          <cell r="D72">
            <v>7</v>
          </cell>
        </row>
        <row r="73">
          <cell r="D73">
            <v>1</v>
          </cell>
        </row>
        <row r="74">
          <cell r="D74">
            <v>8</v>
          </cell>
        </row>
        <row r="75">
          <cell r="D75">
            <v>1</v>
          </cell>
        </row>
        <row r="76">
          <cell r="D76">
            <v>4</v>
          </cell>
        </row>
        <row r="77">
          <cell r="D77">
            <v>1</v>
          </cell>
        </row>
        <row r="78">
          <cell r="D78">
            <v>1</v>
          </cell>
        </row>
        <row r="79">
          <cell r="D79">
            <v>4</v>
          </cell>
        </row>
        <row r="80">
          <cell r="D80">
            <v>3</v>
          </cell>
        </row>
        <row r="81">
          <cell r="D81">
            <v>1</v>
          </cell>
        </row>
        <row r="82">
          <cell r="D82">
            <v>1</v>
          </cell>
        </row>
        <row r="83">
          <cell r="D83">
            <v>11</v>
          </cell>
        </row>
        <row r="84">
          <cell r="D84">
            <v>11</v>
          </cell>
        </row>
        <row r="85">
          <cell r="D85">
            <v>4</v>
          </cell>
        </row>
        <row r="86">
          <cell r="D86">
            <v>8</v>
          </cell>
        </row>
        <row r="87">
          <cell r="D87">
            <v>11</v>
          </cell>
        </row>
        <row r="88">
          <cell r="D88">
            <v>11</v>
          </cell>
        </row>
        <row r="89">
          <cell r="D89">
            <v>1</v>
          </cell>
        </row>
        <row r="90">
          <cell r="D90">
            <v>8</v>
          </cell>
        </row>
        <row r="91">
          <cell r="D91">
            <v>11</v>
          </cell>
        </row>
        <row r="92">
          <cell r="D92">
            <v>3</v>
          </cell>
        </row>
        <row r="93">
          <cell r="D93">
            <v>1</v>
          </cell>
        </row>
        <row r="94">
          <cell r="D94">
            <v>1</v>
          </cell>
        </row>
        <row r="95">
          <cell r="D95">
            <v>5</v>
          </cell>
        </row>
        <row r="96">
          <cell r="D96">
            <v>8</v>
          </cell>
        </row>
        <row r="97">
          <cell r="D97">
            <v>7</v>
          </cell>
        </row>
        <row r="98">
          <cell r="D98">
            <v>1</v>
          </cell>
        </row>
        <row r="99">
          <cell r="D99">
            <v>11</v>
          </cell>
        </row>
        <row r="100">
          <cell r="D100">
            <v>11</v>
          </cell>
        </row>
        <row r="101">
          <cell r="D101">
            <v>1</v>
          </cell>
        </row>
        <row r="102">
          <cell r="D102">
            <v>1</v>
          </cell>
        </row>
        <row r="103">
          <cell r="D103">
            <v>6</v>
          </cell>
        </row>
        <row r="104">
          <cell r="D104">
            <v>1</v>
          </cell>
        </row>
        <row r="105">
          <cell r="D105">
            <v>1</v>
          </cell>
        </row>
        <row r="106">
          <cell r="D106">
            <v>4</v>
          </cell>
        </row>
        <row r="107">
          <cell r="D107">
            <v>1</v>
          </cell>
        </row>
        <row r="108">
          <cell r="D108">
            <v>1</v>
          </cell>
        </row>
        <row r="109">
          <cell r="D109">
            <v>11</v>
          </cell>
        </row>
        <row r="110">
          <cell r="D110">
            <v>11</v>
          </cell>
        </row>
        <row r="111">
          <cell r="D111">
            <v>4</v>
          </cell>
        </row>
        <row r="112">
          <cell r="D112">
            <v>1</v>
          </cell>
        </row>
        <row r="113">
          <cell r="D113">
            <v>1</v>
          </cell>
        </row>
        <row r="114">
          <cell r="D114">
            <v>7</v>
          </cell>
        </row>
        <row r="115">
          <cell r="D115">
            <v>1</v>
          </cell>
        </row>
        <row r="116">
          <cell r="D116">
            <v>1</v>
          </cell>
        </row>
        <row r="117">
          <cell r="D117">
            <v>8</v>
          </cell>
        </row>
        <row r="118">
          <cell r="D118">
            <v>1</v>
          </cell>
        </row>
        <row r="119">
          <cell r="D119">
            <v>1</v>
          </cell>
        </row>
        <row r="120">
          <cell r="D120">
            <v>4</v>
          </cell>
        </row>
        <row r="121">
          <cell r="D121">
            <v>1</v>
          </cell>
        </row>
        <row r="122">
          <cell r="D122">
            <v>1</v>
          </cell>
        </row>
        <row r="123">
          <cell r="D123">
            <v>1</v>
          </cell>
        </row>
        <row r="124">
          <cell r="D124">
            <v>1</v>
          </cell>
        </row>
        <row r="125">
          <cell r="D125">
            <v>1</v>
          </cell>
        </row>
        <row r="126">
          <cell r="D126">
            <v>7</v>
          </cell>
        </row>
        <row r="127">
          <cell r="D127">
            <v>4</v>
          </cell>
        </row>
        <row r="128">
          <cell r="D128">
            <v>8</v>
          </cell>
        </row>
        <row r="129">
          <cell r="D129">
            <v>8</v>
          </cell>
        </row>
        <row r="130">
          <cell r="D130">
            <v>4</v>
          </cell>
        </row>
        <row r="131">
          <cell r="D131">
            <v>1</v>
          </cell>
        </row>
        <row r="132">
          <cell r="D132">
            <v>1</v>
          </cell>
        </row>
        <row r="133">
          <cell r="D133">
            <v>7</v>
          </cell>
        </row>
        <row r="134">
          <cell r="D134">
            <v>2</v>
          </cell>
        </row>
        <row r="135">
          <cell r="D135">
            <v>7</v>
          </cell>
        </row>
        <row r="136">
          <cell r="D136">
            <v>4</v>
          </cell>
        </row>
        <row r="137">
          <cell r="D137">
            <v>7</v>
          </cell>
        </row>
        <row r="138">
          <cell r="D138">
            <v>4</v>
          </cell>
        </row>
        <row r="139">
          <cell r="D139">
            <v>8</v>
          </cell>
        </row>
        <row r="140">
          <cell r="D140">
            <v>11</v>
          </cell>
        </row>
        <row r="141">
          <cell r="D141">
            <v>1</v>
          </cell>
        </row>
        <row r="142">
          <cell r="D142">
            <v>4</v>
          </cell>
        </row>
        <row r="143">
          <cell r="D143">
            <v>11</v>
          </cell>
        </row>
        <row r="144">
          <cell r="D144">
            <v>11</v>
          </cell>
        </row>
        <row r="145">
          <cell r="D145">
            <v>1</v>
          </cell>
        </row>
        <row r="146">
          <cell r="D146">
            <v>4</v>
          </cell>
        </row>
        <row r="147">
          <cell r="D147">
            <v>11</v>
          </cell>
        </row>
        <row r="148">
          <cell r="D148">
            <v>11</v>
          </cell>
        </row>
        <row r="149">
          <cell r="D149">
            <v>11</v>
          </cell>
        </row>
        <row r="150">
          <cell r="D150">
            <v>11</v>
          </cell>
        </row>
        <row r="151">
          <cell r="D151">
            <v>9</v>
          </cell>
        </row>
        <row r="152">
          <cell r="D152">
            <v>3</v>
          </cell>
        </row>
        <row r="153">
          <cell r="D153">
            <v>11</v>
          </cell>
        </row>
        <row r="154">
          <cell r="D154">
            <v>1</v>
          </cell>
        </row>
        <row r="155">
          <cell r="D155">
            <v>11</v>
          </cell>
        </row>
        <row r="156">
          <cell r="D156">
            <v>2</v>
          </cell>
        </row>
        <row r="157">
          <cell r="D157">
            <v>8</v>
          </cell>
        </row>
        <row r="158">
          <cell r="D158">
            <v>4</v>
          </cell>
        </row>
        <row r="159">
          <cell r="D159">
            <v>7</v>
          </cell>
        </row>
        <row r="160">
          <cell r="D160">
            <v>4</v>
          </cell>
        </row>
        <row r="161">
          <cell r="D161">
            <v>4</v>
          </cell>
        </row>
        <row r="162">
          <cell r="D162">
            <v>5</v>
          </cell>
        </row>
        <row r="163">
          <cell r="D163">
            <v>1</v>
          </cell>
        </row>
        <row r="164">
          <cell r="D164">
            <v>8</v>
          </cell>
        </row>
        <row r="165">
          <cell r="D165">
            <v>1</v>
          </cell>
        </row>
        <row r="166">
          <cell r="D166">
            <v>1</v>
          </cell>
        </row>
        <row r="167">
          <cell r="D167">
            <v>8</v>
          </cell>
        </row>
        <row r="168">
          <cell r="D168">
            <v>4</v>
          </cell>
        </row>
        <row r="169">
          <cell r="D169">
            <v>7</v>
          </cell>
        </row>
        <row r="170">
          <cell r="D170">
            <v>4</v>
          </cell>
        </row>
        <row r="171">
          <cell r="D171">
            <v>1</v>
          </cell>
        </row>
        <row r="172">
          <cell r="D172">
            <v>8</v>
          </cell>
        </row>
        <row r="173">
          <cell r="D173">
            <v>2</v>
          </cell>
        </row>
        <row r="174">
          <cell r="D174">
            <v>1</v>
          </cell>
        </row>
        <row r="175">
          <cell r="D175">
            <v>4</v>
          </cell>
        </row>
        <row r="176">
          <cell r="D176">
            <v>8</v>
          </cell>
        </row>
        <row r="177">
          <cell r="D177">
            <v>3</v>
          </cell>
        </row>
        <row r="178">
          <cell r="D178">
            <v>1</v>
          </cell>
        </row>
        <row r="179">
          <cell r="D179">
            <v>11</v>
          </cell>
        </row>
        <row r="180">
          <cell r="D180">
            <v>5</v>
          </cell>
        </row>
        <row r="181">
          <cell r="D181">
            <v>7</v>
          </cell>
        </row>
        <row r="182">
          <cell r="D182">
            <v>1</v>
          </cell>
        </row>
        <row r="183">
          <cell r="D183">
            <v>7</v>
          </cell>
        </row>
        <row r="184">
          <cell r="D184">
            <v>8</v>
          </cell>
        </row>
        <row r="185">
          <cell r="D185">
            <v>1</v>
          </cell>
        </row>
        <row r="186">
          <cell r="D186">
            <v>8</v>
          </cell>
        </row>
        <row r="187">
          <cell r="D187">
            <v>7</v>
          </cell>
        </row>
        <row r="188">
          <cell r="D188">
            <v>1</v>
          </cell>
        </row>
        <row r="189">
          <cell r="D189">
            <v>9</v>
          </cell>
        </row>
        <row r="190">
          <cell r="D190">
            <v>1</v>
          </cell>
        </row>
        <row r="191">
          <cell r="D191">
            <v>1</v>
          </cell>
        </row>
        <row r="192">
          <cell r="D192">
            <v>11</v>
          </cell>
        </row>
        <row r="193">
          <cell r="D193">
            <v>8</v>
          </cell>
        </row>
        <row r="194">
          <cell r="D194">
            <v>2</v>
          </cell>
        </row>
        <row r="195">
          <cell r="D195">
            <v>1</v>
          </cell>
        </row>
        <row r="196">
          <cell r="D196">
            <v>4</v>
          </cell>
        </row>
        <row r="197">
          <cell r="D197">
            <v>11</v>
          </cell>
        </row>
        <row r="198">
          <cell r="D198">
            <v>4</v>
          </cell>
        </row>
        <row r="199">
          <cell r="D199">
            <v>8</v>
          </cell>
        </row>
        <row r="200">
          <cell r="D200">
            <v>6</v>
          </cell>
        </row>
        <row r="201">
          <cell r="D201">
            <v>10</v>
          </cell>
        </row>
        <row r="202">
          <cell r="D202">
            <v>11</v>
          </cell>
        </row>
        <row r="203">
          <cell r="D203">
            <v>11</v>
          </cell>
        </row>
        <row r="204">
          <cell r="D204">
            <v>4</v>
          </cell>
        </row>
        <row r="205">
          <cell r="D205">
            <v>4</v>
          </cell>
        </row>
        <row r="206">
          <cell r="D206">
            <v>1</v>
          </cell>
        </row>
        <row r="207">
          <cell r="D207">
            <v>8</v>
          </cell>
        </row>
        <row r="208">
          <cell r="D208">
            <v>4</v>
          </cell>
        </row>
        <row r="209">
          <cell r="D209">
            <v>1</v>
          </cell>
        </row>
        <row r="210">
          <cell r="D210">
            <v>7</v>
          </cell>
        </row>
        <row r="211">
          <cell r="D211">
            <v>3</v>
          </cell>
        </row>
        <row r="212">
          <cell r="D212">
            <v>11</v>
          </cell>
        </row>
        <row r="213">
          <cell r="D213">
            <v>11</v>
          </cell>
        </row>
      </sheetData>
      <sheetData sheetId="5"/>
      <sheetData sheetId="6"/>
      <sheetData sheetId="7"/>
      <sheetData sheetId="8"/>
      <sheetData sheetId="9"/>
      <sheetData sheetId="10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raft Final Zones"/>
      <sheetName val="Zone analysis"/>
      <sheetName val="Municipalities"/>
      <sheetName val="KCCA"/>
      <sheetName val="Sheet3"/>
    </sheetNames>
    <sheetDataSet>
      <sheetData sheetId="0"/>
      <sheetData sheetId="1"/>
      <sheetData sheetId="2">
        <row r="9">
          <cell r="C9" t="str">
            <v>Apac Municipality</v>
          </cell>
          <cell r="D9" t="str">
            <v>Apac</v>
          </cell>
          <cell r="E9">
            <v>0</v>
          </cell>
          <cell r="F9" t="str">
            <v>Apac Muicipality</v>
          </cell>
        </row>
        <row r="10">
          <cell r="C10" t="str">
            <v>Oyam</v>
          </cell>
          <cell r="D10" t="str">
            <v>Abok</v>
          </cell>
          <cell r="E10">
            <v>0</v>
          </cell>
          <cell r="F10">
            <v>0</v>
          </cell>
        </row>
        <row r="11">
          <cell r="C11" t="str">
            <v>Kole</v>
          </cell>
          <cell r="D11" t="str">
            <v>Aboke</v>
          </cell>
          <cell r="E11">
            <v>0</v>
          </cell>
          <cell r="F11">
            <v>0</v>
          </cell>
        </row>
        <row r="12">
          <cell r="C12" t="str">
            <v>Kwania</v>
          </cell>
          <cell r="D12" t="str">
            <v>Abongomola</v>
          </cell>
          <cell r="E12">
            <v>0</v>
          </cell>
          <cell r="F12">
            <v>0</v>
          </cell>
        </row>
        <row r="13">
          <cell r="C13" t="str">
            <v>Koboko</v>
          </cell>
          <cell r="D13" t="str">
            <v>Abuku</v>
          </cell>
          <cell r="E13">
            <v>0</v>
          </cell>
          <cell r="F13">
            <v>0</v>
          </cell>
        </row>
        <row r="14">
          <cell r="C14" t="str">
            <v>Oyam</v>
          </cell>
          <cell r="D14" t="str">
            <v>Acaba</v>
          </cell>
          <cell r="E14">
            <v>0</v>
          </cell>
          <cell r="F14">
            <v>0</v>
          </cell>
        </row>
        <row r="15">
          <cell r="C15" t="str">
            <v>Aruu</v>
          </cell>
          <cell r="D15" t="str">
            <v>Acholibur</v>
          </cell>
          <cell r="E15">
            <v>0</v>
          </cell>
          <cell r="F15">
            <v>0</v>
          </cell>
        </row>
        <row r="16">
          <cell r="C16" t="str">
            <v>Kapelebyong</v>
          </cell>
          <cell r="D16" t="str">
            <v>Acowa</v>
          </cell>
          <cell r="E16">
            <v>0</v>
          </cell>
          <cell r="F16">
            <v>0</v>
          </cell>
        </row>
        <row r="17">
          <cell r="C17" t="str">
            <v>Dokolo</v>
          </cell>
          <cell r="D17" t="str">
            <v>Adeknino</v>
          </cell>
          <cell r="E17">
            <v>0</v>
          </cell>
          <cell r="F17">
            <v>0</v>
          </cell>
        </row>
        <row r="18">
          <cell r="C18" t="str">
            <v>Erute</v>
          </cell>
          <cell r="D18" t="str">
            <v>Adekokwok</v>
          </cell>
          <cell r="E18">
            <v>0</v>
          </cell>
          <cell r="F18">
            <v>0</v>
          </cell>
        </row>
        <row r="19">
          <cell r="C19" t="str">
            <v>Agago</v>
          </cell>
          <cell r="D19" t="str">
            <v>Adilang</v>
          </cell>
          <cell r="E19">
            <v>0</v>
          </cell>
          <cell r="F19">
            <v>0</v>
          </cell>
        </row>
        <row r="20">
          <cell r="C20" t="str">
            <v>East Moyo</v>
          </cell>
          <cell r="D20" t="str">
            <v>Adjumani Town Council</v>
          </cell>
          <cell r="E20">
            <v>0</v>
          </cell>
          <cell r="F20">
            <v>0</v>
          </cell>
        </row>
        <row r="21">
          <cell r="C21" t="str">
            <v>Dokolo</v>
          </cell>
          <cell r="D21" t="str">
            <v>Adok</v>
          </cell>
          <cell r="E21">
            <v>0</v>
          </cell>
          <cell r="F21">
            <v>0</v>
          </cell>
        </row>
        <row r="22">
          <cell r="C22" t="str">
            <v>East Moyo</v>
          </cell>
          <cell r="D22" t="str">
            <v>Adropi</v>
          </cell>
          <cell r="E22">
            <v>0</v>
          </cell>
          <cell r="F22">
            <v>0</v>
          </cell>
        </row>
        <row r="23">
          <cell r="C23" t="str">
            <v>Kwania</v>
          </cell>
          <cell r="D23" t="str">
            <v>Aduku</v>
          </cell>
          <cell r="E23">
            <v>0</v>
          </cell>
          <cell r="F23">
            <v>0</v>
          </cell>
        </row>
        <row r="24">
          <cell r="C24" t="str">
            <v>Kwania</v>
          </cell>
          <cell r="D24" t="str">
            <v>Aduku Town Council</v>
          </cell>
          <cell r="E24">
            <v>0</v>
          </cell>
          <cell r="F24">
            <v>0</v>
          </cell>
        </row>
        <row r="25">
          <cell r="C25" t="str">
            <v>Ayivu</v>
          </cell>
          <cell r="D25" t="str">
            <v>Adumi</v>
          </cell>
          <cell r="E25">
            <v>0</v>
          </cell>
          <cell r="F25">
            <v>0</v>
          </cell>
        </row>
        <row r="26">
          <cell r="C26" t="str">
            <v>Otuke</v>
          </cell>
          <cell r="D26" t="str">
            <v>Adwari</v>
          </cell>
          <cell r="E26">
            <v>0</v>
          </cell>
          <cell r="F26">
            <v>0</v>
          </cell>
        </row>
        <row r="27">
          <cell r="C27" t="str">
            <v>Apac Municipality</v>
          </cell>
          <cell r="D27" t="str">
            <v>Apac Town Council</v>
          </cell>
          <cell r="E27">
            <v>0</v>
          </cell>
          <cell r="F27">
            <v>0</v>
          </cell>
        </row>
        <row r="28">
          <cell r="C28" t="str">
            <v>Agago</v>
          </cell>
          <cell r="D28" t="str">
            <v>Agago Town Council</v>
          </cell>
          <cell r="E28">
            <v>0</v>
          </cell>
        </row>
        <row r="29">
          <cell r="C29" t="str">
            <v>Erute</v>
          </cell>
          <cell r="D29" t="str">
            <v>Agali</v>
          </cell>
          <cell r="E29">
            <v>0</v>
          </cell>
        </row>
        <row r="30">
          <cell r="C30" t="str">
            <v>Kioga</v>
          </cell>
          <cell r="D30" t="str">
            <v>Agikdak</v>
          </cell>
          <cell r="E30">
            <v>0</v>
          </cell>
        </row>
        <row r="31">
          <cell r="C31" t="str">
            <v>Lamwo</v>
          </cell>
          <cell r="D31" t="str">
            <v>Agoro</v>
          </cell>
          <cell r="E31">
            <v>0</v>
          </cell>
        </row>
        <row r="32">
          <cell r="C32" t="str">
            <v>Agule</v>
          </cell>
          <cell r="D32" t="str">
            <v>Agule</v>
          </cell>
          <cell r="E32">
            <v>0</v>
          </cell>
        </row>
        <row r="33">
          <cell r="C33" t="str">
            <v>Dokolo</v>
          </cell>
          <cell r="D33" t="str">
            <v>Agwata</v>
          </cell>
          <cell r="E33">
            <v>0</v>
          </cell>
        </row>
        <row r="34">
          <cell r="C34" t="str">
            <v>Erute</v>
          </cell>
          <cell r="D34" t="str">
            <v>Agweng</v>
          </cell>
          <cell r="E34">
            <v>0</v>
          </cell>
        </row>
        <row r="35">
          <cell r="C35" t="str">
            <v>Kioga</v>
          </cell>
          <cell r="D35" t="str">
            <v>Agwingiri</v>
          </cell>
          <cell r="E35">
            <v>0</v>
          </cell>
        </row>
        <row r="36">
          <cell r="C36" t="str">
            <v>Terego</v>
          </cell>
          <cell r="D36" t="str">
            <v>Aii-Vu</v>
          </cell>
          <cell r="E36">
            <v>0</v>
          </cell>
        </row>
        <row r="37">
          <cell r="C37" t="str">
            <v>Vurra</v>
          </cell>
          <cell r="D37" t="str">
            <v>Ajia</v>
          </cell>
          <cell r="E37">
            <v>0</v>
          </cell>
        </row>
        <row r="38">
          <cell r="C38" t="str">
            <v>Kole</v>
          </cell>
          <cell r="D38" t="str">
            <v>Akalo</v>
          </cell>
          <cell r="E38">
            <v>0</v>
          </cell>
        </row>
        <row r="39">
          <cell r="C39" t="str">
            <v>Amuria</v>
          </cell>
          <cell r="D39" t="str">
            <v>Akeriau</v>
          </cell>
          <cell r="E39">
            <v>0</v>
          </cell>
        </row>
        <row r="40">
          <cell r="C40" t="str">
            <v>Agule</v>
          </cell>
          <cell r="D40" t="str">
            <v>Akisim</v>
          </cell>
          <cell r="E40">
            <v>0</v>
          </cell>
        </row>
        <row r="41">
          <cell r="C41" t="str">
            <v>Maruzi</v>
          </cell>
          <cell r="D41" t="str">
            <v>Akokoro</v>
          </cell>
          <cell r="E41">
            <v>0</v>
          </cell>
        </row>
        <row r="42">
          <cell r="C42" t="str">
            <v>Kapelebyong</v>
          </cell>
          <cell r="D42" t="str">
            <v>Akoromit</v>
          </cell>
          <cell r="E42">
            <v>0</v>
          </cell>
        </row>
        <row r="43">
          <cell r="C43" t="str">
            <v>Moroto</v>
          </cell>
          <cell r="D43" t="str">
            <v>Akura</v>
          </cell>
          <cell r="E43">
            <v>0</v>
          </cell>
        </row>
        <row r="44">
          <cell r="C44" t="str">
            <v>Kioga</v>
          </cell>
          <cell r="D44" t="str">
            <v>Akwon</v>
          </cell>
          <cell r="E44">
            <v>0</v>
          </cell>
        </row>
        <row r="45">
          <cell r="C45" t="str">
            <v>Padyere</v>
          </cell>
          <cell r="D45" t="str">
            <v>Akworo</v>
          </cell>
          <cell r="E45">
            <v>0</v>
          </cell>
        </row>
        <row r="46">
          <cell r="C46" t="str">
            <v>Otuke</v>
          </cell>
          <cell r="D46" t="str">
            <v>Alango</v>
          </cell>
          <cell r="E46">
            <v>0</v>
          </cell>
        </row>
        <row r="47">
          <cell r="C47" t="str">
            <v>Moroto</v>
          </cell>
          <cell r="D47" t="str">
            <v>Alebtong Town Council</v>
          </cell>
          <cell r="E47">
            <v>0</v>
          </cell>
        </row>
        <row r="48">
          <cell r="C48" t="str">
            <v>Oyam</v>
          </cell>
          <cell r="D48" t="str">
            <v>Aleka</v>
          </cell>
          <cell r="E48">
            <v>0</v>
          </cell>
        </row>
        <row r="49">
          <cell r="C49" t="str">
            <v>Labwor</v>
          </cell>
          <cell r="D49" t="str">
            <v>Alerek</v>
          </cell>
          <cell r="E49">
            <v>0</v>
          </cell>
        </row>
        <row r="50">
          <cell r="C50" t="str">
            <v>Nwoya</v>
          </cell>
          <cell r="D50" t="str">
            <v>Alero</v>
          </cell>
          <cell r="E50">
            <v>0</v>
          </cell>
        </row>
        <row r="51">
          <cell r="C51" t="str">
            <v>Obongi</v>
          </cell>
          <cell r="D51" t="str">
            <v>Aliba</v>
          </cell>
          <cell r="E51">
            <v>0</v>
          </cell>
        </row>
        <row r="52">
          <cell r="C52" t="str">
            <v>Kole</v>
          </cell>
          <cell r="D52" t="str">
            <v>Alito</v>
          </cell>
          <cell r="E52">
            <v>0</v>
          </cell>
        </row>
        <row r="53">
          <cell r="C53" t="str">
            <v>Moroto</v>
          </cell>
          <cell r="D53" t="str">
            <v>Aloi</v>
          </cell>
          <cell r="E53">
            <v>0</v>
          </cell>
        </row>
        <row r="54">
          <cell r="C54" t="str">
            <v>Kaberamaido</v>
          </cell>
          <cell r="D54" t="str">
            <v>Alwa</v>
          </cell>
          <cell r="E54">
            <v>0</v>
          </cell>
        </row>
        <row r="55">
          <cell r="C55" t="str">
            <v>Jonam</v>
          </cell>
          <cell r="D55" t="str">
            <v>Alwi</v>
          </cell>
          <cell r="E55">
            <v>0</v>
          </cell>
        </row>
        <row r="56">
          <cell r="C56" t="str">
            <v>Erute</v>
          </cell>
          <cell r="D56" t="str">
            <v>Amach</v>
          </cell>
          <cell r="E56">
            <v>0</v>
          </cell>
        </row>
        <row r="57">
          <cell r="C57" t="str">
            <v>Kioga</v>
          </cell>
          <cell r="D57" t="str">
            <v>Amolatar Town Council</v>
          </cell>
          <cell r="E57">
            <v>0</v>
          </cell>
        </row>
        <row r="58">
          <cell r="C58" t="str">
            <v>Pokot</v>
          </cell>
          <cell r="D58" t="str">
            <v>Amudat</v>
          </cell>
          <cell r="E58">
            <v>0</v>
          </cell>
        </row>
        <row r="59">
          <cell r="C59" t="str">
            <v>Pokot</v>
          </cell>
          <cell r="D59" t="str">
            <v>Amudat Town Council</v>
          </cell>
          <cell r="E59">
            <v>0</v>
          </cell>
        </row>
        <row r="60">
          <cell r="C60" t="str">
            <v>Moroto</v>
          </cell>
          <cell r="D60" t="str">
            <v>Amugu</v>
          </cell>
          <cell r="E60">
            <v>0</v>
          </cell>
        </row>
        <row r="61">
          <cell r="C61" t="str">
            <v>Tingey</v>
          </cell>
          <cell r="D61" t="str">
            <v>Amukol</v>
          </cell>
          <cell r="E61">
            <v>0</v>
          </cell>
        </row>
        <row r="62">
          <cell r="C62" t="str">
            <v>Amuria</v>
          </cell>
          <cell r="D62" t="str">
            <v>Amuria Town Council</v>
          </cell>
          <cell r="E62">
            <v>0</v>
          </cell>
        </row>
        <row r="63">
          <cell r="C63" t="str">
            <v>Kilak</v>
          </cell>
          <cell r="D63" t="str">
            <v>Amuru</v>
          </cell>
          <cell r="E63">
            <v>0</v>
          </cell>
        </row>
        <row r="64">
          <cell r="C64" t="str">
            <v>Kilak</v>
          </cell>
          <cell r="D64" t="str">
            <v>Amuru Town Council</v>
          </cell>
          <cell r="E64">
            <v>0</v>
          </cell>
        </row>
        <row r="65">
          <cell r="C65" t="str">
            <v>Dokolo</v>
          </cell>
          <cell r="D65" t="str">
            <v>Amwoma</v>
          </cell>
          <cell r="E65">
            <v>0</v>
          </cell>
        </row>
        <row r="66">
          <cell r="C66" t="str">
            <v>Nwoya</v>
          </cell>
          <cell r="D66" t="str">
            <v>Anaka Payira</v>
          </cell>
          <cell r="E66">
            <v>0</v>
          </cell>
        </row>
        <row r="67">
          <cell r="C67" t="str">
            <v>Nwoya</v>
          </cell>
          <cell r="D67" t="str">
            <v>Anaka Town Council</v>
          </cell>
          <cell r="E67">
            <v>0</v>
          </cell>
        </row>
        <row r="68">
          <cell r="C68" t="str">
            <v>Aruu</v>
          </cell>
          <cell r="D68" t="str">
            <v>Angagura</v>
          </cell>
          <cell r="E68">
            <v>0</v>
          </cell>
        </row>
        <row r="69">
          <cell r="C69" t="str">
            <v>Kalaki</v>
          </cell>
          <cell r="D69" t="str">
            <v>Anyara</v>
          </cell>
          <cell r="E69">
            <v>0</v>
          </cell>
        </row>
        <row r="70">
          <cell r="C70" t="str">
            <v>Madi Okollo</v>
          </cell>
          <cell r="D70" t="str">
            <v>Anyiribu</v>
          </cell>
          <cell r="E70">
            <v>0</v>
          </cell>
        </row>
        <row r="71">
          <cell r="C71" t="str">
            <v>Arua Municipality</v>
          </cell>
          <cell r="D71" t="str">
            <v>Arua Hill Division</v>
          </cell>
          <cell r="E71">
            <v>0</v>
          </cell>
          <cell r="F71" t="str">
            <v>Arua Municipality</v>
          </cell>
        </row>
        <row r="72">
          <cell r="C72" t="str">
            <v>Arua Municipality</v>
          </cell>
          <cell r="D72" t="str">
            <v>River Oli Division</v>
          </cell>
          <cell r="E72">
            <v>0</v>
          </cell>
          <cell r="F72">
            <v>0</v>
          </cell>
        </row>
        <row r="73">
          <cell r="C73" t="str">
            <v>Moroto</v>
          </cell>
          <cell r="D73" t="str">
            <v>Apala</v>
          </cell>
          <cell r="E73">
            <v>0</v>
          </cell>
        </row>
        <row r="74">
          <cell r="C74" t="str">
            <v>Kalaki</v>
          </cell>
          <cell r="D74" t="str">
            <v>Apapai</v>
          </cell>
          <cell r="E74">
            <v>0</v>
          </cell>
        </row>
        <row r="75">
          <cell r="C75" t="str">
            <v>Amuria</v>
          </cell>
          <cell r="D75" t="str">
            <v>Apeduru</v>
          </cell>
          <cell r="E75">
            <v>0</v>
          </cell>
        </row>
        <row r="76">
          <cell r="C76" t="str">
            <v>Kaberamaido</v>
          </cell>
          <cell r="D76" t="str">
            <v>Aperkira</v>
          </cell>
          <cell r="E76">
            <v>0</v>
          </cell>
        </row>
        <row r="77">
          <cell r="C77" t="str">
            <v>Aringa</v>
          </cell>
          <cell r="D77" t="str">
            <v>Apo</v>
          </cell>
          <cell r="E77">
            <v>0</v>
          </cell>
        </row>
        <row r="78">
          <cell r="C78" t="str">
            <v>Agule</v>
          </cell>
          <cell r="D78" t="str">
            <v>Apopong</v>
          </cell>
          <cell r="E78">
            <v>0</v>
          </cell>
        </row>
        <row r="79">
          <cell r="C79" t="str">
            <v>Kioga</v>
          </cell>
          <cell r="D79" t="str">
            <v>Aputi</v>
          </cell>
          <cell r="E79">
            <v>0</v>
          </cell>
        </row>
        <row r="80">
          <cell r="C80" t="str">
            <v>Soroti</v>
          </cell>
          <cell r="D80" t="str">
            <v>Arapai</v>
          </cell>
          <cell r="E80">
            <v>0</v>
          </cell>
        </row>
        <row r="81">
          <cell r="C81" t="str">
            <v>East Moyo</v>
          </cell>
          <cell r="D81" t="str">
            <v>Arinyapi</v>
          </cell>
          <cell r="E81">
            <v>0</v>
          </cell>
        </row>
        <row r="82">
          <cell r="C82" t="str">
            <v>Vurra</v>
          </cell>
          <cell r="D82" t="str">
            <v>Arivu</v>
          </cell>
          <cell r="E82">
            <v>0</v>
          </cell>
        </row>
        <row r="83">
          <cell r="C83" t="str">
            <v>Aringa</v>
          </cell>
          <cell r="D83" t="str">
            <v>Ariwa</v>
          </cell>
          <cell r="E83">
            <v>0</v>
          </cell>
        </row>
        <row r="84">
          <cell r="C84" t="str">
            <v>Ayivu</v>
          </cell>
          <cell r="D84" t="str">
            <v>Aroi</v>
          </cell>
          <cell r="E84">
            <v>0</v>
          </cell>
        </row>
        <row r="85">
          <cell r="C85" t="str">
            <v>Erute</v>
          </cell>
          <cell r="D85" t="str">
            <v>Aromo</v>
          </cell>
          <cell r="E85">
            <v>0</v>
          </cell>
        </row>
        <row r="86">
          <cell r="C86" t="str">
            <v>Bugiri Municipality</v>
          </cell>
          <cell r="D86" t="str">
            <v>Eastern Division</v>
          </cell>
          <cell r="E86">
            <v>0</v>
          </cell>
          <cell r="F86" t="str">
            <v>Bugiri Municipality</v>
          </cell>
        </row>
        <row r="87">
          <cell r="C87" t="str">
            <v>Agago</v>
          </cell>
          <cell r="D87" t="str">
            <v>Arum</v>
          </cell>
          <cell r="E87">
            <v>0</v>
          </cell>
          <cell r="F87">
            <v>0</v>
          </cell>
        </row>
        <row r="88">
          <cell r="C88" t="str">
            <v>Kioga</v>
          </cell>
          <cell r="D88" t="str">
            <v>Arwotcek</v>
          </cell>
          <cell r="E88">
            <v>0</v>
          </cell>
          <cell r="F88">
            <v>0</v>
          </cell>
        </row>
        <row r="89">
          <cell r="C89" t="str">
            <v>Amuria</v>
          </cell>
          <cell r="D89" t="str">
            <v>Asamuk</v>
          </cell>
          <cell r="E89">
            <v>0</v>
          </cell>
          <cell r="F89">
            <v>0</v>
          </cell>
        </row>
        <row r="90">
          <cell r="C90" t="str">
            <v>Soroti</v>
          </cell>
          <cell r="D90" t="str">
            <v>Asuret</v>
          </cell>
          <cell r="E90">
            <v>0</v>
          </cell>
          <cell r="F90">
            <v>0</v>
          </cell>
        </row>
        <row r="91">
          <cell r="C91" t="str">
            <v>Aruu</v>
          </cell>
          <cell r="D91" t="str">
            <v>Atanga</v>
          </cell>
          <cell r="E91">
            <v>0</v>
          </cell>
          <cell r="F91">
            <v>0</v>
          </cell>
        </row>
        <row r="92">
          <cell r="C92" t="str">
            <v>Padyere</v>
          </cell>
          <cell r="D92" t="str">
            <v>Atego</v>
          </cell>
          <cell r="E92">
            <v>0</v>
          </cell>
          <cell r="F92">
            <v>0</v>
          </cell>
        </row>
        <row r="93">
          <cell r="C93" t="str">
            <v>Serere</v>
          </cell>
          <cell r="D93" t="str">
            <v>Atiira</v>
          </cell>
          <cell r="E93">
            <v>0</v>
          </cell>
          <cell r="F93">
            <v>0</v>
          </cell>
        </row>
        <row r="94">
          <cell r="C94" t="str">
            <v>Kilak</v>
          </cell>
          <cell r="D94" t="str">
            <v>Attiak</v>
          </cell>
          <cell r="E94">
            <v>0</v>
          </cell>
          <cell r="F94">
            <v>0</v>
          </cell>
        </row>
        <row r="95">
          <cell r="C95" t="str">
            <v>Kumi</v>
          </cell>
          <cell r="D95" t="str">
            <v>Atutur</v>
          </cell>
          <cell r="E95">
            <v>0</v>
          </cell>
          <cell r="F95">
            <v>0</v>
          </cell>
        </row>
        <row r="96">
          <cell r="C96" t="str">
            <v>Okoro</v>
          </cell>
          <cell r="D96" t="str">
            <v>Atyak</v>
          </cell>
          <cell r="E96">
            <v>0</v>
          </cell>
          <cell r="F96">
            <v>0</v>
          </cell>
        </row>
        <row r="97">
          <cell r="C97" t="str">
            <v>Aswa</v>
          </cell>
          <cell r="D97" t="str">
            <v>Awach</v>
          </cell>
          <cell r="E97">
            <v>0</v>
          </cell>
          <cell r="F97">
            <v>0</v>
          </cell>
        </row>
        <row r="98">
          <cell r="C98" t="str">
            <v>Moroto</v>
          </cell>
          <cell r="D98" t="str">
            <v>Awei</v>
          </cell>
          <cell r="E98">
            <v>0</v>
          </cell>
          <cell r="F98">
            <v>0</v>
          </cell>
        </row>
        <row r="99">
          <cell r="C99" t="str">
            <v>Kioga</v>
          </cell>
          <cell r="D99" t="str">
            <v>Awelo</v>
          </cell>
          <cell r="E99">
            <v>0</v>
          </cell>
          <cell r="F99">
            <v>0</v>
          </cell>
        </row>
        <row r="100">
          <cell r="C100" t="str">
            <v>Aruu</v>
          </cell>
          <cell r="D100" t="str">
            <v>Awere</v>
          </cell>
          <cell r="E100">
            <v>0</v>
          </cell>
          <cell r="F100">
            <v>0</v>
          </cell>
        </row>
        <row r="101">
          <cell r="C101" t="str">
            <v>Kole</v>
          </cell>
          <cell r="D101" t="str">
            <v>Ayer</v>
          </cell>
          <cell r="E101">
            <v>0</v>
          </cell>
          <cell r="F101">
            <v>0</v>
          </cell>
        </row>
        <row r="102">
          <cell r="C102" t="str">
            <v>Ayivu</v>
          </cell>
          <cell r="D102" t="str">
            <v>Ayivuni</v>
          </cell>
          <cell r="E102">
            <v>0</v>
          </cell>
          <cell r="F102">
            <v>0</v>
          </cell>
        </row>
        <row r="103">
          <cell r="C103" t="str">
            <v>Kasambya</v>
          </cell>
          <cell r="D103" t="str">
            <v>Bagezza</v>
          </cell>
          <cell r="E103">
            <v>0</v>
          </cell>
          <cell r="F103">
            <v>0</v>
          </cell>
        </row>
        <row r="104">
          <cell r="C104" t="str">
            <v>Bunya</v>
          </cell>
          <cell r="D104" t="str">
            <v>Baitambogwe</v>
          </cell>
          <cell r="E104">
            <v>0</v>
          </cell>
          <cell r="F104">
            <v>0</v>
          </cell>
        </row>
        <row r="105">
          <cell r="C105" t="str">
            <v>Kole</v>
          </cell>
          <cell r="D105" t="str">
            <v>Bala</v>
          </cell>
          <cell r="E105">
            <v>0</v>
          </cell>
          <cell r="F105">
            <v>0</v>
          </cell>
        </row>
        <row r="106">
          <cell r="C106" t="str">
            <v>Bugabula</v>
          </cell>
          <cell r="D106" t="str">
            <v>Balawoli</v>
          </cell>
          <cell r="E106">
            <v>0</v>
          </cell>
          <cell r="F106">
            <v>0</v>
          </cell>
        </row>
        <row r="107">
          <cell r="C107" t="str">
            <v>Bamunanika</v>
          </cell>
          <cell r="D107" t="str">
            <v>Bamunanika</v>
          </cell>
          <cell r="E107">
            <v>0</v>
          </cell>
          <cell r="F107">
            <v>0</v>
          </cell>
        </row>
        <row r="108">
          <cell r="C108" t="str">
            <v>Kiboga</v>
          </cell>
          <cell r="D108" t="str">
            <v>Bananywa</v>
          </cell>
          <cell r="E108">
            <v>0</v>
          </cell>
          <cell r="F108">
            <v>0</v>
          </cell>
        </row>
        <row r="109">
          <cell r="C109" t="str">
            <v>Bukooli</v>
          </cell>
          <cell r="D109" t="str">
            <v>Banda</v>
          </cell>
          <cell r="E109">
            <v>0</v>
          </cell>
          <cell r="F109">
            <v>0</v>
          </cell>
        </row>
        <row r="110">
          <cell r="C110" t="str">
            <v>Bugiri Municipality</v>
          </cell>
          <cell r="D110" t="str">
            <v>Western Division</v>
          </cell>
          <cell r="E110">
            <v>0</v>
          </cell>
          <cell r="F110">
            <v>0</v>
          </cell>
        </row>
        <row r="111">
          <cell r="C111" t="str">
            <v>Erute</v>
          </cell>
          <cell r="D111" t="str">
            <v>Barr</v>
          </cell>
          <cell r="E111">
            <v>0</v>
          </cell>
        </row>
        <row r="112">
          <cell r="C112" t="str">
            <v>Dokolo</v>
          </cell>
          <cell r="D112" t="str">
            <v>Batta</v>
          </cell>
          <cell r="E112">
            <v>0</v>
          </cell>
        </row>
        <row r="113">
          <cell r="C113" t="str">
            <v>Bbaale</v>
          </cell>
          <cell r="D113" t="str">
            <v>Bbaale</v>
          </cell>
          <cell r="E113">
            <v>0</v>
          </cell>
        </row>
        <row r="114">
          <cell r="C114" t="str">
            <v>Busujju</v>
          </cell>
          <cell r="D114" t="str">
            <v>Bbanda</v>
          </cell>
          <cell r="E114">
            <v>0</v>
          </cell>
        </row>
        <row r="115">
          <cell r="C115" t="str">
            <v>Kween</v>
          </cell>
          <cell r="D115" t="str">
            <v>Benet</v>
          </cell>
          <cell r="E115">
            <v>0</v>
          </cell>
        </row>
        <row r="116">
          <cell r="C116" t="str">
            <v>Bukomansimbi</v>
          </cell>
          <cell r="D116" t="str">
            <v>Bigasa</v>
          </cell>
          <cell r="E116">
            <v>0</v>
          </cell>
        </row>
        <row r="117">
          <cell r="C117" t="str">
            <v>Kibale</v>
          </cell>
          <cell r="D117" t="str">
            <v>Biguli</v>
          </cell>
          <cell r="E117">
            <v>0</v>
          </cell>
        </row>
        <row r="118">
          <cell r="C118" t="str">
            <v>Kibale</v>
          </cell>
          <cell r="D118" t="str">
            <v>Bihanga</v>
          </cell>
          <cell r="E118">
            <v>0</v>
          </cell>
        </row>
        <row r="119">
          <cell r="C119" t="str">
            <v>Buhweju</v>
          </cell>
          <cell r="D119" t="str">
            <v>Bihanga</v>
          </cell>
          <cell r="E119">
            <v>0</v>
          </cell>
        </row>
        <row r="120">
          <cell r="C120" t="str">
            <v>Bushenyi-Ishaka Municipality</v>
          </cell>
          <cell r="D120" t="str">
            <v>Central Divison</v>
          </cell>
          <cell r="E120">
            <v>0</v>
          </cell>
          <cell r="F120" t="str">
            <v>Bushenyi-Ishaka Municipality</v>
          </cell>
        </row>
        <row r="121">
          <cell r="C121" t="str">
            <v>Buliisa</v>
          </cell>
          <cell r="D121" t="str">
            <v>Biiso</v>
          </cell>
          <cell r="E121">
            <v>0</v>
          </cell>
          <cell r="F121">
            <v>0</v>
          </cell>
        </row>
        <row r="122">
          <cell r="C122" t="str">
            <v>Terego</v>
          </cell>
          <cell r="D122" t="str">
            <v>Bileafe</v>
          </cell>
          <cell r="E122">
            <v>0</v>
          </cell>
          <cell r="F122">
            <v>0</v>
          </cell>
        </row>
        <row r="123">
          <cell r="C123" t="str">
            <v>Kween</v>
          </cell>
          <cell r="D123" t="str">
            <v>Binyiny</v>
          </cell>
          <cell r="E123">
            <v>0</v>
          </cell>
          <cell r="F123">
            <v>0</v>
          </cell>
        </row>
        <row r="124">
          <cell r="C124" t="str">
            <v>Kween</v>
          </cell>
          <cell r="D124" t="str">
            <v>Binyiny Town Council</v>
          </cell>
          <cell r="E124">
            <v>0</v>
          </cell>
          <cell r="F124">
            <v>0</v>
          </cell>
        </row>
        <row r="125">
          <cell r="C125" t="str">
            <v>Bugangaizi</v>
          </cell>
          <cell r="D125" t="str">
            <v>Birembo</v>
          </cell>
          <cell r="E125">
            <v>0</v>
          </cell>
          <cell r="F125">
            <v>0</v>
          </cell>
        </row>
        <row r="126">
          <cell r="C126" t="str">
            <v>Isingiro</v>
          </cell>
          <cell r="D126" t="str">
            <v>Birere</v>
          </cell>
          <cell r="E126">
            <v>0</v>
          </cell>
          <cell r="F126">
            <v>0</v>
          </cell>
        </row>
        <row r="127">
          <cell r="C127" t="str">
            <v>Bushenyi-Ishaka Municipality</v>
          </cell>
          <cell r="D127" t="str">
            <v>Ishaka Divison</v>
          </cell>
          <cell r="E127">
            <v>0</v>
          </cell>
          <cell r="F127">
            <v>0</v>
          </cell>
        </row>
        <row r="128">
          <cell r="C128" t="str">
            <v>Ruhinda</v>
          </cell>
          <cell r="D128" t="str">
            <v>Bitereko</v>
          </cell>
          <cell r="E128">
            <v>0</v>
          </cell>
          <cell r="F128">
            <v>0</v>
          </cell>
        </row>
        <row r="129">
          <cell r="C129" t="str">
            <v>Igara</v>
          </cell>
          <cell r="D129" t="str">
            <v>Bitooma</v>
          </cell>
          <cell r="E129">
            <v>0</v>
          </cell>
          <cell r="F129">
            <v>0</v>
          </cell>
        </row>
        <row r="130">
          <cell r="C130" t="str">
            <v>Buhweju</v>
          </cell>
          <cell r="D130" t="str">
            <v>Bitsya</v>
          </cell>
          <cell r="E130">
            <v>0</v>
          </cell>
          <cell r="F130">
            <v>0</v>
          </cell>
        </row>
        <row r="131">
          <cell r="C131" t="str">
            <v>Omoro</v>
          </cell>
          <cell r="D131" t="str">
            <v>Bobi</v>
          </cell>
          <cell r="E131">
            <v>0</v>
          </cell>
          <cell r="F131">
            <v>0</v>
          </cell>
        </row>
        <row r="132">
          <cell r="C132" t="str">
            <v>Katikamu</v>
          </cell>
          <cell r="D132" t="str">
            <v>Bombo Town Council</v>
          </cell>
          <cell r="E132">
            <v>0</v>
          </cell>
          <cell r="F132">
            <v>0</v>
          </cell>
        </row>
        <row r="133">
          <cell r="C133" t="str">
            <v>Kashari</v>
          </cell>
          <cell r="D133" t="str">
            <v>Bubaare</v>
          </cell>
          <cell r="E133">
            <v>0</v>
          </cell>
          <cell r="F133">
            <v>0</v>
          </cell>
        </row>
        <row r="134">
          <cell r="C134" t="str">
            <v>Rubanda</v>
          </cell>
          <cell r="D134" t="str">
            <v>Bubaare</v>
          </cell>
          <cell r="E134">
            <v>0</v>
          </cell>
          <cell r="F134">
            <v>0</v>
          </cell>
        </row>
        <row r="135">
          <cell r="C135" t="str">
            <v>Bwamba</v>
          </cell>
          <cell r="D135" t="str">
            <v>Bubandi</v>
          </cell>
          <cell r="E135">
            <v>0</v>
          </cell>
          <cell r="F135">
            <v>0</v>
          </cell>
        </row>
        <row r="136">
          <cell r="C136" t="str">
            <v>Buyanja</v>
          </cell>
          <cell r="D136" t="str">
            <v>Bubango</v>
          </cell>
          <cell r="E136">
            <v>0</v>
          </cell>
          <cell r="F136">
            <v>0</v>
          </cell>
        </row>
        <row r="137">
          <cell r="C137" t="str">
            <v>Kyamuswa</v>
          </cell>
          <cell r="D137" t="str">
            <v>Bubeke</v>
          </cell>
          <cell r="E137">
            <v>0</v>
          </cell>
          <cell r="F137">
            <v>0</v>
          </cell>
        </row>
        <row r="138">
          <cell r="C138" t="str">
            <v>Manjiya</v>
          </cell>
          <cell r="D138" t="str">
            <v>Bubiita</v>
          </cell>
          <cell r="E138">
            <v>0</v>
          </cell>
          <cell r="F138">
            <v>0</v>
          </cell>
        </row>
        <row r="139">
          <cell r="C139" t="str">
            <v>Bwamba</v>
          </cell>
          <cell r="D139" t="str">
            <v>Bubukwanga</v>
          </cell>
          <cell r="E139">
            <v>0</v>
          </cell>
          <cell r="F139">
            <v>0</v>
          </cell>
        </row>
        <row r="140">
          <cell r="C140" t="str">
            <v>Namisindwa</v>
          </cell>
          <cell r="D140" t="str">
            <v>Bubutu</v>
          </cell>
          <cell r="E140">
            <v>0</v>
          </cell>
          <cell r="F140">
            <v>0</v>
          </cell>
        </row>
        <row r="141">
          <cell r="C141" t="str">
            <v>Bungokho</v>
          </cell>
          <cell r="D141" t="str">
            <v>Bubyangu</v>
          </cell>
          <cell r="E141">
            <v>0</v>
          </cell>
          <cell r="F141">
            <v>0</v>
          </cell>
        </row>
        <row r="142">
          <cell r="C142" t="str">
            <v>Budadiri</v>
          </cell>
          <cell r="D142" t="str">
            <v>Budadiri Town Council</v>
          </cell>
          <cell r="E142">
            <v>0</v>
          </cell>
          <cell r="F142">
            <v>0</v>
          </cell>
        </row>
        <row r="143">
          <cell r="C143" t="str">
            <v>Budaka</v>
          </cell>
          <cell r="D143" t="str">
            <v>Budaka</v>
          </cell>
          <cell r="E143">
            <v>0</v>
          </cell>
          <cell r="F143">
            <v>0</v>
          </cell>
        </row>
        <row r="144">
          <cell r="C144" t="str">
            <v>Budaka</v>
          </cell>
          <cell r="D144" t="str">
            <v>Budaka Town Council</v>
          </cell>
          <cell r="E144">
            <v>0</v>
          </cell>
          <cell r="F144">
            <v>0</v>
          </cell>
        </row>
        <row r="145">
          <cell r="C145" t="str">
            <v>Butambala</v>
          </cell>
          <cell r="D145" t="str">
            <v>Budde</v>
          </cell>
          <cell r="E145">
            <v>0</v>
          </cell>
          <cell r="F145">
            <v>0</v>
          </cell>
        </row>
        <row r="146">
          <cell r="C146" t="str">
            <v>Bukooli North</v>
          </cell>
          <cell r="D146" t="str">
            <v>Budhaya</v>
          </cell>
          <cell r="E146">
            <v>0</v>
          </cell>
          <cell r="F146">
            <v>0</v>
          </cell>
        </row>
        <row r="147">
          <cell r="C147" t="str">
            <v>Bulamogi</v>
          </cell>
          <cell r="D147" t="str">
            <v>Budomero</v>
          </cell>
          <cell r="E147">
            <v>0</v>
          </cell>
          <cell r="F147">
            <v>0</v>
          </cell>
        </row>
        <row r="148">
          <cell r="C148" t="str">
            <v>Kagoma</v>
          </cell>
          <cell r="D148" t="str">
            <v>Budondo</v>
          </cell>
          <cell r="E148">
            <v>0</v>
          </cell>
          <cell r="F148">
            <v>0</v>
          </cell>
        </row>
        <row r="149">
          <cell r="C149" t="str">
            <v>Bujenje</v>
          </cell>
          <cell r="D149" t="str">
            <v>Budongo</v>
          </cell>
          <cell r="E149">
            <v>0</v>
          </cell>
          <cell r="F149">
            <v>0</v>
          </cell>
        </row>
        <row r="150">
          <cell r="C150" t="str">
            <v>Manjiya</v>
          </cell>
          <cell r="D150" t="str">
            <v>Bududa</v>
          </cell>
          <cell r="E150">
            <v>0</v>
          </cell>
          <cell r="F150">
            <v>0</v>
          </cell>
        </row>
        <row r="151">
          <cell r="C151" t="str">
            <v>Manjiya</v>
          </cell>
          <cell r="D151" t="str">
            <v>Bududa Town Council</v>
          </cell>
          <cell r="E151">
            <v>0</v>
          </cell>
          <cell r="F151">
            <v>0</v>
          </cell>
        </row>
        <row r="152">
          <cell r="C152" t="str">
            <v>Bunyole</v>
          </cell>
          <cell r="D152" t="str">
            <v>Budumba</v>
          </cell>
          <cell r="E152">
            <v>0</v>
          </cell>
          <cell r="F152">
            <v>0</v>
          </cell>
        </row>
        <row r="153">
          <cell r="C153" t="str">
            <v>Bungokho</v>
          </cell>
          <cell r="D153" t="str">
            <v>Budwale</v>
          </cell>
          <cell r="E153">
            <v>0</v>
          </cell>
          <cell r="F153">
            <v>0</v>
          </cell>
        </row>
        <row r="154">
          <cell r="C154" t="str">
            <v>Bungokho</v>
          </cell>
          <cell r="D154" t="str">
            <v>Bufumbo</v>
          </cell>
          <cell r="E154">
            <v>0</v>
          </cell>
          <cell r="F154">
            <v>0</v>
          </cell>
        </row>
        <row r="155">
          <cell r="C155" t="str">
            <v>Kyamuswa</v>
          </cell>
          <cell r="D155" t="str">
            <v>Bufumira</v>
          </cell>
          <cell r="E155">
            <v>0</v>
          </cell>
          <cell r="F155">
            <v>0</v>
          </cell>
        </row>
        <row r="156">
          <cell r="C156" t="str">
            <v>Bushenyi-Ishaka Municipality</v>
          </cell>
          <cell r="D156" t="str">
            <v>Nyakabirizi Division</v>
          </cell>
          <cell r="E156">
            <v>0</v>
          </cell>
          <cell r="F156">
            <v>0</v>
          </cell>
        </row>
        <row r="157">
          <cell r="C157" t="str">
            <v>Rubanda</v>
          </cell>
          <cell r="D157" t="str">
            <v>Bufundi</v>
          </cell>
          <cell r="E157">
            <v>0</v>
          </cell>
        </row>
        <row r="158">
          <cell r="C158" t="str">
            <v>Mwenge</v>
          </cell>
          <cell r="D158" t="str">
            <v>Bufunjo</v>
          </cell>
          <cell r="E158">
            <v>0</v>
          </cell>
        </row>
        <row r="159">
          <cell r="C159" t="str">
            <v>Mwenge</v>
          </cell>
          <cell r="D159" t="str">
            <v>Bugaaki</v>
          </cell>
          <cell r="E159">
            <v>0</v>
          </cell>
        </row>
        <row r="160">
          <cell r="C160" t="str">
            <v>Rwampara</v>
          </cell>
          <cell r="D160" t="str">
            <v>Bugamba</v>
          </cell>
          <cell r="E160">
            <v>0</v>
          </cell>
        </row>
        <row r="161">
          <cell r="C161" t="str">
            <v>Buhaguzi</v>
          </cell>
          <cell r="D161" t="str">
            <v>Bugambe</v>
          </cell>
          <cell r="E161">
            <v>0</v>
          </cell>
        </row>
        <row r="162">
          <cell r="C162" t="str">
            <v>Rujumbura</v>
          </cell>
          <cell r="D162" t="str">
            <v>Bugangari</v>
          </cell>
          <cell r="E162">
            <v>0</v>
          </cell>
        </row>
        <row r="163">
          <cell r="C163" t="str">
            <v>Buvuma Island</v>
          </cell>
          <cell r="D163" t="str">
            <v>Bugaya</v>
          </cell>
          <cell r="E163">
            <v>0</v>
          </cell>
        </row>
        <row r="164">
          <cell r="C164" t="str">
            <v>Budiope</v>
          </cell>
          <cell r="D164" t="str">
            <v>Bugaya</v>
          </cell>
          <cell r="E164">
            <v>0</v>
          </cell>
        </row>
        <row r="165">
          <cell r="C165" t="str">
            <v>Butembe</v>
          </cell>
          <cell r="D165" t="str">
            <v>Bugembe Town Council</v>
          </cell>
          <cell r="E165">
            <v>0</v>
          </cell>
        </row>
        <row r="166">
          <cell r="C166" t="str">
            <v>Bulambuli</v>
          </cell>
          <cell r="D166" t="str">
            <v>Buginyanya</v>
          </cell>
          <cell r="E166">
            <v>0</v>
          </cell>
        </row>
        <row r="167">
          <cell r="C167" t="str">
            <v>Budadiri</v>
          </cell>
          <cell r="D167" t="str">
            <v>Bugitimwa</v>
          </cell>
          <cell r="E167">
            <v>0</v>
          </cell>
        </row>
        <row r="168">
          <cell r="C168" t="str">
            <v>Bubulo</v>
          </cell>
          <cell r="D168" t="str">
            <v>Bugobero</v>
          </cell>
          <cell r="E168">
            <v>0</v>
          </cell>
        </row>
        <row r="169">
          <cell r="C169" t="str">
            <v>Kasilo</v>
          </cell>
          <cell r="D169" t="str">
            <v>Bugondo</v>
          </cell>
          <cell r="E169">
            <v>0</v>
          </cell>
        </row>
        <row r="170">
          <cell r="C170" t="str">
            <v>Sheema</v>
          </cell>
          <cell r="D170" t="str">
            <v>Bugongi Town Council</v>
          </cell>
          <cell r="E170">
            <v>0</v>
          </cell>
        </row>
        <row r="171">
          <cell r="C171" t="str">
            <v>Busongora</v>
          </cell>
          <cell r="D171" t="str">
            <v>Bugoye</v>
          </cell>
          <cell r="E171">
            <v>0</v>
          </cell>
        </row>
        <row r="172">
          <cell r="C172" t="str">
            <v>Buzaaya</v>
          </cell>
          <cell r="D172" t="str">
            <v>Bugulumbya</v>
          </cell>
          <cell r="E172">
            <v>0</v>
          </cell>
        </row>
        <row r="173">
          <cell r="C173" t="str">
            <v>Kitagwenda</v>
          </cell>
          <cell r="D173" t="str">
            <v>Buhanda</v>
          </cell>
          <cell r="E173">
            <v>0</v>
          </cell>
        </row>
        <row r="174">
          <cell r="C174" t="str">
            <v>Bugahya</v>
          </cell>
          <cell r="D174" t="str">
            <v>Buhanika</v>
          </cell>
          <cell r="E174">
            <v>0</v>
          </cell>
        </row>
        <row r="175">
          <cell r="C175" t="str">
            <v>Ndorwa</v>
          </cell>
          <cell r="D175" t="str">
            <v>Buhara</v>
          </cell>
          <cell r="E175">
            <v>0</v>
          </cell>
        </row>
        <row r="176">
          <cell r="C176" t="str">
            <v>Bunyangabu</v>
          </cell>
          <cell r="D176" t="str">
            <v>Buheesi</v>
          </cell>
          <cell r="E176">
            <v>0</v>
          </cell>
        </row>
        <row r="177">
          <cell r="C177" t="str">
            <v>Bunyangabu</v>
          </cell>
          <cell r="D177" t="str">
            <v>Buheesi Town Council</v>
          </cell>
          <cell r="E177">
            <v>0</v>
          </cell>
        </row>
        <row r="178">
          <cell r="C178" t="str">
            <v>Samia-Bugwe</v>
          </cell>
          <cell r="D178" t="str">
            <v>Buhehe</v>
          </cell>
          <cell r="E178">
            <v>0</v>
          </cell>
        </row>
        <row r="179">
          <cell r="C179" t="str">
            <v>Bukooli</v>
          </cell>
          <cell r="D179" t="str">
            <v>Buhemba</v>
          </cell>
          <cell r="E179">
            <v>0</v>
          </cell>
        </row>
        <row r="180">
          <cell r="C180" t="str">
            <v>Buhaguzi</v>
          </cell>
          <cell r="D180" t="str">
            <v>Buhimba</v>
          </cell>
          <cell r="E180">
            <v>0</v>
          </cell>
        </row>
        <row r="181">
          <cell r="C181" t="str">
            <v>Budadiri</v>
          </cell>
          <cell r="D181" t="str">
            <v>Buhugu</v>
          </cell>
          <cell r="E181">
            <v>0</v>
          </cell>
        </row>
        <row r="182">
          <cell r="C182" t="str">
            <v>Busongora</v>
          </cell>
          <cell r="D182" t="str">
            <v>Buhuhira</v>
          </cell>
          <cell r="E182">
            <v>0</v>
          </cell>
        </row>
        <row r="183">
          <cell r="C183" t="str">
            <v>Rujumbura</v>
          </cell>
          <cell r="D183" t="str">
            <v>Buhunga</v>
          </cell>
          <cell r="E183">
            <v>0</v>
          </cell>
        </row>
        <row r="184">
          <cell r="C184" t="str">
            <v>Buikwe</v>
          </cell>
          <cell r="D184" t="str">
            <v>Buikwe</v>
          </cell>
          <cell r="E184">
            <v>0</v>
          </cell>
        </row>
        <row r="185">
          <cell r="C185" t="str">
            <v>Buikwe</v>
          </cell>
          <cell r="D185" t="str">
            <v>Buikwe Town Council</v>
          </cell>
          <cell r="E185">
            <v>0</v>
          </cell>
        </row>
        <row r="186">
          <cell r="C186" t="str">
            <v>Bujumba</v>
          </cell>
          <cell r="D186" t="str">
            <v>Bujumba</v>
          </cell>
          <cell r="E186">
            <v>0</v>
          </cell>
        </row>
        <row r="187">
          <cell r="C187" t="str">
            <v>Entebbe Municipality</v>
          </cell>
          <cell r="D187" t="str">
            <v>Division A</v>
          </cell>
          <cell r="E187">
            <v>0</v>
          </cell>
          <cell r="F187" t="str">
            <v>Entebbe Municipality</v>
          </cell>
        </row>
        <row r="188">
          <cell r="C188" t="str">
            <v>Bunya</v>
          </cell>
          <cell r="D188" t="str">
            <v>Bukabooli</v>
          </cell>
          <cell r="E188">
            <v>0</v>
          </cell>
          <cell r="F188">
            <v>0</v>
          </cell>
        </row>
        <row r="189">
          <cell r="C189" t="str">
            <v>Bukoto</v>
          </cell>
          <cell r="D189" t="str">
            <v>Bukakata</v>
          </cell>
          <cell r="E189">
            <v>0</v>
          </cell>
          <cell r="F189">
            <v>0</v>
          </cell>
        </row>
        <row r="190">
          <cell r="C190" t="str">
            <v>Manjiya</v>
          </cell>
          <cell r="D190" t="str">
            <v>Bukalasi</v>
          </cell>
          <cell r="E190">
            <v>0</v>
          </cell>
          <cell r="F190">
            <v>0</v>
          </cell>
        </row>
        <row r="191">
          <cell r="C191" t="str">
            <v>Bulamogi</v>
          </cell>
          <cell r="D191" t="str">
            <v>Bukamba</v>
          </cell>
          <cell r="E191">
            <v>0</v>
          </cell>
          <cell r="F191">
            <v>0</v>
          </cell>
        </row>
        <row r="192">
          <cell r="C192" t="str">
            <v>Bukooli</v>
          </cell>
          <cell r="D192" t="str">
            <v>Bukana</v>
          </cell>
          <cell r="E192">
            <v>0</v>
          </cell>
          <cell r="F192">
            <v>0</v>
          </cell>
        </row>
        <row r="193">
          <cell r="C193" t="str">
            <v>Luuka</v>
          </cell>
          <cell r="D193" t="str">
            <v>Bukanga</v>
          </cell>
          <cell r="E193">
            <v>0</v>
          </cell>
          <cell r="F193">
            <v>0</v>
          </cell>
        </row>
        <row r="194">
          <cell r="C194" t="str">
            <v>Bungokho</v>
          </cell>
          <cell r="D194" t="str">
            <v>Bukasakya</v>
          </cell>
          <cell r="E194">
            <v>0</v>
          </cell>
          <cell r="F194">
            <v>0</v>
          </cell>
        </row>
        <row r="195">
          <cell r="C195" t="str">
            <v>Bunya</v>
          </cell>
          <cell r="D195" t="str">
            <v>Bukatube</v>
          </cell>
          <cell r="E195">
            <v>0</v>
          </cell>
          <cell r="F195">
            <v>0</v>
          </cell>
        </row>
        <row r="196">
          <cell r="C196" t="str">
            <v>Bukedea</v>
          </cell>
          <cell r="D196" t="str">
            <v>Bukedea</v>
          </cell>
          <cell r="E196">
            <v>0</v>
          </cell>
          <cell r="F196">
            <v>0</v>
          </cell>
        </row>
        <row r="197">
          <cell r="C197" t="str">
            <v>Bukedea</v>
          </cell>
          <cell r="D197" t="str">
            <v>Bukedea Town Council</v>
          </cell>
          <cell r="E197">
            <v>0</v>
          </cell>
          <cell r="F197">
            <v>0</v>
          </cell>
        </row>
        <row r="198">
          <cell r="C198" t="str">
            <v>Namisindwa</v>
          </cell>
          <cell r="D198" t="str">
            <v>Bukhabusi</v>
          </cell>
          <cell r="E198">
            <v>0</v>
          </cell>
          <cell r="F198">
            <v>0</v>
          </cell>
        </row>
        <row r="199">
          <cell r="C199" t="str">
            <v>Bulambuli</v>
          </cell>
          <cell r="D199" t="str">
            <v>Bukhalu</v>
          </cell>
          <cell r="E199">
            <v>0</v>
          </cell>
          <cell r="F199">
            <v>0</v>
          </cell>
        </row>
        <row r="200">
          <cell r="C200" t="str">
            <v>Namisindwa</v>
          </cell>
          <cell r="D200" t="str">
            <v>Bukhaweka</v>
          </cell>
          <cell r="E200">
            <v>0</v>
          </cell>
          <cell r="F200">
            <v>0</v>
          </cell>
        </row>
        <row r="201">
          <cell r="C201" t="str">
            <v>Bubulo</v>
          </cell>
          <cell r="D201" t="str">
            <v>Bukhofu</v>
          </cell>
          <cell r="E201">
            <v>0</v>
          </cell>
          <cell r="F201">
            <v>0</v>
          </cell>
        </row>
        <row r="202">
          <cell r="C202" t="str">
            <v>Budadiri</v>
          </cell>
          <cell r="D202" t="str">
            <v>Bukhulo</v>
          </cell>
          <cell r="E202">
            <v>0</v>
          </cell>
          <cell r="F202">
            <v>0</v>
          </cell>
        </row>
        <row r="203">
          <cell r="C203" t="str">
            <v>Namisindwa</v>
          </cell>
          <cell r="D203" t="str">
            <v>Bukiabi</v>
          </cell>
          <cell r="E203">
            <v>0</v>
          </cell>
          <cell r="F203">
            <v>0</v>
          </cell>
        </row>
        <row r="204">
          <cell r="C204" t="str">
            <v>Manjiya</v>
          </cell>
          <cell r="D204" t="str">
            <v>Bukibokolo</v>
          </cell>
          <cell r="E204">
            <v>0</v>
          </cell>
          <cell r="F204">
            <v>0</v>
          </cell>
        </row>
        <row r="205">
          <cell r="C205" t="str">
            <v>Bungokho</v>
          </cell>
          <cell r="D205" t="str">
            <v>Bukiende</v>
          </cell>
          <cell r="E205">
            <v>0</v>
          </cell>
          <cell r="F205">
            <v>0</v>
          </cell>
        </row>
        <row r="206">
          <cell r="C206" t="str">
            <v>Manjiya</v>
          </cell>
          <cell r="D206" t="str">
            <v>Bukigai</v>
          </cell>
          <cell r="E206">
            <v>0</v>
          </cell>
          <cell r="F206">
            <v>0</v>
          </cell>
        </row>
        <row r="207">
          <cell r="C207" t="str">
            <v>Budadiri</v>
          </cell>
          <cell r="D207" t="str">
            <v>Bukiise</v>
          </cell>
          <cell r="E207">
            <v>0</v>
          </cell>
          <cell r="F207">
            <v>0</v>
          </cell>
        </row>
        <row r="208">
          <cell r="C208" t="str">
            <v>Bufumbira</v>
          </cell>
          <cell r="D208" t="str">
            <v>Bukimbiri</v>
          </cell>
          <cell r="E208">
            <v>0</v>
          </cell>
          <cell r="F208">
            <v>0</v>
          </cell>
        </row>
        <row r="209">
          <cell r="C209" t="str">
            <v>Rukiga</v>
          </cell>
          <cell r="D209" t="str">
            <v>Bukinda</v>
          </cell>
          <cell r="E209">
            <v>0</v>
          </cell>
          <cell r="F209">
            <v>0</v>
          </cell>
        </row>
        <row r="210">
          <cell r="C210" t="str">
            <v>Kashari</v>
          </cell>
          <cell r="D210" t="str">
            <v>Bukiro</v>
          </cell>
          <cell r="E210">
            <v>0</v>
          </cell>
          <cell r="F210">
            <v>0</v>
          </cell>
        </row>
        <row r="211">
          <cell r="C211" t="str">
            <v>Budadiri</v>
          </cell>
          <cell r="D211" t="str">
            <v>Bukiyi</v>
          </cell>
          <cell r="E211">
            <v>0</v>
          </cell>
          <cell r="F211">
            <v>0</v>
          </cell>
        </row>
        <row r="212">
          <cell r="C212" t="str">
            <v>Namisindwa</v>
          </cell>
          <cell r="D212" t="str">
            <v>Bukokho</v>
          </cell>
          <cell r="E212">
            <v>0</v>
          </cell>
          <cell r="F212">
            <v>0</v>
          </cell>
        </row>
        <row r="213">
          <cell r="C213" t="str">
            <v>Bukomansimbi</v>
          </cell>
          <cell r="D213" t="str">
            <v>Bukomansimbi Town Council</v>
          </cell>
          <cell r="E213">
            <v>0</v>
          </cell>
          <cell r="F213">
            <v>0</v>
          </cell>
        </row>
        <row r="214">
          <cell r="C214" t="str">
            <v>Kiboga</v>
          </cell>
          <cell r="D214" t="str">
            <v>Bukomero</v>
          </cell>
          <cell r="E214">
            <v>0</v>
          </cell>
          <cell r="F214">
            <v>0</v>
          </cell>
        </row>
        <row r="215">
          <cell r="C215" t="str">
            <v>Kiboga</v>
          </cell>
          <cell r="D215" t="str">
            <v>Bukomero Town Council</v>
          </cell>
          <cell r="E215">
            <v>0</v>
          </cell>
          <cell r="F215">
            <v>0</v>
          </cell>
        </row>
        <row r="216">
          <cell r="C216" t="str">
            <v>Bungokho</v>
          </cell>
          <cell r="D216" t="str">
            <v>Bukonde</v>
          </cell>
          <cell r="E216">
            <v>0</v>
          </cell>
          <cell r="F216">
            <v>0</v>
          </cell>
        </row>
        <row r="217">
          <cell r="C217" t="str">
            <v>Bughendera</v>
          </cell>
          <cell r="D217" t="str">
            <v>Bukonzo</v>
          </cell>
          <cell r="E217">
            <v>0</v>
          </cell>
          <cell r="F217">
            <v>0</v>
          </cell>
        </row>
        <row r="218">
          <cell r="C218" t="str">
            <v>Luuka</v>
          </cell>
          <cell r="D218" t="str">
            <v>Bukooma</v>
          </cell>
          <cell r="E218">
            <v>0</v>
          </cell>
          <cell r="F218">
            <v>0</v>
          </cell>
        </row>
        <row r="219">
          <cell r="C219" t="str">
            <v>Kalungu</v>
          </cell>
          <cell r="D219" t="str">
            <v>Bukulula</v>
          </cell>
          <cell r="E219">
            <v>0</v>
          </cell>
          <cell r="F219">
            <v>0</v>
          </cell>
        </row>
        <row r="220">
          <cell r="C220" t="str">
            <v>Bubulo</v>
          </cell>
          <cell r="D220" t="str">
            <v>Bukusu</v>
          </cell>
          <cell r="E220">
            <v>0</v>
          </cell>
          <cell r="F220">
            <v>0</v>
          </cell>
        </row>
        <row r="221">
          <cell r="C221" t="str">
            <v>Burahya</v>
          </cell>
          <cell r="D221" t="str">
            <v>Bukuuku</v>
          </cell>
          <cell r="E221">
            <v>0</v>
          </cell>
          <cell r="F221">
            <v>0</v>
          </cell>
        </row>
        <row r="222">
          <cell r="C222" t="str">
            <v>Kassanda</v>
          </cell>
          <cell r="D222" t="str">
            <v>Bukuya</v>
          </cell>
          <cell r="E222">
            <v>0</v>
          </cell>
          <cell r="F222">
            <v>0</v>
          </cell>
        </row>
        <row r="223">
          <cell r="C223" t="str">
            <v>Kongasis</v>
          </cell>
          <cell r="D223" t="str">
            <v>Bukwo</v>
          </cell>
          <cell r="E223">
            <v>0</v>
          </cell>
          <cell r="F223">
            <v>0</v>
          </cell>
        </row>
        <row r="224">
          <cell r="C224" t="str">
            <v>Kongasis</v>
          </cell>
          <cell r="D224" t="str">
            <v>Bukwo Town Council</v>
          </cell>
          <cell r="E224">
            <v>0</v>
          </cell>
          <cell r="F224">
            <v>0</v>
          </cell>
        </row>
        <row r="225">
          <cell r="C225" t="str">
            <v>Budadiri</v>
          </cell>
          <cell r="D225" t="str">
            <v>Bukyabo</v>
          </cell>
          <cell r="E225">
            <v>0</v>
          </cell>
          <cell r="F225">
            <v>0</v>
          </cell>
        </row>
        <row r="226">
          <cell r="C226" t="str">
            <v>Budadiri</v>
          </cell>
          <cell r="D226" t="str">
            <v>Bukyambi</v>
          </cell>
          <cell r="E226">
            <v>0</v>
          </cell>
          <cell r="F226">
            <v>0</v>
          </cell>
        </row>
        <row r="227">
          <cell r="C227" t="str">
            <v>Bulambuli</v>
          </cell>
          <cell r="D227" t="str">
            <v>Bulaago</v>
          </cell>
          <cell r="E227">
            <v>0</v>
          </cell>
          <cell r="F227">
            <v>0</v>
          </cell>
        </row>
        <row r="228">
          <cell r="C228" t="str">
            <v>Bulambuli</v>
          </cell>
          <cell r="D228" t="str">
            <v>Bulambuli Town Council</v>
          </cell>
          <cell r="E228">
            <v>0</v>
          </cell>
          <cell r="F228">
            <v>0</v>
          </cell>
        </row>
        <row r="229">
          <cell r="C229" t="str">
            <v>Kigulu</v>
          </cell>
          <cell r="D229" t="str">
            <v>Bulamogi</v>
          </cell>
          <cell r="E229">
            <v>0</v>
          </cell>
          <cell r="F229">
            <v>0</v>
          </cell>
        </row>
        <row r="230">
          <cell r="C230" t="str">
            <v>Busiki</v>
          </cell>
          <cell r="D230" t="str">
            <v>Bulange</v>
          </cell>
          <cell r="E230">
            <v>0</v>
          </cell>
          <cell r="F230">
            <v>0</v>
          </cell>
        </row>
        <row r="231">
          <cell r="C231" t="str">
            <v>Kibuku</v>
          </cell>
          <cell r="D231" t="str">
            <v>Bulangira</v>
          </cell>
          <cell r="E231">
            <v>0</v>
          </cell>
          <cell r="F231">
            <v>0</v>
          </cell>
        </row>
        <row r="232">
          <cell r="C232" t="str">
            <v>Bulambuli</v>
          </cell>
          <cell r="D232" t="str">
            <v>Bulegeni</v>
          </cell>
          <cell r="E232">
            <v>0</v>
          </cell>
          <cell r="F232">
            <v>0</v>
          </cell>
        </row>
        <row r="233">
          <cell r="C233" t="str">
            <v>Bulambuli</v>
          </cell>
          <cell r="D233" t="str">
            <v>Bulegeni Town Council</v>
          </cell>
          <cell r="E233">
            <v>0</v>
          </cell>
          <cell r="F233">
            <v>0</v>
          </cell>
        </row>
        <row r="234">
          <cell r="C234" t="str">
            <v>Entebbe Municipality</v>
          </cell>
          <cell r="D234" t="str">
            <v>Division B</v>
          </cell>
          <cell r="E234">
            <v>0</v>
          </cell>
          <cell r="F234" t="str">
            <v>Entebbe Airport</v>
          </cell>
        </row>
        <row r="235">
          <cell r="C235" t="str">
            <v>Mityana</v>
          </cell>
          <cell r="D235" t="str">
            <v>Bulera</v>
          </cell>
          <cell r="E235">
            <v>0</v>
          </cell>
        </row>
        <row r="236">
          <cell r="C236" t="str">
            <v>Bukooli North</v>
          </cell>
          <cell r="D236" t="str">
            <v>Bulesa</v>
          </cell>
          <cell r="E236">
            <v>0</v>
          </cell>
        </row>
        <row r="237">
          <cell r="C237" t="str">
            <v>Bukooli North</v>
          </cell>
          <cell r="D237" t="str">
            <v>Bulidha</v>
          </cell>
          <cell r="E237">
            <v>0</v>
          </cell>
        </row>
        <row r="238">
          <cell r="C238" t="str">
            <v>Buliisa</v>
          </cell>
          <cell r="D238" t="str">
            <v>Buliisa</v>
          </cell>
          <cell r="E238">
            <v>0</v>
          </cell>
        </row>
        <row r="239">
          <cell r="C239" t="str">
            <v>Buliisa</v>
          </cell>
          <cell r="D239" t="str">
            <v>Buliisa Town Council</v>
          </cell>
          <cell r="E239">
            <v>0</v>
          </cell>
        </row>
        <row r="240">
          <cell r="C240" t="str">
            <v>Butambala</v>
          </cell>
          <cell r="D240" t="str">
            <v>Bulo</v>
          </cell>
          <cell r="E240">
            <v>0</v>
          </cell>
        </row>
        <row r="241">
          <cell r="C241" t="str">
            <v>Luuka</v>
          </cell>
          <cell r="D241" t="str">
            <v>Bulongo</v>
          </cell>
          <cell r="E241">
            <v>0</v>
          </cell>
        </row>
        <row r="242">
          <cell r="C242" t="str">
            <v>Bugabula</v>
          </cell>
          <cell r="D242" t="str">
            <v>Bulopa</v>
          </cell>
          <cell r="E242">
            <v>0</v>
          </cell>
        </row>
        <row r="243">
          <cell r="C243" t="str">
            <v>Manjiya</v>
          </cell>
          <cell r="D243" t="str">
            <v>Bulucheke</v>
          </cell>
          <cell r="E243">
            <v>0</v>
          </cell>
        </row>
        <row r="244">
          <cell r="C244" t="str">
            <v>Bulambuli</v>
          </cell>
          <cell r="D244" t="str">
            <v>Buluganya</v>
          </cell>
          <cell r="E244">
            <v>0</v>
          </cell>
        </row>
        <row r="245">
          <cell r="C245" t="str">
            <v>Bukooli North</v>
          </cell>
          <cell r="D245" t="str">
            <v>Buluguyi</v>
          </cell>
          <cell r="E245">
            <v>0</v>
          </cell>
        </row>
        <row r="246">
          <cell r="C246" t="str">
            <v>Kalaki</v>
          </cell>
          <cell r="D246" t="str">
            <v>Bululu</v>
          </cell>
          <cell r="E246">
            <v>0</v>
          </cell>
        </row>
        <row r="247">
          <cell r="C247" t="str">
            <v>Samia-Bugwe</v>
          </cell>
          <cell r="D247" t="str">
            <v>Bulumbi</v>
          </cell>
          <cell r="E247">
            <v>0</v>
          </cell>
        </row>
        <row r="248">
          <cell r="C248" t="str">
            <v>Budadiri</v>
          </cell>
          <cell r="D248" t="str">
            <v>Bumalimba</v>
          </cell>
          <cell r="E248">
            <v>0</v>
          </cell>
        </row>
        <row r="249">
          <cell r="C249" t="str">
            <v>Bulamogi</v>
          </cell>
          <cell r="D249" t="str">
            <v>Bumanya</v>
          </cell>
          <cell r="E249">
            <v>0</v>
          </cell>
        </row>
        <row r="250">
          <cell r="C250" t="str">
            <v>Manjiya</v>
          </cell>
          <cell r="D250" t="str">
            <v>Bumasheti</v>
          </cell>
          <cell r="E250">
            <v>0</v>
          </cell>
        </row>
        <row r="251">
          <cell r="C251" t="str">
            <v>Budadiri</v>
          </cell>
          <cell r="D251" t="str">
            <v>Bumasifwa</v>
          </cell>
          <cell r="E251">
            <v>0</v>
          </cell>
        </row>
        <row r="252">
          <cell r="C252" t="str">
            <v>Bungokho</v>
          </cell>
          <cell r="D252" t="str">
            <v>Bumasikye</v>
          </cell>
          <cell r="E252">
            <v>0</v>
          </cell>
        </row>
        <row r="253">
          <cell r="C253" t="str">
            <v>Bulambuli</v>
          </cell>
          <cell r="D253" t="str">
            <v>Bumasobo</v>
          </cell>
          <cell r="E253">
            <v>0</v>
          </cell>
        </row>
        <row r="254">
          <cell r="C254" t="str">
            <v>Manjiya</v>
          </cell>
          <cell r="D254" t="str">
            <v>Bumayoka</v>
          </cell>
          <cell r="E254">
            <v>0</v>
          </cell>
        </row>
        <row r="255">
          <cell r="C255" t="str">
            <v>Igara</v>
          </cell>
          <cell r="D255" t="str">
            <v>Bumbaire</v>
          </cell>
          <cell r="E255">
            <v>0</v>
          </cell>
        </row>
        <row r="256">
          <cell r="C256" t="str">
            <v>Namisindwa</v>
          </cell>
          <cell r="D256" t="str">
            <v>Bumbo</v>
          </cell>
          <cell r="E256">
            <v>0</v>
          </cell>
        </row>
        <row r="257">
          <cell r="C257" t="str">
            <v>Bungokho</v>
          </cell>
          <cell r="D257" t="str">
            <v>Bumbobi</v>
          </cell>
          <cell r="E257">
            <v>0</v>
          </cell>
        </row>
        <row r="258">
          <cell r="C258" t="str">
            <v>Bulambuli</v>
          </cell>
          <cell r="D258" t="str">
            <v>Bumugibole</v>
          </cell>
          <cell r="E258">
            <v>0</v>
          </cell>
        </row>
        <row r="259">
          <cell r="C259" t="str">
            <v>Namisindwa</v>
          </cell>
          <cell r="D259" t="str">
            <v>Bumwoni</v>
          </cell>
          <cell r="E259">
            <v>0</v>
          </cell>
        </row>
        <row r="260">
          <cell r="C260" t="str">
            <v>Bubulo</v>
          </cell>
          <cell r="D260" t="str">
            <v>Bunabwana</v>
          </cell>
          <cell r="E260">
            <v>0</v>
          </cell>
        </row>
        <row r="261">
          <cell r="C261" t="str">
            <v>Bulambuli</v>
          </cell>
          <cell r="D261" t="str">
            <v>Bunambutye</v>
          </cell>
          <cell r="E261">
            <v>0</v>
          </cell>
        </row>
        <row r="262">
          <cell r="C262" t="str">
            <v>Fort Portal Municipality</v>
          </cell>
          <cell r="D262" t="str">
            <v>Eastern Division</v>
          </cell>
          <cell r="E262">
            <v>0</v>
          </cell>
          <cell r="F262" t="str">
            <v>Fort Portal Municipality</v>
          </cell>
        </row>
        <row r="263">
          <cell r="C263" t="str">
            <v>Bwamba</v>
          </cell>
          <cell r="D263" t="str">
            <v>Bundibugyo Town Council</v>
          </cell>
          <cell r="E263">
            <v>0</v>
          </cell>
          <cell r="F263">
            <v>0</v>
          </cell>
        </row>
        <row r="264">
          <cell r="C264" t="str">
            <v>Bwamba</v>
          </cell>
          <cell r="D264" t="str">
            <v>Bundingoma</v>
          </cell>
          <cell r="E264">
            <v>0</v>
          </cell>
          <cell r="F264">
            <v>0</v>
          </cell>
        </row>
        <row r="265">
          <cell r="C265" t="str">
            <v>Aswa</v>
          </cell>
          <cell r="D265" t="str">
            <v>Bungatira</v>
          </cell>
          <cell r="E265">
            <v>0</v>
          </cell>
          <cell r="F265">
            <v>0</v>
          </cell>
        </row>
        <row r="266">
          <cell r="C266" t="str">
            <v>Bungokho</v>
          </cell>
          <cell r="D266" t="str">
            <v>Bungokho</v>
          </cell>
          <cell r="E266">
            <v>0</v>
          </cell>
          <cell r="F266">
            <v>0</v>
          </cell>
        </row>
        <row r="267">
          <cell r="C267" t="str">
            <v>Bungokho</v>
          </cell>
          <cell r="D267" t="str">
            <v>Bungokho Mutoto</v>
          </cell>
          <cell r="E267">
            <v>0</v>
          </cell>
          <cell r="F267">
            <v>0</v>
          </cell>
        </row>
        <row r="268">
          <cell r="C268" t="str">
            <v>Budadiri</v>
          </cell>
          <cell r="D268" t="str">
            <v>Bunyafa</v>
          </cell>
          <cell r="E268">
            <v>0</v>
          </cell>
          <cell r="F268">
            <v>0</v>
          </cell>
        </row>
        <row r="269">
          <cell r="C269" t="str">
            <v>Bubulo</v>
          </cell>
          <cell r="D269" t="str">
            <v>Bunyinza Town Council</v>
          </cell>
          <cell r="E269">
            <v>0</v>
          </cell>
          <cell r="F269">
            <v>0</v>
          </cell>
        </row>
        <row r="270">
          <cell r="C270" t="str">
            <v>Namisindwa</v>
          </cell>
          <cell r="D270" t="str">
            <v>Bupoto</v>
          </cell>
          <cell r="E270">
            <v>0</v>
          </cell>
          <cell r="F270">
            <v>0</v>
          </cell>
        </row>
        <row r="271">
          <cell r="C271" t="str">
            <v>Kazo</v>
          </cell>
          <cell r="D271" t="str">
            <v>Buremba</v>
          </cell>
          <cell r="E271">
            <v>0</v>
          </cell>
          <cell r="F271">
            <v>0</v>
          </cell>
        </row>
        <row r="272">
          <cell r="C272" t="str">
            <v>Buhweju</v>
          </cell>
          <cell r="D272" t="str">
            <v>Burere</v>
          </cell>
          <cell r="E272">
            <v>0</v>
          </cell>
          <cell r="F272">
            <v>0</v>
          </cell>
        </row>
        <row r="273">
          <cell r="C273" t="str">
            <v>Bughendera</v>
          </cell>
          <cell r="D273" t="str">
            <v>Burondo</v>
          </cell>
          <cell r="E273">
            <v>0</v>
          </cell>
          <cell r="F273">
            <v>0</v>
          </cell>
        </row>
        <row r="274">
          <cell r="C274" t="str">
            <v>Buyaga</v>
          </cell>
          <cell r="D274" t="str">
            <v>Burora</v>
          </cell>
          <cell r="E274">
            <v>0</v>
          </cell>
          <cell r="F274">
            <v>0</v>
          </cell>
        </row>
        <row r="275">
          <cell r="C275" t="str">
            <v>Kazo</v>
          </cell>
          <cell r="D275" t="str">
            <v>Burunga</v>
          </cell>
          <cell r="E275">
            <v>0</v>
          </cell>
          <cell r="F275">
            <v>0</v>
          </cell>
        </row>
        <row r="276">
          <cell r="C276" t="str">
            <v>Ntenjeru</v>
          </cell>
          <cell r="D276" t="str">
            <v>Busaana</v>
          </cell>
          <cell r="E276">
            <v>0</v>
          </cell>
          <cell r="F276">
            <v>0</v>
          </cell>
        </row>
        <row r="277">
          <cell r="C277" t="str">
            <v>Bunyole</v>
          </cell>
          <cell r="D277" t="str">
            <v>Busaba</v>
          </cell>
          <cell r="E277">
            <v>0</v>
          </cell>
          <cell r="F277">
            <v>0</v>
          </cell>
        </row>
        <row r="278">
          <cell r="C278" t="str">
            <v>Bunyole</v>
          </cell>
          <cell r="D278" t="str">
            <v>Busabi</v>
          </cell>
          <cell r="E278">
            <v>0</v>
          </cell>
          <cell r="F278">
            <v>0</v>
          </cell>
        </row>
        <row r="279">
          <cell r="C279" t="str">
            <v>Bunya</v>
          </cell>
          <cell r="D279" t="str">
            <v>Busakira</v>
          </cell>
          <cell r="E279">
            <v>0</v>
          </cell>
          <cell r="F279">
            <v>0</v>
          </cell>
        </row>
        <row r="280">
          <cell r="C280" t="str">
            <v>Buvuma Island</v>
          </cell>
          <cell r="D280" t="str">
            <v>Busamuzi</v>
          </cell>
          <cell r="E280">
            <v>0</v>
          </cell>
          <cell r="F280">
            <v>0</v>
          </cell>
        </row>
        <row r="281">
          <cell r="C281" t="str">
            <v>Bungokho</v>
          </cell>
          <cell r="D281" t="str">
            <v>Busano</v>
          </cell>
          <cell r="E281">
            <v>0</v>
          </cell>
          <cell r="F281">
            <v>0</v>
          </cell>
        </row>
        <row r="282">
          <cell r="C282" t="str">
            <v>Bufumbira</v>
          </cell>
          <cell r="D282" t="str">
            <v>Busanza</v>
          </cell>
          <cell r="E282">
            <v>0</v>
          </cell>
          <cell r="F282">
            <v>0</v>
          </cell>
        </row>
        <row r="283">
          <cell r="C283" t="str">
            <v>Bwamba</v>
          </cell>
          <cell r="D283" t="str">
            <v>Busaru</v>
          </cell>
          <cell r="E283">
            <v>0</v>
          </cell>
          <cell r="F283">
            <v>0</v>
          </cell>
        </row>
        <row r="284">
          <cell r="C284" t="str">
            <v>Butembe</v>
          </cell>
          <cell r="D284" t="str">
            <v>Busedde</v>
          </cell>
          <cell r="E284">
            <v>0</v>
          </cell>
          <cell r="F284">
            <v>0</v>
          </cell>
        </row>
        <row r="285">
          <cell r="C285" t="str">
            <v>Bugweri</v>
          </cell>
          <cell r="D285" t="str">
            <v>Busembatia Town Council</v>
          </cell>
          <cell r="E285">
            <v>0</v>
          </cell>
          <cell r="F285">
            <v>0</v>
          </cell>
        </row>
        <row r="286">
          <cell r="C286" t="str">
            <v>Kibuku</v>
          </cell>
          <cell r="D286" t="str">
            <v>Buseta</v>
          </cell>
          <cell r="E286">
            <v>0</v>
          </cell>
          <cell r="F286">
            <v>0</v>
          </cell>
        </row>
        <row r="287">
          <cell r="C287" t="str">
            <v>Manjiya</v>
          </cell>
          <cell r="D287" t="str">
            <v>Bushika</v>
          </cell>
          <cell r="E287">
            <v>0</v>
          </cell>
          <cell r="F287">
            <v>0</v>
          </cell>
        </row>
        <row r="288">
          <cell r="C288" t="str">
            <v>Manjiya</v>
          </cell>
          <cell r="D288" t="str">
            <v>Bushiribo</v>
          </cell>
          <cell r="E288">
            <v>0</v>
          </cell>
          <cell r="F288">
            <v>0</v>
          </cell>
        </row>
        <row r="289">
          <cell r="C289" t="str">
            <v>Manjiya</v>
          </cell>
          <cell r="D289" t="str">
            <v>Bushiyi</v>
          </cell>
          <cell r="E289">
            <v>0</v>
          </cell>
          <cell r="F289">
            <v>0</v>
          </cell>
        </row>
        <row r="290">
          <cell r="C290" t="str">
            <v>Fort Portal Municipality</v>
          </cell>
          <cell r="D290" t="str">
            <v>Southern Division</v>
          </cell>
          <cell r="E290">
            <v>0</v>
          </cell>
          <cell r="F290">
            <v>0</v>
          </cell>
        </row>
        <row r="291">
          <cell r="C291" t="str">
            <v>Fort Portal Municipality</v>
          </cell>
          <cell r="D291" t="str">
            <v>Western Division</v>
          </cell>
          <cell r="E291">
            <v>0</v>
          </cell>
          <cell r="F291">
            <v>0</v>
          </cell>
        </row>
        <row r="292">
          <cell r="C292" t="str">
            <v>Samia-Bugwe</v>
          </cell>
          <cell r="D292" t="str">
            <v>Busime</v>
          </cell>
          <cell r="E292">
            <v>0</v>
          </cell>
        </row>
        <row r="293">
          <cell r="C293" t="str">
            <v>Kibale</v>
          </cell>
          <cell r="D293" t="str">
            <v>Busiriba</v>
          </cell>
          <cell r="E293">
            <v>0</v>
          </cell>
        </row>
        <row r="294">
          <cell r="C294" t="str">
            <v>Samia-Bugwe</v>
          </cell>
          <cell r="D294" t="str">
            <v>Busitema</v>
          </cell>
          <cell r="E294">
            <v>0</v>
          </cell>
        </row>
        <row r="295">
          <cell r="C295" t="str">
            <v>Bungokho</v>
          </cell>
          <cell r="D295" t="str">
            <v>Busiu</v>
          </cell>
          <cell r="E295">
            <v>0</v>
          </cell>
        </row>
        <row r="296">
          <cell r="C296" t="str">
            <v>Bungokho</v>
          </cell>
          <cell r="D296" t="str">
            <v>Busiu Town Council</v>
          </cell>
          <cell r="E296">
            <v>0</v>
          </cell>
        </row>
        <row r="297">
          <cell r="C297" t="str">
            <v>Bungokho</v>
          </cell>
          <cell r="D297" t="str">
            <v>Busoba</v>
          </cell>
          <cell r="E297">
            <v>0</v>
          </cell>
        </row>
        <row r="298">
          <cell r="C298" t="str">
            <v>Bunyole</v>
          </cell>
          <cell r="D298" t="str">
            <v>Busolwe</v>
          </cell>
          <cell r="E298">
            <v>0</v>
          </cell>
        </row>
        <row r="299">
          <cell r="C299" t="str">
            <v>Bunyole</v>
          </cell>
          <cell r="D299" t="str">
            <v>Busolwe Town Council</v>
          </cell>
          <cell r="E299">
            <v>0</v>
          </cell>
        </row>
        <row r="300">
          <cell r="C300" t="str">
            <v>Burahya</v>
          </cell>
          <cell r="D300" t="str">
            <v>Busoro</v>
          </cell>
          <cell r="E300">
            <v>0</v>
          </cell>
        </row>
        <row r="301">
          <cell r="C301" t="str">
            <v>Busiro</v>
          </cell>
          <cell r="D301" t="str">
            <v>Bussi</v>
          </cell>
          <cell r="E301">
            <v>0</v>
          </cell>
        </row>
        <row r="302">
          <cell r="C302" t="str">
            <v>Gulu Municipality</v>
          </cell>
          <cell r="D302" t="str">
            <v>Bar Dege Division</v>
          </cell>
          <cell r="E302">
            <v>0</v>
          </cell>
          <cell r="F302" t="str">
            <v>Gulu Municipality</v>
          </cell>
        </row>
        <row r="303">
          <cell r="C303" t="str">
            <v>Bubulo</v>
          </cell>
          <cell r="D303" t="str">
            <v>Busukuya</v>
          </cell>
          <cell r="E303">
            <v>0</v>
          </cell>
          <cell r="F303">
            <v>0</v>
          </cell>
        </row>
        <row r="304">
          <cell r="C304" t="str">
            <v>Budadiri</v>
          </cell>
          <cell r="D304" t="str">
            <v>Busulani</v>
          </cell>
          <cell r="E304">
            <v>0</v>
          </cell>
          <cell r="F304">
            <v>0</v>
          </cell>
        </row>
        <row r="305">
          <cell r="C305" t="str">
            <v>Mityana</v>
          </cell>
          <cell r="D305" t="str">
            <v>Busunju Town Council</v>
          </cell>
          <cell r="E305">
            <v>0</v>
          </cell>
          <cell r="F305">
            <v>0</v>
          </cell>
        </row>
        <row r="306">
          <cell r="C306" t="str">
            <v>Bukooli</v>
          </cell>
          <cell r="D306" t="str">
            <v>Buswale</v>
          </cell>
          <cell r="E306">
            <v>0</v>
          </cell>
          <cell r="F306">
            <v>0</v>
          </cell>
        </row>
        <row r="307">
          <cell r="C307" t="str">
            <v>Kagoma</v>
          </cell>
          <cell r="D307" t="str">
            <v>Butagaya</v>
          </cell>
          <cell r="E307">
            <v>0</v>
          </cell>
          <cell r="F307">
            <v>0</v>
          </cell>
        </row>
        <row r="308">
          <cell r="C308" t="str">
            <v>Nakaseke</v>
          </cell>
          <cell r="D308" t="str">
            <v>Butalangu Town Council</v>
          </cell>
          <cell r="E308">
            <v>0</v>
          </cell>
          <cell r="F308">
            <v>0</v>
          </cell>
        </row>
        <row r="309">
          <cell r="C309" t="str">
            <v>Bunyole</v>
          </cell>
          <cell r="D309" t="str">
            <v>Butaleja</v>
          </cell>
          <cell r="E309">
            <v>0</v>
          </cell>
          <cell r="F309">
            <v>0</v>
          </cell>
        </row>
        <row r="310">
          <cell r="C310" t="str">
            <v>Bunyole</v>
          </cell>
          <cell r="D310" t="str">
            <v>Butaleja Town Council</v>
          </cell>
          <cell r="E310">
            <v>0</v>
          </cell>
          <cell r="F310">
            <v>0</v>
          </cell>
        </row>
        <row r="311">
          <cell r="C311" t="str">
            <v>Ndorwa</v>
          </cell>
          <cell r="D311" t="str">
            <v>Butanda</v>
          </cell>
          <cell r="E311">
            <v>0</v>
          </cell>
          <cell r="F311">
            <v>0</v>
          </cell>
        </row>
        <row r="312">
          <cell r="C312" t="str">
            <v>Budadiri</v>
          </cell>
          <cell r="D312" t="str">
            <v>Butandiga</v>
          </cell>
          <cell r="E312">
            <v>0</v>
          </cell>
          <cell r="F312">
            <v>0</v>
          </cell>
        </row>
        <row r="313">
          <cell r="C313" t="str">
            <v>Bugabula</v>
          </cell>
          <cell r="D313" t="str">
            <v>Butansi</v>
          </cell>
          <cell r="E313">
            <v>0</v>
          </cell>
          <cell r="F313">
            <v>0</v>
          </cell>
        </row>
        <row r="314">
          <cell r="C314" t="str">
            <v>Busujju</v>
          </cell>
          <cell r="D314" t="str">
            <v>Butayunja</v>
          </cell>
          <cell r="E314">
            <v>0</v>
          </cell>
          <cell r="F314">
            <v>0</v>
          </cell>
        </row>
        <row r="315">
          <cell r="C315" t="str">
            <v>Samia-Bugwe</v>
          </cell>
          <cell r="D315" t="str">
            <v>Buteba</v>
          </cell>
          <cell r="E315">
            <v>0</v>
          </cell>
          <cell r="F315">
            <v>0</v>
          </cell>
        </row>
        <row r="316">
          <cell r="C316" t="str">
            <v>Butebo Town Council</v>
          </cell>
          <cell r="D316" t="str">
            <v>Butebo</v>
          </cell>
          <cell r="E316">
            <v>0</v>
          </cell>
          <cell r="F316">
            <v>0</v>
          </cell>
        </row>
        <row r="317">
          <cell r="C317" t="str">
            <v>Kiboga</v>
          </cell>
          <cell r="D317" t="str">
            <v>Butemba</v>
          </cell>
          <cell r="E317">
            <v>0</v>
          </cell>
          <cell r="F317">
            <v>0</v>
          </cell>
        </row>
        <row r="318">
          <cell r="C318" t="str">
            <v>Kiboga</v>
          </cell>
          <cell r="D318" t="str">
            <v>Butemba Town Council</v>
          </cell>
          <cell r="E318">
            <v>0</v>
          </cell>
          <cell r="F318">
            <v>0</v>
          </cell>
        </row>
        <row r="319">
          <cell r="C319" t="str">
            <v>Bukomansimbi</v>
          </cell>
          <cell r="D319" t="str">
            <v>Butenga</v>
          </cell>
          <cell r="E319">
            <v>0</v>
          </cell>
          <cell r="F319">
            <v>0</v>
          </cell>
        </row>
        <row r="320">
          <cell r="C320" t="str">
            <v>Budadiri</v>
          </cell>
          <cell r="D320" t="str">
            <v>Buteza</v>
          </cell>
          <cell r="E320">
            <v>0</v>
          </cell>
          <cell r="F320">
            <v>0</v>
          </cell>
        </row>
        <row r="321">
          <cell r="C321" t="str">
            <v>Buliisa</v>
          </cell>
          <cell r="D321" t="str">
            <v>Butiaba</v>
          </cell>
          <cell r="E321">
            <v>0</v>
          </cell>
          <cell r="F321">
            <v>0</v>
          </cell>
        </row>
        <row r="322">
          <cell r="C322" t="str">
            <v>Mwenge</v>
          </cell>
          <cell r="D322" t="str">
            <v>Butiiti</v>
          </cell>
          <cell r="E322">
            <v>0</v>
          </cell>
          <cell r="F322">
            <v>0</v>
          </cell>
        </row>
        <row r="323">
          <cell r="C323" t="str">
            <v>Bubulo</v>
          </cell>
          <cell r="D323" t="str">
            <v>Butiru</v>
          </cell>
          <cell r="E323">
            <v>0</v>
          </cell>
          <cell r="F323">
            <v>0</v>
          </cell>
        </row>
        <row r="324">
          <cell r="C324" t="str">
            <v>Kinkiizi</v>
          </cell>
          <cell r="D324" t="str">
            <v>Butogota Town Council</v>
          </cell>
          <cell r="E324">
            <v>0</v>
          </cell>
          <cell r="F324">
            <v>0</v>
          </cell>
        </row>
        <row r="325">
          <cell r="C325" t="str">
            <v>Buwekula</v>
          </cell>
          <cell r="D325" t="str">
            <v>Butoloogo</v>
          </cell>
          <cell r="E325">
            <v>0</v>
          </cell>
          <cell r="F325">
            <v>0</v>
          </cell>
        </row>
        <row r="326">
          <cell r="C326" t="str">
            <v>Bubulo</v>
          </cell>
          <cell r="D326" t="str">
            <v>Butta</v>
          </cell>
          <cell r="E326">
            <v>0</v>
          </cell>
          <cell r="F326">
            <v>0</v>
          </cell>
        </row>
        <row r="327">
          <cell r="C327" t="str">
            <v>Mwenge</v>
          </cell>
          <cell r="D327" t="str">
            <v>Butunduzi</v>
          </cell>
          <cell r="E327">
            <v>0</v>
          </cell>
          <cell r="F327">
            <v>0</v>
          </cell>
        </row>
        <row r="328">
          <cell r="C328" t="str">
            <v>Mwenge</v>
          </cell>
          <cell r="D328" t="str">
            <v>Butunduzi Town Council</v>
          </cell>
          <cell r="E328">
            <v>0</v>
          </cell>
          <cell r="F328">
            <v>0</v>
          </cell>
        </row>
        <row r="329">
          <cell r="C329" t="str">
            <v>Ntoroko</v>
          </cell>
          <cell r="D329" t="str">
            <v>Butungama</v>
          </cell>
          <cell r="E329">
            <v>0</v>
          </cell>
          <cell r="F329">
            <v>0</v>
          </cell>
        </row>
        <row r="330">
          <cell r="C330" t="str">
            <v>Katikamu</v>
          </cell>
          <cell r="D330" t="str">
            <v>Butuntumula</v>
          </cell>
          <cell r="E330">
            <v>0</v>
          </cell>
          <cell r="F330">
            <v>0</v>
          </cell>
        </row>
        <row r="331">
          <cell r="C331" t="str">
            <v>Buvuma Island</v>
          </cell>
          <cell r="D331" t="str">
            <v>Buvuma Town Council</v>
          </cell>
          <cell r="E331">
            <v>0</v>
          </cell>
          <cell r="F331">
            <v>0</v>
          </cell>
        </row>
        <row r="332">
          <cell r="C332" t="str">
            <v>Bunya</v>
          </cell>
          <cell r="D332" t="str">
            <v>Buwaaya</v>
          </cell>
          <cell r="E332">
            <v>0</v>
          </cell>
          <cell r="F332">
            <v>0</v>
          </cell>
        </row>
        <row r="333">
          <cell r="C333" t="str">
            <v>Namisindwa</v>
          </cell>
          <cell r="D333" t="str">
            <v>Buwabwala</v>
          </cell>
          <cell r="E333">
            <v>0</v>
          </cell>
          <cell r="F333">
            <v>0</v>
          </cell>
        </row>
        <row r="334">
          <cell r="C334" t="str">
            <v>Bubulo</v>
          </cell>
          <cell r="D334" t="str">
            <v>Buwagogo</v>
          </cell>
          <cell r="E334">
            <v>0</v>
          </cell>
          <cell r="F334">
            <v>0</v>
          </cell>
        </row>
        <row r="335">
          <cell r="C335" t="str">
            <v>Budadiri</v>
          </cell>
          <cell r="D335" t="str">
            <v>Buwalasi</v>
          </cell>
          <cell r="E335">
            <v>0</v>
          </cell>
          <cell r="F335">
            <v>0</v>
          </cell>
        </row>
        <row r="336">
          <cell r="C336" t="str">
            <v>Manjiya</v>
          </cell>
          <cell r="D336" t="str">
            <v>Buwali</v>
          </cell>
          <cell r="E336">
            <v>0</v>
          </cell>
          <cell r="F336">
            <v>0</v>
          </cell>
        </row>
        <row r="337">
          <cell r="C337" t="str">
            <v>Mawokota</v>
          </cell>
          <cell r="D337" t="str">
            <v>Buwama</v>
          </cell>
          <cell r="E337">
            <v>0</v>
          </cell>
          <cell r="F337">
            <v>0</v>
          </cell>
        </row>
        <row r="338">
          <cell r="C338" t="str">
            <v>Bubulo</v>
          </cell>
          <cell r="D338" t="str">
            <v>Buwangani Town Council</v>
          </cell>
          <cell r="E338">
            <v>0</v>
          </cell>
          <cell r="F338">
            <v>0</v>
          </cell>
        </row>
        <row r="339">
          <cell r="C339" t="str">
            <v>Budadiri</v>
          </cell>
          <cell r="D339" t="str">
            <v>Buwasa</v>
          </cell>
          <cell r="E339">
            <v>0</v>
          </cell>
          <cell r="F339">
            <v>0</v>
          </cell>
        </row>
        <row r="340">
          <cell r="C340" t="str">
            <v>Kagoma</v>
          </cell>
          <cell r="D340" t="str">
            <v>Buwenge</v>
          </cell>
          <cell r="E340">
            <v>0</v>
          </cell>
          <cell r="F340">
            <v>0</v>
          </cell>
        </row>
        <row r="341">
          <cell r="C341" t="str">
            <v>Kagoma</v>
          </cell>
          <cell r="D341" t="str">
            <v>Buwenge Town Council</v>
          </cell>
          <cell r="E341">
            <v>0</v>
          </cell>
          <cell r="F341">
            <v>0</v>
          </cell>
        </row>
        <row r="342">
          <cell r="C342" t="str">
            <v>Buvuma Island</v>
          </cell>
          <cell r="D342" t="str">
            <v>Buwooya</v>
          </cell>
          <cell r="E342">
            <v>0</v>
          </cell>
          <cell r="F342">
            <v>0</v>
          </cell>
        </row>
        <row r="343">
          <cell r="C343" t="str">
            <v>Bukoto</v>
          </cell>
          <cell r="D343" t="str">
            <v>Buwunga</v>
          </cell>
          <cell r="E343">
            <v>0</v>
          </cell>
          <cell r="F343">
            <v>0</v>
          </cell>
        </row>
        <row r="344">
          <cell r="C344" t="str">
            <v>Bukooli North</v>
          </cell>
          <cell r="D344" t="str">
            <v>Buwunga</v>
          </cell>
          <cell r="E344">
            <v>0</v>
          </cell>
          <cell r="F344">
            <v>0</v>
          </cell>
        </row>
        <row r="345">
          <cell r="C345" t="str">
            <v>Samia-Bugwe</v>
          </cell>
          <cell r="D345" t="str">
            <v>Buyanga</v>
          </cell>
          <cell r="E345">
            <v>0</v>
          </cell>
          <cell r="F345">
            <v>0</v>
          </cell>
        </row>
        <row r="346">
          <cell r="C346" t="str">
            <v>Bugweri</v>
          </cell>
          <cell r="D346" t="str">
            <v>Buyanga</v>
          </cell>
          <cell r="E346">
            <v>0</v>
          </cell>
          <cell r="F346">
            <v>0</v>
          </cell>
        </row>
        <row r="347">
          <cell r="C347" t="str">
            <v>Rubabo</v>
          </cell>
          <cell r="D347" t="str">
            <v>Buyanja</v>
          </cell>
          <cell r="E347">
            <v>0</v>
          </cell>
          <cell r="F347">
            <v>0</v>
          </cell>
        </row>
        <row r="348">
          <cell r="C348" t="str">
            <v>Rubabo</v>
          </cell>
          <cell r="D348" t="str">
            <v>Buyanja Town Council</v>
          </cell>
          <cell r="E348">
            <v>0</v>
          </cell>
          <cell r="F348">
            <v>0</v>
          </cell>
        </row>
        <row r="349">
          <cell r="C349" t="str">
            <v>Budiope</v>
          </cell>
          <cell r="D349" t="str">
            <v>Buyende</v>
          </cell>
          <cell r="E349">
            <v>0</v>
          </cell>
          <cell r="F349">
            <v>0</v>
          </cell>
        </row>
        <row r="350">
          <cell r="C350" t="str">
            <v>Budiope</v>
          </cell>
          <cell r="D350" t="str">
            <v>Buyende Town Council</v>
          </cell>
          <cell r="E350">
            <v>0</v>
          </cell>
          <cell r="F350">
            <v>0</v>
          </cell>
        </row>
        <row r="351">
          <cell r="C351" t="str">
            <v>Kagoma</v>
          </cell>
          <cell r="D351" t="str">
            <v>Buyengo</v>
          </cell>
          <cell r="E351">
            <v>0</v>
          </cell>
          <cell r="F351">
            <v>0</v>
          </cell>
        </row>
        <row r="352">
          <cell r="C352" t="str">
            <v>Bulamogi</v>
          </cell>
          <cell r="D352" t="str">
            <v>Buyinda</v>
          </cell>
          <cell r="E352">
            <v>0</v>
          </cell>
          <cell r="F352">
            <v>0</v>
          </cell>
        </row>
        <row r="353">
          <cell r="C353" t="str">
            <v>Bukooli</v>
          </cell>
          <cell r="D353" t="str">
            <v>Buyinja</v>
          </cell>
          <cell r="E353">
            <v>0</v>
          </cell>
          <cell r="F353">
            <v>0</v>
          </cell>
        </row>
        <row r="354">
          <cell r="C354" t="str">
            <v>Budadiri</v>
          </cell>
          <cell r="D354" t="str">
            <v>Buyobo</v>
          </cell>
          <cell r="E354">
            <v>0</v>
          </cell>
          <cell r="F354">
            <v>0</v>
          </cell>
        </row>
        <row r="355">
          <cell r="C355" t="str">
            <v>Rujumbura</v>
          </cell>
          <cell r="D355" t="str">
            <v>Bwambara</v>
          </cell>
          <cell r="E355">
            <v>0</v>
          </cell>
          <cell r="F355">
            <v>0</v>
          </cell>
        </row>
        <row r="356">
          <cell r="C356" t="str">
            <v>Buyanja</v>
          </cell>
          <cell r="D356" t="str">
            <v>Bwamiramira</v>
          </cell>
          <cell r="E356">
            <v>0</v>
          </cell>
          <cell r="F356">
            <v>0</v>
          </cell>
        </row>
        <row r="357">
          <cell r="C357" t="str">
            <v>Bugangaizi</v>
          </cell>
          <cell r="D357" t="str">
            <v>Bwanswa</v>
          </cell>
          <cell r="E357">
            <v>0</v>
          </cell>
          <cell r="F357">
            <v>0</v>
          </cell>
        </row>
        <row r="358">
          <cell r="C358" t="str">
            <v>Buvuma Island</v>
          </cell>
          <cell r="D358" t="str">
            <v>Bweema</v>
          </cell>
          <cell r="E358">
            <v>0</v>
          </cell>
          <cell r="F358">
            <v>0</v>
          </cell>
        </row>
        <row r="359">
          <cell r="C359" t="str">
            <v>Bukonzo</v>
          </cell>
          <cell r="D359" t="str">
            <v>Bwera</v>
          </cell>
          <cell r="E359">
            <v>0</v>
          </cell>
          <cell r="F359">
            <v>0</v>
          </cell>
        </row>
        <row r="360">
          <cell r="C360" t="str">
            <v>Ntoroko</v>
          </cell>
          <cell r="D360" t="str">
            <v>Bweramule</v>
          </cell>
          <cell r="E360">
            <v>0</v>
          </cell>
          <cell r="F360">
            <v>0</v>
          </cell>
        </row>
        <row r="361">
          <cell r="C361" t="str">
            <v>Busongora</v>
          </cell>
          <cell r="D361" t="str">
            <v>Bwesumbu</v>
          </cell>
          <cell r="E361">
            <v>0</v>
          </cell>
          <cell r="F361">
            <v>0</v>
          </cell>
        </row>
        <row r="362">
          <cell r="C362" t="str">
            <v>Kibanda</v>
          </cell>
          <cell r="D362" t="str">
            <v>Bweyale Town Council</v>
          </cell>
          <cell r="E362">
            <v>0</v>
          </cell>
          <cell r="F362">
            <v>0</v>
          </cell>
        </row>
        <row r="363">
          <cell r="C363" t="str">
            <v>Gulu Municipality</v>
          </cell>
          <cell r="D363" t="str">
            <v>Laroo Division</v>
          </cell>
          <cell r="E363">
            <v>0</v>
          </cell>
          <cell r="F363">
            <v>0</v>
          </cell>
        </row>
        <row r="364">
          <cell r="C364" t="str">
            <v>Bujenje</v>
          </cell>
          <cell r="D364" t="str">
            <v>Bwijanga</v>
          </cell>
          <cell r="E364">
            <v>0</v>
          </cell>
          <cell r="F364">
            <v>0</v>
          </cell>
        </row>
        <row r="365">
          <cell r="C365" t="str">
            <v>Buyaga</v>
          </cell>
          <cell r="D365" t="str">
            <v>Bwikara</v>
          </cell>
          <cell r="E365">
            <v>0</v>
          </cell>
          <cell r="F365">
            <v>0</v>
          </cell>
        </row>
        <row r="366">
          <cell r="C366" t="str">
            <v>Bulambuli</v>
          </cell>
          <cell r="D366" t="str">
            <v>Bwikhonge</v>
          </cell>
          <cell r="E366">
            <v>0</v>
          </cell>
          <cell r="F366">
            <v>0</v>
          </cell>
        </row>
        <row r="367">
          <cell r="C367" t="str">
            <v>Kibale</v>
          </cell>
          <cell r="D367" t="str">
            <v>Bwizi</v>
          </cell>
          <cell r="E367">
            <v>0</v>
          </cell>
          <cell r="F367">
            <v>0</v>
          </cell>
        </row>
        <row r="368">
          <cell r="C368" t="str">
            <v>Kajara</v>
          </cell>
          <cell r="D368" t="str">
            <v>Bwongyera</v>
          </cell>
          <cell r="E368">
            <v>0</v>
          </cell>
          <cell r="F368">
            <v>0</v>
          </cell>
        </row>
        <row r="369">
          <cell r="C369" t="str">
            <v>Kooki</v>
          </cell>
          <cell r="D369" t="str">
            <v>Byakabanda</v>
          </cell>
          <cell r="E369">
            <v>0</v>
          </cell>
          <cell r="F369">
            <v>0</v>
          </cell>
        </row>
        <row r="370">
          <cell r="C370" t="str">
            <v>Kiboga</v>
          </cell>
          <cell r="D370" t="str">
            <v>Byerima</v>
          </cell>
          <cell r="E370">
            <v>0</v>
          </cell>
          <cell r="F370">
            <v>0</v>
          </cell>
        </row>
        <row r="371">
          <cell r="C371" t="str">
            <v>Gulu Municipality</v>
          </cell>
          <cell r="D371" t="str">
            <v>Layibi Division</v>
          </cell>
          <cell r="E371">
            <v>0</v>
          </cell>
          <cell r="F371">
            <v>0</v>
          </cell>
        </row>
        <row r="372">
          <cell r="C372" t="str">
            <v>Gulu Municipality</v>
          </cell>
          <cell r="D372" t="str">
            <v>Pece Division</v>
          </cell>
          <cell r="E372">
            <v>0</v>
          </cell>
          <cell r="F372">
            <v>0</v>
          </cell>
        </row>
        <row r="373">
          <cell r="C373" t="str">
            <v>Hoima Municipality</v>
          </cell>
          <cell r="D373" t="str">
            <v>Bujumbura Division</v>
          </cell>
          <cell r="E373">
            <v>0</v>
          </cell>
          <cell r="F373" t="str">
            <v>Hoima Municipality</v>
          </cell>
        </row>
        <row r="374">
          <cell r="C374" t="str">
            <v>Hoima Municipality</v>
          </cell>
          <cell r="D374" t="str">
            <v>Busiisi Division</v>
          </cell>
          <cell r="E374">
            <v>0</v>
          </cell>
          <cell r="F374">
            <v>0</v>
          </cell>
        </row>
        <row r="375">
          <cell r="C375" t="str">
            <v>Hoima Municipality</v>
          </cell>
          <cell r="D375" t="str">
            <v>Kahoora Divison</v>
          </cell>
          <cell r="E375">
            <v>0</v>
          </cell>
          <cell r="F375">
            <v>0</v>
          </cell>
        </row>
        <row r="376">
          <cell r="C376" t="str">
            <v>KCCA</v>
          </cell>
          <cell r="D376" t="str">
            <v>Central Division</v>
          </cell>
          <cell r="E376" t="str">
            <v>Bukesa</v>
          </cell>
          <cell r="F376">
            <v>0</v>
          </cell>
        </row>
        <row r="377">
          <cell r="C377" t="str">
            <v>KCCA</v>
          </cell>
          <cell r="D377" t="str">
            <v>Central Division</v>
          </cell>
          <cell r="E377" t="str">
            <v>Civic Centre</v>
          </cell>
          <cell r="F377">
            <v>0</v>
          </cell>
        </row>
        <row r="378">
          <cell r="C378" t="str">
            <v>KCCA</v>
          </cell>
          <cell r="D378" t="str">
            <v>Central Division</v>
          </cell>
          <cell r="E378" t="str">
            <v>Industrial Area</v>
          </cell>
          <cell r="F378">
            <v>0</v>
          </cell>
        </row>
        <row r="379">
          <cell r="C379" t="str">
            <v>KCCA</v>
          </cell>
          <cell r="D379" t="str">
            <v>Central Division</v>
          </cell>
          <cell r="E379" t="str">
            <v>Kagugube</v>
          </cell>
          <cell r="F379">
            <v>0</v>
          </cell>
        </row>
        <row r="380">
          <cell r="C380" t="str">
            <v>KCCA</v>
          </cell>
          <cell r="D380" t="str">
            <v>Central Division</v>
          </cell>
          <cell r="E380" t="str">
            <v>Kamwokya Ii</v>
          </cell>
          <cell r="F380">
            <v>0</v>
          </cell>
        </row>
        <row r="381">
          <cell r="C381" t="str">
            <v>KCCA</v>
          </cell>
          <cell r="D381" t="str">
            <v>Central Division</v>
          </cell>
          <cell r="E381" t="str">
            <v>Kamwokya I</v>
          </cell>
          <cell r="F381">
            <v>0</v>
          </cell>
        </row>
        <row r="382">
          <cell r="C382" t="str">
            <v>KCCA</v>
          </cell>
          <cell r="D382" t="str">
            <v>Central Division</v>
          </cell>
          <cell r="E382" t="str">
            <v>Kisenyi I</v>
          </cell>
          <cell r="F382">
            <v>0</v>
          </cell>
        </row>
        <row r="383">
          <cell r="C383" t="str">
            <v>KCCA</v>
          </cell>
          <cell r="D383" t="str">
            <v>Central Division</v>
          </cell>
          <cell r="E383" t="str">
            <v>Kisenyi Ii</v>
          </cell>
          <cell r="F383">
            <v>0</v>
          </cell>
        </row>
        <row r="384">
          <cell r="C384" t="str">
            <v>KCCA</v>
          </cell>
          <cell r="D384" t="str">
            <v>Central Division</v>
          </cell>
          <cell r="E384" t="str">
            <v>Kisenyi Iii</v>
          </cell>
          <cell r="F384">
            <v>0</v>
          </cell>
        </row>
        <row r="385">
          <cell r="C385" t="str">
            <v>KCCA</v>
          </cell>
          <cell r="D385" t="str">
            <v>Central Division</v>
          </cell>
          <cell r="E385" t="str">
            <v>Kololo I</v>
          </cell>
          <cell r="F385">
            <v>0</v>
          </cell>
        </row>
        <row r="386">
          <cell r="C386" t="str">
            <v>KCCA</v>
          </cell>
          <cell r="D386" t="str">
            <v>Central Division</v>
          </cell>
          <cell r="E386" t="str">
            <v>Kololo Ii</v>
          </cell>
          <cell r="F386">
            <v>0</v>
          </cell>
        </row>
        <row r="387">
          <cell r="C387" t="str">
            <v>KCCA</v>
          </cell>
          <cell r="D387" t="str">
            <v>Central Division</v>
          </cell>
          <cell r="E387" t="str">
            <v>Kololo Iii</v>
          </cell>
          <cell r="F387">
            <v>0</v>
          </cell>
        </row>
        <row r="388">
          <cell r="C388" t="str">
            <v>KCCA</v>
          </cell>
          <cell r="D388" t="str">
            <v>Central Division</v>
          </cell>
          <cell r="E388" t="str">
            <v>Kololo Iv</v>
          </cell>
          <cell r="F388">
            <v>0</v>
          </cell>
        </row>
        <row r="389">
          <cell r="C389" t="str">
            <v>KCCA</v>
          </cell>
          <cell r="D389" t="str">
            <v>Central Division</v>
          </cell>
          <cell r="E389" t="str">
            <v>Mengo</v>
          </cell>
          <cell r="F389">
            <v>0</v>
          </cell>
        </row>
        <row r="390">
          <cell r="C390" t="str">
            <v>KCCA</v>
          </cell>
          <cell r="D390" t="str">
            <v>Central Division</v>
          </cell>
          <cell r="E390" t="str">
            <v>Nakasero I</v>
          </cell>
          <cell r="F390">
            <v>0</v>
          </cell>
        </row>
        <row r="391">
          <cell r="C391" t="str">
            <v>KCCA</v>
          </cell>
          <cell r="D391" t="str">
            <v>Central Division</v>
          </cell>
          <cell r="E391" t="str">
            <v>Nakasero Ii</v>
          </cell>
          <cell r="F391">
            <v>0</v>
          </cell>
        </row>
        <row r="392">
          <cell r="C392" t="str">
            <v>KCCA</v>
          </cell>
          <cell r="D392" t="str">
            <v>Central Division</v>
          </cell>
          <cell r="E392" t="str">
            <v>Nakasero Iii</v>
          </cell>
          <cell r="F392">
            <v>0</v>
          </cell>
        </row>
        <row r="393">
          <cell r="C393" t="str">
            <v>KCCA</v>
          </cell>
          <cell r="D393" t="str">
            <v>Central Division</v>
          </cell>
          <cell r="E393" t="str">
            <v>Nakasero Iv</v>
          </cell>
          <cell r="F393">
            <v>0</v>
          </cell>
        </row>
        <row r="394">
          <cell r="C394" t="str">
            <v>KCCA</v>
          </cell>
          <cell r="D394" t="str">
            <v>Central Division</v>
          </cell>
          <cell r="E394" t="str">
            <v>Nakivubo Shauriyaako</v>
          </cell>
          <cell r="F394">
            <v>0</v>
          </cell>
        </row>
        <row r="395">
          <cell r="C395" t="str">
            <v>KCCA</v>
          </cell>
          <cell r="D395" t="str">
            <v>Central Division</v>
          </cell>
          <cell r="E395" t="str">
            <v>Old Kampala</v>
          </cell>
          <cell r="F395">
            <v>0</v>
          </cell>
        </row>
        <row r="396">
          <cell r="C396" t="str">
            <v>Hoima Municipality</v>
          </cell>
          <cell r="D396" t="str">
            <v>Mparo Divison</v>
          </cell>
          <cell r="E396">
            <v>0</v>
          </cell>
          <cell r="F396">
            <v>0</v>
          </cell>
        </row>
        <row r="397">
          <cell r="C397" t="str">
            <v>Ibanda Municipality</v>
          </cell>
          <cell r="D397" t="str">
            <v>Bisheshe Division</v>
          </cell>
          <cell r="E397">
            <v>0</v>
          </cell>
          <cell r="F397" t="str">
            <v>Ibanda Municipality</v>
          </cell>
        </row>
        <row r="398">
          <cell r="C398" t="str">
            <v>Ibanda Municipality</v>
          </cell>
          <cell r="D398" t="str">
            <v>Bufunda Division</v>
          </cell>
          <cell r="E398">
            <v>0</v>
          </cell>
          <cell r="F398">
            <v>0</v>
          </cell>
        </row>
        <row r="399">
          <cell r="C399" t="str">
            <v>Ibanda Municipality</v>
          </cell>
          <cell r="D399" t="str">
            <v>Kagango Division</v>
          </cell>
          <cell r="E399">
            <v>0</v>
          </cell>
          <cell r="F399">
            <v>0</v>
          </cell>
        </row>
        <row r="400">
          <cell r="C400" t="str">
            <v>Iganga Municipality</v>
          </cell>
          <cell r="D400" t="str">
            <v>Central Division</v>
          </cell>
          <cell r="E400">
            <v>0</v>
          </cell>
          <cell r="F400" t="str">
            <v>Iganga Municipality</v>
          </cell>
        </row>
        <row r="401">
          <cell r="C401" t="str">
            <v>Iganga Municipality</v>
          </cell>
          <cell r="D401" t="str">
            <v>Northern Division</v>
          </cell>
          <cell r="E401">
            <v>0</v>
          </cell>
          <cell r="F401">
            <v>0</v>
          </cell>
        </row>
        <row r="402">
          <cell r="C402" t="str">
            <v>Jinja Municipality</v>
          </cell>
          <cell r="D402" t="str">
            <v>Central Division</v>
          </cell>
          <cell r="E402">
            <v>0</v>
          </cell>
          <cell r="F402" t="str">
            <v>Jinja Municipality</v>
          </cell>
        </row>
        <row r="403">
          <cell r="C403" t="str">
            <v>Jinja Municipality</v>
          </cell>
          <cell r="D403" t="str">
            <v>Masese Walukuba</v>
          </cell>
          <cell r="E403">
            <v>0</v>
          </cell>
          <cell r="F403">
            <v>0</v>
          </cell>
        </row>
        <row r="404">
          <cell r="C404" t="str">
            <v>Jinja Municipality</v>
          </cell>
          <cell r="D404" t="str">
            <v>Mpumudde Division</v>
          </cell>
          <cell r="E404">
            <v>0</v>
          </cell>
          <cell r="F404">
            <v>0</v>
          </cell>
        </row>
        <row r="405">
          <cell r="C405" t="str">
            <v>Kabale Municipality</v>
          </cell>
          <cell r="D405" t="str">
            <v>Central Division</v>
          </cell>
          <cell r="E405">
            <v>0</v>
          </cell>
          <cell r="F405" t="str">
            <v>Kabale Municipality</v>
          </cell>
        </row>
        <row r="406">
          <cell r="C406" t="str">
            <v>Kabale Municipality</v>
          </cell>
          <cell r="D406" t="str">
            <v>Northern Division</v>
          </cell>
          <cell r="E406">
            <v>0</v>
          </cell>
          <cell r="F406">
            <v>0</v>
          </cell>
        </row>
        <row r="407">
          <cell r="C407" t="str">
            <v>Bufumbira</v>
          </cell>
          <cell r="D407" t="str">
            <v>Chahi</v>
          </cell>
          <cell r="E407">
            <v>0</v>
          </cell>
          <cell r="F407">
            <v>0</v>
          </cell>
        </row>
        <row r="408">
          <cell r="C408" t="str">
            <v>Kwania</v>
          </cell>
          <cell r="D408" t="str">
            <v>Chawente</v>
          </cell>
          <cell r="E408">
            <v>0</v>
          </cell>
          <cell r="F408">
            <v>0</v>
          </cell>
        </row>
        <row r="409">
          <cell r="C409" t="str">
            <v>Maruzi</v>
          </cell>
          <cell r="D409" t="str">
            <v>Chegere</v>
          </cell>
          <cell r="E409">
            <v>0</v>
          </cell>
          <cell r="F409">
            <v>0</v>
          </cell>
        </row>
        <row r="410">
          <cell r="C410" t="str">
            <v>Agule</v>
          </cell>
          <cell r="D410" t="str">
            <v>Chelekura</v>
          </cell>
          <cell r="E410">
            <v>0</v>
          </cell>
          <cell r="F410">
            <v>0</v>
          </cell>
        </row>
        <row r="411">
          <cell r="C411" t="str">
            <v>Tingey</v>
          </cell>
          <cell r="D411" t="str">
            <v>Chema</v>
          </cell>
          <cell r="E411">
            <v>0</v>
          </cell>
          <cell r="F411">
            <v>0</v>
          </cell>
        </row>
        <row r="412">
          <cell r="C412" t="str">
            <v>Kongasis</v>
          </cell>
          <cell r="D412" t="str">
            <v>Chepkwasta</v>
          </cell>
          <cell r="E412">
            <v>0</v>
          </cell>
          <cell r="F412">
            <v>0</v>
          </cell>
        </row>
        <row r="413">
          <cell r="C413" t="str">
            <v>Tingey</v>
          </cell>
          <cell r="D413" t="str">
            <v>Chepterech</v>
          </cell>
          <cell r="E413">
            <v>0</v>
          </cell>
          <cell r="F413">
            <v>0</v>
          </cell>
        </row>
        <row r="414">
          <cell r="C414" t="str">
            <v>Kongasis</v>
          </cell>
          <cell r="D414" t="str">
            <v>Chesower</v>
          </cell>
          <cell r="E414">
            <v>0</v>
          </cell>
          <cell r="F414">
            <v>0</v>
          </cell>
        </row>
        <row r="415">
          <cell r="C415" t="str">
            <v>East Moyo</v>
          </cell>
          <cell r="D415" t="str">
            <v>Ciforo</v>
          </cell>
          <cell r="E415">
            <v>0</v>
          </cell>
          <cell r="F415">
            <v>0</v>
          </cell>
        </row>
        <row r="416">
          <cell r="C416" t="str">
            <v>Samia-Bugwe</v>
          </cell>
          <cell r="D416" t="str">
            <v>Dabani</v>
          </cell>
          <cell r="E416">
            <v>0</v>
          </cell>
          <cell r="F416">
            <v>0</v>
          </cell>
        </row>
        <row r="417">
          <cell r="C417" t="str">
            <v>Ayivu</v>
          </cell>
          <cell r="D417" t="str">
            <v>Dadamu</v>
          </cell>
          <cell r="E417">
            <v>0</v>
          </cell>
          <cell r="F417">
            <v>0</v>
          </cell>
        </row>
        <row r="418">
          <cell r="C418" t="str">
            <v>Kiboga</v>
          </cell>
          <cell r="D418" t="str">
            <v>Ddwaniro</v>
          </cell>
          <cell r="E418">
            <v>0</v>
          </cell>
          <cell r="F418">
            <v>0</v>
          </cell>
        </row>
        <row r="419">
          <cell r="C419" t="str">
            <v>Kooki</v>
          </cell>
          <cell r="D419" t="str">
            <v>Ddwaniro</v>
          </cell>
          <cell r="E419">
            <v>0</v>
          </cell>
          <cell r="F419">
            <v>0</v>
          </cell>
        </row>
        <row r="420">
          <cell r="C420" t="str">
            <v>West Moyo</v>
          </cell>
          <cell r="D420" t="str">
            <v>Difule</v>
          </cell>
          <cell r="E420">
            <v>0</v>
          </cell>
          <cell r="F420">
            <v>0</v>
          </cell>
        </row>
        <row r="421">
          <cell r="C421" t="str">
            <v>Kabale Municipality</v>
          </cell>
          <cell r="D421" t="str">
            <v>Southern Division</v>
          </cell>
          <cell r="E421">
            <v>0</v>
          </cell>
          <cell r="F421">
            <v>0</v>
          </cell>
        </row>
        <row r="422">
          <cell r="C422" t="str">
            <v>Kamuli Municipality</v>
          </cell>
          <cell r="D422" t="str">
            <v>Northern Division</v>
          </cell>
          <cell r="E422">
            <v>0</v>
          </cell>
          <cell r="F422" t="str">
            <v>Kamuli Municipality</v>
          </cell>
        </row>
        <row r="423">
          <cell r="C423" t="str">
            <v>Dokolo</v>
          </cell>
          <cell r="D423" t="str">
            <v>Dokolo</v>
          </cell>
          <cell r="E423">
            <v>0</v>
          </cell>
          <cell r="F423">
            <v>0</v>
          </cell>
        </row>
        <row r="424">
          <cell r="C424" t="str">
            <v>Dokolo</v>
          </cell>
          <cell r="D424" t="str">
            <v>Dokolo Tc</v>
          </cell>
          <cell r="E424">
            <v>0</v>
          </cell>
          <cell r="F424">
            <v>0</v>
          </cell>
        </row>
        <row r="425">
          <cell r="C425" t="str">
            <v>Aringa</v>
          </cell>
          <cell r="D425" t="str">
            <v>Drajini</v>
          </cell>
          <cell r="E425">
            <v>0</v>
          </cell>
          <cell r="F425">
            <v>0</v>
          </cell>
        </row>
        <row r="426">
          <cell r="C426" t="str">
            <v>Koboko</v>
          </cell>
          <cell r="D426" t="str">
            <v>Dranya</v>
          </cell>
          <cell r="E426">
            <v>0</v>
          </cell>
          <cell r="F426">
            <v>0</v>
          </cell>
        </row>
        <row r="427">
          <cell r="C427" t="str">
            <v>East Moyo</v>
          </cell>
          <cell r="D427" t="str">
            <v>Dzaipi</v>
          </cell>
          <cell r="E427">
            <v>0</v>
          </cell>
          <cell r="F427">
            <v>0</v>
          </cell>
        </row>
        <row r="428">
          <cell r="C428" t="str">
            <v>Kamuli Municipality</v>
          </cell>
          <cell r="D428" t="str">
            <v>Southern Division</v>
          </cell>
          <cell r="E428">
            <v>0</v>
          </cell>
          <cell r="F428">
            <v>0</v>
          </cell>
        </row>
        <row r="429">
          <cell r="C429" t="str">
            <v>Kapchorwa Municipality</v>
          </cell>
          <cell r="D429" t="str">
            <v>Central Division</v>
          </cell>
          <cell r="E429">
            <v>0</v>
          </cell>
          <cell r="F429" t="str">
            <v>Kapchorwa Municipality</v>
          </cell>
        </row>
        <row r="430">
          <cell r="C430" t="str">
            <v>Busia Municipality</v>
          </cell>
          <cell r="D430" t="str">
            <v>Eastern Division</v>
          </cell>
          <cell r="E430">
            <v>0</v>
          </cell>
          <cell r="F430" t="str">
            <v>Busia Municipality</v>
          </cell>
        </row>
        <row r="431">
          <cell r="C431" t="str">
            <v>Kapchorwa Municipality</v>
          </cell>
          <cell r="D431" t="str">
            <v>Eastern Division</v>
          </cell>
          <cell r="E431">
            <v>0</v>
          </cell>
          <cell r="F431" t="str">
            <v>Kapchorwa Municipality</v>
          </cell>
        </row>
        <row r="432">
          <cell r="C432" t="str">
            <v>Kapchorwa Municipality</v>
          </cell>
          <cell r="D432" t="str">
            <v>Western Division</v>
          </cell>
          <cell r="E432">
            <v>0</v>
          </cell>
          <cell r="F432">
            <v>0</v>
          </cell>
        </row>
        <row r="433">
          <cell r="C433" t="str">
            <v>Kasese Municipality</v>
          </cell>
          <cell r="D433" t="str">
            <v>Bulembia Division</v>
          </cell>
          <cell r="E433">
            <v>0</v>
          </cell>
          <cell r="F433" t="str">
            <v>Kasese Municipality</v>
          </cell>
        </row>
        <row r="434">
          <cell r="C434" t="str">
            <v>Kasese Municipality</v>
          </cell>
          <cell r="D434" t="str">
            <v>Central Division</v>
          </cell>
          <cell r="E434">
            <v>0</v>
          </cell>
          <cell r="F434">
            <v>0</v>
          </cell>
        </row>
        <row r="435">
          <cell r="C435" t="str">
            <v>Kasese Municipality</v>
          </cell>
          <cell r="D435" t="str">
            <v>Nyamwamba Division</v>
          </cell>
          <cell r="E435">
            <v>0</v>
          </cell>
          <cell r="F435">
            <v>0</v>
          </cell>
        </row>
        <row r="436">
          <cell r="C436" t="str">
            <v>Kira Municipality</v>
          </cell>
          <cell r="D436" t="str">
            <v>Bweyogerere Division</v>
          </cell>
          <cell r="E436">
            <v>0</v>
          </cell>
          <cell r="F436" t="str">
            <v>Bweyogerere</v>
          </cell>
        </row>
        <row r="437">
          <cell r="C437" t="str">
            <v>Bukanga</v>
          </cell>
          <cell r="D437" t="str">
            <v>Endiinzi</v>
          </cell>
          <cell r="E437">
            <v>0</v>
          </cell>
          <cell r="F437">
            <v>0</v>
          </cell>
        </row>
        <row r="438">
          <cell r="C438" t="str">
            <v>Bukanga</v>
          </cell>
          <cell r="D438" t="str">
            <v>Endiinzi Town Council</v>
          </cell>
          <cell r="E438">
            <v>0</v>
          </cell>
          <cell r="F438">
            <v>0</v>
          </cell>
        </row>
        <row r="439">
          <cell r="C439" t="str">
            <v>Buhweju</v>
          </cell>
          <cell r="D439" t="str">
            <v>Engaju</v>
          </cell>
          <cell r="E439">
            <v>0</v>
          </cell>
          <cell r="F439">
            <v>0</v>
          </cell>
        </row>
        <row r="440">
          <cell r="C440" t="str">
            <v>Kazo</v>
          </cell>
          <cell r="D440" t="str">
            <v>Engari</v>
          </cell>
          <cell r="E440">
            <v>0</v>
          </cell>
          <cell r="F440">
            <v>0</v>
          </cell>
        </row>
        <row r="441">
          <cell r="C441" t="str">
            <v>Padyere</v>
          </cell>
          <cell r="D441" t="str">
            <v>Erussi</v>
          </cell>
          <cell r="E441">
            <v>0</v>
          </cell>
          <cell r="F441">
            <v>0</v>
          </cell>
        </row>
        <row r="442">
          <cell r="C442" t="str">
            <v>Kioga</v>
          </cell>
          <cell r="D442" t="str">
            <v>Etam</v>
          </cell>
          <cell r="E442">
            <v>0</v>
          </cell>
          <cell r="F442">
            <v>0</v>
          </cell>
        </row>
        <row r="443">
          <cell r="C443" t="str">
            <v>Madi Okollo</v>
          </cell>
          <cell r="D443" t="str">
            <v>Ewanga</v>
          </cell>
          <cell r="E443">
            <v>0</v>
          </cell>
          <cell r="F443">
            <v>0</v>
          </cell>
        </row>
        <row r="444">
          <cell r="C444" t="str">
            <v>Bulamogi</v>
          </cell>
          <cell r="D444" t="str">
            <v>Gadumire</v>
          </cell>
          <cell r="E444">
            <v>0</v>
          </cell>
          <cell r="F444">
            <v>0</v>
          </cell>
        </row>
        <row r="445">
          <cell r="C445" t="str">
            <v>Bbaale</v>
          </cell>
          <cell r="D445" t="str">
            <v>Galiraya</v>
          </cell>
          <cell r="E445">
            <v>0</v>
          </cell>
          <cell r="F445">
            <v>0</v>
          </cell>
        </row>
        <row r="446">
          <cell r="C446" t="str">
            <v>Tingey</v>
          </cell>
          <cell r="D446" t="str">
            <v>Gamogo</v>
          </cell>
          <cell r="E446">
            <v>0</v>
          </cell>
          <cell r="F446">
            <v>0</v>
          </cell>
        </row>
        <row r="447">
          <cell r="C447" t="str">
            <v>Kiboga</v>
          </cell>
          <cell r="D447" t="str">
            <v>Gayaza</v>
          </cell>
          <cell r="E447">
            <v>0</v>
          </cell>
          <cell r="F447">
            <v>0</v>
          </cell>
        </row>
        <row r="448">
          <cell r="C448" t="str">
            <v>Obongi</v>
          </cell>
          <cell r="D448" t="str">
            <v>Gimara</v>
          </cell>
          <cell r="E448">
            <v>0</v>
          </cell>
          <cell r="F448">
            <v>0</v>
          </cell>
        </row>
        <row r="449">
          <cell r="C449" t="str">
            <v>Agule</v>
          </cell>
          <cell r="D449" t="str">
            <v>Gogonyo</v>
          </cell>
          <cell r="E449">
            <v>0</v>
          </cell>
          <cell r="F449">
            <v>0</v>
          </cell>
        </row>
        <row r="450">
          <cell r="C450" t="str">
            <v>Kira Municipality</v>
          </cell>
          <cell r="D450" t="str">
            <v>Kira Division</v>
          </cell>
          <cell r="E450">
            <v>0</v>
          </cell>
          <cell r="F450" t="str">
            <v>Kira</v>
          </cell>
        </row>
        <row r="451">
          <cell r="C451" t="str">
            <v>Kira Municipality</v>
          </cell>
          <cell r="D451" t="str">
            <v>Namugongo Division</v>
          </cell>
          <cell r="E451">
            <v>0</v>
          </cell>
          <cell r="F451" t="str">
            <v>Namugongo</v>
          </cell>
        </row>
        <row r="452">
          <cell r="C452" t="str">
            <v>Butambala</v>
          </cell>
          <cell r="D452" t="str">
            <v>Gombe Town Council</v>
          </cell>
          <cell r="E452">
            <v>0</v>
          </cell>
        </row>
        <row r="453">
          <cell r="C453" t="str">
            <v>Soroti</v>
          </cell>
          <cell r="D453" t="str">
            <v>Gweri</v>
          </cell>
          <cell r="E453">
            <v>0</v>
          </cell>
        </row>
        <row r="454">
          <cell r="C454" t="str">
            <v>Burahya</v>
          </cell>
          <cell r="D454" t="str">
            <v>Hakibaale</v>
          </cell>
          <cell r="E454">
            <v>0</v>
          </cell>
        </row>
        <row r="455">
          <cell r="C455" t="str">
            <v>Rubanda</v>
          </cell>
          <cell r="D455" t="str">
            <v>Hamurwa</v>
          </cell>
          <cell r="E455">
            <v>0</v>
          </cell>
        </row>
        <row r="456">
          <cell r="C456" t="str">
            <v>Rubanda</v>
          </cell>
          <cell r="D456" t="str">
            <v>Hamurwa Town Council</v>
          </cell>
          <cell r="E456">
            <v>0</v>
          </cell>
        </row>
        <row r="457">
          <cell r="C457" t="str">
            <v>Kyaka</v>
          </cell>
          <cell r="D457" t="str">
            <v>Hapuuyo</v>
          </cell>
          <cell r="E457">
            <v>0</v>
          </cell>
        </row>
        <row r="458">
          <cell r="C458" t="str">
            <v>Bughendera</v>
          </cell>
          <cell r="D458" t="str">
            <v>Harugale</v>
          </cell>
          <cell r="E458">
            <v>0</v>
          </cell>
        </row>
        <row r="459">
          <cell r="C459" t="str">
            <v>Busongora</v>
          </cell>
          <cell r="D459" t="str">
            <v>Hima Town Council</v>
          </cell>
          <cell r="E459">
            <v>0</v>
          </cell>
        </row>
        <row r="460">
          <cell r="C460" t="str">
            <v>Bunyole</v>
          </cell>
          <cell r="D460" t="str">
            <v>Himutu</v>
          </cell>
          <cell r="E460">
            <v>0</v>
          </cell>
        </row>
        <row r="461">
          <cell r="C461" t="str">
            <v>Igara</v>
          </cell>
          <cell r="D461" t="str">
            <v>Ibaare</v>
          </cell>
          <cell r="E461">
            <v>0</v>
          </cell>
        </row>
        <row r="462">
          <cell r="C462" t="str">
            <v>Maruzi</v>
          </cell>
          <cell r="D462" t="str">
            <v>Ibuje</v>
          </cell>
          <cell r="E462">
            <v>0</v>
          </cell>
        </row>
        <row r="463">
          <cell r="C463" t="str">
            <v>Bugweri</v>
          </cell>
          <cell r="D463" t="str">
            <v>Ibulanku</v>
          </cell>
          <cell r="E463">
            <v>0</v>
          </cell>
        </row>
        <row r="464">
          <cell r="C464" t="str">
            <v>Oyam</v>
          </cell>
          <cell r="D464" t="str">
            <v>Iceme</v>
          </cell>
          <cell r="E464">
            <v>0</v>
          </cell>
        </row>
        <row r="465">
          <cell r="C465" t="str">
            <v>Bugweri</v>
          </cell>
          <cell r="D465" t="str">
            <v>Igombe</v>
          </cell>
          <cell r="E465">
            <v>0</v>
          </cell>
        </row>
        <row r="466">
          <cell r="C466" t="str">
            <v>Ibanda</v>
          </cell>
          <cell r="D466" t="str">
            <v>Igorora Town Council</v>
          </cell>
          <cell r="E466">
            <v>0</v>
          </cell>
        </row>
        <row r="467">
          <cell r="C467" t="str">
            <v>Bukonzo</v>
          </cell>
          <cell r="D467" t="str">
            <v>Ihandiro</v>
          </cell>
          <cell r="E467">
            <v>0</v>
          </cell>
        </row>
        <row r="468">
          <cell r="C468" t="str">
            <v>Kajara</v>
          </cell>
          <cell r="D468" t="str">
            <v>Ihunga</v>
          </cell>
          <cell r="E468">
            <v>0</v>
          </cell>
        </row>
        <row r="469">
          <cell r="C469" t="str">
            <v>Iki-Iki</v>
          </cell>
          <cell r="D469" t="str">
            <v>Iki-Iki</v>
          </cell>
          <cell r="E469">
            <v>0</v>
          </cell>
        </row>
        <row r="470">
          <cell r="C470" t="str">
            <v>Rubanda</v>
          </cell>
          <cell r="D470" t="str">
            <v>Ikumba</v>
          </cell>
          <cell r="E470">
            <v>0</v>
          </cell>
        </row>
        <row r="471">
          <cell r="C471" t="str">
            <v>Luuka</v>
          </cell>
          <cell r="D471" t="str">
            <v>Ikumbya</v>
          </cell>
          <cell r="E471">
            <v>0</v>
          </cell>
        </row>
        <row r="472">
          <cell r="C472" t="str">
            <v>Bunya</v>
          </cell>
          <cell r="D472" t="str">
            <v>Imanyiro</v>
          </cell>
          <cell r="E472">
            <v>0</v>
          </cell>
        </row>
        <row r="473">
          <cell r="C473" t="str">
            <v>Kisoro Municipality</v>
          </cell>
          <cell r="D473" t="str">
            <v>Central</v>
          </cell>
          <cell r="E473">
            <v>0</v>
          </cell>
          <cell r="F473" t="str">
            <v>Kisoro Municipality</v>
          </cell>
        </row>
        <row r="474">
          <cell r="C474" t="str">
            <v>Kwania</v>
          </cell>
          <cell r="D474" t="str">
            <v>Inomo</v>
          </cell>
          <cell r="E474">
            <v>0</v>
          </cell>
          <cell r="F474">
            <v>0</v>
          </cell>
        </row>
        <row r="475">
          <cell r="C475" t="str">
            <v>Bokora</v>
          </cell>
          <cell r="D475" t="str">
            <v>Iriiri</v>
          </cell>
          <cell r="E475">
            <v>0</v>
          </cell>
          <cell r="F475">
            <v>0</v>
          </cell>
        </row>
        <row r="476">
          <cell r="C476" t="str">
            <v>Luuka</v>
          </cell>
          <cell r="D476" t="str">
            <v>Irongo</v>
          </cell>
          <cell r="E476">
            <v>0</v>
          </cell>
          <cell r="F476">
            <v>0</v>
          </cell>
        </row>
        <row r="477">
          <cell r="C477" t="str">
            <v>Bukonzo</v>
          </cell>
          <cell r="D477" t="str">
            <v>Isango</v>
          </cell>
          <cell r="E477">
            <v>0</v>
          </cell>
          <cell r="F477">
            <v>0</v>
          </cell>
        </row>
        <row r="478">
          <cell r="C478" t="str">
            <v>Kisoro Municipality</v>
          </cell>
          <cell r="D478" t="str">
            <v>Northern</v>
          </cell>
          <cell r="E478">
            <v>0</v>
          </cell>
          <cell r="F478">
            <v>0</v>
          </cell>
        </row>
        <row r="479">
          <cell r="C479" t="str">
            <v>Ibanda</v>
          </cell>
          <cell r="D479" t="str">
            <v>Ishongororo</v>
          </cell>
          <cell r="E479">
            <v>0</v>
          </cell>
          <cell r="F479">
            <v>0</v>
          </cell>
        </row>
        <row r="480">
          <cell r="C480" t="str">
            <v>Ibanda</v>
          </cell>
          <cell r="D480" t="str">
            <v>Ishongororo Town Council</v>
          </cell>
          <cell r="E480">
            <v>0</v>
          </cell>
          <cell r="F480">
            <v>0</v>
          </cell>
        </row>
        <row r="481">
          <cell r="C481" t="str">
            <v>Isingiro</v>
          </cell>
          <cell r="D481" t="str">
            <v>Isingiro Town Council</v>
          </cell>
          <cell r="E481">
            <v>0</v>
          </cell>
          <cell r="F481">
            <v>0</v>
          </cell>
        </row>
        <row r="482">
          <cell r="C482" t="str">
            <v>East Moyo</v>
          </cell>
          <cell r="D482" t="str">
            <v>Itirikwa</v>
          </cell>
          <cell r="E482">
            <v>0</v>
          </cell>
          <cell r="F482">
            <v>0</v>
          </cell>
        </row>
        <row r="483">
          <cell r="C483" t="str">
            <v>Ruhaama</v>
          </cell>
          <cell r="D483" t="str">
            <v>Itojo</v>
          </cell>
          <cell r="E483">
            <v>0</v>
          </cell>
          <cell r="F483">
            <v>0</v>
          </cell>
        </row>
        <row r="484">
          <cell r="C484" t="str">
            <v>Obongi</v>
          </cell>
          <cell r="D484" t="str">
            <v>Itula</v>
          </cell>
          <cell r="E484">
            <v>0</v>
          </cell>
          <cell r="F484">
            <v>0</v>
          </cell>
        </row>
        <row r="485">
          <cell r="C485" t="str">
            <v>Busiki</v>
          </cell>
          <cell r="D485" t="str">
            <v>Ivukula</v>
          </cell>
          <cell r="E485">
            <v>0</v>
          </cell>
          <cell r="F485">
            <v>0</v>
          </cell>
        </row>
        <row r="486">
          <cell r="C486" t="str">
            <v>Bukooli North</v>
          </cell>
          <cell r="D486" t="str">
            <v>Iwemba</v>
          </cell>
          <cell r="E486">
            <v>0</v>
          </cell>
          <cell r="F486">
            <v>0</v>
          </cell>
        </row>
        <row r="487">
          <cell r="C487" t="str">
            <v>West Budama</v>
          </cell>
          <cell r="D487" t="str">
            <v>Iyolwa</v>
          </cell>
          <cell r="E487">
            <v>0</v>
          </cell>
          <cell r="F487">
            <v>0</v>
          </cell>
        </row>
        <row r="488">
          <cell r="C488" t="str">
            <v>Bunya</v>
          </cell>
          <cell r="D488" t="str">
            <v>Jaguzi</v>
          </cell>
          <cell r="E488">
            <v>0</v>
          </cell>
          <cell r="F488">
            <v>0</v>
          </cell>
        </row>
        <row r="489">
          <cell r="C489" t="str">
            <v>Okoro</v>
          </cell>
          <cell r="D489" t="str">
            <v>Jangokoro</v>
          </cell>
          <cell r="E489">
            <v>0</v>
          </cell>
          <cell r="F489">
            <v>0</v>
          </cell>
        </row>
        <row r="490">
          <cell r="C490" t="str">
            <v>Dodoth</v>
          </cell>
          <cell r="D490" t="str">
            <v>Kaabong East</v>
          </cell>
          <cell r="E490">
            <v>0</v>
          </cell>
          <cell r="F490">
            <v>0</v>
          </cell>
        </row>
        <row r="491">
          <cell r="C491" t="str">
            <v>Dodoth</v>
          </cell>
          <cell r="D491" t="str">
            <v>Kaabong Town Council</v>
          </cell>
          <cell r="E491">
            <v>0</v>
          </cell>
          <cell r="F491">
            <v>0</v>
          </cell>
        </row>
        <row r="492">
          <cell r="C492" t="str">
            <v>Dodoth</v>
          </cell>
          <cell r="D492" t="str">
            <v>Kaabong West</v>
          </cell>
          <cell r="E492">
            <v>0</v>
          </cell>
          <cell r="F492">
            <v>0</v>
          </cell>
        </row>
        <row r="493">
          <cell r="C493" t="str">
            <v>Bubulo</v>
          </cell>
          <cell r="D493" t="str">
            <v>Kaato</v>
          </cell>
          <cell r="E493">
            <v>0</v>
          </cell>
          <cell r="F493">
            <v>0</v>
          </cell>
        </row>
        <row r="494">
          <cell r="C494" t="str">
            <v>Buyaga</v>
          </cell>
          <cell r="D494" t="str">
            <v>Kabamba</v>
          </cell>
          <cell r="E494">
            <v>0</v>
          </cell>
          <cell r="F494">
            <v>0</v>
          </cell>
        </row>
        <row r="495">
          <cell r="C495" t="str">
            <v>Kibale</v>
          </cell>
          <cell r="D495" t="str">
            <v>Kabambiro</v>
          </cell>
          <cell r="E495">
            <v>0</v>
          </cell>
          <cell r="F495">
            <v>0</v>
          </cell>
        </row>
        <row r="496">
          <cell r="C496" t="str">
            <v>Buyanja</v>
          </cell>
          <cell r="D496" t="str">
            <v>Kabasekende</v>
          </cell>
          <cell r="E496">
            <v>0</v>
          </cell>
          <cell r="F496">
            <v>0</v>
          </cell>
        </row>
        <row r="497">
          <cell r="C497" t="str">
            <v>Kongasis</v>
          </cell>
          <cell r="D497" t="str">
            <v>Kabei</v>
          </cell>
          <cell r="E497">
            <v>0</v>
          </cell>
          <cell r="F497">
            <v>0</v>
          </cell>
        </row>
        <row r="498">
          <cell r="C498" t="str">
            <v>Kaberamaido</v>
          </cell>
          <cell r="D498" t="str">
            <v>Kaberamaido</v>
          </cell>
          <cell r="E498">
            <v>0</v>
          </cell>
          <cell r="F498">
            <v>0</v>
          </cell>
        </row>
        <row r="499">
          <cell r="C499" t="str">
            <v>Kaberamaido</v>
          </cell>
          <cell r="D499" t="str">
            <v>Kaberamaido Town Council</v>
          </cell>
          <cell r="E499">
            <v>0</v>
          </cell>
          <cell r="F499">
            <v>0</v>
          </cell>
        </row>
        <row r="500">
          <cell r="C500" t="str">
            <v>Isingiro</v>
          </cell>
          <cell r="D500" t="str">
            <v>Kaberebere Town Council</v>
          </cell>
          <cell r="E500">
            <v>0</v>
          </cell>
          <cell r="F500">
            <v>0</v>
          </cell>
        </row>
        <row r="501">
          <cell r="C501" t="str">
            <v>Tingey</v>
          </cell>
          <cell r="D501" t="str">
            <v>Kabeywa</v>
          </cell>
          <cell r="E501">
            <v>0</v>
          </cell>
          <cell r="F501">
            <v>0</v>
          </cell>
        </row>
        <row r="502">
          <cell r="C502" t="str">
            <v>Isingiro</v>
          </cell>
          <cell r="D502" t="str">
            <v>Kabingo</v>
          </cell>
          <cell r="E502">
            <v>0</v>
          </cell>
          <cell r="F502">
            <v>0</v>
          </cell>
        </row>
        <row r="503">
          <cell r="C503" t="str">
            <v>Kyotera</v>
          </cell>
          <cell r="D503" t="str">
            <v>Kabira</v>
          </cell>
          <cell r="E503">
            <v>0</v>
          </cell>
          <cell r="F503">
            <v>0</v>
          </cell>
        </row>
        <row r="504">
          <cell r="C504" t="str">
            <v>Ruhinda</v>
          </cell>
          <cell r="D504" t="str">
            <v>Kabira</v>
          </cell>
          <cell r="E504">
            <v>0</v>
          </cell>
          <cell r="F504">
            <v>0</v>
          </cell>
        </row>
        <row r="505">
          <cell r="C505" t="str">
            <v>Bukoto</v>
          </cell>
          <cell r="D505" t="str">
            <v>Kabonera</v>
          </cell>
          <cell r="E505">
            <v>0</v>
          </cell>
          <cell r="F505">
            <v>0</v>
          </cell>
        </row>
        <row r="506">
          <cell r="C506" t="str">
            <v>Bunyangabu</v>
          </cell>
          <cell r="D506" t="str">
            <v>Kabonero</v>
          </cell>
          <cell r="E506">
            <v>0</v>
          </cell>
          <cell r="F506">
            <v>0</v>
          </cell>
        </row>
        <row r="507">
          <cell r="C507" t="str">
            <v>Gomba</v>
          </cell>
          <cell r="D507" t="str">
            <v>Kabulasoke</v>
          </cell>
          <cell r="E507">
            <v>0</v>
          </cell>
          <cell r="F507">
            <v>0</v>
          </cell>
        </row>
        <row r="508">
          <cell r="C508" t="str">
            <v>Isingiro</v>
          </cell>
          <cell r="D508" t="str">
            <v>Kabuyanda</v>
          </cell>
          <cell r="E508">
            <v>0</v>
          </cell>
          <cell r="F508">
            <v>0</v>
          </cell>
        </row>
        <row r="509">
          <cell r="C509" t="str">
            <v>Isingiro</v>
          </cell>
          <cell r="D509" t="str">
            <v>Kabuyanda Town Council</v>
          </cell>
          <cell r="E509">
            <v>0</v>
          </cell>
          <cell r="F509">
            <v>0</v>
          </cell>
        </row>
        <row r="510">
          <cell r="C510" t="str">
            <v>Butebo Town Council</v>
          </cell>
          <cell r="D510" t="str">
            <v>Kabwangasi</v>
          </cell>
          <cell r="E510">
            <v>0</v>
          </cell>
          <cell r="F510">
            <v>0</v>
          </cell>
        </row>
        <row r="511">
          <cell r="C511" t="str">
            <v>Kibuku</v>
          </cell>
          <cell r="D511" t="str">
            <v>Kabweri</v>
          </cell>
          <cell r="E511">
            <v>0</v>
          </cell>
          <cell r="F511">
            <v>0</v>
          </cell>
        </row>
        <row r="512">
          <cell r="C512" t="str">
            <v>Kyaka</v>
          </cell>
          <cell r="D512" t="str">
            <v>Kabweza Kyegegwa</v>
          </cell>
          <cell r="E512">
            <v>0</v>
          </cell>
          <cell r="F512">
            <v>0</v>
          </cell>
        </row>
        <row r="513">
          <cell r="C513" t="str">
            <v>Kisoro Municipality</v>
          </cell>
          <cell r="D513" t="str">
            <v>Southern</v>
          </cell>
          <cell r="E513">
            <v>0</v>
          </cell>
          <cell r="F513">
            <v>0</v>
          </cell>
        </row>
        <row r="514">
          <cell r="C514" t="str">
            <v>Buhaguzi</v>
          </cell>
          <cell r="D514" t="str">
            <v>Kabwoya</v>
          </cell>
          <cell r="E514">
            <v>0</v>
          </cell>
        </row>
        <row r="515">
          <cell r="C515" t="str">
            <v>Kooki</v>
          </cell>
          <cell r="D515" t="str">
            <v>Kacheera</v>
          </cell>
          <cell r="E515">
            <v>0</v>
          </cell>
        </row>
        <row r="516">
          <cell r="C516" t="str">
            <v>Jie</v>
          </cell>
          <cell r="D516" t="str">
            <v>Kacheri</v>
          </cell>
          <cell r="E516">
            <v>0</v>
          </cell>
        </row>
        <row r="517">
          <cell r="C517" t="str">
            <v>Budaka</v>
          </cell>
          <cell r="D517" t="str">
            <v>Kachomo</v>
          </cell>
          <cell r="E517">
            <v>0</v>
          </cell>
        </row>
        <row r="518">
          <cell r="C518" t="str">
            <v>Bunyole</v>
          </cell>
          <cell r="D518" t="str">
            <v>Kachonga</v>
          </cell>
          <cell r="E518">
            <v>0</v>
          </cell>
        </row>
        <row r="519">
          <cell r="C519" t="str">
            <v>Bukedea</v>
          </cell>
          <cell r="D519" t="str">
            <v>Kachumbala</v>
          </cell>
          <cell r="E519">
            <v>0</v>
          </cell>
        </row>
        <row r="520">
          <cell r="C520" t="str">
            <v>Kibuku</v>
          </cell>
          <cell r="D520" t="str">
            <v>Kadama</v>
          </cell>
          <cell r="E520">
            <v>0</v>
          </cell>
        </row>
        <row r="521">
          <cell r="C521" t="str">
            <v>Budaka</v>
          </cell>
          <cell r="D521" t="str">
            <v>Kaderuna</v>
          </cell>
          <cell r="E521">
            <v>0</v>
          </cell>
        </row>
        <row r="522">
          <cell r="C522" t="str">
            <v>Kasilo</v>
          </cell>
          <cell r="D522" t="str">
            <v>Kadungulu</v>
          </cell>
          <cell r="E522">
            <v>0</v>
          </cell>
        </row>
        <row r="523">
          <cell r="C523" t="str">
            <v>Buyaga</v>
          </cell>
          <cell r="D523" t="str">
            <v>Kagadi</v>
          </cell>
          <cell r="E523">
            <v>0</v>
          </cell>
        </row>
        <row r="524">
          <cell r="C524" t="str">
            <v>Buyaga</v>
          </cell>
          <cell r="D524" t="str">
            <v>Kagadi Town Council</v>
          </cell>
          <cell r="E524">
            <v>0</v>
          </cell>
        </row>
        <row r="525">
          <cell r="C525" t="str">
            <v>Kooki</v>
          </cell>
          <cell r="D525" t="str">
            <v>Kagamba</v>
          </cell>
          <cell r="E525">
            <v>0</v>
          </cell>
        </row>
        <row r="526">
          <cell r="C526" t="str">
            <v>Kitgum Municipality</v>
          </cell>
          <cell r="D526" t="str">
            <v>Central Division</v>
          </cell>
          <cell r="E526">
            <v>0</v>
          </cell>
          <cell r="F526" t="str">
            <v>Kitgum Municipality</v>
          </cell>
        </row>
        <row r="527">
          <cell r="C527" t="str">
            <v>Kitgum Municipality</v>
          </cell>
          <cell r="D527" t="str">
            <v>Pager Division</v>
          </cell>
          <cell r="E527">
            <v>0</v>
          </cell>
          <cell r="F527">
            <v>0</v>
          </cell>
        </row>
        <row r="528">
          <cell r="C528" t="str">
            <v>Kajara</v>
          </cell>
          <cell r="D528" t="str">
            <v>Kagarama Town Council</v>
          </cell>
          <cell r="E528">
            <v>0</v>
          </cell>
          <cell r="F528">
            <v>0</v>
          </cell>
        </row>
        <row r="529">
          <cell r="C529" t="str">
            <v>Kashari</v>
          </cell>
          <cell r="D529" t="str">
            <v>Kagongi</v>
          </cell>
          <cell r="E529">
            <v>0</v>
          </cell>
          <cell r="F529">
            <v>0</v>
          </cell>
        </row>
        <row r="530">
          <cell r="C530" t="str">
            <v>Bughendera</v>
          </cell>
          <cell r="D530" t="str">
            <v>Kagugu</v>
          </cell>
          <cell r="E530">
            <v>0</v>
          </cell>
          <cell r="F530">
            <v>0</v>
          </cell>
        </row>
        <row r="531">
          <cell r="C531" t="str">
            <v>Budiope</v>
          </cell>
          <cell r="D531" t="str">
            <v>Kagulu</v>
          </cell>
          <cell r="E531">
            <v>0</v>
          </cell>
          <cell r="F531">
            <v>0</v>
          </cell>
        </row>
        <row r="532">
          <cell r="C532" t="str">
            <v>Kibuku</v>
          </cell>
          <cell r="D532" t="str">
            <v>Kagumu</v>
          </cell>
          <cell r="E532">
            <v>0</v>
          </cell>
          <cell r="F532">
            <v>0</v>
          </cell>
        </row>
        <row r="533">
          <cell r="C533" t="str">
            <v>Ndorwa</v>
          </cell>
          <cell r="D533" t="str">
            <v>Kaharo</v>
          </cell>
          <cell r="E533">
            <v>0</v>
          </cell>
          <cell r="F533">
            <v>0</v>
          </cell>
        </row>
        <row r="534">
          <cell r="C534" t="str">
            <v>Kitgum Municipality</v>
          </cell>
          <cell r="D534" t="str">
            <v>Pandwong Division</v>
          </cell>
          <cell r="E534">
            <v>0</v>
          </cell>
          <cell r="F534">
            <v>0</v>
          </cell>
        </row>
        <row r="535">
          <cell r="C535" t="str">
            <v>Kibale</v>
          </cell>
          <cell r="D535" t="str">
            <v>Kahunge</v>
          </cell>
          <cell r="E535">
            <v>0</v>
          </cell>
        </row>
        <row r="536">
          <cell r="C536" t="str">
            <v>Busiro</v>
          </cell>
          <cell r="D536" t="str">
            <v>Kajjansi Town Council</v>
          </cell>
          <cell r="E536">
            <v>0</v>
          </cell>
        </row>
        <row r="537">
          <cell r="C537" t="str">
            <v>Kyaka</v>
          </cell>
          <cell r="D537" t="str">
            <v>Kakabara</v>
          </cell>
          <cell r="E537">
            <v>0</v>
          </cell>
        </row>
        <row r="538">
          <cell r="C538" t="str">
            <v>Bukanga</v>
          </cell>
          <cell r="D538" t="str">
            <v>Kakamba</v>
          </cell>
          <cell r="E538">
            <v>0</v>
          </cell>
        </row>
        <row r="539">
          <cell r="C539" t="str">
            <v>Bukanga</v>
          </cell>
          <cell r="D539" t="str">
            <v>Kakamba</v>
          </cell>
          <cell r="E539">
            <v>0</v>
          </cell>
        </row>
        <row r="540">
          <cell r="C540" t="str">
            <v>Igara</v>
          </cell>
          <cell r="D540" t="str">
            <v>Kakanju</v>
          </cell>
          <cell r="E540">
            <v>0</v>
          </cell>
        </row>
        <row r="541">
          <cell r="C541" t="str">
            <v>Koboko Municipality</v>
          </cell>
          <cell r="D541" t="str">
            <v>Northern Divison</v>
          </cell>
          <cell r="E541">
            <v>0</v>
          </cell>
          <cell r="F541" t="str">
            <v>Koboko Municipality</v>
          </cell>
        </row>
        <row r="542">
          <cell r="C542" t="str">
            <v>Bugangaizi</v>
          </cell>
          <cell r="D542" t="str">
            <v>Kakindo</v>
          </cell>
          <cell r="E542">
            <v>0</v>
          </cell>
          <cell r="F542">
            <v>0</v>
          </cell>
        </row>
        <row r="543">
          <cell r="C543" t="str">
            <v>Sheema</v>
          </cell>
          <cell r="D543" t="str">
            <v>Kakindo Town Council</v>
          </cell>
          <cell r="E543">
            <v>0</v>
          </cell>
          <cell r="F543">
            <v>0</v>
          </cell>
        </row>
        <row r="544">
          <cell r="C544" t="str">
            <v>Busujju</v>
          </cell>
          <cell r="D544" t="str">
            <v>Kakindu</v>
          </cell>
          <cell r="E544">
            <v>0</v>
          </cell>
          <cell r="F544">
            <v>0</v>
          </cell>
        </row>
        <row r="545">
          <cell r="C545" t="str">
            <v>Butembe</v>
          </cell>
          <cell r="D545" t="str">
            <v>Kakira Town Council</v>
          </cell>
          <cell r="E545">
            <v>0</v>
          </cell>
          <cell r="F545">
            <v>0</v>
          </cell>
        </row>
        <row r="546">
          <cell r="C546" t="str">
            <v>Busiro</v>
          </cell>
          <cell r="D546" t="str">
            <v>Kakiri</v>
          </cell>
          <cell r="E546">
            <v>0</v>
          </cell>
          <cell r="F546">
            <v>0</v>
          </cell>
        </row>
        <row r="547">
          <cell r="C547" t="str">
            <v>Busiro</v>
          </cell>
          <cell r="D547" t="str">
            <v>Kakiri Town Council</v>
          </cell>
          <cell r="E547">
            <v>0</v>
          </cell>
          <cell r="F547">
            <v>0</v>
          </cell>
        </row>
        <row r="548">
          <cell r="C548" t="str">
            <v>Koboko Municipality</v>
          </cell>
          <cell r="D548" t="str">
            <v>Southern Division</v>
          </cell>
          <cell r="E548">
            <v>0</v>
          </cell>
          <cell r="F548">
            <v>0</v>
          </cell>
        </row>
        <row r="549">
          <cell r="C549" t="str">
            <v>Chekwii</v>
          </cell>
          <cell r="D549" t="str">
            <v>Kakomongole</v>
          </cell>
          <cell r="E549">
            <v>0</v>
          </cell>
          <cell r="F549">
            <v>0</v>
          </cell>
        </row>
        <row r="550">
          <cell r="C550" t="str">
            <v>Buruli</v>
          </cell>
          <cell r="D550" t="str">
            <v>Kakooge</v>
          </cell>
          <cell r="E550">
            <v>0</v>
          </cell>
          <cell r="F550">
            <v>0</v>
          </cell>
        </row>
        <row r="551">
          <cell r="C551" t="str">
            <v>Buruli</v>
          </cell>
          <cell r="D551" t="str">
            <v>Kakooge Town Council</v>
          </cell>
          <cell r="E551">
            <v>0</v>
          </cell>
          <cell r="F551">
            <v>0</v>
          </cell>
        </row>
        <row r="552">
          <cell r="C552" t="str">
            <v>Butebo Town Council</v>
          </cell>
          <cell r="D552" t="str">
            <v>Kakoro</v>
          </cell>
          <cell r="E552">
            <v>0</v>
          </cell>
          <cell r="F552">
            <v>0</v>
          </cell>
        </row>
        <row r="553">
          <cell r="C553" t="str">
            <v>Budaka</v>
          </cell>
          <cell r="D553" t="str">
            <v>Kakule</v>
          </cell>
          <cell r="E553">
            <v>0</v>
          </cell>
          <cell r="F553">
            <v>0</v>
          </cell>
        </row>
        <row r="554">
          <cell r="C554" t="str">
            <v>Bugangaizi</v>
          </cell>
          <cell r="D554" t="str">
            <v>Kakumiro Town Council</v>
          </cell>
          <cell r="E554">
            <v>0</v>
          </cell>
          <cell r="F554">
            <v>0</v>
          </cell>
        </row>
        <row r="555">
          <cell r="C555" t="str">
            <v>Kalaki</v>
          </cell>
          <cell r="D555" t="str">
            <v>Kakure</v>
          </cell>
          <cell r="E555">
            <v>0</v>
          </cell>
          <cell r="F555">
            <v>0</v>
          </cell>
        </row>
        <row r="556">
          <cell r="C556" t="str">
            <v>Kakuuto</v>
          </cell>
          <cell r="D556" t="str">
            <v>Kakuuto</v>
          </cell>
          <cell r="E556">
            <v>0</v>
          </cell>
          <cell r="F556">
            <v>0</v>
          </cell>
        </row>
        <row r="557">
          <cell r="C557" t="str">
            <v>Bamunanika</v>
          </cell>
          <cell r="D557" t="str">
            <v>Kalagala</v>
          </cell>
          <cell r="E557">
            <v>0</v>
          </cell>
          <cell r="F557">
            <v>0</v>
          </cell>
        </row>
        <row r="558">
          <cell r="C558" t="str">
            <v>Kalaki</v>
          </cell>
          <cell r="D558" t="str">
            <v>Kalaki</v>
          </cell>
          <cell r="E558">
            <v>0</v>
          </cell>
          <cell r="F558">
            <v>0</v>
          </cell>
        </row>
        <row r="559">
          <cell r="C559" t="str">
            <v>Butambala</v>
          </cell>
          <cell r="D559" t="str">
            <v>Kalamba</v>
          </cell>
          <cell r="E559">
            <v>0</v>
          </cell>
          <cell r="F559">
            <v>0</v>
          </cell>
        </row>
        <row r="560">
          <cell r="C560" t="str">
            <v>Mityana</v>
          </cell>
          <cell r="D560" t="str">
            <v>Kalangaalo</v>
          </cell>
          <cell r="E560">
            <v>0</v>
          </cell>
          <cell r="F560">
            <v>0</v>
          </cell>
        </row>
        <row r="561">
          <cell r="C561" t="str">
            <v>Bujumba</v>
          </cell>
          <cell r="D561" t="str">
            <v>Kalangala Town Council</v>
          </cell>
          <cell r="E561">
            <v>0</v>
          </cell>
          <cell r="F561">
            <v>0</v>
          </cell>
        </row>
        <row r="562">
          <cell r="C562" t="str">
            <v>Dodoth</v>
          </cell>
          <cell r="D562" t="str">
            <v>Kalapata</v>
          </cell>
          <cell r="E562">
            <v>0</v>
          </cell>
          <cell r="F562">
            <v>0</v>
          </cell>
        </row>
        <row r="563">
          <cell r="C563" t="str">
            <v>Kabula</v>
          </cell>
          <cell r="D563" t="str">
            <v>Kaliiro</v>
          </cell>
          <cell r="E563">
            <v>0</v>
          </cell>
          <cell r="F563">
            <v>0</v>
          </cell>
        </row>
        <row r="564">
          <cell r="C564" t="str">
            <v>Bulamogi</v>
          </cell>
          <cell r="D564" t="str">
            <v>Kaliro Town Council</v>
          </cell>
          <cell r="E564">
            <v>0</v>
          </cell>
          <cell r="F564">
            <v>0</v>
          </cell>
        </row>
        <row r="565">
          <cell r="C565" t="str">
            <v>Kyotera</v>
          </cell>
          <cell r="D565" t="str">
            <v>Kalisizo</v>
          </cell>
          <cell r="E565">
            <v>0</v>
          </cell>
          <cell r="F565">
            <v>0</v>
          </cell>
        </row>
        <row r="566">
          <cell r="C566" t="str">
            <v>Kyotera</v>
          </cell>
          <cell r="D566" t="str">
            <v>Kalisizo Town Council</v>
          </cell>
          <cell r="E566">
            <v>0</v>
          </cell>
          <cell r="F566">
            <v>0</v>
          </cell>
        </row>
        <row r="567">
          <cell r="C567" t="str">
            <v>Buruli</v>
          </cell>
          <cell r="D567" t="str">
            <v>Kalongo</v>
          </cell>
          <cell r="E567">
            <v>0</v>
          </cell>
          <cell r="F567">
            <v>0</v>
          </cell>
        </row>
        <row r="568">
          <cell r="C568" t="str">
            <v>Agago</v>
          </cell>
          <cell r="D568" t="str">
            <v>Kalongo Town Council</v>
          </cell>
          <cell r="E568">
            <v>0</v>
          </cell>
          <cell r="F568">
            <v>0</v>
          </cell>
        </row>
        <row r="569">
          <cell r="C569" t="str">
            <v>Buruli</v>
          </cell>
          <cell r="D569" t="str">
            <v>Kalungi</v>
          </cell>
          <cell r="E569">
            <v>0</v>
          </cell>
          <cell r="F569">
            <v>0</v>
          </cell>
        </row>
        <row r="570">
          <cell r="C570" t="str">
            <v>Kalungu</v>
          </cell>
          <cell r="D570" t="str">
            <v>Kalungu</v>
          </cell>
          <cell r="E570">
            <v>0</v>
          </cell>
          <cell r="F570">
            <v>0</v>
          </cell>
        </row>
        <row r="571">
          <cell r="C571" t="str">
            <v>Kalungu</v>
          </cell>
          <cell r="D571" t="str">
            <v>Kalungu Town Council</v>
          </cell>
          <cell r="E571">
            <v>0</v>
          </cell>
          <cell r="F571">
            <v>0</v>
          </cell>
        </row>
        <row r="572">
          <cell r="C572" t="str">
            <v>Kassanda</v>
          </cell>
          <cell r="D572" t="str">
            <v>Kalwana</v>
          </cell>
          <cell r="E572">
            <v>0</v>
          </cell>
          <cell r="F572">
            <v>0</v>
          </cell>
        </row>
        <row r="573">
          <cell r="C573" t="str">
            <v>Kinkiizi</v>
          </cell>
          <cell r="D573" t="str">
            <v>Kambuga</v>
          </cell>
          <cell r="E573">
            <v>0</v>
          </cell>
          <cell r="F573">
            <v>0</v>
          </cell>
        </row>
        <row r="574">
          <cell r="C574" t="str">
            <v>Kinkiizi</v>
          </cell>
          <cell r="D574" t="str">
            <v>Kambuga Town Council</v>
          </cell>
          <cell r="E574">
            <v>0</v>
          </cell>
          <cell r="F574">
            <v>0</v>
          </cell>
        </row>
        <row r="575">
          <cell r="C575" t="str">
            <v>Oyam</v>
          </cell>
          <cell r="D575" t="str">
            <v>Kamdini</v>
          </cell>
          <cell r="E575">
            <v>0</v>
          </cell>
          <cell r="F575">
            <v>0</v>
          </cell>
        </row>
        <row r="576">
          <cell r="C576" t="str">
            <v>Agule</v>
          </cell>
          <cell r="D576" t="str">
            <v>Kameke</v>
          </cell>
          <cell r="E576">
            <v>0</v>
          </cell>
          <cell r="F576">
            <v>0</v>
          </cell>
        </row>
        <row r="577">
          <cell r="C577" t="str">
            <v>Iki-Iki</v>
          </cell>
          <cell r="D577" t="str">
            <v>Kameruka</v>
          </cell>
          <cell r="E577">
            <v>0</v>
          </cell>
          <cell r="F577">
            <v>0</v>
          </cell>
        </row>
        <row r="578">
          <cell r="C578" t="str">
            <v>Kongasis</v>
          </cell>
          <cell r="D578" t="str">
            <v>Kamet</v>
          </cell>
          <cell r="E578">
            <v>0</v>
          </cell>
          <cell r="F578">
            <v>0</v>
          </cell>
        </row>
        <row r="579">
          <cell r="C579" t="str">
            <v>Dodoth</v>
          </cell>
          <cell r="D579" t="str">
            <v>Kamion</v>
          </cell>
          <cell r="E579">
            <v>0</v>
          </cell>
          <cell r="F579">
            <v>0</v>
          </cell>
        </row>
        <row r="580">
          <cell r="C580" t="str">
            <v>Bamunanika</v>
          </cell>
          <cell r="D580" t="str">
            <v>Kamira</v>
          </cell>
          <cell r="E580">
            <v>0</v>
          </cell>
          <cell r="F580">
            <v>0</v>
          </cell>
        </row>
        <row r="581">
          <cell r="C581" t="str">
            <v>Mawokota</v>
          </cell>
          <cell r="D581" t="str">
            <v>Kammengo</v>
          </cell>
          <cell r="E581">
            <v>0</v>
          </cell>
          <cell r="F581">
            <v>0</v>
          </cell>
        </row>
        <row r="582">
          <cell r="C582" t="str">
            <v>Iki-Iki</v>
          </cell>
          <cell r="D582" t="str">
            <v>Kamonkoli</v>
          </cell>
          <cell r="E582">
            <v>0</v>
          </cell>
          <cell r="F582">
            <v>0</v>
          </cell>
        </row>
        <row r="583">
          <cell r="C583" t="str">
            <v>Bulambuli</v>
          </cell>
          <cell r="D583" t="str">
            <v>Kamu</v>
          </cell>
          <cell r="E583">
            <v>0</v>
          </cell>
          <cell r="F583">
            <v>0</v>
          </cell>
        </row>
        <row r="584">
          <cell r="C584" t="str">
            <v>Soroti</v>
          </cell>
          <cell r="D584" t="str">
            <v>Kamuda</v>
          </cell>
          <cell r="E584">
            <v>0</v>
          </cell>
          <cell r="F584">
            <v>0</v>
          </cell>
        </row>
        <row r="585">
          <cell r="C585" t="str">
            <v>Ndorwa</v>
          </cell>
          <cell r="D585" t="str">
            <v>Kamuganguzi</v>
          </cell>
          <cell r="E585">
            <v>0</v>
          </cell>
          <cell r="F585">
            <v>0</v>
          </cell>
        </row>
        <row r="586">
          <cell r="C586" t="str">
            <v>Pallisa</v>
          </cell>
          <cell r="D586" t="str">
            <v>Kamuge</v>
          </cell>
          <cell r="E586">
            <v>0</v>
          </cell>
          <cell r="F586">
            <v>0</v>
          </cell>
        </row>
        <row r="587">
          <cell r="C587" t="str">
            <v>Koboko Municipality</v>
          </cell>
          <cell r="D587" t="str">
            <v>Western Division</v>
          </cell>
          <cell r="E587">
            <v>0</v>
          </cell>
          <cell r="F587">
            <v>0</v>
          </cell>
        </row>
        <row r="588">
          <cell r="C588" t="str">
            <v>Kibale</v>
          </cell>
          <cell r="D588" t="str">
            <v>Kamwenge</v>
          </cell>
          <cell r="E588">
            <v>0</v>
          </cell>
        </row>
        <row r="589">
          <cell r="C589" t="str">
            <v>Kibale</v>
          </cell>
          <cell r="D589" t="str">
            <v>Kamwenge Town Council</v>
          </cell>
          <cell r="E589">
            <v>0</v>
          </cell>
        </row>
        <row r="590">
          <cell r="C590" t="str">
            <v>Rukiga</v>
          </cell>
          <cell r="D590" t="str">
            <v>Kamwezi</v>
          </cell>
          <cell r="E590">
            <v>0</v>
          </cell>
        </row>
        <row r="591">
          <cell r="C591" t="str">
            <v>Bufumbira</v>
          </cell>
          <cell r="D591" t="str">
            <v>Kanaba</v>
          </cell>
          <cell r="E591">
            <v>0</v>
          </cell>
        </row>
        <row r="592">
          <cell r="C592" t="str">
            <v>Kitagwenda</v>
          </cell>
          <cell r="D592" t="str">
            <v>Kanara</v>
          </cell>
          <cell r="E592">
            <v>0</v>
          </cell>
        </row>
        <row r="593">
          <cell r="C593" t="str">
            <v>Ntoroko</v>
          </cell>
          <cell r="D593" t="str">
            <v>Kanara</v>
          </cell>
          <cell r="E593">
            <v>0</v>
          </cell>
        </row>
        <row r="594">
          <cell r="C594" t="str">
            <v>Ntoroko</v>
          </cell>
          <cell r="D594" t="str">
            <v>Kanara Town Council</v>
          </cell>
          <cell r="E594">
            <v>0</v>
          </cell>
        </row>
        <row r="595">
          <cell r="C595" t="str">
            <v>Kotido Municipality</v>
          </cell>
          <cell r="D595" t="str">
            <v>Central Division</v>
          </cell>
          <cell r="E595">
            <v>0</v>
          </cell>
          <cell r="F595" t="str">
            <v>Kotido Municipality</v>
          </cell>
        </row>
        <row r="596">
          <cell r="C596" t="str">
            <v>Dokolo</v>
          </cell>
          <cell r="D596" t="str">
            <v>Kangai</v>
          </cell>
          <cell r="E596">
            <v>0</v>
          </cell>
          <cell r="F596">
            <v>0</v>
          </cell>
        </row>
        <row r="597">
          <cell r="C597" t="str">
            <v>Butebo Town Council</v>
          </cell>
          <cell r="D597" t="str">
            <v>Kanginima</v>
          </cell>
          <cell r="E597">
            <v>0</v>
          </cell>
          <cell r="F597">
            <v>0</v>
          </cell>
        </row>
        <row r="598">
          <cell r="C598" t="str">
            <v>Okoro</v>
          </cell>
          <cell r="D598" t="str">
            <v>Kango</v>
          </cell>
          <cell r="E598">
            <v>0</v>
          </cell>
          <cell r="F598">
            <v>0</v>
          </cell>
        </row>
        <row r="599">
          <cell r="C599" t="str">
            <v>Ntenjeru</v>
          </cell>
          <cell r="D599" t="str">
            <v>Kangulumira</v>
          </cell>
          <cell r="E599">
            <v>0</v>
          </cell>
          <cell r="F599">
            <v>0</v>
          </cell>
        </row>
        <row r="600">
          <cell r="C600" t="str">
            <v>Kazo</v>
          </cell>
          <cell r="D600" t="str">
            <v>Kanoni</v>
          </cell>
          <cell r="E600">
            <v>0</v>
          </cell>
          <cell r="F600">
            <v>0</v>
          </cell>
        </row>
        <row r="601">
          <cell r="C601" t="str">
            <v>Gomba</v>
          </cell>
          <cell r="D601" t="str">
            <v>Kanoni Town Council</v>
          </cell>
          <cell r="E601">
            <v>0</v>
          </cell>
          <cell r="F601">
            <v>0</v>
          </cell>
        </row>
        <row r="602">
          <cell r="C602" t="str">
            <v>Kinkiizi</v>
          </cell>
          <cell r="D602" t="str">
            <v>Kanungu Town Council</v>
          </cell>
          <cell r="E602">
            <v>0</v>
          </cell>
          <cell r="F602">
            <v>0</v>
          </cell>
        </row>
        <row r="603">
          <cell r="C603" t="str">
            <v>Ruhinda</v>
          </cell>
          <cell r="D603" t="str">
            <v>Kanyabwanga</v>
          </cell>
          <cell r="E603">
            <v>0</v>
          </cell>
          <cell r="F603">
            <v>0</v>
          </cell>
        </row>
        <row r="604">
          <cell r="C604" t="str">
            <v>Kinkiizi</v>
          </cell>
          <cell r="D604" t="str">
            <v>Kanyantorogo</v>
          </cell>
          <cell r="E604">
            <v>0</v>
          </cell>
          <cell r="F604">
            <v>0</v>
          </cell>
        </row>
        <row r="605">
          <cell r="C605" t="str">
            <v>Nyabushozi</v>
          </cell>
          <cell r="D605" t="str">
            <v>Kanyaryeru</v>
          </cell>
          <cell r="E605">
            <v>0</v>
          </cell>
          <cell r="F605">
            <v>0</v>
          </cell>
        </row>
        <row r="606">
          <cell r="C606" t="str">
            <v>Kumi</v>
          </cell>
          <cell r="D606" t="str">
            <v>Kanyum</v>
          </cell>
          <cell r="E606">
            <v>0</v>
          </cell>
          <cell r="F606">
            <v>0</v>
          </cell>
        </row>
        <row r="607">
          <cell r="C607" t="str">
            <v>Kotido Municipality</v>
          </cell>
          <cell r="D607" t="str">
            <v>Kanawat Division</v>
          </cell>
          <cell r="E607">
            <v>0</v>
          </cell>
          <cell r="F607">
            <v>0</v>
          </cell>
        </row>
        <row r="608">
          <cell r="C608" t="str">
            <v>Dodoth</v>
          </cell>
          <cell r="D608" t="str">
            <v>Kapedo</v>
          </cell>
          <cell r="E608">
            <v>0</v>
          </cell>
          <cell r="F608">
            <v>0</v>
          </cell>
        </row>
        <row r="609">
          <cell r="C609" t="str">
            <v>Nakaseke</v>
          </cell>
          <cell r="D609" t="str">
            <v>Kapeeka</v>
          </cell>
          <cell r="E609">
            <v>0</v>
          </cell>
          <cell r="F609">
            <v>0</v>
          </cell>
        </row>
        <row r="610">
          <cell r="C610" t="str">
            <v>Kiboga</v>
          </cell>
          <cell r="D610" t="str">
            <v>Kapeke</v>
          </cell>
          <cell r="E610">
            <v>0</v>
          </cell>
          <cell r="F610">
            <v>0</v>
          </cell>
        </row>
        <row r="611">
          <cell r="C611" t="str">
            <v>Kapelebyong</v>
          </cell>
          <cell r="D611" t="str">
            <v>Kapelebyong</v>
          </cell>
          <cell r="E611">
            <v>0</v>
          </cell>
          <cell r="F611">
            <v>0</v>
          </cell>
        </row>
        <row r="612">
          <cell r="C612" t="str">
            <v>Ngora</v>
          </cell>
          <cell r="D612" t="str">
            <v>Kapir</v>
          </cell>
          <cell r="E612">
            <v>0</v>
          </cell>
          <cell r="F612">
            <v>0</v>
          </cell>
        </row>
        <row r="613">
          <cell r="C613" t="str">
            <v>Kween</v>
          </cell>
          <cell r="D613" t="str">
            <v>Kaproron</v>
          </cell>
          <cell r="E613">
            <v>0</v>
          </cell>
          <cell r="F613">
            <v>0</v>
          </cell>
        </row>
        <row r="614">
          <cell r="C614" t="str">
            <v>Tingey</v>
          </cell>
          <cell r="D614" t="str">
            <v>Kapsinda</v>
          </cell>
          <cell r="E614">
            <v>0</v>
          </cell>
          <cell r="F614">
            <v>0</v>
          </cell>
        </row>
        <row r="615">
          <cell r="C615" t="str">
            <v>Tingey</v>
          </cell>
          <cell r="D615" t="str">
            <v>Kaptanya</v>
          </cell>
          <cell r="E615">
            <v>0</v>
          </cell>
          <cell r="F615">
            <v>0</v>
          </cell>
        </row>
        <row r="616">
          <cell r="C616" t="str">
            <v>Kongasis</v>
          </cell>
          <cell r="D616" t="str">
            <v>Kaptererwo</v>
          </cell>
          <cell r="E616">
            <v>0</v>
          </cell>
          <cell r="F616">
            <v>0</v>
          </cell>
        </row>
        <row r="617">
          <cell r="C617" t="str">
            <v>Kween</v>
          </cell>
          <cell r="D617" t="str">
            <v>Kaptoyoy</v>
          </cell>
          <cell r="E617">
            <v>0</v>
          </cell>
          <cell r="F617">
            <v>0</v>
          </cell>
        </row>
        <row r="618">
          <cell r="C618" t="str">
            <v>Kween</v>
          </cell>
          <cell r="D618" t="str">
            <v>Kaptum</v>
          </cell>
          <cell r="E618">
            <v>0</v>
          </cell>
          <cell r="F618">
            <v>0</v>
          </cell>
        </row>
        <row r="619">
          <cell r="C619" t="str">
            <v>Toroma</v>
          </cell>
          <cell r="D619" t="str">
            <v>Kapujan</v>
          </cell>
          <cell r="E619">
            <v>0</v>
          </cell>
          <cell r="F619">
            <v>0</v>
          </cell>
        </row>
        <row r="620">
          <cell r="C620" t="str">
            <v>Bukooli North</v>
          </cell>
          <cell r="D620" t="str">
            <v>Kapyanga</v>
          </cell>
          <cell r="E620">
            <v>0</v>
          </cell>
          <cell r="F620">
            <v>0</v>
          </cell>
        </row>
        <row r="621">
          <cell r="C621" t="str">
            <v>Burahya</v>
          </cell>
          <cell r="D621" t="str">
            <v>Karago Town Council</v>
          </cell>
          <cell r="E621">
            <v>0</v>
          </cell>
          <cell r="F621">
            <v>0</v>
          </cell>
        </row>
        <row r="622">
          <cell r="C622" t="str">
            <v>Burahya</v>
          </cell>
          <cell r="D622" t="str">
            <v>Karambi</v>
          </cell>
          <cell r="E622">
            <v>0</v>
          </cell>
          <cell r="F622">
            <v>0</v>
          </cell>
        </row>
        <row r="623">
          <cell r="C623" t="str">
            <v>Bukonzo</v>
          </cell>
          <cell r="D623" t="str">
            <v>Karambi</v>
          </cell>
          <cell r="E623">
            <v>0</v>
          </cell>
          <cell r="F623">
            <v>0</v>
          </cell>
        </row>
        <row r="624">
          <cell r="C624" t="str">
            <v>Burahya</v>
          </cell>
          <cell r="D624" t="str">
            <v>Karangura</v>
          </cell>
          <cell r="E624">
            <v>0</v>
          </cell>
          <cell r="F624">
            <v>0</v>
          </cell>
        </row>
        <row r="625">
          <cell r="C625" t="str">
            <v>Pokot</v>
          </cell>
          <cell r="D625" t="str">
            <v>Karita</v>
          </cell>
          <cell r="E625">
            <v>0</v>
          </cell>
          <cell r="F625">
            <v>0</v>
          </cell>
        </row>
        <row r="626">
          <cell r="C626" t="str">
            <v>Ntoroko</v>
          </cell>
          <cell r="D626" t="str">
            <v>Karugutu</v>
          </cell>
          <cell r="E626">
            <v>0</v>
          </cell>
          <cell r="F626">
            <v>0</v>
          </cell>
        </row>
        <row r="627">
          <cell r="C627" t="str">
            <v>Ntoroko</v>
          </cell>
          <cell r="D627" t="str">
            <v>Karugutu Town Council</v>
          </cell>
          <cell r="E627">
            <v>0</v>
          </cell>
          <cell r="F627">
            <v>0</v>
          </cell>
        </row>
        <row r="628">
          <cell r="C628" t="str">
            <v>Kotido Municipality</v>
          </cell>
          <cell r="D628" t="str">
            <v>Kapadakook Division</v>
          </cell>
          <cell r="E628">
            <v>0</v>
          </cell>
          <cell r="F628">
            <v>0</v>
          </cell>
        </row>
        <row r="629">
          <cell r="C629" t="str">
            <v>Buhweju</v>
          </cell>
          <cell r="D629" t="str">
            <v>Karungu</v>
          </cell>
          <cell r="E629">
            <v>0</v>
          </cell>
          <cell r="F629">
            <v>0</v>
          </cell>
        </row>
        <row r="630">
          <cell r="C630" t="str">
            <v>Busongora</v>
          </cell>
          <cell r="D630" t="str">
            <v>Karusandara</v>
          </cell>
          <cell r="E630">
            <v>0</v>
          </cell>
          <cell r="F630">
            <v>0</v>
          </cell>
        </row>
        <row r="631">
          <cell r="C631" t="str">
            <v>Sheema</v>
          </cell>
          <cell r="D631" t="str">
            <v>Kasaana</v>
          </cell>
          <cell r="E631">
            <v>0</v>
          </cell>
          <cell r="F631">
            <v>0</v>
          </cell>
        </row>
        <row r="632">
          <cell r="C632" t="str">
            <v>Kabula</v>
          </cell>
          <cell r="D632" t="str">
            <v>Kasagama</v>
          </cell>
          <cell r="E632">
            <v>0</v>
          </cell>
          <cell r="F632">
            <v>0</v>
          </cell>
        </row>
        <row r="633">
          <cell r="C633" t="str">
            <v>Kasambya</v>
          </cell>
          <cell r="D633" t="str">
            <v>Kasambya</v>
          </cell>
          <cell r="E633">
            <v>0</v>
          </cell>
          <cell r="F633">
            <v>0</v>
          </cell>
        </row>
        <row r="634">
          <cell r="C634" t="str">
            <v>Bugangaizi</v>
          </cell>
          <cell r="D634" t="str">
            <v>Kasambya</v>
          </cell>
          <cell r="E634">
            <v>0</v>
          </cell>
          <cell r="F634">
            <v>0</v>
          </cell>
        </row>
        <row r="635">
          <cell r="C635" t="str">
            <v>Kyadondo</v>
          </cell>
          <cell r="D635" t="str">
            <v>Kasangati Town Council</v>
          </cell>
          <cell r="E635">
            <v>0</v>
          </cell>
          <cell r="F635">
            <v>0</v>
          </cell>
        </row>
        <row r="636">
          <cell r="C636" t="str">
            <v>Nakaseke</v>
          </cell>
          <cell r="D636" t="str">
            <v>Kasangombe</v>
          </cell>
          <cell r="E636">
            <v>0</v>
          </cell>
          <cell r="F636">
            <v>0</v>
          </cell>
        </row>
        <row r="637">
          <cell r="C637" t="str">
            <v>Busiro</v>
          </cell>
          <cell r="D637" t="str">
            <v>Kasanje</v>
          </cell>
          <cell r="E637">
            <v>0</v>
          </cell>
          <cell r="F637">
            <v>0</v>
          </cell>
        </row>
        <row r="638">
          <cell r="C638" t="str">
            <v>Kooki</v>
          </cell>
          <cell r="D638" t="str">
            <v>Kasasa</v>
          </cell>
          <cell r="E638">
            <v>0</v>
          </cell>
          <cell r="F638">
            <v>0</v>
          </cell>
        </row>
        <row r="639">
          <cell r="C639" t="str">
            <v>Kibuku</v>
          </cell>
          <cell r="D639" t="str">
            <v>Kasasira</v>
          </cell>
          <cell r="E639">
            <v>0</v>
          </cell>
          <cell r="F639">
            <v>0</v>
          </cell>
        </row>
        <row r="640">
          <cell r="C640" t="str">
            <v>Nakifuma</v>
          </cell>
          <cell r="D640" t="str">
            <v>Kasawo</v>
          </cell>
          <cell r="E640">
            <v>0</v>
          </cell>
          <cell r="F640">
            <v>0</v>
          </cell>
        </row>
        <row r="641">
          <cell r="C641" t="str">
            <v>Burahya</v>
          </cell>
          <cell r="D641" t="str">
            <v>Kasenda</v>
          </cell>
          <cell r="E641">
            <v>0</v>
          </cell>
          <cell r="F641">
            <v>0</v>
          </cell>
        </row>
        <row r="642">
          <cell r="C642" t="str">
            <v>Tingey</v>
          </cell>
          <cell r="D642" t="str">
            <v>Kaserem</v>
          </cell>
          <cell r="E642">
            <v>0</v>
          </cell>
          <cell r="F642">
            <v>0</v>
          </cell>
        </row>
        <row r="643">
          <cell r="C643" t="str">
            <v>Rukiga</v>
          </cell>
          <cell r="D643" t="str">
            <v>Kashambya</v>
          </cell>
          <cell r="E643">
            <v>0</v>
          </cell>
          <cell r="F643">
            <v>0</v>
          </cell>
        </row>
        <row r="644">
          <cell r="C644" t="str">
            <v>Kashari</v>
          </cell>
          <cell r="D644" t="str">
            <v>Kashare</v>
          </cell>
          <cell r="E644">
            <v>0</v>
          </cell>
          <cell r="F644">
            <v>0</v>
          </cell>
        </row>
        <row r="645">
          <cell r="C645" t="str">
            <v>Ruhinda</v>
          </cell>
          <cell r="D645" t="str">
            <v>Kashenshero</v>
          </cell>
          <cell r="E645">
            <v>0</v>
          </cell>
          <cell r="F645">
            <v>0</v>
          </cell>
        </row>
        <row r="646">
          <cell r="C646" t="str">
            <v>Ruhinda</v>
          </cell>
          <cell r="D646" t="str">
            <v>Kashenshero Town Council</v>
          </cell>
          <cell r="E646">
            <v>0</v>
          </cell>
          <cell r="F646">
            <v>0</v>
          </cell>
        </row>
        <row r="647">
          <cell r="C647" t="str">
            <v>Nyabushozi</v>
          </cell>
          <cell r="D647" t="str">
            <v>Kashongi</v>
          </cell>
          <cell r="E647">
            <v>0</v>
          </cell>
          <cell r="F647">
            <v>0</v>
          </cell>
        </row>
        <row r="648">
          <cell r="C648" t="str">
            <v>Kotido Municipality</v>
          </cell>
          <cell r="D648" t="str">
            <v>Losilang Division</v>
          </cell>
          <cell r="E648">
            <v>0</v>
          </cell>
          <cell r="F648">
            <v>0</v>
          </cell>
        </row>
        <row r="649">
          <cell r="C649" t="str">
            <v>Kasilo</v>
          </cell>
          <cell r="D649" t="str">
            <v>Kasilo Town Council</v>
          </cell>
          <cell r="E649">
            <v>0</v>
          </cell>
        </row>
        <row r="650">
          <cell r="C650" t="str">
            <v>Buyanja</v>
          </cell>
          <cell r="D650" t="str">
            <v>Kasimbi</v>
          </cell>
          <cell r="E650">
            <v>0</v>
          </cell>
        </row>
        <row r="651">
          <cell r="C651" t="str">
            <v>Bughendera</v>
          </cell>
          <cell r="D651" t="str">
            <v>Kasitu</v>
          </cell>
          <cell r="E651">
            <v>0</v>
          </cell>
        </row>
        <row r="652">
          <cell r="C652" t="str">
            <v>Pallisa</v>
          </cell>
          <cell r="D652" t="str">
            <v>Kasodo</v>
          </cell>
          <cell r="E652">
            <v>0</v>
          </cell>
        </row>
        <row r="653">
          <cell r="C653" t="str">
            <v>Bulamogi</v>
          </cell>
          <cell r="D653" t="str">
            <v>Kasokwe</v>
          </cell>
          <cell r="E653">
            <v>0</v>
          </cell>
        </row>
        <row r="654">
          <cell r="C654" t="str">
            <v>Kassanda</v>
          </cell>
          <cell r="D654" t="str">
            <v>Kassanda</v>
          </cell>
          <cell r="E654">
            <v>0</v>
          </cell>
        </row>
        <row r="655">
          <cell r="C655" t="str">
            <v>Kyaka</v>
          </cell>
          <cell r="D655" t="str">
            <v>Kasule</v>
          </cell>
          <cell r="E655">
            <v>0</v>
          </cell>
        </row>
        <row r="656">
          <cell r="C656" t="str">
            <v>Busiro</v>
          </cell>
          <cell r="D656" t="str">
            <v>Katabi Town Council</v>
          </cell>
          <cell r="E656">
            <v>0</v>
          </cell>
        </row>
        <row r="657">
          <cell r="C657" t="str">
            <v>Usuk</v>
          </cell>
          <cell r="D657" t="str">
            <v>Katakwi</v>
          </cell>
          <cell r="E657">
            <v>0</v>
          </cell>
        </row>
        <row r="658">
          <cell r="C658" t="str">
            <v>Usuk</v>
          </cell>
          <cell r="D658" t="str">
            <v>Katakwi Town Council</v>
          </cell>
          <cell r="E658">
            <v>0</v>
          </cell>
        </row>
        <row r="659">
          <cell r="C659" t="str">
            <v>Katerera</v>
          </cell>
          <cell r="D659" t="str">
            <v>Katanda</v>
          </cell>
          <cell r="E659">
            <v>0</v>
          </cell>
        </row>
        <row r="660">
          <cell r="C660" t="str">
            <v>Bunyangabu</v>
          </cell>
          <cell r="D660" t="str">
            <v>Katebwa</v>
          </cell>
          <cell r="E660">
            <v>0</v>
          </cell>
        </row>
        <row r="661">
          <cell r="C661" t="str">
            <v>Ruhinda</v>
          </cell>
          <cell r="D661" t="str">
            <v>Katenga</v>
          </cell>
          <cell r="E661">
            <v>0</v>
          </cell>
        </row>
        <row r="662">
          <cell r="C662" t="str">
            <v>Katerera</v>
          </cell>
          <cell r="D662" t="str">
            <v>Katerera</v>
          </cell>
          <cell r="E662">
            <v>0</v>
          </cell>
        </row>
        <row r="663">
          <cell r="C663" t="str">
            <v>Katerera</v>
          </cell>
          <cell r="D663" t="str">
            <v>Katerera Town Council</v>
          </cell>
          <cell r="E663">
            <v>0</v>
          </cell>
        </row>
        <row r="664">
          <cell r="C664" t="str">
            <v>Serere</v>
          </cell>
          <cell r="D664" t="str">
            <v>Kateta</v>
          </cell>
          <cell r="E664">
            <v>0</v>
          </cell>
        </row>
        <row r="665">
          <cell r="C665" t="str">
            <v>Kinkiizi</v>
          </cell>
          <cell r="D665" t="str">
            <v>Katete</v>
          </cell>
          <cell r="E665">
            <v>0</v>
          </cell>
        </row>
        <row r="666">
          <cell r="C666" t="str">
            <v>Dodoth</v>
          </cell>
          <cell r="D666" t="str">
            <v>Kathile</v>
          </cell>
          <cell r="E666">
            <v>0</v>
          </cell>
        </row>
        <row r="667">
          <cell r="C667" t="str">
            <v>Iki-Iki</v>
          </cell>
          <cell r="D667" t="str">
            <v>Katiira</v>
          </cell>
          <cell r="E667">
            <v>0</v>
          </cell>
        </row>
        <row r="668">
          <cell r="C668" t="str">
            <v>Katikamu</v>
          </cell>
          <cell r="D668" t="str">
            <v>Katikamu</v>
          </cell>
          <cell r="E668">
            <v>0</v>
          </cell>
        </row>
        <row r="669">
          <cell r="C669" t="str">
            <v>Matheniko</v>
          </cell>
          <cell r="D669" t="str">
            <v>Katikekile</v>
          </cell>
          <cell r="E669">
            <v>0</v>
          </cell>
        </row>
        <row r="670">
          <cell r="C670" t="str">
            <v>Soroti</v>
          </cell>
          <cell r="D670" t="str">
            <v>Katine</v>
          </cell>
          <cell r="E670">
            <v>0</v>
          </cell>
        </row>
        <row r="671">
          <cell r="C671" t="str">
            <v>Mwenge</v>
          </cell>
          <cell r="D671" t="str">
            <v>Katooke</v>
          </cell>
          <cell r="E671">
            <v>0</v>
          </cell>
        </row>
        <row r="672">
          <cell r="C672" t="str">
            <v>Mwenge</v>
          </cell>
          <cell r="D672" t="str">
            <v>Katooke Town Council</v>
          </cell>
          <cell r="E672">
            <v>0</v>
          </cell>
        </row>
        <row r="673">
          <cell r="C673" t="str">
            <v>Terego</v>
          </cell>
          <cell r="D673" t="str">
            <v>Katrini</v>
          </cell>
          <cell r="E673">
            <v>0</v>
          </cell>
        </row>
        <row r="674">
          <cell r="C674" t="str">
            <v>Ndorwa</v>
          </cell>
          <cell r="D674" t="str">
            <v>Katuna Town Council</v>
          </cell>
          <cell r="E674">
            <v>0</v>
          </cell>
        </row>
        <row r="675">
          <cell r="C675" t="str">
            <v>Bunyaruguru</v>
          </cell>
          <cell r="D675" t="str">
            <v>Katunguru</v>
          </cell>
          <cell r="E675">
            <v>0</v>
          </cell>
        </row>
        <row r="676">
          <cell r="C676" t="str">
            <v>Busongora</v>
          </cell>
          <cell r="D676" t="str">
            <v>Katwe Kabatoro Town Council</v>
          </cell>
          <cell r="E676">
            <v>0</v>
          </cell>
        </row>
        <row r="677">
          <cell r="C677" t="str">
            <v>Kumi Municipality</v>
          </cell>
          <cell r="D677" t="str">
            <v>Northern Divison</v>
          </cell>
          <cell r="E677">
            <v>0</v>
          </cell>
          <cell r="F677" t="str">
            <v>Kumi Municipality</v>
          </cell>
        </row>
        <row r="678">
          <cell r="C678" t="str">
            <v>Dodoth</v>
          </cell>
          <cell r="D678" t="str">
            <v>Kawalakol</v>
          </cell>
          <cell r="E678">
            <v>0</v>
          </cell>
          <cell r="F678">
            <v>0</v>
          </cell>
        </row>
        <row r="679">
          <cell r="C679" t="str">
            <v>KCCA</v>
          </cell>
          <cell r="D679" t="str">
            <v>Kawempe Division</v>
          </cell>
          <cell r="E679" t="str">
            <v>Bwaise I</v>
          </cell>
          <cell r="F679">
            <v>0</v>
          </cell>
        </row>
        <row r="680">
          <cell r="C680" t="str">
            <v>KCCA</v>
          </cell>
          <cell r="D680" t="str">
            <v>Kawempe Division</v>
          </cell>
          <cell r="E680" t="str">
            <v>Bwaise Ii</v>
          </cell>
          <cell r="F680">
            <v>0</v>
          </cell>
        </row>
        <row r="681">
          <cell r="C681" t="str">
            <v>KCCA</v>
          </cell>
          <cell r="D681" t="str">
            <v>Kawempe Division</v>
          </cell>
          <cell r="E681" t="str">
            <v>Bwaise Iii</v>
          </cell>
          <cell r="F681">
            <v>0</v>
          </cell>
        </row>
        <row r="682">
          <cell r="C682" t="str">
            <v>KCCA</v>
          </cell>
          <cell r="D682" t="str">
            <v>Kawempe Division</v>
          </cell>
          <cell r="E682" t="str">
            <v>Kanyanya</v>
          </cell>
          <cell r="F682">
            <v>0</v>
          </cell>
        </row>
        <row r="683">
          <cell r="C683" t="str">
            <v>KCCA</v>
          </cell>
          <cell r="D683" t="str">
            <v>Kawempe Division</v>
          </cell>
          <cell r="E683" t="str">
            <v>Kawempe I</v>
          </cell>
          <cell r="F683">
            <v>0</v>
          </cell>
        </row>
        <row r="684">
          <cell r="C684" t="str">
            <v>KCCA</v>
          </cell>
          <cell r="D684" t="str">
            <v>Kawempe Division</v>
          </cell>
          <cell r="E684" t="str">
            <v>Kawempe Ii</v>
          </cell>
          <cell r="F684">
            <v>0</v>
          </cell>
        </row>
        <row r="685">
          <cell r="C685" t="str">
            <v>KCCA</v>
          </cell>
          <cell r="D685" t="str">
            <v>Kawempe Division</v>
          </cell>
          <cell r="E685" t="str">
            <v>Kazo Angola</v>
          </cell>
          <cell r="F685">
            <v>0</v>
          </cell>
        </row>
        <row r="686">
          <cell r="C686" t="str">
            <v>KCCA</v>
          </cell>
          <cell r="D686" t="str">
            <v>Kawempe Division</v>
          </cell>
          <cell r="E686" t="str">
            <v>Kikaaya</v>
          </cell>
          <cell r="F686">
            <v>0</v>
          </cell>
        </row>
        <row r="687">
          <cell r="C687" t="str">
            <v>KCCA</v>
          </cell>
          <cell r="D687" t="str">
            <v>Kawempe Division</v>
          </cell>
          <cell r="E687" t="str">
            <v>Komamboga</v>
          </cell>
          <cell r="F687">
            <v>0</v>
          </cell>
        </row>
        <row r="688">
          <cell r="C688" t="str">
            <v>KCCA</v>
          </cell>
          <cell r="D688" t="str">
            <v>Kawempe Division</v>
          </cell>
          <cell r="E688" t="str">
            <v>Kyebando</v>
          </cell>
          <cell r="F688">
            <v>0</v>
          </cell>
        </row>
        <row r="689">
          <cell r="C689" t="str">
            <v>KCCA</v>
          </cell>
          <cell r="D689" t="str">
            <v>Kawempe Division</v>
          </cell>
          <cell r="E689" t="str">
            <v>Makerere I</v>
          </cell>
          <cell r="F689">
            <v>0</v>
          </cell>
        </row>
        <row r="690">
          <cell r="C690" t="str">
            <v>KCCA</v>
          </cell>
          <cell r="D690" t="str">
            <v>Kawempe Division</v>
          </cell>
          <cell r="E690" t="str">
            <v>Makerere Ii</v>
          </cell>
          <cell r="F690">
            <v>0</v>
          </cell>
        </row>
        <row r="691">
          <cell r="C691" t="str">
            <v>KCCA</v>
          </cell>
          <cell r="D691" t="str">
            <v>Kawempe Division</v>
          </cell>
          <cell r="E691" t="str">
            <v>Makerere Iii</v>
          </cell>
          <cell r="F691">
            <v>0</v>
          </cell>
        </row>
        <row r="692">
          <cell r="C692" t="str">
            <v>KCCA</v>
          </cell>
          <cell r="D692" t="str">
            <v>Kawempe Division</v>
          </cell>
          <cell r="E692" t="str">
            <v>Makerere University</v>
          </cell>
          <cell r="F692">
            <v>0</v>
          </cell>
        </row>
        <row r="693">
          <cell r="C693" t="str">
            <v>KCCA</v>
          </cell>
          <cell r="D693" t="str">
            <v>Kawempe Division</v>
          </cell>
          <cell r="E693" t="str">
            <v>Mpererwe</v>
          </cell>
          <cell r="F693">
            <v>0</v>
          </cell>
        </row>
        <row r="694">
          <cell r="C694" t="str">
            <v>KCCA</v>
          </cell>
          <cell r="D694" t="str">
            <v>Kawempe Division</v>
          </cell>
          <cell r="E694" t="str">
            <v>Mulago I</v>
          </cell>
          <cell r="F694">
            <v>0</v>
          </cell>
        </row>
        <row r="695">
          <cell r="C695" t="str">
            <v>KCCA</v>
          </cell>
          <cell r="D695" t="str">
            <v>Kawempe Division</v>
          </cell>
          <cell r="E695" t="str">
            <v>Mulago Ii</v>
          </cell>
          <cell r="F695">
            <v>0</v>
          </cell>
        </row>
        <row r="696">
          <cell r="C696" t="str">
            <v>KCCA</v>
          </cell>
          <cell r="D696" t="str">
            <v>Kawempe Division</v>
          </cell>
          <cell r="E696" t="str">
            <v>Mulago Iii</v>
          </cell>
          <cell r="F696">
            <v>0</v>
          </cell>
        </row>
        <row r="697">
          <cell r="C697" t="str">
            <v>KCCA</v>
          </cell>
          <cell r="D697" t="str">
            <v>Kawempe Division</v>
          </cell>
          <cell r="E697" t="str">
            <v>Wandegeya</v>
          </cell>
          <cell r="F697">
            <v>0</v>
          </cell>
        </row>
        <row r="698">
          <cell r="C698" t="str">
            <v>Kumi Municipality</v>
          </cell>
          <cell r="D698" t="str">
            <v>Southern Division</v>
          </cell>
          <cell r="E698">
            <v>0</v>
          </cell>
          <cell r="F698">
            <v>0</v>
          </cell>
        </row>
        <row r="699">
          <cell r="C699" t="str">
            <v>Tingey</v>
          </cell>
          <cell r="D699" t="str">
            <v>Kawowo</v>
          </cell>
          <cell r="E699">
            <v>0</v>
          </cell>
        </row>
        <row r="700">
          <cell r="C700" t="str">
            <v>Bbaale</v>
          </cell>
          <cell r="D700" t="str">
            <v>Kayonza</v>
          </cell>
          <cell r="E700">
            <v>0</v>
          </cell>
        </row>
        <row r="701">
          <cell r="C701" t="str">
            <v>Rushenyi</v>
          </cell>
          <cell r="D701" t="str">
            <v>Kayonza</v>
          </cell>
          <cell r="E701">
            <v>0</v>
          </cell>
        </row>
        <row r="702">
          <cell r="C702" t="str">
            <v>Kinkiizi</v>
          </cell>
          <cell r="D702" t="str">
            <v>Kayonza</v>
          </cell>
          <cell r="E702">
            <v>0</v>
          </cell>
        </row>
        <row r="703">
          <cell r="C703" t="str">
            <v>Ntenjeru</v>
          </cell>
          <cell r="D703" t="str">
            <v>Kayunga</v>
          </cell>
          <cell r="E703">
            <v>0</v>
          </cell>
        </row>
        <row r="704">
          <cell r="C704" t="str">
            <v>Ntenjeru</v>
          </cell>
          <cell r="D704" t="str">
            <v>Kayunga Town Council</v>
          </cell>
          <cell r="E704">
            <v>0</v>
          </cell>
        </row>
        <row r="705">
          <cell r="C705" t="str">
            <v>Kazo</v>
          </cell>
          <cell r="D705" t="str">
            <v>Kazo</v>
          </cell>
          <cell r="E705">
            <v>0</v>
          </cell>
        </row>
        <row r="706">
          <cell r="C706" t="str">
            <v>Kazo</v>
          </cell>
          <cell r="D706" t="str">
            <v>Kazo Town Council</v>
          </cell>
          <cell r="E706">
            <v>0</v>
          </cell>
        </row>
        <row r="707">
          <cell r="C707" t="str">
            <v>Rubabo</v>
          </cell>
          <cell r="D707" t="str">
            <v>Kebisoni</v>
          </cell>
          <cell r="E707">
            <v>0</v>
          </cell>
        </row>
        <row r="708">
          <cell r="C708" t="str">
            <v>Rubabo</v>
          </cell>
          <cell r="D708" t="str">
            <v>Kebisoni Town Council</v>
          </cell>
          <cell r="E708">
            <v>0</v>
          </cell>
        </row>
        <row r="709">
          <cell r="C709" t="str">
            <v>Aringa</v>
          </cell>
          <cell r="D709" t="str">
            <v>Kei</v>
          </cell>
          <cell r="E709">
            <v>0</v>
          </cell>
        </row>
        <row r="710">
          <cell r="C710" t="str">
            <v>Ibanda</v>
          </cell>
          <cell r="D710" t="str">
            <v>Keihangara</v>
          </cell>
          <cell r="E710">
            <v>0</v>
          </cell>
        </row>
        <row r="711">
          <cell r="C711" t="str">
            <v>Nyabushozi</v>
          </cell>
          <cell r="D711" t="str">
            <v>Kenshunga</v>
          </cell>
          <cell r="E711">
            <v>0</v>
          </cell>
        </row>
        <row r="712">
          <cell r="C712" t="str">
            <v>Aringa</v>
          </cell>
          <cell r="D712" t="str">
            <v>Kerwa</v>
          </cell>
          <cell r="E712">
            <v>0</v>
          </cell>
        </row>
        <row r="713">
          <cell r="C713" t="str">
            <v>Bubulo</v>
          </cell>
          <cell r="D713" t="str">
            <v>Khabutoola</v>
          </cell>
          <cell r="E713">
            <v>0</v>
          </cell>
        </row>
        <row r="714">
          <cell r="C714" t="str">
            <v>Busiki</v>
          </cell>
          <cell r="D714" t="str">
            <v>Kibaale</v>
          </cell>
          <cell r="E714">
            <v>0</v>
          </cell>
        </row>
        <row r="715">
          <cell r="C715" t="str">
            <v>Buyanja</v>
          </cell>
          <cell r="D715" t="str">
            <v>Kibaale Town Council</v>
          </cell>
          <cell r="E715">
            <v>0</v>
          </cell>
        </row>
        <row r="716">
          <cell r="C716" t="str">
            <v>Butebo Town Council</v>
          </cell>
          <cell r="D716" t="str">
            <v>Kibale</v>
          </cell>
          <cell r="E716">
            <v>0</v>
          </cell>
        </row>
        <row r="717">
          <cell r="C717" t="str">
            <v>Kasambya</v>
          </cell>
          <cell r="D717" t="str">
            <v>Kibalinga</v>
          </cell>
          <cell r="E717">
            <v>0</v>
          </cell>
        </row>
        <row r="718">
          <cell r="C718" t="str">
            <v>Kooki</v>
          </cell>
          <cell r="D718" t="str">
            <v>Kibanda</v>
          </cell>
          <cell r="E718">
            <v>0</v>
          </cell>
        </row>
        <row r="719">
          <cell r="C719" t="str">
            <v>Kajara</v>
          </cell>
          <cell r="D719" t="str">
            <v>Kibatsi</v>
          </cell>
          <cell r="E719">
            <v>0</v>
          </cell>
        </row>
        <row r="720">
          <cell r="C720" t="str">
            <v>Butambala</v>
          </cell>
          <cell r="D720" t="str">
            <v>Kibibi</v>
          </cell>
          <cell r="E720">
            <v>0</v>
          </cell>
        </row>
        <row r="721">
          <cell r="C721" t="str">
            <v>Kiboga</v>
          </cell>
          <cell r="D721" t="str">
            <v>Kibiga</v>
          </cell>
          <cell r="E721">
            <v>0</v>
          </cell>
        </row>
        <row r="722">
          <cell r="C722" t="str">
            <v>Bunyangabu</v>
          </cell>
          <cell r="D722" t="str">
            <v>Kibiito</v>
          </cell>
          <cell r="E722">
            <v>0</v>
          </cell>
        </row>
        <row r="723">
          <cell r="C723" t="str">
            <v>Bunyangabu</v>
          </cell>
          <cell r="D723" t="str">
            <v>Kibiito Town Council</v>
          </cell>
          <cell r="E723">
            <v>0</v>
          </cell>
        </row>
        <row r="724">
          <cell r="C724" t="str">
            <v>Bukomansimbi</v>
          </cell>
          <cell r="D724" t="str">
            <v>Kibinge</v>
          </cell>
          <cell r="E724">
            <v>0</v>
          </cell>
        </row>
        <row r="725">
          <cell r="C725" t="str">
            <v>Kiboga</v>
          </cell>
          <cell r="D725" t="str">
            <v>Kiboga Town Council</v>
          </cell>
          <cell r="E725">
            <v>0</v>
          </cell>
        </row>
        <row r="726">
          <cell r="C726" t="str">
            <v>Kibuku</v>
          </cell>
          <cell r="D726" t="str">
            <v>Kibuku</v>
          </cell>
          <cell r="E726">
            <v>0</v>
          </cell>
        </row>
        <row r="727">
          <cell r="C727" t="str">
            <v>Kibuku</v>
          </cell>
          <cell r="D727" t="str">
            <v>Kibuku Town Council</v>
          </cell>
          <cell r="E727">
            <v>0</v>
          </cell>
        </row>
        <row r="728">
          <cell r="C728" t="str">
            <v>Ntoroko</v>
          </cell>
          <cell r="D728" t="str">
            <v>Kibuuku Town Council</v>
          </cell>
          <cell r="E728">
            <v>0</v>
          </cell>
        </row>
        <row r="729">
          <cell r="C729" t="str">
            <v>Kitagwenda</v>
          </cell>
          <cell r="D729" t="str">
            <v>Kicheche</v>
          </cell>
          <cell r="E729">
            <v>0</v>
          </cell>
        </row>
        <row r="730">
          <cell r="C730" t="str">
            <v>Bunyaruguru</v>
          </cell>
          <cell r="D730" t="str">
            <v>Kichwamba</v>
          </cell>
          <cell r="E730">
            <v>0</v>
          </cell>
        </row>
        <row r="731">
          <cell r="C731" t="str">
            <v>Ibanda</v>
          </cell>
          <cell r="D731" t="str">
            <v>Kicuzi</v>
          </cell>
          <cell r="E731">
            <v>0</v>
          </cell>
        </row>
        <row r="732">
          <cell r="C732" t="str">
            <v>Burahya</v>
          </cell>
          <cell r="D732" t="str">
            <v>Kicwamba</v>
          </cell>
          <cell r="E732">
            <v>0</v>
          </cell>
        </row>
        <row r="733">
          <cell r="C733" t="str">
            <v>Budiope</v>
          </cell>
          <cell r="D733" t="str">
            <v>Kidera</v>
          </cell>
          <cell r="E733">
            <v>0</v>
          </cell>
        </row>
        <row r="734">
          <cell r="C734" t="str">
            <v>Bukedea</v>
          </cell>
          <cell r="D734" t="str">
            <v>Kidongole</v>
          </cell>
          <cell r="E734">
            <v>0</v>
          </cell>
        </row>
        <row r="735">
          <cell r="C735" t="str">
            <v>Kakuuto</v>
          </cell>
          <cell r="D735" t="str">
            <v>Kifamba</v>
          </cell>
          <cell r="E735">
            <v>0</v>
          </cell>
        </row>
        <row r="736">
          <cell r="C736" t="str">
            <v>Kassanda</v>
          </cell>
          <cell r="D736" t="str">
            <v>Kiganda</v>
          </cell>
          <cell r="E736">
            <v>0</v>
          </cell>
        </row>
        <row r="737">
          <cell r="C737" t="str">
            <v>Bunya</v>
          </cell>
          <cell r="D737" t="str">
            <v>Kigandalo</v>
          </cell>
          <cell r="E737">
            <v>0</v>
          </cell>
        </row>
        <row r="738">
          <cell r="C738" t="str">
            <v>Kasambya</v>
          </cell>
          <cell r="D738" t="str">
            <v>Kigando</v>
          </cell>
          <cell r="E738">
            <v>0</v>
          </cell>
        </row>
        <row r="739">
          <cell r="C739" t="str">
            <v>Mwenge</v>
          </cell>
          <cell r="D739" t="str">
            <v>Kigaraale</v>
          </cell>
          <cell r="E739">
            <v>0</v>
          </cell>
        </row>
        <row r="740">
          <cell r="C740" t="str">
            <v>Sheema</v>
          </cell>
          <cell r="D740" t="str">
            <v>Kigarama</v>
          </cell>
          <cell r="E740">
            <v>0</v>
          </cell>
        </row>
        <row r="741">
          <cell r="C741" t="str">
            <v>Bugahya</v>
          </cell>
          <cell r="D741" t="str">
            <v>Kigorobya</v>
          </cell>
          <cell r="E741">
            <v>0</v>
          </cell>
        </row>
        <row r="742">
          <cell r="C742" t="str">
            <v>Bugahya</v>
          </cell>
          <cell r="D742" t="str">
            <v>Kigorobya Town Council</v>
          </cell>
          <cell r="E742">
            <v>0</v>
          </cell>
        </row>
        <row r="743">
          <cell r="C743" t="str">
            <v>Lira Municipality</v>
          </cell>
          <cell r="D743" t="str">
            <v>Adyel Division</v>
          </cell>
          <cell r="E743">
            <v>0</v>
          </cell>
          <cell r="F743" t="str">
            <v>Lira Municipality</v>
          </cell>
        </row>
        <row r="744">
          <cell r="C744" t="str">
            <v>Kibanda</v>
          </cell>
          <cell r="D744" t="str">
            <v>Kigumba</v>
          </cell>
          <cell r="E744">
            <v>0</v>
          </cell>
          <cell r="F744">
            <v>0</v>
          </cell>
        </row>
        <row r="745">
          <cell r="C745" t="str">
            <v>Kibanda</v>
          </cell>
          <cell r="D745" t="str">
            <v>Kigumba Town Council</v>
          </cell>
          <cell r="E745">
            <v>0</v>
          </cell>
          <cell r="F745">
            <v>0</v>
          </cell>
        </row>
        <row r="746">
          <cell r="C746" t="str">
            <v>Buliisa</v>
          </cell>
          <cell r="D746" t="str">
            <v>Kigwera</v>
          </cell>
          <cell r="E746">
            <v>0</v>
          </cell>
          <cell r="F746">
            <v>0</v>
          </cell>
        </row>
        <row r="747">
          <cell r="C747" t="str">
            <v>Kinkiizi</v>
          </cell>
          <cell r="D747" t="str">
            <v>Kihihi</v>
          </cell>
          <cell r="E747">
            <v>0</v>
          </cell>
          <cell r="F747">
            <v>0</v>
          </cell>
        </row>
        <row r="748">
          <cell r="C748" t="str">
            <v>Kinkiizi</v>
          </cell>
          <cell r="D748" t="str">
            <v>Kihiihi Town Council</v>
          </cell>
          <cell r="E748">
            <v>0</v>
          </cell>
          <cell r="F748">
            <v>0</v>
          </cell>
        </row>
        <row r="749">
          <cell r="C749" t="str">
            <v>Buliisa</v>
          </cell>
          <cell r="D749" t="str">
            <v>Kihungya</v>
          </cell>
          <cell r="E749">
            <v>0</v>
          </cell>
          <cell r="F749">
            <v>0</v>
          </cell>
        </row>
        <row r="750">
          <cell r="C750" t="str">
            <v>Mwenge</v>
          </cell>
          <cell r="D750" t="str">
            <v>Kihuura</v>
          </cell>
          <cell r="E750">
            <v>0</v>
          </cell>
          <cell r="F750">
            <v>0</v>
          </cell>
        </row>
        <row r="751">
          <cell r="C751" t="str">
            <v>Maracha</v>
          </cell>
          <cell r="D751" t="str">
            <v>Kijomoro</v>
          </cell>
          <cell r="E751">
            <v>0</v>
          </cell>
          <cell r="F751">
            <v>0</v>
          </cell>
        </row>
        <row r="752">
          <cell r="C752" t="str">
            <v>Ibanda</v>
          </cell>
          <cell r="D752" t="str">
            <v>Kijongo</v>
          </cell>
          <cell r="E752">
            <v>0</v>
          </cell>
          <cell r="F752">
            <v>0</v>
          </cell>
        </row>
        <row r="753">
          <cell r="C753" t="str">
            <v>Burahya</v>
          </cell>
          <cell r="D753" t="str">
            <v>Kijura Town Council</v>
          </cell>
          <cell r="E753">
            <v>0</v>
          </cell>
          <cell r="F753">
            <v>0</v>
          </cell>
        </row>
        <row r="754">
          <cell r="C754" t="str">
            <v>Nyabushozi</v>
          </cell>
          <cell r="D754" t="str">
            <v>Kikaatsi</v>
          </cell>
          <cell r="E754">
            <v>0</v>
          </cell>
          <cell r="F754">
            <v>0</v>
          </cell>
        </row>
        <row r="755">
          <cell r="C755" t="str">
            <v>Isingiro</v>
          </cell>
          <cell r="D755" t="str">
            <v>Kikagate</v>
          </cell>
          <cell r="E755">
            <v>0</v>
          </cell>
          <cell r="F755">
            <v>0</v>
          </cell>
        </row>
        <row r="756">
          <cell r="C756" t="str">
            <v>Nakaseke</v>
          </cell>
          <cell r="D756" t="str">
            <v>Kikamulo</v>
          </cell>
          <cell r="E756">
            <v>0</v>
          </cell>
          <cell r="F756">
            <v>0</v>
          </cell>
        </row>
        <row r="757">
          <cell r="C757" t="str">
            <v>Mityana</v>
          </cell>
          <cell r="D757" t="str">
            <v>Kikandwa</v>
          </cell>
          <cell r="E757">
            <v>0</v>
          </cell>
          <cell r="F757">
            <v>0</v>
          </cell>
        </row>
        <row r="758">
          <cell r="C758" t="str">
            <v>Burahya</v>
          </cell>
          <cell r="D758" t="str">
            <v>Kiko Town Council</v>
          </cell>
          <cell r="E758">
            <v>0</v>
          </cell>
          <cell r="F758">
            <v>0</v>
          </cell>
        </row>
        <row r="759">
          <cell r="C759" t="str">
            <v>Bugangaizi</v>
          </cell>
          <cell r="D759" t="str">
            <v>Kikwaya</v>
          </cell>
          <cell r="E759">
            <v>0</v>
          </cell>
          <cell r="F759">
            <v>0</v>
          </cell>
        </row>
        <row r="760">
          <cell r="C760" t="str">
            <v>Ibanda</v>
          </cell>
          <cell r="D760" t="str">
            <v>Kikyenkye</v>
          </cell>
          <cell r="E760">
            <v>0</v>
          </cell>
          <cell r="F760">
            <v>0</v>
          </cell>
        </row>
        <row r="761">
          <cell r="C761" t="str">
            <v>Bamunanika</v>
          </cell>
          <cell r="D761" t="str">
            <v>Kikyusa</v>
          </cell>
          <cell r="E761">
            <v>0</v>
          </cell>
          <cell r="F761">
            <v>0</v>
          </cell>
        </row>
        <row r="762">
          <cell r="C762" t="str">
            <v>Busongora</v>
          </cell>
          <cell r="D762" t="str">
            <v>Kilembe</v>
          </cell>
          <cell r="E762">
            <v>0</v>
          </cell>
          <cell r="F762">
            <v>0</v>
          </cell>
        </row>
        <row r="763">
          <cell r="C763" t="str">
            <v>Lira Municipality</v>
          </cell>
          <cell r="D763" t="str">
            <v>Central Division</v>
          </cell>
          <cell r="E763">
            <v>0</v>
          </cell>
          <cell r="F763">
            <v>0</v>
          </cell>
        </row>
        <row r="764">
          <cell r="C764" t="str">
            <v>Buruli</v>
          </cell>
          <cell r="D764" t="str">
            <v>Kimengo</v>
          </cell>
          <cell r="E764">
            <v>0</v>
          </cell>
          <cell r="F764">
            <v>0</v>
          </cell>
        </row>
        <row r="765">
          <cell r="C765" t="str">
            <v>Nakifuma</v>
          </cell>
          <cell r="D765" t="str">
            <v>Kimenyedde</v>
          </cell>
          <cell r="E765">
            <v>0</v>
          </cell>
          <cell r="F765">
            <v>0</v>
          </cell>
        </row>
        <row r="766">
          <cell r="C766" t="str">
            <v>Kinkiizi</v>
          </cell>
          <cell r="D766" t="str">
            <v>Kinaaba</v>
          </cell>
          <cell r="E766">
            <v>0</v>
          </cell>
          <cell r="F766">
            <v>0</v>
          </cell>
        </row>
        <row r="767">
          <cell r="C767" t="str">
            <v>Nakaseke</v>
          </cell>
          <cell r="D767" t="str">
            <v>Kinoni</v>
          </cell>
          <cell r="E767">
            <v>0</v>
          </cell>
          <cell r="F767">
            <v>0</v>
          </cell>
        </row>
        <row r="768">
          <cell r="C768" t="str">
            <v>Nyabushozi</v>
          </cell>
          <cell r="D768" t="str">
            <v>Kinoni</v>
          </cell>
          <cell r="E768">
            <v>0</v>
          </cell>
          <cell r="F768">
            <v>0</v>
          </cell>
        </row>
        <row r="769">
          <cell r="C769" t="str">
            <v>Kabula</v>
          </cell>
          <cell r="D769" t="str">
            <v>Kinuuka</v>
          </cell>
          <cell r="E769">
            <v>0</v>
          </cell>
          <cell r="F769">
            <v>0</v>
          </cell>
        </row>
        <row r="770">
          <cell r="C770" t="str">
            <v>Nakaseke</v>
          </cell>
          <cell r="D770" t="str">
            <v>Kinyogoga</v>
          </cell>
          <cell r="E770">
            <v>0</v>
          </cell>
          <cell r="F770">
            <v>0</v>
          </cell>
        </row>
        <row r="771">
          <cell r="C771" t="str">
            <v>Lira Municipality</v>
          </cell>
          <cell r="D771" t="str">
            <v>Ojwina Division</v>
          </cell>
          <cell r="E771">
            <v>0</v>
          </cell>
          <cell r="F771">
            <v>0</v>
          </cell>
        </row>
        <row r="772">
          <cell r="C772" t="str">
            <v>West Budama</v>
          </cell>
          <cell r="D772" t="str">
            <v>Kirewa</v>
          </cell>
          <cell r="E772">
            <v>0</v>
          </cell>
          <cell r="F772">
            <v>0</v>
          </cell>
        </row>
        <row r="773">
          <cell r="C773" t="str">
            <v>Kibuku</v>
          </cell>
          <cell r="D773" t="str">
            <v>Kirika</v>
          </cell>
          <cell r="E773">
            <v>0</v>
          </cell>
          <cell r="F773">
            <v>0</v>
          </cell>
        </row>
        <row r="774">
          <cell r="C774" t="str">
            <v>Kween</v>
          </cell>
          <cell r="D774" t="str">
            <v>Kiriki</v>
          </cell>
          <cell r="E774">
            <v>0</v>
          </cell>
          <cell r="F774">
            <v>0</v>
          </cell>
        </row>
        <row r="775">
          <cell r="C775" t="str">
            <v>Kinkiizi</v>
          </cell>
          <cell r="D775" t="str">
            <v>Kirima</v>
          </cell>
          <cell r="E775">
            <v>0</v>
          </cell>
          <cell r="F775">
            <v>0</v>
          </cell>
        </row>
        <row r="776">
          <cell r="C776" t="str">
            <v>Mawokota</v>
          </cell>
          <cell r="D776" t="str">
            <v>Kiringente</v>
          </cell>
          <cell r="E776">
            <v>0</v>
          </cell>
          <cell r="F776">
            <v>0</v>
          </cell>
        </row>
        <row r="777">
          <cell r="C777" t="str">
            <v>Katerera</v>
          </cell>
          <cell r="D777" t="str">
            <v>Kirugu</v>
          </cell>
          <cell r="E777">
            <v>0</v>
          </cell>
          <cell r="F777">
            <v>0</v>
          </cell>
        </row>
        <row r="778">
          <cell r="C778" t="str">
            <v>Nyabushozi</v>
          </cell>
          <cell r="D778" t="str">
            <v>Kiruhura Town Council</v>
          </cell>
          <cell r="E778">
            <v>0</v>
          </cell>
          <cell r="F778">
            <v>0</v>
          </cell>
        </row>
        <row r="779">
          <cell r="C779" t="str">
            <v>Kyotera</v>
          </cell>
          <cell r="D779" t="str">
            <v>Kirumba</v>
          </cell>
          <cell r="E779">
            <v>0</v>
          </cell>
          <cell r="F779">
            <v>0</v>
          </cell>
        </row>
        <row r="780">
          <cell r="C780" t="str">
            <v>Bwamba</v>
          </cell>
          <cell r="D780" t="str">
            <v>Kirumya</v>
          </cell>
          <cell r="E780">
            <v>0</v>
          </cell>
          <cell r="F780">
            <v>0</v>
          </cell>
        </row>
        <row r="781">
          <cell r="C781" t="str">
            <v>Bufumbira</v>
          </cell>
          <cell r="D781" t="str">
            <v>Kirundo</v>
          </cell>
          <cell r="E781">
            <v>0</v>
          </cell>
          <cell r="F781">
            <v>0</v>
          </cell>
        </row>
        <row r="782">
          <cell r="C782" t="str">
            <v>Kibanda</v>
          </cell>
          <cell r="D782" t="str">
            <v>Kiryandongo</v>
          </cell>
          <cell r="E782">
            <v>0</v>
          </cell>
          <cell r="F782">
            <v>0</v>
          </cell>
        </row>
        <row r="783">
          <cell r="C783" t="str">
            <v>Kibanda</v>
          </cell>
          <cell r="D783" t="str">
            <v>Kiryandongo Refugee Camp</v>
          </cell>
          <cell r="E783">
            <v>0</v>
          </cell>
          <cell r="F783">
            <v>0</v>
          </cell>
        </row>
        <row r="784">
          <cell r="C784" t="str">
            <v>Kibanda</v>
          </cell>
          <cell r="D784" t="str">
            <v>Kiryandongo Town Council</v>
          </cell>
          <cell r="E784">
            <v>0</v>
          </cell>
          <cell r="F784">
            <v>0</v>
          </cell>
        </row>
        <row r="785">
          <cell r="C785" t="str">
            <v>Buyaga</v>
          </cell>
          <cell r="D785" t="str">
            <v>Kiryanga</v>
          </cell>
          <cell r="E785">
            <v>0</v>
          </cell>
          <cell r="F785">
            <v>0</v>
          </cell>
        </row>
        <row r="786">
          <cell r="C786" t="str">
            <v>Bukoto</v>
          </cell>
          <cell r="D786" t="str">
            <v>Kisekka</v>
          </cell>
          <cell r="E786">
            <v>0</v>
          </cell>
          <cell r="F786">
            <v>0</v>
          </cell>
        </row>
        <row r="787">
          <cell r="C787" t="str">
            <v>Bugangaizi</v>
          </cell>
          <cell r="D787" t="str">
            <v>Kisiita</v>
          </cell>
          <cell r="E787">
            <v>0</v>
          </cell>
          <cell r="F787">
            <v>0</v>
          </cell>
        </row>
        <row r="788">
          <cell r="C788" t="str">
            <v>Bulamogi</v>
          </cell>
          <cell r="D788" t="str">
            <v>Kisinda</v>
          </cell>
          <cell r="E788">
            <v>0</v>
          </cell>
          <cell r="F788">
            <v>0</v>
          </cell>
        </row>
        <row r="789">
          <cell r="C789" t="str">
            <v>Bukonzo</v>
          </cell>
          <cell r="D789" t="str">
            <v>Kisinga</v>
          </cell>
          <cell r="E789">
            <v>0</v>
          </cell>
          <cell r="F789">
            <v>0</v>
          </cell>
        </row>
        <row r="790">
          <cell r="C790" t="str">
            <v>Bukonzo</v>
          </cell>
          <cell r="D790" t="str">
            <v>Kisinga Town Council</v>
          </cell>
          <cell r="E790">
            <v>0</v>
          </cell>
          <cell r="F790">
            <v>0</v>
          </cell>
        </row>
        <row r="791">
          <cell r="C791" t="str">
            <v>Mwenge</v>
          </cell>
          <cell r="D791" t="str">
            <v>Kisojo</v>
          </cell>
          <cell r="E791">
            <v>0</v>
          </cell>
          <cell r="F791">
            <v>0</v>
          </cell>
        </row>
        <row r="792">
          <cell r="C792" t="str">
            <v>West Budama</v>
          </cell>
          <cell r="D792" t="str">
            <v>Kisoko</v>
          </cell>
          <cell r="E792">
            <v>0</v>
          </cell>
          <cell r="F792">
            <v>0</v>
          </cell>
        </row>
        <row r="793">
          <cell r="C793" t="str">
            <v>Bunyangabu</v>
          </cell>
          <cell r="D793" t="str">
            <v>Kisomoro</v>
          </cell>
          <cell r="E793">
            <v>0</v>
          </cell>
          <cell r="F793">
            <v>0</v>
          </cell>
        </row>
        <row r="794">
          <cell r="C794" t="str">
            <v>Buzaaya</v>
          </cell>
          <cell r="D794" t="str">
            <v>Kisozi</v>
          </cell>
          <cell r="E794">
            <v>0</v>
          </cell>
          <cell r="F794">
            <v>0</v>
          </cell>
        </row>
        <row r="795">
          <cell r="C795" t="str">
            <v>Bwamba</v>
          </cell>
          <cell r="D795" t="str">
            <v>Kisubba</v>
          </cell>
          <cell r="E795">
            <v>0</v>
          </cell>
          <cell r="F795">
            <v>0</v>
          </cell>
        </row>
        <row r="796">
          <cell r="C796" t="str">
            <v>Sheema</v>
          </cell>
          <cell r="D796" t="str">
            <v>Kitagata</v>
          </cell>
          <cell r="E796">
            <v>0</v>
          </cell>
          <cell r="F796">
            <v>0</v>
          </cell>
        </row>
        <row r="797">
          <cell r="C797" t="str">
            <v>Bugangaizi</v>
          </cell>
          <cell r="D797" t="str">
            <v>Kitaihuka</v>
          </cell>
          <cell r="E797">
            <v>0</v>
          </cell>
          <cell r="F797">
            <v>0</v>
          </cell>
        </row>
        <row r="798">
          <cell r="C798" t="str">
            <v>Bukomansimbi</v>
          </cell>
          <cell r="D798" t="str">
            <v>Kitanda</v>
          </cell>
          <cell r="E798">
            <v>0</v>
          </cell>
          <cell r="F798">
            <v>0</v>
          </cell>
        </row>
        <row r="799">
          <cell r="C799" t="str">
            <v>Kween</v>
          </cell>
          <cell r="D799" t="str">
            <v>Kitawoi</v>
          </cell>
          <cell r="E799">
            <v>0</v>
          </cell>
          <cell r="F799">
            <v>0</v>
          </cell>
        </row>
        <row r="800">
          <cell r="C800" t="str">
            <v>Bugabula</v>
          </cell>
          <cell r="D800" t="str">
            <v>Kitayunjwa</v>
          </cell>
          <cell r="E800">
            <v>0</v>
          </cell>
          <cell r="F800">
            <v>0</v>
          </cell>
        </row>
        <row r="801">
          <cell r="C801" t="str">
            <v>Buwekula</v>
          </cell>
          <cell r="D801" t="str">
            <v>Kitenga</v>
          </cell>
          <cell r="E801">
            <v>0</v>
          </cell>
          <cell r="F801">
            <v>0</v>
          </cell>
        </row>
        <row r="802">
          <cell r="C802" t="str">
            <v>Chua</v>
          </cell>
          <cell r="D802" t="str">
            <v>Kitgum Matidi</v>
          </cell>
          <cell r="E802">
            <v>0</v>
          </cell>
          <cell r="F802">
            <v>0</v>
          </cell>
        </row>
        <row r="803">
          <cell r="C803" t="str">
            <v>Bukonzo</v>
          </cell>
          <cell r="D803" t="str">
            <v>Kitholhu</v>
          </cell>
          <cell r="E803">
            <v>0</v>
          </cell>
          <cell r="F803">
            <v>0</v>
          </cell>
        </row>
        <row r="804">
          <cell r="C804" t="str">
            <v>Bbaale</v>
          </cell>
          <cell r="D804" t="str">
            <v>Kitimbwa</v>
          </cell>
          <cell r="E804">
            <v>0</v>
          </cell>
          <cell r="F804">
            <v>0</v>
          </cell>
        </row>
        <row r="805">
          <cell r="C805" t="str">
            <v>Nakaseke</v>
          </cell>
          <cell r="D805" t="str">
            <v>Kito</v>
          </cell>
          <cell r="E805">
            <v>0</v>
          </cell>
          <cell r="F805">
            <v>0</v>
          </cell>
        </row>
        <row r="806">
          <cell r="C806" t="str">
            <v>Bugahya</v>
          </cell>
          <cell r="D806" t="str">
            <v>Kitoba</v>
          </cell>
          <cell r="E806">
            <v>0</v>
          </cell>
          <cell r="F806">
            <v>0</v>
          </cell>
        </row>
        <row r="807">
          <cell r="C807" t="str">
            <v>Busongora</v>
          </cell>
          <cell r="D807" t="str">
            <v>Kitswamba</v>
          </cell>
          <cell r="E807">
            <v>0</v>
          </cell>
          <cell r="F807">
            <v>0</v>
          </cell>
        </row>
        <row r="808">
          <cell r="C808" t="str">
            <v>Ndorwa</v>
          </cell>
          <cell r="D808" t="str">
            <v>Kitumba</v>
          </cell>
          <cell r="E808">
            <v>0</v>
          </cell>
          <cell r="F808">
            <v>0</v>
          </cell>
        </row>
        <row r="809">
          <cell r="C809" t="str">
            <v>Kassanda</v>
          </cell>
          <cell r="D809" t="str">
            <v>Kitumbi</v>
          </cell>
          <cell r="E809">
            <v>0</v>
          </cell>
          <cell r="F809">
            <v>0</v>
          </cell>
        </row>
        <row r="810">
          <cell r="C810" t="str">
            <v>Mawokota</v>
          </cell>
          <cell r="D810" t="str">
            <v>Kituntu</v>
          </cell>
          <cell r="E810">
            <v>0</v>
          </cell>
          <cell r="F810">
            <v>0</v>
          </cell>
        </row>
        <row r="811">
          <cell r="C811" t="str">
            <v>Nyabushozi</v>
          </cell>
          <cell r="D811" t="str">
            <v>Kitura</v>
          </cell>
          <cell r="E811">
            <v>0</v>
          </cell>
          <cell r="F811">
            <v>0</v>
          </cell>
        </row>
        <row r="812">
          <cell r="C812" t="str">
            <v>Ruhaama</v>
          </cell>
          <cell r="D812" t="str">
            <v>Kitwe Town Council</v>
          </cell>
          <cell r="E812">
            <v>0</v>
          </cell>
          <cell r="F812">
            <v>0</v>
          </cell>
        </row>
        <row r="813">
          <cell r="C813" t="str">
            <v>Bunya</v>
          </cell>
          <cell r="D813" t="str">
            <v>Kityerera</v>
          </cell>
          <cell r="E813">
            <v>0</v>
          </cell>
          <cell r="F813">
            <v>0</v>
          </cell>
        </row>
        <row r="814">
          <cell r="C814" t="str">
            <v>Nakaseke</v>
          </cell>
          <cell r="D814" t="str">
            <v>Kiwoko Town Council</v>
          </cell>
          <cell r="E814">
            <v>0</v>
          </cell>
          <cell r="F814">
            <v>0</v>
          </cell>
        </row>
        <row r="815">
          <cell r="C815" t="str">
            <v>Ruhinda</v>
          </cell>
          <cell r="D815" t="str">
            <v>Kiyanga</v>
          </cell>
          <cell r="E815">
            <v>0</v>
          </cell>
          <cell r="F815">
            <v>0</v>
          </cell>
        </row>
        <row r="816">
          <cell r="C816" t="str">
            <v>Buwekula</v>
          </cell>
          <cell r="D816" t="str">
            <v>Kiyuni</v>
          </cell>
          <cell r="E816">
            <v>0</v>
          </cell>
          <cell r="F816">
            <v>0</v>
          </cell>
        </row>
        <row r="817">
          <cell r="C817" t="str">
            <v>Kooki</v>
          </cell>
          <cell r="D817" t="str">
            <v>Kiziba</v>
          </cell>
          <cell r="E817">
            <v>0</v>
          </cell>
          <cell r="F817">
            <v>0</v>
          </cell>
        </row>
        <row r="818">
          <cell r="C818" t="str">
            <v>Buhaguzi</v>
          </cell>
          <cell r="D818" t="str">
            <v>Kiziranfumbi</v>
          </cell>
          <cell r="E818">
            <v>0</v>
          </cell>
          <cell r="F818">
            <v>0</v>
          </cell>
        </row>
        <row r="819">
          <cell r="C819" t="str">
            <v>Bukoto</v>
          </cell>
          <cell r="D819" t="str">
            <v>Kkingo</v>
          </cell>
          <cell r="E819">
            <v>0</v>
          </cell>
          <cell r="F819">
            <v>0</v>
          </cell>
        </row>
        <row r="820">
          <cell r="C820" t="str">
            <v>Kaberamaido</v>
          </cell>
          <cell r="D820" t="str">
            <v>Kobulubulu</v>
          </cell>
          <cell r="E820">
            <v>0</v>
          </cell>
          <cell r="F820">
            <v>0</v>
          </cell>
        </row>
        <row r="821">
          <cell r="C821" t="str">
            <v>Ngora</v>
          </cell>
          <cell r="D821" t="str">
            <v>Kobwin</v>
          </cell>
          <cell r="E821">
            <v>0</v>
          </cell>
          <cell r="F821">
            <v>0</v>
          </cell>
        </row>
        <row r="822">
          <cell r="C822" t="str">
            <v>Nwoya</v>
          </cell>
          <cell r="D822" t="str">
            <v>Koch-Goma</v>
          </cell>
          <cell r="E822">
            <v>0</v>
          </cell>
          <cell r="F822">
            <v>0</v>
          </cell>
        </row>
        <row r="823">
          <cell r="C823" t="str">
            <v>Aringa</v>
          </cell>
          <cell r="D823" t="str">
            <v>Kochi</v>
          </cell>
          <cell r="E823">
            <v>0</v>
          </cell>
          <cell r="F823">
            <v>0</v>
          </cell>
        </row>
        <row r="824">
          <cell r="C824" t="str">
            <v>Kole</v>
          </cell>
          <cell r="D824" t="str">
            <v>Kole Town Council</v>
          </cell>
          <cell r="E824">
            <v>0</v>
          </cell>
          <cell r="F824">
            <v>0</v>
          </cell>
        </row>
        <row r="825">
          <cell r="C825" t="str">
            <v>Bukedea</v>
          </cell>
          <cell r="D825" t="str">
            <v>Kolir</v>
          </cell>
          <cell r="E825">
            <v>0</v>
          </cell>
          <cell r="F825">
            <v>0</v>
          </cell>
        </row>
        <row r="826">
          <cell r="C826" t="str">
            <v>Mukono</v>
          </cell>
          <cell r="D826" t="str">
            <v>Koome Island</v>
          </cell>
          <cell r="E826">
            <v>0</v>
          </cell>
          <cell r="F826">
            <v>0</v>
          </cell>
        </row>
        <row r="827">
          <cell r="C827" t="str">
            <v>Omoro</v>
          </cell>
          <cell r="D827" t="str">
            <v>Koro</v>
          </cell>
          <cell r="E827">
            <v>0</v>
          </cell>
          <cell r="F827">
            <v>0</v>
          </cell>
        </row>
        <row r="828">
          <cell r="C828" t="str">
            <v>Kongasis</v>
          </cell>
          <cell r="D828" t="str">
            <v>Kortek</v>
          </cell>
          <cell r="E828">
            <v>0</v>
          </cell>
          <cell r="F828">
            <v>0</v>
          </cell>
        </row>
        <row r="829">
          <cell r="C829" t="str">
            <v>Jie</v>
          </cell>
          <cell r="D829" t="str">
            <v>Kotido</v>
          </cell>
          <cell r="E829">
            <v>0</v>
          </cell>
          <cell r="F829">
            <v>0</v>
          </cell>
        </row>
        <row r="830">
          <cell r="C830" t="str">
            <v>Agago</v>
          </cell>
          <cell r="D830" t="str">
            <v>Kotomol</v>
          </cell>
          <cell r="E830">
            <v>0</v>
          </cell>
          <cell r="F830">
            <v>0</v>
          </cell>
        </row>
        <row r="831">
          <cell r="C831" t="str">
            <v>Padyere</v>
          </cell>
          <cell r="D831" t="str">
            <v>Kucwiny</v>
          </cell>
          <cell r="E831">
            <v>0</v>
          </cell>
          <cell r="F831">
            <v>0</v>
          </cell>
        </row>
        <row r="832">
          <cell r="C832" t="str">
            <v>Amuria</v>
          </cell>
          <cell r="D832" t="str">
            <v>Kuju</v>
          </cell>
          <cell r="E832">
            <v>0</v>
          </cell>
          <cell r="F832">
            <v>0</v>
          </cell>
        </row>
        <row r="833">
          <cell r="C833" t="str">
            <v>Koboko</v>
          </cell>
          <cell r="D833" t="str">
            <v>Kuluba</v>
          </cell>
          <cell r="E833">
            <v>0</v>
          </cell>
          <cell r="F833">
            <v>0</v>
          </cell>
        </row>
        <row r="834">
          <cell r="C834" t="str">
            <v>Aringa</v>
          </cell>
          <cell r="D834" t="str">
            <v>Kululu</v>
          </cell>
          <cell r="E834">
            <v>0</v>
          </cell>
          <cell r="F834">
            <v>0</v>
          </cell>
        </row>
        <row r="835">
          <cell r="C835" t="str">
            <v>Kumi</v>
          </cell>
          <cell r="D835" t="str">
            <v>Kumi</v>
          </cell>
          <cell r="E835">
            <v>0</v>
          </cell>
          <cell r="F835">
            <v>0</v>
          </cell>
        </row>
        <row r="836">
          <cell r="C836" t="str">
            <v>Aringa</v>
          </cell>
          <cell r="D836" t="str">
            <v>Kuru</v>
          </cell>
          <cell r="E836">
            <v>0</v>
          </cell>
          <cell r="F836">
            <v>0</v>
          </cell>
        </row>
        <row r="837">
          <cell r="C837" t="str">
            <v>Kween</v>
          </cell>
          <cell r="D837" t="str">
            <v>Kwanyiy</v>
          </cell>
          <cell r="E837">
            <v>0</v>
          </cell>
          <cell r="F837">
            <v>0</v>
          </cell>
        </row>
        <row r="838">
          <cell r="C838" t="str">
            <v>Tororo</v>
          </cell>
          <cell r="D838" t="str">
            <v>Kwapa</v>
          </cell>
          <cell r="E838">
            <v>0</v>
          </cell>
          <cell r="F838">
            <v>0</v>
          </cell>
        </row>
        <row r="839">
          <cell r="C839" t="str">
            <v>Dokolo</v>
          </cell>
          <cell r="D839" t="str">
            <v>Kwera</v>
          </cell>
          <cell r="E839">
            <v>0</v>
          </cell>
          <cell r="F839">
            <v>0</v>
          </cell>
        </row>
        <row r="840">
          <cell r="C840" t="str">
            <v>Kween</v>
          </cell>
          <cell r="D840" t="str">
            <v>Kwosir</v>
          </cell>
          <cell r="E840">
            <v>0</v>
          </cell>
          <cell r="F840">
            <v>0</v>
          </cell>
        </row>
        <row r="841">
          <cell r="C841" t="str">
            <v>Katerera</v>
          </cell>
          <cell r="D841" t="str">
            <v>Kyabakara</v>
          </cell>
          <cell r="E841">
            <v>0</v>
          </cell>
          <cell r="F841">
            <v>0</v>
          </cell>
        </row>
        <row r="842">
          <cell r="C842" t="str">
            <v>Busongora</v>
          </cell>
          <cell r="D842" t="str">
            <v>Kyabarungira</v>
          </cell>
          <cell r="E842">
            <v>0</v>
          </cell>
          <cell r="F842">
            <v>0</v>
          </cell>
        </row>
        <row r="843">
          <cell r="C843" t="str">
            <v>Bugahya</v>
          </cell>
          <cell r="D843" t="str">
            <v>Kyabigambire</v>
          </cell>
          <cell r="E843">
            <v>0</v>
          </cell>
          <cell r="F843">
            <v>0</v>
          </cell>
        </row>
        <row r="844">
          <cell r="C844" t="str">
            <v>Igara</v>
          </cell>
          <cell r="D844" t="str">
            <v>Kyabugimbi</v>
          </cell>
          <cell r="E844">
            <v>0</v>
          </cell>
          <cell r="F844">
            <v>0</v>
          </cell>
        </row>
        <row r="845">
          <cell r="C845" t="str">
            <v>Kyaka</v>
          </cell>
          <cell r="D845" t="str">
            <v>Kyaka Ii Refugee Camp</v>
          </cell>
          <cell r="E845">
            <v>0</v>
          </cell>
          <cell r="F845">
            <v>0</v>
          </cell>
        </row>
        <row r="846">
          <cell r="C846" t="str">
            <v>Buyaga</v>
          </cell>
          <cell r="D846" t="str">
            <v>Kyakabadiima</v>
          </cell>
          <cell r="E846">
            <v>0</v>
          </cell>
          <cell r="F846">
            <v>0</v>
          </cell>
        </row>
        <row r="847">
          <cell r="C847" t="str">
            <v>Kooki</v>
          </cell>
          <cell r="D847" t="str">
            <v>Kyalulangira</v>
          </cell>
          <cell r="E847">
            <v>0</v>
          </cell>
          <cell r="F847">
            <v>0</v>
          </cell>
        </row>
        <row r="848">
          <cell r="C848" t="str">
            <v>Mukono</v>
          </cell>
          <cell r="D848" t="str">
            <v>Kyampisi</v>
          </cell>
          <cell r="E848">
            <v>0</v>
          </cell>
          <cell r="F848">
            <v>0</v>
          </cell>
        </row>
        <row r="849">
          <cell r="C849" t="str">
            <v>Igara</v>
          </cell>
          <cell r="D849" t="str">
            <v>Kyamuhunga</v>
          </cell>
          <cell r="E849">
            <v>0</v>
          </cell>
          <cell r="F849">
            <v>0</v>
          </cell>
        </row>
        <row r="850">
          <cell r="C850" t="str">
            <v>Igara</v>
          </cell>
          <cell r="D850" t="str">
            <v>Kyamuhunga Town Council</v>
          </cell>
          <cell r="E850">
            <v>0</v>
          </cell>
          <cell r="F850">
            <v>0</v>
          </cell>
        </row>
        <row r="851">
          <cell r="C851" t="str">
            <v>Bunyangabu</v>
          </cell>
          <cell r="D851" t="str">
            <v>Kyamukube Town Council</v>
          </cell>
          <cell r="E851">
            <v>0</v>
          </cell>
          <cell r="F851">
            <v>0</v>
          </cell>
        </row>
        <row r="852">
          <cell r="C852" t="str">
            <v>Kalungu</v>
          </cell>
          <cell r="D852" t="str">
            <v>Kyamulibwa</v>
          </cell>
          <cell r="E852">
            <v>0</v>
          </cell>
          <cell r="F852">
            <v>0</v>
          </cell>
        </row>
        <row r="853">
          <cell r="C853" t="str">
            <v>Kalungu</v>
          </cell>
          <cell r="D853" t="str">
            <v>Kyamulibwa Town Council</v>
          </cell>
          <cell r="E853">
            <v>0</v>
          </cell>
          <cell r="F853">
            <v>0</v>
          </cell>
        </row>
        <row r="854">
          <cell r="C854" t="str">
            <v>Kyamuswa</v>
          </cell>
          <cell r="D854" t="str">
            <v>Kyamuswa</v>
          </cell>
          <cell r="E854">
            <v>0</v>
          </cell>
          <cell r="F854">
            <v>0</v>
          </cell>
        </row>
        <row r="855">
          <cell r="C855" t="str">
            <v>Buyaga</v>
          </cell>
          <cell r="D855" t="str">
            <v>Kyanaisoke</v>
          </cell>
          <cell r="E855">
            <v>0</v>
          </cell>
          <cell r="F855">
            <v>0</v>
          </cell>
        </row>
        <row r="856">
          <cell r="C856" t="str">
            <v>Ndorwa</v>
          </cell>
          <cell r="D856" t="str">
            <v>Kyanamira</v>
          </cell>
          <cell r="E856">
            <v>0</v>
          </cell>
          <cell r="F856">
            <v>0</v>
          </cell>
        </row>
        <row r="857">
          <cell r="C857" t="str">
            <v>Bukoto</v>
          </cell>
          <cell r="D857" t="str">
            <v>Kyanamukaaka</v>
          </cell>
          <cell r="E857">
            <v>0</v>
          </cell>
          <cell r="F857">
            <v>0</v>
          </cell>
        </row>
        <row r="858">
          <cell r="C858" t="str">
            <v>Buhaguzi</v>
          </cell>
          <cell r="D858" t="str">
            <v>Kyangwali</v>
          </cell>
          <cell r="E858">
            <v>0</v>
          </cell>
          <cell r="F858">
            <v>0</v>
          </cell>
        </row>
        <row r="859">
          <cell r="C859" t="str">
            <v>Sheema</v>
          </cell>
          <cell r="D859" t="str">
            <v>Kyangyenyi</v>
          </cell>
          <cell r="E859">
            <v>0</v>
          </cell>
          <cell r="F859">
            <v>0</v>
          </cell>
        </row>
        <row r="860">
          <cell r="C860" t="str">
            <v>Kiboga</v>
          </cell>
          <cell r="D860" t="str">
            <v>Kyankwanzi</v>
          </cell>
          <cell r="E860">
            <v>0</v>
          </cell>
          <cell r="F860">
            <v>0</v>
          </cell>
        </row>
        <row r="861">
          <cell r="C861" t="str">
            <v>Kiboga</v>
          </cell>
          <cell r="D861" t="str">
            <v>Kyankwanzi Town Council</v>
          </cell>
          <cell r="E861">
            <v>0</v>
          </cell>
          <cell r="F861">
            <v>0</v>
          </cell>
        </row>
        <row r="862">
          <cell r="C862" t="str">
            <v>Bukonzo</v>
          </cell>
          <cell r="D862" t="str">
            <v>Kyarumba</v>
          </cell>
          <cell r="E862">
            <v>0</v>
          </cell>
          <cell r="F862">
            <v>0</v>
          </cell>
        </row>
        <row r="863">
          <cell r="C863" t="str">
            <v>Mwenge</v>
          </cell>
          <cell r="D863" t="str">
            <v>Kyarusozi</v>
          </cell>
          <cell r="E863">
            <v>0</v>
          </cell>
          <cell r="F863">
            <v>0</v>
          </cell>
        </row>
        <row r="864">
          <cell r="C864" t="str">
            <v>Mwenge</v>
          </cell>
          <cell r="D864" t="str">
            <v>Kyarusozi Town Council</v>
          </cell>
          <cell r="E864">
            <v>0</v>
          </cell>
          <cell r="F864">
            <v>0</v>
          </cell>
        </row>
        <row r="865">
          <cell r="C865" t="str">
            <v>Buyaga</v>
          </cell>
          <cell r="D865" t="str">
            <v>Kyaterekera</v>
          </cell>
          <cell r="E865">
            <v>0</v>
          </cell>
          <cell r="F865">
            <v>0</v>
          </cell>
        </row>
        <row r="866">
          <cell r="C866" t="str">
            <v>Bukoto</v>
          </cell>
          <cell r="D866" t="str">
            <v>Kyazanga</v>
          </cell>
          <cell r="E866">
            <v>0</v>
          </cell>
          <cell r="F866">
            <v>0</v>
          </cell>
        </row>
        <row r="867">
          <cell r="C867" t="str">
            <v>Bukoto</v>
          </cell>
          <cell r="D867" t="str">
            <v>Kyazanga Town Council</v>
          </cell>
          <cell r="E867">
            <v>0</v>
          </cell>
          <cell r="F867">
            <v>0</v>
          </cell>
        </row>
        <row r="868">
          <cell r="C868" t="str">
            <v>Buyanja</v>
          </cell>
          <cell r="D868" t="str">
            <v>Kyebando</v>
          </cell>
          <cell r="E868">
            <v>0</v>
          </cell>
          <cell r="F868">
            <v>0</v>
          </cell>
        </row>
        <row r="869">
          <cell r="C869" t="str">
            <v>Kooki</v>
          </cell>
          <cell r="D869" t="str">
            <v>Kyebe</v>
          </cell>
          <cell r="E869">
            <v>0</v>
          </cell>
          <cell r="F869">
            <v>0</v>
          </cell>
        </row>
        <row r="870">
          <cell r="C870" t="str">
            <v>Kyaka</v>
          </cell>
          <cell r="D870" t="str">
            <v>Kyegegwa Town Council</v>
          </cell>
          <cell r="E870">
            <v>0</v>
          </cell>
          <cell r="F870">
            <v>0</v>
          </cell>
        </row>
        <row r="871">
          <cell r="C871" t="str">
            <v>Gomba</v>
          </cell>
          <cell r="D871" t="str">
            <v>Kyegonza</v>
          </cell>
          <cell r="E871">
            <v>0</v>
          </cell>
          <cell r="F871">
            <v>0</v>
          </cell>
        </row>
        <row r="872">
          <cell r="C872" t="str">
            <v>Igara</v>
          </cell>
          <cell r="D872" t="str">
            <v>Kyeizooba</v>
          </cell>
          <cell r="E872">
            <v>0</v>
          </cell>
          <cell r="F872">
            <v>0</v>
          </cell>
        </row>
        <row r="873">
          <cell r="C873" t="str">
            <v>Busiro</v>
          </cell>
          <cell r="D873" t="str">
            <v>Kyengera Town Council</v>
          </cell>
          <cell r="E873">
            <v>0</v>
          </cell>
          <cell r="F873">
            <v>0</v>
          </cell>
        </row>
        <row r="874">
          <cell r="C874" t="str">
            <v>Mwenge</v>
          </cell>
          <cell r="D874" t="str">
            <v>Kyenjojo Town Council</v>
          </cell>
          <cell r="E874">
            <v>0</v>
          </cell>
          <cell r="F874">
            <v>0</v>
          </cell>
        </row>
        <row r="875">
          <cell r="C875" t="str">
            <v>Buyaga</v>
          </cell>
          <cell r="D875" t="str">
            <v>Kyenzige</v>
          </cell>
          <cell r="E875">
            <v>0</v>
          </cell>
          <cell r="F875">
            <v>0</v>
          </cell>
        </row>
        <row r="876">
          <cell r="C876" t="str">
            <v>Serere</v>
          </cell>
          <cell r="D876" t="str">
            <v>Kyere</v>
          </cell>
          <cell r="E876">
            <v>0</v>
          </cell>
          <cell r="F876">
            <v>0</v>
          </cell>
        </row>
        <row r="877">
          <cell r="C877" t="str">
            <v>Bukoto</v>
          </cell>
          <cell r="D877" t="str">
            <v>Kyesiiga</v>
          </cell>
          <cell r="E877">
            <v>0</v>
          </cell>
          <cell r="F877">
            <v>0</v>
          </cell>
        </row>
        <row r="878">
          <cell r="C878" t="str">
            <v>Bukonzo</v>
          </cell>
          <cell r="D878" t="str">
            <v>Kyondo</v>
          </cell>
          <cell r="E878">
            <v>0</v>
          </cell>
          <cell r="F878">
            <v>0</v>
          </cell>
        </row>
        <row r="879">
          <cell r="C879" t="str">
            <v>Kyotera</v>
          </cell>
          <cell r="D879" t="str">
            <v>Kyotera Town Council</v>
          </cell>
          <cell r="E879">
            <v>0</v>
          </cell>
          <cell r="F879">
            <v>0</v>
          </cell>
        </row>
        <row r="880">
          <cell r="C880" t="str">
            <v>Chua</v>
          </cell>
          <cell r="D880" t="str">
            <v>Labongo Akwang</v>
          </cell>
          <cell r="E880">
            <v>0</v>
          </cell>
          <cell r="F880">
            <v>0</v>
          </cell>
        </row>
        <row r="881">
          <cell r="C881" t="str">
            <v>Chua</v>
          </cell>
          <cell r="D881" t="str">
            <v>Labongo Amida</v>
          </cell>
          <cell r="E881">
            <v>0</v>
          </cell>
          <cell r="F881">
            <v>0</v>
          </cell>
        </row>
        <row r="882">
          <cell r="C882" t="str">
            <v>Chua</v>
          </cell>
          <cell r="D882" t="str">
            <v>Labongo Layamo</v>
          </cell>
          <cell r="E882">
            <v>0</v>
          </cell>
          <cell r="F882">
            <v>0</v>
          </cell>
        </row>
        <row r="883">
          <cell r="C883" t="str">
            <v>Kasilo</v>
          </cell>
          <cell r="D883" t="str">
            <v>Labori</v>
          </cell>
          <cell r="E883">
            <v>0</v>
          </cell>
          <cell r="F883">
            <v>0</v>
          </cell>
        </row>
        <row r="884">
          <cell r="C884" t="str">
            <v>Chua</v>
          </cell>
          <cell r="D884" t="str">
            <v>Lagoro</v>
          </cell>
          <cell r="E884">
            <v>0</v>
          </cell>
          <cell r="F884">
            <v>0</v>
          </cell>
        </row>
        <row r="885">
          <cell r="C885" t="str">
            <v>Aruu</v>
          </cell>
          <cell r="D885" t="str">
            <v>Laguti</v>
          </cell>
          <cell r="E885">
            <v>0</v>
          </cell>
          <cell r="F885">
            <v>0</v>
          </cell>
        </row>
        <row r="886">
          <cell r="C886" t="str">
            <v>Busongora</v>
          </cell>
          <cell r="D886" t="str">
            <v>Lake Katwe</v>
          </cell>
          <cell r="E886">
            <v>0</v>
          </cell>
          <cell r="F886">
            <v>0</v>
          </cell>
        </row>
        <row r="887">
          <cell r="C887" t="str">
            <v>Omoro</v>
          </cell>
          <cell r="D887" t="str">
            <v>Lakwana</v>
          </cell>
          <cell r="E887">
            <v>0</v>
          </cell>
          <cell r="F887">
            <v>0</v>
          </cell>
        </row>
        <row r="888">
          <cell r="C888" t="str">
            <v>Omoro</v>
          </cell>
          <cell r="D888" t="str">
            <v>Lalogi</v>
          </cell>
          <cell r="E888">
            <v>0</v>
          </cell>
          <cell r="F888">
            <v>0</v>
          </cell>
        </row>
        <row r="889">
          <cell r="C889" t="str">
            <v>Agago</v>
          </cell>
          <cell r="D889" t="str">
            <v>Lamiyo</v>
          </cell>
          <cell r="E889">
            <v>0</v>
          </cell>
          <cell r="F889">
            <v>0</v>
          </cell>
        </row>
        <row r="890">
          <cell r="C890" t="str">
            <v>Kilak</v>
          </cell>
          <cell r="D890" t="str">
            <v>Lamogi</v>
          </cell>
          <cell r="E890">
            <v>0</v>
          </cell>
          <cell r="F890">
            <v>0</v>
          </cell>
        </row>
        <row r="891">
          <cell r="C891" t="str">
            <v>Lamwo</v>
          </cell>
          <cell r="D891" t="str">
            <v>Lamwo Town Council</v>
          </cell>
          <cell r="E891">
            <v>0</v>
          </cell>
          <cell r="F891">
            <v>0</v>
          </cell>
        </row>
        <row r="892">
          <cell r="C892" t="str">
            <v>Agago</v>
          </cell>
          <cell r="D892" t="str">
            <v>Lapono</v>
          </cell>
          <cell r="E892">
            <v>0</v>
          </cell>
          <cell r="F892">
            <v>0</v>
          </cell>
        </row>
        <row r="893">
          <cell r="C893" t="str">
            <v>Aruu</v>
          </cell>
          <cell r="D893" t="str">
            <v>Lapul</v>
          </cell>
          <cell r="E893">
            <v>0</v>
          </cell>
          <cell r="F893">
            <v>0</v>
          </cell>
        </row>
        <row r="894">
          <cell r="C894" t="str">
            <v>Lira Municipality</v>
          </cell>
          <cell r="D894" t="str">
            <v>Railway Division</v>
          </cell>
          <cell r="E894">
            <v>0</v>
          </cell>
          <cell r="F894">
            <v>0</v>
          </cell>
        </row>
        <row r="895">
          <cell r="C895" t="str">
            <v>West Moyo</v>
          </cell>
          <cell r="D895" t="str">
            <v>Laropi</v>
          </cell>
          <cell r="E895">
            <v>0</v>
          </cell>
        </row>
        <row r="896">
          <cell r="C896" t="str">
            <v>Aruu</v>
          </cell>
          <cell r="D896" t="str">
            <v>Latanya</v>
          </cell>
          <cell r="E896">
            <v>0</v>
          </cell>
        </row>
        <row r="897">
          <cell r="C897" t="str">
            <v>Lugazi Municipality</v>
          </cell>
          <cell r="D897" t="str">
            <v>Central Division</v>
          </cell>
          <cell r="E897">
            <v>0</v>
          </cell>
          <cell r="F897" t="str">
            <v>Lugazi Municipality</v>
          </cell>
        </row>
        <row r="898">
          <cell r="C898" t="str">
            <v>West Moyo</v>
          </cell>
          <cell r="D898" t="str">
            <v>Lefori</v>
          </cell>
          <cell r="E898">
            <v>0</v>
          </cell>
          <cell r="F898">
            <v>0</v>
          </cell>
        </row>
        <row r="899">
          <cell r="C899" t="str">
            <v>Erute</v>
          </cell>
          <cell r="D899" t="str">
            <v>Lira</v>
          </cell>
          <cell r="E899">
            <v>0</v>
          </cell>
          <cell r="F899">
            <v>0</v>
          </cell>
        </row>
        <row r="900">
          <cell r="C900" t="str">
            <v>Agago</v>
          </cell>
          <cell r="D900" t="str">
            <v>Lira Palwo</v>
          </cell>
          <cell r="E900">
            <v>0</v>
          </cell>
          <cell r="F900">
            <v>0</v>
          </cell>
        </row>
        <row r="901">
          <cell r="C901" t="str">
            <v>Dodoth</v>
          </cell>
          <cell r="D901" t="str">
            <v>Lobalangit</v>
          </cell>
          <cell r="E901">
            <v>0</v>
          </cell>
          <cell r="F901">
            <v>0</v>
          </cell>
        </row>
        <row r="902">
          <cell r="C902" t="str">
            <v>Koboko</v>
          </cell>
          <cell r="D902" t="str">
            <v>Lobule</v>
          </cell>
          <cell r="E902">
            <v>0</v>
          </cell>
          <cell r="F902">
            <v>0</v>
          </cell>
        </row>
        <row r="903">
          <cell r="C903" t="str">
            <v>Dodoth</v>
          </cell>
          <cell r="D903" t="str">
            <v>Lodiko</v>
          </cell>
          <cell r="E903">
            <v>0</v>
          </cell>
          <cell r="F903">
            <v>0</v>
          </cell>
        </row>
        <row r="904">
          <cell r="C904" t="str">
            <v>Aringa</v>
          </cell>
          <cell r="D904" t="str">
            <v>Lodonga</v>
          </cell>
          <cell r="E904">
            <v>0</v>
          </cell>
          <cell r="F904">
            <v>0</v>
          </cell>
        </row>
        <row r="905">
          <cell r="C905" t="str">
            <v>Vurra</v>
          </cell>
          <cell r="D905" t="str">
            <v>Logiri</v>
          </cell>
          <cell r="E905">
            <v>0</v>
          </cell>
          <cell r="F905">
            <v>0</v>
          </cell>
        </row>
        <row r="906">
          <cell r="C906" t="str">
            <v>Agago</v>
          </cell>
          <cell r="D906" t="str">
            <v>Lokole</v>
          </cell>
          <cell r="E906">
            <v>0</v>
          </cell>
          <cell r="F906">
            <v>0</v>
          </cell>
        </row>
        <row r="907">
          <cell r="C907" t="str">
            <v>Bokora</v>
          </cell>
          <cell r="D907" t="str">
            <v>Lokopo</v>
          </cell>
          <cell r="E907">
            <v>0</v>
          </cell>
          <cell r="F907">
            <v>0</v>
          </cell>
        </row>
        <row r="908">
          <cell r="C908" t="str">
            <v>Lamwo</v>
          </cell>
          <cell r="D908" t="str">
            <v>Lokung</v>
          </cell>
          <cell r="E908">
            <v>0</v>
          </cell>
          <cell r="F908">
            <v>0</v>
          </cell>
        </row>
        <row r="909">
          <cell r="C909" t="str">
            <v>Pian</v>
          </cell>
          <cell r="D909" t="str">
            <v>Lolachat</v>
          </cell>
          <cell r="E909">
            <v>0</v>
          </cell>
          <cell r="F909">
            <v>0</v>
          </cell>
        </row>
        <row r="910">
          <cell r="C910" t="str">
            <v>Dodoth</v>
          </cell>
          <cell r="D910" t="str">
            <v>Lolelia</v>
          </cell>
          <cell r="E910">
            <v>0</v>
          </cell>
          <cell r="F910">
            <v>0</v>
          </cell>
        </row>
        <row r="911">
          <cell r="C911" t="str">
            <v>Bukooli</v>
          </cell>
          <cell r="D911" t="str">
            <v>Lolwe</v>
          </cell>
          <cell r="E911">
            <v>0</v>
          </cell>
          <cell r="F911">
            <v>0</v>
          </cell>
        </row>
        <row r="912">
          <cell r="C912" t="str">
            <v>Bokora</v>
          </cell>
          <cell r="D912" t="str">
            <v>Lopeei</v>
          </cell>
          <cell r="E912">
            <v>0</v>
          </cell>
          <cell r="F912">
            <v>0</v>
          </cell>
        </row>
        <row r="913">
          <cell r="C913" t="str">
            <v>Chekwii</v>
          </cell>
          <cell r="D913" t="str">
            <v>Loregae</v>
          </cell>
          <cell r="E913">
            <v>0</v>
          </cell>
          <cell r="F913">
            <v>0</v>
          </cell>
        </row>
        <row r="914">
          <cell r="C914" t="str">
            <v>Bokora</v>
          </cell>
          <cell r="D914" t="str">
            <v>Lorengecora</v>
          </cell>
          <cell r="E914">
            <v>0</v>
          </cell>
          <cell r="F914">
            <v>0</v>
          </cell>
        </row>
        <row r="915">
          <cell r="C915" t="str">
            <v>Pian</v>
          </cell>
          <cell r="D915" t="str">
            <v>Lorengedwat</v>
          </cell>
          <cell r="E915">
            <v>0</v>
          </cell>
          <cell r="F915">
            <v>0</v>
          </cell>
        </row>
        <row r="916">
          <cell r="C916" t="str">
            <v>Oyam</v>
          </cell>
          <cell r="D916" t="str">
            <v>Loro</v>
          </cell>
          <cell r="E916">
            <v>0</v>
          </cell>
          <cell r="F916">
            <v>0</v>
          </cell>
        </row>
        <row r="917">
          <cell r="C917" t="str">
            <v>Pokot</v>
          </cell>
          <cell r="D917" t="str">
            <v>Loroo</v>
          </cell>
          <cell r="E917">
            <v>0</v>
          </cell>
          <cell r="F917">
            <v>0</v>
          </cell>
        </row>
        <row r="918">
          <cell r="C918" t="str">
            <v>Lugazi Municipality</v>
          </cell>
          <cell r="D918" t="str">
            <v>Kawolo Division</v>
          </cell>
          <cell r="E918">
            <v>0</v>
          </cell>
          <cell r="F918">
            <v>0</v>
          </cell>
        </row>
        <row r="919">
          <cell r="C919" t="str">
            <v>Bokora</v>
          </cell>
          <cell r="D919" t="str">
            <v>Lotome</v>
          </cell>
          <cell r="E919">
            <v>0</v>
          </cell>
          <cell r="F919">
            <v>0</v>
          </cell>
        </row>
        <row r="920">
          <cell r="C920" t="str">
            <v>Labwor</v>
          </cell>
          <cell r="D920" t="str">
            <v>Lotukei</v>
          </cell>
          <cell r="E920">
            <v>0</v>
          </cell>
          <cell r="F920">
            <v>0</v>
          </cell>
        </row>
        <row r="921">
          <cell r="C921" t="str">
            <v>Dodoth</v>
          </cell>
          <cell r="D921" t="str">
            <v>Loyoro</v>
          </cell>
          <cell r="E921">
            <v>0</v>
          </cell>
          <cell r="F921">
            <v>0</v>
          </cell>
        </row>
        <row r="922">
          <cell r="C922" t="str">
            <v>Buvuma Island</v>
          </cell>
          <cell r="D922" t="str">
            <v>Lubya</v>
          </cell>
          <cell r="E922">
            <v>0</v>
          </cell>
          <cell r="F922">
            <v>0</v>
          </cell>
        </row>
        <row r="923">
          <cell r="C923" t="str">
            <v>Koboko</v>
          </cell>
          <cell r="D923" t="str">
            <v>Ludara</v>
          </cell>
          <cell r="E923">
            <v>0</v>
          </cell>
          <cell r="F923">
            <v>0</v>
          </cell>
        </row>
        <row r="924">
          <cell r="C924" t="str">
            <v>Mawogola</v>
          </cell>
          <cell r="D924" t="str">
            <v>Lugusulu</v>
          </cell>
          <cell r="E924">
            <v>0</v>
          </cell>
          <cell r="F924">
            <v>0</v>
          </cell>
        </row>
        <row r="925">
          <cell r="C925" t="str">
            <v>Kalungu</v>
          </cell>
          <cell r="D925" t="str">
            <v>Lukaya Town Council</v>
          </cell>
          <cell r="E925">
            <v>0</v>
          </cell>
          <cell r="F925">
            <v>0</v>
          </cell>
        </row>
        <row r="926">
          <cell r="C926" t="str">
            <v>Bungokho</v>
          </cell>
          <cell r="D926" t="str">
            <v>Lukhonge</v>
          </cell>
          <cell r="E926">
            <v>0</v>
          </cell>
          <cell r="F926">
            <v>0</v>
          </cell>
        </row>
        <row r="927">
          <cell r="C927" t="str">
            <v>Samia-Bugwe</v>
          </cell>
          <cell r="D927" t="str">
            <v>Lumino</v>
          </cell>
          <cell r="E927">
            <v>0</v>
          </cell>
          <cell r="F927">
            <v>0</v>
          </cell>
        </row>
        <row r="928">
          <cell r="C928" t="str">
            <v>Samia-Bugwe</v>
          </cell>
          <cell r="D928" t="str">
            <v>Lunyo</v>
          </cell>
          <cell r="E928">
            <v>0</v>
          </cell>
          <cell r="F928">
            <v>0</v>
          </cell>
        </row>
        <row r="929">
          <cell r="C929" t="str">
            <v>Bulambuli</v>
          </cell>
          <cell r="D929" t="str">
            <v>Lusha</v>
          </cell>
          <cell r="E929">
            <v>0</v>
          </cell>
          <cell r="F929">
            <v>0</v>
          </cell>
        </row>
        <row r="930">
          <cell r="C930" t="str">
            <v>Luuka</v>
          </cell>
          <cell r="D930" t="str">
            <v>Luuka Town Council</v>
          </cell>
          <cell r="E930">
            <v>0</v>
          </cell>
          <cell r="F930">
            <v>0</v>
          </cell>
        </row>
        <row r="931">
          <cell r="C931" t="str">
            <v>Katikamu</v>
          </cell>
          <cell r="D931" t="str">
            <v>Luwero</v>
          </cell>
          <cell r="E931">
            <v>0</v>
          </cell>
          <cell r="F931">
            <v>0</v>
          </cell>
        </row>
        <row r="932">
          <cell r="C932" t="str">
            <v>Katikamu</v>
          </cell>
          <cell r="D932" t="str">
            <v>Luwero Town Council</v>
          </cell>
          <cell r="E932">
            <v>0</v>
          </cell>
          <cell r="F932">
            <v>0</v>
          </cell>
        </row>
        <row r="933">
          <cell r="C933" t="str">
            <v>Kalungu</v>
          </cell>
          <cell r="D933" t="str">
            <v>Lwabenge</v>
          </cell>
          <cell r="E933">
            <v>0</v>
          </cell>
          <cell r="F933">
            <v>0</v>
          </cell>
        </row>
        <row r="934">
          <cell r="C934" t="str">
            <v>Buruli</v>
          </cell>
          <cell r="D934" t="str">
            <v>Lwabiyata</v>
          </cell>
          <cell r="E934">
            <v>0</v>
          </cell>
          <cell r="F934">
            <v>0</v>
          </cell>
        </row>
        <row r="935">
          <cell r="C935" t="str">
            <v>Buvuma Island</v>
          </cell>
          <cell r="D935" t="str">
            <v>Lwajje</v>
          </cell>
          <cell r="E935">
            <v>0</v>
          </cell>
          <cell r="F935">
            <v>0</v>
          </cell>
        </row>
        <row r="936">
          <cell r="C936" t="str">
            <v>Namisindwa</v>
          </cell>
          <cell r="D936" t="str">
            <v>Lwakhakha Town Council</v>
          </cell>
          <cell r="E936">
            <v>0</v>
          </cell>
          <cell r="F936">
            <v>0</v>
          </cell>
        </row>
        <row r="937">
          <cell r="C937" t="str">
            <v>Kooki</v>
          </cell>
          <cell r="D937" t="str">
            <v>Lwamaggwa</v>
          </cell>
          <cell r="E937">
            <v>0</v>
          </cell>
          <cell r="F937">
            <v>0</v>
          </cell>
        </row>
        <row r="938">
          <cell r="C938" t="str">
            <v>Kiboga</v>
          </cell>
          <cell r="D938" t="str">
            <v>Lwamata</v>
          </cell>
          <cell r="E938">
            <v>0</v>
          </cell>
          <cell r="F938">
            <v>0</v>
          </cell>
        </row>
        <row r="939">
          <cell r="C939" t="str">
            <v>Buruli</v>
          </cell>
          <cell r="D939" t="str">
            <v>Lwampanga</v>
          </cell>
          <cell r="E939">
            <v>0</v>
          </cell>
          <cell r="F939">
            <v>0</v>
          </cell>
        </row>
        <row r="940">
          <cell r="C940" t="str">
            <v>Kooki</v>
          </cell>
          <cell r="D940" t="str">
            <v>Lwanda</v>
          </cell>
          <cell r="E940">
            <v>0</v>
          </cell>
          <cell r="F940">
            <v>0</v>
          </cell>
        </row>
        <row r="941">
          <cell r="C941" t="str">
            <v>Kyotera</v>
          </cell>
          <cell r="D941" t="str">
            <v>Lwankoni</v>
          </cell>
          <cell r="E941">
            <v>0</v>
          </cell>
          <cell r="F941">
            <v>0</v>
          </cell>
        </row>
        <row r="942">
          <cell r="C942" t="str">
            <v>Bungokho</v>
          </cell>
          <cell r="D942" t="str">
            <v>Lwasso</v>
          </cell>
          <cell r="E942">
            <v>0</v>
          </cell>
          <cell r="F942">
            <v>0</v>
          </cell>
        </row>
        <row r="943">
          <cell r="C943" t="str">
            <v>Mawogola</v>
          </cell>
          <cell r="D943" t="str">
            <v>Lwebitakuli</v>
          </cell>
          <cell r="E943">
            <v>0</v>
          </cell>
          <cell r="F943">
            <v>0</v>
          </cell>
        </row>
        <row r="944">
          <cell r="C944" t="str">
            <v>Lwemiyaga</v>
          </cell>
          <cell r="D944" t="str">
            <v>Lwemiyaga</v>
          </cell>
          <cell r="E944">
            <v>0</v>
          </cell>
          <cell r="F944">
            <v>0</v>
          </cell>
        </row>
        <row r="945">
          <cell r="C945" t="str">
            <v>Bukoto</v>
          </cell>
          <cell r="D945" t="str">
            <v>Lwengo</v>
          </cell>
          <cell r="E945">
            <v>0</v>
          </cell>
          <cell r="F945">
            <v>0</v>
          </cell>
        </row>
        <row r="946">
          <cell r="C946" t="str">
            <v>Bukoto</v>
          </cell>
          <cell r="D946" t="str">
            <v>Lwengo Town Council</v>
          </cell>
          <cell r="E946">
            <v>0</v>
          </cell>
          <cell r="F946">
            <v>0</v>
          </cell>
        </row>
        <row r="947">
          <cell r="C947" t="str">
            <v>Buvuma Island</v>
          </cell>
          <cell r="D947" t="str">
            <v>Lyabaana</v>
          </cell>
          <cell r="E947">
            <v>0</v>
          </cell>
          <cell r="F947">
            <v>0</v>
          </cell>
        </row>
        <row r="948">
          <cell r="C948" t="str">
            <v>Budaka</v>
          </cell>
          <cell r="D948" t="str">
            <v>Lyama</v>
          </cell>
          <cell r="E948">
            <v>0</v>
          </cell>
          <cell r="F948">
            <v>0</v>
          </cell>
        </row>
        <row r="949">
          <cell r="C949" t="str">
            <v>Kabula</v>
          </cell>
          <cell r="D949" t="str">
            <v>Lyantonde</v>
          </cell>
          <cell r="E949">
            <v>0</v>
          </cell>
          <cell r="F949">
            <v>0</v>
          </cell>
        </row>
        <row r="950">
          <cell r="C950" t="str">
            <v>Kabula</v>
          </cell>
          <cell r="D950" t="str">
            <v>Lyantonde Town Council</v>
          </cell>
          <cell r="E950">
            <v>0</v>
          </cell>
          <cell r="F950">
            <v>0</v>
          </cell>
        </row>
        <row r="951">
          <cell r="C951" t="str">
            <v>Busujju</v>
          </cell>
          <cell r="D951" t="str">
            <v>Maanyi</v>
          </cell>
          <cell r="E951">
            <v>0</v>
          </cell>
          <cell r="F951">
            <v>0</v>
          </cell>
        </row>
        <row r="952">
          <cell r="C952" t="str">
            <v>Buyaga</v>
          </cell>
          <cell r="D952" t="str">
            <v>Mabaale</v>
          </cell>
          <cell r="E952">
            <v>0</v>
          </cell>
          <cell r="F952">
            <v>0</v>
          </cell>
        </row>
        <row r="953">
          <cell r="C953" t="str">
            <v>Gomba</v>
          </cell>
          <cell r="D953" t="str">
            <v>Maddu</v>
          </cell>
          <cell r="E953">
            <v>0</v>
          </cell>
          <cell r="F953">
            <v>0</v>
          </cell>
        </row>
        <row r="954">
          <cell r="C954" t="str">
            <v>Lamwo</v>
          </cell>
          <cell r="D954" t="str">
            <v>Madi Opei</v>
          </cell>
          <cell r="E954">
            <v>0</v>
          </cell>
          <cell r="F954">
            <v>0</v>
          </cell>
        </row>
        <row r="955">
          <cell r="C955" t="str">
            <v>Buwekula</v>
          </cell>
          <cell r="D955" t="str">
            <v>Madudu</v>
          </cell>
          <cell r="E955">
            <v>0</v>
          </cell>
          <cell r="F955">
            <v>0</v>
          </cell>
        </row>
        <row r="956">
          <cell r="C956" t="str">
            <v>Butembe</v>
          </cell>
          <cell r="D956" t="str">
            <v>Mafubira</v>
          </cell>
          <cell r="E956">
            <v>0</v>
          </cell>
          <cell r="F956">
            <v>0</v>
          </cell>
        </row>
        <row r="957">
          <cell r="C957" t="str">
            <v>Busiki</v>
          </cell>
          <cell r="D957" t="str">
            <v>Magada</v>
          </cell>
          <cell r="E957">
            <v>0</v>
          </cell>
          <cell r="F957">
            <v>0</v>
          </cell>
        </row>
        <row r="958">
          <cell r="C958" t="str">
            <v>Namisindwa</v>
          </cell>
          <cell r="D958" t="str">
            <v>Magale</v>
          </cell>
          <cell r="E958">
            <v>0</v>
          </cell>
          <cell r="F958">
            <v>0</v>
          </cell>
        </row>
        <row r="959">
          <cell r="C959" t="str">
            <v>Namisindwa</v>
          </cell>
          <cell r="D959" t="str">
            <v>Magale Town Council</v>
          </cell>
          <cell r="E959">
            <v>0</v>
          </cell>
          <cell r="F959">
            <v>0</v>
          </cell>
        </row>
        <row r="960">
          <cell r="C960" t="str">
            <v>Bunya</v>
          </cell>
          <cell r="D960" t="str">
            <v>Magamaga Town Council</v>
          </cell>
          <cell r="E960">
            <v>0</v>
          </cell>
          <cell r="F960">
            <v>0</v>
          </cell>
        </row>
        <row r="961">
          <cell r="C961" t="str">
            <v>Bunyaruguru</v>
          </cell>
          <cell r="D961" t="str">
            <v>Magambo</v>
          </cell>
          <cell r="E961">
            <v>0</v>
          </cell>
          <cell r="F961">
            <v>0</v>
          </cell>
        </row>
        <row r="962">
          <cell r="C962" t="str">
            <v>West Budama</v>
          </cell>
          <cell r="D962" t="str">
            <v>Magola</v>
          </cell>
          <cell r="E962">
            <v>0</v>
          </cell>
          <cell r="F962">
            <v>0</v>
          </cell>
        </row>
        <row r="963">
          <cell r="C963" t="str">
            <v>Toroma</v>
          </cell>
          <cell r="D963" t="str">
            <v>Magoro</v>
          </cell>
          <cell r="E963">
            <v>0</v>
          </cell>
          <cell r="F963">
            <v>0</v>
          </cell>
        </row>
        <row r="964">
          <cell r="C964" t="str">
            <v>Bukonzo</v>
          </cell>
          <cell r="D964" t="str">
            <v>Mahango</v>
          </cell>
          <cell r="E964">
            <v>0</v>
          </cell>
          <cell r="F964">
            <v>0</v>
          </cell>
        </row>
        <row r="965">
          <cell r="C965" t="str">
            <v>Kitagwenda</v>
          </cell>
          <cell r="D965" t="str">
            <v>Mahyoro</v>
          </cell>
          <cell r="E965">
            <v>0</v>
          </cell>
          <cell r="F965">
            <v>0</v>
          </cell>
        </row>
        <row r="966">
          <cell r="C966" t="str">
            <v>Samia-Bugwe</v>
          </cell>
          <cell r="D966" t="str">
            <v>Majanji</v>
          </cell>
          <cell r="E966">
            <v>0</v>
          </cell>
          <cell r="F966">
            <v>0</v>
          </cell>
        </row>
        <row r="967">
          <cell r="C967" t="str">
            <v>KCCA</v>
          </cell>
          <cell r="D967" t="str">
            <v>Makindye Division</v>
          </cell>
          <cell r="E967" t="str">
            <v>Bukasa</v>
          </cell>
          <cell r="F967">
            <v>0</v>
          </cell>
        </row>
        <row r="968">
          <cell r="C968" t="str">
            <v>KCCA</v>
          </cell>
          <cell r="D968" t="str">
            <v>Makindye Division</v>
          </cell>
          <cell r="E968" t="str">
            <v>Buziga</v>
          </cell>
          <cell r="F968">
            <v>0</v>
          </cell>
        </row>
        <row r="969">
          <cell r="C969" t="str">
            <v>KCCA</v>
          </cell>
          <cell r="D969" t="str">
            <v>Makindye Division</v>
          </cell>
          <cell r="E969" t="str">
            <v>Ggaba</v>
          </cell>
          <cell r="F969">
            <v>0</v>
          </cell>
        </row>
        <row r="970">
          <cell r="C970" t="str">
            <v>KCCA</v>
          </cell>
          <cell r="D970" t="str">
            <v>Makindye Division</v>
          </cell>
          <cell r="E970" t="str">
            <v>Kabalagala</v>
          </cell>
          <cell r="F970">
            <v>0</v>
          </cell>
        </row>
        <row r="971">
          <cell r="C971" t="str">
            <v>KCCA</v>
          </cell>
          <cell r="D971" t="str">
            <v>Makindye Division</v>
          </cell>
          <cell r="E971" t="str">
            <v>Kansanga</v>
          </cell>
          <cell r="F971">
            <v>0</v>
          </cell>
        </row>
        <row r="972">
          <cell r="C972" t="str">
            <v>KCCA</v>
          </cell>
          <cell r="D972" t="str">
            <v>Makindye Division</v>
          </cell>
          <cell r="E972" t="str">
            <v>Katwe I</v>
          </cell>
          <cell r="F972">
            <v>0</v>
          </cell>
        </row>
        <row r="973">
          <cell r="C973" t="str">
            <v>KCCA</v>
          </cell>
          <cell r="D973" t="str">
            <v>Makindye Division</v>
          </cell>
          <cell r="E973" t="str">
            <v>Katwe Ii</v>
          </cell>
          <cell r="F973">
            <v>0</v>
          </cell>
        </row>
        <row r="974">
          <cell r="C974" t="str">
            <v>KCCA</v>
          </cell>
          <cell r="D974" t="str">
            <v>Makindye Division</v>
          </cell>
          <cell r="E974" t="str">
            <v>Kibuli</v>
          </cell>
          <cell r="F974">
            <v>0</v>
          </cell>
        </row>
        <row r="975">
          <cell r="C975" t="str">
            <v>KCCA</v>
          </cell>
          <cell r="D975" t="str">
            <v>Makindye Division</v>
          </cell>
          <cell r="E975" t="str">
            <v>Kibuye I</v>
          </cell>
          <cell r="F975">
            <v>0</v>
          </cell>
        </row>
        <row r="976">
          <cell r="C976" t="str">
            <v>KCCA</v>
          </cell>
          <cell r="D976" t="str">
            <v>Makindye Division</v>
          </cell>
          <cell r="E976" t="str">
            <v>Kibuye Ii</v>
          </cell>
          <cell r="F976">
            <v>0</v>
          </cell>
        </row>
        <row r="977">
          <cell r="C977" t="str">
            <v>KCCA</v>
          </cell>
          <cell r="D977" t="str">
            <v>Makindye Division</v>
          </cell>
          <cell r="E977" t="str">
            <v>Kisugu</v>
          </cell>
          <cell r="F977">
            <v>0</v>
          </cell>
        </row>
        <row r="978">
          <cell r="C978" t="str">
            <v>KCCA</v>
          </cell>
          <cell r="D978" t="str">
            <v>Makindye Division</v>
          </cell>
          <cell r="E978" t="str">
            <v>Lukuli</v>
          </cell>
          <cell r="F978">
            <v>0</v>
          </cell>
        </row>
        <row r="979">
          <cell r="C979" t="str">
            <v>KCCA</v>
          </cell>
          <cell r="D979" t="str">
            <v>Makindye Division</v>
          </cell>
          <cell r="E979" t="str">
            <v>Luwafu</v>
          </cell>
          <cell r="F979">
            <v>0</v>
          </cell>
        </row>
        <row r="980">
          <cell r="C980" t="str">
            <v>KCCA</v>
          </cell>
          <cell r="D980" t="str">
            <v>Makindye Division</v>
          </cell>
          <cell r="E980" t="str">
            <v>Makindye I</v>
          </cell>
          <cell r="F980">
            <v>0</v>
          </cell>
        </row>
        <row r="981">
          <cell r="C981" t="str">
            <v>KCCA</v>
          </cell>
          <cell r="D981" t="str">
            <v>Makindye Division</v>
          </cell>
          <cell r="E981" t="str">
            <v>Makindye Ii</v>
          </cell>
          <cell r="F981">
            <v>0</v>
          </cell>
        </row>
        <row r="982">
          <cell r="C982" t="str">
            <v>KCCA</v>
          </cell>
          <cell r="D982" t="str">
            <v>Makindye Division</v>
          </cell>
          <cell r="E982" t="str">
            <v>Nsambya Central</v>
          </cell>
          <cell r="F982">
            <v>0</v>
          </cell>
        </row>
        <row r="983">
          <cell r="C983" t="str">
            <v>KCCA</v>
          </cell>
          <cell r="D983" t="str">
            <v>Makindye Division</v>
          </cell>
          <cell r="E983" t="str">
            <v>Nsambya Estate</v>
          </cell>
          <cell r="F983">
            <v>0</v>
          </cell>
        </row>
        <row r="984">
          <cell r="C984" t="str">
            <v>KCCA</v>
          </cell>
          <cell r="D984" t="str">
            <v>Makindye Division</v>
          </cell>
          <cell r="E984" t="str">
            <v>Nsambya Police Barracks</v>
          </cell>
          <cell r="F984">
            <v>0</v>
          </cell>
        </row>
        <row r="985">
          <cell r="C985" t="str">
            <v>KCCA</v>
          </cell>
          <cell r="D985" t="str">
            <v>Makindye Division</v>
          </cell>
          <cell r="E985" t="str">
            <v>Salaama</v>
          </cell>
          <cell r="F985">
            <v>0</v>
          </cell>
        </row>
        <row r="986">
          <cell r="C986" t="str">
            <v>KCCA</v>
          </cell>
          <cell r="D986" t="str">
            <v>Makindye Division</v>
          </cell>
          <cell r="E986" t="str">
            <v>Wabigalo</v>
          </cell>
          <cell r="F986">
            <v>0</v>
          </cell>
        </row>
        <row r="987">
          <cell r="C987" t="str">
            <v>KCCA</v>
          </cell>
          <cell r="D987" t="str">
            <v>Makindye Division</v>
          </cell>
          <cell r="E987" t="str">
            <v>Nsambya Railway</v>
          </cell>
          <cell r="F987">
            <v>0</v>
          </cell>
        </row>
        <row r="988">
          <cell r="C988" t="str">
            <v>Kassanda</v>
          </cell>
          <cell r="D988" t="str">
            <v>Makokoto</v>
          </cell>
          <cell r="E988">
            <v>0</v>
          </cell>
          <cell r="F988">
            <v>0</v>
          </cell>
        </row>
        <row r="989">
          <cell r="C989" t="str">
            <v>Katikamu</v>
          </cell>
          <cell r="D989" t="str">
            <v>Makulubita</v>
          </cell>
          <cell r="E989">
            <v>0</v>
          </cell>
          <cell r="F989">
            <v>0</v>
          </cell>
        </row>
        <row r="990">
          <cell r="C990" t="str">
            <v>Bugweri</v>
          </cell>
          <cell r="D990" t="str">
            <v>Makuutu</v>
          </cell>
          <cell r="E990">
            <v>0</v>
          </cell>
          <cell r="F990">
            <v>0</v>
          </cell>
        </row>
        <row r="991">
          <cell r="C991" t="str">
            <v>Tororo</v>
          </cell>
          <cell r="D991" t="str">
            <v>Malaba Town Council</v>
          </cell>
          <cell r="E991">
            <v>0</v>
          </cell>
          <cell r="F991">
            <v>0</v>
          </cell>
        </row>
        <row r="992">
          <cell r="C992" t="str">
            <v>Busujju</v>
          </cell>
          <cell r="D992" t="str">
            <v>Malangala</v>
          </cell>
          <cell r="E992">
            <v>0</v>
          </cell>
          <cell r="F992">
            <v>0</v>
          </cell>
        </row>
        <row r="993">
          <cell r="C993" t="str">
            <v>Bukedea</v>
          </cell>
          <cell r="D993" t="str">
            <v>Malera</v>
          </cell>
          <cell r="E993">
            <v>0</v>
          </cell>
          <cell r="F993">
            <v>0</v>
          </cell>
        </row>
        <row r="994">
          <cell r="C994" t="str">
            <v>Busongora</v>
          </cell>
          <cell r="D994" t="str">
            <v>Maliba</v>
          </cell>
          <cell r="E994">
            <v>0</v>
          </cell>
          <cell r="F994">
            <v>0</v>
          </cell>
        </row>
        <row r="995">
          <cell r="C995" t="str">
            <v>Bukoto</v>
          </cell>
          <cell r="D995" t="str">
            <v>Malongo</v>
          </cell>
          <cell r="E995">
            <v>0</v>
          </cell>
          <cell r="F995">
            <v>0</v>
          </cell>
        </row>
        <row r="996">
          <cell r="C996" t="str">
            <v>Bunya</v>
          </cell>
          <cell r="D996" t="str">
            <v>Malongo</v>
          </cell>
          <cell r="E996">
            <v>0</v>
          </cell>
          <cell r="F996">
            <v>0</v>
          </cell>
        </row>
        <row r="997">
          <cell r="C997" t="str">
            <v>Bubulo</v>
          </cell>
          <cell r="D997" t="str">
            <v>Manafwa Town Council</v>
          </cell>
          <cell r="E997">
            <v>0</v>
          </cell>
          <cell r="F997">
            <v>0</v>
          </cell>
        </row>
        <row r="998">
          <cell r="C998" t="str">
            <v>Ayivu</v>
          </cell>
          <cell r="D998" t="str">
            <v>Manibe</v>
          </cell>
          <cell r="E998">
            <v>0</v>
          </cell>
          <cell r="F998">
            <v>0</v>
          </cell>
        </row>
        <row r="999">
          <cell r="C999" t="str">
            <v>Kassanda</v>
          </cell>
          <cell r="D999" t="str">
            <v>Manyogaseka</v>
          </cell>
          <cell r="E999">
            <v>0</v>
          </cell>
          <cell r="F999">
            <v>0</v>
          </cell>
        </row>
        <row r="1000">
          <cell r="C1000" t="str">
            <v>Maracha</v>
          </cell>
          <cell r="D1000" t="str">
            <v>Maracha Town Council</v>
          </cell>
          <cell r="E1000">
            <v>0</v>
          </cell>
          <cell r="F1000">
            <v>0</v>
          </cell>
        </row>
        <row r="1001">
          <cell r="C1001" t="str">
            <v>Samia-Bugwe</v>
          </cell>
          <cell r="D1001" t="str">
            <v>Masaba</v>
          </cell>
          <cell r="E1001">
            <v>0</v>
          </cell>
          <cell r="F1001">
            <v>0</v>
          </cell>
        </row>
        <row r="1002">
          <cell r="C1002" t="str">
            <v>Budadiri</v>
          </cell>
          <cell r="D1002" t="str">
            <v>Masaba</v>
          </cell>
          <cell r="E1002">
            <v>0</v>
          </cell>
          <cell r="F1002">
            <v>0</v>
          </cell>
        </row>
        <row r="1003">
          <cell r="C1003" t="str">
            <v>Samia-Bugwe</v>
          </cell>
          <cell r="D1003" t="str">
            <v>Masafu</v>
          </cell>
          <cell r="E1003">
            <v>0</v>
          </cell>
          <cell r="F1003">
            <v>0</v>
          </cell>
        </row>
        <row r="1004">
          <cell r="C1004" t="str">
            <v>Lugazi Municipality</v>
          </cell>
          <cell r="D1004" t="str">
            <v>Najjembe Division</v>
          </cell>
          <cell r="E1004">
            <v>0</v>
          </cell>
          <cell r="F1004">
            <v>0</v>
          </cell>
        </row>
        <row r="1005">
          <cell r="C1005" t="str">
            <v>Makindye Ssabagabo Municipality</v>
          </cell>
          <cell r="D1005" t="str">
            <v>Bunamwaya Division</v>
          </cell>
          <cell r="E1005">
            <v>0</v>
          </cell>
          <cell r="F1005" t="str">
            <v>Bunamwaya</v>
          </cell>
        </row>
        <row r="1006">
          <cell r="C1006" t="str">
            <v>Isingiro</v>
          </cell>
          <cell r="D1006" t="str">
            <v>Masha</v>
          </cell>
          <cell r="E1006">
            <v>0</v>
          </cell>
        </row>
        <row r="1007">
          <cell r="C1007" t="str">
            <v>Sheema</v>
          </cell>
          <cell r="D1007" t="str">
            <v>Masheruka</v>
          </cell>
          <cell r="E1007">
            <v>0</v>
          </cell>
        </row>
        <row r="1008">
          <cell r="C1008" t="str">
            <v>Bulambuli</v>
          </cell>
          <cell r="D1008" t="str">
            <v>Masiira</v>
          </cell>
          <cell r="E1008">
            <v>0</v>
          </cell>
        </row>
        <row r="1009">
          <cell r="C1009" t="str">
            <v>Kibanda</v>
          </cell>
          <cell r="D1009" t="str">
            <v>Masindi Port</v>
          </cell>
          <cell r="E1009">
            <v>0</v>
          </cell>
        </row>
        <row r="1010">
          <cell r="C1010" t="str">
            <v>Samia-Bugwe</v>
          </cell>
          <cell r="D1010" t="str">
            <v>Masinya</v>
          </cell>
          <cell r="E1010">
            <v>0</v>
          </cell>
        </row>
        <row r="1011">
          <cell r="C1011" t="str">
            <v>Busiro</v>
          </cell>
          <cell r="D1011" t="str">
            <v>Masuliita</v>
          </cell>
          <cell r="E1011">
            <v>0</v>
          </cell>
        </row>
        <row r="1012">
          <cell r="C1012" t="str">
            <v>Busiro</v>
          </cell>
          <cell r="D1012" t="str">
            <v>Masulita Town Council</v>
          </cell>
          <cell r="E1012">
            <v>0</v>
          </cell>
        </row>
        <row r="1013">
          <cell r="C1013" t="str">
            <v>Buyanja</v>
          </cell>
          <cell r="D1013" t="str">
            <v>Matale</v>
          </cell>
          <cell r="E1013">
            <v>0</v>
          </cell>
        </row>
        <row r="1014">
          <cell r="C1014" t="str">
            <v>Bokora</v>
          </cell>
          <cell r="D1014" t="str">
            <v>Matany</v>
          </cell>
          <cell r="E1014">
            <v>0</v>
          </cell>
        </row>
        <row r="1015">
          <cell r="C1015" t="str">
            <v>Mawogola</v>
          </cell>
          <cell r="D1015" t="str">
            <v>Mateete</v>
          </cell>
          <cell r="E1015">
            <v>0</v>
          </cell>
        </row>
        <row r="1016">
          <cell r="C1016" t="str">
            <v>Mawogola</v>
          </cell>
          <cell r="D1016" t="str">
            <v>Mateete Town Council</v>
          </cell>
          <cell r="E1016">
            <v>0</v>
          </cell>
        </row>
        <row r="1017">
          <cell r="C1017" t="str">
            <v>Ruhinda</v>
          </cell>
          <cell r="D1017" t="str">
            <v>Mayanga</v>
          </cell>
          <cell r="E1017">
            <v>0</v>
          </cell>
        </row>
        <row r="1018">
          <cell r="C1018" t="str">
            <v>Bunya</v>
          </cell>
          <cell r="D1018" t="str">
            <v>Mayuge Town Council</v>
          </cell>
          <cell r="E1018">
            <v>0</v>
          </cell>
        </row>
        <row r="1019">
          <cell r="C1019" t="str">
            <v>Ndorwa</v>
          </cell>
          <cell r="D1019" t="str">
            <v>Maziba</v>
          </cell>
          <cell r="E1019">
            <v>0</v>
          </cell>
        </row>
        <row r="1020">
          <cell r="C1020" t="str">
            <v>Bunyole</v>
          </cell>
          <cell r="D1020" t="str">
            <v>Mazimasa</v>
          </cell>
          <cell r="E1020">
            <v>0</v>
          </cell>
        </row>
        <row r="1021">
          <cell r="C1021" t="str">
            <v>Kyamuswa</v>
          </cell>
          <cell r="D1021" t="str">
            <v>Mazinga</v>
          </cell>
          <cell r="E1021">
            <v>0</v>
          </cell>
        </row>
        <row r="1022">
          <cell r="C1022" t="str">
            <v>Bukanga</v>
          </cell>
          <cell r="D1022" t="str">
            <v>Mbaare</v>
          </cell>
          <cell r="E1022">
            <v>0</v>
          </cell>
        </row>
        <row r="1023">
          <cell r="C1023" t="str">
            <v>Buzaaya</v>
          </cell>
          <cell r="D1023" t="str">
            <v>Mbulamuti</v>
          </cell>
          <cell r="E1023">
            <v>0</v>
          </cell>
        </row>
        <row r="1024">
          <cell r="C1024" t="str">
            <v>Tororo</v>
          </cell>
          <cell r="D1024" t="str">
            <v>Mella</v>
          </cell>
          <cell r="E1024">
            <v>0</v>
          </cell>
        </row>
        <row r="1025">
          <cell r="C1025" t="str">
            <v>Busiro</v>
          </cell>
          <cell r="D1025" t="str">
            <v>Mende</v>
          </cell>
          <cell r="E1025">
            <v>0</v>
          </cell>
        </row>
        <row r="1026">
          <cell r="C1026" t="str">
            <v>Tororo</v>
          </cell>
          <cell r="D1026" t="str">
            <v>Merikit</v>
          </cell>
          <cell r="E1026">
            <v>0</v>
          </cell>
        </row>
        <row r="1027">
          <cell r="C1027" t="str">
            <v>West Moyo</v>
          </cell>
          <cell r="D1027" t="str">
            <v>Metu</v>
          </cell>
          <cell r="E1027">
            <v>0</v>
          </cell>
        </row>
        <row r="1028">
          <cell r="C1028" t="str">
            <v>Koboko</v>
          </cell>
          <cell r="D1028" t="str">
            <v>Midia</v>
          </cell>
          <cell r="E1028">
            <v>0</v>
          </cell>
        </row>
        <row r="1029">
          <cell r="C1029" t="str">
            <v>Aringa</v>
          </cell>
          <cell r="D1029" t="str">
            <v>Midigo</v>
          </cell>
          <cell r="E1029">
            <v>0</v>
          </cell>
        </row>
        <row r="1030">
          <cell r="C1030" t="str">
            <v>Buruli</v>
          </cell>
          <cell r="D1030" t="str">
            <v>Migeera Town Council</v>
          </cell>
          <cell r="E1030">
            <v>0</v>
          </cell>
        </row>
        <row r="1031">
          <cell r="C1031" t="str">
            <v>Buruli</v>
          </cell>
          <cell r="D1031" t="str">
            <v>Miirya</v>
          </cell>
          <cell r="E1031">
            <v>0</v>
          </cell>
        </row>
        <row r="1032">
          <cell r="C1032" t="str">
            <v>Mawogola</v>
          </cell>
          <cell r="D1032" t="str">
            <v>Mijwala</v>
          </cell>
          <cell r="E1032">
            <v>0</v>
          </cell>
        </row>
        <row r="1033">
          <cell r="C1033" t="str">
            <v>Oyam</v>
          </cell>
          <cell r="D1033" t="str">
            <v>Minakulu</v>
          </cell>
          <cell r="E1033">
            <v>0</v>
          </cell>
        </row>
        <row r="1034">
          <cell r="C1034" t="str">
            <v>Bwamba</v>
          </cell>
          <cell r="D1034" t="str">
            <v>Mirambi</v>
          </cell>
          <cell r="E1034">
            <v>0</v>
          </cell>
        </row>
        <row r="1035">
          <cell r="C1035" t="str">
            <v>Ruhinda</v>
          </cell>
          <cell r="D1035" t="str">
            <v>Mitooma</v>
          </cell>
          <cell r="E1035">
            <v>0</v>
          </cell>
        </row>
        <row r="1036">
          <cell r="C1036" t="str">
            <v>Ruhinda</v>
          </cell>
          <cell r="D1036" t="str">
            <v>Mitooma Town Council</v>
          </cell>
          <cell r="E1036">
            <v>0</v>
          </cell>
        </row>
        <row r="1037">
          <cell r="C1037" t="str">
            <v>Tororo</v>
          </cell>
          <cell r="D1037" t="str">
            <v>Molo</v>
          </cell>
          <cell r="E1037">
            <v>0</v>
          </cell>
        </row>
        <row r="1038">
          <cell r="C1038" t="str">
            <v>Chekwii</v>
          </cell>
          <cell r="D1038" t="str">
            <v>Moruita</v>
          </cell>
          <cell r="E1038">
            <v>0</v>
          </cell>
        </row>
        <row r="1039">
          <cell r="C1039" t="str">
            <v>Labwor</v>
          </cell>
          <cell r="D1039" t="str">
            <v>Morulem</v>
          </cell>
          <cell r="E1039">
            <v>0</v>
          </cell>
        </row>
        <row r="1040">
          <cell r="C1040" t="str">
            <v>Amuria</v>
          </cell>
          <cell r="D1040" t="str">
            <v>Morungatuny</v>
          </cell>
          <cell r="E1040">
            <v>0</v>
          </cell>
        </row>
        <row r="1041">
          <cell r="C1041" t="str">
            <v>West Moyo</v>
          </cell>
          <cell r="D1041" t="str">
            <v>Moyo</v>
          </cell>
          <cell r="E1041">
            <v>0</v>
          </cell>
        </row>
        <row r="1042">
          <cell r="C1042" t="str">
            <v>West Moyo</v>
          </cell>
          <cell r="D1042" t="str">
            <v>Moyo Town Council</v>
          </cell>
          <cell r="E1042">
            <v>0</v>
          </cell>
        </row>
        <row r="1043">
          <cell r="C1043" t="str">
            <v>Kween</v>
          </cell>
          <cell r="D1043" t="str">
            <v>Moyok</v>
          </cell>
          <cell r="E1043">
            <v>0</v>
          </cell>
        </row>
        <row r="1044">
          <cell r="C1044" t="str">
            <v>Kyaka</v>
          </cell>
          <cell r="D1044" t="str">
            <v>Mpara</v>
          </cell>
          <cell r="E1044">
            <v>0</v>
          </cell>
        </row>
        <row r="1045">
          <cell r="C1045" t="str">
            <v>Makindye Ssabagabo Municipality</v>
          </cell>
          <cell r="D1045" t="str">
            <v>Masajja Division</v>
          </cell>
          <cell r="E1045">
            <v>0</v>
          </cell>
          <cell r="F1045" t="str">
            <v>Masajja</v>
          </cell>
        </row>
        <row r="1046">
          <cell r="C1046" t="str">
            <v>Rukiga</v>
          </cell>
          <cell r="D1046" t="str">
            <v>Mparo Town Council</v>
          </cell>
          <cell r="E1046">
            <v>0</v>
          </cell>
        </row>
        <row r="1047">
          <cell r="C1047" t="str">
            <v>Bugangaizi</v>
          </cell>
          <cell r="D1047" t="str">
            <v>Mpasaana</v>
          </cell>
          <cell r="E1047">
            <v>0</v>
          </cell>
        </row>
        <row r="1048">
          <cell r="C1048" t="str">
            <v>Mukono</v>
          </cell>
          <cell r="D1048" t="str">
            <v>Mpatta</v>
          </cell>
          <cell r="E1048">
            <v>0</v>
          </cell>
        </row>
        <row r="1049">
          <cell r="C1049" t="str">
            <v>Buyaga</v>
          </cell>
          <cell r="D1049" t="str">
            <v>Mpeefu</v>
          </cell>
          <cell r="E1049">
            <v>0</v>
          </cell>
        </row>
        <row r="1050">
          <cell r="C1050" t="str">
            <v>Gomba</v>
          </cell>
          <cell r="D1050" t="str">
            <v>Mpenja</v>
          </cell>
          <cell r="E1050">
            <v>0</v>
          </cell>
        </row>
        <row r="1051">
          <cell r="C1051" t="str">
            <v>Mawokota</v>
          </cell>
          <cell r="D1051" t="str">
            <v>Mpigi Town Council</v>
          </cell>
          <cell r="E1051">
            <v>0</v>
          </cell>
        </row>
        <row r="1052">
          <cell r="C1052" t="str">
            <v>Bukonzo</v>
          </cell>
          <cell r="D1052" t="str">
            <v>Mpondwe-Lhubiriha</v>
          </cell>
          <cell r="E1052">
            <v>0</v>
          </cell>
        </row>
        <row r="1053">
          <cell r="C1053" t="str">
            <v>Kabula</v>
          </cell>
          <cell r="D1053" t="str">
            <v>Mpumudde</v>
          </cell>
          <cell r="E1053">
            <v>0</v>
          </cell>
        </row>
        <row r="1054">
          <cell r="C1054" t="str">
            <v>Makindye Ssabagabo Municipality</v>
          </cell>
          <cell r="D1054" t="str">
            <v>Ndejje Division</v>
          </cell>
          <cell r="E1054">
            <v>0</v>
          </cell>
          <cell r="F1054" t="str">
            <v>Ndejje</v>
          </cell>
        </row>
        <row r="1055">
          <cell r="C1055" t="str">
            <v>Mukono</v>
          </cell>
          <cell r="D1055" t="str">
            <v>Mpunge</v>
          </cell>
          <cell r="E1055">
            <v>0</v>
          </cell>
        </row>
        <row r="1056">
          <cell r="C1056" t="str">
            <v>Kinkiizi</v>
          </cell>
          <cell r="D1056" t="str">
            <v>Mpungu</v>
          </cell>
          <cell r="E1056">
            <v>0</v>
          </cell>
        </row>
        <row r="1057">
          <cell r="C1057" t="str">
            <v>Bunya</v>
          </cell>
          <cell r="D1057" t="str">
            <v>Mpungwe</v>
          </cell>
          <cell r="E1057">
            <v>0</v>
          </cell>
        </row>
        <row r="1058">
          <cell r="C1058" t="str">
            <v>Chua</v>
          </cell>
          <cell r="D1058" t="str">
            <v>Mucwini</v>
          </cell>
          <cell r="E1058">
            <v>0</v>
          </cell>
        </row>
        <row r="1059">
          <cell r="C1059" t="str">
            <v>Mawokota</v>
          </cell>
          <cell r="D1059" t="str">
            <v>Muduuma</v>
          </cell>
          <cell r="E1059">
            <v>0</v>
          </cell>
        </row>
        <row r="1060">
          <cell r="C1060" t="str">
            <v>Buyanja</v>
          </cell>
          <cell r="D1060" t="str">
            <v>Mugarama</v>
          </cell>
          <cell r="E1060">
            <v>0</v>
          </cell>
        </row>
        <row r="1061">
          <cell r="C1061" t="str">
            <v>Iki-Iki</v>
          </cell>
          <cell r="D1061" t="str">
            <v>Mugiti</v>
          </cell>
          <cell r="E1061">
            <v>0</v>
          </cell>
        </row>
        <row r="1062">
          <cell r="C1062" t="str">
            <v>Bujumba</v>
          </cell>
          <cell r="D1062" t="str">
            <v>Mugoye</v>
          </cell>
          <cell r="E1062">
            <v>0</v>
          </cell>
        </row>
        <row r="1063">
          <cell r="C1063" t="str">
            <v>Burahya</v>
          </cell>
          <cell r="D1063" t="str">
            <v>Mugusu</v>
          </cell>
          <cell r="E1063">
            <v>0</v>
          </cell>
        </row>
        <row r="1064">
          <cell r="C1064" t="str">
            <v>Burahya</v>
          </cell>
          <cell r="D1064" t="str">
            <v>Mugusu Town Council</v>
          </cell>
          <cell r="E1064">
            <v>0</v>
          </cell>
        </row>
        <row r="1065">
          <cell r="C1065" t="str">
            <v>Rukiga</v>
          </cell>
          <cell r="D1065" t="str">
            <v>Muhanga Town Council</v>
          </cell>
          <cell r="E1065">
            <v>0</v>
          </cell>
        </row>
        <row r="1066">
          <cell r="C1066" t="str">
            <v>Busongora</v>
          </cell>
          <cell r="D1066" t="str">
            <v>Muhokya</v>
          </cell>
          <cell r="E1066">
            <v>0</v>
          </cell>
        </row>
        <row r="1067">
          <cell r="C1067" t="str">
            <v>Buyaga</v>
          </cell>
          <cell r="D1067" t="str">
            <v>Muhorro</v>
          </cell>
          <cell r="E1067">
            <v>0</v>
          </cell>
        </row>
        <row r="1068">
          <cell r="C1068" t="str">
            <v>Buyaga</v>
          </cell>
          <cell r="D1068" t="str">
            <v>Muhorro Town Council</v>
          </cell>
          <cell r="E1068">
            <v>0</v>
          </cell>
        </row>
        <row r="1069">
          <cell r="C1069" t="str">
            <v>Rubanda</v>
          </cell>
          <cell r="D1069" t="str">
            <v>Muko</v>
          </cell>
          <cell r="E1069">
            <v>0</v>
          </cell>
        </row>
        <row r="1070">
          <cell r="C1070" t="str">
            <v>Kumi</v>
          </cell>
          <cell r="D1070" t="str">
            <v>Mukongoro</v>
          </cell>
          <cell r="E1070">
            <v>0</v>
          </cell>
        </row>
        <row r="1071">
          <cell r="C1071" t="str">
            <v>Namisindwa</v>
          </cell>
          <cell r="D1071" t="str">
            <v>Mukoto</v>
          </cell>
          <cell r="E1071">
            <v>0</v>
          </cell>
        </row>
        <row r="1072">
          <cell r="C1072" t="str">
            <v>Tororo</v>
          </cell>
          <cell r="D1072" t="str">
            <v>Mukuju</v>
          </cell>
          <cell r="E1072">
            <v>0</v>
          </cell>
        </row>
        <row r="1073">
          <cell r="C1073" t="str">
            <v>Bukoto</v>
          </cell>
          <cell r="D1073" t="str">
            <v>Mukungwe</v>
          </cell>
          <cell r="E1073">
            <v>0</v>
          </cell>
        </row>
        <row r="1074">
          <cell r="C1074" t="str">
            <v>Ngora</v>
          </cell>
          <cell r="D1074" t="str">
            <v>Mukura</v>
          </cell>
          <cell r="E1074">
            <v>0</v>
          </cell>
        </row>
        <row r="1075">
          <cell r="C1075" t="str">
            <v>Kiboga</v>
          </cell>
          <cell r="D1075" t="str">
            <v>Mulagi</v>
          </cell>
          <cell r="E1075">
            <v>0</v>
          </cell>
        </row>
        <row r="1076">
          <cell r="C1076" t="str">
            <v>West Budama</v>
          </cell>
          <cell r="D1076" t="str">
            <v>Mulanda</v>
          </cell>
          <cell r="E1076">
            <v>0</v>
          </cell>
        </row>
        <row r="1077">
          <cell r="C1077" t="str">
            <v>Tingey</v>
          </cell>
          <cell r="D1077" t="str">
            <v>Munarya</v>
          </cell>
          <cell r="E1077">
            <v>0</v>
          </cell>
        </row>
        <row r="1078">
          <cell r="C1078" t="str">
            <v>Bukonzo</v>
          </cell>
          <cell r="D1078" t="str">
            <v>Munkunyu</v>
          </cell>
          <cell r="E1078">
            <v>0</v>
          </cell>
        </row>
        <row r="1079">
          <cell r="C1079" t="str">
            <v>Kioga</v>
          </cell>
          <cell r="D1079" t="str">
            <v>Muntu</v>
          </cell>
          <cell r="E1079">
            <v>0</v>
          </cell>
        </row>
        <row r="1080">
          <cell r="C1080" t="str">
            <v>Bufumbira</v>
          </cell>
          <cell r="D1080" t="str">
            <v>Muramba</v>
          </cell>
          <cell r="E1080">
            <v>0</v>
          </cell>
        </row>
        <row r="1081">
          <cell r="C1081" t="str">
            <v>Bufumbira</v>
          </cell>
          <cell r="D1081" t="str">
            <v>Murora</v>
          </cell>
          <cell r="E1081">
            <v>0</v>
          </cell>
        </row>
        <row r="1082">
          <cell r="C1082" t="str">
            <v>Ruhinda</v>
          </cell>
          <cell r="D1082" t="str">
            <v>Mutara</v>
          </cell>
          <cell r="E1082">
            <v>0</v>
          </cell>
        </row>
        <row r="1083">
          <cell r="C1083" t="str">
            <v>Bukooli North</v>
          </cell>
          <cell r="D1083" t="str">
            <v>Muterere</v>
          </cell>
          <cell r="E1083">
            <v>0</v>
          </cell>
        </row>
        <row r="1084">
          <cell r="C1084" t="str">
            <v>Bukooli</v>
          </cell>
          <cell r="D1084" t="str">
            <v>Mutumba</v>
          </cell>
          <cell r="E1084">
            <v>0</v>
          </cell>
        </row>
        <row r="1085">
          <cell r="C1085" t="str">
            <v>Kibanda</v>
          </cell>
          <cell r="D1085" t="str">
            <v>Mutunda</v>
          </cell>
          <cell r="E1085">
            <v>0</v>
          </cell>
        </row>
        <row r="1086">
          <cell r="C1086" t="str">
            <v>Kiboga</v>
          </cell>
          <cell r="D1086" t="str">
            <v>Muwanga</v>
          </cell>
          <cell r="E1086">
            <v>0</v>
          </cell>
        </row>
        <row r="1087">
          <cell r="C1087" t="str">
            <v>Bulambuli</v>
          </cell>
          <cell r="D1087" t="str">
            <v>Muyembe</v>
          </cell>
          <cell r="E1087">
            <v>0</v>
          </cell>
        </row>
        <row r="1088">
          <cell r="C1088" t="str">
            <v>Rwampara</v>
          </cell>
          <cell r="D1088" t="str">
            <v>Mwizi</v>
          </cell>
          <cell r="E1088">
            <v>0</v>
          </cell>
        </row>
        <row r="1089">
          <cell r="C1089" t="str">
            <v>Kassanda</v>
          </cell>
          <cell r="D1089" t="str">
            <v>Myanzi</v>
          </cell>
          <cell r="E1089">
            <v>0</v>
          </cell>
        </row>
        <row r="1090">
          <cell r="C1090" t="str">
            <v>Oyam</v>
          </cell>
          <cell r="D1090" t="str">
            <v>Myene</v>
          </cell>
          <cell r="E1090">
            <v>0</v>
          </cell>
        </row>
        <row r="1091">
          <cell r="C1091" t="str">
            <v>Nakifuma</v>
          </cell>
          <cell r="D1091" t="str">
            <v>Nabbaale</v>
          </cell>
          <cell r="E1091">
            <v>0</v>
          </cell>
        </row>
        <row r="1092">
          <cell r="C1092" t="str">
            <v>Bulambuli</v>
          </cell>
          <cell r="D1092" t="str">
            <v>Nabbongo</v>
          </cell>
          <cell r="E1092">
            <v>0</v>
          </cell>
        </row>
        <row r="1093">
          <cell r="C1093" t="str">
            <v>Kyotera</v>
          </cell>
          <cell r="D1093" t="str">
            <v>Nabigasa</v>
          </cell>
          <cell r="E1093">
            <v>0</v>
          </cell>
        </row>
        <row r="1094">
          <cell r="C1094" t="str">
            <v>Pian</v>
          </cell>
          <cell r="D1094" t="str">
            <v>Nabilatuk</v>
          </cell>
          <cell r="E1094">
            <v>0</v>
          </cell>
        </row>
        <row r="1095">
          <cell r="C1095" t="str">
            <v>Kasambya</v>
          </cell>
          <cell r="D1095" t="str">
            <v>Nabingoola</v>
          </cell>
          <cell r="E1095">
            <v>0</v>
          </cell>
        </row>
        <row r="1096">
          <cell r="C1096" t="str">
            <v>Buruli</v>
          </cell>
          <cell r="D1096" t="str">
            <v>Nabisweera</v>
          </cell>
          <cell r="E1096">
            <v>0</v>
          </cell>
        </row>
        <row r="1097">
          <cell r="C1097" t="str">
            <v>Kigulu</v>
          </cell>
          <cell r="D1097" t="str">
            <v>Nabitende</v>
          </cell>
          <cell r="E1097">
            <v>0</v>
          </cell>
        </row>
        <row r="1098">
          <cell r="C1098" t="str">
            <v>Budaka</v>
          </cell>
          <cell r="D1098" t="str">
            <v>Naboa</v>
          </cell>
          <cell r="E1098">
            <v>0</v>
          </cell>
        </row>
        <row r="1099">
          <cell r="C1099" t="str">
            <v>Bukooli North</v>
          </cell>
          <cell r="D1099" t="str">
            <v>Nabukalu</v>
          </cell>
          <cell r="E1099">
            <v>0</v>
          </cell>
        </row>
        <row r="1100">
          <cell r="C1100" t="str">
            <v>Bungokho</v>
          </cell>
          <cell r="D1100" t="str">
            <v>Nabumali Town Council</v>
          </cell>
          <cell r="E1100">
            <v>0</v>
          </cell>
        </row>
        <row r="1101">
          <cell r="C1101" t="str">
            <v>West Budama</v>
          </cell>
          <cell r="D1101" t="str">
            <v>Nabuyoga</v>
          </cell>
          <cell r="E1101">
            <v>0</v>
          </cell>
        </row>
        <row r="1102">
          <cell r="C1102" t="str">
            <v>Masaka Municipality</v>
          </cell>
          <cell r="D1102" t="str">
            <v>Katwe-Butego Division</v>
          </cell>
          <cell r="E1102">
            <v>0</v>
          </cell>
          <cell r="F1102" t="str">
            <v>Masaka Municipality</v>
          </cell>
        </row>
        <row r="1103">
          <cell r="C1103" t="str">
            <v>Manjiya</v>
          </cell>
          <cell r="D1103" t="str">
            <v>Nabweya</v>
          </cell>
          <cell r="E1103">
            <v>0</v>
          </cell>
          <cell r="F1103">
            <v>0</v>
          </cell>
        </row>
        <row r="1104">
          <cell r="C1104" t="str">
            <v>Busiki</v>
          </cell>
          <cell r="D1104" t="str">
            <v>Nabweyo</v>
          </cell>
          <cell r="E1104">
            <v>0</v>
          </cell>
          <cell r="F1104">
            <v>0</v>
          </cell>
        </row>
        <row r="1105">
          <cell r="C1105" t="str">
            <v>Bugabula</v>
          </cell>
          <cell r="D1105" t="str">
            <v>Nabwigulu</v>
          </cell>
          <cell r="E1105">
            <v>0</v>
          </cell>
          <cell r="F1105">
            <v>0</v>
          </cell>
        </row>
        <row r="1106">
          <cell r="C1106" t="str">
            <v>Matheniko</v>
          </cell>
          <cell r="D1106" t="str">
            <v>Nadunget</v>
          </cell>
          <cell r="E1106">
            <v>0</v>
          </cell>
          <cell r="F1106">
            <v>0</v>
          </cell>
        </row>
        <row r="1107">
          <cell r="C1107" t="str">
            <v>Nakifuma</v>
          </cell>
          <cell r="D1107" t="str">
            <v>Nagojje</v>
          </cell>
          <cell r="E1107">
            <v>0</v>
          </cell>
          <cell r="F1107">
            <v>0</v>
          </cell>
        </row>
        <row r="1108">
          <cell r="C1108" t="str">
            <v>West Budama</v>
          </cell>
          <cell r="D1108" t="str">
            <v>Nagongera</v>
          </cell>
          <cell r="E1108">
            <v>0</v>
          </cell>
          <cell r="F1108">
            <v>0</v>
          </cell>
        </row>
        <row r="1109">
          <cell r="C1109" t="str">
            <v>West Budama</v>
          </cell>
          <cell r="D1109" t="str">
            <v>Nagongera Town Council</v>
          </cell>
          <cell r="E1109">
            <v>0</v>
          </cell>
          <cell r="F1109">
            <v>0</v>
          </cell>
        </row>
        <row r="1110">
          <cell r="C1110" t="str">
            <v>Buvuma Island</v>
          </cell>
          <cell r="D1110" t="str">
            <v>Nairambi</v>
          </cell>
          <cell r="E1110">
            <v>0</v>
          </cell>
          <cell r="F1110">
            <v>0</v>
          </cell>
        </row>
        <row r="1111">
          <cell r="C1111" t="str">
            <v>Buikwe</v>
          </cell>
          <cell r="D1111" t="str">
            <v>Najja</v>
          </cell>
          <cell r="E1111">
            <v>0</v>
          </cell>
          <cell r="F1111">
            <v>0</v>
          </cell>
        </row>
        <row r="1112">
          <cell r="C1112" t="str">
            <v>Masaka Municipality</v>
          </cell>
          <cell r="D1112" t="str">
            <v>Kimaanya-Kyabakuza Division</v>
          </cell>
          <cell r="E1112">
            <v>0</v>
          </cell>
          <cell r="F1112">
            <v>0</v>
          </cell>
        </row>
        <row r="1113">
          <cell r="C1113" t="str">
            <v>Kigulu</v>
          </cell>
          <cell r="D1113" t="str">
            <v>Nakalama</v>
          </cell>
          <cell r="E1113">
            <v>0</v>
          </cell>
          <cell r="F1113">
            <v>0</v>
          </cell>
        </row>
        <row r="1114">
          <cell r="C1114" t="str">
            <v>Bungokho</v>
          </cell>
          <cell r="D1114" t="str">
            <v>Nakaloke</v>
          </cell>
          <cell r="E1114">
            <v>0</v>
          </cell>
          <cell r="F1114">
            <v>0</v>
          </cell>
        </row>
        <row r="1115">
          <cell r="C1115" t="str">
            <v>Bungokho</v>
          </cell>
          <cell r="D1115" t="str">
            <v>Nakaloke Town Council</v>
          </cell>
          <cell r="E1115">
            <v>0</v>
          </cell>
          <cell r="F1115">
            <v>0</v>
          </cell>
        </row>
        <row r="1116">
          <cell r="C1116" t="str">
            <v>Jie</v>
          </cell>
          <cell r="D1116" t="str">
            <v>Nakapelimoru</v>
          </cell>
          <cell r="E1116">
            <v>0</v>
          </cell>
          <cell r="F1116">
            <v>0</v>
          </cell>
        </row>
        <row r="1117">
          <cell r="C1117" t="str">
            <v>Chekwii</v>
          </cell>
          <cell r="D1117" t="str">
            <v>Nakapiripirit Town Council</v>
          </cell>
          <cell r="E1117">
            <v>0</v>
          </cell>
          <cell r="F1117">
            <v>0</v>
          </cell>
        </row>
        <row r="1118">
          <cell r="C1118" t="str">
            <v>Nakaseke</v>
          </cell>
          <cell r="D1118" t="str">
            <v>Nakaseke</v>
          </cell>
          <cell r="E1118">
            <v>0</v>
          </cell>
          <cell r="F1118">
            <v>0</v>
          </cell>
        </row>
        <row r="1119">
          <cell r="C1119" t="str">
            <v>Nakaseke</v>
          </cell>
          <cell r="D1119" t="str">
            <v>Nakaseke Town Council</v>
          </cell>
          <cell r="E1119">
            <v>0</v>
          </cell>
          <cell r="F1119">
            <v>0</v>
          </cell>
        </row>
        <row r="1120">
          <cell r="C1120" t="str">
            <v>Buruli</v>
          </cell>
          <cell r="D1120" t="str">
            <v>Nakasongola Town Council</v>
          </cell>
          <cell r="E1120">
            <v>0</v>
          </cell>
          <cell r="F1120">
            <v>0</v>
          </cell>
        </row>
        <row r="1121">
          <cell r="C1121" t="str">
            <v>Manjiya</v>
          </cell>
          <cell r="D1121" t="str">
            <v>Nakatsi</v>
          </cell>
          <cell r="E1121">
            <v>0</v>
          </cell>
          <cell r="F1121">
            <v>0</v>
          </cell>
        </row>
        <row r="1122">
          <cell r="C1122" t="str">
            <v>KCCA</v>
          </cell>
          <cell r="D1122" t="str">
            <v>Nakawa Division</v>
          </cell>
          <cell r="E1122" t="str">
            <v>Banda</v>
          </cell>
          <cell r="F1122">
            <v>0</v>
          </cell>
        </row>
        <row r="1123">
          <cell r="C1123" t="str">
            <v>KCCA</v>
          </cell>
          <cell r="D1123" t="str">
            <v>Nakawa Division</v>
          </cell>
          <cell r="E1123" t="str">
            <v>Bugolobi</v>
          </cell>
          <cell r="F1123">
            <v>0</v>
          </cell>
        </row>
        <row r="1124">
          <cell r="C1124" t="str">
            <v>KCCA</v>
          </cell>
          <cell r="D1124" t="str">
            <v>Nakawa Division</v>
          </cell>
          <cell r="E1124" t="str">
            <v>Bukoto I</v>
          </cell>
          <cell r="F1124">
            <v>0</v>
          </cell>
        </row>
        <row r="1125">
          <cell r="C1125" t="str">
            <v>KCCA</v>
          </cell>
          <cell r="D1125" t="str">
            <v>Nakawa Division</v>
          </cell>
          <cell r="E1125" t="str">
            <v>Bukoto Ii</v>
          </cell>
          <cell r="F1125">
            <v>0</v>
          </cell>
        </row>
        <row r="1126">
          <cell r="C1126" t="str">
            <v>KCCA</v>
          </cell>
          <cell r="D1126" t="str">
            <v>Nakawa Division</v>
          </cell>
          <cell r="E1126" t="str">
            <v>Butabika</v>
          </cell>
          <cell r="F1126">
            <v>0</v>
          </cell>
        </row>
        <row r="1127">
          <cell r="C1127" t="str">
            <v>KCCA</v>
          </cell>
          <cell r="D1127" t="str">
            <v>Nakawa Division</v>
          </cell>
          <cell r="E1127" t="str">
            <v>Itek</v>
          </cell>
          <cell r="F1127">
            <v>0</v>
          </cell>
        </row>
        <row r="1128">
          <cell r="C1128" t="str">
            <v>KCCA</v>
          </cell>
          <cell r="D1128" t="str">
            <v>Nakawa Division</v>
          </cell>
          <cell r="E1128" t="str">
            <v>Kiswa</v>
          </cell>
          <cell r="F1128">
            <v>0</v>
          </cell>
        </row>
        <row r="1129">
          <cell r="C1129" t="str">
            <v>KCCA</v>
          </cell>
          <cell r="D1129" t="str">
            <v>Nakawa Division</v>
          </cell>
          <cell r="E1129" t="str">
            <v>Kiwatule</v>
          </cell>
          <cell r="F1129">
            <v>0</v>
          </cell>
        </row>
        <row r="1130">
          <cell r="C1130" t="str">
            <v>KCCA</v>
          </cell>
          <cell r="D1130" t="str">
            <v>Nakawa Division</v>
          </cell>
          <cell r="E1130" t="str">
            <v>Kyambogo</v>
          </cell>
          <cell r="F1130">
            <v>0</v>
          </cell>
        </row>
        <row r="1131">
          <cell r="C1131" t="str">
            <v>KCCA</v>
          </cell>
          <cell r="D1131" t="str">
            <v>Nakawa Division</v>
          </cell>
          <cell r="E1131" t="str">
            <v>Kyanja</v>
          </cell>
          <cell r="F1131">
            <v>0</v>
          </cell>
        </row>
        <row r="1132">
          <cell r="C1132" t="str">
            <v>KCCA</v>
          </cell>
          <cell r="D1132" t="str">
            <v>Nakawa Division</v>
          </cell>
          <cell r="E1132" t="str">
            <v>Luzira</v>
          </cell>
          <cell r="F1132">
            <v>0</v>
          </cell>
        </row>
        <row r="1133">
          <cell r="C1133" t="str">
            <v>KCCA</v>
          </cell>
          <cell r="D1133" t="str">
            <v>Nakawa Division</v>
          </cell>
          <cell r="E1133" t="str">
            <v>Luzira Prisons</v>
          </cell>
          <cell r="F1133">
            <v>0</v>
          </cell>
        </row>
        <row r="1134">
          <cell r="C1134" t="str">
            <v>KCCA</v>
          </cell>
          <cell r="D1134" t="str">
            <v>Nakawa Division</v>
          </cell>
          <cell r="E1134" t="str">
            <v>Mbuya I</v>
          </cell>
          <cell r="F1134">
            <v>0</v>
          </cell>
        </row>
        <row r="1135">
          <cell r="C1135" t="str">
            <v>KCCA</v>
          </cell>
          <cell r="D1135" t="str">
            <v>Nakawa Division</v>
          </cell>
          <cell r="E1135" t="str">
            <v>Mbuya Ii</v>
          </cell>
          <cell r="F1135">
            <v>0</v>
          </cell>
        </row>
        <row r="1136">
          <cell r="C1136" t="str">
            <v>KCCA</v>
          </cell>
          <cell r="D1136" t="str">
            <v>Nakawa Division</v>
          </cell>
          <cell r="E1136" t="str">
            <v>Mutungo</v>
          </cell>
          <cell r="F1136">
            <v>0</v>
          </cell>
        </row>
        <row r="1137">
          <cell r="C1137" t="str">
            <v>KCCA</v>
          </cell>
          <cell r="D1137" t="str">
            <v>Nakawa Division</v>
          </cell>
          <cell r="E1137" t="str">
            <v>Nabisunsa</v>
          </cell>
          <cell r="F1137">
            <v>0</v>
          </cell>
        </row>
        <row r="1138">
          <cell r="C1138" t="str">
            <v>KCCA</v>
          </cell>
          <cell r="D1138" t="str">
            <v>Nakawa Division</v>
          </cell>
          <cell r="E1138" t="str">
            <v>Naguru I</v>
          </cell>
          <cell r="F1138">
            <v>0</v>
          </cell>
        </row>
        <row r="1139">
          <cell r="C1139" t="str">
            <v>KCCA</v>
          </cell>
          <cell r="D1139" t="str">
            <v>Nakawa Division</v>
          </cell>
          <cell r="E1139" t="str">
            <v>Naguru Ii</v>
          </cell>
          <cell r="F1139">
            <v>0</v>
          </cell>
        </row>
        <row r="1140">
          <cell r="C1140" t="str">
            <v>KCCA</v>
          </cell>
          <cell r="D1140" t="str">
            <v>Nakawa Division</v>
          </cell>
          <cell r="E1140" t="str">
            <v>Nakawa</v>
          </cell>
          <cell r="F1140">
            <v>0</v>
          </cell>
        </row>
        <row r="1141">
          <cell r="C1141" t="str">
            <v>KCCA</v>
          </cell>
          <cell r="D1141" t="str">
            <v>Nakawa Division</v>
          </cell>
          <cell r="E1141" t="str">
            <v>Nakawa Institute</v>
          </cell>
          <cell r="F1141">
            <v>0</v>
          </cell>
        </row>
        <row r="1142">
          <cell r="C1142" t="str">
            <v>KCCA</v>
          </cell>
          <cell r="D1142" t="str">
            <v>Nakawa Division</v>
          </cell>
          <cell r="E1142" t="str">
            <v>Ntinda</v>
          </cell>
          <cell r="F1142">
            <v>0</v>
          </cell>
        </row>
        <row r="1143">
          <cell r="C1143" t="str">
            <v>KCCA</v>
          </cell>
          <cell r="D1143" t="str">
            <v>Nakawa Division</v>
          </cell>
          <cell r="E1143" t="str">
            <v>Upk</v>
          </cell>
          <cell r="F1143">
            <v>0</v>
          </cell>
        </row>
        <row r="1144">
          <cell r="C1144" t="str">
            <v>KCCA</v>
          </cell>
          <cell r="D1144" t="str">
            <v>Nakawa Division</v>
          </cell>
          <cell r="E1144" t="str">
            <v>Upper Estate</v>
          </cell>
          <cell r="F1144">
            <v>0</v>
          </cell>
        </row>
        <row r="1145">
          <cell r="C1145" t="str">
            <v>Kigulu</v>
          </cell>
          <cell r="D1145" t="str">
            <v>Nakigo</v>
          </cell>
          <cell r="E1145">
            <v>0</v>
          </cell>
          <cell r="F1145">
            <v>0</v>
          </cell>
        </row>
        <row r="1146">
          <cell r="C1146" t="str">
            <v>Mukono</v>
          </cell>
          <cell r="D1146" t="str">
            <v>Nakisunga</v>
          </cell>
          <cell r="E1146">
            <v>0</v>
          </cell>
          <cell r="F1146">
            <v>0</v>
          </cell>
        </row>
        <row r="1147">
          <cell r="C1147" t="str">
            <v>Buruli</v>
          </cell>
          <cell r="D1147" t="str">
            <v>Nakitoma</v>
          </cell>
          <cell r="E1147">
            <v>0</v>
          </cell>
          <cell r="F1147">
            <v>0</v>
          </cell>
        </row>
        <row r="1148">
          <cell r="C1148" t="str">
            <v>Bukanga</v>
          </cell>
          <cell r="D1148" t="str">
            <v>Nakivale Refugee Camp</v>
          </cell>
          <cell r="E1148">
            <v>0</v>
          </cell>
          <cell r="F1148">
            <v>0</v>
          </cell>
        </row>
        <row r="1149">
          <cell r="C1149" t="str">
            <v>Bubulo</v>
          </cell>
          <cell r="D1149" t="str">
            <v>Nalondo</v>
          </cell>
          <cell r="E1149">
            <v>0</v>
          </cell>
          <cell r="F1149">
            <v>0</v>
          </cell>
        </row>
        <row r="1150">
          <cell r="C1150" t="str">
            <v>Budadiri</v>
          </cell>
          <cell r="D1150" t="str">
            <v>Nalusala</v>
          </cell>
          <cell r="E1150">
            <v>0</v>
          </cell>
          <cell r="F1150">
            <v>0</v>
          </cell>
        </row>
        <row r="1151">
          <cell r="C1151" t="str">
            <v>Manjiya</v>
          </cell>
          <cell r="D1151" t="str">
            <v>Nalwanza</v>
          </cell>
          <cell r="E1151">
            <v>0</v>
          </cell>
          <cell r="F1151">
            <v>0</v>
          </cell>
        </row>
        <row r="1152">
          <cell r="C1152" t="str">
            <v>Bugangaizi</v>
          </cell>
          <cell r="D1152" t="str">
            <v>Nalweyo</v>
          </cell>
          <cell r="E1152">
            <v>0</v>
          </cell>
          <cell r="F1152">
            <v>0</v>
          </cell>
        </row>
        <row r="1153">
          <cell r="C1153" t="str">
            <v>Mukono</v>
          </cell>
          <cell r="D1153" t="str">
            <v>Nama</v>
          </cell>
          <cell r="E1153">
            <v>0</v>
          </cell>
          <cell r="F1153">
            <v>0</v>
          </cell>
        </row>
        <row r="1154">
          <cell r="C1154" t="str">
            <v>Namisindwa</v>
          </cell>
          <cell r="D1154" t="str">
            <v>Namabya</v>
          </cell>
          <cell r="E1154">
            <v>0</v>
          </cell>
          <cell r="F1154">
            <v>0</v>
          </cell>
        </row>
        <row r="1155">
          <cell r="C1155" t="str">
            <v>Bugweri</v>
          </cell>
          <cell r="D1155" t="str">
            <v>Namalemba</v>
          </cell>
          <cell r="E1155">
            <v>0</v>
          </cell>
          <cell r="F1155">
            <v>0</v>
          </cell>
        </row>
        <row r="1156">
          <cell r="C1156" t="str">
            <v>Chekwii</v>
          </cell>
          <cell r="D1156" t="str">
            <v>Namalu</v>
          </cell>
          <cell r="E1156">
            <v>0</v>
          </cell>
          <cell r="F1156">
            <v>0</v>
          </cell>
        </row>
        <row r="1157">
          <cell r="C1157" t="str">
            <v>Bungokho</v>
          </cell>
          <cell r="D1157" t="str">
            <v>Namanyonyi</v>
          </cell>
          <cell r="E1157">
            <v>0</v>
          </cell>
          <cell r="F1157">
            <v>0</v>
          </cell>
        </row>
        <row r="1158">
          <cell r="C1158" t="str">
            <v>Bugabula</v>
          </cell>
          <cell r="D1158" t="str">
            <v>Namasagali</v>
          </cell>
          <cell r="E1158">
            <v>0</v>
          </cell>
          <cell r="F1158">
            <v>0</v>
          </cell>
        </row>
        <row r="1159">
          <cell r="C1159" t="str">
            <v>Kioga</v>
          </cell>
          <cell r="D1159" t="str">
            <v>Namasale</v>
          </cell>
          <cell r="E1159">
            <v>0</v>
          </cell>
          <cell r="F1159">
            <v>0</v>
          </cell>
        </row>
        <row r="1160">
          <cell r="C1160" t="str">
            <v>Kioga</v>
          </cell>
          <cell r="D1160" t="str">
            <v>Namasale Town Council</v>
          </cell>
          <cell r="E1160">
            <v>0</v>
          </cell>
          <cell r="F1160">
            <v>0</v>
          </cell>
        </row>
        <row r="1161">
          <cell r="C1161" t="str">
            <v>Bukooli</v>
          </cell>
          <cell r="D1161" t="str">
            <v>Namayingo Town Council</v>
          </cell>
          <cell r="E1161">
            <v>0</v>
          </cell>
          <cell r="F1161">
            <v>0</v>
          </cell>
        </row>
        <row r="1162">
          <cell r="C1162" t="str">
            <v>Busiro</v>
          </cell>
          <cell r="D1162" t="str">
            <v>Namayumba</v>
          </cell>
          <cell r="E1162">
            <v>0</v>
          </cell>
          <cell r="F1162">
            <v>0</v>
          </cell>
        </row>
        <row r="1163">
          <cell r="C1163" t="str">
            <v>Busiro</v>
          </cell>
          <cell r="D1163" t="str">
            <v>Namayumba Town Council</v>
          </cell>
          <cell r="E1163">
            <v>0</v>
          </cell>
          <cell r="F1163">
            <v>0</v>
          </cell>
        </row>
        <row r="1164">
          <cell r="C1164" t="str">
            <v>Kigulu</v>
          </cell>
          <cell r="D1164" t="str">
            <v>Nambale</v>
          </cell>
          <cell r="E1164">
            <v>0</v>
          </cell>
          <cell r="F1164">
            <v>0</v>
          </cell>
        </row>
        <row r="1165">
          <cell r="C1165" t="str">
            <v>Kwania</v>
          </cell>
          <cell r="D1165" t="str">
            <v>Nambieso</v>
          </cell>
          <cell r="E1165">
            <v>0</v>
          </cell>
          <cell r="F1165">
            <v>0</v>
          </cell>
        </row>
        <row r="1166">
          <cell r="C1166" t="str">
            <v>Namisindwa</v>
          </cell>
          <cell r="D1166" t="str">
            <v>Namboko</v>
          </cell>
          <cell r="E1166">
            <v>0</v>
          </cell>
          <cell r="F1166">
            <v>0</v>
          </cell>
        </row>
        <row r="1167">
          <cell r="C1167" t="str">
            <v>Namisindwa</v>
          </cell>
          <cell r="D1167" t="str">
            <v>Namisindwa Town Council</v>
          </cell>
          <cell r="E1167">
            <v>0</v>
          </cell>
          <cell r="F1167">
            <v>0</v>
          </cell>
        </row>
        <row r="1168">
          <cell r="C1168" t="str">
            <v>Bulambuli</v>
          </cell>
          <cell r="D1168" t="str">
            <v>Namisuni</v>
          </cell>
          <cell r="E1168">
            <v>0</v>
          </cell>
          <cell r="F1168">
            <v>0</v>
          </cell>
        </row>
        <row r="1169">
          <cell r="C1169" t="str">
            <v>Chua</v>
          </cell>
          <cell r="D1169" t="str">
            <v>Namokora</v>
          </cell>
          <cell r="E1169">
            <v>0</v>
          </cell>
          <cell r="F1169">
            <v>0</v>
          </cell>
        </row>
        <row r="1170">
          <cell r="C1170" t="str">
            <v>Bulamogi</v>
          </cell>
          <cell r="D1170" t="str">
            <v>Namugongo</v>
          </cell>
          <cell r="E1170">
            <v>0</v>
          </cell>
          <cell r="F1170">
            <v>0</v>
          </cell>
        </row>
        <row r="1171">
          <cell r="C1171" t="str">
            <v>Masaka Municipality</v>
          </cell>
          <cell r="D1171" t="str">
            <v>Nyendo-Ssenyange Division</v>
          </cell>
          <cell r="E1171">
            <v>0</v>
          </cell>
          <cell r="F1171">
            <v>0</v>
          </cell>
        </row>
        <row r="1172">
          <cell r="C1172" t="str">
            <v>Kigulu</v>
          </cell>
          <cell r="D1172" t="str">
            <v>Namungalwe</v>
          </cell>
          <cell r="E1172">
            <v>0</v>
          </cell>
        </row>
        <row r="1173">
          <cell r="C1173" t="str">
            <v>Mityana</v>
          </cell>
          <cell r="D1173" t="str">
            <v>Namungo</v>
          </cell>
          <cell r="E1173">
            <v>0</v>
          </cell>
        </row>
        <row r="1174">
          <cell r="C1174" t="str">
            <v>Busiki</v>
          </cell>
          <cell r="D1174" t="str">
            <v>Namutumba</v>
          </cell>
          <cell r="E1174">
            <v>0</v>
          </cell>
        </row>
        <row r="1175">
          <cell r="C1175" t="str">
            <v>Busiki</v>
          </cell>
          <cell r="D1175" t="str">
            <v>Namutumba Town Council</v>
          </cell>
          <cell r="E1175">
            <v>0</v>
          </cell>
        </row>
        <row r="1176">
          <cell r="C1176" t="str">
            <v>Bugabula</v>
          </cell>
          <cell r="D1176" t="str">
            <v>Namwendwa</v>
          </cell>
          <cell r="E1176">
            <v>0</v>
          </cell>
        </row>
        <row r="1177">
          <cell r="C1177" t="str">
            <v>Bulamogi</v>
          </cell>
          <cell r="D1177" t="str">
            <v>Namwiwa</v>
          </cell>
          <cell r="E1177">
            <v>0</v>
          </cell>
        </row>
        <row r="1178">
          <cell r="C1178" t="str">
            <v>Busiki</v>
          </cell>
          <cell r="D1178" t="str">
            <v>Nangonde</v>
          </cell>
          <cell r="E1178">
            <v>0</v>
          </cell>
        </row>
        <row r="1179">
          <cell r="C1179" t="str">
            <v>Bukooli North</v>
          </cell>
          <cell r="D1179" t="str">
            <v>Nankoma</v>
          </cell>
          <cell r="E1179">
            <v>0</v>
          </cell>
        </row>
        <row r="1180">
          <cell r="C1180" t="str">
            <v>Masindi Municipality</v>
          </cell>
          <cell r="D1180" t="str">
            <v>Central Division</v>
          </cell>
          <cell r="E1180">
            <v>0</v>
          </cell>
          <cell r="F1180" t="str">
            <v>Masindi Municipality</v>
          </cell>
        </row>
        <row r="1181">
          <cell r="C1181" t="str">
            <v>Budaka</v>
          </cell>
          <cell r="D1181" t="str">
            <v>Nansanga</v>
          </cell>
          <cell r="E1181">
            <v>0</v>
          </cell>
          <cell r="F1181">
            <v>0</v>
          </cell>
        </row>
        <row r="1182">
          <cell r="C1182" t="str">
            <v>Bulamogi</v>
          </cell>
          <cell r="D1182" t="str">
            <v>Nansololo</v>
          </cell>
          <cell r="E1182">
            <v>0</v>
          </cell>
          <cell r="F1182">
            <v>0</v>
          </cell>
        </row>
        <row r="1183">
          <cell r="C1183" t="str">
            <v>Bokora</v>
          </cell>
          <cell r="D1183" t="str">
            <v>Napak Town Council</v>
          </cell>
          <cell r="E1183">
            <v>0</v>
          </cell>
          <cell r="F1183">
            <v>0</v>
          </cell>
        </row>
        <row r="1184">
          <cell r="C1184" t="str">
            <v>Dodoth</v>
          </cell>
          <cell r="D1184" t="str">
            <v>Napore Karenga</v>
          </cell>
          <cell r="E1184">
            <v>0</v>
          </cell>
          <cell r="F1184">
            <v>0</v>
          </cell>
        </row>
        <row r="1185">
          <cell r="C1185" t="str">
            <v>Bulamogi</v>
          </cell>
          <cell r="D1185" t="str">
            <v>Nawaikoke</v>
          </cell>
          <cell r="E1185">
            <v>0</v>
          </cell>
          <cell r="F1185">
            <v>0</v>
          </cell>
        </row>
        <row r="1186">
          <cell r="C1186" t="str">
            <v>Luuka</v>
          </cell>
          <cell r="D1186" t="str">
            <v>Nawampiti</v>
          </cell>
          <cell r="E1186">
            <v>0</v>
          </cell>
          <cell r="F1186">
            <v>0</v>
          </cell>
        </row>
        <row r="1187">
          <cell r="C1187" t="str">
            <v>Kigulu</v>
          </cell>
          <cell r="D1187" t="str">
            <v>Nawandala</v>
          </cell>
          <cell r="E1187">
            <v>0</v>
          </cell>
          <cell r="F1187">
            <v>0</v>
          </cell>
        </row>
        <row r="1188">
          <cell r="C1188" t="str">
            <v>Bunyole</v>
          </cell>
          <cell r="D1188" t="str">
            <v>Nawanjofu</v>
          </cell>
          <cell r="E1188">
            <v>0</v>
          </cell>
          <cell r="F1188">
            <v>0</v>
          </cell>
        </row>
        <row r="1189">
          <cell r="C1189" t="str">
            <v>Buzaaya</v>
          </cell>
          <cell r="D1189" t="str">
            <v>Nawanyago</v>
          </cell>
          <cell r="E1189">
            <v>0</v>
          </cell>
          <cell r="F1189">
            <v>0</v>
          </cell>
        </row>
        <row r="1190">
          <cell r="C1190" t="str">
            <v>Kigulu</v>
          </cell>
          <cell r="D1190" t="str">
            <v>Nawanyingi</v>
          </cell>
          <cell r="E1190">
            <v>0</v>
          </cell>
          <cell r="F1190">
            <v>0</v>
          </cell>
        </row>
        <row r="1191">
          <cell r="C1191" t="str">
            <v>Bunyole</v>
          </cell>
          <cell r="D1191" t="str">
            <v>Naweyo</v>
          </cell>
          <cell r="E1191">
            <v>0</v>
          </cell>
          <cell r="F1191">
            <v>0</v>
          </cell>
        </row>
        <row r="1192">
          <cell r="C1192" t="str">
            <v>Ntenjeru</v>
          </cell>
          <cell r="D1192" t="str">
            <v>Nazigo</v>
          </cell>
          <cell r="E1192">
            <v>0</v>
          </cell>
          <cell r="F1192">
            <v>0</v>
          </cell>
        </row>
        <row r="1193">
          <cell r="C1193" t="str">
            <v>Bukoto</v>
          </cell>
          <cell r="D1193" t="str">
            <v>Ndagwe</v>
          </cell>
          <cell r="E1193">
            <v>0</v>
          </cell>
          <cell r="F1193">
            <v>0</v>
          </cell>
        </row>
        <row r="1194">
          <cell r="C1194" t="str">
            <v>Buyaga</v>
          </cell>
          <cell r="D1194" t="str">
            <v>Ndaiga</v>
          </cell>
          <cell r="E1194">
            <v>0</v>
          </cell>
          <cell r="F1194">
            <v>0</v>
          </cell>
        </row>
        <row r="1195">
          <cell r="C1195" t="str">
            <v>Rwampara</v>
          </cell>
          <cell r="D1195" t="str">
            <v>Ndeija</v>
          </cell>
          <cell r="E1195">
            <v>0</v>
          </cell>
          <cell r="F1195">
            <v>0</v>
          </cell>
        </row>
        <row r="1196">
          <cell r="C1196" t="str">
            <v>Masindi Municipality</v>
          </cell>
          <cell r="D1196" t="str">
            <v>Karujubu Division</v>
          </cell>
          <cell r="E1196">
            <v>0</v>
          </cell>
          <cell r="F1196">
            <v>0</v>
          </cell>
        </row>
        <row r="1197">
          <cell r="C1197" t="str">
            <v>Padyere</v>
          </cell>
          <cell r="D1197" t="str">
            <v>Ndhew</v>
          </cell>
          <cell r="E1197">
            <v>0</v>
          </cell>
          <cell r="F1197">
            <v>0</v>
          </cell>
        </row>
        <row r="1198">
          <cell r="C1198" t="str">
            <v>Bughendera</v>
          </cell>
          <cell r="D1198" t="str">
            <v>Nduguto</v>
          </cell>
          <cell r="E1198">
            <v>0</v>
          </cell>
          <cell r="F1198">
            <v>0</v>
          </cell>
        </row>
        <row r="1199">
          <cell r="C1199" t="str">
            <v>Padyere</v>
          </cell>
          <cell r="D1199" t="str">
            <v>Nebbi</v>
          </cell>
          <cell r="E1199">
            <v>0</v>
          </cell>
          <cell r="F1199">
            <v>0</v>
          </cell>
        </row>
        <row r="1200">
          <cell r="C1200" t="str">
            <v>Oyam</v>
          </cell>
          <cell r="D1200" t="str">
            <v>Ngai</v>
          </cell>
          <cell r="E1200">
            <v>0</v>
          </cell>
          <cell r="F1200">
            <v>0</v>
          </cell>
        </row>
        <row r="1201">
          <cell r="C1201" t="str">
            <v>Bughendera</v>
          </cell>
          <cell r="D1201" t="str">
            <v>Ngamba</v>
          </cell>
          <cell r="E1201">
            <v>0</v>
          </cell>
          <cell r="F1201">
            <v>0</v>
          </cell>
        </row>
        <row r="1202">
          <cell r="C1202" t="str">
            <v>Butambala</v>
          </cell>
          <cell r="D1202" t="str">
            <v>Ngando</v>
          </cell>
          <cell r="E1202">
            <v>0</v>
          </cell>
          <cell r="F1202">
            <v>0</v>
          </cell>
        </row>
        <row r="1203">
          <cell r="C1203" t="str">
            <v>Bukanga</v>
          </cell>
          <cell r="D1203" t="str">
            <v>Ngarama</v>
          </cell>
          <cell r="E1203">
            <v>0</v>
          </cell>
          <cell r="F1203">
            <v>0</v>
          </cell>
        </row>
        <row r="1204">
          <cell r="C1204" t="str">
            <v>Usuk</v>
          </cell>
          <cell r="D1204" t="str">
            <v>Ngariam</v>
          </cell>
          <cell r="E1204">
            <v>0</v>
          </cell>
          <cell r="F1204">
            <v>0</v>
          </cell>
        </row>
        <row r="1205">
          <cell r="C1205" t="str">
            <v>Kween</v>
          </cell>
          <cell r="D1205" t="str">
            <v>Ngenge</v>
          </cell>
          <cell r="E1205">
            <v>0</v>
          </cell>
          <cell r="F1205">
            <v>0</v>
          </cell>
        </row>
        <row r="1206">
          <cell r="C1206" t="str">
            <v>Erute</v>
          </cell>
          <cell r="D1206" t="str">
            <v>Ngetta</v>
          </cell>
          <cell r="E1206">
            <v>0</v>
          </cell>
          <cell r="F1206">
            <v>0</v>
          </cell>
        </row>
        <row r="1207">
          <cell r="C1207" t="str">
            <v>Buikwe</v>
          </cell>
          <cell r="D1207" t="str">
            <v>Ngogwe</v>
          </cell>
          <cell r="E1207">
            <v>0</v>
          </cell>
          <cell r="F1207">
            <v>0</v>
          </cell>
        </row>
        <row r="1208">
          <cell r="C1208" t="str">
            <v>Bokora</v>
          </cell>
          <cell r="D1208" t="str">
            <v>Ngoleriet</v>
          </cell>
          <cell r="E1208">
            <v>0</v>
          </cell>
          <cell r="F1208">
            <v>0</v>
          </cell>
        </row>
        <row r="1209">
          <cell r="C1209" t="str">
            <v>Nakaseke</v>
          </cell>
          <cell r="D1209" t="str">
            <v>Ngoma</v>
          </cell>
          <cell r="E1209">
            <v>0</v>
          </cell>
          <cell r="F1209">
            <v>0</v>
          </cell>
        </row>
        <row r="1210">
          <cell r="C1210" t="str">
            <v>Rushenyi</v>
          </cell>
          <cell r="D1210" t="str">
            <v>Ngoma</v>
          </cell>
          <cell r="E1210">
            <v>0</v>
          </cell>
          <cell r="F1210">
            <v>0</v>
          </cell>
        </row>
        <row r="1211">
          <cell r="C1211" t="str">
            <v>Nakaseke</v>
          </cell>
          <cell r="D1211" t="str">
            <v>Ngoma Town Council</v>
          </cell>
          <cell r="E1211">
            <v>0</v>
          </cell>
          <cell r="F1211">
            <v>0</v>
          </cell>
        </row>
        <row r="1212">
          <cell r="C1212" t="str">
            <v>Ngora</v>
          </cell>
          <cell r="D1212" t="str">
            <v>Ngora</v>
          </cell>
          <cell r="E1212">
            <v>0</v>
          </cell>
          <cell r="F1212">
            <v>0</v>
          </cell>
        </row>
        <row r="1213">
          <cell r="C1213" t="str">
            <v>Ngora</v>
          </cell>
          <cell r="D1213" t="str">
            <v>Ngora Town Council</v>
          </cell>
          <cell r="E1213">
            <v>0</v>
          </cell>
          <cell r="F1213">
            <v>0</v>
          </cell>
        </row>
        <row r="1214">
          <cell r="C1214" t="str">
            <v>Buliisa</v>
          </cell>
          <cell r="D1214" t="str">
            <v>Ngwedo</v>
          </cell>
          <cell r="E1214">
            <v>0</v>
          </cell>
          <cell r="F1214">
            <v>0</v>
          </cell>
        </row>
        <row r="1215">
          <cell r="C1215" t="str">
            <v>Masindi Municipality</v>
          </cell>
          <cell r="D1215" t="str">
            <v>Kigulya Division</v>
          </cell>
          <cell r="E1215">
            <v>0</v>
          </cell>
          <cell r="F1215">
            <v>0</v>
          </cell>
        </row>
        <row r="1216">
          <cell r="C1216" t="str">
            <v>Kiboga</v>
          </cell>
          <cell r="D1216" t="str">
            <v>Nkandwa</v>
          </cell>
          <cell r="E1216">
            <v>0</v>
          </cell>
          <cell r="F1216">
            <v>0</v>
          </cell>
        </row>
        <row r="1217">
          <cell r="C1217" t="str">
            <v>Buikwe</v>
          </cell>
          <cell r="D1217" t="str">
            <v>Nkokonjeru Town Council</v>
          </cell>
          <cell r="E1217">
            <v>0</v>
          </cell>
          <cell r="F1217">
            <v>0</v>
          </cell>
        </row>
        <row r="1218">
          <cell r="C1218" t="str">
            <v>Kibale</v>
          </cell>
          <cell r="D1218" t="str">
            <v>Nkoma</v>
          </cell>
          <cell r="E1218">
            <v>0</v>
          </cell>
          <cell r="F1218">
            <v>0</v>
          </cell>
        </row>
        <row r="1219">
          <cell r="C1219" t="str">
            <v>Budiope</v>
          </cell>
          <cell r="D1219" t="str">
            <v>Nkondo</v>
          </cell>
          <cell r="E1219">
            <v>0</v>
          </cell>
          <cell r="F1219">
            <v>0</v>
          </cell>
        </row>
        <row r="1220">
          <cell r="C1220" t="str">
            <v>Bugangaizi</v>
          </cell>
          <cell r="D1220" t="str">
            <v>Nkooko</v>
          </cell>
          <cell r="E1220">
            <v>0</v>
          </cell>
          <cell r="F1220">
            <v>0</v>
          </cell>
        </row>
        <row r="1221">
          <cell r="C1221" t="str">
            <v>Mawokota</v>
          </cell>
          <cell r="D1221" t="str">
            <v>Nkozi</v>
          </cell>
          <cell r="E1221">
            <v>0</v>
          </cell>
          <cell r="F1221">
            <v>0</v>
          </cell>
        </row>
        <row r="1222">
          <cell r="C1222" t="str">
            <v>Kazo</v>
          </cell>
          <cell r="D1222" t="str">
            <v>Nkungu</v>
          </cell>
          <cell r="E1222">
            <v>0</v>
          </cell>
          <cell r="F1222">
            <v>0</v>
          </cell>
        </row>
        <row r="1223">
          <cell r="C1223" t="str">
            <v>Ntoroko</v>
          </cell>
          <cell r="D1223" t="str">
            <v>Nombe</v>
          </cell>
          <cell r="E1223">
            <v>0</v>
          </cell>
          <cell r="F1223">
            <v>0</v>
          </cell>
        </row>
        <row r="1224">
          <cell r="C1224" t="str">
            <v>Masindi Municipality</v>
          </cell>
          <cell r="D1224" t="str">
            <v>Nyangahya Division</v>
          </cell>
          <cell r="E1224">
            <v>0</v>
          </cell>
          <cell r="F1224">
            <v>0</v>
          </cell>
        </row>
        <row r="1225">
          <cell r="C1225" t="str">
            <v>Mbale Municipality</v>
          </cell>
          <cell r="D1225" t="str">
            <v>Industrial Divison</v>
          </cell>
          <cell r="E1225">
            <v>0</v>
          </cell>
          <cell r="F1225" t="str">
            <v>Mbale Municipality</v>
          </cell>
        </row>
        <row r="1226">
          <cell r="C1226" t="str">
            <v>Mbale Municipality</v>
          </cell>
          <cell r="D1226" t="str">
            <v>Northern Division</v>
          </cell>
          <cell r="E1226">
            <v>0</v>
          </cell>
          <cell r="F1226">
            <v>0</v>
          </cell>
        </row>
        <row r="1227">
          <cell r="C1227" t="str">
            <v>Mbale Municipality</v>
          </cell>
          <cell r="D1227" t="str">
            <v>Wanale Division</v>
          </cell>
          <cell r="E1227">
            <v>0</v>
          </cell>
          <cell r="F1227">
            <v>0</v>
          </cell>
        </row>
        <row r="1228">
          <cell r="C1228" t="str">
            <v>Mbarara Municipality</v>
          </cell>
          <cell r="D1228" t="str">
            <v>Biharwe Division</v>
          </cell>
          <cell r="E1228">
            <v>0</v>
          </cell>
          <cell r="F1228" t="str">
            <v>Mbarara Municipality</v>
          </cell>
        </row>
        <row r="1229">
          <cell r="C1229" t="str">
            <v>Mbarara Municipality</v>
          </cell>
          <cell r="D1229" t="str">
            <v>Kakiika Division</v>
          </cell>
          <cell r="E1229">
            <v>0</v>
          </cell>
          <cell r="F1229">
            <v>0</v>
          </cell>
        </row>
        <row r="1230">
          <cell r="C1230" t="str">
            <v>Mbarara Municipality</v>
          </cell>
          <cell r="D1230" t="str">
            <v>Kakoba Division</v>
          </cell>
          <cell r="E1230">
            <v>0</v>
          </cell>
          <cell r="F1230">
            <v>0</v>
          </cell>
        </row>
        <row r="1231">
          <cell r="C1231" t="str">
            <v>Mbarara Municipality</v>
          </cell>
          <cell r="D1231" t="str">
            <v>Kamukuzi Division</v>
          </cell>
          <cell r="E1231">
            <v>0</v>
          </cell>
          <cell r="F1231">
            <v>0</v>
          </cell>
        </row>
        <row r="1232">
          <cell r="C1232" t="str">
            <v>Mbarara Municipality</v>
          </cell>
          <cell r="D1232" t="str">
            <v>Nyakayojo Division</v>
          </cell>
          <cell r="E1232">
            <v>0</v>
          </cell>
          <cell r="F1232">
            <v>0</v>
          </cell>
        </row>
        <row r="1233">
          <cell r="C1233" t="str">
            <v>Kiboga</v>
          </cell>
          <cell r="D1233" t="str">
            <v>Nsambya</v>
          </cell>
          <cell r="E1233">
            <v>0</v>
          </cell>
          <cell r="F1233">
            <v>0</v>
          </cell>
        </row>
        <row r="1234">
          <cell r="C1234" t="str">
            <v>Buhweju</v>
          </cell>
          <cell r="D1234" t="str">
            <v>Nsiika Town Council</v>
          </cell>
          <cell r="E1234">
            <v>0</v>
          </cell>
          <cell r="F1234">
            <v>0</v>
          </cell>
        </row>
        <row r="1235">
          <cell r="C1235" t="str">
            <v>Busiki</v>
          </cell>
          <cell r="D1235" t="str">
            <v>Nsinze</v>
          </cell>
          <cell r="E1235">
            <v>0</v>
          </cell>
          <cell r="F1235">
            <v>0</v>
          </cell>
        </row>
        <row r="1236">
          <cell r="C1236" t="str">
            <v>Bughendera</v>
          </cell>
          <cell r="D1236" t="str">
            <v>Ntandi Town Council</v>
          </cell>
          <cell r="E1236">
            <v>0</v>
          </cell>
          <cell r="F1236">
            <v>0</v>
          </cell>
        </row>
        <row r="1237">
          <cell r="C1237" t="str">
            <v>Kitagwenda</v>
          </cell>
          <cell r="D1237" t="str">
            <v>Ntara</v>
          </cell>
          <cell r="E1237">
            <v>0</v>
          </cell>
          <cell r="F1237">
            <v>0</v>
          </cell>
        </row>
        <row r="1238">
          <cell r="C1238" t="str">
            <v>Mukono</v>
          </cell>
          <cell r="D1238" t="str">
            <v>Ntenjeru</v>
          </cell>
          <cell r="E1238">
            <v>0</v>
          </cell>
          <cell r="F1238">
            <v>0</v>
          </cell>
        </row>
        <row r="1239">
          <cell r="C1239" t="str">
            <v>Bughendera</v>
          </cell>
          <cell r="D1239" t="str">
            <v>Ntotoro</v>
          </cell>
          <cell r="E1239">
            <v>0</v>
          </cell>
          <cell r="F1239">
            <v>0</v>
          </cell>
        </row>
        <row r="1240">
          <cell r="C1240" t="str">
            <v>Nakifuma</v>
          </cell>
          <cell r="D1240" t="str">
            <v>Ntunda</v>
          </cell>
          <cell r="E1240">
            <v>0</v>
          </cell>
          <cell r="F1240">
            <v>0</v>
          </cell>
        </row>
        <row r="1241">
          <cell r="C1241" t="str">
            <v>Ruhaama</v>
          </cell>
          <cell r="D1241" t="str">
            <v>Ntungamo</v>
          </cell>
          <cell r="E1241">
            <v>0</v>
          </cell>
          <cell r="F1241">
            <v>0</v>
          </cell>
        </row>
        <row r="1242">
          <cell r="C1242" t="str">
            <v>Lwemiyaga</v>
          </cell>
          <cell r="D1242" t="str">
            <v>Ntuusi</v>
          </cell>
          <cell r="E1242">
            <v>0</v>
          </cell>
          <cell r="F1242">
            <v>0</v>
          </cell>
        </row>
        <row r="1243">
          <cell r="C1243" t="str">
            <v>Kiboga</v>
          </cell>
          <cell r="D1243" t="str">
            <v>Ntwetwe</v>
          </cell>
          <cell r="E1243">
            <v>0</v>
          </cell>
          <cell r="F1243">
            <v>0</v>
          </cell>
        </row>
        <row r="1244">
          <cell r="C1244" t="str">
            <v>Kiboga</v>
          </cell>
          <cell r="D1244" t="str">
            <v>Ntwetwe Town Council</v>
          </cell>
          <cell r="E1244">
            <v>0</v>
          </cell>
          <cell r="F1244">
            <v>0</v>
          </cell>
        </row>
        <row r="1245">
          <cell r="C1245" t="str">
            <v>Kitagwenda</v>
          </cell>
          <cell r="D1245" t="str">
            <v>Nyabbani</v>
          </cell>
          <cell r="E1245">
            <v>0</v>
          </cell>
          <cell r="F1245">
            <v>0</v>
          </cell>
        </row>
        <row r="1246">
          <cell r="C1246" t="str">
            <v>Kajara</v>
          </cell>
          <cell r="D1246" t="str">
            <v>Nyabihoko</v>
          </cell>
          <cell r="E1246">
            <v>0</v>
          </cell>
          <cell r="F1246">
            <v>0</v>
          </cell>
        </row>
        <row r="1247">
          <cell r="C1247" t="str">
            <v>Igara</v>
          </cell>
          <cell r="D1247" t="str">
            <v>Nyabubare</v>
          </cell>
          <cell r="E1247">
            <v>0</v>
          </cell>
          <cell r="F1247">
            <v>0</v>
          </cell>
        </row>
        <row r="1248">
          <cell r="C1248" t="str">
            <v>Mwenge</v>
          </cell>
          <cell r="D1248" t="str">
            <v>Nyabuharwa</v>
          </cell>
          <cell r="E1248">
            <v>0</v>
          </cell>
          <cell r="F1248">
            <v>0</v>
          </cell>
        </row>
        <row r="1249">
          <cell r="C1249" t="str">
            <v>Bufumbira</v>
          </cell>
          <cell r="D1249" t="str">
            <v>Nyabwishenya</v>
          </cell>
          <cell r="E1249">
            <v>0</v>
          </cell>
          <cell r="F1249">
            <v>0</v>
          </cell>
        </row>
        <row r="1250">
          <cell r="C1250" t="str">
            <v>Maracha</v>
          </cell>
          <cell r="D1250" t="str">
            <v>Nyadri</v>
          </cell>
          <cell r="E1250">
            <v>0</v>
          </cell>
          <cell r="F1250">
            <v>0</v>
          </cell>
        </row>
        <row r="1251">
          <cell r="C1251" t="str">
            <v>Bwamba</v>
          </cell>
          <cell r="D1251" t="str">
            <v>Nyahuka Town Council</v>
          </cell>
          <cell r="E1251">
            <v>0</v>
          </cell>
          <cell r="F1251">
            <v>0</v>
          </cell>
        </row>
        <row r="1252">
          <cell r="C1252" t="str">
            <v>Bufumbira</v>
          </cell>
          <cell r="D1252" t="str">
            <v>Nyakabande</v>
          </cell>
          <cell r="E1252">
            <v>0</v>
          </cell>
          <cell r="F1252">
            <v>0</v>
          </cell>
        </row>
        <row r="1253">
          <cell r="C1253" t="str">
            <v>Mbarara Municipality</v>
          </cell>
          <cell r="D1253" t="str">
            <v>Nyamitanga Division</v>
          </cell>
          <cell r="E1253">
            <v>0</v>
          </cell>
          <cell r="F1253">
            <v>0</v>
          </cell>
        </row>
        <row r="1254">
          <cell r="C1254" t="str">
            <v>Rujumbura</v>
          </cell>
          <cell r="D1254" t="str">
            <v>Nyakagyeme</v>
          </cell>
          <cell r="E1254">
            <v>0</v>
          </cell>
        </row>
        <row r="1255">
          <cell r="C1255" t="str">
            <v>Nyabushozi</v>
          </cell>
          <cell r="D1255" t="str">
            <v>Nyakashashara</v>
          </cell>
          <cell r="E1255">
            <v>0</v>
          </cell>
        </row>
        <row r="1256">
          <cell r="C1256" t="str">
            <v>Bukonzo</v>
          </cell>
          <cell r="D1256" t="str">
            <v>Nyakatonzi</v>
          </cell>
          <cell r="E1256">
            <v>0</v>
          </cell>
        </row>
        <row r="1257">
          <cell r="C1257" t="str">
            <v>Mityana Municipality</v>
          </cell>
          <cell r="D1257" t="str">
            <v>Busimbi Division</v>
          </cell>
          <cell r="E1257">
            <v>0</v>
          </cell>
          <cell r="F1257" t="str">
            <v>Mityana Municipality</v>
          </cell>
        </row>
        <row r="1258">
          <cell r="C1258" t="str">
            <v>Bufumbira</v>
          </cell>
          <cell r="D1258" t="str">
            <v>Nyakinama</v>
          </cell>
          <cell r="E1258">
            <v>0</v>
          </cell>
          <cell r="F1258">
            <v>0</v>
          </cell>
        </row>
        <row r="1259">
          <cell r="C1259" t="str">
            <v>Kinkiizi</v>
          </cell>
          <cell r="D1259" t="str">
            <v>Nyakinoni</v>
          </cell>
          <cell r="E1259">
            <v>0</v>
          </cell>
          <cell r="F1259">
            <v>0</v>
          </cell>
        </row>
        <row r="1260">
          <cell r="C1260" t="str">
            <v>Buhweju</v>
          </cell>
          <cell r="D1260" t="str">
            <v>Nyakishana</v>
          </cell>
          <cell r="E1260">
            <v>0</v>
          </cell>
          <cell r="F1260">
            <v>0</v>
          </cell>
        </row>
        <row r="1261">
          <cell r="C1261" t="str">
            <v>Rubabo</v>
          </cell>
          <cell r="D1261" t="str">
            <v>Nyakishenyi</v>
          </cell>
          <cell r="E1261">
            <v>0</v>
          </cell>
          <cell r="F1261">
            <v>0</v>
          </cell>
        </row>
        <row r="1262">
          <cell r="C1262" t="str">
            <v>Isingiro</v>
          </cell>
          <cell r="D1262" t="str">
            <v>Nyakitunda</v>
          </cell>
          <cell r="E1262">
            <v>0</v>
          </cell>
          <cell r="F1262">
            <v>0</v>
          </cell>
        </row>
        <row r="1263">
          <cell r="C1263" t="str">
            <v>Bukonzo</v>
          </cell>
          <cell r="D1263" t="str">
            <v>Nyakiyumbu</v>
          </cell>
          <cell r="E1263">
            <v>0</v>
          </cell>
          <cell r="F1263">
            <v>0</v>
          </cell>
        </row>
        <row r="1264">
          <cell r="C1264" t="str">
            <v>Labwor</v>
          </cell>
          <cell r="D1264" t="str">
            <v>Nyakwae</v>
          </cell>
          <cell r="E1264">
            <v>0</v>
          </cell>
          <cell r="F1264">
            <v>0</v>
          </cell>
        </row>
        <row r="1265">
          <cell r="C1265" t="str">
            <v>Ruhaama</v>
          </cell>
          <cell r="D1265" t="str">
            <v>Nyakyera</v>
          </cell>
          <cell r="E1265">
            <v>0</v>
          </cell>
          <cell r="F1265">
            <v>0</v>
          </cell>
        </row>
        <row r="1266">
          <cell r="C1266" t="str">
            <v>Ibanda</v>
          </cell>
          <cell r="D1266" t="str">
            <v>Nyamarebe</v>
          </cell>
          <cell r="E1266">
            <v>0</v>
          </cell>
          <cell r="F1266">
            <v>0</v>
          </cell>
        </row>
        <row r="1267">
          <cell r="C1267" t="str">
            <v>Buyanja</v>
          </cell>
          <cell r="D1267" t="str">
            <v>Nyamarunda</v>
          </cell>
          <cell r="E1267">
            <v>0</v>
          </cell>
          <cell r="F1267">
            <v>0</v>
          </cell>
        </row>
        <row r="1268">
          <cell r="C1268" t="str">
            <v>Buyanja</v>
          </cell>
          <cell r="D1268" t="str">
            <v>Nyamarwa</v>
          </cell>
          <cell r="E1268">
            <v>0</v>
          </cell>
          <cell r="F1268">
            <v>0</v>
          </cell>
        </row>
        <row r="1269">
          <cell r="C1269" t="str">
            <v>Kinkiizi</v>
          </cell>
          <cell r="D1269" t="str">
            <v>Nyamirama</v>
          </cell>
          <cell r="E1269">
            <v>0</v>
          </cell>
          <cell r="F1269">
            <v>0</v>
          </cell>
        </row>
        <row r="1270">
          <cell r="C1270" t="str">
            <v>Mityana Municipality</v>
          </cell>
          <cell r="D1270" t="str">
            <v>Central Division</v>
          </cell>
          <cell r="E1270">
            <v>0</v>
          </cell>
          <cell r="F1270">
            <v>0</v>
          </cell>
        </row>
        <row r="1271">
          <cell r="C1271" t="str">
            <v>Isingiro</v>
          </cell>
          <cell r="D1271" t="str">
            <v>Nyamuyanja</v>
          </cell>
          <cell r="E1271">
            <v>0</v>
          </cell>
          <cell r="F1271">
            <v>0</v>
          </cell>
        </row>
        <row r="1272">
          <cell r="C1272" t="str">
            <v>Mityana Municipality</v>
          </cell>
          <cell r="D1272" t="str">
            <v>Ttamu Division</v>
          </cell>
          <cell r="E1272">
            <v>0</v>
          </cell>
          <cell r="F1272">
            <v>0</v>
          </cell>
        </row>
        <row r="1273">
          <cell r="C1273" t="str">
            <v>Rubanda</v>
          </cell>
          <cell r="D1273" t="str">
            <v>Nyamweru</v>
          </cell>
          <cell r="E1273">
            <v>0</v>
          </cell>
        </row>
        <row r="1274">
          <cell r="C1274" t="str">
            <v>Kinkiizi</v>
          </cell>
          <cell r="D1274" t="str">
            <v>Nyanga</v>
          </cell>
          <cell r="E1274">
            <v>0</v>
          </cell>
        </row>
        <row r="1275">
          <cell r="C1275" t="str">
            <v>Moroto Municipality</v>
          </cell>
          <cell r="D1275" t="str">
            <v>Northern Division</v>
          </cell>
          <cell r="E1275">
            <v>0</v>
          </cell>
          <cell r="F1275" t="str">
            <v>Moroto Municipality</v>
          </cell>
        </row>
        <row r="1276">
          <cell r="C1276" t="str">
            <v>Mwenge</v>
          </cell>
          <cell r="D1276" t="str">
            <v>Nyankwanzi</v>
          </cell>
          <cell r="E1276">
            <v>0</v>
          </cell>
          <cell r="F1276">
            <v>0</v>
          </cell>
        </row>
        <row r="1277">
          <cell r="C1277" t="str">
            <v>Mwenge</v>
          </cell>
          <cell r="D1277" t="str">
            <v>Nyantungo</v>
          </cell>
          <cell r="E1277">
            <v>0</v>
          </cell>
          <cell r="F1277">
            <v>0</v>
          </cell>
        </row>
        <row r="1278">
          <cell r="C1278" t="str">
            <v>Okoro</v>
          </cell>
          <cell r="D1278" t="str">
            <v>Nyapea</v>
          </cell>
          <cell r="E1278">
            <v>0</v>
          </cell>
          <cell r="F1278">
            <v>0</v>
          </cell>
        </row>
        <row r="1279">
          <cell r="C1279" t="str">
            <v>Padyere</v>
          </cell>
          <cell r="D1279" t="str">
            <v>Nyaravur</v>
          </cell>
          <cell r="E1279">
            <v>0</v>
          </cell>
          <cell r="F1279">
            <v>0</v>
          </cell>
        </row>
        <row r="1280">
          <cell r="C1280" t="str">
            <v>Bufumbira</v>
          </cell>
          <cell r="D1280" t="str">
            <v>Nyarubuye</v>
          </cell>
          <cell r="E1280">
            <v>0</v>
          </cell>
          <cell r="F1280">
            <v>0</v>
          </cell>
        </row>
        <row r="1281">
          <cell r="C1281" t="str">
            <v>Rubabo</v>
          </cell>
          <cell r="D1281" t="str">
            <v>Nyarushanje</v>
          </cell>
          <cell r="E1281">
            <v>0</v>
          </cell>
          <cell r="F1281">
            <v>0</v>
          </cell>
        </row>
        <row r="1282">
          <cell r="C1282" t="str">
            <v>Bufumbira</v>
          </cell>
          <cell r="D1282" t="str">
            <v>Nyarusiza</v>
          </cell>
          <cell r="E1282">
            <v>0</v>
          </cell>
          <cell r="F1282">
            <v>0</v>
          </cell>
        </row>
        <row r="1283">
          <cell r="C1283" t="str">
            <v>Moroto Municipality</v>
          </cell>
          <cell r="D1283" t="str">
            <v>Southern Divison</v>
          </cell>
          <cell r="E1283">
            <v>0</v>
          </cell>
          <cell r="F1283">
            <v>0</v>
          </cell>
        </row>
        <row r="1284">
          <cell r="C1284" t="str">
            <v>Mubende Municipality</v>
          </cell>
          <cell r="D1284" t="str">
            <v>Eastern Division</v>
          </cell>
          <cell r="E1284">
            <v>0</v>
          </cell>
          <cell r="F1284" t="str">
            <v>Mubende Municipality</v>
          </cell>
        </row>
        <row r="1285">
          <cell r="C1285" t="str">
            <v>Kumi</v>
          </cell>
          <cell r="D1285" t="str">
            <v>Nyero</v>
          </cell>
          <cell r="E1285">
            <v>0</v>
          </cell>
          <cell r="F1285">
            <v>0</v>
          </cell>
        </row>
        <row r="1286">
          <cell r="C1286" t="str">
            <v>Katikamu</v>
          </cell>
          <cell r="D1286" t="str">
            <v>Nyimbwa</v>
          </cell>
          <cell r="E1286">
            <v>0</v>
          </cell>
          <cell r="F1286">
            <v>0</v>
          </cell>
        </row>
        <row r="1287">
          <cell r="C1287" t="str">
            <v>Bungokho</v>
          </cell>
          <cell r="D1287" t="str">
            <v>Nyondo</v>
          </cell>
          <cell r="E1287">
            <v>0</v>
          </cell>
          <cell r="F1287">
            <v>0</v>
          </cell>
        </row>
        <row r="1288">
          <cell r="C1288" t="str">
            <v>Bufumbira</v>
          </cell>
          <cell r="D1288" t="str">
            <v>Nyundo</v>
          </cell>
          <cell r="E1288">
            <v>0</v>
          </cell>
          <cell r="F1288">
            <v>0</v>
          </cell>
        </row>
        <row r="1289">
          <cell r="C1289" t="str">
            <v>Kapelebyong</v>
          </cell>
          <cell r="D1289" t="str">
            <v>Obalanga</v>
          </cell>
          <cell r="E1289">
            <v>0</v>
          </cell>
          <cell r="F1289">
            <v>0</v>
          </cell>
        </row>
        <row r="1290">
          <cell r="C1290" t="str">
            <v>Kaberamaido</v>
          </cell>
          <cell r="D1290" t="str">
            <v>Ochero</v>
          </cell>
          <cell r="E1290">
            <v>0</v>
          </cell>
          <cell r="F1290">
            <v>0</v>
          </cell>
        </row>
        <row r="1291">
          <cell r="C1291" t="str">
            <v>Omoro</v>
          </cell>
          <cell r="D1291" t="str">
            <v>Odek</v>
          </cell>
          <cell r="E1291">
            <v>0</v>
          </cell>
          <cell r="F1291">
            <v>0</v>
          </cell>
        </row>
        <row r="1292">
          <cell r="C1292" t="str">
            <v>Aringa</v>
          </cell>
          <cell r="D1292" t="str">
            <v>Odravu</v>
          </cell>
          <cell r="E1292">
            <v>0</v>
          </cell>
          <cell r="F1292">
            <v>0</v>
          </cell>
        </row>
        <row r="1293">
          <cell r="C1293" t="str">
            <v>Terego</v>
          </cell>
          <cell r="D1293" t="str">
            <v>Odupi</v>
          </cell>
          <cell r="E1293">
            <v>0</v>
          </cell>
          <cell r="F1293">
            <v>0</v>
          </cell>
        </row>
        <row r="1294">
          <cell r="C1294" t="str">
            <v>Madi Okollo</v>
          </cell>
          <cell r="D1294" t="str">
            <v>Offaka</v>
          </cell>
          <cell r="E1294">
            <v>0</v>
          </cell>
          <cell r="F1294">
            <v>0</v>
          </cell>
        </row>
        <row r="1295">
          <cell r="C1295" t="str">
            <v>East Moyo</v>
          </cell>
          <cell r="D1295" t="str">
            <v>Ofua</v>
          </cell>
          <cell r="E1295">
            <v>0</v>
          </cell>
          <cell r="F1295">
            <v>0</v>
          </cell>
        </row>
        <row r="1296">
          <cell r="C1296" t="str">
            <v>Madi Okollo</v>
          </cell>
          <cell r="D1296" t="str">
            <v>Ogoko</v>
          </cell>
          <cell r="E1296">
            <v>0</v>
          </cell>
          <cell r="F1296">
            <v>0</v>
          </cell>
        </row>
        <row r="1297">
          <cell r="C1297" t="str">
            <v>Amuria</v>
          </cell>
          <cell r="D1297" t="str">
            <v>Ogolai</v>
          </cell>
          <cell r="E1297">
            <v>0</v>
          </cell>
          <cell r="F1297">
            <v>0</v>
          </cell>
        </row>
        <row r="1298">
          <cell r="C1298" t="str">
            <v>Aruu</v>
          </cell>
          <cell r="D1298" t="str">
            <v>Ogom</v>
          </cell>
          <cell r="E1298">
            <v>0</v>
          </cell>
          <cell r="F1298">
            <v>0</v>
          </cell>
        </row>
        <row r="1299">
          <cell r="C1299" t="str">
            <v>Otuke</v>
          </cell>
          <cell r="D1299" t="str">
            <v>Ogor</v>
          </cell>
          <cell r="E1299">
            <v>0</v>
          </cell>
          <cell r="F1299">
            <v>0</v>
          </cell>
        </row>
        <row r="1300">
          <cell r="C1300" t="str">
            <v>Erute</v>
          </cell>
          <cell r="D1300" t="str">
            <v>Ogur</v>
          </cell>
          <cell r="E1300">
            <v>0</v>
          </cell>
          <cell r="F1300">
            <v>0</v>
          </cell>
        </row>
        <row r="1301">
          <cell r="C1301" t="str">
            <v>Otuke</v>
          </cell>
          <cell r="D1301" t="str">
            <v>Ogwette</v>
          </cell>
          <cell r="E1301">
            <v>0</v>
          </cell>
          <cell r="F1301">
            <v>0</v>
          </cell>
        </row>
        <row r="1302">
          <cell r="C1302" t="str">
            <v>Mubende Municipality</v>
          </cell>
          <cell r="D1302" t="str">
            <v>Southern Division</v>
          </cell>
          <cell r="E1302">
            <v>0</v>
          </cell>
          <cell r="F1302">
            <v>0</v>
          </cell>
        </row>
        <row r="1303">
          <cell r="C1303" t="str">
            <v>Madi Okollo</v>
          </cell>
          <cell r="D1303" t="str">
            <v>Okollo</v>
          </cell>
          <cell r="E1303">
            <v>0</v>
          </cell>
          <cell r="F1303">
            <v>0</v>
          </cell>
        </row>
        <row r="1304">
          <cell r="C1304" t="str">
            <v>Kapelebyong</v>
          </cell>
          <cell r="D1304" t="str">
            <v>Okungur</v>
          </cell>
          <cell r="E1304">
            <v>0</v>
          </cell>
          <cell r="F1304">
            <v>0</v>
          </cell>
        </row>
        <row r="1305">
          <cell r="C1305" t="str">
            <v>Dokolo</v>
          </cell>
          <cell r="D1305" t="str">
            <v>Okwalongwen</v>
          </cell>
          <cell r="E1305">
            <v>0</v>
          </cell>
          <cell r="F1305">
            <v>0</v>
          </cell>
        </row>
        <row r="1306">
          <cell r="C1306" t="str">
            <v>Otuke</v>
          </cell>
          <cell r="D1306" t="str">
            <v>Okwang</v>
          </cell>
          <cell r="E1306">
            <v>0</v>
          </cell>
          <cell r="F1306">
            <v>0</v>
          </cell>
        </row>
        <row r="1307">
          <cell r="C1307" t="str">
            <v>Kole</v>
          </cell>
          <cell r="D1307" t="str">
            <v>Okwerodot</v>
          </cell>
          <cell r="E1307">
            <v>0</v>
          </cell>
          <cell r="F1307">
            <v>0</v>
          </cell>
        </row>
        <row r="1308">
          <cell r="C1308" t="str">
            <v>Dokolo</v>
          </cell>
          <cell r="D1308" t="str">
            <v>Okwongodul</v>
          </cell>
          <cell r="E1308">
            <v>0</v>
          </cell>
          <cell r="F1308">
            <v>0</v>
          </cell>
        </row>
        <row r="1309">
          <cell r="C1309" t="str">
            <v>Maracha</v>
          </cell>
          <cell r="D1309" t="str">
            <v>Oleba</v>
          </cell>
          <cell r="E1309">
            <v>0</v>
          </cell>
          <cell r="F1309">
            <v>0</v>
          </cell>
        </row>
        <row r="1310">
          <cell r="C1310" t="str">
            <v>Otuke</v>
          </cell>
          <cell r="D1310" t="str">
            <v>Olilim</v>
          </cell>
          <cell r="E1310">
            <v>0</v>
          </cell>
          <cell r="F1310">
            <v>0</v>
          </cell>
        </row>
        <row r="1311">
          <cell r="C1311" t="str">
            <v>Serere</v>
          </cell>
          <cell r="D1311" t="str">
            <v>Olio</v>
          </cell>
          <cell r="E1311">
            <v>0</v>
          </cell>
          <cell r="F1311">
            <v>0</v>
          </cell>
        </row>
        <row r="1312">
          <cell r="C1312" t="str">
            <v>Pallisa</v>
          </cell>
          <cell r="D1312" t="str">
            <v>Olok</v>
          </cell>
          <cell r="E1312">
            <v>0</v>
          </cell>
          <cell r="F1312">
            <v>0</v>
          </cell>
        </row>
        <row r="1313">
          <cell r="C1313" t="str">
            <v>Maracha</v>
          </cell>
          <cell r="D1313" t="str">
            <v>Oluffe</v>
          </cell>
          <cell r="E1313">
            <v>0</v>
          </cell>
          <cell r="F1313">
            <v>0</v>
          </cell>
        </row>
        <row r="1314">
          <cell r="C1314" t="str">
            <v>Ayivu</v>
          </cell>
          <cell r="D1314" t="str">
            <v>Oluko</v>
          </cell>
          <cell r="E1314">
            <v>0</v>
          </cell>
          <cell r="F1314">
            <v>0</v>
          </cell>
        </row>
        <row r="1315">
          <cell r="C1315" t="str">
            <v>Maracha</v>
          </cell>
          <cell r="D1315" t="str">
            <v>Oluvu</v>
          </cell>
          <cell r="E1315">
            <v>0</v>
          </cell>
          <cell r="F1315">
            <v>0</v>
          </cell>
        </row>
        <row r="1316">
          <cell r="C1316" t="str">
            <v>Chua</v>
          </cell>
          <cell r="D1316" t="str">
            <v>Omiya Anyima</v>
          </cell>
          <cell r="E1316">
            <v>0</v>
          </cell>
          <cell r="F1316">
            <v>0</v>
          </cell>
        </row>
        <row r="1317">
          <cell r="C1317" t="str">
            <v>Agago</v>
          </cell>
          <cell r="D1317" t="str">
            <v>Omiya Pacwa</v>
          </cell>
          <cell r="E1317">
            <v>0</v>
          </cell>
          <cell r="F1317">
            <v>0</v>
          </cell>
        </row>
        <row r="1318">
          <cell r="C1318" t="str">
            <v>Toroma</v>
          </cell>
          <cell r="D1318" t="str">
            <v>Omodoi</v>
          </cell>
          <cell r="E1318">
            <v>0</v>
          </cell>
          <cell r="F1318">
            <v>0</v>
          </cell>
        </row>
        <row r="1319">
          <cell r="C1319" t="str">
            <v>Moroto</v>
          </cell>
          <cell r="D1319" t="str">
            <v>Omoro</v>
          </cell>
          <cell r="E1319">
            <v>0</v>
          </cell>
          <cell r="F1319">
            <v>0</v>
          </cell>
        </row>
        <row r="1320">
          <cell r="C1320" t="str">
            <v>Omoro</v>
          </cell>
          <cell r="D1320" t="str">
            <v>Omoro Town Council</v>
          </cell>
          <cell r="E1320">
            <v>0</v>
          </cell>
          <cell r="F1320">
            <v>0</v>
          </cell>
        </row>
        <row r="1321">
          <cell r="C1321" t="str">
            <v>Agago</v>
          </cell>
          <cell r="D1321" t="str">
            <v>Omot</v>
          </cell>
          <cell r="E1321">
            <v>0</v>
          </cell>
          <cell r="F1321">
            <v>0</v>
          </cell>
        </row>
        <row r="1322">
          <cell r="C1322" t="str">
            <v>Terego</v>
          </cell>
          <cell r="D1322" t="str">
            <v>Omugo</v>
          </cell>
          <cell r="E1322">
            <v>0</v>
          </cell>
          <cell r="F1322">
            <v>0</v>
          </cell>
        </row>
        <row r="1323">
          <cell r="C1323" t="str">
            <v>Omoro</v>
          </cell>
          <cell r="D1323" t="str">
            <v>Ongako</v>
          </cell>
          <cell r="E1323">
            <v>0</v>
          </cell>
          <cell r="F1323">
            <v>0</v>
          </cell>
        </row>
        <row r="1324">
          <cell r="C1324" t="str">
            <v>Kumi</v>
          </cell>
          <cell r="D1324" t="str">
            <v>Ongino</v>
          </cell>
          <cell r="E1324">
            <v>0</v>
          </cell>
          <cell r="F1324">
            <v>0</v>
          </cell>
        </row>
        <row r="1325">
          <cell r="C1325" t="str">
            <v>Usuk</v>
          </cell>
          <cell r="D1325" t="str">
            <v>Ongongoja</v>
          </cell>
          <cell r="E1325">
            <v>0</v>
          </cell>
          <cell r="F1325">
            <v>0</v>
          </cell>
        </row>
        <row r="1326">
          <cell r="C1326" t="str">
            <v>Butebo Town Council</v>
          </cell>
          <cell r="D1326" t="str">
            <v>Opwateta</v>
          </cell>
          <cell r="E1326">
            <v>0</v>
          </cell>
          <cell r="F1326">
            <v>0</v>
          </cell>
        </row>
        <row r="1327">
          <cell r="C1327" t="str">
            <v>Chua</v>
          </cell>
          <cell r="D1327" t="str">
            <v>Orom</v>
          </cell>
          <cell r="E1327">
            <v>0</v>
          </cell>
          <cell r="F1327">
            <v>0</v>
          </cell>
        </row>
        <row r="1328">
          <cell r="C1328" t="str">
            <v>Isingiro</v>
          </cell>
          <cell r="D1328" t="str">
            <v>Oruchinga Refugee Camp</v>
          </cell>
          <cell r="E1328">
            <v>0</v>
          </cell>
          <cell r="F1328">
            <v>0</v>
          </cell>
        </row>
        <row r="1329">
          <cell r="C1329" t="str">
            <v>Otuke</v>
          </cell>
          <cell r="D1329" t="str">
            <v>Orum</v>
          </cell>
          <cell r="E1329">
            <v>0</v>
          </cell>
          <cell r="F1329">
            <v>0</v>
          </cell>
        </row>
        <row r="1330">
          <cell r="C1330" t="str">
            <v>Amuria</v>
          </cell>
          <cell r="D1330" t="str">
            <v>Orungo</v>
          </cell>
          <cell r="E1330">
            <v>0</v>
          </cell>
          <cell r="F1330">
            <v>0</v>
          </cell>
        </row>
        <row r="1331">
          <cell r="C1331" t="str">
            <v>Tororo</v>
          </cell>
          <cell r="D1331" t="str">
            <v>Osukuru</v>
          </cell>
          <cell r="E1331">
            <v>0</v>
          </cell>
          <cell r="F1331">
            <v>0</v>
          </cell>
        </row>
        <row r="1332">
          <cell r="C1332" t="str">
            <v>Kalaki</v>
          </cell>
          <cell r="D1332" t="str">
            <v>Otuboi</v>
          </cell>
          <cell r="E1332">
            <v>0</v>
          </cell>
          <cell r="F1332">
            <v>0</v>
          </cell>
        </row>
        <row r="1333">
          <cell r="C1333" t="str">
            <v>Otuke</v>
          </cell>
          <cell r="D1333" t="str">
            <v>Otuke Town Council</v>
          </cell>
          <cell r="E1333">
            <v>0</v>
          </cell>
          <cell r="F1333">
            <v>0</v>
          </cell>
        </row>
        <row r="1334">
          <cell r="C1334" t="str">
            <v>Oyam</v>
          </cell>
          <cell r="D1334" t="str">
            <v>Otwal</v>
          </cell>
          <cell r="E1334">
            <v>0</v>
          </cell>
          <cell r="F1334">
            <v>0</v>
          </cell>
        </row>
        <row r="1335">
          <cell r="C1335" t="str">
            <v>Oyam</v>
          </cell>
          <cell r="D1335" t="str">
            <v>Oyam Town Council</v>
          </cell>
          <cell r="E1335">
            <v>0</v>
          </cell>
          <cell r="F1335">
            <v>0</v>
          </cell>
        </row>
        <row r="1336">
          <cell r="C1336" t="str">
            <v>Buyaga</v>
          </cell>
          <cell r="D1336" t="str">
            <v>Paacwa</v>
          </cell>
          <cell r="E1336">
            <v>0</v>
          </cell>
          <cell r="F1336">
            <v>0</v>
          </cell>
        </row>
        <row r="1337">
          <cell r="C1337" t="str">
            <v>Kilak</v>
          </cell>
          <cell r="D1337" t="str">
            <v>Pabo</v>
          </cell>
          <cell r="E1337">
            <v>0</v>
          </cell>
          <cell r="F1337">
            <v>0</v>
          </cell>
        </row>
        <row r="1338">
          <cell r="C1338" t="str">
            <v>East Moyo</v>
          </cell>
          <cell r="D1338" t="str">
            <v>Pacara</v>
          </cell>
          <cell r="E1338">
            <v>0</v>
          </cell>
          <cell r="F1338">
            <v>0</v>
          </cell>
        </row>
        <row r="1339">
          <cell r="C1339" t="str">
            <v>Aruu</v>
          </cell>
          <cell r="D1339" t="str">
            <v>Pader</v>
          </cell>
          <cell r="E1339">
            <v>0</v>
          </cell>
          <cell r="F1339">
            <v>0</v>
          </cell>
        </row>
        <row r="1340">
          <cell r="C1340" t="str">
            <v>Aruu</v>
          </cell>
          <cell r="D1340" t="str">
            <v>Pader Town Council</v>
          </cell>
          <cell r="E1340">
            <v>0</v>
          </cell>
          <cell r="F1340">
            <v>0</v>
          </cell>
        </row>
        <row r="1341">
          <cell r="C1341" t="str">
            <v>Lamwo</v>
          </cell>
          <cell r="D1341" t="str">
            <v>Padibe East</v>
          </cell>
          <cell r="E1341">
            <v>0</v>
          </cell>
          <cell r="F1341">
            <v>0</v>
          </cell>
        </row>
        <row r="1342">
          <cell r="C1342" t="str">
            <v>Lamwo</v>
          </cell>
          <cell r="D1342" t="str">
            <v>Padibe Town Council</v>
          </cell>
          <cell r="E1342">
            <v>0</v>
          </cell>
          <cell r="F1342">
            <v>0</v>
          </cell>
        </row>
        <row r="1343">
          <cell r="C1343" t="str">
            <v>Lamwo</v>
          </cell>
          <cell r="D1343" t="str">
            <v>Padibe West</v>
          </cell>
          <cell r="E1343">
            <v>0</v>
          </cell>
          <cell r="F1343">
            <v>0</v>
          </cell>
        </row>
        <row r="1344">
          <cell r="C1344" t="str">
            <v>Mubende Municipality</v>
          </cell>
          <cell r="D1344" t="str">
            <v>Western Division</v>
          </cell>
          <cell r="E1344">
            <v>0</v>
          </cell>
          <cell r="F1344">
            <v>0</v>
          </cell>
        </row>
        <row r="1345">
          <cell r="C1345" t="str">
            <v>Aswa</v>
          </cell>
          <cell r="D1345" t="str">
            <v>Paicho</v>
          </cell>
          <cell r="E1345">
            <v>0</v>
          </cell>
        </row>
        <row r="1346">
          <cell r="C1346" t="str">
            <v>Okoro</v>
          </cell>
          <cell r="D1346" t="str">
            <v>Paidha</v>
          </cell>
          <cell r="E1346">
            <v>0</v>
          </cell>
        </row>
        <row r="1347">
          <cell r="C1347" t="str">
            <v>Okoro</v>
          </cell>
          <cell r="D1347" t="str">
            <v>Paidha Town Council</v>
          </cell>
          <cell r="E1347">
            <v>0</v>
          </cell>
        </row>
        <row r="1348">
          <cell r="C1348" t="str">
            <v>Agago</v>
          </cell>
          <cell r="D1348" t="str">
            <v>Paimol</v>
          </cell>
          <cell r="E1348">
            <v>0</v>
          </cell>
        </row>
        <row r="1349">
          <cell r="C1349" t="str">
            <v>Aruu</v>
          </cell>
          <cell r="D1349" t="str">
            <v>Pajule</v>
          </cell>
          <cell r="E1349">
            <v>0</v>
          </cell>
        </row>
        <row r="1350">
          <cell r="C1350" t="str">
            <v>Ayivu</v>
          </cell>
          <cell r="D1350" t="str">
            <v>Pajulu</v>
          </cell>
          <cell r="E1350">
            <v>0</v>
          </cell>
        </row>
        <row r="1351">
          <cell r="C1351" t="str">
            <v>Buruli</v>
          </cell>
          <cell r="D1351" t="str">
            <v>Pakanyi</v>
          </cell>
          <cell r="E1351">
            <v>0</v>
          </cell>
        </row>
        <row r="1352">
          <cell r="C1352" t="str">
            <v>East Moyo</v>
          </cell>
          <cell r="D1352" t="str">
            <v>Pakele</v>
          </cell>
          <cell r="E1352">
            <v>0</v>
          </cell>
        </row>
        <row r="1353">
          <cell r="C1353" t="str">
            <v>Jonam</v>
          </cell>
          <cell r="D1353" t="str">
            <v>Pakwach</v>
          </cell>
          <cell r="E1353">
            <v>0</v>
          </cell>
        </row>
        <row r="1354">
          <cell r="C1354" t="str">
            <v>Jonam</v>
          </cell>
          <cell r="D1354" t="str">
            <v>Pakwach Town Council</v>
          </cell>
          <cell r="E1354">
            <v>0</v>
          </cell>
        </row>
        <row r="1355">
          <cell r="C1355" t="str">
            <v>Lamwo</v>
          </cell>
          <cell r="D1355" t="str">
            <v>Palabek Gem</v>
          </cell>
          <cell r="E1355">
            <v>0</v>
          </cell>
        </row>
        <row r="1356">
          <cell r="C1356" t="str">
            <v>Lamwo</v>
          </cell>
          <cell r="D1356" t="str">
            <v>Palabek Kal</v>
          </cell>
          <cell r="E1356">
            <v>0</v>
          </cell>
        </row>
        <row r="1357">
          <cell r="C1357" t="str">
            <v>Lamwo</v>
          </cell>
          <cell r="D1357" t="str">
            <v>Palabek Ogili</v>
          </cell>
          <cell r="E1357">
            <v>0</v>
          </cell>
        </row>
        <row r="1358">
          <cell r="C1358" t="str">
            <v>Usuk</v>
          </cell>
          <cell r="D1358" t="str">
            <v>Palam</v>
          </cell>
          <cell r="E1358">
            <v>0</v>
          </cell>
        </row>
        <row r="1359">
          <cell r="C1359" t="str">
            <v>Pallisa</v>
          </cell>
          <cell r="D1359" t="str">
            <v>Pallisa</v>
          </cell>
          <cell r="E1359">
            <v>0</v>
          </cell>
        </row>
        <row r="1360">
          <cell r="C1360" t="str">
            <v>Pallisa</v>
          </cell>
          <cell r="D1360" t="str">
            <v>Pallisa Town Council</v>
          </cell>
          <cell r="E1360">
            <v>0</v>
          </cell>
        </row>
        <row r="1361">
          <cell r="C1361" t="str">
            <v>Lamwo</v>
          </cell>
          <cell r="D1361" t="str">
            <v>Paloga</v>
          </cell>
          <cell r="E1361">
            <v>0</v>
          </cell>
        </row>
        <row r="1362">
          <cell r="C1362" t="str">
            <v>Mukono Municipality</v>
          </cell>
          <cell r="D1362" t="str">
            <v>Central Division</v>
          </cell>
          <cell r="E1362">
            <v>0</v>
          </cell>
          <cell r="F1362" t="str">
            <v>Mukono Municipality</v>
          </cell>
        </row>
        <row r="1363">
          <cell r="C1363" t="str">
            <v>Jie</v>
          </cell>
          <cell r="D1363" t="str">
            <v>Panyangara</v>
          </cell>
          <cell r="E1363">
            <v>0</v>
          </cell>
          <cell r="F1363">
            <v>0</v>
          </cell>
        </row>
        <row r="1364">
          <cell r="C1364" t="str">
            <v>Jonam</v>
          </cell>
          <cell r="D1364" t="str">
            <v>Panyango</v>
          </cell>
          <cell r="E1364">
            <v>0</v>
          </cell>
          <cell r="F1364">
            <v>0</v>
          </cell>
        </row>
        <row r="1365">
          <cell r="C1365" t="str">
            <v>Jonam</v>
          </cell>
          <cell r="D1365" t="str">
            <v>Panyimur</v>
          </cell>
          <cell r="E1365">
            <v>0</v>
          </cell>
          <cell r="F1365">
            <v>0</v>
          </cell>
        </row>
        <row r="1366">
          <cell r="C1366" t="str">
            <v>Agago</v>
          </cell>
          <cell r="D1366" t="str">
            <v>Parabongo</v>
          </cell>
          <cell r="E1366">
            <v>0</v>
          </cell>
          <cell r="F1366">
            <v>0</v>
          </cell>
        </row>
        <row r="1367">
          <cell r="C1367" t="str">
            <v>Padyere</v>
          </cell>
          <cell r="D1367" t="str">
            <v>Parombo</v>
          </cell>
          <cell r="E1367">
            <v>0</v>
          </cell>
          <cell r="F1367">
            <v>0</v>
          </cell>
        </row>
        <row r="1368">
          <cell r="C1368" t="str">
            <v>Agago</v>
          </cell>
          <cell r="D1368" t="str">
            <v>Patongo</v>
          </cell>
          <cell r="E1368">
            <v>0</v>
          </cell>
          <cell r="F1368">
            <v>0</v>
          </cell>
        </row>
        <row r="1369">
          <cell r="C1369" t="str">
            <v>Agago</v>
          </cell>
          <cell r="D1369" t="str">
            <v>Patongo Town Council</v>
          </cell>
          <cell r="E1369">
            <v>0</v>
          </cell>
          <cell r="F1369">
            <v>0</v>
          </cell>
        </row>
        <row r="1370">
          <cell r="C1370" t="str">
            <v>Madi Okollo</v>
          </cell>
          <cell r="D1370" t="str">
            <v>Pawor</v>
          </cell>
          <cell r="E1370">
            <v>0</v>
          </cell>
          <cell r="F1370">
            <v>0</v>
          </cell>
        </row>
        <row r="1371">
          <cell r="C1371" t="str">
            <v>West Budama</v>
          </cell>
          <cell r="D1371" t="str">
            <v>Paya</v>
          </cell>
          <cell r="E1371">
            <v>0</v>
          </cell>
          <cell r="F1371">
            <v>0</v>
          </cell>
        </row>
        <row r="1372">
          <cell r="C1372" t="str">
            <v>Mukono Municipality</v>
          </cell>
          <cell r="D1372" t="str">
            <v>Goma Division</v>
          </cell>
          <cell r="E1372">
            <v>0</v>
          </cell>
          <cell r="F1372">
            <v>0</v>
          </cell>
        </row>
        <row r="1373">
          <cell r="C1373" t="str">
            <v>Butebo Town Council</v>
          </cell>
          <cell r="D1373" t="str">
            <v>Petete</v>
          </cell>
          <cell r="E1373">
            <v>0</v>
          </cell>
        </row>
        <row r="1374">
          <cell r="C1374" t="str">
            <v>West Budama</v>
          </cell>
          <cell r="D1374" t="str">
            <v>Petta</v>
          </cell>
          <cell r="E1374">
            <v>0</v>
          </cell>
        </row>
        <row r="1375">
          <cell r="C1375" t="str">
            <v>Kasilo</v>
          </cell>
          <cell r="D1375" t="str">
            <v>Pingire</v>
          </cell>
          <cell r="E1375">
            <v>0</v>
          </cell>
        </row>
        <row r="1376">
          <cell r="C1376" t="str">
            <v>Aruu</v>
          </cell>
          <cell r="D1376" t="str">
            <v>Puranga</v>
          </cell>
          <cell r="E1376">
            <v>0</v>
          </cell>
        </row>
        <row r="1377">
          <cell r="C1377" t="str">
            <v>Nwoya</v>
          </cell>
          <cell r="D1377" t="str">
            <v>Purongo</v>
          </cell>
          <cell r="E1377">
            <v>0</v>
          </cell>
        </row>
        <row r="1378">
          <cell r="C1378" t="str">
            <v>Pallisa</v>
          </cell>
          <cell r="D1378" t="str">
            <v>Puti-Puti</v>
          </cell>
          <cell r="E1378">
            <v>0</v>
          </cell>
        </row>
        <row r="1379">
          <cell r="C1379" t="str">
            <v>Nansana Municipality</v>
          </cell>
          <cell r="D1379" t="str">
            <v>Busukuma Division</v>
          </cell>
          <cell r="E1379">
            <v>0</v>
          </cell>
          <cell r="F1379" t="str">
            <v>Busukuma</v>
          </cell>
        </row>
        <row r="1380">
          <cell r="C1380" t="str">
            <v>Kooki</v>
          </cell>
          <cell r="D1380" t="str">
            <v>Rakai Town Council</v>
          </cell>
          <cell r="E1380">
            <v>0</v>
          </cell>
        </row>
        <row r="1381">
          <cell r="C1381" t="str">
            <v>Jie</v>
          </cell>
          <cell r="D1381" t="str">
            <v>Rengen</v>
          </cell>
          <cell r="E1381">
            <v>0</v>
          </cell>
        </row>
        <row r="1382">
          <cell r="C1382" t="str">
            <v>Madi Okollo</v>
          </cell>
          <cell r="D1382" t="str">
            <v>Rhino Camp</v>
          </cell>
          <cell r="E1382">
            <v>0</v>
          </cell>
        </row>
        <row r="1383">
          <cell r="C1383" t="str">
            <v>Madi Okollo</v>
          </cell>
          <cell r="D1383" t="str">
            <v>Rigbo</v>
          </cell>
          <cell r="E1383">
            <v>0</v>
          </cell>
        </row>
        <row r="1384">
          <cell r="C1384" t="str">
            <v>Nansana Municipality</v>
          </cell>
          <cell r="D1384" t="str">
            <v>Gombe Division</v>
          </cell>
          <cell r="E1384">
            <v>0</v>
          </cell>
          <cell r="F1384" t="str">
            <v>Gombe</v>
          </cell>
        </row>
        <row r="1385">
          <cell r="C1385" t="str">
            <v>Kongasis</v>
          </cell>
          <cell r="D1385" t="str">
            <v>Riwo</v>
          </cell>
          <cell r="E1385">
            <v>0</v>
          </cell>
        </row>
        <row r="1386">
          <cell r="C1386" t="str">
            <v>Aringa</v>
          </cell>
          <cell r="D1386" t="str">
            <v>Romogi</v>
          </cell>
          <cell r="E1386">
            <v>0</v>
          </cell>
        </row>
        <row r="1387">
          <cell r="C1387" t="str">
            <v>Rushenyi</v>
          </cell>
          <cell r="D1387" t="str">
            <v>Rubaare</v>
          </cell>
          <cell r="E1387">
            <v>0</v>
          </cell>
        </row>
        <row r="1388">
          <cell r="C1388" t="str">
            <v>Rushenyi</v>
          </cell>
          <cell r="D1388" t="str">
            <v>Rubaare Town Council</v>
          </cell>
          <cell r="E1388">
            <v>0</v>
          </cell>
        </row>
        <row r="1389">
          <cell r="C1389" t="str">
            <v>KCCA</v>
          </cell>
          <cell r="D1389" t="str">
            <v>Rubaga Division</v>
          </cell>
          <cell r="E1389" t="str">
            <v>Busega</v>
          </cell>
        </row>
        <row r="1390">
          <cell r="C1390" t="str">
            <v>KCCA</v>
          </cell>
          <cell r="D1390" t="str">
            <v>Rubaga Division</v>
          </cell>
          <cell r="E1390" t="str">
            <v>Kabowa</v>
          </cell>
        </row>
        <row r="1391">
          <cell r="C1391" t="str">
            <v>KCCA</v>
          </cell>
          <cell r="D1391" t="str">
            <v>Rubaga Division</v>
          </cell>
          <cell r="E1391" t="str">
            <v>Kasubi</v>
          </cell>
        </row>
        <row r="1392">
          <cell r="C1392" t="str">
            <v>KCCA</v>
          </cell>
          <cell r="D1392" t="str">
            <v>Rubaga Division</v>
          </cell>
          <cell r="E1392" t="str">
            <v>Lubaga</v>
          </cell>
        </row>
        <row r="1393">
          <cell r="C1393" t="str">
            <v>KCCA</v>
          </cell>
          <cell r="D1393" t="str">
            <v>Rubaga Division</v>
          </cell>
          <cell r="E1393" t="str">
            <v>Lubya</v>
          </cell>
        </row>
        <row r="1394">
          <cell r="C1394" t="str">
            <v>KCCA</v>
          </cell>
          <cell r="D1394" t="str">
            <v>Rubaga Division</v>
          </cell>
          <cell r="E1394" t="str">
            <v>Lungujja</v>
          </cell>
        </row>
        <row r="1395">
          <cell r="C1395" t="str">
            <v>KCCA</v>
          </cell>
          <cell r="D1395" t="str">
            <v>Rubaga Division</v>
          </cell>
          <cell r="E1395" t="str">
            <v>Mutundwe</v>
          </cell>
        </row>
        <row r="1396">
          <cell r="C1396" t="str">
            <v>KCCA</v>
          </cell>
          <cell r="D1396" t="str">
            <v>Rubaga Division</v>
          </cell>
          <cell r="E1396" t="str">
            <v>Najjanankumbi I</v>
          </cell>
        </row>
        <row r="1397">
          <cell r="C1397" t="str">
            <v>KCCA</v>
          </cell>
          <cell r="D1397" t="str">
            <v>Rubaga Division</v>
          </cell>
          <cell r="E1397" t="str">
            <v>Najjanankumbi Ii</v>
          </cell>
        </row>
        <row r="1398">
          <cell r="C1398" t="str">
            <v>KCCA</v>
          </cell>
          <cell r="D1398" t="str">
            <v>Rubaga Division</v>
          </cell>
          <cell r="E1398" t="str">
            <v>Namirembe</v>
          </cell>
        </row>
        <row r="1399">
          <cell r="C1399" t="str">
            <v>KCCA</v>
          </cell>
          <cell r="D1399" t="str">
            <v>Rubaga Division</v>
          </cell>
          <cell r="E1399" t="str">
            <v>Nankulabye I</v>
          </cell>
        </row>
        <row r="1400">
          <cell r="C1400" t="str">
            <v>KCCA</v>
          </cell>
          <cell r="D1400" t="str">
            <v>Rubaga Division</v>
          </cell>
          <cell r="E1400" t="str">
            <v>Nateete</v>
          </cell>
        </row>
        <row r="1401">
          <cell r="C1401" t="str">
            <v>KCCA</v>
          </cell>
          <cell r="D1401" t="str">
            <v>Rubaga Division</v>
          </cell>
          <cell r="E1401" t="str">
            <v>Ndeeba</v>
          </cell>
        </row>
        <row r="1402">
          <cell r="C1402" t="str">
            <v>Rubanda</v>
          </cell>
          <cell r="D1402" t="str">
            <v>Rubanda Town Council</v>
          </cell>
          <cell r="E1402">
            <v>0</v>
          </cell>
        </row>
        <row r="1403">
          <cell r="C1403" t="str">
            <v>Ndorwa</v>
          </cell>
          <cell r="D1403" t="str">
            <v>Rubaya</v>
          </cell>
          <cell r="E1403">
            <v>0</v>
          </cell>
        </row>
        <row r="1404">
          <cell r="C1404" t="str">
            <v>Kashari</v>
          </cell>
          <cell r="D1404" t="str">
            <v>Rubaya</v>
          </cell>
          <cell r="E1404">
            <v>0</v>
          </cell>
        </row>
        <row r="1405">
          <cell r="C1405" t="str">
            <v>Kashari</v>
          </cell>
          <cell r="D1405" t="str">
            <v>Rubindi</v>
          </cell>
          <cell r="E1405">
            <v>0</v>
          </cell>
        </row>
        <row r="1406">
          <cell r="C1406" t="str">
            <v>Bunyaruguru</v>
          </cell>
          <cell r="D1406" t="str">
            <v>Rubiriziri Town Council</v>
          </cell>
          <cell r="E1406">
            <v>0</v>
          </cell>
        </row>
        <row r="1407">
          <cell r="C1407" t="str">
            <v>Bunyangabu</v>
          </cell>
          <cell r="D1407" t="str">
            <v>Rubona Town Council</v>
          </cell>
          <cell r="E1407">
            <v>0</v>
          </cell>
        </row>
        <row r="1408">
          <cell r="C1408" t="str">
            <v>West Budama</v>
          </cell>
          <cell r="D1408" t="str">
            <v>Rubongi</v>
          </cell>
          <cell r="E1408">
            <v>0</v>
          </cell>
        </row>
        <row r="1409">
          <cell r="C1409" t="str">
            <v>Isingiro</v>
          </cell>
          <cell r="D1409" t="str">
            <v>Ruborogota</v>
          </cell>
          <cell r="E1409">
            <v>0</v>
          </cell>
        </row>
        <row r="1410">
          <cell r="C1410" t="str">
            <v>Bufumbira</v>
          </cell>
          <cell r="D1410" t="str">
            <v>Rubuguri Town Council</v>
          </cell>
          <cell r="E1410">
            <v>0</v>
          </cell>
        </row>
        <row r="1411">
          <cell r="C1411" t="str">
            <v>Bukanga</v>
          </cell>
          <cell r="D1411" t="str">
            <v>Rugaaga</v>
          </cell>
          <cell r="E1411">
            <v>0</v>
          </cell>
        </row>
        <row r="1412">
          <cell r="C1412" t="str">
            <v>Rwampara</v>
          </cell>
          <cell r="D1412" t="str">
            <v>Rugando</v>
          </cell>
          <cell r="E1412">
            <v>0</v>
          </cell>
        </row>
        <row r="1413">
          <cell r="C1413" t="str">
            <v>Rushenyi</v>
          </cell>
          <cell r="D1413" t="str">
            <v>Rugarama</v>
          </cell>
          <cell r="E1413">
            <v>0</v>
          </cell>
        </row>
        <row r="1414">
          <cell r="C1414" t="str">
            <v>Sheema</v>
          </cell>
          <cell r="D1414" t="str">
            <v>Rugarama</v>
          </cell>
          <cell r="E1414">
            <v>0</v>
          </cell>
        </row>
        <row r="1415">
          <cell r="C1415" t="str">
            <v>Buyaga</v>
          </cell>
          <cell r="D1415" t="str">
            <v>Rugashari</v>
          </cell>
          <cell r="E1415">
            <v>0</v>
          </cell>
        </row>
        <row r="1416">
          <cell r="C1416" t="str">
            <v>Kinkiizi</v>
          </cell>
          <cell r="D1416" t="str">
            <v>Rugyeyo</v>
          </cell>
          <cell r="E1416">
            <v>0</v>
          </cell>
        </row>
        <row r="1417">
          <cell r="C1417" t="str">
            <v>Ruhaama</v>
          </cell>
          <cell r="D1417" t="str">
            <v>Ruhaama</v>
          </cell>
          <cell r="E1417">
            <v>0</v>
          </cell>
        </row>
        <row r="1418">
          <cell r="C1418" t="str">
            <v>Rubanda</v>
          </cell>
          <cell r="D1418" t="str">
            <v>Ruhija</v>
          </cell>
          <cell r="E1418">
            <v>0</v>
          </cell>
        </row>
        <row r="1419">
          <cell r="C1419" t="str">
            <v>Rujumbura</v>
          </cell>
          <cell r="D1419" t="str">
            <v>Ruhinda</v>
          </cell>
          <cell r="E1419">
            <v>0</v>
          </cell>
        </row>
        <row r="1420">
          <cell r="C1420" t="str">
            <v>Igara</v>
          </cell>
          <cell r="D1420" t="str">
            <v>Ruhumuro</v>
          </cell>
          <cell r="E1420">
            <v>0</v>
          </cell>
        </row>
        <row r="1421">
          <cell r="C1421" t="str">
            <v>Ibanda</v>
          </cell>
          <cell r="D1421" t="str">
            <v>Rukiri</v>
          </cell>
          <cell r="E1421">
            <v>0</v>
          </cell>
        </row>
        <row r="1422">
          <cell r="C1422" t="str">
            <v>Busongora</v>
          </cell>
          <cell r="D1422" t="str">
            <v>Rukoki</v>
          </cell>
          <cell r="E1422">
            <v>0</v>
          </cell>
        </row>
        <row r="1423">
          <cell r="C1423" t="str">
            <v>Ruhaama</v>
          </cell>
          <cell r="D1423" t="str">
            <v>Rukoni East</v>
          </cell>
          <cell r="E1423">
            <v>0</v>
          </cell>
        </row>
        <row r="1424">
          <cell r="C1424" t="str">
            <v>Ruhaama</v>
          </cell>
          <cell r="D1424" t="str">
            <v>Rukoni West</v>
          </cell>
          <cell r="E1424">
            <v>0</v>
          </cell>
        </row>
        <row r="1425">
          <cell r="C1425" t="str">
            <v>Matheniko</v>
          </cell>
          <cell r="D1425" t="str">
            <v>Rupa</v>
          </cell>
          <cell r="E1425">
            <v>0</v>
          </cell>
        </row>
        <row r="1426">
          <cell r="C1426" t="str">
            <v>Ruhinda</v>
          </cell>
          <cell r="D1426" t="str">
            <v>Rurehe</v>
          </cell>
          <cell r="E1426">
            <v>0</v>
          </cell>
        </row>
        <row r="1427">
          <cell r="C1427" t="str">
            <v>Ibanda</v>
          </cell>
          <cell r="D1427" t="str">
            <v>Rushango Town Council</v>
          </cell>
          <cell r="E1427">
            <v>0</v>
          </cell>
        </row>
        <row r="1428">
          <cell r="C1428" t="str">
            <v>Bukanga</v>
          </cell>
          <cell r="D1428" t="str">
            <v>Rushasha</v>
          </cell>
          <cell r="E1428">
            <v>0</v>
          </cell>
        </row>
        <row r="1429">
          <cell r="C1429" t="str">
            <v>Burahya</v>
          </cell>
          <cell r="D1429" t="str">
            <v>Ruteete</v>
          </cell>
          <cell r="E1429">
            <v>0</v>
          </cell>
        </row>
        <row r="1430">
          <cell r="C1430" t="str">
            <v>Buyaga</v>
          </cell>
          <cell r="D1430" t="str">
            <v>Ruteete</v>
          </cell>
          <cell r="E1430">
            <v>0</v>
          </cell>
        </row>
        <row r="1431">
          <cell r="C1431" t="str">
            <v>Kinkiizi</v>
          </cell>
          <cell r="D1431" t="str">
            <v>Rutenga</v>
          </cell>
          <cell r="E1431">
            <v>0</v>
          </cell>
        </row>
        <row r="1432">
          <cell r="C1432" t="str">
            <v>Bunyaruguru</v>
          </cell>
          <cell r="D1432" t="str">
            <v>Rutoto</v>
          </cell>
          <cell r="E1432">
            <v>0</v>
          </cell>
        </row>
        <row r="1433">
          <cell r="C1433" t="str">
            <v>Kyaka</v>
          </cell>
          <cell r="D1433" t="str">
            <v>Ruyonza</v>
          </cell>
          <cell r="E1433">
            <v>0</v>
          </cell>
        </row>
        <row r="1434">
          <cell r="C1434" t="str">
            <v>Rukiga</v>
          </cell>
          <cell r="D1434" t="str">
            <v>Rwamucucu</v>
          </cell>
          <cell r="E1434">
            <v>0</v>
          </cell>
        </row>
        <row r="1435">
          <cell r="C1435" t="str">
            <v>Kibale</v>
          </cell>
          <cell r="D1435" t="str">
            <v>Rwamwanja Refugee Camp</v>
          </cell>
          <cell r="E1435">
            <v>0</v>
          </cell>
        </row>
        <row r="1436">
          <cell r="C1436" t="str">
            <v>Kashari</v>
          </cell>
          <cell r="D1436" t="str">
            <v>Rwanyamahembe</v>
          </cell>
          <cell r="E1436">
            <v>0</v>
          </cell>
        </row>
        <row r="1437">
          <cell r="C1437" t="str">
            <v>Kajara</v>
          </cell>
          <cell r="D1437" t="str">
            <v>Rwashamaire Town Council</v>
          </cell>
          <cell r="E1437">
            <v>0</v>
          </cell>
        </row>
        <row r="1438">
          <cell r="C1438" t="str">
            <v>Ntoroko</v>
          </cell>
          <cell r="D1438" t="str">
            <v>Rwebisengo</v>
          </cell>
          <cell r="E1438">
            <v>0</v>
          </cell>
        </row>
        <row r="1439">
          <cell r="C1439" t="str">
            <v>Ntoroko</v>
          </cell>
          <cell r="D1439" t="str">
            <v>Rwebisengo Town Council</v>
          </cell>
          <cell r="E1439">
            <v>0</v>
          </cell>
        </row>
        <row r="1440">
          <cell r="C1440" t="str">
            <v>Ruhaama</v>
          </cell>
          <cell r="D1440" t="str">
            <v>Rweikiniro</v>
          </cell>
          <cell r="E1440">
            <v>0</v>
          </cell>
        </row>
        <row r="1441">
          <cell r="C1441" t="str">
            <v>Kazo</v>
          </cell>
          <cell r="D1441" t="str">
            <v>Rwemikoma</v>
          </cell>
          <cell r="E1441">
            <v>0</v>
          </cell>
        </row>
        <row r="1442">
          <cell r="C1442" t="str">
            <v>Buhweju</v>
          </cell>
          <cell r="D1442" t="str">
            <v>Rwengwe</v>
          </cell>
          <cell r="E1442">
            <v>0</v>
          </cell>
        </row>
        <row r="1443">
          <cell r="C1443" t="str">
            <v>Kyaka</v>
          </cell>
          <cell r="D1443" t="str">
            <v>Rwentuha</v>
          </cell>
          <cell r="E1443">
            <v>0</v>
          </cell>
        </row>
        <row r="1444">
          <cell r="C1444" t="str">
            <v>Bunyangabu</v>
          </cell>
          <cell r="D1444" t="str">
            <v>Rwimi</v>
          </cell>
          <cell r="E1444">
            <v>0</v>
          </cell>
        </row>
        <row r="1445">
          <cell r="C1445" t="str">
            <v>Bunyangabu</v>
          </cell>
          <cell r="D1445" t="str">
            <v>Rwimi Town Council</v>
          </cell>
          <cell r="E1445">
            <v>0</v>
          </cell>
        </row>
        <row r="1446">
          <cell r="C1446" t="str">
            <v>Ndorwa</v>
          </cell>
          <cell r="D1446" t="str">
            <v>Ryakirimira Town Council</v>
          </cell>
          <cell r="E1446">
            <v>0</v>
          </cell>
        </row>
        <row r="1447">
          <cell r="C1447" t="str">
            <v>Bunyaruguru</v>
          </cell>
          <cell r="D1447" t="str">
            <v>Ryeru</v>
          </cell>
          <cell r="E1447">
            <v>0</v>
          </cell>
        </row>
        <row r="1448">
          <cell r="C1448" t="str">
            <v>Nyabushozi</v>
          </cell>
          <cell r="D1448" t="str">
            <v>Sanga</v>
          </cell>
          <cell r="E1448">
            <v>0</v>
          </cell>
        </row>
        <row r="1449">
          <cell r="C1449" t="str">
            <v>Nyabushozi</v>
          </cell>
          <cell r="D1449" t="str">
            <v>Sanga Town Council</v>
          </cell>
          <cell r="E1449">
            <v>0</v>
          </cell>
        </row>
        <row r="1450">
          <cell r="C1450" t="str">
            <v>Nakifuma</v>
          </cell>
          <cell r="D1450" t="str">
            <v>Seeta Namuganga</v>
          </cell>
          <cell r="E1450">
            <v>0</v>
          </cell>
        </row>
        <row r="1451">
          <cell r="C1451" t="str">
            <v>Mawogola</v>
          </cell>
          <cell r="D1451" t="str">
            <v>Sembabule Town Council</v>
          </cell>
          <cell r="E1451">
            <v>0</v>
          </cell>
        </row>
        <row r="1452">
          <cell r="C1452" t="str">
            <v>Nakaseke</v>
          </cell>
          <cell r="D1452" t="str">
            <v>Semuto</v>
          </cell>
          <cell r="E1452">
            <v>0</v>
          </cell>
        </row>
        <row r="1453">
          <cell r="C1453" t="str">
            <v>Nakaseke</v>
          </cell>
          <cell r="D1453" t="str">
            <v>Semuto Town Council</v>
          </cell>
          <cell r="E1453">
            <v>0</v>
          </cell>
        </row>
        <row r="1454">
          <cell r="C1454" t="str">
            <v>Kongasis</v>
          </cell>
          <cell r="D1454" t="str">
            <v>Senendet</v>
          </cell>
          <cell r="E1454">
            <v>0</v>
          </cell>
        </row>
        <row r="1455">
          <cell r="C1455" t="str">
            <v>Serere</v>
          </cell>
          <cell r="D1455" t="str">
            <v>Serere Town Council</v>
          </cell>
          <cell r="E1455">
            <v>0</v>
          </cell>
        </row>
        <row r="1456">
          <cell r="C1456" t="str">
            <v>Nansana Municipality</v>
          </cell>
          <cell r="D1456" t="str">
            <v>Nabweru Division</v>
          </cell>
          <cell r="E1456">
            <v>0</v>
          </cell>
          <cell r="F1456" t="str">
            <v>Nabweru</v>
          </cell>
        </row>
        <row r="1457">
          <cell r="C1457" t="str">
            <v>Sheema</v>
          </cell>
          <cell r="D1457" t="str">
            <v>Shuuku</v>
          </cell>
          <cell r="E1457">
            <v>0</v>
          </cell>
        </row>
        <row r="1458">
          <cell r="C1458" t="str">
            <v>Sheema</v>
          </cell>
          <cell r="D1458" t="str">
            <v>Shuuku Town Council</v>
          </cell>
          <cell r="E1458">
            <v>0</v>
          </cell>
        </row>
        <row r="1459">
          <cell r="C1459" t="str">
            <v>Bubulo</v>
          </cell>
          <cell r="D1459" t="str">
            <v>Sibanga</v>
          </cell>
          <cell r="E1459">
            <v>0</v>
          </cell>
        </row>
        <row r="1460">
          <cell r="C1460" t="str">
            <v>Dodoth</v>
          </cell>
          <cell r="D1460" t="str">
            <v>Sidok</v>
          </cell>
          <cell r="E1460">
            <v>0</v>
          </cell>
        </row>
        <row r="1461">
          <cell r="C1461" t="str">
            <v>Bukooli</v>
          </cell>
          <cell r="D1461" t="str">
            <v>Sigulu Island</v>
          </cell>
          <cell r="E1461">
            <v>0</v>
          </cell>
        </row>
        <row r="1462">
          <cell r="C1462" t="str">
            <v>Samia-Bugwe</v>
          </cell>
          <cell r="D1462" t="str">
            <v>Sikuda</v>
          </cell>
          <cell r="E1462">
            <v>0</v>
          </cell>
        </row>
        <row r="1463">
          <cell r="C1463" t="str">
            <v>Bulambuli</v>
          </cell>
          <cell r="D1463" t="str">
            <v>Simu</v>
          </cell>
          <cell r="E1463">
            <v>0</v>
          </cell>
        </row>
        <row r="1464">
          <cell r="C1464" t="str">
            <v>Bughendera</v>
          </cell>
          <cell r="D1464" t="str">
            <v>Sindila</v>
          </cell>
          <cell r="E1464">
            <v>0</v>
          </cell>
        </row>
        <row r="1465">
          <cell r="C1465" t="str">
            <v>Tingey</v>
          </cell>
          <cell r="D1465" t="str">
            <v>Sipi</v>
          </cell>
          <cell r="E1465">
            <v>0</v>
          </cell>
        </row>
        <row r="1466">
          <cell r="C1466" t="str">
            <v>Budadiri</v>
          </cell>
          <cell r="D1466" t="str">
            <v>Sironko Town Council</v>
          </cell>
          <cell r="E1466">
            <v>0</v>
          </cell>
        </row>
        <row r="1467">
          <cell r="C1467" t="str">
            <v>Bulambuli</v>
          </cell>
          <cell r="D1467" t="str">
            <v>Sisiyi</v>
          </cell>
          <cell r="E1467">
            <v>0</v>
          </cell>
        </row>
        <row r="1468">
          <cell r="C1468" t="str">
            <v>Bubulo</v>
          </cell>
          <cell r="D1468" t="str">
            <v>Sisuni</v>
          </cell>
          <cell r="E1468">
            <v>0</v>
          </cell>
        </row>
        <row r="1469">
          <cell r="C1469" t="str">
            <v>West Budama</v>
          </cell>
          <cell r="D1469" t="str">
            <v>Sop-Sop</v>
          </cell>
          <cell r="E1469">
            <v>0</v>
          </cell>
        </row>
        <row r="1470">
          <cell r="C1470" t="str">
            <v>Soroti</v>
          </cell>
          <cell r="D1470" t="str">
            <v>Soroti</v>
          </cell>
          <cell r="E1470">
            <v>0</v>
          </cell>
        </row>
        <row r="1471">
          <cell r="C1471" t="str">
            <v>Nansana Municipality</v>
          </cell>
          <cell r="D1471" t="str">
            <v>Nansana Division</v>
          </cell>
          <cell r="E1471">
            <v>0</v>
          </cell>
          <cell r="F1471" t="str">
            <v>Nansana</v>
          </cell>
        </row>
        <row r="1472">
          <cell r="C1472" t="str">
            <v>Nebbi Municipality</v>
          </cell>
          <cell r="D1472" t="str">
            <v>Abindu Division</v>
          </cell>
          <cell r="E1472">
            <v>0</v>
          </cell>
          <cell r="F1472" t="str">
            <v>Nebbi Municipality</v>
          </cell>
        </row>
        <row r="1473">
          <cell r="C1473" t="str">
            <v>Nebbi Municipality</v>
          </cell>
          <cell r="D1473" t="str">
            <v>Central Division</v>
          </cell>
          <cell r="E1473">
            <v>0</v>
          </cell>
          <cell r="F1473">
            <v>0</v>
          </cell>
        </row>
        <row r="1474">
          <cell r="C1474" t="str">
            <v>Nebbi Municipality</v>
          </cell>
          <cell r="D1474" t="str">
            <v>Thatha Division</v>
          </cell>
          <cell r="E1474">
            <v>0</v>
          </cell>
          <cell r="F1474">
            <v>0</v>
          </cell>
        </row>
        <row r="1475">
          <cell r="C1475" t="str">
            <v>Njeru Municipality</v>
          </cell>
          <cell r="D1475" t="str">
            <v>Njeru Division</v>
          </cell>
          <cell r="E1475">
            <v>0</v>
          </cell>
          <cell r="F1475" t="str">
            <v>Njeru Municipality</v>
          </cell>
        </row>
        <row r="1476">
          <cell r="C1476" t="str">
            <v>Njeru Municipality</v>
          </cell>
          <cell r="D1476" t="str">
            <v>Nyenga Division</v>
          </cell>
          <cell r="E1476">
            <v>0</v>
          </cell>
          <cell r="F1476">
            <v>0</v>
          </cell>
        </row>
        <row r="1477">
          <cell r="C1477" t="str">
            <v>Njeru Municipality</v>
          </cell>
          <cell r="D1477" t="str">
            <v>Wakisi Division</v>
          </cell>
          <cell r="E1477">
            <v>0</v>
          </cell>
          <cell r="F1477">
            <v>0</v>
          </cell>
        </row>
        <row r="1478">
          <cell r="C1478" t="str">
            <v>Ntungamo Municipality</v>
          </cell>
          <cell r="D1478" t="str">
            <v>Central Division</v>
          </cell>
          <cell r="E1478">
            <v>0</v>
          </cell>
          <cell r="F1478" t="str">
            <v>Ntungamo Municipality</v>
          </cell>
        </row>
        <row r="1479">
          <cell r="C1479" t="str">
            <v>Ntungamo Municipality</v>
          </cell>
          <cell r="D1479" t="str">
            <v>Eastern Division</v>
          </cell>
          <cell r="E1479">
            <v>0</v>
          </cell>
          <cell r="F1479">
            <v>0</v>
          </cell>
        </row>
        <row r="1480">
          <cell r="C1480" t="str">
            <v>Mityana</v>
          </cell>
          <cell r="D1480" t="str">
            <v>Ssekanyonyi</v>
          </cell>
          <cell r="E1480">
            <v>0</v>
          </cell>
          <cell r="F1480">
            <v>0</v>
          </cell>
        </row>
        <row r="1481">
          <cell r="C1481" t="str">
            <v>Buikwe</v>
          </cell>
          <cell r="D1481" t="str">
            <v>Ssi-Bukunja</v>
          </cell>
          <cell r="E1481">
            <v>0</v>
          </cell>
          <cell r="F1481">
            <v>0</v>
          </cell>
        </row>
        <row r="1482">
          <cell r="C1482" t="str">
            <v>Kongasis</v>
          </cell>
          <cell r="D1482" t="str">
            <v>Suam</v>
          </cell>
          <cell r="E1482">
            <v>0</v>
          </cell>
          <cell r="F1482">
            <v>0</v>
          </cell>
        </row>
        <row r="1483">
          <cell r="C1483" t="str">
            <v>Matheniko</v>
          </cell>
          <cell r="D1483" t="str">
            <v>Tapac</v>
          </cell>
          <cell r="E1483">
            <v>0</v>
          </cell>
          <cell r="F1483">
            <v>0</v>
          </cell>
        </row>
        <row r="1484">
          <cell r="C1484" t="str">
            <v>Maracha</v>
          </cell>
          <cell r="D1484" t="str">
            <v>Tara</v>
          </cell>
          <cell r="E1484">
            <v>0</v>
          </cell>
          <cell r="F1484">
            <v>0</v>
          </cell>
        </row>
        <row r="1485">
          <cell r="C1485" t="str">
            <v>Ntungamo Municipality</v>
          </cell>
          <cell r="D1485" t="str">
            <v>Western Division</v>
          </cell>
          <cell r="E1485">
            <v>0</v>
          </cell>
          <cell r="F1485">
            <v>0</v>
          </cell>
        </row>
        <row r="1486">
          <cell r="C1486" t="str">
            <v>Kibuku</v>
          </cell>
          <cell r="D1486" t="str">
            <v>Tirinyi</v>
          </cell>
          <cell r="E1486">
            <v>0</v>
          </cell>
        </row>
        <row r="1487">
          <cell r="C1487" t="str">
            <v>Bwamba</v>
          </cell>
          <cell r="D1487" t="str">
            <v>Tokwe</v>
          </cell>
          <cell r="E1487">
            <v>0</v>
          </cell>
        </row>
        <row r="1488">
          <cell r="C1488" t="str">
            <v>Toroma</v>
          </cell>
          <cell r="D1488" t="str">
            <v>Toroma</v>
          </cell>
          <cell r="E1488">
            <v>0</v>
          </cell>
        </row>
        <row r="1489">
          <cell r="C1489" t="str">
            <v>Namisindwa</v>
          </cell>
          <cell r="D1489" t="str">
            <v>Tsekululu</v>
          </cell>
          <cell r="E1489">
            <v>0</v>
          </cell>
        </row>
        <row r="1490">
          <cell r="C1490" t="str">
            <v>Rukungiri Municipality</v>
          </cell>
          <cell r="D1490" t="str">
            <v>Eastern Divison</v>
          </cell>
          <cell r="E1490">
            <v>0</v>
          </cell>
          <cell r="F1490" t="str">
            <v>Rukungiri Municipality</v>
          </cell>
        </row>
        <row r="1491">
          <cell r="C1491" t="str">
            <v>Soroti</v>
          </cell>
          <cell r="D1491" t="str">
            <v>Tubur</v>
          </cell>
          <cell r="E1491">
            <v>0</v>
          </cell>
          <cell r="F1491">
            <v>0</v>
          </cell>
        </row>
        <row r="1492">
          <cell r="C1492" t="str">
            <v>Kongasis</v>
          </cell>
          <cell r="D1492" t="str">
            <v>Tulel</v>
          </cell>
          <cell r="E1492">
            <v>0</v>
          </cell>
          <cell r="F1492">
            <v>0</v>
          </cell>
        </row>
        <row r="1493">
          <cell r="C1493" t="str">
            <v>East Moyo</v>
          </cell>
          <cell r="D1493" t="str">
            <v>Ukusijoni</v>
          </cell>
          <cell r="E1493">
            <v>0</v>
          </cell>
          <cell r="F1493">
            <v>0</v>
          </cell>
        </row>
        <row r="1494">
          <cell r="C1494" t="str">
            <v>Madi Okollo</v>
          </cell>
          <cell r="D1494" t="str">
            <v>Uleppi</v>
          </cell>
          <cell r="E1494">
            <v>0</v>
          </cell>
          <cell r="F1494">
            <v>0</v>
          </cell>
        </row>
        <row r="1495">
          <cell r="C1495" t="str">
            <v>Aswa</v>
          </cell>
          <cell r="D1495" t="str">
            <v>Unyama</v>
          </cell>
          <cell r="E1495">
            <v>0</v>
          </cell>
          <cell r="F1495">
            <v>0</v>
          </cell>
        </row>
        <row r="1496">
          <cell r="C1496" t="str">
            <v>Terego</v>
          </cell>
          <cell r="D1496" t="str">
            <v>Uriama</v>
          </cell>
          <cell r="E1496">
            <v>0</v>
          </cell>
          <cell r="F1496">
            <v>0</v>
          </cell>
        </row>
        <row r="1497">
          <cell r="C1497" t="str">
            <v>Usuk</v>
          </cell>
          <cell r="D1497" t="str">
            <v>Usuk</v>
          </cell>
          <cell r="E1497">
            <v>0</v>
          </cell>
          <cell r="F1497">
            <v>0</v>
          </cell>
        </row>
        <row r="1498">
          <cell r="C1498" t="str">
            <v>Vurra</v>
          </cell>
          <cell r="D1498" t="str">
            <v>Vurra</v>
          </cell>
          <cell r="E1498">
            <v>0</v>
          </cell>
          <cell r="F1498">
            <v>0</v>
          </cell>
        </row>
        <row r="1499">
          <cell r="C1499" t="str">
            <v>Buruli</v>
          </cell>
          <cell r="D1499" t="str">
            <v>Wabinyonyi</v>
          </cell>
          <cell r="E1499">
            <v>0</v>
          </cell>
          <cell r="F1499">
            <v>0</v>
          </cell>
        </row>
        <row r="1500">
          <cell r="C1500" t="str">
            <v>Jonam</v>
          </cell>
          <cell r="D1500" t="str">
            <v>Wadelai</v>
          </cell>
          <cell r="E1500">
            <v>0</v>
          </cell>
          <cell r="F1500">
            <v>0</v>
          </cell>
        </row>
        <row r="1501">
          <cell r="C1501" t="str">
            <v>Luuka</v>
          </cell>
          <cell r="D1501" t="str">
            <v>Waibuga</v>
          </cell>
          <cell r="E1501">
            <v>0</v>
          </cell>
          <cell r="F1501">
            <v>0</v>
          </cell>
        </row>
        <row r="1502">
          <cell r="C1502" t="str">
            <v>Bunya</v>
          </cell>
          <cell r="D1502" t="str">
            <v>Wairasa</v>
          </cell>
          <cell r="E1502">
            <v>0</v>
          </cell>
          <cell r="F1502">
            <v>0</v>
          </cell>
        </row>
        <row r="1503">
          <cell r="C1503" t="str">
            <v>Rukungiri Municipality</v>
          </cell>
          <cell r="D1503" t="str">
            <v>Southern Division</v>
          </cell>
          <cell r="E1503">
            <v>0</v>
          </cell>
          <cell r="F1503">
            <v>0</v>
          </cell>
        </row>
        <row r="1504">
          <cell r="C1504" t="str">
            <v>Busiro</v>
          </cell>
          <cell r="D1504" t="str">
            <v>Wakiso</v>
          </cell>
          <cell r="E1504">
            <v>0</v>
          </cell>
          <cell r="F1504">
            <v>0</v>
          </cell>
        </row>
        <row r="1505">
          <cell r="C1505" t="str">
            <v>Busiro</v>
          </cell>
          <cell r="D1505" t="str">
            <v>Wakiso Town Council</v>
          </cell>
          <cell r="E1505">
            <v>0</v>
          </cell>
          <cell r="F1505">
            <v>0</v>
          </cell>
        </row>
        <row r="1506">
          <cell r="C1506" t="str">
            <v>Nakaseke</v>
          </cell>
          <cell r="D1506" t="str">
            <v>Wakyato</v>
          </cell>
          <cell r="E1506">
            <v>0</v>
          </cell>
          <cell r="F1506">
            <v>0</v>
          </cell>
        </row>
        <row r="1507">
          <cell r="C1507" t="str">
            <v>Bungokho</v>
          </cell>
          <cell r="D1507" t="str">
            <v>Wanale</v>
          </cell>
          <cell r="E1507">
            <v>0</v>
          </cell>
          <cell r="F1507">
            <v>0</v>
          </cell>
        </row>
        <row r="1508">
          <cell r="C1508" t="str">
            <v>Rukungiri Municipality</v>
          </cell>
          <cell r="D1508" t="str">
            <v>Western Division</v>
          </cell>
          <cell r="E1508">
            <v>0</v>
          </cell>
          <cell r="F1508">
            <v>0</v>
          </cell>
        </row>
        <row r="1509">
          <cell r="C1509" t="str">
            <v>Buzaaya</v>
          </cell>
          <cell r="D1509" t="str">
            <v>Wankole</v>
          </cell>
          <cell r="E1509">
            <v>0</v>
          </cell>
        </row>
        <row r="1510">
          <cell r="C1510" t="str">
            <v>Okoro</v>
          </cell>
          <cell r="D1510" t="str">
            <v>Warr</v>
          </cell>
          <cell r="E1510">
            <v>0</v>
          </cell>
        </row>
        <row r="1511">
          <cell r="C1511" t="str">
            <v>Kiboga</v>
          </cell>
          <cell r="D1511" t="str">
            <v>Wattuba</v>
          </cell>
          <cell r="E1511">
            <v>0</v>
          </cell>
        </row>
        <row r="1512">
          <cell r="C1512" t="str">
            <v>Amuria</v>
          </cell>
          <cell r="D1512" t="str">
            <v>Wera</v>
          </cell>
          <cell r="E1512">
            <v>0</v>
          </cell>
        </row>
        <row r="1513">
          <cell r="C1513" t="str">
            <v>Sheema Municipality</v>
          </cell>
          <cell r="D1513" t="str">
            <v>Kabwohe Division</v>
          </cell>
          <cell r="E1513">
            <v>0</v>
          </cell>
          <cell r="F1513" t="str">
            <v>Sheema Municipality</v>
          </cell>
        </row>
        <row r="1514">
          <cell r="C1514" t="str">
            <v>Sheema Municipality</v>
          </cell>
          <cell r="D1514" t="str">
            <v>Kagango Division</v>
          </cell>
          <cell r="E1514">
            <v>0</v>
          </cell>
          <cell r="F1514">
            <v>0</v>
          </cell>
        </row>
        <row r="1515">
          <cell r="C1515" t="str">
            <v>Sheema Municipality</v>
          </cell>
          <cell r="D1515" t="str">
            <v>Kashozi Division</v>
          </cell>
          <cell r="E1515">
            <v>0</v>
          </cell>
          <cell r="F1515">
            <v>0</v>
          </cell>
        </row>
        <row r="1516">
          <cell r="C1516" t="str">
            <v>Busia Municipality</v>
          </cell>
          <cell r="D1516" t="str">
            <v>Western Division</v>
          </cell>
          <cell r="E1516">
            <v>0</v>
          </cell>
          <cell r="F1516">
            <v>0</v>
          </cell>
        </row>
        <row r="1517">
          <cell r="C1517" t="str">
            <v>Sheema Municipality</v>
          </cell>
          <cell r="D1517" t="str">
            <v>Sheema Central Division</v>
          </cell>
          <cell r="E1517">
            <v>0</v>
          </cell>
          <cell r="F1517">
            <v>0</v>
          </cell>
        </row>
        <row r="1518">
          <cell r="C1518" t="str">
            <v>Soroti Municipality</v>
          </cell>
          <cell r="D1518" t="str">
            <v>Eastern Division</v>
          </cell>
          <cell r="E1518">
            <v>0</v>
          </cell>
          <cell r="F1518" t="str">
            <v>Soroti Municipality</v>
          </cell>
        </row>
        <row r="1519">
          <cell r="C1519" t="str">
            <v>Soroti Municipality</v>
          </cell>
          <cell r="D1519" t="str">
            <v>Northern Division</v>
          </cell>
          <cell r="E1519">
            <v>0</v>
          </cell>
          <cell r="F1519">
            <v>0</v>
          </cell>
        </row>
        <row r="1520">
          <cell r="C1520" t="str">
            <v>Soroti Municipality</v>
          </cell>
          <cell r="D1520" t="str">
            <v>Western Division</v>
          </cell>
          <cell r="E1520">
            <v>0</v>
          </cell>
          <cell r="F1520">
            <v>0</v>
          </cell>
        </row>
        <row r="1521">
          <cell r="C1521" t="str">
            <v>Tororo Municipality</v>
          </cell>
          <cell r="D1521" t="str">
            <v>Eastern Division</v>
          </cell>
          <cell r="E1521">
            <v>0</v>
          </cell>
          <cell r="F1521" t="str">
            <v>Tororo Municipality</v>
          </cell>
        </row>
        <row r="1522">
          <cell r="C1522" t="str">
            <v>Tororo Municipality</v>
          </cell>
          <cell r="D1522" t="str">
            <v>Western Division</v>
          </cell>
          <cell r="E1522">
            <v>0</v>
          </cell>
          <cell r="F1522">
            <v>0</v>
          </cell>
        </row>
      </sheetData>
      <sheetData sheetId="3">
        <row r="376">
          <cell r="F376" t="str">
            <v>Bukesa</v>
          </cell>
        </row>
        <row r="377">
          <cell r="F377" t="str">
            <v>Civic Centre</v>
          </cell>
        </row>
        <row r="378">
          <cell r="F378" t="str">
            <v>Industrial Area</v>
          </cell>
        </row>
        <row r="379">
          <cell r="F379" t="str">
            <v>Kagugube</v>
          </cell>
        </row>
        <row r="389">
          <cell r="F389" t="str">
            <v>Mengo</v>
          </cell>
        </row>
        <row r="394">
          <cell r="F394" t="str">
            <v>Nakivubo Shauriyaako</v>
          </cell>
        </row>
        <row r="395">
          <cell r="F395" t="str">
            <v>Old Kampala</v>
          </cell>
        </row>
        <row r="679">
          <cell r="F679" t="str">
            <v>Bwaise</v>
          </cell>
        </row>
        <row r="682">
          <cell r="F682" t="str">
            <v>Kanyanya</v>
          </cell>
        </row>
        <row r="683">
          <cell r="F683" t="str">
            <v>Kawempe</v>
          </cell>
        </row>
        <row r="685">
          <cell r="F685" t="str">
            <v>Kazo Angola</v>
          </cell>
        </row>
        <row r="686">
          <cell r="F686" t="str">
            <v>Kikaaya</v>
          </cell>
        </row>
        <row r="687">
          <cell r="F687" t="str">
            <v>Komamboga</v>
          </cell>
        </row>
        <row r="688">
          <cell r="F688" t="str">
            <v>Kyebando</v>
          </cell>
        </row>
        <row r="689">
          <cell r="F689" t="str">
            <v>Makerere</v>
          </cell>
        </row>
        <row r="692">
          <cell r="F692" t="str">
            <v>Makerere University</v>
          </cell>
        </row>
        <row r="693">
          <cell r="F693" t="str">
            <v>Mpererwe</v>
          </cell>
        </row>
        <row r="694">
          <cell r="F694" t="str">
            <v>Mulago</v>
          </cell>
        </row>
        <row r="697">
          <cell r="F697" t="str">
            <v>Wandegeya</v>
          </cell>
        </row>
      </sheetData>
      <sheetData sheetId="4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Y1489"/>
  <sheetViews>
    <sheetView workbookViewId="0">
      <selection activeCell="O4" sqref="O4"/>
    </sheetView>
  </sheetViews>
  <sheetFormatPr defaultRowHeight="12.75"/>
  <cols>
    <col min="1" max="1" width="2.7109375" customWidth="1"/>
    <col min="2" max="2" width="7.28515625" customWidth="1"/>
    <col min="3" max="3" width="9.7109375" customWidth="1"/>
    <col min="4" max="4" width="10.28515625" customWidth="1"/>
    <col min="5" max="5" width="10.85546875" customWidth="1"/>
    <col min="6" max="6" width="13.140625" customWidth="1"/>
    <col min="7" max="7" width="12.28515625" customWidth="1"/>
    <col min="8" max="8" width="8.42578125" customWidth="1"/>
    <col min="9" max="9" width="12.7109375" bestFit="1" customWidth="1"/>
    <col min="10" max="10" width="12.7109375" customWidth="1"/>
    <col min="11" max="11" width="17" bestFit="1" customWidth="1"/>
    <col min="12" max="12" width="10.85546875" customWidth="1"/>
    <col min="13" max="13" width="12.85546875" customWidth="1"/>
    <col min="14" max="15" width="8" customWidth="1"/>
    <col min="16" max="16" width="6.28515625" customWidth="1"/>
  </cols>
  <sheetData>
    <row r="1" spans="2:25" s="1" customFormat="1" ht="15.75">
      <c r="B1" s="143" t="s">
        <v>0</v>
      </c>
      <c r="C1" s="143"/>
      <c r="D1" s="143"/>
      <c r="E1" s="143"/>
      <c r="F1" s="143"/>
      <c r="G1" s="143"/>
      <c r="H1" s="143"/>
      <c r="I1" s="143"/>
      <c r="J1" s="143"/>
      <c r="K1" s="143"/>
      <c r="L1" s="143"/>
      <c r="M1" s="143"/>
      <c r="N1" s="143"/>
      <c r="O1" s="143"/>
      <c r="P1" s="143"/>
      <c r="Q1" s="6"/>
      <c r="R1" s="6"/>
      <c r="S1" s="6"/>
      <c r="T1" s="6"/>
      <c r="U1" s="6"/>
      <c r="V1" s="6"/>
      <c r="W1" s="6"/>
      <c r="X1" s="6"/>
      <c r="Y1" s="6"/>
    </row>
    <row r="2" spans="2:25" ht="15">
      <c r="B2" s="143" t="s">
        <v>1</v>
      </c>
      <c r="C2" s="143"/>
      <c r="D2" s="143"/>
      <c r="E2" s="143"/>
      <c r="F2" s="143"/>
      <c r="G2" s="143"/>
      <c r="H2" s="143"/>
      <c r="I2" s="143"/>
      <c r="J2" s="143"/>
      <c r="K2" s="143"/>
      <c r="L2" s="143"/>
      <c r="M2" s="143"/>
      <c r="N2" s="143"/>
      <c r="O2" s="143"/>
      <c r="P2" s="143"/>
      <c r="Q2" s="7"/>
      <c r="R2" s="7"/>
      <c r="S2" s="7"/>
      <c r="T2" s="7"/>
      <c r="U2" s="7"/>
      <c r="V2" s="7"/>
      <c r="W2" s="7"/>
      <c r="X2" s="7"/>
      <c r="Y2" s="7"/>
    </row>
    <row r="3" spans="2:25" ht="15"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</row>
    <row r="4" spans="2:25">
      <c r="B4" s="3" t="s">
        <v>2</v>
      </c>
      <c r="C4" s="20">
        <v>40465</v>
      </c>
      <c r="D4" s="5" t="s">
        <v>3</v>
      </c>
      <c r="E4" s="8"/>
      <c r="F4" s="4"/>
      <c r="G4" s="3" t="s">
        <v>4</v>
      </c>
      <c r="H4" s="4" t="s">
        <v>28</v>
      </c>
      <c r="I4" s="4"/>
      <c r="J4" s="3" t="s">
        <v>5</v>
      </c>
      <c r="K4" s="4" t="s">
        <v>29</v>
      </c>
      <c r="L4" s="9" t="s">
        <v>6</v>
      </c>
      <c r="M4" s="4"/>
      <c r="N4" s="5" t="s">
        <v>7</v>
      </c>
      <c r="O4" s="4"/>
      <c r="P4" s="5"/>
      <c r="Q4" s="10"/>
      <c r="R4" s="5"/>
      <c r="S4" s="5"/>
      <c r="T4" s="10"/>
      <c r="U4" s="10"/>
      <c r="V4" s="5"/>
    </row>
    <row r="5" spans="2:25" ht="15"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</row>
    <row r="6" spans="2:25" ht="13.5" thickBot="1"/>
    <row r="7" spans="2:25" ht="30.75" customHeight="1">
      <c r="B7" s="144" t="s">
        <v>8</v>
      </c>
      <c r="C7" s="146" t="s">
        <v>9</v>
      </c>
      <c r="D7" s="146" t="s">
        <v>10</v>
      </c>
      <c r="E7" s="146" t="s">
        <v>11</v>
      </c>
      <c r="F7" s="146" t="s">
        <v>12</v>
      </c>
      <c r="G7" s="146"/>
      <c r="H7" s="146" t="s">
        <v>15</v>
      </c>
      <c r="I7" s="146" t="s">
        <v>16</v>
      </c>
      <c r="J7" s="146" t="s">
        <v>17</v>
      </c>
      <c r="K7" s="146"/>
      <c r="L7" s="146" t="s">
        <v>18</v>
      </c>
      <c r="M7" s="146" t="s">
        <v>19</v>
      </c>
      <c r="N7" s="146" t="s">
        <v>20</v>
      </c>
      <c r="O7" s="148" t="s">
        <v>21</v>
      </c>
      <c r="P7" s="139" t="s">
        <v>27</v>
      </c>
      <c r="Q7" s="140"/>
    </row>
    <row r="8" spans="2:25" ht="24.75" customHeight="1" thickBot="1">
      <c r="B8" s="145"/>
      <c r="C8" s="147"/>
      <c r="D8" s="147"/>
      <c r="E8" s="147"/>
      <c r="F8" s="18" t="s">
        <v>13</v>
      </c>
      <c r="G8" s="18" t="s">
        <v>14</v>
      </c>
      <c r="H8" s="147"/>
      <c r="I8" s="147"/>
      <c r="J8" s="18" t="s">
        <v>13</v>
      </c>
      <c r="K8" s="18" t="s">
        <v>14</v>
      </c>
      <c r="L8" s="147"/>
      <c r="M8" s="147"/>
      <c r="N8" s="147"/>
      <c r="O8" s="149"/>
      <c r="P8" s="141"/>
      <c r="Q8" s="142"/>
    </row>
    <row r="9" spans="2:25">
      <c r="B9" s="15" t="s">
        <v>22</v>
      </c>
      <c r="C9" s="16">
        <v>3</v>
      </c>
      <c r="D9" s="16"/>
      <c r="E9" s="16">
        <v>2</v>
      </c>
      <c r="F9" s="15" t="s">
        <v>30</v>
      </c>
      <c r="G9" s="17" t="s">
        <v>24</v>
      </c>
      <c r="H9" s="16">
        <v>1</v>
      </c>
      <c r="I9" s="16"/>
      <c r="J9" s="15" t="s">
        <v>25</v>
      </c>
      <c r="K9" s="17" t="s">
        <v>24</v>
      </c>
      <c r="L9" s="16">
        <v>2</v>
      </c>
      <c r="M9" s="16"/>
      <c r="N9" s="15" t="s">
        <v>26</v>
      </c>
      <c r="O9" s="15" t="s">
        <v>26</v>
      </c>
      <c r="P9" s="15" t="s">
        <v>32</v>
      </c>
      <c r="Q9" s="15">
        <v>3000</v>
      </c>
    </row>
    <row r="10" spans="2:25" s="19" customFormat="1">
      <c r="B10" s="11" t="s">
        <v>22</v>
      </c>
      <c r="C10" s="11">
        <v>1</v>
      </c>
      <c r="D10" s="11"/>
      <c r="E10" s="11">
        <v>1</v>
      </c>
      <c r="F10" s="11" t="s">
        <v>31</v>
      </c>
      <c r="G10" s="21" t="s">
        <v>24</v>
      </c>
      <c r="H10" s="11">
        <v>1</v>
      </c>
      <c r="I10" s="11"/>
      <c r="J10" s="11" t="s">
        <v>25</v>
      </c>
      <c r="K10" s="13" t="s">
        <v>24</v>
      </c>
      <c r="L10" s="11">
        <v>2</v>
      </c>
      <c r="M10" s="11"/>
      <c r="N10" s="11" t="s">
        <v>26</v>
      </c>
      <c r="O10" s="11" t="s">
        <v>26</v>
      </c>
      <c r="P10" s="11" t="s">
        <v>32</v>
      </c>
      <c r="Q10" s="11">
        <v>2000</v>
      </c>
    </row>
    <row r="11" spans="2:25">
      <c r="B11" s="11" t="s">
        <v>22</v>
      </c>
      <c r="C11" s="12"/>
      <c r="D11" s="12"/>
      <c r="E11" s="12">
        <v>1</v>
      </c>
      <c r="F11" s="11" t="s">
        <v>23</v>
      </c>
      <c r="G11" s="13" t="s">
        <v>24</v>
      </c>
      <c r="H11" s="12">
        <v>3</v>
      </c>
      <c r="I11" s="12"/>
      <c r="J11" s="11" t="s">
        <v>25</v>
      </c>
      <c r="K11" s="13" t="s">
        <v>24</v>
      </c>
      <c r="L11" s="12">
        <v>1</v>
      </c>
      <c r="M11" s="12"/>
      <c r="N11" s="11" t="s">
        <v>26</v>
      </c>
      <c r="O11" s="11" t="s">
        <v>26</v>
      </c>
      <c r="P11" s="11"/>
      <c r="Q11" s="14"/>
    </row>
    <row r="12" spans="2:25">
      <c r="B12" s="11" t="s">
        <v>22</v>
      </c>
      <c r="C12" s="12"/>
      <c r="D12" s="12"/>
      <c r="E12" s="12"/>
      <c r="F12" s="12"/>
      <c r="G12" s="12"/>
      <c r="H12" s="12"/>
      <c r="I12" s="12"/>
      <c r="J12" s="12"/>
      <c r="K12" s="12"/>
      <c r="L12" s="12"/>
      <c r="M12" s="12"/>
      <c r="N12" s="12"/>
      <c r="O12" s="12"/>
      <c r="P12" s="12"/>
      <c r="Q12" s="14"/>
    </row>
    <row r="13" spans="2:25">
      <c r="B13" s="11" t="s">
        <v>22</v>
      </c>
      <c r="C13" s="12"/>
      <c r="D13" s="12"/>
      <c r="E13" s="12"/>
      <c r="F13" s="12"/>
      <c r="G13" s="12"/>
      <c r="H13" s="12"/>
      <c r="I13" s="12"/>
      <c r="J13" s="12"/>
      <c r="K13" s="12"/>
      <c r="L13" s="12"/>
      <c r="M13" s="12"/>
      <c r="N13" s="12"/>
      <c r="O13" s="12"/>
      <c r="P13" s="12"/>
      <c r="Q13" s="14"/>
    </row>
    <row r="14" spans="2:25">
      <c r="B14" s="11" t="s">
        <v>22</v>
      </c>
      <c r="C14" s="12"/>
      <c r="D14" s="12"/>
      <c r="E14" s="12"/>
      <c r="F14" s="12"/>
      <c r="G14" s="12"/>
      <c r="H14" s="12"/>
      <c r="I14" s="12"/>
      <c r="J14" s="12"/>
      <c r="K14" s="12"/>
      <c r="L14" s="12"/>
      <c r="M14" s="12"/>
      <c r="N14" s="12"/>
      <c r="O14" s="12"/>
      <c r="P14" s="12"/>
      <c r="Q14" s="14"/>
    </row>
    <row r="15" spans="2:25">
      <c r="B15" s="11" t="s">
        <v>22</v>
      </c>
      <c r="C15" s="12"/>
      <c r="D15" s="12"/>
      <c r="E15" s="12"/>
      <c r="F15" s="12"/>
      <c r="G15" s="12"/>
      <c r="H15" s="12"/>
      <c r="I15" s="12"/>
      <c r="J15" s="12"/>
      <c r="K15" s="12"/>
      <c r="L15" s="12"/>
      <c r="M15" s="12"/>
      <c r="N15" s="12"/>
      <c r="O15" s="12"/>
      <c r="P15" s="12"/>
      <c r="Q15" s="14"/>
    </row>
    <row r="16" spans="2:25">
      <c r="B16" s="11" t="s">
        <v>22</v>
      </c>
      <c r="C16" s="12"/>
      <c r="D16" s="12"/>
      <c r="E16" s="12"/>
      <c r="F16" s="12"/>
      <c r="G16" s="12"/>
      <c r="H16" s="12"/>
      <c r="I16" s="12"/>
      <c r="J16" s="12"/>
      <c r="K16" s="12"/>
      <c r="L16" s="12"/>
      <c r="M16" s="12"/>
      <c r="N16" s="12"/>
      <c r="O16" s="12"/>
      <c r="P16" s="12"/>
      <c r="Q16" s="14"/>
    </row>
    <row r="17" spans="2:17">
      <c r="B17" s="11" t="s">
        <v>22</v>
      </c>
      <c r="C17" s="12"/>
      <c r="D17" s="12"/>
      <c r="E17" s="12"/>
      <c r="F17" s="12"/>
      <c r="G17" s="12"/>
      <c r="H17" s="12"/>
      <c r="I17" s="12"/>
      <c r="J17" s="12"/>
      <c r="K17" s="12"/>
      <c r="L17" s="12"/>
      <c r="M17" s="12"/>
      <c r="N17" s="12"/>
      <c r="O17" s="12"/>
      <c r="P17" s="12"/>
      <c r="Q17" s="14"/>
    </row>
    <row r="18" spans="2:17">
      <c r="B18" s="11" t="s">
        <v>22</v>
      </c>
      <c r="C18" s="12"/>
      <c r="D18" s="12"/>
      <c r="E18" s="12"/>
      <c r="F18" s="12"/>
      <c r="G18" s="12"/>
      <c r="H18" s="12"/>
      <c r="I18" s="12"/>
      <c r="J18" s="12"/>
      <c r="K18" s="12"/>
      <c r="L18" s="12"/>
      <c r="M18" s="12"/>
      <c r="N18" s="12"/>
      <c r="O18" s="12"/>
      <c r="P18" s="12"/>
      <c r="Q18" s="14"/>
    </row>
    <row r="19" spans="2:17">
      <c r="B19" s="11" t="s">
        <v>22</v>
      </c>
      <c r="C19" s="12"/>
      <c r="D19" s="12"/>
      <c r="E19" s="12"/>
      <c r="F19" s="12"/>
      <c r="G19" s="12"/>
      <c r="H19" s="12"/>
      <c r="I19" s="12"/>
      <c r="J19" s="12"/>
      <c r="K19" s="12"/>
      <c r="L19" s="12"/>
      <c r="M19" s="12"/>
      <c r="N19" s="12"/>
      <c r="O19" s="12"/>
      <c r="P19" s="12"/>
      <c r="Q19" s="14"/>
    </row>
    <row r="20" spans="2:17">
      <c r="B20" s="11" t="s">
        <v>22</v>
      </c>
      <c r="C20" s="12"/>
      <c r="D20" s="12"/>
      <c r="E20" s="12"/>
      <c r="F20" s="12"/>
      <c r="G20" s="12"/>
      <c r="H20" s="12"/>
      <c r="I20" s="12"/>
      <c r="J20" s="12"/>
      <c r="K20" s="12"/>
      <c r="L20" s="12"/>
      <c r="M20" s="12"/>
      <c r="N20" s="12"/>
      <c r="O20" s="12"/>
      <c r="P20" s="12"/>
      <c r="Q20" s="14"/>
    </row>
    <row r="21" spans="2:17">
      <c r="B21" s="11" t="s">
        <v>22</v>
      </c>
      <c r="C21" s="12"/>
      <c r="D21" s="12"/>
      <c r="E21" s="12"/>
      <c r="F21" s="12"/>
      <c r="G21" s="12"/>
      <c r="H21" s="12"/>
      <c r="I21" s="12"/>
      <c r="J21" s="12"/>
      <c r="K21" s="12"/>
      <c r="L21" s="12"/>
      <c r="M21" s="12"/>
      <c r="N21" s="12"/>
      <c r="O21" s="12"/>
      <c r="P21" s="12"/>
      <c r="Q21" s="14"/>
    </row>
    <row r="22" spans="2:17">
      <c r="B22" s="11" t="s">
        <v>22</v>
      </c>
      <c r="C22" s="12"/>
      <c r="D22" s="12"/>
      <c r="E22" s="12"/>
      <c r="F22" s="12"/>
      <c r="G22" s="12"/>
      <c r="H22" s="12"/>
      <c r="I22" s="12"/>
      <c r="J22" s="12"/>
      <c r="K22" s="12"/>
      <c r="L22" s="12"/>
      <c r="M22" s="12"/>
      <c r="N22" s="12"/>
      <c r="O22" s="12"/>
      <c r="P22" s="12"/>
      <c r="Q22" s="14"/>
    </row>
    <row r="23" spans="2:17">
      <c r="B23" s="11" t="s">
        <v>22</v>
      </c>
      <c r="C23" s="12"/>
      <c r="D23" s="12"/>
      <c r="E23" s="12"/>
      <c r="F23" s="12"/>
      <c r="G23" s="12"/>
      <c r="H23" s="12"/>
      <c r="I23" s="12"/>
      <c r="J23" s="12"/>
      <c r="K23" s="12"/>
      <c r="L23" s="12"/>
      <c r="M23" s="12"/>
      <c r="N23" s="12"/>
      <c r="O23" s="12"/>
      <c r="P23" s="12"/>
      <c r="Q23" s="14"/>
    </row>
    <row r="24" spans="2:17">
      <c r="B24" s="11" t="s">
        <v>22</v>
      </c>
      <c r="C24" s="12"/>
      <c r="D24" s="12"/>
      <c r="E24" s="12"/>
      <c r="F24" s="12"/>
      <c r="G24" s="12"/>
      <c r="H24" s="12"/>
      <c r="I24" s="12"/>
      <c r="J24" s="12"/>
      <c r="K24" s="12"/>
      <c r="L24" s="12"/>
      <c r="M24" s="12"/>
      <c r="N24" s="12"/>
      <c r="O24" s="12"/>
      <c r="P24" s="12"/>
      <c r="Q24" s="14"/>
    </row>
    <row r="25" spans="2:17">
      <c r="B25" s="11" t="s">
        <v>22</v>
      </c>
      <c r="C25" s="12"/>
      <c r="D25" s="12"/>
      <c r="E25" s="12"/>
      <c r="F25" s="12"/>
      <c r="G25" s="12"/>
      <c r="H25" s="12"/>
      <c r="I25" s="12"/>
      <c r="J25" s="12"/>
      <c r="K25" s="12"/>
      <c r="L25" s="12"/>
      <c r="M25" s="12"/>
      <c r="N25" s="12"/>
      <c r="O25" s="12"/>
      <c r="P25" s="12"/>
      <c r="Q25" s="14"/>
    </row>
    <row r="26" spans="2:17">
      <c r="B26" s="11" t="s">
        <v>22</v>
      </c>
      <c r="C26" s="12"/>
      <c r="D26" s="12"/>
      <c r="E26" s="12"/>
      <c r="F26" s="12"/>
      <c r="G26" s="12"/>
      <c r="H26" s="12"/>
      <c r="I26" s="12"/>
      <c r="J26" s="12"/>
      <c r="K26" s="12"/>
      <c r="L26" s="12"/>
      <c r="M26" s="12"/>
      <c r="N26" s="12"/>
      <c r="O26" s="12"/>
      <c r="P26" s="12"/>
      <c r="Q26" s="14"/>
    </row>
    <row r="27" spans="2:17">
      <c r="B27" s="11" t="s">
        <v>22</v>
      </c>
      <c r="C27" s="12"/>
      <c r="D27" s="12"/>
      <c r="E27" s="12"/>
      <c r="F27" s="12"/>
      <c r="G27" s="12"/>
      <c r="H27" s="12"/>
      <c r="I27" s="12"/>
      <c r="J27" s="12"/>
      <c r="K27" s="12"/>
      <c r="L27" s="12"/>
      <c r="M27" s="12"/>
      <c r="N27" s="12"/>
      <c r="O27" s="12"/>
      <c r="P27" s="12"/>
      <c r="Q27" s="14"/>
    </row>
    <row r="28" spans="2:17">
      <c r="B28" s="11" t="s">
        <v>22</v>
      </c>
      <c r="C28" s="12"/>
      <c r="D28" s="12"/>
      <c r="E28" s="12"/>
      <c r="F28" s="12"/>
      <c r="G28" s="12"/>
      <c r="H28" s="12"/>
      <c r="I28" s="12"/>
      <c r="J28" s="12"/>
      <c r="K28" s="12"/>
      <c r="L28" s="12"/>
      <c r="M28" s="12"/>
      <c r="N28" s="12"/>
      <c r="O28" s="12"/>
      <c r="P28" s="12"/>
      <c r="Q28" s="14"/>
    </row>
    <row r="29" spans="2:17">
      <c r="B29" s="11" t="s">
        <v>22</v>
      </c>
      <c r="C29" s="12"/>
      <c r="D29" s="12"/>
      <c r="E29" s="12"/>
      <c r="F29" s="12"/>
      <c r="G29" s="12"/>
      <c r="H29" s="12"/>
      <c r="I29" s="12"/>
      <c r="J29" s="12"/>
      <c r="K29" s="12"/>
      <c r="L29" s="12"/>
      <c r="M29" s="12"/>
      <c r="N29" s="12"/>
      <c r="O29" s="12"/>
      <c r="P29" s="12"/>
      <c r="Q29" s="14"/>
    </row>
    <row r="30" spans="2:17">
      <c r="B30" s="11" t="s">
        <v>22</v>
      </c>
      <c r="C30" s="12"/>
      <c r="D30" s="12"/>
      <c r="E30" s="12"/>
      <c r="F30" s="12"/>
      <c r="G30" s="12"/>
      <c r="H30" s="12"/>
      <c r="I30" s="12"/>
      <c r="J30" s="12"/>
      <c r="K30" s="12"/>
      <c r="L30" s="12"/>
      <c r="M30" s="12"/>
      <c r="N30" s="12"/>
      <c r="O30" s="12"/>
      <c r="P30" s="12"/>
      <c r="Q30" s="14"/>
    </row>
    <row r="31" spans="2:17">
      <c r="B31" s="11" t="s">
        <v>22</v>
      </c>
      <c r="C31" s="12"/>
      <c r="D31" s="12"/>
      <c r="E31" s="12"/>
      <c r="F31" s="12"/>
      <c r="G31" s="12"/>
      <c r="H31" s="12"/>
      <c r="I31" s="12"/>
      <c r="J31" s="12"/>
      <c r="K31" s="12"/>
      <c r="L31" s="12"/>
      <c r="M31" s="12"/>
      <c r="N31" s="12"/>
      <c r="O31" s="12"/>
      <c r="P31" s="12"/>
      <c r="Q31" s="14"/>
    </row>
    <row r="32" spans="2:17">
      <c r="B32" s="11" t="s">
        <v>22</v>
      </c>
      <c r="C32" s="12"/>
      <c r="D32" s="12"/>
      <c r="E32" s="12"/>
      <c r="F32" s="12"/>
      <c r="G32" s="12"/>
      <c r="H32" s="12"/>
      <c r="I32" s="12"/>
      <c r="J32" s="12"/>
      <c r="K32" s="12"/>
      <c r="L32" s="12"/>
      <c r="M32" s="12"/>
      <c r="N32" s="12"/>
      <c r="O32" s="12"/>
      <c r="P32" s="12"/>
      <c r="Q32" s="14"/>
    </row>
    <row r="33" spans="2:17">
      <c r="B33" s="11" t="s">
        <v>22</v>
      </c>
      <c r="C33" s="12"/>
      <c r="D33" s="12"/>
      <c r="E33" s="12"/>
      <c r="F33" s="12"/>
      <c r="G33" s="12"/>
      <c r="H33" s="12"/>
      <c r="I33" s="12"/>
      <c r="J33" s="12"/>
      <c r="K33" s="12"/>
      <c r="L33" s="12"/>
      <c r="M33" s="12"/>
      <c r="N33" s="12"/>
      <c r="O33" s="12"/>
      <c r="P33" s="12"/>
      <c r="Q33" s="14"/>
    </row>
    <row r="34" spans="2:17">
      <c r="B34" s="11" t="s">
        <v>22</v>
      </c>
      <c r="C34" s="12"/>
      <c r="D34" s="12"/>
      <c r="E34" s="12"/>
      <c r="F34" s="12"/>
      <c r="G34" s="12"/>
      <c r="H34" s="12"/>
      <c r="I34" s="12"/>
      <c r="J34" s="12"/>
      <c r="K34" s="12"/>
      <c r="L34" s="12"/>
      <c r="M34" s="12"/>
      <c r="N34" s="12"/>
      <c r="O34" s="12"/>
      <c r="P34" s="12"/>
      <c r="Q34" s="14"/>
    </row>
    <row r="35" spans="2:17">
      <c r="B35" s="11" t="s">
        <v>22</v>
      </c>
      <c r="C35" s="12"/>
      <c r="D35" s="12"/>
      <c r="E35" s="12"/>
      <c r="F35" s="12"/>
      <c r="G35" s="12"/>
      <c r="H35" s="12"/>
      <c r="I35" s="12"/>
      <c r="J35" s="12"/>
      <c r="K35" s="12"/>
      <c r="L35" s="12"/>
      <c r="M35" s="12"/>
      <c r="N35" s="12"/>
      <c r="O35" s="12"/>
      <c r="P35" s="12"/>
      <c r="Q35" s="14"/>
    </row>
    <row r="36" spans="2:17">
      <c r="B36" s="11" t="s">
        <v>22</v>
      </c>
      <c r="C36" s="12"/>
      <c r="D36" s="12"/>
      <c r="E36" s="12"/>
      <c r="F36" s="12"/>
      <c r="G36" s="12"/>
      <c r="H36" s="12"/>
      <c r="I36" s="12"/>
      <c r="J36" s="12"/>
      <c r="K36" s="12"/>
      <c r="L36" s="12"/>
      <c r="M36" s="12"/>
      <c r="N36" s="12"/>
      <c r="O36" s="12"/>
      <c r="P36" s="12"/>
      <c r="Q36" s="14"/>
    </row>
    <row r="37" spans="2:17">
      <c r="B37" s="11" t="s">
        <v>22</v>
      </c>
      <c r="C37" s="12"/>
      <c r="D37" s="12"/>
      <c r="E37" s="12"/>
      <c r="F37" s="12"/>
      <c r="G37" s="12"/>
      <c r="H37" s="12"/>
      <c r="I37" s="12"/>
      <c r="J37" s="12"/>
      <c r="K37" s="12"/>
      <c r="L37" s="12"/>
      <c r="M37" s="12"/>
      <c r="N37" s="12"/>
      <c r="O37" s="12"/>
      <c r="P37" s="12"/>
      <c r="Q37" s="14"/>
    </row>
    <row r="38" spans="2:17">
      <c r="B38" s="11" t="s">
        <v>22</v>
      </c>
      <c r="C38" s="12"/>
      <c r="D38" s="12"/>
      <c r="E38" s="12"/>
      <c r="F38" s="12"/>
      <c r="G38" s="12"/>
      <c r="H38" s="12"/>
      <c r="I38" s="12"/>
      <c r="J38" s="12"/>
      <c r="K38" s="12"/>
      <c r="L38" s="12"/>
      <c r="M38" s="12"/>
      <c r="N38" s="12"/>
      <c r="O38" s="12"/>
      <c r="P38" s="12"/>
      <c r="Q38" s="14"/>
    </row>
    <row r="39" spans="2:17">
      <c r="B39" s="11" t="s">
        <v>22</v>
      </c>
      <c r="C39" s="12"/>
      <c r="D39" s="12"/>
      <c r="E39" s="12"/>
      <c r="F39" s="12"/>
      <c r="G39" s="12"/>
      <c r="H39" s="12"/>
      <c r="I39" s="12"/>
      <c r="J39" s="12"/>
      <c r="K39" s="12"/>
      <c r="L39" s="12"/>
      <c r="M39" s="12"/>
      <c r="N39" s="12"/>
      <c r="O39" s="12"/>
      <c r="P39" s="12"/>
      <c r="Q39" s="14"/>
    </row>
    <row r="40" spans="2:17">
      <c r="B40" s="11" t="s">
        <v>22</v>
      </c>
      <c r="C40" s="12"/>
      <c r="D40" s="12"/>
      <c r="E40" s="12"/>
      <c r="F40" s="12"/>
      <c r="G40" s="12"/>
      <c r="H40" s="12"/>
      <c r="I40" s="12"/>
      <c r="J40" s="12"/>
      <c r="K40" s="12"/>
      <c r="L40" s="12"/>
      <c r="M40" s="12"/>
      <c r="N40" s="12"/>
      <c r="O40" s="12"/>
      <c r="P40" s="12"/>
      <c r="Q40" s="14"/>
    </row>
    <row r="41" spans="2:17">
      <c r="B41" s="11" t="s">
        <v>22</v>
      </c>
      <c r="C41" s="12"/>
      <c r="D41" s="12"/>
      <c r="E41" s="12"/>
      <c r="F41" s="12"/>
      <c r="G41" s="12"/>
      <c r="H41" s="12"/>
      <c r="I41" s="12"/>
      <c r="J41" s="12"/>
      <c r="K41" s="12"/>
      <c r="L41" s="12"/>
      <c r="M41" s="12"/>
      <c r="N41" s="12"/>
      <c r="O41" s="12"/>
      <c r="P41" s="12"/>
      <c r="Q41" s="14"/>
    </row>
    <row r="42" spans="2:17">
      <c r="B42" s="11" t="s">
        <v>22</v>
      </c>
      <c r="C42" s="12"/>
      <c r="D42" s="12"/>
      <c r="E42" s="12"/>
      <c r="F42" s="12"/>
      <c r="G42" s="12"/>
      <c r="H42" s="12"/>
      <c r="I42" s="12"/>
      <c r="J42" s="12"/>
      <c r="K42" s="12"/>
      <c r="L42" s="12"/>
      <c r="M42" s="12"/>
      <c r="N42" s="12"/>
      <c r="O42" s="12"/>
      <c r="P42" s="12"/>
      <c r="Q42" s="14"/>
    </row>
    <row r="43" spans="2:17">
      <c r="B43" s="11" t="s">
        <v>22</v>
      </c>
      <c r="C43" s="12"/>
      <c r="D43" s="12"/>
      <c r="E43" s="12"/>
      <c r="F43" s="12"/>
      <c r="G43" s="12"/>
      <c r="H43" s="12"/>
      <c r="I43" s="12"/>
      <c r="J43" s="12"/>
      <c r="K43" s="12"/>
      <c r="L43" s="12"/>
      <c r="M43" s="12"/>
      <c r="N43" s="12"/>
      <c r="O43" s="12"/>
      <c r="P43" s="12"/>
      <c r="Q43" s="14"/>
    </row>
    <row r="44" spans="2:17">
      <c r="B44" s="11" t="s">
        <v>22</v>
      </c>
      <c r="C44" s="12"/>
      <c r="D44" s="12"/>
      <c r="E44" s="12"/>
      <c r="F44" s="12"/>
      <c r="G44" s="12"/>
      <c r="H44" s="12"/>
      <c r="I44" s="12"/>
      <c r="J44" s="12"/>
      <c r="K44" s="12"/>
      <c r="L44" s="12"/>
      <c r="M44" s="12"/>
      <c r="N44" s="12"/>
      <c r="O44" s="12"/>
      <c r="P44" s="12"/>
      <c r="Q44" s="14"/>
    </row>
    <row r="45" spans="2:17">
      <c r="B45" s="11" t="s">
        <v>22</v>
      </c>
      <c r="C45" s="12"/>
      <c r="D45" s="12"/>
      <c r="E45" s="12"/>
      <c r="F45" s="12"/>
      <c r="G45" s="12"/>
      <c r="H45" s="12"/>
      <c r="I45" s="12"/>
      <c r="J45" s="12"/>
      <c r="K45" s="12"/>
      <c r="L45" s="12"/>
      <c r="M45" s="12"/>
      <c r="N45" s="12"/>
      <c r="O45" s="12"/>
      <c r="P45" s="12"/>
      <c r="Q45" s="14"/>
    </row>
    <row r="46" spans="2:17">
      <c r="B46" s="11" t="s">
        <v>22</v>
      </c>
      <c r="C46" s="12"/>
      <c r="D46" s="12"/>
      <c r="E46" s="12"/>
      <c r="F46" s="12"/>
      <c r="G46" s="12"/>
      <c r="H46" s="12"/>
      <c r="I46" s="12"/>
      <c r="J46" s="12"/>
      <c r="K46" s="12"/>
      <c r="L46" s="12"/>
      <c r="M46" s="12"/>
      <c r="N46" s="12"/>
      <c r="O46" s="12"/>
      <c r="P46" s="12"/>
      <c r="Q46" s="14"/>
    </row>
    <row r="47" spans="2:17">
      <c r="B47" s="11" t="s">
        <v>22</v>
      </c>
      <c r="C47" s="12"/>
      <c r="D47" s="12"/>
      <c r="E47" s="12"/>
      <c r="F47" s="12"/>
      <c r="G47" s="12"/>
      <c r="H47" s="12"/>
      <c r="I47" s="12"/>
      <c r="J47" s="12"/>
      <c r="K47" s="12"/>
      <c r="L47" s="12"/>
      <c r="M47" s="12"/>
      <c r="N47" s="12"/>
      <c r="O47" s="12"/>
      <c r="P47" s="12"/>
      <c r="Q47" s="14"/>
    </row>
    <row r="48" spans="2:17">
      <c r="B48" s="11" t="s">
        <v>22</v>
      </c>
      <c r="C48" s="12"/>
      <c r="D48" s="12"/>
      <c r="E48" s="12"/>
      <c r="F48" s="12"/>
      <c r="G48" s="12"/>
      <c r="H48" s="12"/>
      <c r="I48" s="12"/>
      <c r="J48" s="12"/>
      <c r="K48" s="12"/>
      <c r="L48" s="12"/>
      <c r="M48" s="12"/>
      <c r="N48" s="12"/>
      <c r="O48" s="12"/>
      <c r="P48" s="12"/>
      <c r="Q48" s="14"/>
    </row>
    <row r="49" spans="2:17">
      <c r="B49" s="11" t="s">
        <v>22</v>
      </c>
      <c r="C49" s="12"/>
      <c r="D49" s="12"/>
      <c r="E49" s="12"/>
      <c r="F49" s="12"/>
      <c r="G49" s="12"/>
      <c r="H49" s="12"/>
      <c r="I49" s="12"/>
      <c r="J49" s="12"/>
      <c r="K49" s="12"/>
      <c r="L49" s="12"/>
      <c r="M49" s="12"/>
      <c r="N49" s="12"/>
      <c r="O49" s="12"/>
      <c r="P49" s="12"/>
      <c r="Q49" s="14"/>
    </row>
    <row r="50" spans="2:17">
      <c r="B50" s="11" t="s">
        <v>22</v>
      </c>
      <c r="C50" s="12"/>
      <c r="D50" s="12"/>
      <c r="E50" s="12"/>
      <c r="F50" s="12"/>
      <c r="G50" s="12"/>
      <c r="H50" s="12"/>
      <c r="I50" s="12"/>
      <c r="J50" s="12"/>
      <c r="K50" s="12"/>
      <c r="L50" s="12"/>
      <c r="M50" s="12"/>
      <c r="N50" s="12"/>
      <c r="O50" s="12"/>
      <c r="P50" s="12"/>
      <c r="Q50" s="14"/>
    </row>
    <row r="51" spans="2:17">
      <c r="B51" s="11" t="s">
        <v>22</v>
      </c>
      <c r="C51" s="12"/>
      <c r="D51" s="12"/>
      <c r="E51" s="12"/>
      <c r="F51" s="12"/>
      <c r="G51" s="12"/>
      <c r="H51" s="12"/>
      <c r="I51" s="12"/>
      <c r="J51" s="12"/>
      <c r="K51" s="12"/>
      <c r="L51" s="12"/>
      <c r="M51" s="12"/>
      <c r="N51" s="12"/>
      <c r="O51" s="12"/>
      <c r="P51" s="12"/>
      <c r="Q51" s="14"/>
    </row>
    <row r="52" spans="2:17">
      <c r="B52" s="11" t="s">
        <v>22</v>
      </c>
      <c r="C52" s="12"/>
      <c r="D52" s="12"/>
      <c r="E52" s="12"/>
      <c r="F52" s="12"/>
      <c r="G52" s="12"/>
      <c r="H52" s="12"/>
      <c r="I52" s="12"/>
      <c r="J52" s="12"/>
      <c r="K52" s="12"/>
      <c r="L52" s="12"/>
      <c r="M52" s="12"/>
      <c r="N52" s="12"/>
      <c r="O52" s="12"/>
      <c r="P52" s="12"/>
      <c r="Q52" s="14"/>
    </row>
    <row r="53" spans="2:17">
      <c r="B53" s="11" t="s">
        <v>22</v>
      </c>
      <c r="C53" s="12"/>
      <c r="D53" s="12"/>
      <c r="E53" s="12"/>
      <c r="F53" s="12"/>
      <c r="G53" s="12"/>
      <c r="H53" s="12"/>
      <c r="I53" s="12"/>
      <c r="J53" s="12"/>
      <c r="K53" s="12"/>
      <c r="L53" s="12"/>
      <c r="M53" s="12"/>
      <c r="N53" s="12"/>
      <c r="O53" s="12"/>
      <c r="P53" s="12"/>
      <c r="Q53" s="14"/>
    </row>
    <row r="54" spans="2:17">
      <c r="B54" s="12"/>
      <c r="C54" s="12"/>
      <c r="D54" s="12"/>
      <c r="E54" s="12"/>
      <c r="F54" s="12"/>
      <c r="G54" s="12"/>
      <c r="H54" s="12"/>
      <c r="I54" s="12"/>
      <c r="J54" s="12"/>
      <c r="K54" s="12"/>
      <c r="L54" s="12"/>
      <c r="M54" s="12"/>
      <c r="N54" s="12"/>
      <c r="O54" s="12"/>
      <c r="P54" s="12"/>
      <c r="Q54" s="14"/>
    </row>
    <row r="55" spans="2:17">
      <c r="B55" s="12"/>
      <c r="C55" s="12"/>
      <c r="D55" s="12"/>
      <c r="E55" s="12"/>
      <c r="F55" s="12"/>
      <c r="G55" s="12"/>
      <c r="H55" s="12"/>
      <c r="I55" s="12"/>
      <c r="J55" s="12"/>
      <c r="K55" s="12"/>
      <c r="L55" s="12"/>
      <c r="M55" s="12"/>
      <c r="N55" s="12"/>
      <c r="O55" s="12"/>
      <c r="P55" s="12"/>
      <c r="Q55" s="14"/>
    </row>
    <row r="56" spans="2:17">
      <c r="B56" s="12"/>
      <c r="C56" s="12"/>
      <c r="D56" s="12"/>
      <c r="E56" s="12"/>
      <c r="F56" s="12"/>
      <c r="G56" s="12"/>
      <c r="H56" s="12"/>
      <c r="I56" s="12"/>
      <c r="J56" s="12"/>
      <c r="K56" s="12"/>
      <c r="L56" s="12"/>
      <c r="M56" s="12"/>
      <c r="N56" s="12"/>
      <c r="O56" s="12"/>
      <c r="P56" s="12"/>
      <c r="Q56" s="14"/>
    </row>
    <row r="57" spans="2:17">
      <c r="B57" s="12"/>
      <c r="C57" s="12"/>
      <c r="D57" s="12"/>
      <c r="E57" s="12"/>
      <c r="F57" s="12"/>
      <c r="G57" s="12"/>
      <c r="H57" s="12"/>
      <c r="I57" s="12"/>
      <c r="J57" s="12"/>
      <c r="K57" s="12"/>
      <c r="L57" s="12"/>
      <c r="M57" s="12"/>
      <c r="N57" s="12"/>
      <c r="O57" s="12"/>
      <c r="P57" s="12"/>
      <c r="Q57" s="14"/>
    </row>
    <row r="58" spans="2:17">
      <c r="B58" s="12"/>
      <c r="C58" s="12"/>
      <c r="D58" s="12"/>
      <c r="E58" s="12"/>
      <c r="F58" s="12"/>
      <c r="G58" s="12"/>
      <c r="H58" s="12"/>
      <c r="I58" s="12"/>
      <c r="J58" s="12"/>
      <c r="K58" s="12"/>
      <c r="L58" s="12"/>
      <c r="M58" s="12"/>
      <c r="N58" s="12"/>
      <c r="O58" s="12"/>
      <c r="P58" s="12"/>
      <c r="Q58" s="14"/>
    </row>
    <row r="59" spans="2:17">
      <c r="B59" s="12"/>
      <c r="C59" s="12"/>
      <c r="D59" s="12"/>
      <c r="E59" s="12"/>
      <c r="F59" s="12"/>
      <c r="G59" s="12"/>
      <c r="H59" s="12"/>
      <c r="I59" s="12"/>
      <c r="J59" s="12"/>
      <c r="K59" s="12"/>
      <c r="L59" s="12"/>
      <c r="M59" s="12"/>
      <c r="N59" s="12"/>
      <c r="O59" s="12"/>
      <c r="P59" s="12"/>
      <c r="Q59" s="14"/>
    </row>
    <row r="60" spans="2:17">
      <c r="B60" s="12"/>
      <c r="C60" s="12"/>
      <c r="D60" s="12"/>
      <c r="E60" s="12"/>
      <c r="F60" s="12"/>
      <c r="G60" s="12"/>
      <c r="H60" s="12"/>
      <c r="I60" s="12"/>
      <c r="J60" s="12"/>
      <c r="K60" s="12"/>
      <c r="L60" s="12"/>
      <c r="M60" s="12"/>
      <c r="N60" s="12"/>
      <c r="O60" s="12"/>
      <c r="P60" s="12"/>
      <c r="Q60" s="14"/>
    </row>
    <row r="61" spans="2:17">
      <c r="B61" s="12"/>
      <c r="C61" s="12"/>
      <c r="D61" s="12"/>
      <c r="E61" s="12"/>
      <c r="F61" s="12"/>
      <c r="G61" s="12"/>
      <c r="H61" s="12"/>
      <c r="I61" s="12"/>
      <c r="J61" s="12"/>
      <c r="K61" s="12"/>
      <c r="L61" s="12"/>
      <c r="M61" s="12"/>
      <c r="N61" s="12"/>
      <c r="O61" s="12"/>
      <c r="P61" s="12"/>
      <c r="Q61" s="14"/>
    </row>
    <row r="62" spans="2:17">
      <c r="B62" s="12"/>
      <c r="C62" s="12"/>
      <c r="D62" s="12"/>
      <c r="E62" s="12"/>
      <c r="F62" s="12"/>
      <c r="G62" s="12"/>
      <c r="H62" s="12"/>
      <c r="I62" s="12"/>
      <c r="J62" s="12"/>
      <c r="K62" s="12"/>
      <c r="L62" s="12"/>
      <c r="M62" s="12"/>
      <c r="N62" s="12"/>
      <c r="O62" s="12"/>
      <c r="P62" s="12"/>
      <c r="Q62" s="14"/>
    </row>
    <row r="63" spans="2:17">
      <c r="B63" s="12"/>
      <c r="C63" s="12"/>
      <c r="D63" s="12"/>
      <c r="E63" s="12"/>
      <c r="F63" s="12"/>
      <c r="G63" s="12"/>
      <c r="H63" s="12"/>
      <c r="I63" s="12"/>
      <c r="J63" s="12"/>
      <c r="K63" s="12"/>
      <c r="L63" s="12"/>
      <c r="M63" s="12"/>
      <c r="N63" s="12"/>
      <c r="O63" s="12"/>
      <c r="P63" s="12"/>
      <c r="Q63" s="14"/>
    </row>
    <row r="64" spans="2:17">
      <c r="B64" s="12"/>
      <c r="C64" s="12"/>
      <c r="D64" s="12"/>
      <c r="E64" s="12"/>
      <c r="F64" s="12"/>
      <c r="G64" s="12"/>
      <c r="H64" s="12"/>
      <c r="I64" s="12"/>
      <c r="J64" s="12"/>
      <c r="K64" s="12"/>
      <c r="L64" s="12"/>
      <c r="M64" s="12"/>
      <c r="N64" s="12"/>
      <c r="O64" s="12"/>
      <c r="P64" s="12"/>
      <c r="Q64" s="14"/>
    </row>
    <row r="65" spans="2:17">
      <c r="B65" s="12"/>
      <c r="C65" s="12"/>
      <c r="D65" s="12"/>
      <c r="E65" s="12"/>
      <c r="F65" s="12"/>
      <c r="G65" s="12"/>
      <c r="H65" s="12"/>
      <c r="I65" s="12"/>
      <c r="J65" s="12"/>
      <c r="K65" s="12"/>
      <c r="L65" s="12"/>
      <c r="M65" s="12"/>
      <c r="N65" s="12"/>
      <c r="O65" s="12"/>
      <c r="P65" s="12"/>
      <c r="Q65" s="14"/>
    </row>
    <row r="66" spans="2:17">
      <c r="B66" s="12"/>
      <c r="C66" s="12"/>
      <c r="D66" s="12"/>
      <c r="E66" s="12"/>
      <c r="F66" s="12"/>
      <c r="G66" s="12"/>
      <c r="H66" s="12"/>
      <c r="I66" s="12"/>
      <c r="J66" s="12"/>
      <c r="K66" s="12"/>
      <c r="L66" s="12"/>
      <c r="M66" s="12"/>
      <c r="N66" s="12"/>
      <c r="O66" s="12"/>
      <c r="P66" s="12"/>
      <c r="Q66" s="14"/>
    </row>
    <row r="67" spans="2:17">
      <c r="B67" s="12"/>
      <c r="C67" s="12"/>
      <c r="D67" s="12"/>
      <c r="E67" s="12"/>
      <c r="F67" s="12"/>
      <c r="G67" s="12"/>
      <c r="H67" s="12"/>
      <c r="I67" s="12"/>
      <c r="J67" s="12"/>
      <c r="K67" s="12"/>
      <c r="L67" s="12"/>
      <c r="M67" s="12"/>
      <c r="N67" s="12"/>
      <c r="O67" s="12"/>
      <c r="P67" s="12"/>
      <c r="Q67" s="14"/>
    </row>
    <row r="68" spans="2:17">
      <c r="B68" s="12"/>
      <c r="C68" s="12"/>
      <c r="D68" s="12"/>
      <c r="E68" s="12"/>
      <c r="F68" s="12"/>
      <c r="G68" s="12"/>
      <c r="H68" s="12"/>
      <c r="I68" s="12"/>
      <c r="J68" s="12"/>
      <c r="K68" s="12"/>
      <c r="L68" s="12"/>
      <c r="M68" s="12"/>
      <c r="N68" s="12"/>
      <c r="O68" s="12"/>
      <c r="P68" s="12"/>
      <c r="Q68" s="14"/>
    </row>
    <row r="69" spans="2:17">
      <c r="B69" s="12"/>
      <c r="C69" s="12"/>
      <c r="D69" s="12"/>
      <c r="E69" s="12"/>
      <c r="F69" s="12"/>
      <c r="G69" s="12"/>
      <c r="H69" s="12"/>
      <c r="I69" s="12"/>
      <c r="J69" s="12"/>
      <c r="K69" s="12"/>
      <c r="L69" s="12"/>
      <c r="M69" s="12"/>
      <c r="N69" s="12"/>
      <c r="O69" s="12"/>
      <c r="P69" s="12"/>
      <c r="Q69" s="14"/>
    </row>
    <row r="70" spans="2:17">
      <c r="B70" s="12"/>
      <c r="C70" s="12"/>
      <c r="D70" s="12"/>
      <c r="E70" s="12"/>
      <c r="F70" s="12"/>
      <c r="G70" s="12"/>
      <c r="H70" s="12"/>
      <c r="I70" s="12"/>
      <c r="J70" s="12"/>
      <c r="K70" s="12"/>
      <c r="L70" s="12"/>
      <c r="M70" s="12"/>
      <c r="N70" s="12"/>
      <c r="O70" s="12"/>
      <c r="P70" s="12"/>
      <c r="Q70" s="14"/>
    </row>
    <row r="71" spans="2:17">
      <c r="B71" s="12"/>
      <c r="C71" s="12"/>
      <c r="D71" s="12"/>
      <c r="E71" s="12"/>
      <c r="F71" s="12"/>
      <c r="G71" s="12"/>
      <c r="H71" s="12"/>
      <c r="I71" s="12"/>
      <c r="J71" s="12"/>
      <c r="K71" s="12"/>
      <c r="L71" s="12"/>
      <c r="M71" s="12"/>
      <c r="N71" s="12"/>
      <c r="O71" s="12"/>
      <c r="P71" s="12"/>
      <c r="Q71" s="14"/>
    </row>
    <row r="72" spans="2:17">
      <c r="B72" s="12"/>
      <c r="C72" s="12"/>
      <c r="D72" s="12"/>
      <c r="E72" s="12"/>
      <c r="F72" s="12"/>
      <c r="G72" s="12"/>
      <c r="H72" s="12"/>
      <c r="I72" s="12"/>
      <c r="J72" s="12"/>
      <c r="K72" s="12"/>
      <c r="L72" s="12"/>
      <c r="M72" s="12"/>
      <c r="N72" s="12"/>
      <c r="O72" s="12"/>
      <c r="P72" s="12"/>
      <c r="Q72" s="14"/>
    </row>
    <row r="73" spans="2:17">
      <c r="B73" s="12"/>
      <c r="C73" s="12"/>
      <c r="D73" s="12"/>
      <c r="E73" s="12"/>
      <c r="F73" s="12"/>
      <c r="G73" s="12"/>
      <c r="H73" s="12"/>
      <c r="I73" s="12"/>
      <c r="J73" s="12"/>
      <c r="K73" s="12"/>
      <c r="L73" s="12"/>
      <c r="M73" s="12"/>
      <c r="N73" s="12"/>
      <c r="O73" s="12"/>
      <c r="P73" s="12"/>
      <c r="Q73" s="14"/>
    </row>
    <row r="74" spans="2:17">
      <c r="B74" s="12"/>
      <c r="C74" s="12"/>
      <c r="D74" s="12"/>
      <c r="E74" s="12"/>
      <c r="F74" s="12"/>
      <c r="G74" s="12"/>
      <c r="H74" s="12"/>
      <c r="I74" s="12"/>
      <c r="J74" s="12"/>
      <c r="K74" s="12"/>
      <c r="L74" s="12"/>
      <c r="M74" s="12"/>
      <c r="N74" s="12"/>
      <c r="O74" s="12"/>
      <c r="P74" s="12"/>
      <c r="Q74" s="14"/>
    </row>
    <row r="75" spans="2:17">
      <c r="B75" s="12"/>
      <c r="C75" s="12"/>
      <c r="D75" s="12"/>
      <c r="E75" s="12"/>
      <c r="F75" s="12"/>
      <c r="G75" s="12"/>
      <c r="H75" s="12"/>
      <c r="I75" s="12"/>
      <c r="J75" s="12"/>
      <c r="K75" s="12"/>
      <c r="L75" s="12"/>
      <c r="M75" s="12"/>
      <c r="N75" s="12"/>
      <c r="O75" s="12"/>
      <c r="P75" s="12"/>
      <c r="Q75" s="14"/>
    </row>
    <row r="76" spans="2:17">
      <c r="B76" s="12"/>
      <c r="C76" s="12"/>
      <c r="D76" s="12"/>
      <c r="E76" s="12"/>
      <c r="F76" s="12"/>
      <c r="G76" s="12"/>
      <c r="H76" s="12"/>
      <c r="I76" s="12"/>
      <c r="J76" s="12"/>
      <c r="K76" s="12"/>
      <c r="L76" s="12"/>
      <c r="M76" s="12"/>
      <c r="N76" s="12"/>
      <c r="O76" s="12"/>
      <c r="P76" s="12"/>
      <c r="Q76" s="14"/>
    </row>
    <row r="77" spans="2:17">
      <c r="B77" s="12"/>
      <c r="C77" s="12"/>
      <c r="D77" s="12"/>
      <c r="E77" s="12"/>
      <c r="F77" s="12"/>
      <c r="G77" s="12"/>
      <c r="H77" s="12"/>
      <c r="I77" s="12"/>
      <c r="J77" s="12"/>
      <c r="K77" s="12"/>
      <c r="L77" s="12"/>
      <c r="M77" s="12"/>
      <c r="N77" s="12"/>
      <c r="O77" s="12"/>
      <c r="P77" s="12"/>
      <c r="Q77" s="14"/>
    </row>
    <row r="78" spans="2:17">
      <c r="B78" s="12"/>
      <c r="C78" s="12"/>
      <c r="D78" s="12"/>
      <c r="E78" s="12"/>
      <c r="F78" s="12"/>
      <c r="G78" s="12"/>
      <c r="H78" s="12"/>
      <c r="I78" s="12"/>
      <c r="J78" s="12"/>
      <c r="K78" s="12"/>
      <c r="L78" s="12"/>
      <c r="M78" s="12"/>
      <c r="N78" s="12"/>
      <c r="O78" s="12"/>
      <c r="P78" s="12"/>
      <c r="Q78" s="14"/>
    </row>
    <row r="79" spans="2:17">
      <c r="B79" s="12"/>
      <c r="C79" s="12"/>
      <c r="D79" s="12"/>
      <c r="E79" s="12"/>
      <c r="F79" s="12"/>
      <c r="G79" s="12"/>
      <c r="H79" s="12"/>
      <c r="I79" s="12"/>
      <c r="J79" s="12"/>
      <c r="K79" s="12"/>
      <c r="L79" s="12"/>
      <c r="M79" s="12"/>
      <c r="N79" s="12"/>
      <c r="O79" s="12"/>
      <c r="P79" s="12"/>
      <c r="Q79" s="14"/>
    </row>
    <row r="80" spans="2:17">
      <c r="B80" s="12"/>
      <c r="C80" s="12"/>
      <c r="D80" s="12"/>
      <c r="E80" s="12"/>
      <c r="F80" s="12"/>
      <c r="G80" s="12"/>
      <c r="H80" s="12"/>
      <c r="I80" s="12"/>
      <c r="J80" s="12"/>
      <c r="K80" s="12"/>
      <c r="L80" s="12"/>
      <c r="M80" s="12"/>
      <c r="N80" s="12"/>
      <c r="O80" s="12"/>
      <c r="P80" s="12"/>
      <c r="Q80" s="14"/>
    </row>
    <row r="81" spans="2:17">
      <c r="B81" s="12"/>
      <c r="C81" s="12"/>
      <c r="D81" s="12"/>
      <c r="E81" s="12"/>
      <c r="F81" s="12"/>
      <c r="G81" s="12"/>
      <c r="H81" s="12"/>
      <c r="I81" s="12"/>
      <c r="J81" s="12"/>
      <c r="K81" s="12"/>
      <c r="L81" s="12"/>
      <c r="M81" s="12"/>
      <c r="N81" s="12"/>
      <c r="O81" s="12"/>
      <c r="P81" s="12"/>
      <c r="Q81" s="14"/>
    </row>
    <row r="82" spans="2:17">
      <c r="B82" s="12"/>
      <c r="C82" s="12"/>
      <c r="D82" s="12"/>
      <c r="E82" s="12"/>
      <c r="F82" s="12"/>
      <c r="G82" s="12"/>
      <c r="H82" s="12"/>
      <c r="I82" s="12"/>
      <c r="J82" s="12"/>
      <c r="K82" s="12"/>
      <c r="L82" s="12"/>
      <c r="M82" s="12"/>
      <c r="N82" s="12"/>
      <c r="O82" s="12"/>
      <c r="P82" s="12"/>
      <c r="Q82" s="14"/>
    </row>
    <row r="83" spans="2:17">
      <c r="B83" s="12"/>
      <c r="C83" s="12"/>
      <c r="D83" s="12"/>
      <c r="E83" s="12"/>
      <c r="F83" s="12"/>
      <c r="G83" s="12"/>
      <c r="H83" s="12"/>
      <c r="I83" s="12"/>
      <c r="J83" s="12"/>
      <c r="K83" s="12"/>
      <c r="L83" s="12"/>
      <c r="M83" s="12"/>
      <c r="N83" s="12"/>
      <c r="O83" s="12"/>
      <c r="P83" s="12"/>
      <c r="Q83" s="14"/>
    </row>
    <row r="84" spans="2:17">
      <c r="B84" s="12"/>
      <c r="C84" s="12"/>
      <c r="D84" s="12"/>
      <c r="E84" s="12"/>
      <c r="F84" s="12"/>
      <c r="G84" s="12"/>
      <c r="H84" s="12"/>
      <c r="I84" s="12"/>
      <c r="J84" s="12"/>
      <c r="K84" s="12"/>
      <c r="L84" s="12"/>
      <c r="M84" s="12"/>
      <c r="N84" s="12"/>
      <c r="O84" s="12"/>
      <c r="P84" s="12"/>
      <c r="Q84" s="14"/>
    </row>
    <row r="85" spans="2:17">
      <c r="B85" s="12"/>
      <c r="C85" s="12"/>
      <c r="D85" s="12"/>
      <c r="E85" s="12"/>
      <c r="F85" s="12"/>
      <c r="G85" s="12"/>
      <c r="H85" s="12"/>
      <c r="I85" s="12"/>
      <c r="J85" s="12"/>
      <c r="K85" s="12"/>
      <c r="L85" s="12"/>
      <c r="M85" s="12"/>
      <c r="N85" s="12"/>
      <c r="O85" s="12"/>
      <c r="P85" s="12"/>
      <c r="Q85" s="14"/>
    </row>
    <row r="86" spans="2:17">
      <c r="B86" s="12"/>
      <c r="C86" s="12"/>
      <c r="D86" s="12"/>
      <c r="E86" s="12"/>
      <c r="F86" s="12"/>
      <c r="G86" s="12"/>
      <c r="H86" s="12"/>
      <c r="I86" s="12"/>
      <c r="J86" s="12"/>
      <c r="K86" s="12"/>
      <c r="L86" s="12"/>
      <c r="M86" s="12"/>
      <c r="N86" s="12"/>
      <c r="O86" s="12"/>
      <c r="P86" s="12"/>
      <c r="Q86" s="14"/>
    </row>
    <row r="87" spans="2:17">
      <c r="B87" s="12"/>
      <c r="C87" s="12"/>
      <c r="D87" s="12"/>
      <c r="E87" s="12"/>
      <c r="F87" s="12"/>
      <c r="G87" s="12"/>
      <c r="H87" s="12"/>
      <c r="I87" s="12"/>
      <c r="J87" s="12"/>
      <c r="K87" s="12"/>
      <c r="L87" s="12"/>
      <c r="M87" s="12"/>
      <c r="N87" s="12"/>
      <c r="O87" s="12"/>
      <c r="P87" s="12"/>
      <c r="Q87" s="14"/>
    </row>
    <row r="88" spans="2:17">
      <c r="B88" s="12"/>
      <c r="C88" s="12"/>
      <c r="D88" s="12"/>
      <c r="E88" s="12"/>
      <c r="F88" s="12"/>
      <c r="G88" s="12"/>
      <c r="H88" s="12"/>
      <c r="I88" s="12"/>
      <c r="J88" s="12"/>
      <c r="K88" s="12"/>
      <c r="L88" s="12"/>
      <c r="M88" s="12"/>
      <c r="N88" s="12"/>
      <c r="O88" s="12"/>
      <c r="P88" s="12"/>
      <c r="Q88" s="14"/>
    </row>
    <row r="89" spans="2:17">
      <c r="B89" s="12"/>
      <c r="C89" s="12"/>
      <c r="D89" s="12"/>
      <c r="E89" s="12"/>
      <c r="F89" s="12"/>
      <c r="G89" s="12"/>
      <c r="H89" s="12"/>
      <c r="I89" s="12"/>
      <c r="J89" s="12"/>
      <c r="K89" s="12"/>
      <c r="L89" s="12"/>
      <c r="M89" s="12"/>
      <c r="N89" s="12"/>
      <c r="O89" s="12"/>
      <c r="P89" s="12"/>
      <c r="Q89" s="14"/>
    </row>
    <row r="90" spans="2:17">
      <c r="B90" s="12"/>
      <c r="C90" s="12"/>
      <c r="D90" s="12"/>
      <c r="E90" s="12"/>
      <c r="F90" s="12"/>
      <c r="G90" s="12"/>
      <c r="H90" s="12"/>
      <c r="I90" s="12"/>
      <c r="J90" s="12"/>
      <c r="K90" s="12"/>
      <c r="L90" s="12"/>
      <c r="M90" s="12"/>
      <c r="N90" s="12"/>
      <c r="O90" s="12"/>
      <c r="P90" s="12"/>
      <c r="Q90" s="14"/>
    </row>
    <row r="91" spans="2:17">
      <c r="B91" s="12"/>
      <c r="C91" s="12"/>
      <c r="D91" s="12"/>
      <c r="E91" s="12"/>
      <c r="F91" s="12"/>
      <c r="G91" s="12"/>
      <c r="H91" s="12"/>
      <c r="I91" s="12"/>
      <c r="J91" s="12"/>
      <c r="K91" s="12"/>
      <c r="L91" s="12"/>
      <c r="M91" s="12"/>
      <c r="N91" s="12"/>
      <c r="O91" s="12"/>
      <c r="P91" s="12"/>
      <c r="Q91" s="14"/>
    </row>
    <row r="92" spans="2:17">
      <c r="B92" s="12"/>
      <c r="C92" s="12"/>
      <c r="D92" s="12"/>
      <c r="E92" s="12"/>
      <c r="F92" s="12"/>
      <c r="G92" s="12"/>
      <c r="H92" s="12"/>
      <c r="I92" s="12"/>
      <c r="J92" s="12"/>
      <c r="K92" s="12"/>
      <c r="L92" s="12"/>
      <c r="M92" s="12"/>
      <c r="N92" s="12"/>
      <c r="O92" s="12"/>
      <c r="P92" s="12"/>
      <c r="Q92" s="14"/>
    </row>
    <row r="93" spans="2:17">
      <c r="B93" s="12"/>
      <c r="C93" s="12"/>
      <c r="D93" s="12"/>
      <c r="E93" s="12"/>
      <c r="F93" s="12"/>
      <c r="G93" s="12"/>
      <c r="H93" s="12"/>
      <c r="I93" s="12"/>
      <c r="J93" s="12"/>
      <c r="K93" s="12"/>
      <c r="L93" s="12"/>
      <c r="M93" s="12"/>
      <c r="N93" s="12"/>
      <c r="O93" s="12"/>
      <c r="P93" s="12"/>
      <c r="Q93" s="14"/>
    </row>
    <row r="94" spans="2:17">
      <c r="B94" s="12"/>
      <c r="C94" s="12"/>
      <c r="D94" s="12"/>
      <c r="E94" s="12"/>
      <c r="F94" s="12"/>
      <c r="G94" s="12"/>
      <c r="H94" s="12"/>
      <c r="I94" s="12"/>
      <c r="J94" s="12"/>
      <c r="K94" s="12"/>
      <c r="L94" s="12"/>
      <c r="M94" s="12"/>
      <c r="N94" s="12"/>
      <c r="O94" s="12"/>
      <c r="P94" s="12"/>
      <c r="Q94" s="14"/>
    </row>
    <row r="95" spans="2:17">
      <c r="B95" s="12"/>
      <c r="C95" s="12"/>
      <c r="D95" s="12"/>
      <c r="E95" s="12"/>
      <c r="F95" s="12"/>
      <c r="G95" s="12"/>
      <c r="H95" s="12"/>
      <c r="I95" s="12"/>
      <c r="J95" s="12"/>
      <c r="K95" s="12"/>
      <c r="L95" s="12"/>
      <c r="M95" s="12"/>
      <c r="N95" s="12"/>
      <c r="O95" s="12"/>
      <c r="P95" s="12"/>
      <c r="Q95" s="14"/>
    </row>
    <row r="96" spans="2:17">
      <c r="B96" s="12"/>
      <c r="C96" s="12"/>
      <c r="D96" s="12"/>
      <c r="E96" s="12"/>
      <c r="F96" s="12"/>
      <c r="G96" s="12"/>
      <c r="H96" s="12"/>
      <c r="I96" s="12"/>
      <c r="J96" s="12"/>
      <c r="K96" s="12"/>
      <c r="L96" s="12"/>
      <c r="M96" s="12"/>
      <c r="N96" s="12"/>
      <c r="O96" s="12"/>
      <c r="P96" s="12"/>
      <c r="Q96" s="14"/>
    </row>
    <row r="97" spans="2:17">
      <c r="B97" s="12"/>
      <c r="C97" s="12"/>
      <c r="D97" s="12"/>
      <c r="E97" s="12"/>
      <c r="F97" s="12"/>
      <c r="G97" s="12"/>
      <c r="H97" s="12"/>
      <c r="I97" s="12"/>
      <c r="J97" s="12"/>
      <c r="K97" s="12"/>
      <c r="L97" s="12"/>
      <c r="M97" s="12"/>
      <c r="N97" s="12"/>
      <c r="O97" s="12"/>
      <c r="P97" s="12"/>
      <c r="Q97" s="14"/>
    </row>
    <row r="98" spans="2:17">
      <c r="B98" s="12"/>
      <c r="C98" s="12"/>
      <c r="D98" s="12"/>
      <c r="E98" s="12"/>
      <c r="F98" s="12"/>
      <c r="G98" s="12"/>
      <c r="H98" s="12"/>
      <c r="I98" s="12"/>
      <c r="J98" s="12"/>
      <c r="K98" s="12"/>
      <c r="L98" s="12"/>
      <c r="M98" s="12"/>
      <c r="N98" s="12"/>
      <c r="O98" s="12"/>
      <c r="P98" s="12"/>
      <c r="Q98" s="14"/>
    </row>
    <row r="99" spans="2:17">
      <c r="B99" s="12"/>
      <c r="C99" s="12"/>
      <c r="D99" s="12"/>
      <c r="E99" s="12"/>
      <c r="F99" s="12"/>
      <c r="G99" s="12"/>
      <c r="H99" s="12"/>
      <c r="I99" s="12"/>
      <c r="J99" s="12"/>
      <c r="K99" s="12"/>
      <c r="L99" s="12"/>
      <c r="M99" s="12"/>
      <c r="N99" s="12"/>
      <c r="O99" s="12"/>
      <c r="P99" s="12"/>
      <c r="Q99" s="14"/>
    </row>
    <row r="100" spans="2:17">
      <c r="B100" s="12"/>
      <c r="C100" s="12"/>
      <c r="D100" s="12"/>
      <c r="E100" s="12"/>
      <c r="F100" s="12"/>
      <c r="G100" s="12"/>
      <c r="H100" s="12"/>
      <c r="I100" s="12"/>
      <c r="J100" s="12"/>
      <c r="K100" s="12"/>
      <c r="L100" s="12"/>
      <c r="M100" s="12"/>
      <c r="N100" s="12"/>
      <c r="O100" s="12"/>
      <c r="P100" s="12"/>
      <c r="Q100" s="14"/>
    </row>
    <row r="101" spans="2:17">
      <c r="B101" s="12"/>
      <c r="C101" s="12"/>
      <c r="D101" s="12"/>
      <c r="E101" s="12"/>
      <c r="F101" s="12"/>
      <c r="G101" s="12"/>
      <c r="H101" s="12"/>
      <c r="I101" s="12"/>
      <c r="J101" s="12"/>
      <c r="K101" s="12"/>
      <c r="L101" s="12"/>
      <c r="M101" s="12"/>
      <c r="N101" s="12"/>
      <c r="O101" s="12"/>
      <c r="P101" s="12"/>
      <c r="Q101" s="14"/>
    </row>
    <row r="102" spans="2:17">
      <c r="B102" s="12"/>
      <c r="C102" s="12"/>
      <c r="D102" s="12"/>
      <c r="E102" s="12"/>
      <c r="F102" s="12"/>
      <c r="G102" s="12"/>
      <c r="H102" s="12"/>
      <c r="I102" s="12"/>
      <c r="J102" s="12"/>
      <c r="K102" s="12"/>
      <c r="L102" s="12"/>
      <c r="M102" s="12"/>
      <c r="N102" s="12"/>
      <c r="O102" s="12"/>
      <c r="P102" s="12"/>
      <c r="Q102" s="14"/>
    </row>
    <row r="103" spans="2:17">
      <c r="B103" s="12"/>
      <c r="C103" s="12"/>
      <c r="D103" s="12"/>
      <c r="E103" s="12"/>
      <c r="F103" s="12"/>
      <c r="G103" s="12"/>
      <c r="H103" s="12"/>
      <c r="I103" s="12"/>
      <c r="J103" s="12"/>
      <c r="K103" s="12"/>
      <c r="L103" s="12"/>
      <c r="M103" s="12"/>
      <c r="N103" s="12"/>
      <c r="O103" s="12"/>
      <c r="P103" s="12"/>
      <c r="Q103" s="14"/>
    </row>
    <row r="104" spans="2:17">
      <c r="B104" s="12"/>
      <c r="C104" s="12"/>
      <c r="D104" s="12"/>
      <c r="E104" s="12"/>
      <c r="F104" s="12"/>
      <c r="G104" s="12"/>
      <c r="H104" s="12"/>
      <c r="I104" s="12"/>
      <c r="J104" s="12"/>
      <c r="K104" s="12"/>
      <c r="L104" s="12"/>
      <c r="M104" s="12"/>
      <c r="N104" s="12"/>
      <c r="O104" s="12"/>
      <c r="P104" s="12"/>
      <c r="Q104" s="14"/>
    </row>
    <row r="105" spans="2:17">
      <c r="B105" s="12"/>
      <c r="C105" s="12"/>
      <c r="D105" s="12"/>
      <c r="E105" s="12"/>
      <c r="F105" s="12"/>
      <c r="G105" s="12"/>
      <c r="H105" s="12"/>
      <c r="I105" s="12"/>
      <c r="J105" s="12"/>
      <c r="K105" s="12"/>
      <c r="L105" s="12"/>
      <c r="M105" s="12"/>
      <c r="N105" s="12"/>
      <c r="O105" s="12"/>
      <c r="P105" s="12"/>
      <c r="Q105" s="14"/>
    </row>
    <row r="106" spans="2:17">
      <c r="B106" s="12"/>
      <c r="C106" s="12"/>
      <c r="D106" s="12"/>
      <c r="E106" s="12"/>
      <c r="F106" s="12"/>
      <c r="G106" s="12"/>
      <c r="H106" s="12"/>
      <c r="I106" s="12"/>
      <c r="J106" s="12"/>
      <c r="K106" s="12"/>
      <c r="L106" s="12"/>
      <c r="M106" s="12"/>
      <c r="N106" s="12"/>
      <c r="O106" s="12"/>
      <c r="P106" s="12"/>
      <c r="Q106" s="14"/>
    </row>
    <row r="107" spans="2:17">
      <c r="B107" s="12"/>
      <c r="C107" s="12"/>
      <c r="D107" s="12"/>
      <c r="E107" s="12"/>
      <c r="F107" s="12"/>
      <c r="G107" s="12"/>
      <c r="H107" s="12"/>
      <c r="I107" s="12"/>
      <c r="J107" s="12"/>
      <c r="K107" s="12"/>
      <c r="L107" s="12"/>
      <c r="M107" s="12"/>
      <c r="N107" s="12"/>
      <c r="O107" s="12"/>
      <c r="P107" s="12"/>
      <c r="Q107" s="14"/>
    </row>
    <row r="108" spans="2:17">
      <c r="B108" s="12"/>
      <c r="C108" s="12"/>
      <c r="D108" s="12"/>
      <c r="E108" s="12"/>
      <c r="F108" s="12"/>
      <c r="G108" s="12"/>
      <c r="H108" s="12"/>
      <c r="I108" s="12"/>
      <c r="J108" s="12"/>
      <c r="K108" s="12"/>
      <c r="L108" s="12"/>
      <c r="M108" s="12"/>
      <c r="N108" s="12"/>
      <c r="O108" s="12"/>
      <c r="P108" s="12"/>
      <c r="Q108" s="14"/>
    </row>
    <row r="109" spans="2:17">
      <c r="B109" s="12"/>
      <c r="C109" s="12"/>
      <c r="D109" s="12"/>
      <c r="E109" s="12"/>
      <c r="F109" s="12"/>
      <c r="G109" s="12"/>
      <c r="H109" s="12"/>
      <c r="I109" s="12"/>
      <c r="J109" s="12"/>
      <c r="K109" s="12"/>
      <c r="L109" s="12"/>
      <c r="M109" s="12"/>
      <c r="N109" s="12"/>
      <c r="O109" s="12"/>
      <c r="P109" s="12"/>
      <c r="Q109" s="14"/>
    </row>
    <row r="110" spans="2:17">
      <c r="B110" s="12"/>
      <c r="C110" s="12"/>
      <c r="D110" s="12"/>
      <c r="E110" s="12"/>
      <c r="F110" s="12"/>
      <c r="G110" s="12"/>
      <c r="H110" s="12"/>
      <c r="I110" s="12"/>
      <c r="J110" s="12"/>
      <c r="K110" s="12"/>
      <c r="L110" s="12"/>
      <c r="M110" s="12"/>
      <c r="N110" s="12"/>
      <c r="O110" s="12"/>
      <c r="P110" s="12"/>
      <c r="Q110" s="14"/>
    </row>
    <row r="111" spans="2:17">
      <c r="B111" s="12"/>
      <c r="C111" s="12"/>
      <c r="D111" s="12"/>
      <c r="E111" s="12"/>
      <c r="F111" s="12"/>
      <c r="G111" s="12"/>
      <c r="H111" s="12"/>
      <c r="I111" s="12"/>
      <c r="J111" s="12"/>
      <c r="K111" s="12"/>
      <c r="L111" s="12"/>
      <c r="M111" s="12"/>
      <c r="N111" s="12"/>
      <c r="O111" s="12"/>
      <c r="P111" s="12"/>
      <c r="Q111" s="14"/>
    </row>
    <row r="112" spans="2:17">
      <c r="B112" s="12"/>
      <c r="C112" s="12"/>
      <c r="D112" s="12"/>
      <c r="E112" s="12"/>
      <c r="F112" s="12"/>
      <c r="G112" s="12"/>
      <c r="H112" s="12"/>
      <c r="I112" s="12"/>
      <c r="J112" s="12"/>
      <c r="K112" s="12"/>
      <c r="L112" s="12"/>
      <c r="M112" s="12"/>
      <c r="N112" s="12"/>
      <c r="O112" s="12"/>
      <c r="P112" s="12"/>
      <c r="Q112" s="14"/>
    </row>
    <row r="113" spans="2:17">
      <c r="B113" s="12"/>
      <c r="C113" s="12"/>
      <c r="D113" s="12"/>
      <c r="E113" s="12"/>
      <c r="F113" s="12"/>
      <c r="G113" s="12"/>
      <c r="H113" s="12"/>
      <c r="I113" s="12"/>
      <c r="J113" s="12"/>
      <c r="K113" s="12"/>
      <c r="L113" s="12"/>
      <c r="M113" s="12"/>
      <c r="N113" s="12"/>
      <c r="O113" s="12"/>
      <c r="P113" s="12"/>
      <c r="Q113" s="14"/>
    </row>
    <row r="114" spans="2:17">
      <c r="B114" s="12"/>
      <c r="C114" s="12"/>
      <c r="D114" s="12"/>
      <c r="E114" s="12"/>
      <c r="F114" s="12"/>
      <c r="G114" s="12"/>
      <c r="H114" s="12"/>
      <c r="I114" s="12"/>
      <c r="J114" s="12"/>
      <c r="K114" s="12"/>
      <c r="L114" s="12"/>
      <c r="M114" s="12"/>
      <c r="N114" s="12"/>
      <c r="O114" s="12"/>
      <c r="P114" s="12"/>
      <c r="Q114" s="14"/>
    </row>
    <row r="115" spans="2:17">
      <c r="B115" s="12"/>
      <c r="C115" s="12"/>
      <c r="D115" s="12"/>
      <c r="E115" s="12"/>
      <c r="F115" s="12"/>
      <c r="G115" s="12"/>
      <c r="H115" s="12"/>
      <c r="I115" s="12"/>
      <c r="J115" s="12"/>
      <c r="K115" s="12"/>
      <c r="L115" s="12"/>
      <c r="M115" s="12"/>
      <c r="N115" s="12"/>
      <c r="O115" s="12"/>
      <c r="P115" s="12"/>
      <c r="Q115" s="14"/>
    </row>
    <row r="116" spans="2:17">
      <c r="B116" s="12"/>
      <c r="C116" s="12"/>
      <c r="D116" s="12"/>
      <c r="E116" s="12"/>
      <c r="F116" s="12"/>
      <c r="G116" s="12"/>
      <c r="H116" s="12"/>
      <c r="I116" s="12"/>
      <c r="J116" s="12"/>
      <c r="K116" s="12"/>
      <c r="L116" s="12"/>
      <c r="M116" s="12"/>
      <c r="N116" s="12"/>
      <c r="O116" s="12"/>
      <c r="P116" s="12"/>
      <c r="Q116" s="14"/>
    </row>
    <row r="117" spans="2:17">
      <c r="B117" s="12"/>
      <c r="C117" s="12"/>
      <c r="D117" s="12"/>
      <c r="E117" s="12"/>
      <c r="F117" s="12"/>
      <c r="G117" s="12"/>
      <c r="H117" s="12"/>
      <c r="I117" s="12"/>
      <c r="J117" s="12"/>
      <c r="K117" s="12"/>
      <c r="L117" s="12"/>
      <c r="M117" s="12"/>
      <c r="N117" s="12"/>
      <c r="O117" s="12"/>
      <c r="P117" s="12"/>
      <c r="Q117" s="14"/>
    </row>
    <row r="118" spans="2:17">
      <c r="B118" s="12"/>
      <c r="C118" s="12"/>
      <c r="D118" s="12"/>
      <c r="E118" s="12"/>
      <c r="F118" s="12"/>
      <c r="G118" s="12"/>
      <c r="H118" s="12"/>
      <c r="I118" s="12"/>
      <c r="J118" s="12"/>
      <c r="K118" s="12"/>
      <c r="L118" s="12"/>
      <c r="M118" s="12"/>
      <c r="N118" s="12"/>
      <c r="O118" s="12"/>
      <c r="P118" s="12"/>
      <c r="Q118" s="14"/>
    </row>
    <row r="119" spans="2:17">
      <c r="B119" s="12"/>
      <c r="C119" s="12"/>
      <c r="D119" s="12"/>
      <c r="E119" s="12"/>
      <c r="F119" s="12"/>
      <c r="G119" s="12"/>
      <c r="H119" s="12"/>
      <c r="I119" s="12"/>
      <c r="J119" s="12"/>
      <c r="K119" s="12"/>
      <c r="L119" s="12"/>
      <c r="M119" s="12"/>
      <c r="N119" s="12"/>
      <c r="O119" s="12"/>
      <c r="P119" s="12"/>
      <c r="Q119" s="14"/>
    </row>
    <row r="120" spans="2:17">
      <c r="B120" s="12"/>
      <c r="C120" s="12"/>
      <c r="D120" s="12"/>
      <c r="E120" s="12"/>
      <c r="F120" s="12"/>
      <c r="G120" s="12"/>
      <c r="H120" s="12"/>
      <c r="I120" s="12"/>
      <c r="J120" s="12"/>
      <c r="K120" s="12"/>
      <c r="L120" s="12"/>
      <c r="M120" s="12"/>
      <c r="N120" s="12"/>
      <c r="O120" s="12"/>
      <c r="P120" s="12"/>
      <c r="Q120" s="14"/>
    </row>
    <row r="121" spans="2:17">
      <c r="B121" s="12"/>
      <c r="C121" s="12"/>
      <c r="D121" s="12"/>
      <c r="E121" s="12"/>
      <c r="F121" s="12"/>
      <c r="G121" s="12"/>
      <c r="H121" s="12"/>
      <c r="I121" s="12"/>
      <c r="J121" s="12"/>
      <c r="K121" s="12"/>
      <c r="L121" s="12"/>
      <c r="M121" s="12"/>
      <c r="N121" s="12"/>
      <c r="O121" s="12"/>
      <c r="P121" s="12"/>
      <c r="Q121" s="14"/>
    </row>
    <row r="122" spans="2:17">
      <c r="B122" s="12"/>
      <c r="C122" s="12"/>
      <c r="D122" s="12"/>
      <c r="E122" s="12"/>
      <c r="F122" s="12"/>
      <c r="G122" s="12"/>
      <c r="H122" s="12"/>
      <c r="I122" s="12"/>
      <c r="J122" s="12"/>
      <c r="K122" s="12"/>
      <c r="L122" s="12"/>
      <c r="M122" s="12"/>
      <c r="N122" s="12"/>
      <c r="O122" s="12"/>
      <c r="P122" s="12"/>
      <c r="Q122" s="14"/>
    </row>
    <row r="123" spans="2:17">
      <c r="B123" s="12"/>
      <c r="C123" s="12"/>
      <c r="D123" s="12"/>
      <c r="E123" s="12"/>
      <c r="F123" s="12"/>
      <c r="G123" s="12"/>
      <c r="H123" s="12"/>
      <c r="I123" s="12"/>
      <c r="J123" s="12"/>
      <c r="K123" s="12"/>
      <c r="L123" s="12"/>
      <c r="M123" s="12"/>
      <c r="N123" s="12"/>
      <c r="O123" s="12"/>
      <c r="P123" s="12"/>
      <c r="Q123" s="14"/>
    </row>
    <row r="124" spans="2:17">
      <c r="B124" s="12"/>
      <c r="C124" s="12"/>
      <c r="D124" s="12"/>
      <c r="E124" s="12"/>
      <c r="F124" s="12"/>
      <c r="G124" s="12"/>
      <c r="H124" s="12"/>
      <c r="I124" s="12"/>
      <c r="J124" s="12"/>
      <c r="K124" s="12"/>
      <c r="L124" s="12"/>
      <c r="M124" s="12"/>
      <c r="N124" s="12"/>
      <c r="O124" s="12"/>
      <c r="P124" s="12"/>
      <c r="Q124" s="14"/>
    </row>
    <row r="125" spans="2:17">
      <c r="B125" s="12"/>
      <c r="C125" s="12"/>
      <c r="D125" s="12"/>
      <c r="E125" s="12"/>
      <c r="F125" s="12"/>
      <c r="G125" s="12"/>
      <c r="H125" s="12"/>
      <c r="I125" s="12"/>
      <c r="J125" s="12"/>
      <c r="K125" s="12"/>
      <c r="L125" s="12"/>
      <c r="M125" s="12"/>
      <c r="N125" s="12"/>
      <c r="O125" s="12"/>
      <c r="P125" s="12"/>
      <c r="Q125" s="14"/>
    </row>
    <row r="126" spans="2:17">
      <c r="B126" s="12"/>
      <c r="C126" s="12"/>
      <c r="D126" s="12"/>
      <c r="E126" s="12"/>
      <c r="F126" s="12"/>
      <c r="G126" s="12"/>
      <c r="H126" s="12"/>
      <c r="I126" s="12"/>
      <c r="J126" s="12"/>
      <c r="K126" s="12"/>
      <c r="L126" s="12"/>
      <c r="M126" s="12"/>
      <c r="N126" s="12"/>
      <c r="O126" s="12"/>
      <c r="P126" s="12"/>
      <c r="Q126" s="14"/>
    </row>
    <row r="127" spans="2:17">
      <c r="B127" s="12"/>
      <c r="C127" s="12"/>
      <c r="D127" s="12"/>
      <c r="E127" s="12"/>
      <c r="F127" s="12"/>
      <c r="G127" s="12"/>
      <c r="H127" s="12"/>
      <c r="I127" s="12"/>
      <c r="J127" s="12"/>
      <c r="K127" s="12"/>
      <c r="L127" s="12"/>
      <c r="M127" s="12"/>
      <c r="N127" s="12"/>
      <c r="O127" s="12"/>
      <c r="P127" s="12"/>
      <c r="Q127" s="14"/>
    </row>
    <row r="128" spans="2:17">
      <c r="B128" s="12"/>
      <c r="C128" s="12"/>
      <c r="D128" s="12"/>
      <c r="E128" s="12"/>
      <c r="F128" s="12"/>
      <c r="G128" s="12"/>
      <c r="H128" s="12"/>
      <c r="I128" s="12"/>
      <c r="J128" s="12"/>
      <c r="K128" s="12"/>
      <c r="L128" s="12"/>
      <c r="M128" s="12"/>
      <c r="N128" s="12"/>
      <c r="O128" s="12"/>
      <c r="P128" s="12"/>
      <c r="Q128" s="14"/>
    </row>
    <row r="129" spans="2:17">
      <c r="B129" s="12"/>
      <c r="C129" s="12"/>
      <c r="D129" s="12"/>
      <c r="E129" s="12"/>
      <c r="F129" s="12"/>
      <c r="G129" s="12"/>
      <c r="H129" s="12"/>
      <c r="I129" s="12"/>
      <c r="J129" s="12"/>
      <c r="K129" s="12"/>
      <c r="L129" s="12"/>
      <c r="M129" s="12"/>
      <c r="N129" s="12"/>
      <c r="O129" s="12"/>
      <c r="P129" s="12"/>
      <c r="Q129" s="14"/>
    </row>
    <row r="130" spans="2:17">
      <c r="B130" s="12"/>
      <c r="C130" s="12"/>
      <c r="D130" s="12"/>
      <c r="E130" s="12"/>
      <c r="F130" s="12"/>
      <c r="G130" s="12"/>
      <c r="H130" s="12"/>
      <c r="I130" s="12"/>
      <c r="J130" s="12"/>
      <c r="K130" s="12"/>
      <c r="L130" s="12"/>
      <c r="M130" s="12"/>
      <c r="N130" s="12"/>
      <c r="O130" s="12"/>
      <c r="P130" s="12"/>
      <c r="Q130" s="14"/>
    </row>
    <row r="131" spans="2:17">
      <c r="B131" s="12"/>
      <c r="C131" s="12"/>
      <c r="D131" s="12"/>
      <c r="E131" s="12"/>
      <c r="F131" s="12"/>
      <c r="G131" s="12"/>
      <c r="H131" s="12"/>
      <c r="I131" s="12"/>
      <c r="J131" s="12"/>
      <c r="K131" s="12"/>
      <c r="L131" s="12"/>
      <c r="M131" s="12"/>
      <c r="N131" s="12"/>
      <c r="O131" s="12"/>
      <c r="P131" s="12"/>
      <c r="Q131" s="14"/>
    </row>
    <row r="132" spans="2:17">
      <c r="B132" s="12"/>
      <c r="C132" s="12"/>
      <c r="D132" s="12"/>
      <c r="E132" s="12"/>
      <c r="F132" s="12"/>
      <c r="G132" s="12"/>
      <c r="H132" s="12"/>
      <c r="I132" s="12"/>
      <c r="J132" s="12"/>
      <c r="K132" s="12"/>
      <c r="L132" s="12"/>
      <c r="M132" s="12"/>
      <c r="N132" s="12"/>
      <c r="O132" s="12"/>
      <c r="P132" s="12"/>
      <c r="Q132" s="14"/>
    </row>
    <row r="133" spans="2:17">
      <c r="B133" s="12"/>
      <c r="C133" s="12"/>
      <c r="D133" s="12"/>
      <c r="E133" s="12"/>
      <c r="F133" s="12"/>
      <c r="G133" s="12"/>
      <c r="H133" s="12"/>
      <c r="I133" s="12"/>
      <c r="J133" s="12"/>
      <c r="K133" s="12"/>
      <c r="L133" s="12"/>
      <c r="M133" s="12"/>
      <c r="N133" s="12"/>
      <c r="O133" s="12"/>
      <c r="P133" s="12"/>
      <c r="Q133" s="14"/>
    </row>
    <row r="134" spans="2:17">
      <c r="B134" s="12"/>
      <c r="C134" s="12"/>
      <c r="D134" s="12"/>
      <c r="E134" s="12"/>
      <c r="F134" s="12"/>
      <c r="G134" s="12"/>
      <c r="H134" s="12"/>
      <c r="I134" s="12"/>
      <c r="J134" s="12"/>
      <c r="K134" s="12"/>
      <c r="L134" s="12"/>
      <c r="M134" s="12"/>
      <c r="N134" s="12"/>
      <c r="O134" s="12"/>
      <c r="P134" s="12"/>
      <c r="Q134" s="14"/>
    </row>
    <row r="135" spans="2:17">
      <c r="B135" s="12"/>
      <c r="C135" s="12"/>
      <c r="D135" s="12"/>
      <c r="E135" s="12"/>
      <c r="F135" s="12"/>
      <c r="G135" s="12"/>
      <c r="H135" s="12"/>
      <c r="I135" s="12"/>
      <c r="J135" s="12"/>
      <c r="K135" s="12"/>
      <c r="L135" s="12"/>
      <c r="M135" s="12"/>
      <c r="N135" s="12"/>
      <c r="O135" s="12"/>
      <c r="P135" s="12"/>
      <c r="Q135" s="14"/>
    </row>
    <row r="136" spans="2:17">
      <c r="B136" s="12"/>
      <c r="C136" s="12"/>
      <c r="D136" s="12"/>
      <c r="E136" s="12"/>
      <c r="F136" s="12"/>
      <c r="G136" s="12"/>
      <c r="H136" s="12"/>
      <c r="I136" s="12"/>
      <c r="J136" s="12"/>
      <c r="K136" s="12"/>
      <c r="L136" s="12"/>
      <c r="M136" s="12"/>
      <c r="N136" s="12"/>
      <c r="O136" s="12"/>
      <c r="P136" s="12"/>
      <c r="Q136" s="14"/>
    </row>
    <row r="137" spans="2:17">
      <c r="B137" s="12"/>
      <c r="C137" s="12"/>
      <c r="D137" s="12"/>
      <c r="E137" s="12"/>
      <c r="F137" s="12"/>
      <c r="G137" s="12"/>
      <c r="H137" s="12"/>
      <c r="I137" s="12"/>
      <c r="J137" s="12"/>
      <c r="K137" s="12"/>
      <c r="L137" s="12"/>
      <c r="M137" s="12"/>
      <c r="N137" s="12"/>
      <c r="O137" s="12"/>
      <c r="P137" s="12"/>
      <c r="Q137" s="14"/>
    </row>
    <row r="138" spans="2:17">
      <c r="B138" s="12"/>
      <c r="C138" s="12"/>
      <c r="D138" s="12"/>
      <c r="E138" s="12"/>
      <c r="F138" s="12"/>
      <c r="G138" s="12"/>
      <c r="H138" s="12"/>
      <c r="I138" s="12"/>
      <c r="J138" s="12"/>
      <c r="K138" s="12"/>
      <c r="L138" s="12"/>
      <c r="M138" s="12"/>
      <c r="N138" s="12"/>
      <c r="O138" s="12"/>
      <c r="P138" s="12"/>
      <c r="Q138" s="14"/>
    </row>
    <row r="139" spans="2:17">
      <c r="B139" s="12"/>
      <c r="C139" s="12"/>
      <c r="D139" s="12"/>
      <c r="E139" s="12"/>
      <c r="F139" s="12"/>
      <c r="G139" s="12"/>
      <c r="H139" s="12"/>
      <c r="I139" s="12"/>
      <c r="J139" s="12"/>
      <c r="K139" s="12"/>
      <c r="L139" s="12"/>
      <c r="M139" s="12"/>
      <c r="N139" s="12"/>
      <c r="O139" s="12"/>
      <c r="P139" s="12"/>
      <c r="Q139" s="14"/>
    </row>
    <row r="140" spans="2:17">
      <c r="B140" s="12"/>
      <c r="C140" s="12"/>
      <c r="D140" s="12"/>
      <c r="E140" s="12"/>
      <c r="F140" s="12"/>
      <c r="G140" s="12"/>
      <c r="H140" s="12"/>
      <c r="I140" s="12"/>
      <c r="J140" s="12"/>
      <c r="K140" s="12"/>
      <c r="L140" s="12"/>
      <c r="M140" s="12"/>
      <c r="N140" s="12"/>
      <c r="O140" s="12"/>
      <c r="P140" s="12"/>
      <c r="Q140" s="14"/>
    </row>
    <row r="141" spans="2:17">
      <c r="B141" s="12"/>
      <c r="C141" s="12"/>
      <c r="D141" s="12"/>
      <c r="E141" s="12"/>
      <c r="F141" s="12"/>
      <c r="G141" s="12"/>
      <c r="H141" s="12"/>
      <c r="I141" s="12"/>
      <c r="J141" s="12"/>
      <c r="K141" s="12"/>
      <c r="L141" s="12"/>
      <c r="M141" s="12"/>
      <c r="N141" s="12"/>
      <c r="O141" s="12"/>
      <c r="P141" s="12"/>
      <c r="Q141" s="14"/>
    </row>
    <row r="142" spans="2:17">
      <c r="B142" s="12"/>
      <c r="C142" s="12"/>
      <c r="D142" s="12"/>
      <c r="E142" s="12"/>
      <c r="F142" s="12"/>
      <c r="G142" s="12"/>
      <c r="H142" s="12"/>
      <c r="I142" s="12"/>
      <c r="J142" s="12"/>
      <c r="K142" s="12"/>
      <c r="L142" s="12"/>
      <c r="M142" s="12"/>
      <c r="N142" s="12"/>
      <c r="O142" s="12"/>
      <c r="P142" s="12"/>
      <c r="Q142" s="14"/>
    </row>
    <row r="143" spans="2:17">
      <c r="B143" s="12"/>
      <c r="C143" s="12"/>
      <c r="D143" s="12"/>
      <c r="E143" s="12"/>
      <c r="F143" s="12"/>
      <c r="G143" s="12"/>
      <c r="H143" s="12"/>
      <c r="I143" s="12"/>
      <c r="J143" s="12"/>
      <c r="K143" s="12"/>
      <c r="L143" s="12"/>
      <c r="M143" s="12"/>
      <c r="N143" s="12"/>
      <c r="O143" s="12"/>
      <c r="P143" s="12"/>
      <c r="Q143" s="14"/>
    </row>
    <row r="144" spans="2:17">
      <c r="B144" s="12"/>
      <c r="C144" s="12"/>
      <c r="D144" s="12"/>
      <c r="E144" s="12"/>
      <c r="F144" s="12"/>
      <c r="G144" s="12"/>
      <c r="H144" s="12"/>
      <c r="I144" s="12"/>
      <c r="J144" s="12"/>
      <c r="K144" s="12"/>
      <c r="L144" s="12"/>
      <c r="M144" s="12"/>
      <c r="N144" s="12"/>
      <c r="O144" s="12"/>
      <c r="P144" s="12"/>
      <c r="Q144" s="14"/>
    </row>
    <row r="145" spans="2:17">
      <c r="B145" s="12"/>
      <c r="C145" s="12"/>
      <c r="D145" s="12"/>
      <c r="E145" s="12"/>
      <c r="F145" s="12"/>
      <c r="G145" s="12"/>
      <c r="H145" s="12"/>
      <c r="I145" s="12"/>
      <c r="J145" s="12"/>
      <c r="K145" s="12"/>
      <c r="L145" s="12"/>
      <c r="M145" s="12"/>
      <c r="N145" s="12"/>
      <c r="O145" s="12"/>
      <c r="P145" s="12"/>
      <c r="Q145" s="14"/>
    </row>
    <row r="146" spans="2:17">
      <c r="B146" s="12"/>
      <c r="C146" s="12"/>
      <c r="D146" s="12"/>
      <c r="E146" s="12"/>
      <c r="F146" s="12"/>
      <c r="G146" s="12"/>
      <c r="H146" s="12"/>
      <c r="I146" s="12"/>
      <c r="J146" s="12"/>
      <c r="K146" s="12"/>
      <c r="L146" s="12"/>
      <c r="M146" s="12"/>
      <c r="N146" s="12"/>
      <c r="O146" s="12"/>
      <c r="P146" s="12"/>
      <c r="Q146" s="14"/>
    </row>
    <row r="147" spans="2:17">
      <c r="B147" s="12"/>
      <c r="C147" s="12"/>
      <c r="D147" s="12"/>
      <c r="E147" s="12"/>
      <c r="F147" s="12"/>
      <c r="G147" s="12"/>
      <c r="H147" s="12"/>
      <c r="I147" s="12"/>
      <c r="J147" s="12"/>
      <c r="K147" s="12"/>
      <c r="L147" s="12"/>
      <c r="M147" s="12"/>
      <c r="N147" s="12"/>
      <c r="O147" s="12"/>
      <c r="P147" s="12"/>
      <c r="Q147" s="14"/>
    </row>
    <row r="148" spans="2:17">
      <c r="B148" s="12"/>
      <c r="C148" s="12"/>
      <c r="D148" s="12"/>
      <c r="E148" s="12"/>
      <c r="F148" s="12"/>
      <c r="G148" s="12"/>
      <c r="H148" s="12"/>
      <c r="I148" s="12"/>
      <c r="J148" s="12"/>
      <c r="K148" s="12"/>
      <c r="L148" s="12"/>
      <c r="M148" s="12"/>
      <c r="N148" s="12"/>
      <c r="O148" s="12"/>
      <c r="P148" s="12"/>
      <c r="Q148" s="14"/>
    </row>
    <row r="149" spans="2:17">
      <c r="B149" s="12"/>
      <c r="C149" s="12"/>
      <c r="D149" s="12"/>
      <c r="E149" s="12"/>
      <c r="F149" s="12"/>
      <c r="G149" s="12"/>
      <c r="H149" s="12"/>
      <c r="I149" s="12"/>
      <c r="J149" s="12"/>
      <c r="K149" s="12"/>
      <c r="L149" s="12"/>
      <c r="M149" s="12"/>
      <c r="N149" s="12"/>
      <c r="O149" s="12"/>
      <c r="P149" s="12"/>
      <c r="Q149" s="14"/>
    </row>
    <row r="150" spans="2:17">
      <c r="B150" s="12"/>
      <c r="C150" s="12"/>
      <c r="D150" s="12"/>
      <c r="E150" s="12"/>
      <c r="F150" s="12"/>
      <c r="G150" s="12"/>
      <c r="H150" s="12"/>
      <c r="I150" s="12"/>
      <c r="J150" s="12"/>
      <c r="K150" s="12"/>
      <c r="L150" s="12"/>
      <c r="M150" s="12"/>
      <c r="N150" s="12"/>
      <c r="O150" s="12"/>
      <c r="P150" s="12"/>
      <c r="Q150" s="14"/>
    </row>
    <row r="151" spans="2:17">
      <c r="B151" s="12"/>
      <c r="C151" s="12"/>
      <c r="D151" s="12"/>
      <c r="E151" s="12"/>
      <c r="F151" s="12"/>
      <c r="G151" s="12"/>
      <c r="H151" s="12"/>
      <c r="I151" s="12"/>
      <c r="J151" s="12"/>
      <c r="K151" s="12"/>
      <c r="L151" s="12"/>
      <c r="M151" s="12"/>
      <c r="N151" s="12"/>
      <c r="O151" s="12"/>
      <c r="P151" s="12"/>
      <c r="Q151" s="14"/>
    </row>
    <row r="152" spans="2:17">
      <c r="B152" s="12"/>
      <c r="C152" s="12"/>
      <c r="D152" s="12"/>
      <c r="E152" s="12"/>
      <c r="F152" s="12"/>
      <c r="G152" s="12"/>
      <c r="H152" s="12"/>
      <c r="I152" s="12"/>
      <c r="J152" s="12"/>
      <c r="K152" s="12"/>
      <c r="L152" s="12"/>
      <c r="M152" s="12"/>
      <c r="N152" s="12"/>
      <c r="O152" s="12"/>
      <c r="P152" s="12"/>
      <c r="Q152" s="14"/>
    </row>
    <row r="153" spans="2:17">
      <c r="B153" s="12"/>
      <c r="C153" s="12"/>
      <c r="D153" s="12"/>
      <c r="E153" s="12"/>
      <c r="F153" s="12"/>
      <c r="G153" s="12"/>
      <c r="H153" s="12"/>
      <c r="I153" s="12"/>
      <c r="J153" s="12"/>
      <c r="K153" s="12"/>
      <c r="L153" s="12"/>
      <c r="M153" s="12"/>
      <c r="N153" s="12"/>
      <c r="O153" s="12"/>
      <c r="P153" s="12"/>
      <c r="Q153" s="14"/>
    </row>
    <row r="154" spans="2:17">
      <c r="B154" s="12"/>
      <c r="C154" s="12"/>
      <c r="D154" s="12"/>
      <c r="E154" s="12"/>
      <c r="F154" s="12"/>
      <c r="G154" s="12"/>
      <c r="H154" s="12"/>
      <c r="I154" s="12"/>
      <c r="J154" s="12"/>
      <c r="K154" s="12"/>
      <c r="L154" s="12"/>
      <c r="M154" s="12"/>
      <c r="N154" s="12"/>
      <c r="O154" s="12"/>
      <c r="P154" s="12"/>
      <c r="Q154" s="14"/>
    </row>
    <row r="155" spans="2:17">
      <c r="B155" s="12"/>
      <c r="C155" s="12"/>
      <c r="D155" s="12"/>
      <c r="E155" s="12"/>
      <c r="F155" s="12"/>
      <c r="G155" s="12"/>
      <c r="H155" s="12"/>
      <c r="I155" s="12"/>
      <c r="J155" s="12"/>
      <c r="K155" s="12"/>
      <c r="L155" s="12"/>
      <c r="M155" s="12"/>
      <c r="N155" s="12"/>
      <c r="O155" s="12"/>
      <c r="P155" s="12"/>
      <c r="Q155" s="14"/>
    </row>
    <row r="156" spans="2:17">
      <c r="B156" s="12"/>
      <c r="C156" s="12"/>
      <c r="D156" s="12"/>
      <c r="E156" s="12"/>
      <c r="F156" s="12"/>
      <c r="G156" s="12"/>
      <c r="H156" s="12"/>
      <c r="I156" s="12"/>
      <c r="J156" s="12"/>
      <c r="K156" s="12"/>
      <c r="L156" s="12"/>
      <c r="M156" s="12"/>
      <c r="N156" s="12"/>
      <c r="O156" s="12"/>
      <c r="P156" s="12"/>
      <c r="Q156" s="14"/>
    </row>
    <row r="157" spans="2:17">
      <c r="B157" s="12"/>
      <c r="C157" s="12"/>
      <c r="D157" s="12"/>
      <c r="E157" s="12"/>
      <c r="F157" s="12"/>
      <c r="G157" s="12"/>
      <c r="H157" s="12"/>
      <c r="I157" s="12"/>
      <c r="J157" s="12"/>
      <c r="K157" s="12"/>
      <c r="L157" s="12"/>
      <c r="M157" s="12"/>
      <c r="N157" s="12"/>
      <c r="O157" s="12"/>
      <c r="P157" s="12"/>
      <c r="Q157" s="14"/>
    </row>
    <row r="158" spans="2:17">
      <c r="B158" s="12"/>
      <c r="C158" s="12"/>
      <c r="D158" s="12"/>
      <c r="E158" s="12"/>
      <c r="F158" s="12"/>
      <c r="G158" s="12"/>
      <c r="H158" s="12"/>
      <c r="I158" s="12"/>
      <c r="J158" s="12"/>
      <c r="K158" s="12"/>
      <c r="L158" s="12"/>
      <c r="M158" s="12"/>
      <c r="N158" s="12"/>
      <c r="O158" s="12"/>
      <c r="P158" s="12"/>
      <c r="Q158" s="14"/>
    </row>
    <row r="159" spans="2:17">
      <c r="B159" s="12"/>
      <c r="C159" s="12"/>
      <c r="D159" s="12"/>
      <c r="E159" s="12"/>
      <c r="F159" s="12"/>
      <c r="G159" s="12"/>
      <c r="H159" s="12"/>
      <c r="I159" s="12"/>
      <c r="J159" s="12"/>
      <c r="K159" s="12"/>
      <c r="L159" s="12"/>
      <c r="M159" s="12"/>
      <c r="N159" s="12"/>
      <c r="O159" s="12"/>
      <c r="P159" s="12"/>
      <c r="Q159" s="14"/>
    </row>
    <row r="160" spans="2:17">
      <c r="B160" s="12"/>
      <c r="C160" s="12"/>
      <c r="D160" s="12"/>
      <c r="E160" s="12"/>
      <c r="F160" s="12"/>
      <c r="G160" s="12"/>
      <c r="H160" s="12"/>
      <c r="I160" s="12"/>
      <c r="J160" s="12"/>
      <c r="K160" s="12"/>
      <c r="L160" s="12"/>
      <c r="M160" s="12"/>
      <c r="N160" s="12"/>
      <c r="O160" s="12"/>
      <c r="P160" s="12"/>
      <c r="Q160" s="14"/>
    </row>
    <row r="161" spans="2:17">
      <c r="B161" s="12"/>
      <c r="C161" s="12"/>
      <c r="D161" s="12"/>
      <c r="E161" s="12"/>
      <c r="F161" s="12"/>
      <c r="G161" s="12"/>
      <c r="H161" s="12"/>
      <c r="I161" s="12"/>
      <c r="J161" s="12"/>
      <c r="K161" s="12"/>
      <c r="L161" s="12"/>
      <c r="M161" s="12"/>
      <c r="N161" s="12"/>
      <c r="O161" s="12"/>
      <c r="P161" s="12"/>
      <c r="Q161" s="14"/>
    </row>
    <row r="162" spans="2:17">
      <c r="B162" s="12"/>
      <c r="C162" s="12"/>
      <c r="D162" s="12"/>
      <c r="E162" s="12"/>
      <c r="F162" s="12"/>
      <c r="G162" s="12"/>
      <c r="H162" s="12"/>
      <c r="I162" s="12"/>
      <c r="J162" s="12"/>
      <c r="K162" s="12"/>
      <c r="L162" s="12"/>
      <c r="M162" s="12"/>
      <c r="N162" s="12"/>
      <c r="O162" s="12"/>
      <c r="P162" s="12"/>
      <c r="Q162" s="14"/>
    </row>
    <row r="163" spans="2:17">
      <c r="B163" s="12"/>
      <c r="C163" s="12"/>
      <c r="D163" s="12"/>
      <c r="E163" s="12"/>
      <c r="F163" s="12"/>
      <c r="G163" s="12"/>
      <c r="H163" s="12"/>
      <c r="I163" s="12"/>
      <c r="J163" s="12"/>
      <c r="K163" s="12"/>
      <c r="L163" s="12"/>
      <c r="M163" s="12"/>
      <c r="N163" s="12"/>
      <c r="O163" s="12"/>
      <c r="P163" s="12"/>
      <c r="Q163" s="14"/>
    </row>
    <row r="164" spans="2:17">
      <c r="B164" s="12"/>
      <c r="C164" s="12"/>
      <c r="D164" s="12"/>
      <c r="E164" s="12"/>
      <c r="F164" s="12"/>
      <c r="G164" s="12"/>
      <c r="H164" s="12"/>
      <c r="I164" s="12"/>
      <c r="J164" s="12"/>
      <c r="K164" s="12"/>
      <c r="L164" s="12"/>
      <c r="M164" s="12"/>
      <c r="N164" s="12"/>
      <c r="O164" s="12"/>
      <c r="P164" s="12"/>
      <c r="Q164" s="14"/>
    </row>
    <row r="165" spans="2:17">
      <c r="B165" s="12"/>
      <c r="C165" s="12"/>
      <c r="D165" s="12"/>
      <c r="E165" s="12"/>
      <c r="F165" s="12"/>
      <c r="G165" s="12"/>
      <c r="H165" s="12"/>
      <c r="I165" s="12"/>
      <c r="J165" s="12"/>
      <c r="K165" s="12"/>
      <c r="L165" s="12"/>
      <c r="M165" s="12"/>
      <c r="N165" s="12"/>
      <c r="O165" s="12"/>
      <c r="P165" s="12"/>
      <c r="Q165" s="14"/>
    </row>
    <row r="166" spans="2:17">
      <c r="B166" s="12"/>
      <c r="C166" s="12"/>
      <c r="D166" s="12"/>
      <c r="E166" s="12"/>
      <c r="F166" s="12"/>
      <c r="G166" s="12"/>
      <c r="H166" s="12"/>
      <c r="I166" s="12"/>
      <c r="J166" s="12"/>
      <c r="K166" s="12"/>
      <c r="L166" s="12"/>
      <c r="M166" s="12"/>
      <c r="N166" s="12"/>
      <c r="O166" s="12"/>
      <c r="P166" s="12"/>
      <c r="Q166" s="14"/>
    </row>
    <row r="167" spans="2:17">
      <c r="B167" s="12"/>
      <c r="C167" s="12"/>
      <c r="D167" s="12"/>
      <c r="E167" s="12"/>
      <c r="F167" s="12"/>
      <c r="G167" s="12"/>
      <c r="H167" s="12"/>
      <c r="I167" s="12"/>
      <c r="J167" s="12"/>
      <c r="K167" s="12"/>
      <c r="L167" s="12"/>
      <c r="M167" s="12"/>
      <c r="N167" s="12"/>
      <c r="O167" s="12"/>
      <c r="P167" s="12"/>
      <c r="Q167" s="14"/>
    </row>
    <row r="168" spans="2:17">
      <c r="B168" s="12"/>
      <c r="C168" s="12"/>
      <c r="D168" s="12"/>
      <c r="E168" s="12"/>
      <c r="F168" s="12"/>
      <c r="G168" s="12"/>
      <c r="H168" s="12"/>
      <c r="I168" s="12"/>
      <c r="J168" s="12"/>
      <c r="K168" s="12"/>
      <c r="L168" s="12"/>
      <c r="M168" s="12"/>
      <c r="N168" s="12"/>
      <c r="O168" s="12"/>
      <c r="P168" s="12"/>
      <c r="Q168" s="14"/>
    </row>
    <row r="169" spans="2:17">
      <c r="B169" s="12"/>
      <c r="C169" s="12"/>
      <c r="D169" s="12"/>
      <c r="E169" s="12"/>
      <c r="F169" s="12"/>
      <c r="G169" s="12"/>
      <c r="H169" s="12"/>
      <c r="I169" s="12"/>
      <c r="J169" s="12"/>
      <c r="K169" s="12"/>
      <c r="L169" s="12"/>
      <c r="M169" s="12"/>
      <c r="N169" s="12"/>
      <c r="O169" s="12"/>
      <c r="P169" s="12"/>
      <c r="Q169" s="14"/>
    </row>
    <row r="170" spans="2:17">
      <c r="B170" s="12"/>
      <c r="C170" s="12"/>
      <c r="D170" s="12"/>
      <c r="E170" s="12"/>
      <c r="F170" s="12"/>
      <c r="G170" s="12"/>
      <c r="H170" s="12"/>
      <c r="I170" s="12"/>
      <c r="J170" s="12"/>
      <c r="K170" s="12"/>
      <c r="L170" s="12"/>
      <c r="M170" s="12"/>
      <c r="N170" s="12"/>
      <c r="O170" s="12"/>
      <c r="P170" s="12"/>
      <c r="Q170" s="14"/>
    </row>
    <row r="171" spans="2:17">
      <c r="B171" s="12"/>
      <c r="C171" s="12"/>
      <c r="D171" s="12"/>
      <c r="E171" s="12"/>
      <c r="F171" s="12"/>
      <c r="G171" s="12"/>
      <c r="H171" s="12"/>
      <c r="I171" s="12"/>
      <c r="J171" s="12"/>
      <c r="K171" s="12"/>
      <c r="L171" s="12"/>
      <c r="M171" s="12"/>
      <c r="N171" s="12"/>
      <c r="O171" s="12"/>
      <c r="P171" s="12"/>
      <c r="Q171" s="14"/>
    </row>
    <row r="172" spans="2:17">
      <c r="B172" s="12"/>
      <c r="C172" s="12"/>
      <c r="D172" s="12"/>
      <c r="E172" s="12"/>
      <c r="F172" s="12"/>
      <c r="G172" s="12"/>
      <c r="H172" s="12"/>
      <c r="I172" s="12"/>
      <c r="J172" s="12"/>
      <c r="K172" s="12"/>
      <c r="L172" s="12"/>
      <c r="M172" s="12"/>
      <c r="N172" s="12"/>
      <c r="O172" s="12"/>
      <c r="P172" s="12"/>
      <c r="Q172" s="14"/>
    </row>
    <row r="173" spans="2:17">
      <c r="B173" s="12"/>
      <c r="C173" s="12"/>
      <c r="D173" s="12"/>
      <c r="E173" s="12"/>
      <c r="F173" s="12"/>
      <c r="G173" s="12"/>
      <c r="H173" s="12"/>
      <c r="I173" s="12"/>
      <c r="J173" s="12"/>
      <c r="K173" s="12"/>
      <c r="L173" s="12"/>
      <c r="M173" s="12"/>
      <c r="N173" s="12"/>
      <c r="O173" s="12"/>
      <c r="P173" s="12"/>
      <c r="Q173" s="14"/>
    </row>
    <row r="174" spans="2:17">
      <c r="B174" s="12"/>
      <c r="C174" s="12"/>
      <c r="D174" s="12"/>
      <c r="E174" s="12"/>
      <c r="F174" s="12"/>
      <c r="G174" s="12"/>
      <c r="H174" s="12"/>
      <c r="I174" s="12"/>
      <c r="J174" s="12"/>
      <c r="K174" s="12"/>
      <c r="L174" s="12"/>
      <c r="M174" s="12"/>
      <c r="N174" s="12"/>
      <c r="O174" s="12"/>
      <c r="P174" s="12"/>
      <c r="Q174" s="14"/>
    </row>
    <row r="175" spans="2:17">
      <c r="B175" s="12"/>
      <c r="C175" s="12"/>
      <c r="D175" s="12"/>
      <c r="E175" s="12"/>
      <c r="F175" s="12"/>
      <c r="G175" s="12"/>
      <c r="H175" s="12"/>
      <c r="I175" s="12"/>
      <c r="J175" s="12"/>
      <c r="K175" s="12"/>
      <c r="L175" s="12"/>
      <c r="M175" s="12"/>
      <c r="N175" s="12"/>
      <c r="O175" s="12"/>
      <c r="P175" s="12"/>
      <c r="Q175" s="14"/>
    </row>
    <row r="176" spans="2:17">
      <c r="B176" s="12"/>
      <c r="C176" s="12"/>
      <c r="D176" s="12"/>
      <c r="E176" s="12"/>
      <c r="F176" s="12"/>
      <c r="G176" s="12"/>
      <c r="H176" s="12"/>
      <c r="I176" s="12"/>
      <c r="J176" s="12"/>
      <c r="K176" s="12"/>
      <c r="L176" s="12"/>
      <c r="M176" s="12"/>
      <c r="N176" s="12"/>
      <c r="O176" s="12"/>
      <c r="P176" s="12"/>
      <c r="Q176" s="14"/>
    </row>
    <row r="177" spans="2:17">
      <c r="B177" s="12"/>
      <c r="C177" s="12"/>
      <c r="D177" s="12"/>
      <c r="E177" s="12"/>
      <c r="F177" s="12"/>
      <c r="G177" s="12"/>
      <c r="H177" s="12"/>
      <c r="I177" s="12"/>
      <c r="J177" s="12"/>
      <c r="K177" s="12"/>
      <c r="L177" s="12"/>
      <c r="M177" s="12"/>
      <c r="N177" s="12"/>
      <c r="O177" s="12"/>
      <c r="P177" s="12"/>
      <c r="Q177" s="14"/>
    </row>
    <row r="178" spans="2:17">
      <c r="B178" s="12"/>
      <c r="C178" s="12"/>
      <c r="D178" s="12"/>
      <c r="E178" s="12"/>
      <c r="F178" s="12"/>
      <c r="G178" s="12"/>
      <c r="H178" s="12"/>
      <c r="I178" s="12"/>
      <c r="J178" s="12"/>
      <c r="K178" s="12"/>
      <c r="L178" s="12"/>
      <c r="M178" s="12"/>
      <c r="N178" s="12"/>
      <c r="O178" s="12"/>
      <c r="P178" s="12"/>
      <c r="Q178" s="14"/>
    </row>
    <row r="179" spans="2:17">
      <c r="B179" s="12"/>
      <c r="C179" s="12"/>
      <c r="D179" s="12"/>
      <c r="E179" s="12"/>
      <c r="F179" s="12"/>
      <c r="G179" s="12"/>
      <c r="H179" s="12"/>
      <c r="I179" s="12"/>
      <c r="J179" s="12"/>
      <c r="K179" s="12"/>
      <c r="L179" s="12"/>
      <c r="M179" s="12"/>
      <c r="N179" s="12"/>
      <c r="O179" s="12"/>
      <c r="P179" s="12"/>
      <c r="Q179" s="14"/>
    </row>
    <row r="180" spans="2:17">
      <c r="B180" s="12"/>
      <c r="C180" s="12"/>
      <c r="D180" s="12"/>
      <c r="E180" s="12"/>
      <c r="F180" s="12"/>
      <c r="G180" s="12"/>
      <c r="H180" s="12"/>
      <c r="I180" s="12"/>
      <c r="J180" s="12"/>
      <c r="K180" s="12"/>
      <c r="L180" s="12"/>
      <c r="M180" s="12"/>
      <c r="N180" s="12"/>
      <c r="O180" s="12"/>
      <c r="P180" s="12"/>
      <c r="Q180" s="14"/>
    </row>
    <row r="181" spans="2:17">
      <c r="B181" s="12"/>
      <c r="C181" s="12"/>
      <c r="D181" s="12"/>
      <c r="E181" s="12"/>
      <c r="F181" s="12"/>
      <c r="G181" s="12"/>
      <c r="H181" s="12"/>
      <c r="I181" s="12"/>
      <c r="J181" s="12"/>
      <c r="K181" s="12"/>
      <c r="L181" s="12"/>
      <c r="M181" s="12"/>
      <c r="N181" s="12"/>
      <c r="O181" s="12"/>
      <c r="P181" s="12"/>
      <c r="Q181" s="14"/>
    </row>
    <row r="182" spans="2:17">
      <c r="B182" s="12"/>
      <c r="C182" s="12"/>
      <c r="D182" s="12"/>
      <c r="E182" s="12"/>
      <c r="F182" s="12"/>
      <c r="G182" s="12"/>
      <c r="H182" s="12"/>
      <c r="I182" s="12"/>
      <c r="J182" s="12"/>
      <c r="K182" s="12"/>
      <c r="L182" s="12"/>
      <c r="M182" s="12"/>
      <c r="N182" s="12"/>
      <c r="O182" s="12"/>
      <c r="P182" s="12"/>
      <c r="Q182" s="14"/>
    </row>
    <row r="183" spans="2:17">
      <c r="B183" s="12"/>
      <c r="C183" s="12"/>
      <c r="D183" s="12"/>
      <c r="E183" s="12"/>
      <c r="F183" s="12"/>
      <c r="G183" s="12"/>
      <c r="H183" s="12"/>
      <c r="I183" s="12"/>
      <c r="J183" s="12"/>
      <c r="K183" s="12"/>
      <c r="L183" s="12"/>
      <c r="M183" s="12"/>
      <c r="N183" s="12"/>
      <c r="O183" s="12"/>
      <c r="P183" s="12"/>
      <c r="Q183" s="14"/>
    </row>
    <row r="184" spans="2:17">
      <c r="B184" s="12"/>
      <c r="C184" s="12"/>
      <c r="D184" s="12"/>
      <c r="E184" s="12"/>
      <c r="F184" s="12"/>
      <c r="G184" s="12"/>
      <c r="H184" s="12"/>
      <c r="I184" s="12"/>
      <c r="J184" s="12"/>
      <c r="K184" s="12"/>
      <c r="L184" s="12"/>
      <c r="M184" s="12"/>
      <c r="N184" s="12"/>
      <c r="O184" s="12"/>
      <c r="P184" s="12"/>
      <c r="Q184" s="14"/>
    </row>
    <row r="185" spans="2:17">
      <c r="B185" s="12"/>
      <c r="C185" s="12"/>
      <c r="D185" s="12"/>
      <c r="E185" s="12"/>
      <c r="F185" s="12"/>
      <c r="G185" s="12"/>
      <c r="H185" s="12"/>
      <c r="I185" s="12"/>
      <c r="J185" s="12"/>
      <c r="K185" s="12"/>
      <c r="L185" s="12"/>
      <c r="M185" s="12"/>
      <c r="N185" s="12"/>
      <c r="O185" s="12"/>
      <c r="P185" s="12"/>
      <c r="Q185" s="14"/>
    </row>
    <row r="186" spans="2:17">
      <c r="B186" s="12"/>
      <c r="C186" s="12"/>
      <c r="D186" s="12"/>
      <c r="E186" s="12"/>
      <c r="F186" s="12"/>
      <c r="G186" s="12"/>
      <c r="H186" s="12"/>
      <c r="I186" s="12"/>
      <c r="J186" s="12"/>
      <c r="K186" s="12"/>
      <c r="L186" s="12"/>
      <c r="M186" s="12"/>
      <c r="N186" s="12"/>
      <c r="O186" s="12"/>
      <c r="P186" s="12"/>
      <c r="Q186" s="14"/>
    </row>
    <row r="187" spans="2:17">
      <c r="B187" s="12"/>
      <c r="C187" s="12"/>
      <c r="D187" s="12"/>
      <c r="E187" s="12"/>
      <c r="F187" s="12"/>
      <c r="G187" s="12"/>
      <c r="H187" s="12"/>
      <c r="I187" s="12"/>
      <c r="J187" s="12"/>
      <c r="K187" s="12"/>
      <c r="L187" s="12"/>
      <c r="M187" s="12"/>
      <c r="N187" s="12"/>
      <c r="O187" s="12"/>
      <c r="P187" s="12"/>
      <c r="Q187" s="14"/>
    </row>
    <row r="188" spans="2:17">
      <c r="B188" s="12"/>
      <c r="C188" s="12"/>
      <c r="D188" s="12"/>
      <c r="E188" s="12"/>
      <c r="F188" s="12"/>
      <c r="G188" s="12"/>
      <c r="H188" s="12"/>
      <c r="I188" s="12"/>
      <c r="J188" s="12"/>
      <c r="K188" s="12"/>
      <c r="L188" s="12"/>
      <c r="M188" s="12"/>
      <c r="N188" s="12"/>
      <c r="O188" s="12"/>
      <c r="P188" s="12"/>
      <c r="Q188" s="14"/>
    </row>
    <row r="189" spans="2:17">
      <c r="B189" s="12"/>
      <c r="C189" s="12"/>
      <c r="D189" s="12"/>
      <c r="E189" s="12"/>
      <c r="F189" s="12"/>
      <c r="G189" s="12"/>
      <c r="H189" s="12"/>
      <c r="I189" s="12"/>
      <c r="J189" s="12"/>
      <c r="K189" s="12"/>
      <c r="L189" s="12"/>
      <c r="M189" s="12"/>
      <c r="N189" s="12"/>
      <c r="O189" s="12"/>
      <c r="P189" s="12"/>
      <c r="Q189" s="14"/>
    </row>
    <row r="190" spans="2:17">
      <c r="B190" s="12"/>
      <c r="C190" s="12"/>
      <c r="D190" s="12"/>
      <c r="E190" s="12"/>
      <c r="F190" s="12"/>
      <c r="G190" s="12"/>
      <c r="H190" s="12"/>
      <c r="I190" s="12"/>
      <c r="J190" s="12"/>
      <c r="K190" s="12"/>
      <c r="L190" s="12"/>
      <c r="M190" s="12"/>
      <c r="N190" s="12"/>
      <c r="O190" s="12"/>
      <c r="P190" s="12"/>
      <c r="Q190" s="14"/>
    </row>
    <row r="191" spans="2:17">
      <c r="B191" s="12"/>
      <c r="C191" s="12"/>
      <c r="D191" s="12"/>
      <c r="E191" s="12"/>
      <c r="F191" s="12"/>
      <c r="G191" s="12"/>
      <c r="H191" s="12"/>
      <c r="I191" s="12"/>
      <c r="J191" s="12"/>
      <c r="K191" s="12"/>
      <c r="L191" s="12"/>
      <c r="M191" s="12"/>
      <c r="N191" s="12"/>
      <c r="O191" s="12"/>
      <c r="P191" s="12"/>
      <c r="Q191" s="14"/>
    </row>
    <row r="192" spans="2:17">
      <c r="B192" s="12"/>
      <c r="C192" s="12"/>
      <c r="D192" s="12"/>
      <c r="E192" s="12"/>
      <c r="F192" s="12"/>
      <c r="G192" s="12"/>
      <c r="H192" s="12"/>
      <c r="I192" s="12"/>
      <c r="J192" s="12"/>
      <c r="K192" s="12"/>
      <c r="L192" s="12"/>
      <c r="M192" s="12"/>
      <c r="N192" s="12"/>
      <c r="O192" s="12"/>
      <c r="P192" s="12"/>
      <c r="Q192" s="14"/>
    </row>
    <row r="193" spans="2:17">
      <c r="B193" s="12"/>
      <c r="C193" s="12"/>
      <c r="D193" s="12"/>
      <c r="E193" s="12"/>
      <c r="F193" s="12"/>
      <c r="G193" s="12"/>
      <c r="H193" s="12"/>
      <c r="I193" s="12"/>
      <c r="J193" s="12"/>
      <c r="K193" s="12"/>
      <c r="L193" s="12"/>
      <c r="M193" s="12"/>
      <c r="N193" s="12"/>
      <c r="O193" s="12"/>
      <c r="P193" s="12"/>
      <c r="Q193" s="14"/>
    </row>
    <row r="194" spans="2:17">
      <c r="B194" s="12"/>
      <c r="C194" s="12"/>
      <c r="D194" s="12"/>
      <c r="E194" s="12"/>
      <c r="F194" s="12"/>
      <c r="G194" s="12"/>
      <c r="H194" s="12"/>
      <c r="I194" s="12"/>
      <c r="J194" s="12"/>
      <c r="K194" s="12"/>
      <c r="L194" s="12"/>
      <c r="M194" s="12"/>
      <c r="N194" s="12"/>
      <c r="O194" s="12"/>
      <c r="P194" s="12"/>
      <c r="Q194" s="14"/>
    </row>
    <row r="195" spans="2:17">
      <c r="B195" s="12"/>
      <c r="C195" s="12"/>
      <c r="D195" s="12"/>
      <c r="E195" s="12"/>
      <c r="F195" s="12"/>
      <c r="G195" s="12"/>
      <c r="H195" s="12"/>
      <c r="I195" s="12"/>
      <c r="J195" s="12"/>
      <c r="K195" s="12"/>
      <c r="L195" s="12"/>
      <c r="M195" s="12"/>
      <c r="N195" s="12"/>
      <c r="O195" s="12"/>
      <c r="P195" s="12"/>
      <c r="Q195" s="14"/>
    </row>
    <row r="196" spans="2:17">
      <c r="B196" s="12"/>
      <c r="C196" s="12"/>
      <c r="D196" s="12"/>
      <c r="E196" s="12"/>
      <c r="F196" s="12"/>
      <c r="G196" s="12"/>
      <c r="H196" s="12"/>
      <c r="I196" s="12"/>
      <c r="J196" s="12"/>
      <c r="K196" s="12"/>
      <c r="L196" s="12"/>
      <c r="M196" s="12"/>
      <c r="N196" s="12"/>
      <c r="O196" s="12"/>
      <c r="P196" s="12"/>
      <c r="Q196" s="14"/>
    </row>
    <row r="197" spans="2:17">
      <c r="B197" s="12"/>
      <c r="C197" s="12"/>
      <c r="D197" s="12"/>
      <c r="E197" s="12"/>
      <c r="F197" s="12"/>
      <c r="G197" s="12"/>
      <c r="H197" s="12"/>
      <c r="I197" s="12"/>
      <c r="J197" s="12"/>
      <c r="K197" s="12"/>
      <c r="L197" s="12"/>
      <c r="M197" s="12"/>
      <c r="N197" s="12"/>
      <c r="O197" s="12"/>
      <c r="P197" s="12"/>
      <c r="Q197" s="14"/>
    </row>
    <row r="198" spans="2:17">
      <c r="B198" s="12"/>
      <c r="C198" s="12"/>
      <c r="D198" s="12"/>
      <c r="E198" s="12"/>
      <c r="F198" s="12"/>
      <c r="G198" s="12"/>
      <c r="H198" s="12"/>
      <c r="I198" s="12"/>
      <c r="J198" s="12"/>
      <c r="K198" s="12"/>
      <c r="L198" s="12"/>
      <c r="M198" s="12"/>
      <c r="N198" s="12"/>
      <c r="O198" s="12"/>
      <c r="P198" s="12"/>
      <c r="Q198" s="14"/>
    </row>
    <row r="199" spans="2:17">
      <c r="B199" s="12"/>
      <c r="C199" s="12"/>
      <c r="D199" s="12"/>
      <c r="E199" s="12"/>
      <c r="F199" s="12"/>
      <c r="G199" s="12"/>
      <c r="H199" s="12"/>
      <c r="I199" s="12"/>
      <c r="J199" s="12"/>
      <c r="K199" s="12"/>
      <c r="L199" s="12"/>
      <c r="M199" s="12"/>
      <c r="N199" s="12"/>
      <c r="O199" s="12"/>
      <c r="P199" s="12"/>
      <c r="Q199" s="14"/>
    </row>
    <row r="200" spans="2:17">
      <c r="B200" s="12"/>
      <c r="C200" s="12"/>
      <c r="D200" s="12"/>
      <c r="E200" s="12"/>
      <c r="F200" s="12"/>
      <c r="G200" s="12"/>
      <c r="H200" s="12"/>
      <c r="I200" s="12"/>
      <c r="J200" s="12"/>
      <c r="K200" s="12"/>
      <c r="L200" s="12"/>
      <c r="M200" s="12"/>
      <c r="N200" s="12"/>
      <c r="O200" s="12"/>
      <c r="P200" s="12"/>
      <c r="Q200" s="14"/>
    </row>
    <row r="201" spans="2:17">
      <c r="B201" s="12"/>
      <c r="C201" s="12"/>
      <c r="D201" s="12"/>
      <c r="E201" s="12"/>
      <c r="F201" s="12"/>
      <c r="G201" s="12"/>
      <c r="H201" s="12"/>
      <c r="I201" s="12"/>
      <c r="J201" s="12"/>
      <c r="K201" s="12"/>
      <c r="L201" s="12"/>
      <c r="M201" s="12"/>
      <c r="N201" s="12"/>
      <c r="O201" s="12"/>
      <c r="P201" s="12"/>
      <c r="Q201" s="14"/>
    </row>
    <row r="202" spans="2:17">
      <c r="B202" s="12"/>
      <c r="C202" s="12"/>
      <c r="D202" s="12"/>
      <c r="E202" s="12"/>
      <c r="F202" s="12"/>
      <c r="G202" s="12"/>
      <c r="H202" s="12"/>
      <c r="I202" s="12"/>
      <c r="J202" s="12"/>
      <c r="K202" s="12"/>
      <c r="L202" s="12"/>
      <c r="M202" s="12"/>
      <c r="N202" s="12"/>
      <c r="O202" s="12"/>
      <c r="P202" s="12"/>
      <c r="Q202" s="14"/>
    </row>
    <row r="203" spans="2:17">
      <c r="B203" s="12"/>
      <c r="C203" s="12"/>
      <c r="D203" s="12"/>
      <c r="E203" s="12"/>
      <c r="F203" s="12"/>
      <c r="G203" s="12"/>
      <c r="H203" s="12"/>
      <c r="I203" s="12"/>
      <c r="J203" s="12"/>
      <c r="K203" s="12"/>
      <c r="L203" s="12"/>
      <c r="M203" s="12"/>
      <c r="N203" s="12"/>
      <c r="O203" s="12"/>
      <c r="P203" s="12"/>
      <c r="Q203" s="14"/>
    </row>
    <row r="204" spans="2:17">
      <c r="B204" s="12"/>
      <c r="C204" s="12"/>
      <c r="D204" s="12"/>
      <c r="E204" s="12"/>
      <c r="F204" s="12"/>
      <c r="G204" s="12"/>
      <c r="H204" s="12"/>
      <c r="I204" s="12"/>
      <c r="J204" s="12"/>
      <c r="K204" s="12"/>
      <c r="L204" s="12"/>
      <c r="M204" s="12"/>
      <c r="N204" s="12"/>
      <c r="O204" s="12"/>
      <c r="P204" s="12"/>
      <c r="Q204" s="14"/>
    </row>
    <row r="205" spans="2:17">
      <c r="B205" s="12"/>
      <c r="C205" s="12"/>
      <c r="D205" s="12"/>
      <c r="E205" s="12"/>
      <c r="F205" s="12"/>
      <c r="G205" s="12"/>
      <c r="H205" s="12"/>
      <c r="I205" s="12"/>
      <c r="J205" s="12"/>
      <c r="K205" s="12"/>
      <c r="L205" s="12"/>
      <c r="M205" s="12"/>
      <c r="N205" s="12"/>
      <c r="O205" s="12"/>
      <c r="P205" s="12"/>
      <c r="Q205" s="14"/>
    </row>
    <row r="206" spans="2:17">
      <c r="B206" s="12"/>
      <c r="C206" s="12"/>
      <c r="D206" s="12"/>
      <c r="E206" s="12"/>
      <c r="F206" s="12"/>
      <c r="G206" s="12"/>
      <c r="H206" s="12"/>
      <c r="I206" s="12"/>
      <c r="J206" s="12"/>
      <c r="K206" s="12"/>
      <c r="L206" s="12"/>
      <c r="M206" s="12"/>
      <c r="N206" s="12"/>
      <c r="O206" s="12"/>
      <c r="P206" s="12"/>
      <c r="Q206" s="14"/>
    </row>
    <row r="207" spans="2:17">
      <c r="B207" s="12"/>
      <c r="C207" s="12"/>
      <c r="D207" s="12"/>
      <c r="E207" s="12"/>
      <c r="F207" s="12"/>
      <c r="G207" s="12"/>
      <c r="H207" s="12"/>
      <c r="I207" s="12"/>
      <c r="J207" s="12"/>
      <c r="K207" s="12"/>
      <c r="L207" s="12"/>
      <c r="M207" s="12"/>
      <c r="N207" s="12"/>
      <c r="O207" s="12"/>
      <c r="P207" s="12"/>
      <c r="Q207" s="14"/>
    </row>
    <row r="208" spans="2:17">
      <c r="B208" s="12"/>
      <c r="C208" s="12"/>
      <c r="D208" s="12"/>
      <c r="E208" s="12"/>
      <c r="F208" s="12"/>
      <c r="G208" s="12"/>
      <c r="H208" s="12"/>
      <c r="I208" s="12"/>
      <c r="J208" s="12"/>
      <c r="K208" s="12"/>
      <c r="L208" s="12"/>
      <c r="M208" s="12"/>
      <c r="N208" s="12"/>
      <c r="O208" s="12"/>
      <c r="P208" s="12"/>
      <c r="Q208" s="14"/>
    </row>
    <row r="209" spans="2:17">
      <c r="B209" s="12"/>
      <c r="C209" s="12"/>
      <c r="D209" s="12"/>
      <c r="E209" s="12"/>
      <c r="F209" s="12"/>
      <c r="G209" s="12"/>
      <c r="H209" s="12"/>
      <c r="I209" s="12"/>
      <c r="J209" s="12"/>
      <c r="K209" s="12"/>
      <c r="L209" s="12"/>
      <c r="M209" s="12"/>
      <c r="N209" s="12"/>
      <c r="O209" s="12"/>
      <c r="P209" s="12"/>
      <c r="Q209" s="14"/>
    </row>
    <row r="210" spans="2:17">
      <c r="B210" s="12"/>
      <c r="C210" s="12"/>
      <c r="D210" s="12"/>
      <c r="E210" s="12"/>
      <c r="F210" s="12"/>
      <c r="G210" s="12"/>
      <c r="H210" s="12"/>
      <c r="I210" s="12"/>
      <c r="J210" s="12"/>
      <c r="K210" s="12"/>
      <c r="L210" s="12"/>
      <c r="M210" s="12"/>
      <c r="N210" s="12"/>
      <c r="O210" s="12"/>
      <c r="P210" s="12"/>
      <c r="Q210" s="14"/>
    </row>
    <row r="211" spans="2:17">
      <c r="B211" s="12"/>
      <c r="C211" s="12"/>
      <c r="D211" s="12"/>
      <c r="E211" s="12"/>
      <c r="F211" s="12"/>
      <c r="G211" s="12"/>
      <c r="H211" s="12"/>
      <c r="I211" s="12"/>
      <c r="J211" s="12"/>
      <c r="K211" s="12"/>
      <c r="L211" s="12"/>
      <c r="M211" s="12"/>
      <c r="N211" s="12"/>
      <c r="O211" s="12"/>
      <c r="P211" s="12"/>
      <c r="Q211" s="14"/>
    </row>
    <row r="212" spans="2:17">
      <c r="B212" s="12"/>
      <c r="C212" s="12"/>
      <c r="D212" s="12"/>
      <c r="E212" s="12"/>
      <c r="F212" s="12"/>
      <c r="G212" s="12"/>
      <c r="H212" s="12"/>
      <c r="I212" s="12"/>
      <c r="J212" s="12"/>
      <c r="K212" s="12"/>
      <c r="L212" s="12"/>
      <c r="M212" s="12"/>
      <c r="N212" s="12"/>
      <c r="O212" s="12"/>
      <c r="P212" s="12"/>
      <c r="Q212" s="14"/>
    </row>
    <row r="213" spans="2:17">
      <c r="B213" s="12"/>
      <c r="C213" s="12"/>
      <c r="D213" s="12"/>
      <c r="E213" s="12"/>
      <c r="F213" s="12"/>
      <c r="G213" s="12"/>
      <c r="H213" s="12"/>
      <c r="I213" s="12"/>
      <c r="J213" s="12"/>
      <c r="K213" s="12"/>
      <c r="L213" s="12"/>
      <c r="M213" s="12"/>
      <c r="N213" s="12"/>
      <c r="O213" s="12"/>
      <c r="P213" s="12"/>
      <c r="Q213" s="14"/>
    </row>
    <row r="214" spans="2:17">
      <c r="B214" s="12"/>
      <c r="C214" s="12"/>
      <c r="D214" s="12"/>
      <c r="E214" s="12"/>
      <c r="F214" s="12"/>
      <c r="G214" s="12"/>
      <c r="H214" s="12"/>
      <c r="I214" s="12"/>
      <c r="J214" s="12"/>
      <c r="K214" s="12"/>
      <c r="L214" s="12"/>
      <c r="M214" s="12"/>
      <c r="N214" s="12"/>
      <c r="O214" s="12"/>
      <c r="P214" s="12"/>
      <c r="Q214" s="14"/>
    </row>
    <row r="215" spans="2:17">
      <c r="B215" s="12"/>
      <c r="C215" s="12"/>
      <c r="D215" s="12"/>
      <c r="E215" s="12"/>
      <c r="F215" s="12"/>
      <c r="G215" s="12"/>
      <c r="H215" s="12"/>
      <c r="I215" s="12"/>
      <c r="J215" s="12"/>
      <c r="K215" s="12"/>
      <c r="L215" s="12"/>
      <c r="M215" s="12"/>
      <c r="N215" s="12"/>
      <c r="O215" s="12"/>
      <c r="P215" s="12"/>
      <c r="Q215" s="14"/>
    </row>
    <row r="216" spans="2:17">
      <c r="B216" s="12"/>
      <c r="C216" s="12"/>
      <c r="D216" s="12"/>
      <c r="E216" s="12"/>
      <c r="F216" s="12"/>
      <c r="G216" s="12"/>
      <c r="H216" s="12"/>
      <c r="I216" s="12"/>
      <c r="J216" s="12"/>
      <c r="K216" s="12"/>
      <c r="L216" s="12"/>
      <c r="M216" s="12"/>
      <c r="N216" s="12"/>
      <c r="O216" s="12"/>
      <c r="P216" s="12"/>
      <c r="Q216" s="14"/>
    </row>
    <row r="217" spans="2:17">
      <c r="B217" s="12"/>
      <c r="C217" s="12"/>
      <c r="D217" s="12"/>
      <c r="E217" s="12"/>
      <c r="F217" s="12"/>
      <c r="G217" s="12"/>
      <c r="H217" s="12"/>
      <c r="I217" s="12"/>
      <c r="J217" s="12"/>
      <c r="K217" s="12"/>
      <c r="L217" s="12"/>
      <c r="M217" s="12"/>
      <c r="N217" s="12"/>
      <c r="O217" s="12"/>
      <c r="P217" s="12"/>
      <c r="Q217" s="14"/>
    </row>
    <row r="218" spans="2:17">
      <c r="B218" s="12"/>
      <c r="C218" s="12"/>
      <c r="D218" s="12"/>
      <c r="E218" s="12"/>
      <c r="F218" s="12"/>
      <c r="G218" s="12"/>
      <c r="H218" s="12"/>
      <c r="I218" s="12"/>
      <c r="J218" s="12"/>
      <c r="K218" s="12"/>
      <c r="L218" s="12"/>
      <c r="M218" s="12"/>
      <c r="N218" s="12"/>
      <c r="O218" s="12"/>
      <c r="P218" s="12"/>
      <c r="Q218" s="14"/>
    </row>
    <row r="219" spans="2:17">
      <c r="B219" s="12"/>
      <c r="C219" s="12"/>
      <c r="D219" s="12"/>
      <c r="E219" s="12"/>
      <c r="F219" s="12"/>
      <c r="G219" s="12"/>
      <c r="H219" s="12"/>
      <c r="I219" s="12"/>
      <c r="J219" s="12"/>
      <c r="K219" s="12"/>
      <c r="L219" s="12"/>
      <c r="M219" s="12"/>
      <c r="N219" s="12"/>
      <c r="O219" s="12"/>
      <c r="P219" s="12"/>
      <c r="Q219" s="14"/>
    </row>
    <row r="220" spans="2:17">
      <c r="B220" s="12"/>
      <c r="C220" s="12"/>
      <c r="D220" s="12"/>
      <c r="E220" s="12"/>
      <c r="F220" s="12"/>
      <c r="G220" s="12"/>
      <c r="H220" s="12"/>
      <c r="I220" s="12"/>
      <c r="J220" s="12"/>
      <c r="K220" s="12"/>
      <c r="L220" s="12"/>
      <c r="M220" s="12"/>
      <c r="N220" s="12"/>
      <c r="O220" s="12"/>
      <c r="P220" s="12"/>
      <c r="Q220" s="14"/>
    </row>
    <row r="221" spans="2:17">
      <c r="B221" s="12"/>
      <c r="C221" s="12"/>
      <c r="D221" s="12"/>
      <c r="E221" s="12"/>
      <c r="F221" s="12"/>
      <c r="G221" s="12"/>
      <c r="H221" s="12"/>
      <c r="I221" s="12"/>
      <c r="J221" s="12"/>
      <c r="K221" s="12"/>
      <c r="L221" s="12"/>
      <c r="M221" s="12"/>
      <c r="N221" s="12"/>
      <c r="O221" s="12"/>
      <c r="P221" s="12"/>
      <c r="Q221" s="14"/>
    </row>
    <row r="222" spans="2:17">
      <c r="B222" s="12"/>
      <c r="C222" s="12"/>
      <c r="D222" s="12"/>
      <c r="E222" s="12"/>
      <c r="F222" s="12"/>
      <c r="G222" s="12"/>
      <c r="H222" s="12"/>
      <c r="I222" s="12"/>
      <c r="J222" s="12"/>
      <c r="K222" s="12"/>
      <c r="L222" s="12"/>
      <c r="M222" s="12"/>
      <c r="N222" s="12"/>
      <c r="O222" s="12"/>
      <c r="P222" s="12"/>
      <c r="Q222" s="14"/>
    </row>
    <row r="223" spans="2:17">
      <c r="B223" s="12"/>
      <c r="C223" s="12"/>
      <c r="D223" s="12"/>
      <c r="E223" s="12"/>
      <c r="F223" s="12"/>
      <c r="G223" s="12"/>
      <c r="H223" s="12"/>
      <c r="I223" s="12"/>
      <c r="J223" s="12"/>
      <c r="K223" s="12"/>
      <c r="L223" s="12"/>
      <c r="M223" s="12"/>
      <c r="N223" s="12"/>
      <c r="O223" s="12"/>
      <c r="P223" s="12"/>
      <c r="Q223" s="14"/>
    </row>
    <row r="224" spans="2:17">
      <c r="B224" s="12"/>
      <c r="C224" s="12"/>
      <c r="D224" s="12"/>
      <c r="E224" s="12"/>
      <c r="F224" s="12"/>
      <c r="G224" s="12"/>
      <c r="H224" s="12"/>
      <c r="I224" s="12"/>
      <c r="J224" s="12"/>
      <c r="K224" s="12"/>
      <c r="L224" s="12"/>
      <c r="M224" s="12"/>
      <c r="N224" s="12"/>
      <c r="O224" s="12"/>
      <c r="P224" s="12"/>
      <c r="Q224" s="14"/>
    </row>
    <row r="225" spans="2:17">
      <c r="B225" s="12"/>
      <c r="C225" s="12"/>
      <c r="D225" s="12"/>
      <c r="E225" s="12"/>
      <c r="F225" s="12"/>
      <c r="G225" s="12"/>
      <c r="H225" s="12"/>
      <c r="I225" s="12"/>
      <c r="J225" s="12"/>
      <c r="K225" s="12"/>
      <c r="L225" s="12"/>
      <c r="M225" s="12"/>
      <c r="N225" s="12"/>
      <c r="O225" s="12"/>
      <c r="P225" s="12"/>
      <c r="Q225" s="14"/>
    </row>
    <row r="226" spans="2:17">
      <c r="B226" s="12"/>
      <c r="C226" s="12"/>
      <c r="D226" s="12"/>
      <c r="E226" s="12"/>
      <c r="F226" s="12"/>
      <c r="G226" s="12"/>
      <c r="H226" s="12"/>
      <c r="I226" s="12"/>
      <c r="J226" s="12"/>
      <c r="K226" s="12"/>
      <c r="L226" s="12"/>
      <c r="M226" s="12"/>
      <c r="N226" s="12"/>
      <c r="O226" s="12"/>
      <c r="P226" s="12"/>
      <c r="Q226" s="14"/>
    </row>
    <row r="227" spans="2:17">
      <c r="B227" s="12"/>
      <c r="C227" s="12"/>
      <c r="D227" s="12"/>
      <c r="E227" s="12"/>
      <c r="F227" s="12"/>
      <c r="G227" s="12"/>
      <c r="H227" s="12"/>
      <c r="I227" s="12"/>
      <c r="J227" s="12"/>
      <c r="K227" s="12"/>
      <c r="L227" s="12"/>
      <c r="M227" s="12"/>
      <c r="N227" s="12"/>
      <c r="O227" s="12"/>
      <c r="P227" s="12"/>
      <c r="Q227" s="14"/>
    </row>
    <row r="228" spans="2:17">
      <c r="B228" s="12"/>
      <c r="C228" s="12"/>
      <c r="D228" s="12"/>
      <c r="E228" s="12"/>
      <c r="F228" s="12"/>
      <c r="G228" s="12"/>
      <c r="H228" s="12"/>
      <c r="I228" s="12"/>
      <c r="J228" s="12"/>
      <c r="K228" s="12"/>
      <c r="L228" s="12"/>
      <c r="M228" s="12"/>
      <c r="N228" s="12"/>
      <c r="O228" s="12"/>
      <c r="P228" s="12"/>
      <c r="Q228" s="14"/>
    </row>
    <row r="229" spans="2:17">
      <c r="B229" s="12"/>
      <c r="C229" s="12"/>
      <c r="D229" s="12"/>
      <c r="E229" s="12"/>
      <c r="F229" s="12"/>
      <c r="G229" s="12"/>
      <c r="H229" s="12"/>
      <c r="I229" s="12"/>
      <c r="J229" s="12"/>
      <c r="K229" s="12"/>
      <c r="L229" s="12"/>
      <c r="M229" s="12"/>
      <c r="N229" s="12"/>
      <c r="O229" s="12"/>
      <c r="P229" s="12"/>
      <c r="Q229" s="14"/>
    </row>
    <row r="230" spans="2:17">
      <c r="B230" s="12"/>
      <c r="C230" s="12"/>
      <c r="D230" s="12"/>
      <c r="E230" s="12"/>
      <c r="F230" s="12"/>
      <c r="G230" s="12"/>
      <c r="H230" s="12"/>
      <c r="I230" s="12"/>
      <c r="J230" s="12"/>
      <c r="K230" s="12"/>
      <c r="L230" s="12"/>
      <c r="M230" s="12"/>
      <c r="N230" s="12"/>
      <c r="O230" s="12"/>
      <c r="P230" s="12"/>
      <c r="Q230" s="14"/>
    </row>
    <row r="231" spans="2:17">
      <c r="B231" s="12"/>
      <c r="C231" s="12"/>
      <c r="D231" s="12"/>
      <c r="E231" s="12"/>
      <c r="F231" s="12"/>
      <c r="G231" s="12"/>
      <c r="H231" s="12"/>
      <c r="I231" s="12"/>
      <c r="J231" s="12"/>
      <c r="K231" s="12"/>
      <c r="L231" s="12"/>
      <c r="M231" s="12"/>
      <c r="N231" s="12"/>
      <c r="O231" s="12"/>
      <c r="P231" s="12"/>
      <c r="Q231" s="14"/>
    </row>
    <row r="232" spans="2:17">
      <c r="B232" s="12"/>
      <c r="C232" s="12"/>
      <c r="D232" s="12"/>
      <c r="E232" s="12"/>
      <c r="F232" s="12"/>
      <c r="G232" s="12"/>
      <c r="H232" s="12"/>
      <c r="I232" s="12"/>
      <c r="J232" s="12"/>
      <c r="K232" s="12"/>
      <c r="L232" s="12"/>
      <c r="M232" s="12"/>
      <c r="N232" s="12"/>
      <c r="O232" s="12"/>
      <c r="P232" s="12"/>
      <c r="Q232" s="14"/>
    </row>
    <row r="233" spans="2:17">
      <c r="B233" s="12"/>
      <c r="C233" s="12"/>
      <c r="D233" s="12"/>
      <c r="E233" s="12"/>
      <c r="F233" s="12"/>
      <c r="G233" s="12"/>
      <c r="H233" s="12"/>
      <c r="I233" s="12"/>
      <c r="J233" s="12"/>
      <c r="K233" s="12"/>
      <c r="L233" s="12"/>
      <c r="M233" s="12"/>
      <c r="N233" s="12"/>
      <c r="O233" s="12"/>
      <c r="P233" s="12"/>
      <c r="Q233" s="14"/>
    </row>
    <row r="234" spans="2:17">
      <c r="B234" s="12"/>
      <c r="C234" s="12"/>
      <c r="D234" s="12"/>
      <c r="E234" s="12"/>
      <c r="F234" s="12"/>
      <c r="G234" s="12"/>
      <c r="H234" s="12"/>
      <c r="I234" s="12"/>
      <c r="J234" s="12"/>
      <c r="K234" s="12"/>
      <c r="L234" s="12"/>
      <c r="M234" s="12"/>
      <c r="N234" s="12"/>
      <c r="O234" s="12"/>
      <c r="P234" s="12"/>
      <c r="Q234" s="14"/>
    </row>
    <row r="235" spans="2:17">
      <c r="B235" s="12"/>
      <c r="C235" s="12"/>
      <c r="D235" s="12"/>
      <c r="E235" s="12"/>
      <c r="F235" s="12"/>
      <c r="G235" s="12"/>
      <c r="H235" s="12"/>
      <c r="I235" s="12"/>
      <c r="J235" s="12"/>
      <c r="K235" s="12"/>
      <c r="L235" s="12"/>
      <c r="M235" s="12"/>
      <c r="N235" s="12"/>
      <c r="O235" s="12"/>
      <c r="P235" s="12"/>
      <c r="Q235" s="14"/>
    </row>
    <row r="236" spans="2:17">
      <c r="B236" s="12"/>
      <c r="C236" s="12"/>
      <c r="D236" s="12"/>
      <c r="E236" s="12"/>
      <c r="F236" s="12"/>
      <c r="G236" s="12"/>
      <c r="H236" s="12"/>
      <c r="I236" s="12"/>
      <c r="J236" s="12"/>
      <c r="K236" s="12"/>
      <c r="L236" s="12"/>
      <c r="M236" s="12"/>
      <c r="N236" s="12"/>
      <c r="O236" s="12"/>
      <c r="P236" s="12"/>
      <c r="Q236" s="14"/>
    </row>
    <row r="237" spans="2:17">
      <c r="B237" s="12"/>
      <c r="C237" s="12"/>
      <c r="D237" s="12"/>
      <c r="E237" s="12"/>
      <c r="F237" s="12"/>
      <c r="G237" s="12"/>
      <c r="H237" s="12"/>
      <c r="I237" s="12"/>
      <c r="J237" s="12"/>
      <c r="K237" s="12"/>
      <c r="L237" s="12"/>
      <c r="M237" s="12"/>
      <c r="N237" s="12"/>
      <c r="O237" s="12"/>
      <c r="P237" s="12"/>
      <c r="Q237" s="14"/>
    </row>
    <row r="238" spans="2:17">
      <c r="B238" s="12"/>
      <c r="C238" s="12"/>
      <c r="D238" s="12"/>
      <c r="E238" s="12"/>
      <c r="F238" s="12"/>
      <c r="G238" s="12"/>
      <c r="H238" s="12"/>
      <c r="I238" s="12"/>
      <c r="J238" s="12"/>
      <c r="K238" s="12"/>
      <c r="L238" s="12"/>
      <c r="M238" s="12"/>
      <c r="N238" s="12"/>
      <c r="O238" s="12"/>
      <c r="P238" s="12"/>
      <c r="Q238" s="14"/>
    </row>
    <row r="239" spans="2:17">
      <c r="B239" s="12"/>
      <c r="C239" s="12"/>
      <c r="D239" s="12"/>
      <c r="E239" s="12"/>
      <c r="F239" s="12"/>
      <c r="G239" s="12"/>
      <c r="H239" s="12"/>
      <c r="I239" s="12"/>
      <c r="J239" s="12"/>
      <c r="K239" s="12"/>
      <c r="L239" s="12"/>
      <c r="M239" s="12"/>
      <c r="N239" s="12"/>
      <c r="O239" s="12"/>
      <c r="P239" s="12"/>
      <c r="Q239" s="14"/>
    </row>
    <row r="240" spans="2:17">
      <c r="B240" s="12"/>
      <c r="C240" s="12"/>
      <c r="D240" s="12"/>
      <c r="E240" s="12"/>
      <c r="F240" s="12"/>
      <c r="G240" s="12"/>
      <c r="H240" s="12"/>
      <c r="I240" s="12"/>
      <c r="J240" s="12"/>
      <c r="K240" s="12"/>
      <c r="L240" s="12"/>
      <c r="M240" s="12"/>
      <c r="N240" s="12"/>
      <c r="O240" s="12"/>
      <c r="P240" s="12"/>
      <c r="Q240" s="14"/>
    </row>
    <row r="241" spans="2:17">
      <c r="B241" s="12"/>
      <c r="C241" s="12"/>
      <c r="D241" s="12"/>
      <c r="E241" s="12"/>
      <c r="F241" s="12"/>
      <c r="G241" s="12"/>
      <c r="H241" s="12"/>
      <c r="I241" s="12"/>
      <c r="J241" s="12"/>
      <c r="K241" s="12"/>
      <c r="L241" s="12"/>
      <c r="M241" s="12"/>
      <c r="N241" s="12"/>
      <c r="O241" s="12"/>
      <c r="P241" s="12"/>
      <c r="Q241" s="14"/>
    </row>
    <row r="242" spans="2:17">
      <c r="B242" s="12"/>
      <c r="C242" s="12"/>
      <c r="D242" s="12"/>
      <c r="E242" s="12"/>
      <c r="F242" s="12"/>
      <c r="G242" s="12"/>
      <c r="H242" s="12"/>
      <c r="I242" s="12"/>
      <c r="J242" s="12"/>
      <c r="K242" s="12"/>
      <c r="L242" s="12"/>
      <c r="M242" s="12"/>
      <c r="N242" s="12"/>
      <c r="O242" s="12"/>
      <c r="P242" s="12"/>
      <c r="Q242" s="14"/>
    </row>
    <row r="243" spans="2:17">
      <c r="B243" s="12"/>
      <c r="C243" s="12"/>
      <c r="D243" s="12"/>
      <c r="E243" s="12"/>
      <c r="F243" s="12"/>
      <c r="G243" s="12"/>
      <c r="H243" s="12"/>
      <c r="I243" s="12"/>
      <c r="J243" s="12"/>
      <c r="K243" s="12"/>
      <c r="L243" s="12"/>
      <c r="M243" s="12"/>
      <c r="N243" s="12"/>
      <c r="O243" s="12"/>
      <c r="P243" s="12"/>
      <c r="Q243" s="14"/>
    </row>
    <row r="244" spans="2:17">
      <c r="B244" s="12"/>
      <c r="C244" s="12"/>
      <c r="D244" s="12"/>
      <c r="E244" s="12"/>
      <c r="F244" s="12"/>
      <c r="G244" s="12"/>
      <c r="H244" s="12"/>
      <c r="I244" s="12"/>
      <c r="J244" s="12"/>
      <c r="K244" s="12"/>
      <c r="L244" s="12"/>
      <c r="M244" s="12"/>
      <c r="N244" s="12"/>
      <c r="O244" s="12"/>
      <c r="P244" s="12"/>
      <c r="Q244" s="14"/>
    </row>
    <row r="245" spans="2:17">
      <c r="B245" s="12"/>
      <c r="C245" s="12"/>
      <c r="D245" s="12"/>
      <c r="E245" s="12"/>
      <c r="F245" s="12"/>
      <c r="G245" s="12"/>
      <c r="H245" s="12"/>
      <c r="I245" s="12"/>
      <c r="J245" s="12"/>
      <c r="K245" s="12"/>
      <c r="L245" s="12"/>
      <c r="M245" s="12"/>
      <c r="N245" s="12"/>
      <c r="O245" s="12"/>
      <c r="P245" s="12"/>
      <c r="Q245" s="14"/>
    </row>
    <row r="246" spans="2:17">
      <c r="B246" s="12"/>
      <c r="C246" s="12"/>
      <c r="D246" s="12"/>
      <c r="E246" s="12"/>
      <c r="F246" s="12"/>
      <c r="G246" s="12"/>
      <c r="H246" s="12"/>
      <c r="I246" s="12"/>
      <c r="J246" s="12"/>
      <c r="K246" s="12"/>
      <c r="L246" s="12"/>
      <c r="M246" s="12"/>
      <c r="N246" s="12"/>
      <c r="O246" s="12"/>
      <c r="P246" s="12"/>
      <c r="Q246" s="14"/>
    </row>
    <row r="247" spans="2:17">
      <c r="B247" s="12"/>
      <c r="C247" s="12"/>
      <c r="D247" s="12"/>
      <c r="E247" s="12"/>
      <c r="F247" s="12"/>
      <c r="G247" s="12"/>
      <c r="H247" s="12"/>
      <c r="I247" s="12"/>
      <c r="J247" s="12"/>
      <c r="K247" s="12"/>
      <c r="L247" s="12"/>
      <c r="M247" s="12"/>
      <c r="N247" s="12"/>
      <c r="O247" s="12"/>
      <c r="P247" s="12"/>
      <c r="Q247" s="14"/>
    </row>
    <row r="248" spans="2:17">
      <c r="B248" s="12"/>
      <c r="C248" s="12"/>
      <c r="D248" s="12"/>
      <c r="E248" s="12"/>
      <c r="F248" s="12"/>
      <c r="G248" s="12"/>
      <c r="H248" s="12"/>
      <c r="I248" s="12"/>
      <c r="J248" s="12"/>
      <c r="K248" s="12"/>
      <c r="L248" s="12"/>
      <c r="M248" s="12"/>
      <c r="N248" s="12"/>
      <c r="O248" s="12"/>
      <c r="P248" s="12"/>
      <c r="Q248" s="14"/>
    </row>
    <row r="249" spans="2:17">
      <c r="B249" s="12"/>
      <c r="C249" s="12"/>
      <c r="D249" s="12"/>
      <c r="E249" s="12"/>
      <c r="F249" s="12"/>
      <c r="G249" s="12"/>
      <c r="H249" s="12"/>
      <c r="I249" s="12"/>
      <c r="J249" s="12"/>
      <c r="K249" s="12"/>
      <c r="L249" s="12"/>
      <c r="M249" s="12"/>
      <c r="N249" s="12"/>
      <c r="O249" s="12"/>
      <c r="P249" s="12"/>
      <c r="Q249" s="14"/>
    </row>
    <row r="250" spans="2:17">
      <c r="B250" s="12"/>
      <c r="C250" s="12"/>
      <c r="D250" s="12"/>
      <c r="E250" s="12"/>
      <c r="F250" s="12"/>
      <c r="G250" s="12"/>
      <c r="H250" s="12"/>
      <c r="I250" s="12"/>
      <c r="J250" s="12"/>
      <c r="K250" s="12"/>
      <c r="L250" s="12"/>
      <c r="M250" s="12"/>
      <c r="N250" s="12"/>
      <c r="O250" s="12"/>
      <c r="P250" s="12"/>
      <c r="Q250" s="14"/>
    </row>
    <row r="251" spans="2:17">
      <c r="B251" s="12"/>
      <c r="C251" s="12"/>
      <c r="D251" s="12"/>
      <c r="E251" s="12"/>
      <c r="F251" s="12"/>
      <c r="G251" s="12"/>
      <c r="H251" s="12"/>
      <c r="I251" s="12"/>
      <c r="J251" s="12"/>
      <c r="K251" s="12"/>
      <c r="L251" s="12"/>
      <c r="M251" s="12"/>
      <c r="N251" s="12"/>
      <c r="O251" s="12"/>
      <c r="P251" s="12"/>
      <c r="Q251" s="14"/>
    </row>
    <row r="252" spans="2:17">
      <c r="B252" s="12"/>
      <c r="C252" s="12"/>
      <c r="D252" s="12"/>
      <c r="E252" s="12"/>
      <c r="F252" s="12"/>
      <c r="G252" s="12"/>
      <c r="H252" s="12"/>
      <c r="I252" s="12"/>
      <c r="J252" s="12"/>
      <c r="K252" s="12"/>
      <c r="L252" s="12"/>
      <c r="M252" s="12"/>
      <c r="N252" s="12"/>
      <c r="O252" s="12"/>
      <c r="P252" s="12"/>
      <c r="Q252" s="14"/>
    </row>
    <row r="253" spans="2:17">
      <c r="B253" s="12"/>
      <c r="C253" s="12"/>
      <c r="D253" s="12"/>
      <c r="E253" s="12"/>
      <c r="F253" s="12"/>
      <c r="G253" s="12"/>
      <c r="H253" s="12"/>
      <c r="I253" s="12"/>
      <c r="J253" s="12"/>
      <c r="K253" s="12"/>
      <c r="L253" s="12"/>
      <c r="M253" s="12"/>
      <c r="N253" s="12"/>
      <c r="O253" s="12"/>
      <c r="P253" s="12"/>
      <c r="Q253" s="14"/>
    </row>
    <row r="254" spans="2:17">
      <c r="B254" s="12"/>
      <c r="C254" s="12"/>
      <c r="D254" s="12"/>
      <c r="E254" s="12"/>
      <c r="F254" s="12"/>
      <c r="G254" s="12"/>
      <c r="H254" s="12"/>
      <c r="I254" s="12"/>
      <c r="J254" s="12"/>
      <c r="K254" s="12"/>
      <c r="L254" s="12"/>
      <c r="M254" s="12"/>
      <c r="N254" s="12"/>
      <c r="O254" s="12"/>
      <c r="P254" s="12"/>
      <c r="Q254" s="14"/>
    </row>
    <row r="255" spans="2:17">
      <c r="B255" s="12"/>
      <c r="C255" s="12"/>
      <c r="D255" s="12"/>
      <c r="E255" s="12"/>
      <c r="F255" s="12"/>
      <c r="G255" s="12"/>
      <c r="H255" s="12"/>
      <c r="I255" s="12"/>
      <c r="J255" s="12"/>
      <c r="K255" s="12"/>
      <c r="L255" s="12"/>
      <c r="M255" s="12"/>
      <c r="N255" s="12"/>
      <c r="O255" s="12"/>
      <c r="P255" s="12"/>
      <c r="Q255" s="14"/>
    </row>
    <row r="256" spans="2:17">
      <c r="B256" s="12"/>
      <c r="C256" s="12"/>
      <c r="D256" s="12"/>
      <c r="E256" s="12"/>
      <c r="F256" s="12"/>
      <c r="G256" s="12"/>
      <c r="H256" s="12"/>
      <c r="I256" s="12"/>
      <c r="J256" s="12"/>
      <c r="K256" s="12"/>
      <c r="L256" s="12"/>
      <c r="M256" s="12"/>
      <c r="N256" s="12"/>
      <c r="O256" s="12"/>
      <c r="P256" s="12"/>
      <c r="Q256" s="14"/>
    </row>
    <row r="257" spans="2:17">
      <c r="B257" s="12"/>
      <c r="C257" s="12"/>
      <c r="D257" s="12"/>
      <c r="E257" s="12"/>
      <c r="F257" s="12"/>
      <c r="G257" s="12"/>
      <c r="H257" s="12"/>
      <c r="I257" s="12"/>
      <c r="J257" s="12"/>
      <c r="K257" s="12"/>
      <c r="L257" s="12"/>
      <c r="M257" s="12"/>
      <c r="N257" s="12"/>
      <c r="O257" s="12"/>
      <c r="P257" s="12"/>
      <c r="Q257" s="14"/>
    </row>
    <row r="258" spans="2:17">
      <c r="B258" s="12"/>
      <c r="C258" s="12"/>
      <c r="D258" s="12"/>
      <c r="E258" s="12"/>
      <c r="F258" s="12"/>
      <c r="G258" s="12"/>
      <c r="H258" s="12"/>
      <c r="I258" s="12"/>
      <c r="J258" s="12"/>
      <c r="K258" s="12"/>
      <c r="L258" s="12"/>
      <c r="M258" s="12"/>
      <c r="N258" s="12"/>
      <c r="O258" s="12"/>
      <c r="P258" s="12"/>
      <c r="Q258" s="14"/>
    </row>
    <row r="259" spans="2:17">
      <c r="B259" s="12"/>
      <c r="C259" s="12"/>
      <c r="D259" s="12"/>
      <c r="E259" s="12"/>
      <c r="F259" s="12"/>
      <c r="G259" s="12"/>
      <c r="H259" s="12"/>
      <c r="I259" s="12"/>
      <c r="J259" s="12"/>
      <c r="K259" s="12"/>
      <c r="L259" s="12"/>
      <c r="M259" s="12"/>
      <c r="N259" s="12"/>
      <c r="O259" s="12"/>
      <c r="P259" s="12"/>
      <c r="Q259" s="14"/>
    </row>
    <row r="260" spans="2:17">
      <c r="B260" s="12"/>
      <c r="C260" s="12"/>
      <c r="D260" s="12"/>
      <c r="E260" s="12"/>
      <c r="F260" s="12"/>
      <c r="G260" s="12"/>
      <c r="H260" s="12"/>
      <c r="I260" s="12"/>
      <c r="J260" s="12"/>
      <c r="K260" s="12"/>
      <c r="L260" s="12"/>
      <c r="M260" s="12"/>
      <c r="N260" s="12"/>
      <c r="O260" s="12"/>
      <c r="P260" s="12"/>
      <c r="Q260" s="14"/>
    </row>
    <row r="261" spans="2:17">
      <c r="B261" s="12"/>
      <c r="C261" s="12"/>
      <c r="D261" s="12"/>
      <c r="E261" s="12"/>
      <c r="F261" s="12"/>
      <c r="G261" s="12"/>
      <c r="H261" s="12"/>
      <c r="I261" s="12"/>
      <c r="J261" s="12"/>
      <c r="K261" s="12"/>
      <c r="L261" s="12"/>
      <c r="M261" s="12"/>
      <c r="N261" s="12"/>
      <c r="O261" s="12"/>
      <c r="P261" s="12"/>
      <c r="Q261" s="14"/>
    </row>
    <row r="262" spans="2:17">
      <c r="B262" s="12"/>
      <c r="C262" s="12"/>
      <c r="D262" s="12"/>
      <c r="E262" s="12"/>
      <c r="F262" s="12"/>
      <c r="G262" s="12"/>
      <c r="H262" s="12"/>
      <c r="I262" s="12"/>
      <c r="J262" s="12"/>
      <c r="K262" s="12"/>
      <c r="L262" s="12"/>
      <c r="M262" s="12"/>
      <c r="N262" s="12"/>
      <c r="O262" s="12"/>
      <c r="P262" s="12"/>
      <c r="Q262" s="14"/>
    </row>
    <row r="263" spans="2:17">
      <c r="B263" s="12"/>
      <c r="C263" s="12"/>
      <c r="D263" s="12"/>
      <c r="E263" s="12"/>
      <c r="F263" s="12"/>
      <c r="G263" s="12"/>
      <c r="H263" s="12"/>
      <c r="I263" s="12"/>
      <c r="J263" s="12"/>
      <c r="K263" s="12"/>
      <c r="L263" s="12"/>
      <c r="M263" s="12"/>
      <c r="N263" s="12"/>
      <c r="O263" s="12"/>
      <c r="P263" s="12"/>
      <c r="Q263" s="14"/>
    </row>
    <row r="264" spans="2:17">
      <c r="B264" s="12"/>
      <c r="C264" s="12"/>
      <c r="D264" s="12"/>
      <c r="E264" s="12"/>
      <c r="F264" s="12"/>
      <c r="G264" s="12"/>
      <c r="H264" s="12"/>
      <c r="I264" s="12"/>
      <c r="J264" s="12"/>
      <c r="K264" s="12"/>
      <c r="L264" s="12"/>
      <c r="M264" s="12"/>
      <c r="N264" s="12"/>
      <c r="O264" s="12"/>
      <c r="P264" s="12"/>
      <c r="Q264" s="14"/>
    </row>
    <row r="265" spans="2:17">
      <c r="B265" s="12"/>
      <c r="C265" s="12"/>
      <c r="D265" s="12"/>
      <c r="E265" s="12"/>
      <c r="F265" s="12"/>
      <c r="G265" s="12"/>
      <c r="H265" s="12"/>
      <c r="I265" s="12"/>
      <c r="J265" s="12"/>
      <c r="K265" s="12"/>
      <c r="L265" s="12"/>
      <c r="M265" s="12"/>
      <c r="N265" s="12"/>
      <c r="O265" s="12"/>
      <c r="P265" s="12"/>
      <c r="Q265" s="14"/>
    </row>
    <row r="266" spans="2:17">
      <c r="B266" s="12"/>
      <c r="C266" s="12"/>
      <c r="D266" s="12"/>
      <c r="E266" s="12"/>
      <c r="F266" s="12"/>
      <c r="G266" s="12"/>
      <c r="H266" s="12"/>
      <c r="I266" s="12"/>
      <c r="J266" s="12"/>
      <c r="K266" s="12"/>
      <c r="L266" s="12"/>
      <c r="M266" s="12"/>
      <c r="N266" s="12"/>
      <c r="O266" s="12"/>
      <c r="P266" s="12"/>
      <c r="Q266" s="14"/>
    </row>
    <row r="267" spans="2:17">
      <c r="B267" s="12"/>
      <c r="C267" s="12"/>
      <c r="D267" s="12"/>
      <c r="E267" s="12"/>
      <c r="F267" s="12"/>
      <c r="G267" s="12"/>
      <c r="H267" s="12"/>
      <c r="I267" s="12"/>
      <c r="J267" s="12"/>
      <c r="K267" s="12"/>
      <c r="L267" s="12"/>
      <c r="M267" s="12"/>
      <c r="N267" s="12"/>
      <c r="O267" s="12"/>
      <c r="P267" s="12"/>
      <c r="Q267" s="14"/>
    </row>
    <row r="268" spans="2:17">
      <c r="B268" s="12"/>
      <c r="C268" s="12"/>
      <c r="D268" s="12"/>
      <c r="E268" s="12"/>
      <c r="F268" s="12"/>
      <c r="G268" s="12"/>
      <c r="H268" s="12"/>
      <c r="I268" s="12"/>
      <c r="J268" s="12"/>
      <c r="K268" s="12"/>
      <c r="L268" s="12"/>
      <c r="M268" s="12"/>
      <c r="N268" s="12"/>
      <c r="O268" s="12"/>
      <c r="P268" s="12"/>
      <c r="Q268" s="14"/>
    </row>
    <row r="269" spans="2:17">
      <c r="B269" s="12"/>
      <c r="C269" s="12"/>
      <c r="D269" s="12"/>
      <c r="E269" s="12"/>
      <c r="F269" s="12"/>
      <c r="G269" s="12"/>
      <c r="H269" s="12"/>
      <c r="I269" s="12"/>
      <c r="J269" s="12"/>
      <c r="K269" s="12"/>
      <c r="L269" s="12"/>
      <c r="M269" s="12"/>
      <c r="N269" s="12"/>
      <c r="O269" s="12"/>
      <c r="P269" s="12"/>
      <c r="Q269" s="14"/>
    </row>
    <row r="270" spans="2:17">
      <c r="B270" s="12"/>
      <c r="C270" s="12"/>
      <c r="D270" s="12"/>
      <c r="E270" s="12"/>
      <c r="F270" s="12"/>
      <c r="G270" s="12"/>
      <c r="H270" s="12"/>
      <c r="I270" s="12"/>
      <c r="J270" s="12"/>
      <c r="K270" s="12"/>
      <c r="L270" s="12"/>
      <c r="M270" s="12"/>
      <c r="N270" s="12"/>
      <c r="O270" s="12"/>
      <c r="P270" s="12"/>
      <c r="Q270" s="14"/>
    </row>
    <row r="271" spans="2:17">
      <c r="B271" s="12"/>
      <c r="C271" s="12"/>
      <c r="D271" s="12"/>
      <c r="E271" s="12"/>
      <c r="F271" s="12"/>
      <c r="G271" s="12"/>
      <c r="H271" s="12"/>
      <c r="I271" s="12"/>
      <c r="J271" s="12"/>
      <c r="K271" s="12"/>
      <c r="L271" s="12"/>
      <c r="M271" s="12"/>
      <c r="N271" s="12"/>
      <c r="O271" s="12"/>
      <c r="P271" s="12"/>
      <c r="Q271" s="14"/>
    </row>
    <row r="272" spans="2:17">
      <c r="B272" s="12"/>
      <c r="C272" s="12"/>
      <c r="D272" s="12"/>
      <c r="E272" s="12"/>
      <c r="F272" s="12"/>
      <c r="G272" s="12"/>
      <c r="H272" s="12"/>
      <c r="I272" s="12"/>
      <c r="J272" s="12"/>
      <c r="K272" s="12"/>
      <c r="L272" s="12"/>
      <c r="M272" s="12"/>
      <c r="N272" s="12"/>
      <c r="O272" s="12"/>
      <c r="P272" s="12"/>
      <c r="Q272" s="14"/>
    </row>
    <row r="273" spans="2:17">
      <c r="B273" s="12"/>
      <c r="C273" s="12"/>
      <c r="D273" s="12"/>
      <c r="E273" s="12"/>
      <c r="F273" s="12"/>
      <c r="G273" s="12"/>
      <c r="H273" s="12"/>
      <c r="I273" s="12"/>
      <c r="J273" s="12"/>
      <c r="K273" s="12"/>
      <c r="L273" s="12"/>
      <c r="M273" s="12"/>
      <c r="N273" s="12"/>
      <c r="O273" s="12"/>
      <c r="P273" s="12"/>
      <c r="Q273" s="14"/>
    </row>
    <row r="274" spans="2:17">
      <c r="B274" s="12"/>
      <c r="C274" s="12"/>
      <c r="D274" s="12"/>
      <c r="E274" s="12"/>
      <c r="F274" s="12"/>
      <c r="G274" s="12"/>
      <c r="H274" s="12"/>
      <c r="I274" s="12"/>
      <c r="J274" s="12"/>
      <c r="K274" s="12"/>
      <c r="L274" s="12"/>
      <c r="M274" s="12"/>
      <c r="N274" s="12"/>
      <c r="O274" s="12"/>
      <c r="P274" s="12"/>
      <c r="Q274" s="14"/>
    </row>
    <row r="275" spans="2:17">
      <c r="B275" s="12"/>
      <c r="C275" s="12"/>
      <c r="D275" s="12"/>
      <c r="E275" s="12"/>
      <c r="F275" s="12"/>
      <c r="G275" s="12"/>
      <c r="H275" s="12"/>
      <c r="I275" s="12"/>
      <c r="J275" s="12"/>
      <c r="K275" s="12"/>
      <c r="L275" s="12"/>
      <c r="M275" s="12"/>
      <c r="N275" s="12"/>
      <c r="O275" s="12"/>
      <c r="P275" s="12"/>
      <c r="Q275" s="14"/>
    </row>
    <row r="276" spans="2:17">
      <c r="B276" s="12"/>
      <c r="C276" s="12"/>
      <c r="D276" s="12"/>
      <c r="E276" s="12"/>
      <c r="F276" s="12"/>
      <c r="G276" s="12"/>
      <c r="H276" s="12"/>
      <c r="I276" s="12"/>
      <c r="J276" s="12"/>
      <c r="K276" s="12"/>
      <c r="L276" s="12"/>
      <c r="M276" s="12"/>
      <c r="N276" s="12"/>
      <c r="O276" s="12"/>
      <c r="P276" s="12"/>
      <c r="Q276" s="14"/>
    </row>
    <row r="277" spans="2:17">
      <c r="B277" s="12"/>
      <c r="C277" s="12"/>
      <c r="D277" s="12"/>
      <c r="E277" s="12"/>
      <c r="F277" s="12"/>
      <c r="G277" s="12"/>
      <c r="H277" s="12"/>
      <c r="I277" s="12"/>
      <c r="J277" s="12"/>
      <c r="K277" s="12"/>
      <c r="L277" s="12"/>
      <c r="M277" s="12"/>
      <c r="N277" s="12"/>
      <c r="O277" s="12"/>
      <c r="P277" s="12"/>
      <c r="Q277" s="14"/>
    </row>
    <row r="278" spans="2:17">
      <c r="B278" s="12"/>
      <c r="C278" s="12"/>
      <c r="D278" s="12"/>
      <c r="E278" s="12"/>
      <c r="F278" s="12"/>
      <c r="G278" s="12"/>
      <c r="H278" s="12"/>
      <c r="I278" s="12"/>
      <c r="J278" s="12"/>
      <c r="K278" s="12"/>
      <c r="L278" s="12"/>
      <c r="M278" s="12"/>
      <c r="N278" s="12"/>
      <c r="O278" s="12"/>
      <c r="P278" s="12"/>
      <c r="Q278" s="14"/>
    </row>
    <row r="279" spans="2:17">
      <c r="B279" s="12"/>
      <c r="C279" s="12"/>
      <c r="D279" s="12"/>
      <c r="E279" s="12"/>
      <c r="F279" s="12"/>
      <c r="G279" s="12"/>
      <c r="H279" s="12"/>
      <c r="I279" s="12"/>
      <c r="J279" s="12"/>
      <c r="K279" s="12"/>
      <c r="L279" s="12"/>
      <c r="M279" s="12"/>
      <c r="N279" s="12"/>
      <c r="O279" s="12"/>
      <c r="P279" s="12"/>
      <c r="Q279" s="14"/>
    </row>
    <row r="280" spans="2:17">
      <c r="B280" s="12"/>
      <c r="C280" s="12"/>
      <c r="D280" s="12"/>
      <c r="E280" s="12"/>
      <c r="F280" s="12"/>
      <c r="G280" s="12"/>
      <c r="H280" s="12"/>
      <c r="I280" s="12"/>
      <c r="J280" s="12"/>
      <c r="K280" s="12"/>
      <c r="L280" s="12"/>
      <c r="M280" s="12"/>
      <c r="N280" s="12"/>
      <c r="O280" s="12"/>
      <c r="P280" s="12"/>
      <c r="Q280" s="14"/>
    </row>
    <row r="281" spans="2:17">
      <c r="B281" s="12"/>
      <c r="C281" s="12"/>
      <c r="D281" s="12"/>
      <c r="E281" s="12"/>
      <c r="F281" s="12"/>
      <c r="G281" s="12"/>
      <c r="H281" s="12"/>
      <c r="I281" s="12"/>
      <c r="J281" s="12"/>
      <c r="K281" s="12"/>
      <c r="L281" s="12"/>
      <c r="M281" s="12"/>
      <c r="N281" s="12"/>
      <c r="O281" s="12"/>
      <c r="P281" s="12"/>
      <c r="Q281" s="14"/>
    </row>
    <row r="282" spans="2:17">
      <c r="B282" s="12"/>
      <c r="C282" s="12"/>
      <c r="D282" s="12"/>
      <c r="E282" s="12"/>
      <c r="F282" s="12"/>
      <c r="G282" s="12"/>
      <c r="H282" s="12"/>
      <c r="I282" s="12"/>
      <c r="J282" s="12"/>
      <c r="K282" s="12"/>
      <c r="L282" s="12"/>
      <c r="M282" s="12"/>
      <c r="N282" s="12"/>
      <c r="O282" s="12"/>
      <c r="P282" s="12"/>
      <c r="Q282" s="14"/>
    </row>
    <row r="283" spans="2:17">
      <c r="B283" s="12"/>
      <c r="C283" s="12"/>
      <c r="D283" s="12"/>
      <c r="E283" s="12"/>
      <c r="F283" s="12"/>
      <c r="G283" s="12"/>
      <c r="H283" s="12"/>
      <c r="I283" s="12"/>
      <c r="J283" s="12"/>
      <c r="K283" s="12"/>
      <c r="L283" s="12"/>
      <c r="M283" s="12"/>
      <c r="N283" s="12"/>
      <c r="O283" s="12"/>
      <c r="P283" s="12"/>
      <c r="Q283" s="14"/>
    </row>
    <row r="284" spans="2:17">
      <c r="B284" s="12"/>
      <c r="C284" s="12"/>
      <c r="D284" s="12"/>
      <c r="E284" s="12"/>
      <c r="F284" s="12"/>
      <c r="G284" s="12"/>
      <c r="H284" s="12"/>
      <c r="I284" s="12"/>
      <c r="J284" s="12"/>
      <c r="K284" s="12"/>
      <c r="L284" s="12"/>
      <c r="M284" s="12"/>
      <c r="N284" s="12"/>
      <c r="O284" s="12"/>
      <c r="P284" s="12"/>
      <c r="Q284" s="14"/>
    </row>
    <row r="285" spans="2:17">
      <c r="B285" s="12"/>
      <c r="C285" s="12"/>
      <c r="D285" s="12"/>
      <c r="E285" s="12"/>
      <c r="F285" s="12"/>
      <c r="G285" s="12"/>
      <c r="H285" s="12"/>
      <c r="I285" s="12"/>
      <c r="J285" s="12"/>
      <c r="K285" s="12"/>
      <c r="L285" s="12"/>
      <c r="M285" s="12"/>
      <c r="N285" s="12"/>
      <c r="O285" s="12"/>
      <c r="P285" s="12"/>
      <c r="Q285" s="14"/>
    </row>
    <row r="286" spans="2:17">
      <c r="B286" s="12"/>
      <c r="C286" s="12"/>
      <c r="D286" s="12"/>
      <c r="E286" s="12"/>
      <c r="F286" s="12"/>
      <c r="G286" s="12"/>
      <c r="H286" s="12"/>
      <c r="I286" s="12"/>
      <c r="J286" s="12"/>
      <c r="K286" s="12"/>
      <c r="L286" s="12"/>
      <c r="M286" s="12"/>
      <c r="N286" s="12"/>
      <c r="O286" s="12"/>
      <c r="P286" s="12"/>
      <c r="Q286" s="14"/>
    </row>
    <row r="287" spans="2:17">
      <c r="B287" s="12"/>
      <c r="C287" s="12"/>
      <c r="D287" s="12"/>
      <c r="E287" s="12"/>
      <c r="F287" s="12"/>
      <c r="G287" s="12"/>
      <c r="H287" s="12"/>
      <c r="I287" s="12"/>
      <c r="J287" s="12"/>
      <c r="K287" s="12"/>
      <c r="L287" s="12"/>
      <c r="M287" s="12"/>
      <c r="N287" s="12"/>
      <c r="O287" s="12"/>
      <c r="P287" s="12"/>
      <c r="Q287" s="14"/>
    </row>
    <row r="288" spans="2:17">
      <c r="B288" s="12"/>
      <c r="C288" s="12"/>
      <c r="D288" s="12"/>
      <c r="E288" s="12"/>
      <c r="F288" s="12"/>
      <c r="G288" s="12"/>
      <c r="H288" s="12"/>
      <c r="I288" s="12"/>
      <c r="J288" s="12"/>
      <c r="K288" s="12"/>
      <c r="L288" s="12"/>
      <c r="M288" s="12"/>
      <c r="N288" s="12"/>
      <c r="O288" s="12"/>
      <c r="P288" s="12"/>
      <c r="Q288" s="14"/>
    </row>
    <row r="289" spans="2:17">
      <c r="B289" s="12"/>
      <c r="C289" s="12"/>
      <c r="D289" s="12"/>
      <c r="E289" s="12"/>
      <c r="F289" s="12"/>
      <c r="G289" s="12"/>
      <c r="H289" s="12"/>
      <c r="I289" s="12"/>
      <c r="J289" s="12"/>
      <c r="K289" s="12"/>
      <c r="L289" s="12"/>
      <c r="M289" s="12"/>
      <c r="N289" s="12"/>
      <c r="O289" s="12"/>
      <c r="P289" s="12"/>
      <c r="Q289" s="14"/>
    </row>
    <row r="290" spans="2:17">
      <c r="B290" s="12"/>
      <c r="C290" s="12"/>
      <c r="D290" s="12"/>
      <c r="E290" s="12"/>
      <c r="F290" s="12"/>
      <c r="G290" s="12"/>
      <c r="H290" s="12"/>
      <c r="I290" s="12"/>
      <c r="J290" s="12"/>
      <c r="K290" s="12"/>
      <c r="L290" s="12"/>
      <c r="M290" s="12"/>
      <c r="N290" s="12"/>
      <c r="O290" s="12"/>
      <c r="P290" s="12"/>
      <c r="Q290" s="14"/>
    </row>
    <row r="291" spans="2:17">
      <c r="B291" s="12"/>
      <c r="C291" s="12"/>
      <c r="D291" s="12"/>
      <c r="E291" s="12"/>
      <c r="F291" s="12"/>
      <c r="G291" s="12"/>
      <c r="H291" s="12"/>
      <c r="I291" s="12"/>
      <c r="J291" s="12"/>
      <c r="K291" s="12"/>
      <c r="L291" s="12"/>
      <c r="M291" s="12"/>
      <c r="N291" s="12"/>
      <c r="O291" s="12"/>
      <c r="P291" s="12"/>
      <c r="Q291" s="14"/>
    </row>
    <row r="292" spans="2:17">
      <c r="B292" s="12"/>
      <c r="C292" s="12"/>
      <c r="D292" s="12"/>
      <c r="E292" s="12"/>
      <c r="F292" s="12"/>
      <c r="G292" s="12"/>
      <c r="H292" s="12"/>
      <c r="I292" s="12"/>
      <c r="J292" s="12"/>
      <c r="K292" s="12"/>
      <c r="L292" s="12"/>
      <c r="M292" s="12"/>
      <c r="N292" s="12"/>
      <c r="O292" s="12"/>
      <c r="P292" s="12"/>
      <c r="Q292" s="14"/>
    </row>
    <row r="293" spans="2:17">
      <c r="B293" s="12"/>
      <c r="C293" s="12"/>
      <c r="D293" s="12"/>
      <c r="E293" s="12"/>
      <c r="F293" s="12"/>
      <c r="G293" s="12"/>
      <c r="H293" s="12"/>
      <c r="I293" s="12"/>
      <c r="J293" s="12"/>
      <c r="K293" s="12"/>
      <c r="L293" s="12"/>
      <c r="M293" s="12"/>
      <c r="N293" s="12"/>
      <c r="O293" s="12"/>
      <c r="P293" s="12"/>
      <c r="Q293" s="14"/>
    </row>
    <row r="294" spans="2:17">
      <c r="B294" s="12"/>
      <c r="C294" s="12"/>
      <c r="D294" s="12"/>
      <c r="E294" s="12"/>
      <c r="F294" s="12"/>
      <c r="G294" s="12"/>
      <c r="H294" s="12"/>
      <c r="I294" s="12"/>
      <c r="J294" s="12"/>
      <c r="K294" s="12"/>
      <c r="L294" s="12"/>
      <c r="M294" s="12"/>
      <c r="N294" s="12"/>
      <c r="O294" s="12"/>
      <c r="P294" s="12"/>
      <c r="Q294" s="14"/>
    </row>
    <row r="295" spans="2:17">
      <c r="B295" s="12"/>
      <c r="C295" s="12"/>
      <c r="D295" s="12"/>
      <c r="E295" s="12"/>
      <c r="F295" s="12"/>
      <c r="G295" s="12"/>
      <c r="H295" s="12"/>
      <c r="I295" s="12"/>
      <c r="J295" s="12"/>
      <c r="K295" s="12"/>
      <c r="L295" s="12"/>
      <c r="M295" s="12"/>
      <c r="N295" s="12"/>
      <c r="O295" s="12"/>
      <c r="P295" s="12"/>
      <c r="Q295" s="14"/>
    </row>
    <row r="296" spans="2:17">
      <c r="B296" s="12"/>
      <c r="C296" s="12"/>
      <c r="D296" s="12"/>
      <c r="E296" s="12"/>
      <c r="F296" s="12"/>
      <c r="G296" s="12"/>
      <c r="H296" s="12"/>
      <c r="I296" s="12"/>
      <c r="J296" s="12"/>
      <c r="K296" s="12"/>
      <c r="L296" s="12"/>
      <c r="M296" s="12"/>
      <c r="N296" s="12"/>
      <c r="O296" s="12"/>
      <c r="P296" s="12"/>
      <c r="Q296" s="14"/>
    </row>
    <row r="297" spans="2:17">
      <c r="B297" s="12"/>
      <c r="C297" s="12"/>
      <c r="D297" s="12"/>
      <c r="E297" s="12"/>
      <c r="F297" s="12"/>
      <c r="G297" s="12"/>
      <c r="H297" s="12"/>
      <c r="I297" s="12"/>
      <c r="J297" s="12"/>
      <c r="K297" s="12"/>
      <c r="L297" s="12"/>
      <c r="M297" s="12"/>
      <c r="N297" s="12"/>
      <c r="O297" s="12"/>
      <c r="P297" s="12"/>
      <c r="Q297" s="14"/>
    </row>
    <row r="298" spans="2:17">
      <c r="B298" s="12"/>
      <c r="C298" s="12"/>
      <c r="D298" s="12"/>
      <c r="E298" s="12"/>
      <c r="F298" s="12"/>
      <c r="G298" s="12"/>
      <c r="H298" s="12"/>
      <c r="I298" s="12"/>
      <c r="J298" s="12"/>
      <c r="K298" s="12"/>
      <c r="L298" s="12"/>
      <c r="M298" s="12"/>
      <c r="N298" s="12"/>
      <c r="O298" s="12"/>
      <c r="P298" s="12"/>
      <c r="Q298" s="14"/>
    </row>
    <row r="299" spans="2:17">
      <c r="B299" s="12"/>
      <c r="C299" s="12"/>
      <c r="D299" s="12"/>
      <c r="E299" s="12"/>
      <c r="F299" s="12"/>
      <c r="G299" s="12"/>
      <c r="H299" s="12"/>
      <c r="I299" s="12"/>
      <c r="J299" s="12"/>
      <c r="K299" s="12"/>
      <c r="L299" s="12"/>
      <c r="M299" s="12"/>
      <c r="N299" s="12"/>
      <c r="O299" s="12"/>
      <c r="P299" s="12"/>
      <c r="Q299" s="14"/>
    </row>
    <row r="300" spans="2:17">
      <c r="B300" s="12"/>
      <c r="C300" s="12"/>
      <c r="D300" s="12"/>
      <c r="E300" s="12"/>
      <c r="F300" s="12"/>
      <c r="G300" s="12"/>
      <c r="H300" s="12"/>
      <c r="I300" s="12"/>
      <c r="J300" s="12"/>
      <c r="K300" s="12"/>
      <c r="L300" s="12"/>
      <c r="M300" s="12"/>
      <c r="N300" s="12"/>
      <c r="O300" s="12"/>
      <c r="P300" s="12"/>
      <c r="Q300" s="14"/>
    </row>
    <row r="301" spans="2:17">
      <c r="B301" s="12"/>
      <c r="C301" s="12"/>
      <c r="D301" s="12"/>
      <c r="E301" s="12"/>
      <c r="F301" s="12"/>
      <c r="G301" s="12"/>
      <c r="H301" s="12"/>
      <c r="I301" s="12"/>
      <c r="J301" s="12"/>
      <c r="K301" s="12"/>
      <c r="L301" s="12"/>
      <c r="M301" s="12"/>
      <c r="N301" s="12"/>
      <c r="O301" s="12"/>
      <c r="P301" s="12"/>
      <c r="Q301" s="14"/>
    </row>
    <row r="302" spans="2:17">
      <c r="B302" s="12"/>
      <c r="C302" s="12"/>
      <c r="D302" s="12"/>
      <c r="E302" s="12"/>
      <c r="F302" s="12"/>
      <c r="G302" s="12"/>
      <c r="H302" s="12"/>
      <c r="I302" s="12"/>
      <c r="J302" s="12"/>
      <c r="K302" s="12"/>
      <c r="L302" s="12"/>
      <c r="M302" s="12"/>
      <c r="N302" s="12"/>
      <c r="O302" s="12"/>
      <c r="P302" s="12"/>
      <c r="Q302" s="14"/>
    </row>
    <row r="303" spans="2:17">
      <c r="B303" s="12"/>
      <c r="C303" s="12"/>
      <c r="D303" s="12"/>
      <c r="E303" s="12"/>
      <c r="F303" s="12"/>
      <c r="G303" s="12"/>
      <c r="H303" s="12"/>
      <c r="I303" s="12"/>
      <c r="J303" s="12"/>
      <c r="K303" s="12"/>
      <c r="L303" s="12"/>
      <c r="M303" s="12"/>
      <c r="N303" s="12"/>
      <c r="O303" s="12"/>
      <c r="P303" s="12"/>
      <c r="Q303" s="14"/>
    </row>
    <row r="304" spans="2:17">
      <c r="B304" s="12"/>
      <c r="C304" s="12"/>
      <c r="D304" s="12"/>
      <c r="E304" s="12"/>
      <c r="F304" s="12"/>
      <c r="G304" s="12"/>
      <c r="H304" s="12"/>
      <c r="I304" s="12"/>
      <c r="J304" s="12"/>
      <c r="K304" s="12"/>
      <c r="L304" s="12"/>
      <c r="M304" s="12"/>
      <c r="N304" s="12"/>
      <c r="O304" s="12"/>
      <c r="P304" s="12"/>
      <c r="Q304" s="14"/>
    </row>
    <row r="305" spans="2:17">
      <c r="B305" s="12"/>
      <c r="C305" s="12"/>
      <c r="D305" s="12"/>
      <c r="E305" s="12"/>
      <c r="F305" s="12"/>
      <c r="G305" s="12"/>
      <c r="H305" s="12"/>
      <c r="I305" s="12"/>
      <c r="J305" s="12"/>
      <c r="K305" s="12"/>
      <c r="L305" s="12"/>
      <c r="M305" s="12"/>
      <c r="N305" s="12"/>
      <c r="O305" s="12"/>
      <c r="P305" s="12"/>
      <c r="Q305" s="14"/>
    </row>
    <row r="306" spans="2:17">
      <c r="B306" s="12"/>
      <c r="C306" s="12"/>
      <c r="D306" s="12"/>
      <c r="E306" s="12"/>
      <c r="F306" s="12"/>
      <c r="G306" s="12"/>
      <c r="H306" s="12"/>
      <c r="I306" s="12"/>
      <c r="J306" s="12"/>
      <c r="K306" s="12"/>
      <c r="L306" s="12"/>
      <c r="M306" s="12"/>
      <c r="N306" s="12"/>
      <c r="O306" s="12"/>
      <c r="P306" s="12"/>
      <c r="Q306" s="14"/>
    </row>
    <row r="307" spans="2:17">
      <c r="B307" s="12"/>
      <c r="C307" s="12"/>
      <c r="D307" s="12"/>
      <c r="E307" s="12"/>
      <c r="F307" s="12"/>
      <c r="G307" s="12"/>
      <c r="H307" s="12"/>
      <c r="I307" s="12"/>
      <c r="J307" s="12"/>
      <c r="K307" s="12"/>
      <c r="L307" s="12"/>
      <c r="M307" s="12"/>
      <c r="N307" s="12"/>
      <c r="O307" s="12"/>
      <c r="P307" s="12"/>
      <c r="Q307" s="14"/>
    </row>
    <row r="308" spans="2:17">
      <c r="B308" s="12"/>
      <c r="C308" s="12"/>
      <c r="D308" s="12"/>
      <c r="E308" s="12"/>
      <c r="F308" s="12"/>
      <c r="G308" s="12"/>
      <c r="H308" s="12"/>
      <c r="I308" s="12"/>
      <c r="J308" s="12"/>
      <c r="K308" s="12"/>
      <c r="L308" s="12"/>
      <c r="M308" s="12"/>
      <c r="N308" s="12"/>
      <c r="O308" s="12"/>
      <c r="P308" s="12"/>
      <c r="Q308" s="14"/>
    </row>
    <row r="309" spans="2:17">
      <c r="B309" s="12"/>
      <c r="C309" s="12"/>
      <c r="D309" s="12"/>
      <c r="E309" s="12"/>
      <c r="F309" s="12"/>
      <c r="G309" s="12"/>
      <c r="H309" s="12"/>
      <c r="I309" s="12"/>
      <c r="J309" s="12"/>
      <c r="K309" s="12"/>
      <c r="L309" s="12"/>
      <c r="M309" s="12"/>
      <c r="N309" s="12"/>
      <c r="O309" s="12"/>
      <c r="P309" s="12"/>
      <c r="Q309" s="14"/>
    </row>
    <row r="310" spans="2:17">
      <c r="B310" s="12"/>
      <c r="C310" s="12"/>
      <c r="D310" s="12"/>
      <c r="E310" s="12"/>
      <c r="F310" s="12"/>
      <c r="G310" s="12"/>
      <c r="H310" s="12"/>
      <c r="I310" s="12"/>
      <c r="J310" s="12"/>
      <c r="K310" s="12"/>
      <c r="L310" s="12"/>
      <c r="M310" s="12"/>
      <c r="N310" s="12"/>
      <c r="O310" s="12"/>
      <c r="P310" s="12"/>
      <c r="Q310" s="14"/>
    </row>
    <row r="311" spans="2:17">
      <c r="B311" s="12"/>
      <c r="C311" s="12"/>
      <c r="D311" s="12"/>
      <c r="E311" s="12"/>
      <c r="F311" s="12"/>
      <c r="G311" s="12"/>
      <c r="H311" s="12"/>
      <c r="I311" s="12"/>
      <c r="J311" s="12"/>
      <c r="K311" s="12"/>
      <c r="L311" s="12"/>
      <c r="M311" s="12"/>
      <c r="N311" s="12"/>
      <c r="O311" s="12"/>
      <c r="P311" s="12"/>
      <c r="Q311" s="14"/>
    </row>
    <row r="312" spans="2:17">
      <c r="B312" s="12"/>
      <c r="C312" s="12"/>
      <c r="D312" s="12"/>
      <c r="E312" s="12"/>
      <c r="F312" s="12"/>
      <c r="G312" s="12"/>
      <c r="H312" s="12"/>
      <c r="I312" s="12"/>
      <c r="J312" s="12"/>
      <c r="K312" s="12"/>
      <c r="L312" s="12"/>
      <c r="M312" s="12"/>
      <c r="N312" s="12"/>
      <c r="O312" s="12"/>
      <c r="P312" s="12"/>
      <c r="Q312" s="14"/>
    </row>
    <row r="313" spans="2:17">
      <c r="B313" s="12"/>
      <c r="C313" s="12"/>
      <c r="D313" s="12"/>
      <c r="E313" s="12"/>
      <c r="F313" s="12"/>
      <c r="G313" s="12"/>
      <c r="H313" s="12"/>
      <c r="I313" s="12"/>
      <c r="J313" s="12"/>
      <c r="K313" s="12"/>
      <c r="L313" s="12"/>
      <c r="M313" s="12"/>
      <c r="N313" s="12"/>
      <c r="O313" s="12"/>
      <c r="P313" s="12"/>
      <c r="Q313" s="14"/>
    </row>
    <row r="314" spans="2:17">
      <c r="B314" s="12"/>
      <c r="C314" s="12"/>
      <c r="D314" s="12"/>
      <c r="E314" s="12"/>
      <c r="F314" s="12"/>
      <c r="G314" s="12"/>
      <c r="H314" s="12"/>
      <c r="I314" s="12"/>
      <c r="J314" s="12"/>
      <c r="K314" s="12"/>
      <c r="L314" s="12"/>
      <c r="M314" s="12"/>
      <c r="N314" s="12"/>
      <c r="O314" s="12"/>
      <c r="P314" s="12"/>
      <c r="Q314" s="14"/>
    </row>
    <row r="315" spans="2:17">
      <c r="B315" s="12"/>
      <c r="C315" s="12"/>
      <c r="D315" s="12"/>
      <c r="E315" s="12"/>
      <c r="F315" s="12"/>
      <c r="G315" s="12"/>
      <c r="H315" s="12"/>
      <c r="I315" s="12"/>
      <c r="J315" s="12"/>
      <c r="K315" s="12"/>
      <c r="L315" s="12"/>
      <c r="M315" s="12"/>
      <c r="N315" s="12"/>
      <c r="O315" s="12"/>
      <c r="P315" s="12"/>
      <c r="Q315" s="14"/>
    </row>
    <row r="316" spans="2:17">
      <c r="B316" s="12"/>
      <c r="C316" s="12"/>
      <c r="D316" s="12"/>
      <c r="E316" s="12"/>
      <c r="F316" s="12"/>
      <c r="G316" s="12"/>
      <c r="H316" s="12"/>
      <c r="I316" s="12"/>
      <c r="J316" s="12"/>
      <c r="K316" s="12"/>
      <c r="L316" s="12"/>
      <c r="M316" s="12"/>
      <c r="N316" s="12"/>
      <c r="O316" s="12"/>
      <c r="P316" s="12"/>
      <c r="Q316" s="14"/>
    </row>
    <row r="317" spans="2:17">
      <c r="B317" s="12"/>
      <c r="C317" s="12"/>
      <c r="D317" s="12"/>
      <c r="E317" s="12"/>
      <c r="F317" s="12"/>
      <c r="G317" s="12"/>
      <c r="H317" s="12"/>
      <c r="I317" s="12"/>
      <c r="J317" s="12"/>
      <c r="K317" s="12"/>
      <c r="L317" s="12"/>
      <c r="M317" s="12"/>
      <c r="N317" s="12"/>
      <c r="O317" s="12"/>
      <c r="P317" s="12"/>
      <c r="Q317" s="14"/>
    </row>
    <row r="318" spans="2:17">
      <c r="B318" s="12"/>
      <c r="C318" s="12"/>
      <c r="D318" s="12"/>
      <c r="E318" s="12"/>
      <c r="F318" s="12"/>
      <c r="G318" s="12"/>
      <c r="H318" s="12"/>
      <c r="I318" s="12"/>
      <c r="J318" s="12"/>
      <c r="K318" s="12"/>
      <c r="L318" s="12"/>
      <c r="M318" s="12"/>
      <c r="N318" s="12"/>
      <c r="O318" s="12"/>
      <c r="P318" s="12"/>
      <c r="Q318" s="14"/>
    </row>
    <row r="319" spans="2:17">
      <c r="B319" s="12"/>
      <c r="C319" s="12"/>
      <c r="D319" s="12"/>
      <c r="E319" s="12"/>
      <c r="F319" s="12"/>
      <c r="G319" s="12"/>
      <c r="H319" s="12"/>
      <c r="I319" s="12"/>
      <c r="J319" s="12"/>
      <c r="K319" s="12"/>
      <c r="L319" s="12"/>
      <c r="M319" s="12"/>
      <c r="N319" s="12"/>
      <c r="O319" s="12"/>
      <c r="P319" s="12"/>
      <c r="Q319" s="14"/>
    </row>
    <row r="320" spans="2:17">
      <c r="B320" s="12"/>
      <c r="C320" s="12"/>
      <c r="D320" s="12"/>
      <c r="E320" s="12"/>
      <c r="F320" s="12"/>
      <c r="G320" s="12"/>
      <c r="H320" s="12"/>
      <c r="I320" s="12"/>
      <c r="J320" s="12"/>
      <c r="K320" s="12"/>
      <c r="L320" s="12"/>
      <c r="M320" s="12"/>
      <c r="N320" s="12"/>
      <c r="O320" s="12"/>
      <c r="P320" s="12"/>
      <c r="Q320" s="14"/>
    </row>
    <row r="321" spans="2:17">
      <c r="B321" s="12"/>
      <c r="C321" s="12"/>
      <c r="D321" s="12"/>
      <c r="E321" s="12"/>
      <c r="F321" s="12"/>
      <c r="G321" s="12"/>
      <c r="H321" s="12"/>
      <c r="I321" s="12"/>
      <c r="J321" s="12"/>
      <c r="K321" s="12"/>
      <c r="L321" s="12"/>
      <c r="M321" s="12"/>
      <c r="N321" s="12"/>
      <c r="O321" s="12"/>
      <c r="P321" s="12"/>
      <c r="Q321" s="14"/>
    </row>
    <row r="322" spans="2:17">
      <c r="B322" s="12"/>
      <c r="C322" s="12"/>
      <c r="D322" s="12"/>
      <c r="E322" s="12"/>
      <c r="F322" s="12"/>
      <c r="G322" s="12"/>
      <c r="H322" s="12"/>
      <c r="I322" s="12"/>
      <c r="J322" s="12"/>
      <c r="K322" s="12"/>
      <c r="L322" s="12"/>
      <c r="M322" s="12"/>
      <c r="N322" s="12"/>
      <c r="O322" s="12"/>
      <c r="P322" s="12"/>
      <c r="Q322" s="14"/>
    </row>
    <row r="323" spans="2:17">
      <c r="B323" s="12"/>
      <c r="C323" s="12"/>
      <c r="D323" s="12"/>
      <c r="E323" s="12"/>
      <c r="F323" s="12"/>
      <c r="G323" s="12"/>
      <c r="H323" s="12"/>
      <c r="I323" s="12"/>
      <c r="J323" s="12"/>
      <c r="K323" s="12"/>
      <c r="L323" s="12"/>
      <c r="M323" s="12"/>
      <c r="N323" s="12"/>
      <c r="O323" s="12"/>
      <c r="P323" s="12"/>
      <c r="Q323" s="14"/>
    </row>
    <row r="324" spans="2:17">
      <c r="B324" s="12"/>
      <c r="C324" s="12"/>
      <c r="D324" s="12"/>
      <c r="E324" s="12"/>
      <c r="F324" s="12"/>
      <c r="G324" s="12"/>
      <c r="H324" s="12"/>
      <c r="I324" s="12"/>
      <c r="J324" s="12"/>
      <c r="K324" s="12"/>
      <c r="L324" s="12"/>
      <c r="M324" s="12"/>
      <c r="N324" s="12"/>
      <c r="O324" s="12"/>
      <c r="P324" s="12"/>
      <c r="Q324" s="14"/>
    </row>
    <row r="325" spans="2:17">
      <c r="B325" s="12"/>
      <c r="C325" s="12"/>
      <c r="D325" s="12"/>
      <c r="E325" s="12"/>
      <c r="F325" s="12"/>
      <c r="G325" s="12"/>
      <c r="H325" s="12"/>
      <c r="I325" s="12"/>
      <c r="J325" s="12"/>
      <c r="K325" s="12"/>
      <c r="L325" s="12"/>
      <c r="M325" s="12"/>
      <c r="N325" s="12"/>
      <c r="O325" s="12"/>
      <c r="P325" s="12"/>
      <c r="Q325" s="14"/>
    </row>
    <row r="326" spans="2:17">
      <c r="B326" s="12"/>
      <c r="C326" s="12"/>
      <c r="D326" s="12"/>
      <c r="E326" s="12"/>
      <c r="F326" s="12"/>
      <c r="G326" s="12"/>
      <c r="H326" s="12"/>
      <c r="I326" s="12"/>
      <c r="J326" s="12"/>
      <c r="K326" s="12"/>
      <c r="L326" s="12"/>
      <c r="M326" s="12"/>
      <c r="N326" s="12"/>
      <c r="O326" s="12"/>
      <c r="P326" s="12"/>
      <c r="Q326" s="14"/>
    </row>
    <row r="327" spans="2:17">
      <c r="B327" s="12"/>
      <c r="C327" s="12"/>
      <c r="D327" s="12"/>
      <c r="E327" s="12"/>
      <c r="F327" s="12"/>
      <c r="G327" s="12"/>
      <c r="H327" s="12"/>
      <c r="I327" s="12"/>
      <c r="J327" s="12"/>
      <c r="K327" s="12"/>
      <c r="L327" s="12"/>
      <c r="M327" s="12"/>
      <c r="N327" s="12"/>
      <c r="O327" s="12"/>
      <c r="P327" s="12"/>
      <c r="Q327" s="14"/>
    </row>
    <row r="328" spans="2:17">
      <c r="B328" s="12"/>
      <c r="C328" s="12"/>
      <c r="D328" s="12"/>
      <c r="E328" s="12"/>
      <c r="F328" s="12"/>
      <c r="G328" s="12"/>
      <c r="H328" s="12"/>
      <c r="I328" s="12"/>
      <c r="J328" s="12"/>
      <c r="K328" s="12"/>
      <c r="L328" s="12"/>
      <c r="M328" s="12"/>
      <c r="N328" s="12"/>
      <c r="O328" s="12"/>
      <c r="P328" s="12"/>
      <c r="Q328" s="14"/>
    </row>
    <row r="329" spans="2:17">
      <c r="B329" s="12"/>
      <c r="C329" s="12"/>
      <c r="D329" s="12"/>
      <c r="E329" s="12"/>
      <c r="F329" s="12"/>
      <c r="G329" s="12"/>
      <c r="H329" s="12"/>
      <c r="I329" s="12"/>
      <c r="J329" s="12"/>
      <c r="K329" s="12"/>
      <c r="L329" s="12"/>
      <c r="M329" s="12"/>
      <c r="N329" s="12"/>
      <c r="O329" s="12"/>
      <c r="P329" s="12"/>
      <c r="Q329" s="14"/>
    </row>
    <row r="330" spans="2:17">
      <c r="B330" s="12"/>
      <c r="C330" s="12"/>
      <c r="D330" s="12"/>
      <c r="E330" s="12"/>
      <c r="F330" s="12"/>
      <c r="G330" s="12"/>
      <c r="H330" s="12"/>
      <c r="I330" s="12"/>
      <c r="J330" s="12"/>
      <c r="K330" s="12"/>
      <c r="L330" s="12"/>
      <c r="M330" s="12"/>
      <c r="N330" s="12"/>
      <c r="O330" s="12"/>
      <c r="P330" s="12"/>
      <c r="Q330" s="14"/>
    </row>
    <row r="331" spans="2:17">
      <c r="B331" s="12"/>
      <c r="C331" s="12"/>
      <c r="D331" s="12"/>
      <c r="E331" s="12"/>
      <c r="F331" s="12"/>
      <c r="G331" s="12"/>
      <c r="H331" s="12"/>
      <c r="I331" s="12"/>
      <c r="J331" s="12"/>
      <c r="K331" s="12"/>
      <c r="L331" s="12"/>
      <c r="M331" s="12"/>
      <c r="N331" s="12"/>
      <c r="O331" s="12"/>
      <c r="P331" s="12"/>
      <c r="Q331" s="14"/>
    </row>
    <row r="332" spans="2:17">
      <c r="B332" s="12"/>
      <c r="C332" s="12"/>
      <c r="D332" s="12"/>
      <c r="E332" s="12"/>
      <c r="F332" s="12"/>
      <c r="G332" s="12"/>
      <c r="H332" s="12"/>
      <c r="I332" s="12"/>
      <c r="J332" s="12"/>
      <c r="K332" s="12"/>
      <c r="L332" s="12"/>
      <c r="M332" s="12"/>
      <c r="N332" s="12"/>
      <c r="O332" s="12"/>
      <c r="P332" s="12"/>
      <c r="Q332" s="14"/>
    </row>
    <row r="333" spans="2:17">
      <c r="B333" s="12"/>
      <c r="C333" s="12"/>
      <c r="D333" s="12"/>
      <c r="E333" s="12"/>
      <c r="F333" s="12"/>
      <c r="G333" s="12"/>
      <c r="H333" s="12"/>
      <c r="I333" s="12"/>
      <c r="J333" s="12"/>
      <c r="K333" s="12"/>
      <c r="L333" s="12"/>
      <c r="M333" s="12"/>
      <c r="N333" s="12"/>
      <c r="O333" s="12"/>
      <c r="P333" s="12"/>
      <c r="Q333" s="14"/>
    </row>
    <row r="334" spans="2:17">
      <c r="B334" s="12"/>
      <c r="C334" s="12"/>
      <c r="D334" s="12"/>
      <c r="E334" s="12"/>
      <c r="F334" s="12"/>
      <c r="G334" s="12"/>
      <c r="H334" s="12"/>
      <c r="I334" s="12"/>
      <c r="J334" s="12"/>
      <c r="K334" s="12"/>
      <c r="L334" s="12"/>
      <c r="M334" s="12"/>
      <c r="N334" s="12"/>
      <c r="O334" s="12"/>
      <c r="P334" s="12"/>
      <c r="Q334" s="14"/>
    </row>
    <row r="335" spans="2:17">
      <c r="B335" s="12"/>
      <c r="C335" s="12"/>
      <c r="D335" s="12"/>
      <c r="E335" s="12"/>
      <c r="F335" s="12"/>
      <c r="G335" s="12"/>
      <c r="H335" s="12"/>
      <c r="I335" s="12"/>
      <c r="J335" s="12"/>
      <c r="K335" s="12"/>
      <c r="L335" s="12"/>
      <c r="M335" s="12"/>
      <c r="N335" s="12"/>
      <c r="O335" s="12"/>
      <c r="P335" s="12"/>
      <c r="Q335" s="14"/>
    </row>
    <row r="336" spans="2:17">
      <c r="B336" s="12"/>
      <c r="C336" s="12"/>
      <c r="D336" s="12"/>
      <c r="E336" s="12"/>
      <c r="F336" s="12"/>
      <c r="G336" s="12"/>
      <c r="H336" s="12"/>
      <c r="I336" s="12"/>
      <c r="J336" s="12"/>
      <c r="K336" s="12"/>
      <c r="L336" s="12"/>
      <c r="M336" s="12"/>
      <c r="N336" s="12"/>
      <c r="O336" s="12"/>
      <c r="P336" s="12"/>
      <c r="Q336" s="14"/>
    </row>
    <row r="337" spans="2:17">
      <c r="B337" s="12"/>
      <c r="C337" s="12"/>
      <c r="D337" s="12"/>
      <c r="E337" s="12"/>
      <c r="F337" s="12"/>
      <c r="G337" s="12"/>
      <c r="H337" s="12"/>
      <c r="I337" s="12"/>
      <c r="J337" s="12"/>
      <c r="K337" s="12"/>
      <c r="L337" s="12"/>
      <c r="M337" s="12"/>
      <c r="N337" s="12"/>
      <c r="O337" s="12"/>
      <c r="P337" s="12"/>
      <c r="Q337" s="14"/>
    </row>
    <row r="338" spans="2:17">
      <c r="B338" s="12"/>
      <c r="C338" s="12"/>
      <c r="D338" s="12"/>
      <c r="E338" s="12"/>
      <c r="F338" s="12"/>
      <c r="G338" s="12"/>
      <c r="H338" s="12"/>
      <c r="I338" s="12"/>
      <c r="J338" s="12"/>
      <c r="K338" s="12"/>
      <c r="L338" s="12"/>
      <c r="M338" s="12"/>
      <c r="N338" s="12"/>
      <c r="O338" s="12"/>
      <c r="P338" s="12"/>
      <c r="Q338" s="14"/>
    </row>
    <row r="339" spans="2:17">
      <c r="B339" s="12"/>
      <c r="C339" s="12"/>
      <c r="D339" s="12"/>
      <c r="E339" s="12"/>
      <c r="F339" s="12"/>
      <c r="G339" s="12"/>
      <c r="H339" s="12"/>
      <c r="I339" s="12"/>
      <c r="J339" s="12"/>
      <c r="K339" s="12"/>
      <c r="L339" s="12"/>
      <c r="M339" s="12"/>
      <c r="N339" s="12"/>
      <c r="O339" s="12"/>
      <c r="P339" s="12"/>
      <c r="Q339" s="14"/>
    </row>
    <row r="340" spans="2:17">
      <c r="B340" s="12"/>
      <c r="C340" s="12"/>
      <c r="D340" s="12"/>
      <c r="E340" s="12"/>
      <c r="F340" s="12"/>
      <c r="G340" s="12"/>
      <c r="H340" s="12"/>
      <c r="I340" s="12"/>
      <c r="J340" s="12"/>
      <c r="K340" s="12"/>
      <c r="L340" s="12"/>
      <c r="M340" s="12"/>
      <c r="N340" s="12"/>
      <c r="O340" s="12"/>
      <c r="P340" s="12"/>
      <c r="Q340" s="14"/>
    </row>
    <row r="341" spans="2:17">
      <c r="B341" s="12"/>
      <c r="C341" s="12"/>
      <c r="D341" s="12"/>
      <c r="E341" s="12"/>
      <c r="F341" s="12"/>
      <c r="G341" s="12"/>
      <c r="H341" s="12"/>
      <c r="I341" s="12"/>
      <c r="J341" s="12"/>
      <c r="K341" s="12"/>
      <c r="L341" s="12"/>
      <c r="M341" s="12"/>
      <c r="N341" s="12"/>
      <c r="O341" s="12"/>
      <c r="P341" s="12"/>
      <c r="Q341" s="14"/>
    </row>
    <row r="342" spans="2:17">
      <c r="B342" s="12"/>
      <c r="C342" s="12"/>
      <c r="D342" s="12"/>
      <c r="E342" s="12"/>
      <c r="F342" s="12"/>
      <c r="G342" s="12"/>
      <c r="H342" s="12"/>
      <c r="I342" s="12"/>
      <c r="J342" s="12"/>
      <c r="K342" s="12"/>
      <c r="L342" s="12"/>
      <c r="M342" s="12"/>
      <c r="N342" s="12"/>
      <c r="O342" s="12"/>
      <c r="P342" s="12"/>
      <c r="Q342" s="14"/>
    </row>
    <row r="343" spans="2:17">
      <c r="B343" s="12"/>
      <c r="C343" s="12"/>
      <c r="D343" s="12"/>
      <c r="E343" s="12"/>
      <c r="F343" s="12"/>
      <c r="G343" s="12"/>
      <c r="H343" s="12"/>
      <c r="I343" s="12"/>
      <c r="J343" s="12"/>
      <c r="K343" s="12"/>
      <c r="L343" s="12"/>
      <c r="M343" s="12"/>
      <c r="N343" s="12"/>
      <c r="O343" s="12"/>
      <c r="P343" s="12"/>
      <c r="Q343" s="14"/>
    </row>
    <row r="344" spans="2:17">
      <c r="B344" s="12"/>
      <c r="C344" s="12"/>
      <c r="D344" s="12"/>
      <c r="E344" s="12"/>
      <c r="F344" s="12"/>
      <c r="G344" s="12"/>
      <c r="H344" s="12"/>
      <c r="I344" s="12"/>
      <c r="J344" s="12"/>
      <c r="K344" s="12"/>
      <c r="L344" s="12"/>
      <c r="M344" s="12"/>
      <c r="N344" s="12"/>
      <c r="O344" s="12"/>
      <c r="P344" s="12"/>
      <c r="Q344" s="14"/>
    </row>
    <row r="345" spans="2:17">
      <c r="B345" s="12"/>
      <c r="C345" s="12"/>
      <c r="D345" s="12"/>
      <c r="E345" s="12"/>
      <c r="F345" s="12"/>
      <c r="G345" s="12"/>
      <c r="H345" s="12"/>
      <c r="I345" s="12"/>
      <c r="J345" s="12"/>
      <c r="K345" s="12"/>
      <c r="L345" s="12"/>
      <c r="M345" s="12"/>
      <c r="N345" s="12"/>
      <c r="O345" s="12"/>
      <c r="P345" s="12"/>
      <c r="Q345" s="14"/>
    </row>
    <row r="346" spans="2:17">
      <c r="B346" s="12"/>
      <c r="C346" s="12"/>
      <c r="D346" s="12"/>
      <c r="E346" s="12"/>
      <c r="F346" s="12"/>
      <c r="G346" s="12"/>
      <c r="H346" s="12"/>
      <c r="I346" s="12"/>
      <c r="J346" s="12"/>
      <c r="K346" s="12"/>
      <c r="L346" s="12"/>
      <c r="M346" s="12"/>
      <c r="N346" s="12"/>
      <c r="O346" s="12"/>
      <c r="P346" s="12"/>
      <c r="Q346" s="14"/>
    </row>
    <row r="347" spans="2:17">
      <c r="B347" s="12"/>
      <c r="C347" s="12"/>
      <c r="D347" s="12"/>
      <c r="E347" s="12"/>
      <c r="F347" s="12"/>
      <c r="G347" s="12"/>
      <c r="H347" s="12"/>
      <c r="I347" s="12"/>
      <c r="J347" s="12"/>
      <c r="K347" s="12"/>
      <c r="L347" s="12"/>
      <c r="M347" s="12"/>
      <c r="N347" s="12"/>
      <c r="O347" s="12"/>
      <c r="P347" s="12"/>
      <c r="Q347" s="14"/>
    </row>
    <row r="348" spans="2:17">
      <c r="B348" s="12"/>
      <c r="C348" s="12"/>
      <c r="D348" s="12"/>
      <c r="E348" s="12"/>
      <c r="F348" s="12"/>
      <c r="G348" s="12"/>
      <c r="H348" s="12"/>
      <c r="I348" s="12"/>
      <c r="J348" s="12"/>
      <c r="K348" s="12"/>
      <c r="L348" s="12"/>
      <c r="M348" s="12"/>
      <c r="N348" s="12"/>
      <c r="O348" s="12"/>
      <c r="P348" s="12"/>
      <c r="Q348" s="14"/>
    </row>
    <row r="349" spans="2:17">
      <c r="B349" s="12"/>
      <c r="C349" s="12"/>
      <c r="D349" s="12"/>
      <c r="E349" s="12"/>
      <c r="F349" s="12"/>
      <c r="G349" s="12"/>
      <c r="H349" s="12"/>
      <c r="I349" s="12"/>
      <c r="J349" s="12"/>
      <c r="K349" s="12"/>
      <c r="L349" s="12"/>
      <c r="M349" s="12"/>
      <c r="N349" s="12"/>
      <c r="O349" s="12"/>
      <c r="P349" s="12"/>
      <c r="Q349" s="14"/>
    </row>
    <row r="350" spans="2:17">
      <c r="B350" s="12"/>
      <c r="C350" s="12"/>
      <c r="D350" s="12"/>
      <c r="E350" s="12"/>
      <c r="F350" s="12"/>
      <c r="G350" s="12"/>
      <c r="H350" s="12"/>
      <c r="I350" s="12"/>
      <c r="J350" s="12"/>
      <c r="K350" s="12"/>
      <c r="L350" s="12"/>
      <c r="M350" s="12"/>
      <c r="N350" s="12"/>
      <c r="O350" s="12"/>
      <c r="P350" s="12"/>
      <c r="Q350" s="14"/>
    </row>
    <row r="351" spans="2:17">
      <c r="B351" s="12"/>
      <c r="C351" s="12"/>
      <c r="D351" s="12"/>
      <c r="E351" s="12"/>
      <c r="F351" s="12"/>
      <c r="G351" s="12"/>
      <c r="H351" s="12"/>
      <c r="I351" s="12"/>
      <c r="J351" s="12"/>
      <c r="K351" s="12"/>
      <c r="L351" s="12"/>
      <c r="M351" s="12"/>
      <c r="N351" s="12"/>
      <c r="O351" s="12"/>
      <c r="P351" s="12"/>
      <c r="Q351" s="14"/>
    </row>
    <row r="352" spans="2:17">
      <c r="B352" s="12"/>
      <c r="C352" s="12"/>
      <c r="D352" s="12"/>
      <c r="E352" s="12"/>
      <c r="F352" s="12"/>
      <c r="G352" s="12"/>
      <c r="H352" s="12"/>
      <c r="I352" s="12"/>
      <c r="J352" s="12"/>
      <c r="K352" s="12"/>
      <c r="L352" s="12"/>
      <c r="M352" s="12"/>
      <c r="N352" s="12"/>
      <c r="O352" s="12"/>
      <c r="P352" s="12"/>
      <c r="Q352" s="14"/>
    </row>
    <row r="353" spans="2:17">
      <c r="B353" s="12"/>
      <c r="C353" s="12"/>
      <c r="D353" s="12"/>
      <c r="E353" s="12"/>
      <c r="F353" s="12"/>
      <c r="G353" s="12"/>
      <c r="H353" s="12"/>
      <c r="I353" s="12"/>
      <c r="J353" s="12"/>
      <c r="K353" s="12"/>
      <c r="L353" s="12"/>
      <c r="M353" s="12"/>
      <c r="N353" s="12"/>
      <c r="O353" s="12"/>
      <c r="P353" s="12"/>
      <c r="Q353" s="14"/>
    </row>
    <row r="354" spans="2:17">
      <c r="B354" s="12"/>
      <c r="C354" s="12"/>
      <c r="D354" s="12"/>
      <c r="E354" s="12"/>
      <c r="F354" s="12"/>
      <c r="G354" s="12"/>
      <c r="H354" s="12"/>
      <c r="I354" s="12"/>
      <c r="J354" s="12"/>
      <c r="K354" s="12"/>
      <c r="L354" s="12"/>
      <c r="M354" s="12"/>
      <c r="N354" s="12"/>
      <c r="O354" s="12"/>
      <c r="P354" s="12"/>
      <c r="Q354" s="14"/>
    </row>
    <row r="355" spans="2:17">
      <c r="B355" s="12"/>
      <c r="C355" s="12"/>
      <c r="D355" s="12"/>
      <c r="E355" s="12"/>
      <c r="F355" s="12"/>
      <c r="G355" s="12"/>
      <c r="H355" s="12"/>
      <c r="I355" s="12"/>
      <c r="J355" s="12"/>
      <c r="K355" s="12"/>
      <c r="L355" s="12"/>
      <c r="M355" s="12"/>
      <c r="N355" s="12"/>
      <c r="O355" s="12"/>
      <c r="P355" s="12"/>
      <c r="Q355" s="14"/>
    </row>
    <row r="356" spans="2:17">
      <c r="B356" s="12"/>
      <c r="C356" s="12"/>
      <c r="D356" s="12"/>
      <c r="E356" s="12"/>
      <c r="F356" s="12"/>
      <c r="G356" s="12"/>
      <c r="H356" s="12"/>
      <c r="I356" s="12"/>
      <c r="J356" s="12"/>
      <c r="K356" s="12"/>
      <c r="L356" s="12"/>
      <c r="M356" s="12"/>
      <c r="N356" s="12"/>
      <c r="O356" s="12"/>
      <c r="P356" s="12"/>
      <c r="Q356" s="14"/>
    </row>
    <row r="357" spans="2:17">
      <c r="B357" s="12"/>
      <c r="C357" s="12"/>
      <c r="D357" s="12"/>
      <c r="E357" s="12"/>
      <c r="F357" s="12"/>
      <c r="G357" s="12"/>
      <c r="H357" s="12"/>
      <c r="I357" s="12"/>
      <c r="J357" s="12"/>
      <c r="K357" s="12"/>
      <c r="L357" s="12"/>
      <c r="M357" s="12"/>
      <c r="N357" s="12"/>
      <c r="O357" s="12"/>
      <c r="P357" s="12"/>
      <c r="Q357" s="14"/>
    </row>
    <row r="358" spans="2:17">
      <c r="B358" s="12"/>
      <c r="C358" s="12"/>
      <c r="D358" s="12"/>
      <c r="E358" s="12"/>
      <c r="F358" s="12"/>
      <c r="G358" s="12"/>
      <c r="H358" s="12"/>
      <c r="I358" s="12"/>
      <c r="J358" s="12"/>
      <c r="K358" s="12"/>
      <c r="L358" s="12"/>
      <c r="M358" s="12"/>
      <c r="N358" s="12"/>
      <c r="O358" s="12"/>
      <c r="P358" s="12"/>
      <c r="Q358" s="14"/>
    </row>
    <row r="359" spans="2:17">
      <c r="B359" s="12"/>
      <c r="C359" s="12"/>
      <c r="D359" s="12"/>
      <c r="E359" s="12"/>
      <c r="F359" s="12"/>
      <c r="G359" s="12"/>
      <c r="H359" s="12"/>
      <c r="I359" s="12"/>
      <c r="J359" s="12"/>
      <c r="K359" s="12"/>
      <c r="L359" s="12"/>
      <c r="M359" s="12"/>
      <c r="N359" s="12"/>
      <c r="O359" s="12"/>
      <c r="P359" s="12"/>
      <c r="Q359" s="14"/>
    </row>
    <row r="360" spans="2:17">
      <c r="B360" s="12"/>
      <c r="C360" s="12"/>
      <c r="D360" s="12"/>
      <c r="E360" s="12"/>
      <c r="F360" s="12"/>
      <c r="G360" s="12"/>
      <c r="H360" s="12"/>
      <c r="I360" s="12"/>
      <c r="J360" s="12"/>
      <c r="K360" s="12"/>
      <c r="L360" s="12"/>
      <c r="M360" s="12"/>
      <c r="N360" s="12"/>
      <c r="O360" s="12"/>
      <c r="P360" s="12"/>
      <c r="Q360" s="14"/>
    </row>
    <row r="361" spans="2:17">
      <c r="B361" s="12"/>
      <c r="C361" s="12"/>
      <c r="D361" s="12"/>
      <c r="E361" s="12"/>
      <c r="F361" s="12"/>
      <c r="G361" s="12"/>
      <c r="H361" s="12"/>
      <c r="I361" s="12"/>
      <c r="J361" s="12"/>
      <c r="K361" s="12"/>
      <c r="L361" s="12"/>
      <c r="M361" s="12"/>
      <c r="N361" s="12"/>
      <c r="O361" s="12"/>
      <c r="P361" s="12"/>
      <c r="Q361" s="14"/>
    </row>
    <row r="362" spans="2:17">
      <c r="B362" s="12"/>
      <c r="C362" s="12"/>
      <c r="D362" s="12"/>
      <c r="E362" s="12"/>
      <c r="F362" s="12"/>
      <c r="G362" s="12"/>
      <c r="H362" s="12"/>
      <c r="I362" s="12"/>
      <c r="J362" s="12"/>
      <c r="K362" s="12"/>
      <c r="L362" s="12"/>
      <c r="M362" s="12"/>
      <c r="N362" s="12"/>
      <c r="O362" s="12"/>
      <c r="P362" s="12"/>
      <c r="Q362" s="14"/>
    </row>
    <row r="363" spans="2:17">
      <c r="B363" s="12"/>
      <c r="C363" s="12"/>
      <c r="D363" s="12"/>
      <c r="E363" s="12"/>
      <c r="F363" s="12"/>
      <c r="G363" s="12"/>
      <c r="H363" s="12"/>
      <c r="I363" s="12"/>
      <c r="J363" s="12"/>
      <c r="K363" s="12"/>
      <c r="L363" s="12"/>
      <c r="M363" s="12"/>
      <c r="N363" s="12"/>
      <c r="O363" s="12"/>
      <c r="P363" s="12"/>
      <c r="Q363" s="14"/>
    </row>
    <row r="364" spans="2:17">
      <c r="B364" s="12"/>
      <c r="C364" s="12"/>
      <c r="D364" s="12"/>
      <c r="E364" s="12"/>
      <c r="F364" s="12"/>
      <c r="G364" s="12"/>
      <c r="H364" s="12"/>
      <c r="I364" s="12"/>
      <c r="J364" s="12"/>
      <c r="K364" s="12"/>
      <c r="L364" s="12"/>
      <c r="M364" s="12"/>
      <c r="N364" s="12"/>
      <c r="O364" s="12"/>
      <c r="P364" s="12"/>
      <c r="Q364" s="14"/>
    </row>
    <row r="365" spans="2:17">
      <c r="B365" s="12"/>
      <c r="C365" s="12"/>
      <c r="D365" s="12"/>
      <c r="E365" s="12"/>
      <c r="F365" s="12"/>
      <c r="G365" s="12"/>
      <c r="H365" s="12"/>
      <c r="I365" s="12"/>
      <c r="J365" s="12"/>
      <c r="K365" s="12"/>
      <c r="L365" s="12"/>
      <c r="M365" s="12"/>
      <c r="N365" s="12"/>
      <c r="O365" s="12"/>
      <c r="P365" s="12"/>
      <c r="Q365" s="14"/>
    </row>
    <row r="366" spans="2:17">
      <c r="B366" s="12"/>
      <c r="C366" s="12"/>
      <c r="D366" s="12"/>
      <c r="E366" s="12"/>
      <c r="F366" s="12"/>
      <c r="G366" s="12"/>
      <c r="H366" s="12"/>
      <c r="I366" s="12"/>
      <c r="J366" s="12"/>
      <c r="K366" s="12"/>
      <c r="L366" s="12"/>
      <c r="M366" s="12"/>
      <c r="N366" s="12"/>
      <c r="O366" s="12"/>
      <c r="P366" s="12"/>
      <c r="Q366" s="14"/>
    </row>
    <row r="367" spans="2:17">
      <c r="B367" s="12"/>
      <c r="C367" s="12"/>
      <c r="D367" s="12"/>
      <c r="E367" s="12"/>
      <c r="F367" s="12"/>
      <c r="G367" s="12"/>
      <c r="H367" s="12"/>
      <c r="I367" s="12"/>
      <c r="J367" s="12"/>
      <c r="K367" s="12"/>
      <c r="L367" s="12"/>
      <c r="M367" s="12"/>
      <c r="N367" s="12"/>
      <c r="O367" s="12"/>
      <c r="P367" s="12"/>
      <c r="Q367" s="14"/>
    </row>
    <row r="368" spans="2:17">
      <c r="B368" s="12"/>
      <c r="C368" s="12"/>
      <c r="D368" s="12"/>
      <c r="E368" s="12"/>
      <c r="F368" s="12"/>
      <c r="G368" s="12"/>
      <c r="H368" s="12"/>
      <c r="I368" s="12"/>
      <c r="J368" s="12"/>
      <c r="K368" s="12"/>
      <c r="L368" s="12"/>
      <c r="M368" s="12"/>
      <c r="N368" s="12"/>
      <c r="O368" s="12"/>
      <c r="P368" s="12"/>
      <c r="Q368" s="14"/>
    </row>
    <row r="369" spans="2:17">
      <c r="B369" s="12"/>
      <c r="C369" s="12"/>
      <c r="D369" s="12"/>
      <c r="E369" s="12"/>
      <c r="F369" s="12"/>
      <c r="G369" s="12"/>
      <c r="H369" s="12"/>
      <c r="I369" s="12"/>
      <c r="J369" s="12"/>
      <c r="K369" s="12"/>
      <c r="L369" s="12"/>
      <c r="M369" s="12"/>
      <c r="N369" s="12"/>
      <c r="O369" s="12"/>
      <c r="P369" s="12"/>
      <c r="Q369" s="14"/>
    </row>
    <row r="370" spans="2:17">
      <c r="B370" s="12"/>
      <c r="C370" s="12"/>
      <c r="D370" s="12"/>
      <c r="E370" s="12"/>
      <c r="F370" s="12"/>
      <c r="G370" s="12"/>
      <c r="H370" s="12"/>
      <c r="I370" s="12"/>
      <c r="J370" s="12"/>
      <c r="K370" s="12"/>
      <c r="L370" s="12"/>
      <c r="M370" s="12"/>
      <c r="N370" s="12"/>
      <c r="O370" s="12"/>
      <c r="P370" s="12"/>
      <c r="Q370" s="14"/>
    </row>
    <row r="371" spans="2:17">
      <c r="B371" s="12"/>
      <c r="C371" s="12"/>
      <c r="D371" s="12"/>
      <c r="E371" s="12"/>
      <c r="F371" s="12"/>
      <c r="G371" s="12"/>
      <c r="H371" s="12"/>
      <c r="I371" s="12"/>
      <c r="J371" s="12"/>
      <c r="K371" s="12"/>
      <c r="L371" s="12"/>
      <c r="M371" s="12"/>
      <c r="N371" s="12"/>
      <c r="O371" s="12"/>
      <c r="P371" s="12"/>
      <c r="Q371" s="14"/>
    </row>
    <row r="372" spans="2:17">
      <c r="B372" s="12"/>
      <c r="C372" s="12"/>
      <c r="D372" s="12"/>
      <c r="E372" s="12"/>
      <c r="F372" s="12"/>
      <c r="G372" s="12"/>
      <c r="H372" s="12"/>
      <c r="I372" s="12"/>
      <c r="J372" s="12"/>
      <c r="K372" s="12"/>
      <c r="L372" s="12"/>
      <c r="M372" s="12"/>
      <c r="N372" s="12"/>
      <c r="O372" s="12"/>
      <c r="P372" s="12"/>
      <c r="Q372" s="14"/>
    </row>
    <row r="373" spans="2:17">
      <c r="B373" s="12"/>
      <c r="C373" s="12"/>
      <c r="D373" s="12"/>
      <c r="E373" s="12"/>
      <c r="F373" s="12"/>
      <c r="G373" s="12"/>
      <c r="H373" s="12"/>
      <c r="I373" s="12"/>
      <c r="J373" s="12"/>
      <c r="K373" s="12"/>
      <c r="L373" s="12"/>
      <c r="M373" s="12"/>
      <c r="N373" s="12"/>
      <c r="O373" s="12"/>
      <c r="P373" s="12"/>
      <c r="Q373" s="14"/>
    </row>
    <row r="374" spans="2:17">
      <c r="B374" s="12"/>
      <c r="C374" s="12"/>
      <c r="D374" s="12"/>
      <c r="E374" s="12"/>
      <c r="F374" s="12"/>
      <c r="G374" s="12"/>
      <c r="H374" s="12"/>
      <c r="I374" s="12"/>
      <c r="J374" s="12"/>
      <c r="K374" s="12"/>
      <c r="L374" s="12"/>
      <c r="M374" s="12"/>
      <c r="N374" s="12"/>
      <c r="O374" s="12"/>
      <c r="P374" s="12"/>
      <c r="Q374" s="14"/>
    </row>
    <row r="375" spans="2:17">
      <c r="B375" s="12"/>
      <c r="C375" s="12"/>
      <c r="D375" s="12"/>
      <c r="E375" s="12"/>
      <c r="F375" s="12"/>
      <c r="G375" s="12"/>
      <c r="H375" s="12"/>
      <c r="I375" s="12"/>
      <c r="J375" s="12"/>
      <c r="K375" s="12"/>
      <c r="L375" s="12"/>
      <c r="M375" s="12"/>
      <c r="N375" s="12"/>
      <c r="O375" s="12"/>
      <c r="P375" s="12"/>
      <c r="Q375" s="14"/>
    </row>
    <row r="376" spans="2:17">
      <c r="B376" s="12"/>
      <c r="C376" s="12"/>
      <c r="D376" s="12"/>
      <c r="E376" s="12"/>
      <c r="F376" s="12"/>
      <c r="G376" s="12"/>
      <c r="H376" s="12"/>
      <c r="I376" s="12"/>
      <c r="J376" s="12"/>
      <c r="K376" s="12"/>
      <c r="L376" s="12"/>
      <c r="M376" s="12"/>
      <c r="N376" s="12"/>
      <c r="O376" s="12"/>
      <c r="P376" s="12"/>
      <c r="Q376" s="14"/>
    </row>
    <row r="377" spans="2:17">
      <c r="B377" s="12"/>
      <c r="C377" s="12"/>
      <c r="D377" s="12"/>
      <c r="E377" s="12"/>
      <c r="F377" s="12"/>
      <c r="G377" s="12"/>
      <c r="H377" s="12"/>
      <c r="I377" s="12"/>
      <c r="J377" s="12"/>
      <c r="K377" s="12"/>
      <c r="L377" s="12"/>
      <c r="M377" s="12"/>
      <c r="N377" s="12"/>
      <c r="O377" s="12"/>
      <c r="P377" s="12"/>
      <c r="Q377" s="14"/>
    </row>
    <row r="378" spans="2:17">
      <c r="B378" s="12"/>
      <c r="C378" s="12"/>
      <c r="D378" s="12"/>
      <c r="E378" s="12"/>
      <c r="F378" s="12"/>
      <c r="G378" s="12"/>
      <c r="H378" s="12"/>
      <c r="I378" s="12"/>
      <c r="J378" s="12"/>
      <c r="K378" s="12"/>
      <c r="L378" s="12"/>
      <c r="M378" s="12"/>
      <c r="N378" s="12"/>
      <c r="O378" s="12"/>
      <c r="P378" s="12"/>
      <c r="Q378" s="14"/>
    </row>
    <row r="379" spans="2:17">
      <c r="B379" s="12"/>
      <c r="C379" s="12"/>
      <c r="D379" s="12"/>
      <c r="E379" s="12"/>
      <c r="F379" s="12"/>
      <c r="G379" s="12"/>
      <c r="H379" s="12"/>
      <c r="I379" s="12"/>
      <c r="J379" s="12"/>
      <c r="K379" s="12"/>
      <c r="L379" s="12"/>
      <c r="M379" s="12"/>
      <c r="N379" s="12"/>
      <c r="O379" s="12"/>
      <c r="P379" s="12"/>
      <c r="Q379" s="14"/>
    </row>
    <row r="380" spans="2:17">
      <c r="B380" s="12"/>
      <c r="C380" s="12"/>
      <c r="D380" s="12"/>
      <c r="E380" s="12"/>
      <c r="F380" s="12"/>
      <c r="G380" s="12"/>
      <c r="H380" s="12"/>
      <c r="I380" s="12"/>
      <c r="J380" s="12"/>
      <c r="K380" s="12"/>
      <c r="L380" s="12"/>
      <c r="M380" s="12"/>
      <c r="N380" s="12"/>
      <c r="O380" s="12"/>
      <c r="P380" s="12"/>
      <c r="Q380" s="14"/>
    </row>
    <row r="381" spans="2:17">
      <c r="B381" s="12"/>
      <c r="C381" s="12"/>
      <c r="D381" s="12"/>
      <c r="E381" s="12"/>
      <c r="F381" s="12"/>
      <c r="G381" s="12"/>
      <c r="H381" s="12"/>
      <c r="I381" s="12"/>
      <c r="J381" s="12"/>
      <c r="K381" s="12"/>
      <c r="L381" s="12"/>
      <c r="M381" s="12"/>
      <c r="N381" s="12"/>
      <c r="O381" s="12"/>
      <c r="P381" s="12"/>
      <c r="Q381" s="14"/>
    </row>
    <row r="382" spans="2:17">
      <c r="B382" s="12"/>
      <c r="C382" s="12"/>
      <c r="D382" s="12"/>
      <c r="E382" s="12"/>
      <c r="F382" s="12"/>
      <c r="G382" s="12"/>
      <c r="H382" s="12"/>
      <c r="I382" s="12"/>
      <c r="J382" s="12"/>
      <c r="K382" s="12"/>
      <c r="L382" s="12"/>
      <c r="M382" s="12"/>
      <c r="N382" s="12"/>
      <c r="O382" s="12"/>
      <c r="P382" s="12"/>
      <c r="Q382" s="14"/>
    </row>
    <row r="383" spans="2:17">
      <c r="B383" s="12"/>
      <c r="C383" s="12"/>
      <c r="D383" s="12"/>
      <c r="E383" s="12"/>
      <c r="F383" s="12"/>
      <c r="G383" s="12"/>
      <c r="H383" s="12"/>
      <c r="I383" s="12"/>
      <c r="J383" s="12"/>
      <c r="K383" s="12"/>
      <c r="L383" s="12"/>
      <c r="M383" s="12"/>
      <c r="N383" s="12"/>
      <c r="O383" s="12"/>
      <c r="P383" s="12"/>
      <c r="Q383" s="14"/>
    </row>
    <row r="384" spans="2:17">
      <c r="B384" s="12"/>
      <c r="C384" s="12"/>
      <c r="D384" s="12"/>
      <c r="E384" s="12"/>
      <c r="F384" s="12"/>
      <c r="G384" s="12"/>
      <c r="H384" s="12"/>
      <c r="I384" s="12"/>
      <c r="J384" s="12"/>
      <c r="K384" s="12"/>
      <c r="L384" s="12"/>
      <c r="M384" s="12"/>
      <c r="N384" s="12"/>
      <c r="O384" s="12"/>
      <c r="P384" s="12"/>
      <c r="Q384" s="14"/>
    </row>
    <row r="385" spans="2:17">
      <c r="B385" s="12"/>
      <c r="C385" s="12"/>
      <c r="D385" s="12"/>
      <c r="E385" s="12"/>
      <c r="F385" s="12"/>
      <c r="G385" s="12"/>
      <c r="H385" s="12"/>
      <c r="I385" s="12"/>
      <c r="J385" s="12"/>
      <c r="K385" s="12"/>
      <c r="L385" s="12"/>
      <c r="M385" s="12"/>
      <c r="N385" s="12"/>
      <c r="O385" s="12"/>
      <c r="P385" s="12"/>
      <c r="Q385" s="14"/>
    </row>
    <row r="386" spans="2:17">
      <c r="B386" s="12"/>
      <c r="C386" s="12"/>
      <c r="D386" s="12"/>
      <c r="E386" s="12"/>
      <c r="F386" s="12"/>
      <c r="G386" s="12"/>
      <c r="H386" s="12"/>
      <c r="I386" s="12"/>
      <c r="J386" s="12"/>
      <c r="K386" s="12"/>
      <c r="L386" s="12"/>
      <c r="M386" s="12"/>
      <c r="N386" s="12"/>
      <c r="O386" s="12"/>
      <c r="P386" s="12"/>
      <c r="Q386" s="14"/>
    </row>
    <row r="387" spans="2:17">
      <c r="B387" s="12"/>
      <c r="C387" s="12"/>
      <c r="D387" s="12"/>
      <c r="E387" s="12"/>
      <c r="F387" s="12"/>
      <c r="G387" s="12"/>
      <c r="H387" s="12"/>
      <c r="I387" s="12"/>
      <c r="J387" s="12"/>
      <c r="K387" s="12"/>
      <c r="L387" s="12"/>
      <c r="M387" s="12"/>
      <c r="N387" s="12"/>
      <c r="O387" s="12"/>
      <c r="P387" s="12"/>
      <c r="Q387" s="14"/>
    </row>
    <row r="388" spans="2:17">
      <c r="B388" s="12"/>
      <c r="C388" s="12"/>
      <c r="D388" s="12"/>
      <c r="E388" s="12"/>
      <c r="F388" s="12"/>
      <c r="G388" s="12"/>
      <c r="H388" s="12"/>
      <c r="I388" s="12"/>
      <c r="J388" s="12"/>
      <c r="K388" s="12"/>
      <c r="L388" s="12"/>
      <c r="M388" s="12"/>
      <c r="N388" s="12"/>
      <c r="O388" s="12"/>
      <c r="P388" s="12"/>
      <c r="Q388" s="14"/>
    </row>
    <row r="389" spans="2:17">
      <c r="B389" s="12"/>
      <c r="C389" s="12"/>
      <c r="D389" s="12"/>
      <c r="E389" s="12"/>
      <c r="F389" s="12"/>
      <c r="G389" s="12"/>
      <c r="H389" s="12"/>
      <c r="I389" s="12"/>
      <c r="J389" s="12"/>
      <c r="K389" s="12"/>
      <c r="L389" s="12"/>
      <c r="M389" s="12"/>
      <c r="N389" s="12"/>
      <c r="O389" s="12"/>
      <c r="P389" s="12"/>
      <c r="Q389" s="14"/>
    </row>
    <row r="390" spans="2:17">
      <c r="B390" s="12"/>
      <c r="C390" s="12"/>
      <c r="D390" s="12"/>
      <c r="E390" s="12"/>
      <c r="F390" s="12"/>
      <c r="G390" s="12"/>
      <c r="H390" s="12"/>
      <c r="I390" s="12"/>
      <c r="J390" s="12"/>
      <c r="K390" s="12"/>
      <c r="L390" s="12"/>
      <c r="M390" s="12"/>
      <c r="N390" s="12"/>
      <c r="O390" s="12"/>
      <c r="P390" s="12"/>
      <c r="Q390" s="14"/>
    </row>
    <row r="391" spans="2:17">
      <c r="B391" s="12"/>
      <c r="C391" s="12"/>
      <c r="D391" s="12"/>
      <c r="E391" s="12"/>
      <c r="F391" s="12"/>
      <c r="G391" s="12"/>
      <c r="H391" s="12"/>
      <c r="I391" s="12"/>
      <c r="J391" s="12"/>
      <c r="K391" s="12"/>
      <c r="L391" s="12"/>
      <c r="M391" s="12"/>
      <c r="N391" s="12"/>
      <c r="O391" s="12"/>
      <c r="P391" s="12"/>
      <c r="Q391" s="14"/>
    </row>
    <row r="392" spans="2:17">
      <c r="B392" s="12"/>
      <c r="C392" s="12"/>
      <c r="D392" s="12"/>
      <c r="E392" s="12"/>
      <c r="F392" s="12"/>
      <c r="G392" s="12"/>
      <c r="H392" s="12"/>
      <c r="I392" s="12"/>
      <c r="J392" s="12"/>
      <c r="K392" s="12"/>
      <c r="L392" s="12"/>
      <c r="M392" s="12"/>
      <c r="N392" s="12"/>
      <c r="O392" s="12"/>
      <c r="P392" s="12"/>
      <c r="Q392" s="14"/>
    </row>
    <row r="393" spans="2:17">
      <c r="B393" s="12"/>
      <c r="C393" s="12"/>
      <c r="D393" s="12"/>
      <c r="E393" s="12"/>
      <c r="F393" s="12"/>
      <c r="G393" s="12"/>
      <c r="H393" s="12"/>
      <c r="I393" s="12"/>
      <c r="J393" s="12"/>
      <c r="K393" s="12"/>
      <c r="L393" s="12"/>
      <c r="M393" s="12"/>
      <c r="N393" s="12"/>
      <c r="O393" s="12"/>
      <c r="P393" s="12"/>
      <c r="Q393" s="14"/>
    </row>
    <row r="394" spans="2:17">
      <c r="B394" s="12"/>
      <c r="C394" s="12"/>
      <c r="D394" s="12"/>
      <c r="E394" s="12"/>
      <c r="F394" s="12"/>
      <c r="G394" s="12"/>
      <c r="H394" s="12"/>
      <c r="I394" s="12"/>
      <c r="J394" s="12"/>
      <c r="K394" s="12"/>
      <c r="L394" s="12"/>
      <c r="M394" s="12"/>
      <c r="N394" s="12"/>
      <c r="O394" s="12"/>
      <c r="P394" s="12"/>
      <c r="Q394" s="14"/>
    </row>
    <row r="395" spans="2:17">
      <c r="B395" s="12"/>
      <c r="C395" s="12"/>
      <c r="D395" s="12"/>
      <c r="E395" s="12"/>
      <c r="F395" s="12"/>
      <c r="G395" s="12"/>
      <c r="H395" s="12"/>
      <c r="I395" s="12"/>
      <c r="J395" s="12"/>
      <c r="K395" s="12"/>
      <c r="L395" s="12"/>
      <c r="M395" s="12"/>
      <c r="N395" s="12"/>
      <c r="O395" s="12"/>
      <c r="P395" s="12"/>
      <c r="Q395" s="14"/>
    </row>
    <row r="396" spans="2:17">
      <c r="B396" s="12"/>
      <c r="C396" s="12"/>
      <c r="D396" s="12"/>
      <c r="E396" s="12"/>
      <c r="F396" s="12"/>
      <c r="G396" s="12"/>
      <c r="H396" s="12"/>
      <c r="I396" s="12"/>
      <c r="J396" s="12"/>
      <c r="K396" s="12"/>
      <c r="L396" s="12"/>
      <c r="M396" s="12"/>
      <c r="N396" s="12"/>
      <c r="O396" s="12"/>
      <c r="P396" s="12"/>
      <c r="Q396" s="14"/>
    </row>
    <row r="397" spans="2:17">
      <c r="B397" s="12"/>
      <c r="C397" s="12"/>
      <c r="D397" s="12"/>
      <c r="E397" s="12"/>
      <c r="F397" s="12"/>
      <c r="G397" s="12"/>
      <c r="H397" s="12"/>
      <c r="I397" s="12"/>
      <c r="J397" s="12"/>
      <c r="K397" s="12"/>
      <c r="L397" s="12"/>
      <c r="M397" s="12"/>
      <c r="N397" s="12"/>
      <c r="O397" s="12"/>
      <c r="P397" s="12"/>
      <c r="Q397" s="14"/>
    </row>
    <row r="398" spans="2:17">
      <c r="B398" s="12"/>
      <c r="C398" s="12"/>
      <c r="D398" s="12"/>
      <c r="E398" s="12"/>
      <c r="F398" s="12"/>
      <c r="G398" s="12"/>
      <c r="H398" s="12"/>
      <c r="I398" s="12"/>
      <c r="J398" s="12"/>
      <c r="K398" s="12"/>
      <c r="L398" s="12"/>
      <c r="M398" s="12"/>
      <c r="N398" s="12"/>
      <c r="O398" s="12"/>
      <c r="P398" s="12"/>
      <c r="Q398" s="14"/>
    </row>
    <row r="399" spans="2:17">
      <c r="B399" s="12"/>
      <c r="C399" s="12"/>
      <c r="D399" s="12"/>
      <c r="E399" s="12"/>
      <c r="F399" s="12"/>
      <c r="G399" s="12"/>
      <c r="H399" s="12"/>
      <c r="I399" s="12"/>
      <c r="J399" s="12"/>
      <c r="K399" s="12"/>
      <c r="L399" s="12"/>
      <c r="M399" s="12"/>
      <c r="N399" s="12"/>
      <c r="O399" s="12"/>
      <c r="P399" s="12"/>
      <c r="Q399" s="14"/>
    </row>
    <row r="400" spans="2:17">
      <c r="B400" s="12"/>
      <c r="C400" s="12"/>
      <c r="D400" s="12"/>
      <c r="E400" s="12"/>
      <c r="F400" s="12"/>
      <c r="G400" s="12"/>
      <c r="H400" s="12"/>
      <c r="I400" s="12"/>
      <c r="J400" s="12"/>
      <c r="K400" s="12"/>
      <c r="L400" s="12"/>
      <c r="M400" s="12"/>
      <c r="N400" s="12"/>
      <c r="O400" s="12"/>
      <c r="P400" s="12"/>
      <c r="Q400" s="14"/>
    </row>
    <row r="401" spans="2:17">
      <c r="B401" s="12"/>
      <c r="C401" s="12"/>
      <c r="D401" s="12"/>
      <c r="E401" s="12"/>
      <c r="F401" s="12"/>
      <c r="G401" s="12"/>
      <c r="H401" s="12"/>
      <c r="I401" s="12"/>
      <c r="J401" s="12"/>
      <c r="K401" s="12"/>
      <c r="L401" s="12"/>
      <c r="M401" s="12"/>
      <c r="N401" s="12"/>
      <c r="O401" s="12"/>
      <c r="P401" s="12"/>
      <c r="Q401" s="14"/>
    </row>
    <row r="402" spans="2:17">
      <c r="B402" s="12"/>
      <c r="C402" s="12"/>
      <c r="D402" s="12"/>
      <c r="E402" s="12"/>
      <c r="F402" s="12"/>
      <c r="G402" s="12"/>
      <c r="H402" s="12"/>
      <c r="I402" s="12"/>
      <c r="J402" s="12"/>
      <c r="K402" s="12"/>
      <c r="L402" s="12"/>
      <c r="M402" s="12"/>
      <c r="N402" s="12"/>
      <c r="O402" s="12"/>
      <c r="P402" s="12"/>
      <c r="Q402" s="14"/>
    </row>
    <row r="403" spans="2:17">
      <c r="B403" s="12"/>
      <c r="C403" s="12"/>
      <c r="D403" s="12"/>
      <c r="E403" s="12"/>
      <c r="F403" s="12"/>
      <c r="G403" s="12"/>
      <c r="H403" s="12"/>
      <c r="I403" s="12"/>
      <c r="J403" s="12"/>
      <c r="K403" s="12"/>
      <c r="L403" s="12"/>
      <c r="M403" s="12"/>
      <c r="N403" s="12"/>
      <c r="O403" s="12"/>
      <c r="P403" s="12"/>
      <c r="Q403" s="14"/>
    </row>
    <row r="404" spans="2:17">
      <c r="B404" s="12"/>
      <c r="C404" s="12"/>
      <c r="D404" s="12"/>
      <c r="E404" s="12"/>
      <c r="F404" s="12"/>
      <c r="G404" s="12"/>
      <c r="H404" s="12"/>
      <c r="I404" s="12"/>
      <c r="J404" s="12"/>
      <c r="K404" s="12"/>
      <c r="L404" s="12"/>
      <c r="M404" s="12"/>
      <c r="N404" s="12"/>
      <c r="O404" s="12"/>
      <c r="P404" s="12"/>
      <c r="Q404" s="14"/>
    </row>
    <row r="405" spans="2:17">
      <c r="B405" s="12"/>
      <c r="C405" s="12"/>
      <c r="D405" s="12"/>
      <c r="E405" s="12"/>
      <c r="F405" s="12"/>
      <c r="G405" s="12"/>
      <c r="H405" s="12"/>
      <c r="I405" s="12"/>
      <c r="J405" s="12"/>
      <c r="K405" s="12"/>
      <c r="L405" s="12"/>
      <c r="M405" s="12"/>
      <c r="N405" s="12"/>
      <c r="O405" s="12"/>
      <c r="P405" s="12"/>
      <c r="Q405" s="14"/>
    </row>
    <row r="406" spans="2:17">
      <c r="B406" s="12"/>
      <c r="C406" s="12"/>
      <c r="D406" s="12"/>
      <c r="E406" s="12"/>
      <c r="F406" s="12"/>
      <c r="G406" s="12"/>
      <c r="H406" s="12"/>
      <c r="I406" s="12"/>
      <c r="J406" s="12"/>
      <c r="K406" s="12"/>
      <c r="L406" s="12"/>
      <c r="M406" s="12"/>
      <c r="N406" s="12"/>
      <c r="O406" s="12"/>
      <c r="P406" s="12"/>
      <c r="Q406" s="14"/>
    </row>
    <row r="407" spans="2:17">
      <c r="B407" s="12"/>
      <c r="C407" s="12"/>
      <c r="D407" s="12"/>
      <c r="E407" s="12"/>
      <c r="F407" s="12"/>
      <c r="G407" s="12"/>
      <c r="H407" s="12"/>
      <c r="I407" s="12"/>
      <c r="J407" s="12"/>
      <c r="K407" s="12"/>
      <c r="L407" s="12"/>
      <c r="M407" s="12"/>
      <c r="N407" s="12"/>
      <c r="O407" s="12"/>
      <c r="P407" s="12"/>
      <c r="Q407" s="14"/>
    </row>
    <row r="408" spans="2:17">
      <c r="B408" s="12"/>
      <c r="C408" s="12"/>
      <c r="D408" s="12"/>
      <c r="E408" s="12"/>
      <c r="F408" s="12"/>
      <c r="G408" s="12"/>
      <c r="H408" s="12"/>
      <c r="I408" s="12"/>
      <c r="J408" s="12"/>
      <c r="K408" s="12"/>
      <c r="L408" s="12"/>
      <c r="M408" s="12"/>
      <c r="N408" s="12"/>
      <c r="O408" s="12"/>
      <c r="P408" s="12"/>
      <c r="Q408" s="14"/>
    </row>
    <row r="409" spans="2:17">
      <c r="B409" s="12"/>
      <c r="C409" s="12"/>
      <c r="D409" s="12"/>
      <c r="E409" s="12"/>
      <c r="F409" s="12"/>
      <c r="G409" s="12"/>
      <c r="H409" s="12"/>
      <c r="I409" s="12"/>
      <c r="J409" s="12"/>
      <c r="K409" s="12"/>
      <c r="L409" s="12"/>
      <c r="M409" s="12"/>
      <c r="N409" s="12"/>
      <c r="O409" s="12"/>
      <c r="P409" s="12"/>
      <c r="Q409" s="14"/>
    </row>
    <row r="410" spans="2:17">
      <c r="B410" s="12"/>
      <c r="C410" s="12"/>
      <c r="D410" s="12"/>
      <c r="E410" s="12"/>
      <c r="F410" s="12"/>
      <c r="G410" s="12"/>
      <c r="H410" s="12"/>
      <c r="I410" s="12"/>
      <c r="J410" s="12"/>
      <c r="K410" s="12"/>
      <c r="L410" s="12"/>
      <c r="M410" s="12"/>
      <c r="N410" s="12"/>
      <c r="O410" s="12"/>
      <c r="P410" s="12"/>
      <c r="Q410" s="14"/>
    </row>
    <row r="411" spans="2:17">
      <c r="B411" s="12"/>
      <c r="C411" s="12"/>
      <c r="D411" s="12"/>
      <c r="E411" s="12"/>
      <c r="F411" s="12"/>
      <c r="G411" s="12"/>
      <c r="H411" s="12"/>
      <c r="I411" s="12"/>
      <c r="J411" s="12"/>
      <c r="K411" s="12"/>
      <c r="L411" s="12"/>
      <c r="M411" s="12"/>
      <c r="N411" s="12"/>
      <c r="O411" s="12"/>
      <c r="P411" s="12"/>
      <c r="Q411" s="14"/>
    </row>
    <row r="412" spans="2:17">
      <c r="B412" s="12"/>
      <c r="C412" s="12"/>
      <c r="D412" s="12"/>
      <c r="E412" s="12"/>
      <c r="F412" s="12"/>
      <c r="G412" s="12"/>
      <c r="H412" s="12"/>
      <c r="I412" s="12"/>
      <c r="J412" s="12"/>
      <c r="K412" s="12"/>
      <c r="L412" s="12"/>
      <c r="M412" s="12"/>
      <c r="N412" s="12"/>
      <c r="O412" s="12"/>
      <c r="P412" s="12"/>
      <c r="Q412" s="14"/>
    </row>
    <row r="413" spans="2:17">
      <c r="B413" s="12"/>
      <c r="C413" s="12"/>
      <c r="D413" s="12"/>
      <c r="E413" s="12"/>
      <c r="F413" s="12"/>
      <c r="G413" s="12"/>
      <c r="H413" s="12"/>
      <c r="I413" s="12"/>
      <c r="J413" s="12"/>
      <c r="K413" s="12"/>
      <c r="L413" s="12"/>
      <c r="M413" s="12"/>
      <c r="N413" s="12"/>
      <c r="O413" s="12"/>
      <c r="P413" s="12"/>
      <c r="Q413" s="14"/>
    </row>
    <row r="414" spans="2:17">
      <c r="B414" s="12"/>
      <c r="C414" s="12"/>
      <c r="D414" s="12"/>
      <c r="E414" s="12"/>
      <c r="F414" s="12"/>
      <c r="G414" s="12"/>
      <c r="H414" s="12"/>
      <c r="I414" s="12"/>
      <c r="J414" s="12"/>
      <c r="K414" s="12"/>
      <c r="L414" s="12"/>
      <c r="M414" s="12"/>
      <c r="N414" s="12"/>
      <c r="O414" s="12"/>
      <c r="P414" s="12"/>
      <c r="Q414" s="14"/>
    </row>
    <row r="415" spans="2:17">
      <c r="B415" s="12"/>
      <c r="C415" s="12"/>
      <c r="D415" s="12"/>
      <c r="E415" s="12"/>
      <c r="F415" s="12"/>
      <c r="G415" s="12"/>
      <c r="H415" s="12"/>
      <c r="I415" s="12"/>
      <c r="J415" s="12"/>
      <c r="K415" s="12"/>
      <c r="L415" s="12"/>
      <c r="M415" s="12"/>
      <c r="N415" s="12"/>
      <c r="O415" s="12"/>
      <c r="P415" s="12"/>
      <c r="Q415" s="14"/>
    </row>
    <row r="416" spans="2:17">
      <c r="B416" s="12"/>
      <c r="C416" s="12"/>
      <c r="D416" s="12"/>
      <c r="E416" s="12"/>
      <c r="F416" s="12"/>
      <c r="G416" s="12"/>
      <c r="H416" s="12"/>
      <c r="I416" s="12"/>
      <c r="J416" s="12"/>
      <c r="K416" s="12"/>
      <c r="L416" s="12"/>
      <c r="M416" s="12"/>
      <c r="N416" s="12"/>
      <c r="O416" s="12"/>
      <c r="P416" s="12"/>
      <c r="Q416" s="14"/>
    </row>
    <row r="417" spans="2:17">
      <c r="B417" s="12"/>
      <c r="C417" s="12"/>
      <c r="D417" s="12"/>
      <c r="E417" s="12"/>
      <c r="F417" s="12"/>
      <c r="G417" s="12"/>
      <c r="H417" s="12"/>
      <c r="I417" s="12"/>
      <c r="J417" s="12"/>
      <c r="K417" s="12"/>
      <c r="L417" s="12"/>
      <c r="M417" s="12"/>
      <c r="N417" s="12"/>
      <c r="O417" s="12"/>
      <c r="P417" s="12"/>
      <c r="Q417" s="14"/>
    </row>
    <row r="418" spans="2:17">
      <c r="B418" s="12"/>
      <c r="C418" s="12"/>
      <c r="D418" s="12"/>
      <c r="E418" s="12"/>
      <c r="F418" s="12"/>
      <c r="G418" s="12"/>
      <c r="H418" s="12"/>
      <c r="I418" s="12"/>
      <c r="J418" s="12"/>
      <c r="K418" s="12"/>
      <c r="L418" s="12"/>
      <c r="M418" s="12"/>
      <c r="N418" s="12"/>
      <c r="O418" s="12"/>
      <c r="P418" s="12"/>
      <c r="Q418" s="14"/>
    </row>
    <row r="419" spans="2:17">
      <c r="B419" s="12"/>
      <c r="C419" s="12"/>
      <c r="D419" s="12"/>
      <c r="E419" s="12"/>
      <c r="F419" s="12"/>
      <c r="G419" s="12"/>
      <c r="H419" s="12"/>
      <c r="I419" s="12"/>
      <c r="J419" s="12"/>
      <c r="K419" s="12"/>
      <c r="L419" s="12"/>
      <c r="M419" s="12"/>
      <c r="N419" s="12"/>
      <c r="O419" s="12"/>
      <c r="P419" s="12"/>
      <c r="Q419" s="14"/>
    </row>
    <row r="420" spans="2:17">
      <c r="B420" s="12"/>
      <c r="C420" s="12"/>
      <c r="D420" s="12"/>
      <c r="E420" s="12"/>
      <c r="F420" s="12"/>
      <c r="G420" s="12"/>
      <c r="H420" s="12"/>
      <c r="I420" s="12"/>
      <c r="J420" s="12"/>
      <c r="K420" s="12"/>
      <c r="L420" s="12"/>
      <c r="M420" s="12"/>
      <c r="N420" s="12"/>
      <c r="O420" s="12"/>
      <c r="P420" s="12"/>
      <c r="Q420" s="14"/>
    </row>
    <row r="421" spans="2:17">
      <c r="B421" s="12"/>
      <c r="C421" s="12"/>
      <c r="D421" s="12"/>
      <c r="E421" s="12"/>
      <c r="F421" s="12"/>
      <c r="G421" s="12"/>
      <c r="H421" s="12"/>
      <c r="I421" s="12"/>
      <c r="J421" s="12"/>
      <c r="K421" s="12"/>
      <c r="L421" s="12"/>
      <c r="M421" s="12"/>
      <c r="N421" s="12"/>
      <c r="O421" s="12"/>
      <c r="P421" s="12"/>
      <c r="Q421" s="14"/>
    </row>
    <row r="422" spans="2:17">
      <c r="B422" s="12"/>
      <c r="C422" s="12"/>
      <c r="D422" s="12"/>
      <c r="E422" s="12"/>
      <c r="F422" s="12"/>
      <c r="G422" s="12"/>
      <c r="H422" s="12"/>
      <c r="I422" s="12"/>
      <c r="J422" s="12"/>
      <c r="K422" s="12"/>
      <c r="L422" s="12"/>
      <c r="M422" s="12"/>
      <c r="N422" s="12"/>
      <c r="O422" s="12"/>
      <c r="P422" s="12"/>
      <c r="Q422" s="14"/>
    </row>
    <row r="423" spans="2:17">
      <c r="B423" s="12"/>
      <c r="C423" s="12"/>
      <c r="D423" s="12"/>
      <c r="E423" s="12"/>
      <c r="F423" s="12"/>
      <c r="G423" s="12"/>
      <c r="H423" s="12"/>
      <c r="I423" s="12"/>
      <c r="J423" s="12"/>
      <c r="K423" s="12"/>
      <c r="L423" s="12"/>
      <c r="M423" s="12"/>
      <c r="N423" s="12"/>
      <c r="O423" s="12"/>
      <c r="P423" s="12"/>
      <c r="Q423" s="14"/>
    </row>
    <row r="424" spans="2:17">
      <c r="B424" s="12"/>
      <c r="C424" s="12"/>
      <c r="D424" s="12"/>
      <c r="E424" s="12"/>
      <c r="F424" s="12"/>
      <c r="G424" s="12"/>
      <c r="H424" s="12"/>
      <c r="I424" s="12"/>
      <c r="J424" s="12"/>
      <c r="K424" s="12"/>
      <c r="L424" s="12"/>
      <c r="M424" s="12"/>
      <c r="N424" s="12"/>
      <c r="O424" s="12"/>
      <c r="P424" s="12"/>
      <c r="Q424" s="14"/>
    </row>
    <row r="425" spans="2:17">
      <c r="B425" s="12"/>
      <c r="C425" s="12"/>
      <c r="D425" s="12"/>
      <c r="E425" s="12"/>
      <c r="F425" s="12"/>
      <c r="G425" s="12"/>
      <c r="H425" s="12"/>
      <c r="I425" s="12"/>
      <c r="J425" s="12"/>
      <c r="K425" s="12"/>
      <c r="L425" s="12"/>
      <c r="M425" s="12"/>
      <c r="N425" s="12"/>
      <c r="O425" s="12"/>
      <c r="P425" s="12"/>
      <c r="Q425" s="14"/>
    </row>
    <row r="426" spans="2:17">
      <c r="B426" s="12"/>
      <c r="C426" s="12"/>
      <c r="D426" s="12"/>
      <c r="E426" s="12"/>
      <c r="F426" s="12"/>
      <c r="G426" s="12"/>
      <c r="H426" s="12"/>
      <c r="I426" s="12"/>
      <c r="J426" s="12"/>
      <c r="K426" s="12"/>
      <c r="L426" s="12"/>
      <c r="M426" s="12"/>
      <c r="N426" s="12"/>
      <c r="O426" s="12"/>
      <c r="P426" s="12"/>
      <c r="Q426" s="14"/>
    </row>
    <row r="427" spans="2:17">
      <c r="B427" s="12"/>
      <c r="C427" s="12"/>
      <c r="D427" s="12"/>
      <c r="E427" s="12"/>
      <c r="F427" s="12"/>
      <c r="G427" s="12"/>
      <c r="H427" s="12"/>
      <c r="I427" s="12"/>
      <c r="J427" s="12"/>
      <c r="K427" s="12"/>
      <c r="L427" s="12"/>
      <c r="M427" s="12"/>
      <c r="N427" s="12"/>
      <c r="O427" s="12"/>
      <c r="P427" s="12"/>
      <c r="Q427" s="14"/>
    </row>
    <row r="428" spans="2:17">
      <c r="B428" s="12"/>
      <c r="C428" s="12"/>
      <c r="D428" s="12"/>
      <c r="E428" s="12"/>
      <c r="F428" s="12"/>
      <c r="G428" s="12"/>
      <c r="H428" s="12"/>
      <c r="I428" s="12"/>
      <c r="J428" s="12"/>
      <c r="K428" s="12"/>
      <c r="L428" s="12"/>
      <c r="M428" s="12"/>
      <c r="N428" s="12"/>
      <c r="O428" s="12"/>
      <c r="P428" s="12"/>
      <c r="Q428" s="14"/>
    </row>
    <row r="429" spans="2:17">
      <c r="B429" s="12"/>
      <c r="C429" s="12"/>
      <c r="D429" s="12"/>
      <c r="E429" s="12"/>
      <c r="F429" s="12"/>
      <c r="G429" s="12"/>
      <c r="H429" s="12"/>
      <c r="I429" s="12"/>
      <c r="J429" s="12"/>
      <c r="K429" s="12"/>
      <c r="L429" s="12"/>
      <c r="M429" s="12"/>
      <c r="N429" s="12"/>
      <c r="O429" s="12"/>
      <c r="P429" s="12"/>
      <c r="Q429" s="14"/>
    </row>
    <row r="430" spans="2:17">
      <c r="B430" s="12"/>
      <c r="C430" s="12"/>
      <c r="D430" s="12"/>
      <c r="E430" s="12"/>
      <c r="F430" s="12"/>
      <c r="G430" s="12"/>
      <c r="H430" s="12"/>
      <c r="I430" s="12"/>
      <c r="J430" s="12"/>
      <c r="K430" s="12"/>
      <c r="L430" s="12"/>
      <c r="M430" s="12"/>
      <c r="N430" s="12"/>
      <c r="O430" s="12"/>
      <c r="P430" s="12"/>
      <c r="Q430" s="14"/>
    </row>
    <row r="431" spans="2:17">
      <c r="B431" s="12"/>
      <c r="C431" s="12"/>
      <c r="D431" s="12"/>
      <c r="E431" s="12"/>
      <c r="F431" s="12"/>
      <c r="G431" s="12"/>
      <c r="H431" s="12"/>
      <c r="I431" s="12"/>
      <c r="J431" s="12"/>
      <c r="K431" s="12"/>
      <c r="L431" s="12"/>
      <c r="M431" s="12"/>
      <c r="N431" s="12"/>
      <c r="O431" s="12"/>
      <c r="P431" s="12"/>
      <c r="Q431" s="14"/>
    </row>
    <row r="432" spans="2:17">
      <c r="B432" s="12"/>
      <c r="C432" s="12"/>
      <c r="D432" s="12"/>
      <c r="E432" s="12"/>
      <c r="F432" s="12"/>
      <c r="G432" s="12"/>
      <c r="H432" s="12"/>
      <c r="I432" s="12"/>
      <c r="J432" s="12"/>
      <c r="K432" s="12"/>
      <c r="L432" s="12"/>
      <c r="M432" s="12"/>
      <c r="N432" s="12"/>
      <c r="O432" s="12"/>
      <c r="P432" s="12"/>
      <c r="Q432" s="14"/>
    </row>
    <row r="433" spans="2:17">
      <c r="B433" s="12"/>
      <c r="C433" s="12"/>
      <c r="D433" s="12"/>
      <c r="E433" s="12"/>
      <c r="F433" s="12"/>
      <c r="G433" s="12"/>
      <c r="H433" s="12"/>
      <c r="I433" s="12"/>
      <c r="J433" s="12"/>
      <c r="K433" s="12"/>
      <c r="L433" s="12"/>
      <c r="M433" s="12"/>
      <c r="N433" s="12"/>
      <c r="O433" s="12"/>
      <c r="P433" s="12"/>
      <c r="Q433" s="14"/>
    </row>
    <row r="434" spans="2:17">
      <c r="B434" s="12"/>
      <c r="C434" s="12"/>
      <c r="D434" s="12"/>
      <c r="E434" s="12"/>
      <c r="F434" s="12"/>
      <c r="G434" s="12"/>
      <c r="H434" s="12"/>
      <c r="I434" s="12"/>
      <c r="J434" s="12"/>
      <c r="K434" s="12"/>
      <c r="L434" s="12"/>
      <c r="M434" s="12"/>
      <c r="N434" s="12"/>
      <c r="O434" s="12"/>
      <c r="P434" s="12"/>
      <c r="Q434" s="14"/>
    </row>
    <row r="435" spans="2:17">
      <c r="B435" s="12"/>
      <c r="C435" s="12"/>
      <c r="D435" s="12"/>
      <c r="E435" s="12"/>
      <c r="F435" s="12"/>
      <c r="G435" s="12"/>
      <c r="H435" s="12"/>
      <c r="I435" s="12"/>
      <c r="J435" s="12"/>
      <c r="K435" s="12"/>
      <c r="L435" s="12"/>
      <c r="M435" s="12"/>
      <c r="N435" s="12"/>
      <c r="O435" s="12"/>
      <c r="P435" s="12"/>
      <c r="Q435" s="14"/>
    </row>
    <row r="436" spans="2:17">
      <c r="B436" s="12"/>
      <c r="C436" s="12"/>
      <c r="D436" s="12"/>
      <c r="E436" s="12"/>
      <c r="F436" s="12"/>
      <c r="G436" s="12"/>
      <c r="H436" s="12"/>
      <c r="I436" s="12"/>
      <c r="J436" s="12"/>
      <c r="K436" s="12"/>
      <c r="L436" s="12"/>
      <c r="M436" s="12"/>
      <c r="N436" s="12"/>
      <c r="O436" s="12"/>
      <c r="P436" s="12"/>
      <c r="Q436" s="14"/>
    </row>
    <row r="437" spans="2:17">
      <c r="B437" s="12"/>
      <c r="C437" s="12"/>
      <c r="D437" s="12"/>
      <c r="E437" s="12"/>
      <c r="F437" s="12"/>
      <c r="G437" s="12"/>
      <c r="H437" s="12"/>
      <c r="I437" s="12"/>
      <c r="J437" s="12"/>
      <c r="K437" s="12"/>
      <c r="L437" s="12"/>
      <c r="M437" s="12"/>
      <c r="N437" s="12"/>
      <c r="O437" s="12"/>
      <c r="P437" s="12"/>
      <c r="Q437" s="14"/>
    </row>
    <row r="438" spans="2:17">
      <c r="B438" s="12"/>
      <c r="C438" s="12"/>
      <c r="D438" s="12"/>
      <c r="E438" s="12"/>
      <c r="F438" s="12"/>
      <c r="G438" s="12"/>
      <c r="H438" s="12"/>
      <c r="I438" s="12"/>
      <c r="J438" s="12"/>
      <c r="K438" s="12"/>
      <c r="L438" s="12"/>
      <c r="M438" s="12"/>
      <c r="N438" s="12"/>
      <c r="O438" s="12"/>
      <c r="P438" s="12"/>
      <c r="Q438" s="14"/>
    </row>
    <row r="439" spans="2:17">
      <c r="B439" s="12"/>
      <c r="C439" s="12"/>
      <c r="D439" s="12"/>
      <c r="E439" s="12"/>
      <c r="F439" s="12"/>
      <c r="G439" s="12"/>
      <c r="H439" s="12"/>
      <c r="I439" s="12"/>
      <c r="J439" s="12"/>
      <c r="K439" s="12"/>
      <c r="L439" s="12"/>
      <c r="M439" s="12"/>
      <c r="N439" s="12"/>
      <c r="O439" s="12"/>
      <c r="P439" s="12"/>
      <c r="Q439" s="14"/>
    </row>
    <row r="440" spans="2:17">
      <c r="B440" s="12"/>
      <c r="C440" s="12"/>
      <c r="D440" s="12"/>
      <c r="E440" s="12"/>
      <c r="F440" s="12"/>
      <c r="G440" s="12"/>
      <c r="H440" s="12"/>
      <c r="I440" s="12"/>
      <c r="J440" s="12"/>
      <c r="K440" s="12"/>
      <c r="L440" s="12"/>
      <c r="M440" s="12"/>
      <c r="N440" s="12"/>
      <c r="O440" s="12"/>
      <c r="P440" s="12"/>
      <c r="Q440" s="14"/>
    </row>
    <row r="441" spans="2:17">
      <c r="B441" s="12"/>
      <c r="C441" s="12"/>
      <c r="D441" s="12"/>
      <c r="E441" s="12"/>
      <c r="F441" s="12"/>
      <c r="G441" s="12"/>
      <c r="H441" s="12"/>
      <c r="I441" s="12"/>
      <c r="J441" s="12"/>
      <c r="K441" s="12"/>
      <c r="L441" s="12"/>
      <c r="M441" s="12"/>
      <c r="N441" s="12"/>
      <c r="O441" s="12"/>
      <c r="P441" s="12"/>
      <c r="Q441" s="14"/>
    </row>
    <row r="442" spans="2:17">
      <c r="B442" s="12"/>
      <c r="C442" s="12"/>
      <c r="D442" s="12"/>
      <c r="E442" s="12"/>
      <c r="F442" s="12"/>
      <c r="G442" s="12"/>
      <c r="H442" s="12"/>
      <c r="I442" s="12"/>
      <c r="J442" s="12"/>
      <c r="K442" s="12"/>
      <c r="L442" s="12"/>
      <c r="M442" s="12"/>
      <c r="N442" s="12"/>
      <c r="O442" s="12"/>
      <c r="P442" s="12"/>
      <c r="Q442" s="14"/>
    </row>
    <row r="443" spans="2:17">
      <c r="B443" s="12"/>
      <c r="C443" s="12"/>
      <c r="D443" s="12"/>
      <c r="E443" s="12"/>
      <c r="F443" s="12"/>
      <c r="G443" s="12"/>
      <c r="H443" s="12"/>
      <c r="I443" s="12"/>
      <c r="J443" s="12"/>
      <c r="K443" s="12"/>
      <c r="L443" s="12"/>
      <c r="M443" s="12"/>
      <c r="N443" s="12"/>
      <c r="O443" s="12"/>
      <c r="P443" s="12"/>
      <c r="Q443" s="14"/>
    </row>
    <row r="444" spans="2:17">
      <c r="B444" s="12"/>
      <c r="C444" s="12"/>
      <c r="D444" s="12"/>
      <c r="E444" s="12"/>
      <c r="F444" s="12"/>
      <c r="G444" s="12"/>
      <c r="H444" s="12"/>
      <c r="I444" s="12"/>
      <c r="J444" s="12"/>
      <c r="K444" s="12"/>
      <c r="L444" s="12"/>
      <c r="M444" s="12"/>
      <c r="N444" s="12"/>
      <c r="O444" s="12"/>
      <c r="P444" s="12"/>
      <c r="Q444" s="14"/>
    </row>
    <row r="445" spans="2:17">
      <c r="B445" s="12"/>
      <c r="C445" s="12"/>
      <c r="D445" s="12"/>
      <c r="E445" s="12"/>
      <c r="F445" s="12"/>
      <c r="G445" s="12"/>
      <c r="H445" s="12"/>
      <c r="I445" s="12"/>
      <c r="J445" s="12"/>
      <c r="K445" s="12"/>
      <c r="L445" s="12"/>
      <c r="M445" s="12"/>
      <c r="N445" s="12"/>
      <c r="O445" s="12"/>
      <c r="P445" s="12"/>
      <c r="Q445" s="14"/>
    </row>
    <row r="446" spans="2:17">
      <c r="B446" s="12"/>
      <c r="C446" s="12"/>
      <c r="D446" s="12"/>
      <c r="E446" s="12"/>
      <c r="F446" s="12"/>
      <c r="G446" s="12"/>
      <c r="H446" s="12"/>
      <c r="I446" s="12"/>
      <c r="J446" s="12"/>
      <c r="K446" s="12"/>
      <c r="L446" s="12"/>
      <c r="M446" s="12"/>
      <c r="N446" s="12"/>
      <c r="O446" s="12"/>
      <c r="P446" s="12"/>
      <c r="Q446" s="14"/>
    </row>
    <row r="447" spans="2:17">
      <c r="B447" s="12"/>
      <c r="C447" s="12"/>
      <c r="D447" s="12"/>
      <c r="E447" s="12"/>
      <c r="F447" s="12"/>
      <c r="G447" s="12"/>
      <c r="H447" s="12"/>
      <c r="I447" s="12"/>
      <c r="J447" s="12"/>
      <c r="K447" s="12"/>
      <c r="L447" s="12"/>
      <c r="M447" s="12"/>
      <c r="N447" s="12"/>
      <c r="O447" s="12"/>
      <c r="P447" s="12"/>
      <c r="Q447" s="14"/>
    </row>
    <row r="448" spans="2:17">
      <c r="B448" s="12"/>
      <c r="C448" s="12"/>
      <c r="D448" s="12"/>
      <c r="E448" s="12"/>
      <c r="F448" s="12"/>
      <c r="G448" s="12"/>
      <c r="H448" s="12"/>
      <c r="I448" s="12"/>
      <c r="J448" s="12"/>
      <c r="K448" s="12"/>
      <c r="L448" s="12"/>
      <c r="M448" s="12"/>
      <c r="N448" s="12"/>
      <c r="O448" s="12"/>
      <c r="P448" s="12"/>
      <c r="Q448" s="14"/>
    </row>
    <row r="449" spans="2:17">
      <c r="B449" s="12"/>
      <c r="C449" s="12"/>
      <c r="D449" s="12"/>
      <c r="E449" s="12"/>
      <c r="F449" s="12"/>
      <c r="G449" s="12"/>
      <c r="H449" s="12"/>
      <c r="I449" s="12"/>
      <c r="J449" s="12"/>
      <c r="K449" s="12"/>
      <c r="L449" s="12"/>
      <c r="M449" s="12"/>
      <c r="N449" s="12"/>
      <c r="O449" s="12"/>
      <c r="P449" s="12"/>
      <c r="Q449" s="14"/>
    </row>
    <row r="450" spans="2:17">
      <c r="B450" s="12"/>
      <c r="C450" s="12"/>
      <c r="D450" s="12"/>
      <c r="E450" s="12"/>
      <c r="F450" s="12"/>
      <c r="G450" s="12"/>
      <c r="H450" s="12"/>
      <c r="I450" s="12"/>
      <c r="J450" s="12"/>
      <c r="K450" s="12"/>
      <c r="L450" s="12"/>
      <c r="M450" s="12"/>
      <c r="N450" s="12"/>
      <c r="O450" s="12"/>
      <c r="P450" s="12"/>
      <c r="Q450" s="14"/>
    </row>
    <row r="451" spans="2:17">
      <c r="B451" s="12"/>
      <c r="C451" s="12"/>
      <c r="D451" s="12"/>
      <c r="E451" s="12"/>
      <c r="F451" s="12"/>
      <c r="G451" s="12"/>
      <c r="H451" s="12"/>
      <c r="I451" s="12"/>
      <c r="J451" s="12"/>
      <c r="K451" s="12"/>
      <c r="L451" s="12"/>
      <c r="M451" s="12"/>
      <c r="N451" s="12"/>
      <c r="O451" s="12"/>
      <c r="P451" s="12"/>
      <c r="Q451" s="14"/>
    </row>
    <row r="452" spans="2:17">
      <c r="B452" s="12"/>
      <c r="C452" s="12"/>
      <c r="D452" s="12"/>
      <c r="E452" s="12"/>
      <c r="F452" s="12"/>
      <c r="G452" s="12"/>
      <c r="H452" s="12"/>
      <c r="I452" s="12"/>
      <c r="J452" s="12"/>
      <c r="K452" s="12"/>
      <c r="L452" s="12"/>
      <c r="M452" s="12"/>
      <c r="N452" s="12"/>
      <c r="O452" s="12"/>
      <c r="P452" s="12"/>
      <c r="Q452" s="14"/>
    </row>
    <row r="453" spans="2:17">
      <c r="B453" s="12"/>
      <c r="C453" s="12"/>
      <c r="D453" s="12"/>
      <c r="E453" s="12"/>
      <c r="F453" s="12"/>
      <c r="G453" s="12"/>
      <c r="H453" s="12"/>
      <c r="I453" s="12"/>
      <c r="J453" s="12"/>
      <c r="K453" s="12"/>
      <c r="L453" s="12"/>
      <c r="M453" s="12"/>
      <c r="N453" s="12"/>
      <c r="O453" s="12"/>
      <c r="P453" s="12"/>
      <c r="Q453" s="14"/>
    </row>
    <row r="454" spans="2:17">
      <c r="B454" s="12"/>
      <c r="C454" s="12"/>
      <c r="D454" s="12"/>
      <c r="E454" s="12"/>
      <c r="F454" s="12"/>
      <c r="G454" s="12"/>
      <c r="H454" s="12"/>
      <c r="I454" s="12"/>
      <c r="J454" s="12"/>
      <c r="K454" s="12"/>
      <c r="L454" s="12"/>
      <c r="M454" s="12"/>
      <c r="N454" s="12"/>
      <c r="O454" s="12"/>
      <c r="P454" s="12"/>
      <c r="Q454" s="14"/>
    </row>
    <row r="455" spans="2:17">
      <c r="B455" s="12"/>
      <c r="C455" s="12"/>
      <c r="D455" s="12"/>
      <c r="E455" s="12"/>
      <c r="F455" s="12"/>
      <c r="G455" s="12"/>
      <c r="H455" s="12"/>
      <c r="I455" s="12"/>
      <c r="J455" s="12"/>
      <c r="K455" s="12"/>
      <c r="L455" s="12"/>
      <c r="M455" s="12"/>
      <c r="N455" s="12"/>
      <c r="O455" s="12"/>
      <c r="P455" s="12"/>
      <c r="Q455" s="14"/>
    </row>
    <row r="456" spans="2:17">
      <c r="B456" s="12"/>
      <c r="C456" s="12"/>
      <c r="D456" s="12"/>
      <c r="E456" s="12"/>
      <c r="F456" s="12"/>
      <c r="G456" s="12"/>
      <c r="H456" s="12"/>
      <c r="I456" s="12"/>
      <c r="J456" s="12"/>
      <c r="K456" s="12"/>
      <c r="L456" s="12"/>
      <c r="M456" s="12"/>
      <c r="N456" s="12"/>
      <c r="O456" s="12"/>
      <c r="P456" s="12"/>
      <c r="Q456" s="14"/>
    </row>
    <row r="457" spans="2:17">
      <c r="B457" s="12"/>
      <c r="C457" s="12"/>
      <c r="D457" s="12"/>
      <c r="E457" s="12"/>
      <c r="F457" s="12"/>
      <c r="G457" s="12"/>
      <c r="H457" s="12"/>
      <c r="I457" s="12"/>
      <c r="J457" s="12"/>
      <c r="K457" s="12"/>
      <c r="L457" s="12"/>
      <c r="M457" s="12"/>
      <c r="N457" s="12"/>
      <c r="O457" s="12"/>
      <c r="P457" s="12"/>
      <c r="Q457" s="14"/>
    </row>
    <row r="458" spans="2:17">
      <c r="B458" s="12"/>
      <c r="C458" s="12"/>
      <c r="D458" s="12"/>
      <c r="E458" s="12"/>
      <c r="F458" s="12"/>
      <c r="G458" s="12"/>
      <c r="H458" s="12"/>
      <c r="I458" s="12"/>
      <c r="J458" s="12"/>
      <c r="K458" s="12"/>
      <c r="L458" s="12"/>
      <c r="M458" s="12"/>
      <c r="N458" s="12"/>
      <c r="O458" s="12"/>
      <c r="P458" s="12"/>
      <c r="Q458" s="14"/>
    </row>
    <row r="459" spans="2:17">
      <c r="B459" s="12"/>
      <c r="C459" s="12"/>
      <c r="D459" s="12"/>
      <c r="E459" s="12"/>
      <c r="F459" s="12"/>
      <c r="G459" s="12"/>
      <c r="H459" s="12"/>
      <c r="I459" s="12"/>
      <c r="J459" s="12"/>
      <c r="K459" s="12"/>
      <c r="L459" s="12"/>
      <c r="M459" s="12"/>
      <c r="N459" s="12"/>
      <c r="O459" s="12"/>
      <c r="P459" s="12"/>
      <c r="Q459" s="14"/>
    </row>
    <row r="460" spans="2:17">
      <c r="B460" s="12"/>
      <c r="C460" s="12"/>
      <c r="D460" s="12"/>
      <c r="E460" s="12"/>
      <c r="F460" s="12"/>
      <c r="G460" s="12"/>
      <c r="H460" s="12"/>
      <c r="I460" s="12"/>
      <c r="J460" s="12"/>
      <c r="K460" s="12"/>
      <c r="L460" s="12"/>
      <c r="M460" s="12"/>
      <c r="N460" s="12"/>
      <c r="O460" s="12"/>
      <c r="P460" s="12"/>
      <c r="Q460" s="14"/>
    </row>
    <row r="461" spans="2:17">
      <c r="B461" s="12"/>
      <c r="C461" s="12"/>
      <c r="D461" s="12"/>
      <c r="E461" s="12"/>
      <c r="F461" s="12"/>
      <c r="G461" s="12"/>
      <c r="H461" s="12"/>
      <c r="I461" s="12"/>
      <c r="J461" s="12"/>
      <c r="K461" s="12"/>
      <c r="L461" s="12"/>
      <c r="M461" s="12"/>
      <c r="N461" s="12"/>
      <c r="O461" s="12"/>
      <c r="P461" s="12"/>
      <c r="Q461" s="14"/>
    </row>
    <row r="462" spans="2:17">
      <c r="B462" s="12"/>
      <c r="C462" s="12"/>
      <c r="D462" s="12"/>
      <c r="E462" s="12"/>
      <c r="F462" s="12"/>
      <c r="G462" s="12"/>
      <c r="H462" s="12"/>
      <c r="I462" s="12"/>
      <c r="J462" s="12"/>
      <c r="K462" s="12"/>
      <c r="L462" s="12"/>
      <c r="M462" s="12"/>
      <c r="N462" s="12"/>
      <c r="O462" s="12"/>
      <c r="P462" s="12"/>
      <c r="Q462" s="14"/>
    </row>
    <row r="463" spans="2:17">
      <c r="B463" s="12"/>
      <c r="C463" s="12"/>
      <c r="D463" s="12"/>
      <c r="E463" s="12"/>
      <c r="F463" s="12"/>
      <c r="G463" s="12"/>
      <c r="H463" s="12"/>
      <c r="I463" s="12"/>
      <c r="J463" s="12"/>
      <c r="K463" s="12"/>
      <c r="L463" s="12"/>
      <c r="M463" s="12"/>
      <c r="N463" s="12"/>
      <c r="O463" s="12"/>
      <c r="P463" s="12"/>
      <c r="Q463" s="14"/>
    </row>
    <row r="464" spans="2:17">
      <c r="B464" s="12"/>
      <c r="C464" s="12"/>
      <c r="D464" s="12"/>
      <c r="E464" s="12"/>
      <c r="F464" s="12"/>
      <c r="G464" s="12"/>
      <c r="H464" s="12"/>
      <c r="I464" s="12"/>
      <c r="J464" s="12"/>
      <c r="K464" s="12"/>
      <c r="L464" s="12"/>
      <c r="M464" s="12"/>
      <c r="N464" s="12"/>
      <c r="O464" s="12"/>
      <c r="P464" s="12"/>
      <c r="Q464" s="14"/>
    </row>
    <row r="465" spans="2:17">
      <c r="B465" s="12"/>
      <c r="C465" s="12"/>
      <c r="D465" s="12"/>
      <c r="E465" s="12"/>
      <c r="F465" s="12"/>
      <c r="G465" s="12"/>
      <c r="H465" s="12"/>
      <c r="I465" s="12"/>
      <c r="J465" s="12"/>
      <c r="K465" s="12"/>
      <c r="L465" s="12"/>
      <c r="M465" s="12"/>
      <c r="N465" s="12"/>
      <c r="O465" s="12"/>
      <c r="P465" s="12"/>
      <c r="Q465" s="14"/>
    </row>
    <row r="466" spans="2:17">
      <c r="B466" s="12"/>
      <c r="C466" s="12"/>
      <c r="D466" s="12"/>
      <c r="E466" s="12"/>
      <c r="F466" s="12"/>
      <c r="G466" s="12"/>
      <c r="H466" s="12"/>
      <c r="I466" s="12"/>
      <c r="J466" s="12"/>
      <c r="K466" s="12"/>
      <c r="L466" s="12"/>
      <c r="M466" s="12"/>
      <c r="N466" s="12"/>
      <c r="O466" s="12"/>
      <c r="P466" s="12"/>
      <c r="Q466" s="14"/>
    </row>
    <row r="467" spans="2:17">
      <c r="B467" s="12"/>
      <c r="C467" s="12"/>
      <c r="D467" s="12"/>
      <c r="E467" s="12"/>
      <c r="F467" s="12"/>
      <c r="G467" s="12"/>
      <c r="H467" s="12"/>
      <c r="I467" s="12"/>
      <c r="J467" s="12"/>
      <c r="K467" s="12"/>
      <c r="L467" s="12"/>
      <c r="M467" s="12"/>
      <c r="N467" s="12"/>
      <c r="O467" s="12"/>
      <c r="P467" s="12"/>
      <c r="Q467" s="14"/>
    </row>
    <row r="468" spans="2:17">
      <c r="B468" s="12"/>
      <c r="C468" s="12"/>
      <c r="D468" s="12"/>
      <c r="E468" s="12"/>
      <c r="F468" s="12"/>
      <c r="G468" s="12"/>
      <c r="H468" s="12"/>
      <c r="I468" s="12"/>
      <c r="J468" s="12"/>
      <c r="K468" s="12"/>
      <c r="L468" s="12"/>
      <c r="M468" s="12"/>
      <c r="N468" s="12"/>
      <c r="O468" s="12"/>
      <c r="P468" s="12"/>
      <c r="Q468" s="14"/>
    </row>
    <row r="469" spans="2:17">
      <c r="B469" s="12"/>
      <c r="C469" s="12"/>
      <c r="D469" s="12"/>
      <c r="E469" s="12"/>
      <c r="F469" s="12"/>
      <c r="G469" s="12"/>
      <c r="H469" s="12"/>
      <c r="I469" s="12"/>
      <c r="J469" s="12"/>
      <c r="K469" s="12"/>
      <c r="L469" s="12"/>
      <c r="M469" s="12"/>
      <c r="N469" s="12"/>
      <c r="O469" s="12"/>
      <c r="P469" s="12"/>
      <c r="Q469" s="14"/>
    </row>
    <row r="470" spans="2:17">
      <c r="B470" s="12"/>
      <c r="C470" s="12"/>
      <c r="D470" s="12"/>
      <c r="E470" s="12"/>
      <c r="F470" s="12"/>
      <c r="G470" s="12"/>
      <c r="H470" s="12"/>
      <c r="I470" s="12"/>
      <c r="J470" s="12"/>
      <c r="K470" s="12"/>
      <c r="L470" s="12"/>
      <c r="M470" s="12"/>
      <c r="N470" s="12"/>
      <c r="O470" s="12"/>
      <c r="P470" s="12"/>
      <c r="Q470" s="14"/>
    </row>
    <row r="471" spans="2:17">
      <c r="B471" s="12"/>
      <c r="C471" s="12"/>
      <c r="D471" s="12"/>
      <c r="E471" s="12"/>
      <c r="F471" s="12"/>
      <c r="G471" s="12"/>
      <c r="H471" s="12"/>
      <c r="I471" s="12"/>
      <c r="J471" s="12"/>
      <c r="K471" s="12"/>
      <c r="L471" s="12"/>
      <c r="M471" s="12"/>
      <c r="N471" s="12"/>
      <c r="O471" s="12"/>
      <c r="P471" s="12"/>
      <c r="Q471" s="14"/>
    </row>
    <row r="472" spans="2:17">
      <c r="B472" s="12"/>
      <c r="C472" s="12"/>
      <c r="D472" s="12"/>
      <c r="E472" s="12"/>
      <c r="F472" s="12"/>
      <c r="G472" s="12"/>
      <c r="H472" s="12"/>
      <c r="I472" s="12"/>
      <c r="J472" s="12"/>
      <c r="K472" s="12"/>
      <c r="L472" s="12"/>
      <c r="M472" s="12"/>
      <c r="N472" s="12"/>
      <c r="O472" s="12"/>
      <c r="P472" s="12"/>
      <c r="Q472" s="14"/>
    </row>
    <row r="473" spans="2:17">
      <c r="B473" s="12"/>
      <c r="C473" s="12"/>
      <c r="D473" s="12"/>
      <c r="E473" s="12"/>
      <c r="F473" s="12"/>
      <c r="G473" s="12"/>
      <c r="H473" s="12"/>
      <c r="I473" s="12"/>
      <c r="J473" s="12"/>
      <c r="K473" s="12"/>
      <c r="L473" s="12"/>
      <c r="M473" s="12"/>
      <c r="N473" s="12"/>
      <c r="O473" s="12"/>
      <c r="P473" s="12"/>
      <c r="Q473" s="14"/>
    </row>
    <row r="474" spans="2:17">
      <c r="B474" s="12"/>
      <c r="C474" s="12"/>
      <c r="D474" s="12"/>
      <c r="E474" s="12"/>
      <c r="F474" s="12"/>
      <c r="G474" s="12"/>
      <c r="H474" s="12"/>
      <c r="I474" s="12"/>
      <c r="J474" s="12"/>
      <c r="K474" s="12"/>
      <c r="L474" s="12"/>
      <c r="M474" s="12"/>
      <c r="N474" s="12"/>
      <c r="O474" s="12"/>
      <c r="P474" s="12"/>
      <c r="Q474" s="14"/>
    </row>
    <row r="475" spans="2:17">
      <c r="B475" s="12"/>
      <c r="C475" s="12"/>
      <c r="D475" s="12"/>
      <c r="E475" s="12"/>
      <c r="F475" s="12"/>
      <c r="G475" s="12"/>
      <c r="H475" s="12"/>
      <c r="I475" s="12"/>
      <c r="J475" s="12"/>
      <c r="K475" s="12"/>
      <c r="L475" s="12"/>
      <c r="M475" s="12"/>
      <c r="N475" s="12"/>
      <c r="O475" s="12"/>
      <c r="P475" s="12"/>
      <c r="Q475" s="14"/>
    </row>
    <row r="476" spans="2:17">
      <c r="B476" s="12"/>
      <c r="C476" s="12"/>
      <c r="D476" s="12"/>
      <c r="E476" s="12"/>
      <c r="F476" s="12"/>
      <c r="G476" s="12"/>
      <c r="H476" s="12"/>
      <c r="I476" s="12"/>
      <c r="J476" s="12"/>
      <c r="K476" s="12"/>
      <c r="L476" s="12"/>
      <c r="M476" s="12"/>
      <c r="N476" s="12"/>
      <c r="O476" s="12"/>
      <c r="P476" s="12"/>
      <c r="Q476" s="14"/>
    </row>
    <row r="477" spans="2:17">
      <c r="B477" s="12"/>
      <c r="C477" s="12"/>
      <c r="D477" s="12"/>
      <c r="E477" s="12"/>
      <c r="F477" s="12"/>
      <c r="G477" s="12"/>
      <c r="H477" s="12"/>
      <c r="I477" s="12"/>
      <c r="J477" s="12"/>
      <c r="K477" s="12"/>
      <c r="L477" s="12"/>
      <c r="M477" s="12"/>
      <c r="N477" s="12"/>
      <c r="O477" s="12"/>
      <c r="P477" s="12"/>
      <c r="Q477" s="14"/>
    </row>
    <row r="478" spans="2:17">
      <c r="B478" s="12"/>
      <c r="C478" s="12"/>
      <c r="D478" s="12"/>
      <c r="E478" s="12"/>
      <c r="F478" s="12"/>
      <c r="G478" s="12"/>
      <c r="H478" s="12"/>
      <c r="I478" s="12"/>
      <c r="J478" s="12"/>
      <c r="K478" s="12"/>
      <c r="L478" s="12"/>
      <c r="M478" s="12"/>
      <c r="N478" s="12"/>
      <c r="O478" s="12"/>
      <c r="P478" s="12"/>
      <c r="Q478" s="14"/>
    </row>
    <row r="479" spans="2:17">
      <c r="B479" s="12"/>
      <c r="C479" s="12"/>
      <c r="D479" s="12"/>
      <c r="E479" s="12"/>
      <c r="F479" s="12"/>
      <c r="G479" s="12"/>
      <c r="H479" s="12"/>
      <c r="I479" s="12"/>
      <c r="J479" s="12"/>
      <c r="K479" s="12"/>
      <c r="L479" s="12"/>
      <c r="M479" s="12"/>
      <c r="N479" s="12"/>
      <c r="O479" s="12"/>
      <c r="P479" s="12"/>
      <c r="Q479" s="14"/>
    </row>
    <row r="480" spans="2:17">
      <c r="B480" s="12"/>
      <c r="C480" s="12"/>
      <c r="D480" s="12"/>
      <c r="E480" s="12"/>
      <c r="F480" s="12"/>
      <c r="G480" s="12"/>
      <c r="H480" s="12"/>
      <c r="I480" s="12"/>
      <c r="J480" s="12"/>
      <c r="K480" s="12"/>
      <c r="L480" s="12"/>
      <c r="M480" s="12"/>
      <c r="N480" s="12"/>
      <c r="O480" s="12"/>
      <c r="P480" s="12"/>
      <c r="Q480" s="14"/>
    </row>
    <row r="481" spans="2:17">
      <c r="B481" s="12"/>
      <c r="C481" s="12"/>
      <c r="D481" s="12"/>
      <c r="E481" s="12"/>
      <c r="F481" s="12"/>
      <c r="G481" s="12"/>
      <c r="H481" s="12"/>
      <c r="I481" s="12"/>
      <c r="J481" s="12"/>
      <c r="K481" s="12"/>
      <c r="L481" s="12"/>
      <c r="M481" s="12"/>
      <c r="N481" s="12"/>
      <c r="O481" s="12"/>
      <c r="P481" s="12"/>
      <c r="Q481" s="14"/>
    </row>
    <row r="482" spans="2:17">
      <c r="B482" s="12"/>
      <c r="C482" s="12"/>
      <c r="D482" s="12"/>
      <c r="E482" s="12"/>
      <c r="F482" s="12"/>
      <c r="G482" s="12"/>
      <c r="H482" s="12"/>
      <c r="I482" s="12"/>
      <c r="J482" s="12"/>
      <c r="K482" s="12"/>
      <c r="L482" s="12"/>
      <c r="M482" s="12"/>
      <c r="N482" s="12"/>
      <c r="O482" s="12"/>
      <c r="P482" s="12"/>
      <c r="Q482" s="14"/>
    </row>
    <row r="483" spans="2:17">
      <c r="B483" s="12"/>
      <c r="C483" s="12"/>
      <c r="D483" s="12"/>
      <c r="E483" s="12"/>
      <c r="F483" s="12"/>
      <c r="G483" s="12"/>
      <c r="H483" s="12"/>
      <c r="I483" s="12"/>
      <c r="J483" s="12"/>
      <c r="K483" s="12"/>
      <c r="L483" s="12"/>
      <c r="M483" s="12"/>
      <c r="N483" s="12"/>
      <c r="O483" s="12"/>
      <c r="P483" s="12"/>
      <c r="Q483" s="14"/>
    </row>
    <row r="484" spans="2:17">
      <c r="B484" s="12"/>
      <c r="C484" s="12"/>
      <c r="D484" s="12"/>
      <c r="E484" s="12"/>
      <c r="F484" s="12"/>
      <c r="G484" s="12"/>
      <c r="H484" s="12"/>
      <c r="I484" s="12"/>
      <c r="J484" s="12"/>
      <c r="K484" s="12"/>
      <c r="L484" s="12"/>
      <c r="M484" s="12"/>
      <c r="N484" s="12"/>
      <c r="O484" s="12"/>
      <c r="P484" s="12"/>
      <c r="Q484" s="14"/>
    </row>
    <row r="485" spans="2:17">
      <c r="B485" s="12"/>
      <c r="C485" s="12"/>
      <c r="D485" s="12"/>
      <c r="E485" s="12"/>
      <c r="F485" s="12"/>
      <c r="G485" s="12"/>
      <c r="H485" s="12"/>
      <c r="I485" s="12"/>
      <c r="J485" s="12"/>
      <c r="K485" s="12"/>
      <c r="L485" s="12"/>
      <c r="M485" s="12"/>
      <c r="N485" s="12"/>
      <c r="O485" s="12"/>
      <c r="P485" s="12"/>
      <c r="Q485" s="14"/>
    </row>
    <row r="486" spans="2:17">
      <c r="B486" s="12"/>
      <c r="C486" s="12"/>
      <c r="D486" s="12"/>
      <c r="E486" s="12"/>
      <c r="F486" s="12"/>
      <c r="G486" s="12"/>
      <c r="H486" s="12"/>
      <c r="I486" s="12"/>
      <c r="J486" s="12"/>
      <c r="K486" s="12"/>
      <c r="L486" s="12"/>
      <c r="M486" s="12"/>
      <c r="N486" s="12"/>
      <c r="O486" s="12"/>
      <c r="P486" s="12"/>
      <c r="Q486" s="14"/>
    </row>
    <row r="487" spans="2:17">
      <c r="B487" s="12"/>
      <c r="C487" s="12"/>
      <c r="D487" s="12"/>
      <c r="E487" s="12"/>
      <c r="F487" s="12"/>
      <c r="G487" s="12"/>
      <c r="H487" s="12"/>
      <c r="I487" s="12"/>
      <c r="J487" s="12"/>
      <c r="K487" s="12"/>
      <c r="L487" s="12"/>
      <c r="M487" s="12"/>
      <c r="N487" s="12"/>
      <c r="O487" s="12"/>
      <c r="P487" s="12"/>
      <c r="Q487" s="14"/>
    </row>
    <row r="488" spans="2:17">
      <c r="B488" s="12"/>
      <c r="C488" s="12"/>
      <c r="D488" s="12"/>
      <c r="E488" s="12"/>
      <c r="F488" s="12"/>
      <c r="G488" s="12"/>
      <c r="H488" s="12"/>
      <c r="I488" s="12"/>
      <c r="J488" s="12"/>
      <c r="K488" s="12"/>
      <c r="L488" s="12"/>
      <c r="M488" s="12"/>
      <c r="N488" s="12"/>
      <c r="O488" s="12"/>
      <c r="P488" s="12"/>
      <c r="Q488" s="14"/>
    </row>
    <row r="489" spans="2:17">
      <c r="B489" s="12"/>
      <c r="C489" s="12"/>
      <c r="D489" s="12"/>
      <c r="E489" s="12"/>
      <c r="F489" s="12"/>
      <c r="G489" s="12"/>
      <c r="H489" s="12"/>
      <c r="I489" s="12"/>
      <c r="J489" s="12"/>
      <c r="K489" s="12"/>
      <c r="L489" s="12"/>
      <c r="M489" s="12"/>
      <c r="N489" s="12"/>
      <c r="O489" s="12"/>
      <c r="P489" s="12"/>
      <c r="Q489" s="14"/>
    </row>
    <row r="490" spans="2:17">
      <c r="B490" s="12"/>
      <c r="C490" s="12"/>
      <c r="D490" s="12"/>
      <c r="E490" s="12"/>
      <c r="F490" s="12"/>
      <c r="G490" s="12"/>
      <c r="H490" s="12"/>
      <c r="I490" s="12"/>
      <c r="J490" s="12"/>
      <c r="K490" s="12"/>
      <c r="L490" s="12"/>
      <c r="M490" s="12"/>
      <c r="N490" s="12"/>
      <c r="O490" s="12"/>
      <c r="P490" s="12"/>
      <c r="Q490" s="14"/>
    </row>
    <row r="491" spans="2:17">
      <c r="B491" s="12"/>
      <c r="C491" s="12"/>
      <c r="D491" s="12"/>
      <c r="E491" s="12"/>
      <c r="F491" s="12"/>
      <c r="G491" s="12"/>
      <c r="H491" s="12"/>
      <c r="I491" s="12"/>
      <c r="J491" s="12"/>
      <c r="K491" s="12"/>
      <c r="L491" s="12"/>
      <c r="M491" s="12"/>
      <c r="N491" s="12"/>
      <c r="O491" s="12"/>
      <c r="P491" s="12"/>
      <c r="Q491" s="14"/>
    </row>
    <row r="492" spans="2:17">
      <c r="B492" s="12"/>
      <c r="C492" s="12"/>
      <c r="D492" s="12"/>
      <c r="E492" s="12"/>
      <c r="F492" s="12"/>
      <c r="G492" s="12"/>
      <c r="H492" s="12"/>
      <c r="I492" s="12"/>
      <c r="J492" s="12"/>
      <c r="K492" s="12"/>
      <c r="L492" s="12"/>
      <c r="M492" s="12"/>
      <c r="N492" s="12"/>
      <c r="O492" s="12"/>
      <c r="P492" s="12"/>
      <c r="Q492" s="14"/>
    </row>
    <row r="493" spans="2:17">
      <c r="B493" s="12"/>
      <c r="C493" s="12"/>
      <c r="D493" s="12"/>
      <c r="E493" s="12"/>
      <c r="F493" s="12"/>
      <c r="G493" s="12"/>
      <c r="H493" s="12"/>
      <c r="I493" s="12"/>
      <c r="J493" s="12"/>
      <c r="K493" s="12"/>
      <c r="L493" s="12"/>
      <c r="M493" s="12"/>
      <c r="N493" s="12"/>
      <c r="O493" s="12"/>
      <c r="P493" s="12"/>
      <c r="Q493" s="14"/>
    </row>
    <row r="494" spans="2:17">
      <c r="B494" s="12"/>
      <c r="C494" s="12"/>
      <c r="D494" s="12"/>
      <c r="E494" s="12"/>
      <c r="F494" s="12"/>
      <c r="G494" s="12"/>
      <c r="H494" s="12"/>
      <c r="I494" s="12"/>
      <c r="J494" s="12"/>
      <c r="K494" s="12"/>
      <c r="L494" s="12"/>
      <c r="M494" s="12"/>
      <c r="N494" s="12"/>
      <c r="O494" s="12"/>
      <c r="P494" s="12"/>
      <c r="Q494" s="14"/>
    </row>
    <row r="495" spans="2:17">
      <c r="B495" s="12"/>
      <c r="C495" s="12"/>
      <c r="D495" s="12"/>
      <c r="E495" s="12"/>
      <c r="F495" s="12"/>
      <c r="G495" s="12"/>
      <c r="H495" s="12"/>
      <c r="I495" s="12"/>
      <c r="J495" s="12"/>
      <c r="K495" s="12"/>
      <c r="L495" s="12"/>
      <c r="M495" s="12"/>
      <c r="N495" s="12"/>
      <c r="O495" s="12"/>
      <c r="P495" s="12"/>
      <c r="Q495" s="14"/>
    </row>
    <row r="496" spans="2:17">
      <c r="B496" s="12"/>
      <c r="C496" s="12"/>
      <c r="D496" s="12"/>
      <c r="E496" s="12"/>
      <c r="F496" s="12"/>
      <c r="G496" s="12"/>
      <c r="H496" s="12"/>
      <c r="I496" s="12"/>
      <c r="J496" s="12"/>
      <c r="K496" s="12"/>
      <c r="L496" s="12"/>
      <c r="M496" s="12"/>
      <c r="N496" s="12"/>
      <c r="O496" s="12"/>
      <c r="P496" s="12"/>
      <c r="Q496" s="14"/>
    </row>
    <row r="497" spans="2:17">
      <c r="B497" s="12"/>
      <c r="C497" s="12"/>
      <c r="D497" s="12"/>
      <c r="E497" s="12"/>
      <c r="F497" s="12"/>
      <c r="G497" s="12"/>
      <c r="H497" s="12"/>
      <c r="I497" s="12"/>
      <c r="J497" s="12"/>
      <c r="K497" s="12"/>
      <c r="L497" s="12"/>
      <c r="M497" s="12"/>
      <c r="N497" s="12"/>
      <c r="O497" s="12"/>
      <c r="P497" s="12"/>
      <c r="Q497" s="14"/>
    </row>
    <row r="498" spans="2:17">
      <c r="B498" s="12"/>
      <c r="C498" s="12"/>
      <c r="D498" s="12"/>
      <c r="E498" s="12"/>
      <c r="F498" s="12"/>
      <c r="G498" s="12"/>
      <c r="H498" s="12"/>
      <c r="I498" s="12"/>
      <c r="J498" s="12"/>
      <c r="K498" s="12"/>
      <c r="L498" s="12"/>
      <c r="M498" s="12"/>
      <c r="N498" s="12"/>
      <c r="O498" s="12"/>
      <c r="P498" s="12"/>
      <c r="Q498" s="14"/>
    </row>
    <row r="499" spans="2:17">
      <c r="B499" s="12"/>
      <c r="C499" s="12"/>
      <c r="D499" s="12"/>
      <c r="E499" s="12"/>
      <c r="F499" s="12"/>
      <c r="G499" s="12"/>
      <c r="H499" s="12"/>
      <c r="I499" s="12"/>
      <c r="J499" s="12"/>
      <c r="K499" s="12"/>
      <c r="L499" s="12"/>
      <c r="M499" s="12"/>
      <c r="N499" s="12"/>
      <c r="O499" s="12"/>
      <c r="P499" s="12"/>
      <c r="Q499" s="14"/>
    </row>
    <row r="500" spans="2:17">
      <c r="B500" s="12"/>
      <c r="C500" s="12"/>
      <c r="D500" s="12"/>
      <c r="E500" s="12"/>
      <c r="F500" s="12"/>
      <c r="G500" s="12"/>
      <c r="H500" s="12"/>
      <c r="I500" s="12"/>
      <c r="J500" s="12"/>
      <c r="K500" s="12"/>
      <c r="L500" s="12"/>
      <c r="M500" s="12"/>
      <c r="N500" s="12"/>
      <c r="O500" s="12"/>
      <c r="P500" s="12"/>
      <c r="Q500" s="14"/>
    </row>
    <row r="501" spans="2:17">
      <c r="B501" s="12"/>
      <c r="C501" s="12"/>
      <c r="D501" s="12"/>
      <c r="E501" s="12"/>
      <c r="F501" s="12"/>
      <c r="G501" s="12"/>
      <c r="H501" s="12"/>
      <c r="I501" s="12"/>
      <c r="J501" s="12"/>
      <c r="K501" s="12"/>
      <c r="L501" s="12"/>
      <c r="M501" s="12"/>
      <c r="N501" s="12"/>
      <c r="O501" s="12"/>
      <c r="P501" s="12"/>
      <c r="Q501" s="14"/>
    </row>
    <row r="502" spans="2:17">
      <c r="B502" s="12"/>
      <c r="C502" s="12"/>
      <c r="D502" s="12"/>
      <c r="E502" s="12"/>
      <c r="F502" s="12"/>
      <c r="G502" s="12"/>
      <c r="H502" s="12"/>
      <c r="I502" s="12"/>
      <c r="J502" s="12"/>
      <c r="K502" s="12"/>
      <c r="L502" s="12"/>
      <c r="M502" s="12"/>
      <c r="N502" s="12"/>
      <c r="O502" s="12"/>
      <c r="P502" s="12"/>
      <c r="Q502" s="14"/>
    </row>
    <row r="503" spans="2:17">
      <c r="B503" s="12"/>
      <c r="C503" s="12"/>
      <c r="D503" s="12"/>
      <c r="E503" s="12"/>
      <c r="F503" s="12"/>
      <c r="G503" s="12"/>
      <c r="H503" s="12"/>
      <c r="I503" s="12"/>
      <c r="J503" s="12"/>
      <c r="K503" s="12"/>
      <c r="L503" s="12"/>
      <c r="M503" s="12"/>
      <c r="N503" s="12"/>
      <c r="O503" s="12"/>
      <c r="P503" s="12"/>
      <c r="Q503" s="14"/>
    </row>
    <row r="504" spans="2:17">
      <c r="B504" s="12"/>
      <c r="C504" s="12"/>
      <c r="D504" s="12"/>
      <c r="E504" s="12"/>
      <c r="F504" s="12"/>
      <c r="G504" s="12"/>
      <c r="H504" s="12"/>
      <c r="I504" s="12"/>
      <c r="J504" s="12"/>
      <c r="K504" s="12"/>
      <c r="L504" s="12"/>
      <c r="M504" s="12"/>
      <c r="N504" s="12"/>
      <c r="O504" s="12"/>
      <c r="P504" s="12"/>
      <c r="Q504" s="14"/>
    </row>
    <row r="505" spans="2:17">
      <c r="B505" s="12"/>
      <c r="C505" s="12"/>
      <c r="D505" s="12"/>
      <c r="E505" s="12"/>
      <c r="F505" s="12"/>
      <c r="G505" s="12"/>
      <c r="H505" s="12"/>
      <c r="I505" s="12"/>
      <c r="J505" s="12"/>
      <c r="K505" s="12"/>
      <c r="L505" s="12"/>
      <c r="M505" s="12"/>
      <c r="N505" s="12"/>
      <c r="O505" s="12"/>
      <c r="P505" s="12"/>
      <c r="Q505" s="14"/>
    </row>
    <row r="506" spans="2:17">
      <c r="B506" s="12"/>
      <c r="C506" s="12"/>
      <c r="D506" s="12"/>
      <c r="E506" s="12"/>
      <c r="F506" s="12"/>
      <c r="G506" s="12"/>
      <c r="H506" s="12"/>
      <c r="I506" s="12"/>
      <c r="J506" s="12"/>
      <c r="K506" s="12"/>
      <c r="L506" s="12"/>
      <c r="M506" s="12"/>
      <c r="N506" s="12"/>
      <c r="O506" s="12"/>
      <c r="P506" s="12"/>
      <c r="Q506" s="14"/>
    </row>
    <row r="507" spans="2:17">
      <c r="B507" s="12"/>
      <c r="C507" s="12"/>
      <c r="D507" s="12"/>
      <c r="E507" s="12"/>
      <c r="F507" s="12"/>
      <c r="G507" s="12"/>
      <c r="H507" s="12"/>
      <c r="I507" s="12"/>
      <c r="J507" s="12"/>
      <c r="K507" s="12"/>
      <c r="L507" s="12"/>
      <c r="M507" s="12"/>
      <c r="N507" s="12"/>
      <c r="O507" s="12"/>
      <c r="P507" s="12"/>
      <c r="Q507" s="14"/>
    </row>
    <row r="508" spans="2:17">
      <c r="B508" s="12"/>
      <c r="C508" s="12"/>
      <c r="D508" s="12"/>
      <c r="E508" s="12"/>
      <c r="F508" s="12"/>
      <c r="G508" s="12"/>
      <c r="H508" s="12"/>
      <c r="I508" s="12"/>
      <c r="J508" s="12"/>
      <c r="K508" s="12"/>
      <c r="L508" s="12"/>
      <c r="M508" s="12"/>
      <c r="N508" s="12"/>
      <c r="O508" s="12"/>
      <c r="P508" s="12"/>
      <c r="Q508" s="14"/>
    </row>
    <row r="509" spans="2:17">
      <c r="B509" s="12"/>
      <c r="C509" s="12"/>
      <c r="D509" s="12"/>
      <c r="E509" s="12"/>
      <c r="F509" s="12"/>
      <c r="G509" s="12"/>
      <c r="H509" s="12"/>
      <c r="I509" s="12"/>
      <c r="J509" s="12"/>
      <c r="K509" s="12"/>
      <c r="L509" s="12"/>
      <c r="M509" s="12"/>
      <c r="N509" s="12"/>
      <c r="O509" s="12"/>
      <c r="P509" s="12"/>
      <c r="Q509" s="14"/>
    </row>
    <row r="510" spans="2:17">
      <c r="B510" s="12"/>
      <c r="C510" s="12"/>
      <c r="D510" s="12"/>
      <c r="E510" s="12"/>
      <c r="F510" s="12"/>
      <c r="G510" s="12"/>
      <c r="H510" s="12"/>
      <c r="I510" s="12"/>
      <c r="J510" s="12"/>
      <c r="K510" s="12"/>
      <c r="L510" s="12"/>
      <c r="M510" s="12"/>
      <c r="N510" s="12"/>
      <c r="O510" s="12"/>
      <c r="P510" s="12"/>
      <c r="Q510" s="14"/>
    </row>
    <row r="511" spans="2:17">
      <c r="B511" s="12"/>
      <c r="C511" s="12"/>
      <c r="D511" s="12"/>
      <c r="E511" s="12"/>
      <c r="F511" s="12"/>
      <c r="G511" s="12"/>
      <c r="H511" s="12"/>
      <c r="I511" s="12"/>
      <c r="J511" s="12"/>
      <c r="K511" s="12"/>
      <c r="L511" s="12"/>
      <c r="M511" s="12"/>
      <c r="N511" s="12"/>
      <c r="O511" s="12"/>
      <c r="P511" s="12"/>
      <c r="Q511" s="14"/>
    </row>
    <row r="512" spans="2:17">
      <c r="B512" s="12"/>
      <c r="C512" s="12"/>
      <c r="D512" s="12"/>
      <c r="E512" s="12"/>
      <c r="F512" s="12"/>
      <c r="G512" s="12"/>
      <c r="H512" s="12"/>
      <c r="I512" s="12"/>
      <c r="J512" s="12"/>
      <c r="K512" s="12"/>
      <c r="L512" s="12"/>
      <c r="M512" s="12"/>
      <c r="N512" s="12"/>
      <c r="O512" s="12"/>
      <c r="P512" s="12"/>
      <c r="Q512" s="14"/>
    </row>
    <row r="513" spans="2:17">
      <c r="B513" s="12"/>
      <c r="C513" s="12"/>
      <c r="D513" s="12"/>
      <c r="E513" s="12"/>
      <c r="F513" s="12"/>
      <c r="G513" s="12"/>
      <c r="H513" s="12"/>
      <c r="I513" s="12"/>
      <c r="J513" s="12"/>
      <c r="K513" s="12"/>
      <c r="L513" s="12"/>
      <c r="M513" s="12"/>
      <c r="N513" s="12"/>
      <c r="O513" s="12"/>
      <c r="P513" s="12"/>
      <c r="Q513" s="14"/>
    </row>
    <row r="514" spans="2:17">
      <c r="B514" s="12"/>
      <c r="C514" s="12"/>
      <c r="D514" s="12"/>
      <c r="E514" s="12"/>
      <c r="F514" s="12"/>
      <c r="G514" s="12"/>
      <c r="H514" s="12"/>
      <c r="I514" s="12"/>
      <c r="J514" s="12"/>
      <c r="K514" s="12"/>
      <c r="L514" s="12"/>
      <c r="M514" s="12"/>
      <c r="N514" s="12"/>
      <c r="O514" s="12"/>
      <c r="P514" s="12"/>
      <c r="Q514" s="14"/>
    </row>
    <row r="515" spans="2:17">
      <c r="B515" s="12"/>
      <c r="C515" s="12"/>
      <c r="D515" s="12"/>
      <c r="E515" s="12"/>
      <c r="F515" s="12"/>
      <c r="G515" s="12"/>
      <c r="H515" s="12"/>
      <c r="I515" s="12"/>
      <c r="J515" s="12"/>
      <c r="K515" s="12"/>
      <c r="L515" s="12"/>
      <c r="M515" s="12"/>
      <c r="N515" s="12"/>
      <c r="O515" s="12"/>
      <c r="P515" s="12"/>
      <c r="Q515" s="14"/>
    </row>
    <row r="516" spans="2:17">
      <c r="B516" s="12"/>
      <c r="C516" s="12"/>
      <c r="D516" s="12"/>
      <c r="E516" s="12"/>
      <c r="F516" s="12"/>
      <c r="G516" s="12"/>
      <c r="H516" s="12"/>
      <c r="I516" s="12"/>
      <c r="J516" s="12"/>
      <c r="K516" s="12"/>
      <c r="L516" s="12"/>
      <c r="M516" s="12"/>
      <c r="N516" s="12"/>
      <c r="O516" s="12"/>
      <c r="P516" s="12"/>
      <c r="Q516" s="14"/>
    </row>
    <row r="517" spans="2:17">
      <c r="B517" s="12"/>
      <c r="C517" s="12"/>
      <c r="D517" s="12"/>
      <c r="E517" s="12"/>
      <c r="F517" s="12"/>
      <c r="G517" s="12"/>
      <c r="H517" s="12"/>
      <c r="I517" s="12"/>
      <c r="J517" s="12"/>
      <c r="K517" s="12"/>
      <c r="L517" s="12"/>
      <c r="M517" s="12"/>
      <c r="N517" s="12"/>
      <c r="O517" s="12"/>
      <c r="P517" s="12"/>
      <c r="Q517" s="14"/>
    </row>
    <row r="518" spans="2:17">
      <c r="B518" s="12"/>
      <c r="C518" s="12"/>
      <c r="D518" s="12"/>
      <c r="E518" s="12"/>
      <c r="F518" s="12"/>
      <c r="G518" s="12"/>
      <c r="H518" s="12"/>
      <c r="I518" s="12"/>
      <c r="J518" s="12"/>
      <c r="K518" s="12"/>
      <c r="L518" s="12"/>
      <c r="M518" s="12"/>
      <c r="N518" s="12"/>
      <c r="O518" s="12"/>
      <c r="P518" s="12"/>
      <c r="Q518" s="14"/>
    </row>
    <row r="519" spans="2:17">
      <c r="B519" s="12"/>
      <c r="C519" s="12"/>
      <c r="D519" s="12"/>
      <c r="E519" s="12"/>
      <c r="F519" s="12"/>
      <c r="G519" s="12"/>
      <c r="H519" s="12"/>
      <c r="I519" s="12"/>
      <c r="J519" s="12"/>
      <c r="K519" s="12"/>
      <c r="L519" s="12"/>
      <c r="M519" s="12"/>
      <c r="N519" s="12"/>
      <c r="O519" s="12"/>
      <c r="P519" s="12"/>
      <c r="Q519" s="14"/>
    </row>
    <row r="520" spans="2:17">
      <c r="B520" s="12"/>
      <c r="C520" s="12"/>
      <c r="D520" s="12"/>
      <c r="E520" s="12"/>
      <c r="F520" s="12"/>
      <c r="G520" s="12"/>
      <c r="H520" s="12"/>
      <c r="I520" s="12"/>
      <c r="J520" s="12"/>
      <c r="K520" s="12"/>
      <c r="L520" s="12"/>
      <c r="M520" s="12"/>
      <c r="N520" s="12"/>
      <c r="O520" s="12"/>
      <c r="P520" s="12"/>
      <c r="Q520" s="14"/>
    </row>
    <row r="521" spans="2:17">
      <c r="B521" s="12"/>
      <c r="C521" s="12"/>
      <c r="D521" s="12"/>
      <c r="E521" s="12"/>
      <c r="F521" s="12"/>
      <c r="G521" s="12"/>
      <c r="H521" s="12"/>
      <c r="I521" s="12"/>
      <c r="J521" s="12"/>
      <c r="K521" s="12"/>
      <c r="L521" s="12"/>
      <c r="M521" s="12"/>
      <c r="N521" s="12"/>
      <c r="O521" s="12"/>
      <c r="P521" s="12"/>
      <c r="Q521" s="14"/>
    </row>
    <row r="522" spans="2:17">
      <c r="B522" s="12"/>
      <c r="C522" s="12"/>
      <c r="D522" s="12"/>
      <c r="E522" s="12"/>
      <c r="F522" s="12"/>
      <c r="G522" s="12"/>
      <c r="H522" s="12"/>
      <c r="I522" s="12"/>
      <c r="J522" s="12"/>
      <c r="K522" s="12"/>
      <c r="L522" s="12"/>
      <c r="M522" s="12"/>
      <c r="N522" s="12"/>
      <c r="O522" s="12"/>
      <c r="P522" s="12"/>
      <c r="Q522" s="14"/>
    </row>
    <row r="523" spans="2:17">
      <c r="B523" s="12"/>
      <c r="C523" s="12"/>
      <c r="D523" s="12"/>
      <c r="E523" s="12"/>
      <c r="F523" s="12"/>
      <c r="G523" s="12"/>
      <c r="H523" s="12"/>
      <c r="I523" s="12"/>
      <c r="J523" s="12"/>
      <c r="K523" s="12"/>
      <c r="L523" s="12"/>
      <c r="M523" s="12"/>
      <c r="N523" s="12"/>
      <c r="O523" s="12"/>
      <c r="P523" s="12"/>
      <c r="Q523" s="14"/>
    </row>
    <row r="524" spans="2:17">
      <c r="B524" s="12"/>
      <c r="C524" s="12"/>
      <c r="D524" s="12"/>
      <c r="E524" s="12"/>
      <c r="F524" s="12"/>
      <c r="G524" s="12"/>
      <c r="H524" s="12"/>
      <c r="I524" s="12"/>
      <c r="J524" s="12"/>
      <c r="K524" s="12"/>
      <c r="L524" s="12"/>
      <c r="M524" s="12"/>
      <c r="N524" s="12"/>
      <c r="O524" s="12"/>
      <c r="P524" s="12"/>
      <c r="Q524" s="14"/>
    </row>
    <row r="525" spans="2:17">
      <c r="B525" s="12"/>
      <c r="C525" s="12"/>
      <c r="D525" s="12"/>
      <c r="E525" s="12"/>
      <c r="F525" s="12"/>
      <c r="G525" s="12"/>
      <c r="H525" s="12"/>
      <c r="I525" s="12"/>
      <c r="J525" s="12"/>
      <c r="K525" s="12"/>
      <c r="L525" s="12"/>
      <c r="M525" s="12"/>
      <c r="N525" s="12"/>
      <c r="O525" s="12"/>
      <c r="P525" s="12"/>
      <c r="Q525" s="14"/>
    </row>
    <row r="526" spans="2:17">
      <c r="B526" s="12"/>
      <c r="C526" s="12"/>
      <c r="D526" s="12"/>
      <c r="E526" s="12"/>
      <c r="F526" s="12"/>
      <c r="G526" s="12"/>
      <c r="H526" s="12"/>
      <c r="I526" s="12"/>
      <c r="J526" s="12"/>
      <c r="K526" s="12"/>
      <c r="L526" s="12"/>
      <c r="M526" s="12"/>
      <c r="N526" s="12"/>
      <c r="O526" s="12"/>
      <c r="P526" s="12"/>
      <c r="Q526" s="14"/>
    </row>
    <row r="527" spans="2:17">
      <c r="B527" s="12"/>
      <c r="C527" s="12"/>
      <c r="D527" s="12"/>
      <c r="E527" s="12"/>
      <c r="F527" s="12"/>
      <c r="G527" s="12"/>
      <c r="H527" s="12"/>
      <c r="I527" s="12"/>
      <c r="J527" s="12"/>
      <c r="K527" s="12"/>
      <c r="L527" s="12"/>
      <c r="M527" s="12"/>
      <c r="N527" s="12"/>
      <c r="O527" s="12"/>
      <c r="P527" s="12"/>
      <c r="Q527" s="14"/>
    </row>
    <row r="528" spans="2:17">
      <c r="B528" s="12"/>
      <c r="C528" s="12"/>
      <c r="D528" s="12"/>
      <c r="E528" s="12"/>
      <c r="F528" s="12"/>
      <c r="G528" s="12"/>
      <c r="H528" s="12"/>
      <c r="I528" s="12"/>
      <c r="J528" s="12"/>
      <c r="K528" s="12"/>
      <c r="L528" s="12"/>
      <c r="M528" s="12"/>
      <c r="N528" s="12"/>
      <c r="O528" s="12"/>
      <c r="P528" s="12"/>
      <c r="Q528" s="14"/>
    </row>
    <row r="529" spans="2:17">
      <c r="B529" s="12"/>
      <c r="C529" s="12"/>
      <c r="D529" s="12"/>
      <c r="E529" s="12"/>
      <c r="F529" s="12"/>
      <c r="G529" s="12"/>
      <c r="H529" s="12"/>
      <c r="I529" s="12"/>
      <c r="J529" s="12"/>
      <c r="K529" s="12"/>
      <c r="L529" s="12"/>
      <c r="M529" s="12"/>
      <c r="N529" s="12"/>
      <c r="O529" s="12"/>
      <c r="P529" s="12"/>
      <c r="Q529" s="14"/>
    </row>
    <row r="530" spans="2:17">
      <c r="B530" s="12"/>
      <c r="C530" s="12"/>
      <c r="D530" s="12"/>
      <c r="E530" s="12"/>
      <c r="F530" s="12"/>
      <c r="G530" s="12"/>
      <c r="H530" s="12"/>
      <c r="I530" s="12"/>
      <c r="J530" s="12"/>
      <c r="K530" s="12"/>
      <c r="L530" s="12"/>
      <c r="M530" s="12"/>
      <c r="N530" s="12"/>
      <c r="O530" s="12"/>
      <c r="P530" s="12"/>
      <c r="Q530" s="14"/>
    </row>
    <row r="531" spans="2:17">
      <c r="B531" s="12"/>
      <c r="C531" s="12"/>
      <c r="D531" s="12"/>
      <c r="E531" s="12"/>
      <c r="F531" s="12"/>
      <c r="G531" s="12"/>
      <c r="H531" s="12"/>
      <c r="I531" s="12"/>
      <c r="J531" s="12"/>
      <c r="K531" s="12"/>
      <c r="L531" s="12"/>
      <c r="M531" s="12"/>
      <c r="N531" s="12"/>
      <c r="O531" s="12"/>
      <c r="P531" s="12"/>
      <c r="Q531" s="14"/>
    </row>
    <row r="532" spans="2:17">
      <c r="B532" s="12"/>
      <c r="C532" s="12"/>
      <c r="D532" s="12"/>
      <c r="E532" s="12"/>
      <c r="F532" s="12"/>
      <c r="G532" s="12"/>
      <c r="H532" s="12"/>
      <c r="I532" s="12"/>
      <c r="J532" s="12"/>
      <c r="K532" s="12"/>
      <c r="L532" s="12"/>
      <c r="M532" s="12"/>
      <c r="N532" s="12"/>
      <c r="O532" s="12"/>
      <c r="P532" s="12"/>
      <c r="Q532" s="14"/>
    </row>
    <row r="533" spans="2:17">
      <c r="B533" s="12"/>
      <c r="C533" s="12"/>
      <c r="D533" s="12"/>
      <c r="E533" s="12"/>
      <c r="F533" s="12"/>
      <c r="G533" s="12"/>
      <c r="H533" s="12"/>
      <c r="I533" s="12"/>
      <c r="J533" s="12"/>
      <c r="K533" s="12"/>
      <c r="L533" s="12"/>
      <c r="M533" s="12"/>
      <c r="N533" s="12"/>
      <c r="O533" s="12"/>
      <c r="P533" s="12"/>
      <c r="Q533" s="14"/>
    </row>
    <row r="534" spans="2:17">
      <c r="B534" s="12"/>
      <c r="C534" s="12"/>
      <c r="D534" s="12"/>
      <c r="E534" s="12"/>
      <c r="F534" s="12"/>
      <c r="G534" s="12"/>
      <c r="H534" s="12"/>
      <c r="I534" s="12"/>
      <c r="J534" s="12"/>
      <c r="K534" s="12"/>
      <c r="L534" s="12"/>
      <c r="M534" s="12"/>
      <c r="N534" s="12"/>
      <c r="O534" s="12"/>
      <c r="P534" s="12"/>
      <c r="Q534" s="14"/>
    </row>
    <row r="535" spans="2:17">
      <c r="B535" s="12"/>
      <c r="C535" s="12"/>
      <c r="D535" s="12"/>
      <c r="E535" s="12"/>
      <c r="F535" s="12"/>
      <c r="G535" s="12"/>
      <c r="H535" s="12"/>
      <c r="I535" s="12"/>
      <c r="J535" s="12"/>
      <c r="K535" s="12"/>
      <c r="L535" s="12"/>
      <c r="M535" s="12"/>
      <c r="N535" s="12"/>
      <c r="O535" s="12"/>
      <c r="P535" s="12"/>
      <c r="Q535" s="14"/>
    </row>
    <row r="536" spans="2:17">
      <c r="B536" s="12"/>
      <c r="C536" s="12"/>
      <c r="D536" s="12"/>
      <c r="E536" s="12"/>
      <c r="F536" s="12"/>
      <c r="G536" s="12"/>
      <c r="H536" s="12"/>
      <c r="I536" s="12"/>
      <c r="J536" s="12"/>
      <c r="K536" s="12"/>
      <c r="L536" s="12"/>
      <c r="M536" s="12"/>
      <c r="N536" s="12"/>
      <c r="O536" s="12"/>
      <c r="P536" s="12"/>
      <c r="Q536" s="14"/>
    </row>
    <row r="537" spans="2:17">
      <c r="B537" s="12"/>
      <c r="C537" s="12"/>
      <c r="D537" s="12"/>
      <c r="E537" s="12"/>
      <c r="F537" s="12"/>
      <c r="G537" s="12"/>
      <c r="H537" s="12"/>
      <c r="I537" s="12"/>
      <c r="J537" s="12"/>
      <c r="K537" s="12"/>
      <c r="L537" s="12"/>
      <c r="M537" s="12"/>
      <c r="N537" s="12"/>
      <c r="O537" s="12"/>
      <c r="P537" s="12"/>
      <c r="Q537" s="14"/>
    </row>
    <row r="538" spans="2:17">
      <c r="B538" s="12"/>
      <c r="C538" s="12"/>
      <c r="D538" s="12"/>
      <c r="E538" s="12"/>
      <c r="F538" s="12"/>
      <c r="G538" s="12"/>
      <c r="H538" s="12"/>
      <c r="I538" s="12"/>
      <c r="J538" s="12"/>
      <c r="K538" s="12"/>
      <c r="L538" s="12"/>
      <c r="M538" s="12"/>
      <c r="N538" s="12"/>
      <c r="O538" s="12"/>
      <c r="P538" s="12"/>
      <c r="Q538" s="14"/>
    </row>
    <row r="539" spans="2:17">
      <c r="B539" s="12"/>
      <c r="C539" s="12"/>
      <c r="D539" s="12"/>
      <c r="E539" s="12"/>
      <c r="F539" s="12"/>
      <c r="G539" s="12"/>
      <c r="H539" s="12"/>
      <c r="I539" s="12"/>
      <c r="J539" s="12"/>
      <c r="K539" s="12"/>
      <c r="L539" s="12"/>
      <c r="M539" s="12"/>
      <c r="N539" s="12"/>
      <c r="O539" s="12"/>
      <c r="P539" s="12"/>
      <c r="Q539" s="14"/>
    </row>
    <row r="540" spans="2:17">
      <c r="B540" s="12"/>
      <c r="C540" s="12"/>
      <c r="D540" s="12"/>
      <c r="E540" s="12"/>
      <c r="F540" s="12"/>
      <c r="G540" s="12"/>
      <c r="H540" s="12"/>
      <c r="I540" s="12"/>
      <c r="J540" s="12"/>
      <c r="K540" s="12"/>
      <c r="L540" s="12"/>
      <c r="M540" s="12"/>
      <c r="N540" s="12"/>
      <c r="O540" s="12"/>
      <c r="P540" s="12"/>
      <c r="Q540" s="14"/>
    </row>
    <row r="541" spans="2:17">
      <c r="B541" s="12"/>
      <c r="C541" s="12"/>
      <c r="D541" s="12"/>
      <c r="E541" s="12"/>
      <c r="F541" s="12"/>
      <c r="G541" s="12"/>
      <c r="H541" s="12"/>
      <c r="I541" s="12"/>
      <c r="J541" s="12"/>
      <c r="K541" s="12"/>
      <c r="L541" s="12"/>
      <c r="M541" s="12"/>
      <c r="N541" s="12"/>
      <c r="O541" s="12"/>
      <c r="P541" s="12"/>
      <c r="Q541" s="14"/>
    </row>
    <row r="542" spans="2:17">
      <c r="B542" s="12"/>
      <c r="C542" s="12"/>
      <c r="D542" s="12"/>
      <c r="E542" s="12"/>
      <c r="F542" s="12"/>
      <c r="G542" s="12"/>
      <c r="H542" s="12"/>
      <c r="I542" s="12"/>
      <c r="J542" s="12"/>
      <c r="K542" s="12"/>
      <c r="L542" s="12"/>
      <c r="M542" s="12"/>
      <c r="N542" s="12"/>
      <c r="O542" s="12"/>
      <c r="P542" s="12"/>
      <c r="Q542" s="14"/>
    </row>
    <row r="543" spans="2:17">
      <c r="B543" s="12"/>
      <c r="C543" s="12"/>
      <c r="D543" s="12"/>
      <c r="E543" s="12"/>
      <c r="F543" s="12"/>
      <c r="G543" s="12"/>
      <c r="H543" s="12"/>
      <c r="I543" s="12"/>
      <c r="J543" s="12"/>
      <c r="K543" s="12"/>
      <c r="L543" s="12"/>
      <c r="M543" s="12"/>
      <c r="N543" s="12"/>
      <c r="O543" s="12"/>
      <c r="P543" s="12"/>
      <c r="Q543" s="14"/>
    </row>
    <row r="544" spans="2:17">
      <c r="B544" s="12"/>
      <c r="C544" s="12"/>
      <c r="D544" s="12"/>
      <c r="E544" s="12"/>
      <c r="F544" s="12"/>
      <c r="G544" s="12"/>
      <c r="H544" s="12"/>
      <c r="I544" s="12"/>
      <c r="J544" s="12"/>
      <c r="K544" s="12"/>
      <c r="L544" s="12"/>
      <c r="M544" s="12"/>
      <c r="N544" s="12"/>
      <c r="O544" s="12"/>
      <c r="P544" s="12"/>
      <c r="Q544" s="14"/>
    </row>
    <row r="545" spans="2:17">
      <c r="B545" s="12"/>
      <c r="C545" s="12"/>
      <c r="D545" s="12"/>
      <c r="E545" s="12"/>
      <c r="F545" s="12"/>
      <c r="G545" s="12"/>
      <c r="H545" s="12"/>
      <c r="I545" s="12"/>
      <c r="J545" s="12"/>
      <c r="K545" s="12"/>
      <c r="L545" s="12"/>
      <c r="M545" s="12"/>
      <c r="N545" s="12"/>
      <c r="O545" s="12"/>
      <c r="P545" s="12"/>
      <c r="Q545" s="14"/>
    </row>
    <row r="546" spans="2:17">
      <c r="B546" s="12"/>
      <c r="C546" s="12"/>
      <c r="D546" s="12"/>
      <c r="E546" s="12"/>
      <c r="F546" s="12"/>
      <c r="G546" s="12"/>
      <c r="H546" s="12"/>
      <c r="I546" s="12"/>
      <c r="J546" s="12"/>
      <c r="K546" s="12"/>
      <c r="L546" s="12"/>
      <c r="M546" s="12"/>
      <c r="N546" s="12"/>
      <c r="O546" s="12"/>
      <c r="P546" s="12"/>
      <c r="Q546" s="14"/>
    </row>
    <row r="547" spans="2:17">
      <c r="B547" s="12"/>
      <c r="C547" s="12"/>
      <c r="D547" s="12"/>
      <c r="E547" s="12"/>
      <c r="F547" s="12"/>
      <c r="G547" s="12"/>
      <c r="H547" s="12"/>
      <c r="I547" s="12"/>
      <c r="J547" s="12"/>
      <c r="K547" s="12"/>
      <c r="L547" s="12"/>
      <c r="M547" s="12"/>
      <c r="N547" s="12"/>
      <c r="O547" s="12"/>
      <c r="P547" s="12"/>
      <c r="Q547" s="14"/>
    </row>
    <row r="548" spans="2:17">
      <c r="B548" s="12"/>
      <c r="C548" s="12"/>
      <c r="D548" s="12"/>
      <c r="E548" s="12"/>
      <c r="F548" s="12"/>
      <c r="G548" s="12"/>
      <c r="H548" s="12"/>
      <c r="I548" s="12"/>
      <c r="J548" s="12"/>
      <c r="K548" s="12"/>
      <c r="L548" s="12"/>
      <c r="M548" s="12"/>
      <c r="N548" s="12"/>
      <c r="O548" s="12"/>
      <c r="P548" s="12"/>
      <c r="Q548" s="14"/>
    </row>
    <row r="549" spans="2:17">
      <c r="B549" s="12"/>
      <c r="C549" s="12"/>
      <c r="D549" s="12"/>
      <c r="E549" s="12"/>
      <c r="F549" s="12"/>
      <c r="G549" s="12"/>
      <c r="H549" s="12"/>
      <c r="I549" s="12"/>
      <c r="J549" s="12"/>
      <c r="K549" s="12"/>
      <c r="L549" s="12"/>
      <c r="M549" s="12"/>
      <c r="N549" s="12"/>
      <c r="O549" s="12"/>
      <c r="P549" s="12"/>
      <c r="Q549" s="14"/>
    </row>
    <row r="550" spans="2:17">
      <c r="B550" s="12"/>
      <c r="C550" s="12"/>
      <c r="D550" s="12"/>
      <c r="E550" s="12"/>
      <c r="F550" s="12"/>
      <c r="G550" s="12"/>
      <c r="H550" s="12"/>
      <c r="I550" s="12"/>
      <c r="J550" s="12"/>
      <c r="K550" s="12"/>
      <c r="L550" s="12"/>
      <c r="M550" s="12"/>
      <c r="N550" s="12"/>
      <c r="O550" s="12"/>
      <c r="P550" s="12"/>
      <c r="Q550" s="14"/>
    </row>
    <row r="551" spans="2:17">
      <c r="B551" s="12"/>
      <c r="C551" s="12"/>
      <c r="D551" s="12"/>
      <c r="E551" s="12"/>
      <c r="F551" s="12"/>
      <c r="G551" s="12"/>
      <c r="H551" s="12"/>
      <c r="I551" s="12"/>
      <c r="J551" s="12"/>
      <c r="K551" s="12"/>
      <c r="L551" s="12"/>
      <c r="M551" s="12"/>
      <c r="N551" s="12"/>
      <c r="O551" s="12"/>
      <c r="P551" s="12"/>
      <c r="Q551" s="14"/>
    </row>
    <row r="552" spans="2:17">
      <c r="B552" s="12"/>
      <c r="C552" s="12"/>
      <c r="D552" s="12"/>
      <c r="E552" s="12"/>
      <c r="F552" s="12"/>
      <c r="G552" s="12"/>
      <c r="H552" s="12"/>
      <c r="I552" s="12"/>
      <c r="J552" s="12"/>
      <c r="K552" s="12"/>
      <c r="L552" s="12"/>
      <c r="M552" s="12"/>
      <c r="N552" s="12"/>
      <c r="O552" s="12"/>
      <c r="P552" s="12"/>
      <c r="Q552" s="14"/>
    </row>
    <row r="553" spans="2:17">
      <c r="B553" s="12"/>
      <c r="C553" s="12"/>
      <c r="D553" s="12"/>
      <c r="E553" s="12"/>
      <c r="F553" s="12"/>
      <c r="G553" s="12"/>
      <c r="H553" s="12"/>
      <c r="I553" s="12"/>
      <c r="J553" s="12"/>
      <c r="K553" s="12"/>
      <c r="L553" s="12"/>
      <c r="M553" s="12"/>
      <c r="N553" s="12"/>
      <c r="O553" s="12"/>
      <c r="P553" s="12"/>
      <c r="Q553" s="14"/>
    </row>
    <row r="554" spans="2:17">
      <c r="B554" s="12"/>
      <c r="C554" s="12"/>
      <c r="D554" s="12"/>
      <c r="E554" s="12"/>
      <c r="F554" s="12"/>
      <c r="G554" s="12"/>
      <c r="H554" s="12"/>
      <c r="I554" s="12"/>
      <c r="J554" s="12"/>
      <c r="K554" s="12"/>
      <c r="L554" s="12"/>
      <c r="M554" s="12"/>
      <c r="N554" s="12"/>
      <c r="O554" s="12"/>
      <c r="P554" s="12"/>
      <c r="Q554" s="14"/>
    </row>
    <row r="555" spans="2:17">
      <c r="B555" s="12"/>
      <c r="C555" s="12"/>
      <c r="D555" s="12"/>
      <c r="E555" s="12"/>
      <c r="F555" s="12"/>
      <c r="G555" s="12"/>
      <c r="H555" s="12"/>
      <c r="I555" s="12"/>
      <c r="J555" s="12"/>
      <c r="K555" s="12"/>
      <c r="L555" s="12"/>
      <c r="M555" s="12"/>
      <c r="N555" s="12"/>
      <c r="O555" s="12"/>
      <c r="P555" s="12"/>
      <c r="Q555" s="14"/>
    </row>
    <row r="556" spans="2:17">
      <c r="B556" s="12"/>
      <c r="C556" s="12"/>
      <c r="D556" s="12"/>
      <c r="E556" s="12"/>
      <c r="F556" s="12"/>
      <c r="G556" s="12"/>
      <c r="H556" s="12"/>
      <c r="I556" s="12"/>
      <c r="J556" s="12"/>
      <c r="K556" s="12"/>
      <c r="L556" s="12"/>
      <c r="M556" s="12"/>
      <c r="N556" s="12"/>
      <c r="O556" s="12"/>
      <c r="P556" s="12"/>
      <c r="Q556" s="14"/>
    </row>
    <row r="557" spans="2:17">
      <c r="B557" s="12"/>
      <c r="C557" s="12"/>
      <c r="D557" s="12"/>
      <c r="E557" s="12"/>
      <c r="F557" s="12"/>
      <c r="G557" s="12"/>
      <c r="H557" s="12"/>
      <c r="I557" s="12"/>
      <c r="J557" s="12"/>
      <c r="K557" s="12"/>
      <c r="L557" s="12"/>
      <c r="M557" s="12"/>
      <c r="N557" s="12"/>
      <c r="O557" s="12"/>
      <c r="P557" s="12"/>
      <c r="Q557" s="14"/>
    </row>
    <row r="558" spans="2:17">
      <c r="B558" s="12"/>
      <c r="C558" s="12"/>
      <c r="D558" s="12"/>
      <c r="E558" s="12"/>
      <c r="F558" s="12"/>
      <c r="G558" s="12"/>
      <c r="H558" s="12"/>
      <c r="I558" s="12"/>
      <c r="J558" s="12"/>
      <c r="K558" s="12"/>
      <c r="L558" s="12"/>
      <c r="M558" s="12"/>
      <c r="N558" s="12"/>
      <c r="O558" s="12"/>
      <c r="P558" s="12"/>
      <c r="Q558" s="14"/>
    </row>
    <row r="559" spans="2:17">
      <c r="B559" s="12"/>
      <c r="C559" s="12"/>
      <c r="D559" s="12"/>
      <c r="E559" s="12"/>
      <c r="F559" s="12"/>
      <c r="G559" s="12"/>
      <c r="H559" s="12"/>
      <c r="I559" s="12"/>
      <c r="J559" s="12"/>
      <c r="K559" s="12"/>
      <c r="L559" s="12"/>
      <c r="M559" s="12"/>
      <c r="N559" s="12"/>
      <c r="O559" s="12"/>
      <c r="P559" s="12"/>
      <c r="Q559" s="14"/>
    </row>
    <row r="560" spans="2:17">
      <c r="B560" s="12"/>
      <c r="C560" s="12"/>
      <c r="D560" s="12"/>
      <c r="E560" s="12"/>
      <c r="F560" s="12"/>
      <c r="G560" s="12"/>
      <c r="H560" s="12"/>
      <c r="I560" s="12"/>
      <c r="J560" s="12"/>
      <c r="K560" s="12"/>
      <c r="L560" s="12"/>
      <c r="M560" s="12"/>
      <c r="N560" s="12"/>
      <c r="O560" s="12"/>
      <c r="P560" s="12"/>
      <c r="Q560" s="14"/>
    </row>
    <row r="561" spans="2:17">
      <c r="B561" s="12"/>
      <c r="C561" s="12"/>
      <c r="D561" s="12"/>
      <c r="E561" s="12"/>
      <c r="F561" s="12"/>
      <c r="G561" s="12"/>
      <c r="H561" s="12"/>
      <c r="I561" s="12"/>
      <c r="J561" s="12"/>
      <c r="K561" s="12"/>
      <c r="L561" s="12"/>
      <c r="M561" s="12"/>
      <c r="N561" s="12"/>
      <c r="O561" s="12"/>
      <c r="P561" s="12"/>
      <c r="Q561" s="14"/>
    </row>
    <row r="562" spans="2:17">
      <c r="B562" s="12"/>
      <c r="C562" s="12"/>
      <c r="D562" s="12"/>
      <c r="E562" s="12"/>
      <c r="F562" s="12"/>
      <c r="G562" s="12"/>
      <c r="H562" s="12"/>
      <c r="I562" s="12"/>
      <c r="J562" s="12"/>
      <c r="K562" s="12"/>
      <c r="L562" s="12"/>
      <c r="M562" s="12"/>
      <c r="N562" s="12"/>
      <c r="O562" s="12"/>
      <c r="P562" s="12"/>
      <c r="Q562" s="14"/>
    </row>
    <row r="563" spans="2:17">
      <c r="B563" s="12"/>
      <c r="C563" s="12"/>
      <c r="D563" s="12"/>
      <c r="E563" s="12"/>
      <c r="F563" s="12"/>
      <c r="G563" s="12"/>
      <c r="H563" s="12"/>
      <c r="I563" s="12"/>
      <c r="J563" s="12"/>
      <c r="K563" s="12"/>
      <c r="L563" s="12"/>
      <c r="M563" s="12"/>
      <c r="N563" s="12"/>
      <c r="O563" s="12"/>
      <c r="P563" s="12"/>
      <c r="Q563" s="14"/>
    </row>
    <row r="564" spans="2:17">
      <c r="B564" s="12"/>
      <c r="C564" s="12"/>
      <c r="D564" s="12"/>
      <c r="E564" s="12"/>
      <c r="F564" s="12"/>
      <c r="G564" s="12"/>
      <c r="H564" s="12"/>
      <c r="I564" s="12"/>
      <c r="J564" s="12"/>
      <c r="K564" s="12"/>
      <c r="L564" s="12"/>
      <c r="M564" s="12"/>
      <c r="N564" s="12"/>
      <c r="O564" s="12"/>
      <c r="P564" s="12"/>
      <c r="Q564" s="14"/>
    </row>
    <row r="565" spans="2:17">
      <c r="B565" s="12"/>
      <c r="C565" s="12"/>
      <c r="D565" s="12"/>
      <c r="E565" s="12"/>
      <c r="F565" s="12"/>
      <c r="G565" s="12"/>
      <c r="H565" s="12"/>
      <c r="I565" s="12"/>
      <c r="J565" s="12"/>
      <c r="K565" s="12"/>
      <c r="L565" s="12"/>
      <c r="M565" s="12"/>
      <c r="N565" s="12"/>
      <c r="O565" s="12"/>
      <c r="P565" s="12"/>
      <c r="Q565" s="14"/>
    </row>
    <row r="566" spans="2:17">
      <c r="B566" s="12"/>
      <c r="C566" s="12"/>
      <c r="D566" s="12"/>
      <c r="E566" s="12"/>
      <c r="F566" s="12"/>
      <c r="G566" s="12"/>
      <c r="H566" s="12"/>
      <c r="I566" s="12"/>
      <c r="J566" s="12"/>
      <c r="K566" s="12"/>
      <c r="L566" s="12"/>
      <c r="M566" s="12"/>
      <c r="N566" s="12"/>
      <c r="O566" s="12"/>
      <c r="P566" s="12"/>
      <c r="Q566" s="14"/>
    </row>
    <row r="567" spans="2:17">
      <c r="B567" s="12"/>
      <c r="C567" s="12"/>
      <c r="D567" s="12"/>
      <c r="E567" s="12"/>
      <c r="F567" s="12"/>
      <c r="G567" s="12"/>
      <c r="H567" s="12"/>
      <c r="I567" s="12"/>
      <c r="J567" s="12"/>
      <c r="K567" s="12"/>
      <c r="L567" s="12"/>
      <c r="M567" s="12"/>
      <c r="N567" s="12"/>
      <c r="O567" s="12"/>
      <c r="P567" s="12"/>
      <c r="Q567" s="14"/>
    </row>
    <row r="568" spans="2:17">
      <c r="B568" s="12"/>
      <c r="C568" s="12"/>
      <c r="D568" s="12"/>
      <c r="E568" s="12"/>
      <c r="F568" s="12"/>
      <c r="G568" s="12"/>
      <c r="H568" s="12"/>
      <c r="I568" s="12"/>
      <c r="J568" s="12"/>
      <c r="K568" s="12"/>
      <c r="L568" s="12"/>
      <c r="M568" s="12"/>
      <c r="N568" s="12"/>
      <c r="O568" s="12"/>
      <c r="P568" s="12"/>
      <c r="Q568" s="14"/>
    </row>
    <row r="569" spans="2:17">
      <c r="B569" s="12"/>
      <c r="C569" s="12"/>
      <c r="D569" s="12"/>
      <c r="E569" s="12"/>
      <c r="F569" s="12"/>
      <c r="G569" s="12"/>
      <c r="H569" s="12"/>
      <c r="I569" s="12"/>
      <c r="J569" s="12"/>
      <c r="K569" s="12"/>
      <c r="L569" s="12"/>
      <c r="M569" s="12"/>
      <c r="N569" s="12"/>
      <c r="O569" s="12"/>
      <c r="P569" s="12"/>
      <c r="Q569" s="14"/>
    </row>
    <row r="570" spans="2:17">
      <c r="B570" s="12"/>
      <c r="C570" s="12"/>
      <c r="D570" s="12"/>
      <c r="E570" s="12"/>
      <c r="F570" s="12"/>
      <c r="G570" s="12"/>
      <c r="H570" s="12"/>
      <c r="I570" s="12"/>
      <c r="J570" s="12"/>
      <c r="K570" s="12"/>
      <c r="L570" s="12"/>
      <c r="M570" s="12"/>
      <c r="N570" s="12"/>
      <c r="O570" s="12"/>
      <c r="P570" s="12"/>
      <c r="Q570" s="14"/>
    </row>
    <row r="571" spans="2:17">
      <c r="B571" s="12"/>
      <c r="C571" s="12"/>
      <c r="D571" s="12"/>
      <c r="E571" s="12"/>
      <c r="F571" s="12"/>
      <c r="G571" s="12"/>
      <c r="H571" s="12"/>
      <c r="I571" s="12"/>
      <c r="J571" s="12"/>
      <c r="K571" s="12"/>
      <c r="L571" s="12"/>
      <c r="M571" s="12"/>
      <c r="N571" s="12"/>
      <c r="O571" s="12"/>
      <c r="P571" s="12"/>
      <c r="Q571" s="14"/>
    </row>
    <row r="572" spans="2:17">
      <c r="B572" s="12"/>
      <c r="C572" s="12"/>
      <c r="D572" s="12"/>
      <c r="E572" s="12"/>
      <c r="F572" s="12"/>
      <c r="G572" s="12"/>
      <c r="H572" s="12"/>
      <c r="I572" s="12"/>
      <c r="J572" s="12"/>
      <c r="K572" s="12"/>
      <c r="L572" s="12"/>
      <c r="M572" s="12"/>
      <c r="N572" s="12"/>
      <c r="O572" s="12"/>
      <c r="P572" s="12"/>
      <c r="Q572" s="14"/>
    </row>
    <row r="573" spans="2:17">
      <c r="B573" s="12"/>
      <c r="C573" s="12"/>
      <c r="D573" s="12"/>
      <c r="E573" s="12"/>
      <c r="F573" s="12"/>
      <c r="G573" s="12"/>
      <c r="H573" s="12"/>
      <c r="I573" s="12"/>
      <c r="J573" s="12"/>
      <c r="K573" s="12"/>
      <c r="L573" s="12"/>
      <c r="M573" s="12"/>
      <c r="N573" s="12"/>
      <c r="O573" s="12"/>
      <c r="P573" s="12"/>
      <c r="Q573" s="14"/>
    </row>
    <row r="574" spans="2:17">
      <c r="B574" s="12"/>
      <c r="C574" s="12"/>
      <c r="D574" s="12"/>
      <c r="E574" s="12"/>
      <c r="F574" s="12"/>
      <c r="G574" s="12"/>
      <c r="H574" s="12"/>
      <c r="I574" s="12"/>
      <c r="J574" s="12"/>
      <c r="K574" s="12"/>
      <c r="L574" s="12"/>
      <c r="M574" s="12"/>
      <c r="N574" s="12"/>
      <c r="O574" s="12"/>
      <c r="P574" s="12"/>
      <c r="Q574" s="14"/>
    </row>
    <row r="575" spans="2:17">
      <c r="B575" s="12"/>
      <c r="C575" s="12"/>
      <c r="D575" s="12"/>
      <c r="E575" s="12"/>
      <c r="F575" s="12"/>
      <c r="G575" s="12"/>
      <c r="H575" s="12"/>
      <c r="I575" s="12"/>
      <c r="J575" s="12"/>
      <c r="K575" s="12"/>
      <c r="L575" s="12"/>
      <c r="M575" s="12"/>
      <c r="N575" s="12"/>
      <c r="O575" s="12"/>
      <c r="P575" s="12"/>
      <c r="Q575" s="14"/>
    </row>
    <row r="576" spans="2:17">
      <c r="B576" s="12"/>
      <c r="C576" s="12"/>
      <c r="D576" s="12"/>
      <c r="E576" s="12"/>
      <c r="F576" s="12"/>
      <c r="G576" s="12"/>
      <c r="H576" s="12"/>
      <c r="I576" s="12"/>
      <c r="J576" s="12"/>
      <c r="K576" s="12"/>
      <c r="L576" s="12"/>
      <c r="M576" s="12"/>
      <c r="N576" s="12"/>
      <c r="O576" s="12"/>
      <c r="P576" s="12"/>
      <c r="Q576" s="14"/>
    </row>
    <row r="577" spans="2:17">
      <c r="B577" s="12"/>
      <c r="C577" s="12"/>
      <c r="D577" s="12"/>
      <c r="E577" s="12"/>
      <c r="F577" s="12"/>
      <c r="G577" s="12"/>
      <c r="H577" s="12"/>
      <c r="I577" s="12"/>
      <c r="J577" s="12"/>
      <c r="K577" s="12"/>
      <c r="L577" s="12"/>
      <c r="M577" s="12"/>
      <c r="N577" s="12"/>
      <c r="O577" s="12"/>
      <c r="P577" s="12"/>
      <c r="Q577" s="14"/>
    </row>
    <row r="578" spans="2:17">
      <c r="B578" s="12"/>
      <c r="C578" s="12"/>
      <c r="D578" s="12"/>
      <c r="E578" s="12"/>
      <c r="F578" s="12"/>
      <c r="G578" s="12"/>
      <c r="H578" s="12"/>
      <c r="I578" s="12"/>
      <c r="J578" s="12"/>
      <c r="K578" s="12"/>
      <c r="L578" s="12"/>
      <c r="M578" s="12"/>
      <c r="N578" s="12"/>
      <c r="O578" s="12"/>
      <c r="P578" s="12"/>
      <c r="Q578" s="14"/>
    </row>
    <row r="579" spans="2:17">
      <c r="B579" s="12"/>
      <c r="C579" s="12"/>
      <c r="D579" s="12"/>
      <c r="E579" s="12"/>
      <c r="F579" s="12"/>
      <c r="G579" s="12"/>
      <c r="H579" s="12"/>
      <c r="I579" s="12"/>
      <c r="J579" s="12"/>
      <c r="K579" s="12"/>
      <c r="L579" s="12"/>
      <c r="M579" s="12"/>
      <c r="N579" s="12"/>
      <c r="O579" s="12"/>
      <c r="P579" s="12"/>
      <c r="Q579" s="14"/>
    </row>
    <row r="580" spans="2:17">
      <c r="B580" s="12"/>
      <c r="C580" s="12"/>
      <c r="D580" s="12"/>
      <c r="E580" s="12"/>
      <c r="F580" s="12"/>
      <c r="G580" s="12"/>
      <c r="H580" s="12"/>
      <c r="I580" s="12"/>
      <c r="J580" s="12"/>
      <c r="K580" s="12"/>
      <c r="L580" s="12"/>
      <c r="M580" s="12"/>
      <c r="N580" s="12"/>
      <c r="O580" s="12"/>
      <c r="P580" s="12"/>
      <c r="Q580" s="14"/>
    </row>
    <row r="581" spans="2:17">
      <c r="B581" s="12"/>
      <c r="C581" s="12"/>
      <c r="D581" s="12"/>
      <c r="E581" s="12"/>
      <c r="F581" s="12"/>
      <c r="G581" s="12"/>
      <c r="H581" s="12"/>
      <c r="I581" s="12"/>
      <c r="J581" s="12"/>
      <c r="K581" s="12"/>
      <c r="L581" s="12"/>
      <c r="M581" s="12"/>
      <c r="N581" s="12"/>
      <c r="O581" s="12"/>
      <c r="P581" s="12"/>
      <c r="Q581" s="14"/>
    </row>
    <row r="582" spans="2:17">
      <c r="B582" s="12"/>
      <c r="C582" s="12"/>
      <c r="D582" s="12"/>
      <c r="E582" s="12"/>
      <c r="F582" s="12"/>
      <c r="G582" s="12"/>
      <c r="H582" s="12"/>
      <c r="I582" s="12"/>
      <c r="J582" s="12"/>
      <c r="K582" s="12"/>
      <c r="L582" s="12"/>
      <c r="M582" s="12"/>
      <c r="N582" s="12"/>
      <c r="O582" s="12"/>
      <c r="P582" s="12"/>
      <c r="Q582" s="14"/>
    </row>
    <row r="583" spans="2:17">
      <c r="B583" s="12"/>
      <c r="C583" s="12"/>
      <c r="D583" s="12"/>
      <c r="E583" s="12"/>
      <c r="F583" s="12"/>
      <c r="G583" s="12"/>
      <c r="H583" s="12"/>
      <c r="I583" s="12"/>
      <c r="J583" s="12"/>
      <c r="K583" s="12"/>
      <c r="L583" s="12"/>
      <c r="M583" s="12"/>
      <c r="N583" s="12"/>
      <c r="O583" s="12"/>
      <c r="P583" s="12"/>
      <c r="Q583" s="14"/>
    </row>
    <row r="584" spans="2:17">
      <c r="B584" s="12"/>
      <c r="C584" s="12"/>
      <c r="D584" s="12"/>
      <c r="E584" s="12"/>
      <c r="F584" s="12"/>
      <c r="G584" s="12"/>
      <c r="H584" s="12"/>
      <c r="I584" s="12"/>
      <c r="J584" s="12"/>
      <c r="K584" s="12"/>
      <c r="L584" s="12"/>
      <c r="M584" s="12"/>
      <c r="N584" s="12"/>
      <c r="O584" s="12"/>
      <c r="P584" s="12"/>
      <c r="Q584" s="14"/>
    </row>
    <row r="585" spans="2:17">
      <c r="B585" s="12"/>
      <c r="C585" s="12"/>
      <c r="D585" s="12"/>
      <c r="E585" s="12"/>
      <c r="F585" s="12"/>
      <c r="G585" s="12"/>
      <c r="H585" s="12"/>
      <c r="I585" s="12"/>
      <c r="J585" s="12"/>
      <c r="K585" s="12"/>
      <c r="L585" s="12"/>
      <c r="M585" s="12"/>
      <c r="N585" s="12"/>
      <c r="O585" s="12"/>
      <c r="P585" s="12"/>
      <c r="Q585" s="14"/>
    </row>
    <row r="586" spans="2:17">
      <c r="B586" s="12"/>
      <c r="C586" s="12"/>
      <c r="D586" s="12"/>
      <c r="E586" s="12"/>
      <c r="F586" s="12"/>
      <c r="G586" s="12"/>
      <c r="H586" s="12"/>
      <c r="I586" s="12"/>
      <c r="J586" s="12"/>
      <c r="K586" s="12"/>
      <c r="L586" s="12"/>
      <c r="M586" s="12"/>
      <c r="N586" s="12"/>
      <c r="O586" s="12"/>
      <c r="P586" s="12"/>
      <c r="Q586" s="14"/>
    </row>
    <row r="587" spans="2:17">
      <c r="B587" s="12"/>
      <c r="C587" s="12"/>
      <c r="D587" s="12"/>
      <c r="E587" s="12"/>
      <c r="F587" s="12"/>
      <c r="G587" s="12"/>
      <c r="H587" s="12"/>
      <c r="I587" s="12"/>
      <c r="J587" s="12"/>
      <c r="K587" s="12"/>
      <c r="L587" s="12"/>
      <c r="M587" s="12"/>
      <c r="N587" s="12"/>
      <c r="O587" s="12"/>
      <c r="P587" s="12"/>
      <c r="Q587" s="14"/>
    </row>
    <row r="588" spans="2:17">
      <c r="B588" s="12"/>
      <c r="C588" s="12"/>
      <c r="D588" s="12"/>
      <c r="E588" s="12"/>
      <c r="F588" s="12"/>
      <c r="G588" s="12"/>
      <c r="H588" s="12"/>
      <c r="I588" s="12"/>
      <c r="J588" s="12"/>
      <c r="K588" s="12"/>
      <c r="L588" s="12"/>
      <c r="M588" s="12"/>
      <c r="N588" s="12"/>
      <c r="O588" s="12"/>
      <c r="P588" s="12"/>
      <c r="Q588" s="14"/>
    </row>
    <row r="589" spans="2:17">
      <c r="B589" s="12"/>
      <c r="C589" s="12"/>
      <c r="D589" s="12"/>
      <c r="E589" s="12"/>
      <c r="F589" s="12"/>
      <c r="G589" s="12"/>
      <c r="H589" s="12"/>
      <c r="I589" s="12"/>
      <c r="J589" s="12"/>
      <c r="K589" s="12"/>
      <c r="L589" s="12"/>
      <c r="M589" s="12"/>
      <c r="N589" s="12"/>
      <c r="O589" s="12"/>
      <c r="P589" s="12"/>
      <c r="Q589" s="14"/>
    </row>
    <row r="590" spans="2:17">
      <c r="B590" s="12"/>
      <c r="C590" s="12"/>
      <c r="D590" s="12"/>
      <c r="E590" s="12"/>
      <c r="F590" s="12"/>
      <c r="G590" s="12"/>
      <c r="H590" s="12"/>
      <c r="I590" s="12"/>
      <c r="J590" s="12"/>
      <c r="K590" s="12"/>
      <c r="L590" s="12"/>
      <c r="M590" s="12"/>
      <c r="N590" s="12"/>
      <c r="O590" s="12"/>
      <c r="P590" s="12"/>
      <c r="Q590" s="14"/>
    </row>
    <row r="591" spans="2:17">
      <c r="B591" s="12"/>
      <c r="C591" s="12"/>
      <c r="D591" s="12"/>
      <c r="E591" s="12"/>
      <c r="F591" s="12"/>
      <c r="G591" s="12"/>
      <c r="H591" s="12"/>
      <c r="I591" s="12"/>
      <c r="J591" s="12"/>
      <c r="K591" s="12"/>
      <c r="L591" s="12"/>
      <c r="M591" s="12"/>
      <c r="N591" s="12"/>
      <c r="O591" s="12"/>
      <c r="P591" s="12"/>
      <c r="Q591" s="14"/>
    </row>
    <row r="592" spans="2:17">
      <c r="B592" s="12"/>
      <c r="C592" s="12"/>
      <c r="D592" s="12"/>
      <c r="E592" s="12"/>
      <c r="F592" s="12"/>
      <c r="G592" s="12"/>
      <c r="H592" s="12"/>
      <c r="I592" s="12"/>
      <c r="J592" s="12"/>
      <c r="K592" s="12"/>
      <c r="L592" s="12"/>
      <c r="M592" s="12"/>
      <c r="N592" s="12"/>
      <c r="O592" s="12"/>
      <c r="P592" s="12"/>
      <c r="Q592" s="14"/>
    </row>
    <row r="593" spans="2:17">
      <c r="B593" s="12"/>
      <c r="C593" s="12"/>
      <c r="D593" s="12"/>
      <c r="E593" s="12"/>
      <c r="F593" s="12"/>
      <c r="G593" s="12"/>
      <c r="H593" s="12"/>
      <c r="I593" s="12"/>
      <c r="J593" s="12"/>
      <c r="K593" s="12"/>
      <c r="L593" s="12"/>
      <c r="M593" s="12"/>
      <c r="N593" s="12"/>
      <c r="O593" s="12"/>
      <c r="P593" s="12"/>
      <c r="Q593" s="14"/>
    </row>
    <row r="594" spans="2:17">
      <c r="B594" s="12"/>
      <c r="C594" s="12"/>
      <c r="D594" s="12"/>
      <c r="E594" s="12"/>
      <c r="F594" s="12"/>
      <c r="G594" s="12"/>
      <c r="H594" s="12"/>
      <c r="I594" s="12"/>
      <c r="J594" s="12"/>
      <c r="K594" s="12"/>
      <c r="L594" s="12"/>
      <c r="M594" s="12"/>
      <c r="N594" s="12"/>
      <c r="O594" s="12"/>
      <c r="P594" s="12"/>
      <c r="Q594" s="14"/>
    </row>
    <row r="595" spans="2:17">
      <c r="B595" s="12"/>
      <c r="C595" s="12"/>
      <c r="D595" s="12"/>
      <c r="E595" s="12"/>
      <c r="F595" s="12"/>
      <c r="G595" s="12"/>
      <c r="H595" s="12"/>
      <c r="I595" s="12"/>
      <c r="J595" s="12"/>
      <c r="K595" s="12"/>
      <c r="L595" s="12"/>
      <c r="M595" s="12"/>
      <c r="N595" s="12"/>
      <c r="O595" s="12"/>
      <c r="P595" s="12"/>
      <c r="Q595" s="14"/>
    </row>
    <row r="596" spans="2:17">
      <c r="B596" s="12"/>
      <c r="C596" s="12"/>
      <c r="D596" s="12"/>
      <c r="E596" s="12"/>
      <c r="F596" s="12"/>
      <c r="G596" s="12"/>
      <c r="H596" s="12"/>
      <c r="I596" s="12"/>
      <c r="J596" s="12"/>
      <c r="K596" s="12"/>
      <c r="L596" s="12"/>
      <c r="M596" s="12"/>
      <c r="N596" s="12"/>
      <c r="O596" s="12"/>
      <c r="P596" s="12"/>
      <c r="Q596" s="14"/>
    </row>
    <row r="597" spans="2:17">
      <c r="B597" s="12"/>
      <c r="C597" s="12"/>
      <c r="D597" s="12"/>
      <c r="E597" s="12"/>
      <c r="F597" s="12"/>
      <c r="G597" s="12"/>
      <c r="H597" s="12"/>
      <c r="I597" s="12"/>
      <c r="J597" s="12"/>
      <c r="K597" s="12"/>
      <c r="L597" s="12"/>
      <c r="M597" s="12"/>
      <c r="N597" s="12"/>
      <c r="O597" s="12"/>
      <c r="P597" s="12"/>
      <c r="Q597" s="14"/>
    </row>
    <row r="598" spans="2:17">
      <c r="B598" s="12"/>
      <c r="C598" s="12"/>
      <c r="D598" s="12"/>
      <c r="E598" s="12"/>
      <c r="F598" s="12"/>
      <c r="G598" s="12"/>
      <c r="H598" s="12"/>
      <c r="I598" s="12"/>
      <c r="J598" s="12"/>
      <c r="K598" s="12"/>
      <c r="L598" s="12"/>
      <c r="M598" s="12"/>
      <c r="N598" s="12"/>
      <c r="O598" s="12"/>
      <c r="P598" s="12"/>
      <c r="Q598" s="14"/>
    </row>
    <row r="599" spans="2:17">
      <c r="B599" s="12"/>
      <c r="C599" s="12"/>
      <c r="D599" s="12"/>
      <c r="E599" s="12"/>
      <c r="F599" s="12"/>
      <c r="G599" s="12"/>
      <c r="H599" s="12"/>
      <c r="I599" s="12"/>
      <c r="J599" s="12"/>
      <c r="K599" s="12"/>
      <c r="L599" s="12"/>
      <c r="M599" s="12"/>
      <c r="N599" s="12"/>
      <c r="O599" s="12"/>
      <c r="P599" s="12"/>
      <c r="Q599" s="14"/>
    </row>
    <row r="600" spans="2:17">
      <c r="B600" s="12"/>
      <c r="C600" s="12"/>
      <c r="D600" s="12"/>
      <c r="E600" s="12"/>
      <c r="F600" s="12"/>
      <c r="G600" s="12"/>
      <c r="H600" s="12"/>
      <c r="I600" s="12"/>
      <c r="J600" s="12"/>
      <c r="K600" s="12"/>
      <c r="L600" s="12"/>
      <c r="M600" s="12"/>
      <c r="N600" s="12"/>
      <c r="O600" s="12"/>
      <c r="P600" s="12"/>
      <c r="Q600" s="14"/>
    </row>
    <row r="601" spans="2:17">
      <c r="B601" s="12"/>
      <c r="C601" s="12"/>
      <c r="D601" s="12"/>
      <c r="E601" s="12"/>
      <c r="F601" s="12"/>
      <c r="G601" s="12"/>
      <c r="H601" s="12"/>
      <c r="I601" s="12"/>
      <c r="J601" s="12"/>
      <c r="K601" s="12"/>
      <c r="L601" s="12"/>
      <c r="M601" s="12"/>
      <c r="N601" s="12"/>
      <c r="O601" s="12"/>
      <c r="P601" s="12"/>
      <c r="Q601" s="14"/>
    </row>
    <row r="602" spans="2:17">
      <c r="B602" s="12"/>
      <c r="C602" s="12"/>
      <c r="D602" s="12"/>
      <c r="E602" s="12"/>
      <c r="F602" s="12"/>
      <c r="G602" s="12"/>
      <c r="H602" s="12"/>
      <c r="I602" s="12"/>
      <c r="J602" s="12"/>
      <c r="K602" s="12"/>
      <c r="L602" s="12"/>
      <c r="M602" s="12"/>
      <c r="N602" s="12"/>
      <c r="O602" s="12"/>
      <c r="P602" s="12"/>
      <c r="Q602" s="14"/>
    </row>
    <row r="603" spans="2:17">
      <c r="B603" s="12"/>
      <c r="C603" s="12"/>
      <c r="D603" s="12"/>
      <c r="E603" s="12"/>
      <c r="F603" s="12"/>
      <c r="G603" s="12"/>
      <c r="H603" s="12"/>
      <c r="I603" s="12"/>
      <c r="J603" s="12"/>
      <c r="K603" s="12"/>
      <c r="L603" s="12"/>
      <c r="M603" s="12"/>
      <c r="N603" s="12"/>
      <c r="O603" s="12"/>
      <c r="P603" s="12"/>
      <c r="Q603" s="14"/>
    </row>
    <row r="604" spans="2:17">
      <c r="B604" s="12"/>
      <c r="C604" s="12"/>
      <c r="D604" s="12"/>
      <c r="E604" s="12"/>
      <c r="F604" s="12"/>
      <c r="G604" s="12"/>
      <c r="H604" s="12"/>
      <c r="I604" s="12"/>
      <c r="J604" s="12"/>
      <c r="K604" s="12"/>
      <c r="L604" s="12"/>
      <c r="M604" s="12"/>
      <c r="N604" s="12"/>
      <c r="O604" s="12"/>
      <c r="P604" s="12"/>
      <c r="Q604" s="14"/>
    </row>
    <row r="605" spans="2:17">
      <c r="B605" s="12"/>
      <c r="C605" s="12"/>
      <c r="D605" s="12"/>
      <c r="E605" s="12"/>
      <c r="F605" s="12"/>
      <c r="G605" s="12"/>
      <c r="H605" s="12"/>
      <c r="I605" s="12"/>
      <c r="J605" s="12"/>
      <c r="K605" s="12"/>
      <c r="L605" s="12"/>
      <c r="M605" s="12"/>
      <c r="N605" s="12"/>
      <c r="O605" s="12"/>
      <c r="P605" s="12"/>
      <c r="Q605" s="14"/>
    </row>
    <row r="606" spans="2:17">
      <c r="B606" s="12"/>
      <c r="C606" s="12"/>
      <c r="D606" s="12"/>
      <c r="E606" s="12"/>
      <c r="F606" s="12"/>
      <c r="G606" s="12"/>
      <c r="H606" s="12"/>
      <c r="I606" s="12"/>
      <c r="J606" s="12"/>
      <c r="K606" s="12"/>
      <c r="L606" s="12"/>
      <c r="M606" s="12"/>
      <c r="N606" s="12"/>
      <c r="O606" s="12"/>
      <c r="P606" s="12"/>
      <c r="Q606" s="14"/>
    </row>
    <row r="607" spans="2:17">
      <c r="B607" s="12"/>
      <c r="C607" s="12"/>
      <c r="D607" s="12"/>
      <c r="E607" s="12"/>
      <c r="F607" s="12"/>
      <c r="G607" s="12"/>
      <c r="H607" s="12"/>
      <c r="I607" s="12"/>
      <c r="J607" s="12"/>
      <c r="K607" s="12"/>
      <c r="L607" s="12"/>
      <c r="M607" s="12"/>
      <c r="N607" s="12"/>
      <c r="O607" s="12"/>
      <c r="P607" s="12"/>
      <c r="Q607" s="14"/>
    </row>
    <row r="608" spans="2:17">
      <c r="B608" s="12"/>
      <c r="C608" s="12"/>
      <c r="D608" s="12"/>
      <c r="E608" s="12"/>
      <c r="F608" s="12"/>
      <c r="G608" s="12"/>
      <c r="H608" s="12"/>
      <c r="I608" s="12"/>
      <c r="J608" s="12"/>
      <c r="K608" s="12"/>
      <c r="L608" s="12"/>
      <c r="M608" s="12"/>
      <c r="N608" s="12"/>
      <c r="O608" s="12"/>
      <c r="P608" s="12"/>
      <c r="Q608" s="14"/>
    </row>
    <row r="609" spans="2:17">
      <c r="B609" s="12"/>
      <c r="C609" s="12"/>
      <c r="D609" s="12"/>
      <c r="E609" s="12"/>
      <c r="F609" s="12"/>
      <c r="G609" s="12"/>
      <c r="H609" s="12"/>
      <c r="I609" s="12"/>
      <c r="J609" s="12"/>
      <c r="K609" s="12"/>
      <c r="L609" s="12"/>
      <c r="M609" s="12"/>
      <c r="N609" s="12"/>
      <c r="O609" s="12"/>
      <c r="P609" s="12"/>
      <c r="Q609" s="14"/>
    </row>
    <row r="610" spans="2:17">
      <c r="B610" s="12"/>
      <c r="C610" s="12"/>
      <c r="D610" s="12"/>
      <c r="E610" s="12"/>
      <c r="F610" s="12"/>
      <c r="G610" s="12"/>
      <c r="H610" s="12"/>
      <c r="I610" s="12"/>
      <c r="J610" s="12"/>
      <c r="K610" s="12"/>
      <c r="L610" s="12"/>
      <c r="M610" s="12"/>
      <c r="N610" s="12"/>
      <c r="O610" s="12"/>
      <c r="P610" s="12"/>
      <c r="Q610" s="14"/>
    </row>
    <row r="611" spans="2:17">
      <c r="B611" s="12"/>
      <c r="C611" s="12"/>
      <c r="D611" s="12"/>
      <c r="E611" s="12"/>
      <c r="F611" s="12"/>
      <c r="G611" s="12"/>
      <c r="H611" s="12"/>
      <c r="I611" s="12"/>
      <c r="J611" s="12"/>
      <c r="K611" s="12"/>
      <c r="L611" s="12"/>
      <c r="M611" s="12"/>
      <c r="N611" s="12"/>
      <c r="O611" s="12"/>
      <c r="P611" s="12"/>
      <c r="Q611" s="14"/>
    </row>
    <row r="612" spans="2:17">
      <c r="B612" s="12"/>
      <c r="C612" s="12"/>
      <c r="D612" s="12"/>
      <c r="E612" s="12"/>
      <c r="F612" s="12"/>
      <c r="G612" s="12"/>
      <c r="H612" s="12"/>
      <c r="I612" s="12"/>
      <c r="J612" s="12"/>
      <c r="K612" s="12"/>
      <c r="L612" s="12"/>
      <c r="M612" s="12"/>
      <c r="N612" s="12"/>
      <c r="O612" s="12"/>
      <c r="P612" s="12"/>
      <c r="Q612" s="14"/>
    </row>
    <row r="613" spans="2:17">
      <c r="B613" s="12"/>
      <c r="C613" s="12"/>
      <c r="D613" s="12"/>
      <c r="E613" s="12"/>
      <c r="F613" s="12"/>
      <c r="G613" s="12"/>
      <c r="H613" s="12"/>
      <c r="I613" s="12"/>
      <c r="J613" s="12"/>
      <c r="K613" s="12"/>
      <c r="L613" s="12"/>
      <c r="M613" s="12"/>
      <c r="N613" s="12"/>
      <c r="O613" s="12"/>
      <c r="P613" s="12"/>
      <c r="Q613" s="14"/>
    </row>
    <row r="614" spans="2:17">
      <c r="B614" s="12"/>
      <c r="C614" s="12"/>
      <c r="D614" s="12"/>
      <c r="E614" s="12"/>
      <c r="F614" s="12"/>
      <c r="G614" s="12"/>
      <c r="H614" s="12"/>
      <c r="I614" s="12"/>
      <c r="J614" s="12"/>
      <c r="K614" s="12"/>
      <c r="L614" s="12"/>
      <c r="M614" s="12"/>
      <c r="N614" s="12"/>
      <c r="O614" s="12"/>
      <c r="P614" s="12"/>
      <c r="Q614" s="14"/>
    </row>
    <row r="615" spans="2:17">
      <c r="B615" s="12"/>
      <c r="C615" s="12"/>
      <c r="D615" s="12"/>
      <c r="E615" s="12"/>
      <c r="F615" s="12"/>
      <c r="G615" s="12"/>
      <c r="H615" s="12"/>
      <c r="I615" s="12"/>
      <c r="J615" s="12"/>
      <c r="K615" s="12"/>
      <c r="L615" s="12"/>
      <c r="M615" s="12"/>
      <c r="N615" s="12"/>
      <c r="O615" s="12"/>
      <c r="P615" s="12"/>
      <c r="Q615" s="14"/>
    </row>
    <row r="616" spans="2:17">
      <c r="B616" s="12"/>
      <c r="C616" s="12"/>
      <c r="D616" s="12"/>
      <c r="E616" s="12"/>
      <c r="F616" s="12"/>
      <c r="G616" s="12"/>
      <c r="H616" s="12"/>
      <c r="I616" s="12"/>
      <c r="J616" s="12"/>
      <c r="K616" s="12"/>
      <c r="L616" s="12"/>
      <c r="M616" s="12"/>
      <c r="N616" s="12"/>
      <c r="O616" s="12"/>
      <c r="P616" s="12"/>
      <c r="Q616" s="14"/>
    </row>
    <row r="617" spans="2:17">
      <c r="B617" s="12"/>
      <c r="C617" s="12"/>
      <c r="D617" s="12"/>
      <c r="E617" s="12"/>
      <c r="F617" s="12"/>
      <c r="G617" s="12"/>
      <c r="H617" s="12"/>
      <c r="I617" s="12"/>
      <c r="J617" s="12"/>
      <c r="K617" s="12"/>
      <c r="L617" s="12"/>
      <c r="M617" s="12"/>
      <c r="N617" s="12"/>
      <c r="O617" s="12"/>
      <c r="P617" s="12"/>
      <c r="Q617" s="14"/>
    </row>
    <row r="618" spans="2:17">
      <c r="B618" s="12"/>
      <c r="C618" s="12"/>
      <c r="D618" s="12"/>
      <c r="E618" s="12"/>
      <c r="F618" s="12"/>
      <c r="G618" s="12"/>
      <c r="H618" s="12"/>
      <c r="I618" s="12"/>
      <c r="J618" s="12"/>
      <c r="K618" s="12"/>
      <c r="L618" s="12"/>
      <c r="M618" s="12"/>
      <c r="N618" s="12"/>
      <c r="O618" s="12"/>
      <c r="P618" s="12"/>
      <c r="Q618" s="14"/>
    </row>
    <row r="619" spans="2:17">
      <c r="B619" s="12"/>
      <c r="C619" s="12"/>
      <c r="D619" s="12"/>
      <c r="E619" s="12"/>
      <c r="F619" s="12"/>
      <c r="G619" s="12"/>
      <c r="H619" s="12"/>
      <c r="I619" s="12"/>
      <c r="J619" s="12"/>
      <c r="K619" s="12"/>
      <c r="L619" s="12"/>
      <c r="M619" s="12"/>
      <c r="N619" s="12"/>
      <c r="O619" s="12"/>
      <c r="P619" s="12"/>
      <c r="Q619" s="14"/>
    </row>
    <row r="620" spans="2:17">
      <c r="B620" s="12"/>
      <c r="C620" s="12"/>
      <c r="D620" s="12"/>
      <c r="E620" s="12"/>
      <c r="F620" s="12"/>
      <c r="G620" s="12"/>
      <c r="H620" s="12"/>
      <c r="I620" s="12"/>
      <c r="J620" s="12"/>
      <c r="K620" s="12"/>
      <c r="L620" s="12"/>
      <c r="M620" s="12"/>
      <c r="N620" s="12"/>
      <c r="O620" s="12"/>
      <c r="P620" s="12"/>
      <c r="Q620" s="14"/>
    </row>
    <row r="621" spans="2:17">
      <c r="B621" s="12"/>
      <c r="C621" s="12"/>
      <c r="D621" s="12"/>
      <c r="E621" s="12"/>
      <c r="F621" s="12"/>
      <c r="G621" s="12"/>
      <c r="H621" s="12"/>
      <c r="I621" s="12"/>
      <c r="J621" s="12"/>
      <c r="K621" s="12"/>
      <c r="L621" s="12"/>
      <c r="M621" s="12"/>
      <c r="N621" s="12"/>
      <c r="O621" s="12"/>
      <c r="P621" s="12"/>
      <c r="Q621" s="14"/>
    </row>
    <row r="622" spans="2:17">
      <c r="B622" s="12"/>
      <c r="C622" s="12"/>
      <c r="D622" s="12"/>
      <c r="E622" s="12"/>
      <c r="F622" s="12"/>
      <c r="G622" s="12"/>
      <c r="H622" s="12"/>
      <c r="I622" s="12"/>
      <c r="J622" s="12"/>
      <c r="K622" s="12"/>
      <c r="L622" s="12"/>
      <c r="M622" s="12"/>
      <c r="N622" s="12"/>
      <c r="O622" s="12"/>
      <c r="P622" s="12"/>
      <c r="Q622" s="14"/>
    </row>
    <row r="623" spans="2:17">
      <c r="B623" s="12"/>
      <c r="C623" s="12"/>
      <c r="D623" s="12"/>
      <c r="E623" s="12"/>
      <c r="F623" s="12"/>
      <c r="G623" s="12"/>
      <c r="H623" s="12"/>
      <c r="I623" s="12"/>
      <c r="J623" s="12"/>
      <c r="K623" s="12"/>
      <c r="L623" s="12"/>
      <c r="M623" s="12"/>
      <c r="N623" s="12"/>
      <c r="O623" s="12"/>
      <c r="P623" s="12"/>
      <c r="Q623" s="14"/>
    </row>
    <row r="624" spans="2:17">
      <c r="B624" s="12"/>
      <c r="C624" s="12"/>
      <c r="D624" s="12"/>
      <c r="E624" s="12"/>
      <c r="F624" s="12"/>
      <c r="G624" s="12"/>
      <c r="H624" s="12"/>
      <c r="I624" s="12"/>
      <c r="J624" s="12"/>
      <c r="K624" s="12"/>
      <c r="L624" s="12"/>
      <c r="M624" s="12"/>
      <c r="N624" s="12"/>
      <c r="O624" s="12"/>
      <c r="P624" s="12"/>
      <c r="Q624" s="14"/>
    </row>
    <row r="625" spans="2:17">
      <c r="B625" s="12"/>
      <c r="C625" s="12"/>
      <c r="D625" s="12"/>
      <c r="E625" s="12"/>
      <c r="F625" s="12"/>
      <c r="G625" s="12"/>
      <c r="H625" s="12"/>
      <c r="I625" s="12"/>
      <c r="J625" s="12"/>
      <c r="K625" s="12"/>
      <c r="L625" s="12"/>
      <c r="M625" s="12"/>
      <c r="N625" s="12"/>
      <c r="O625" s="12"/>
      <c r="P625" s="12"/>
      <c r="Q625" s="14"/>
    </row>
    <row r="626" spans="2:17">
      <c r="B626" s="12"/>
      <c r="C626" s="12"/>
      <c r="D626" s="12"/>
      <c r="E626" s="12"/>
      <c r="F626" s="12"/>
      <c r="G626" s="12"/>
      <c r="H626" s="12"/>
      <c r="I626" s="12"/>
      <c r="J626" s="12"/>
      <c r="K626" s="12"/>
      <c r="L626" s="12"/>
      <c r="M626" s="12"/>
      <c r="N626" s="12"/>
      <c r="O626" s="12"/>
      <c r="P626" s="12"/>
      <c r="Q626" s="14"/>
    </row>
    <row r="627" spans="2:17">
      <c r="B627" s="12"/>
      <c r="C627" s="12"/>
      <c r="D627" s="12"/>
      <c r="E627" s="12"/>
      <c r="F627" s="12"/>
      <c r="G627" s="12"/>
      <c r="H627" s="12"/>
      <c r="I627" s="12"/>
      <c r="J627" s="12"/>
      <c r="K627" s="12"/>
      <c r="L627" s="12"/>
      <c r="M627" s="12"/>
      <c r="N627" s="12"/>
      <c r="O627" s="12"/>
      <c r="P627" s="12"/>
      <c r="Q627" s="14"/>
    </row>
    <row r="628" spans="2:17">
      <c r="B628" s="12"/>
      <c r="C628" s="12"/>
      <c r="D628" s="12"/>
      <c r="E628" s="12"/>
      <c r="F628" s="12"/>
      <c r="G628" s="12"/>
      <c r="H628" s="12"/>
      <c r="I628" s="12"/>
      <c r="J628" s="12"/>
      <c r="K628" s="12"/>
      <c r="L628" s="12"/>
      <c r="M628" s="12"/>
      <c r="N628" s="12"/>
      <c r="O628" s="12"/>
      <c r="P628" s="12"/>
      <c r="Q628" s="14"/>
    </row>
    <row r="629" spans="2:17">
      <c r="B629" s="12"/>
      <c r="C629" s="12"/>
      <c r="D629" s="12"/>
      <c r="E629" s="12"/>
      <c r="F629" s="12"/>
      <c r="G629" s="12"/>
      <c r="H629" s="12"/>
      <c r="I629" s="12"/>
      <c r="J629" s="12"/>
      <c r="K629" s="12"/>
      <c r="L629" s="12"/>
      <c r="M629" s="12"/>
      <c r="N629" s="12"/>
      <c r="O629" s="12"/>
      <c r="P629" s="12"/>
      <c r="Q629" s="14"/>
    </row>
    <row r="630" spans="2:17">
      <c r="B630" s="12"/>
      <c r="C630" s="12"/>
      <c r="D630" s="12"/>
      <c r="E630" s="12"/>
      <c r="F630" s="12"/>
      <c r="G630" s="12"/>
      <c r="H630" s="12"/>
      <c r="I630" s="12"/>
      <c r="J630" s="12"/>
      <c r="K630" s="12"/>
      <c r="L630" s="12"/>
      <c r="M630" s="12"/>
      <c r="N630" s="12"/>
      <c r="O630" s="12"/>
      <c r="P630" s="12"/>
      <c r="Q630" s="14"/>
    </row>
    <row r="631" spans="2:17">
      <c r="B631" s="12"/>
      <c r="C631" s="12"/>
      <c r="D631" s="12"/>
      <c r="E631" s="12"/>
      <c r="F631" s="12"/>
      <c r="G631" s="12"/>
      <c r="H631" s="12"/>
      <c r="I631" s="12"/>
      <c r="J631" s="12"/>
      <c r="K631" s="12"/>
      <c r="L631" s="12"/>
      <c r="M631" s="12"/>
      <c r="N631" s="12"/>
      <c r="O631" s="12"/>
      <c r="P631" s="12"/>
      <c r="Q631" s="14"/>
    </row>
    <row r="632" spans="2:17">
      <c r="B632" s="12"/>
      <c r="C632" s="12"/>
      <c r="D632" s="12"/>
      <c r="E632" s="12"/>
      <c r="F632" s="12"/>
      <c r="G632" s="12"/>
      <c r="H632" s="12"/>
      <c r="I632" s="12"/>
      <c r="J632" s="12"/>
      <c r="K632" s="12"/>
      <c r="L632" s="12"/>
      <c r="M632" s="12"/>
      <c r="N632" s="12"/>
      <c r="O632" s="12"/>
      <c r="P632" s="12"/>
      <c r="Q632" s="14"/>
    </row>
    <row r="633" spans="2:17">
      <c r="B633" s="12"/>
      <c r="C633" s="12"/>
      <c r="D633" s="12"/>
      <c r="E633" s="12"/>
      <c r="F633" s="12"/>
      <c r="G633" s="12"/>
      <c r="H633" s="12"/>
      <c r="I633" s="12"/>
      <c r="J633" s="12"/>
      <c r="K633" s="12"/>
      <c r="L633" s="12"/>
      <c r="M633" s="12"/>
      <c r="N633" s="12"/>
      <c r="O633" s="12"/>
      <c r="P633" s="12"/>
      <c r="Q633" s="14"/>
    </row>
    <row r="634" spans="2:17">
      <c r="B634" s="12"/>
      <c r="C634" s="12"/>
      <c r="D634" s="12"/>
      <c r="E634" s="12"/>
      <c r="F634" s="12"/>
      <c r="G634" s="12"/>
      <c r="H634" s="12"/>
      <c r="I634" s="12"/>
      <c r="J634" s="12"/>
      <c r="K634" s="12"/>
      <c r="L634" s="12"/>
      <c r="M634" s="12"/>
      <c r="N634" s="12"/>
      <c r="O634" s="12"/>
      <c r="P634" s="12"/>
      <c r="Q634" s="14"/>
    </row>
    <row r="635" spans="2:17">
      <c r="B635" s="12"/>
      <c r="C635" s="12"/>
      <c r="D635" s="12"/>
      <c r="E635" s="12"/>
      <c r="F635" s="12"/>
      <c r="G635" s="12"/>
      <c r="H635" s="12"/>
      <c r="I635" s="12"/>
      <c r="J635" s="12"/>
      <c r="K635" s="12"/>
      <c r="L635" s="12"/>
      <c r="M635" s="12"/>
      <c r="N635" s="12"/>
      <c r="O635" s="12"/>
      <c r="P635" s="12"/>
      <c r="Q635" s="14"/>
    </row>
    <row r="636" spans="2:17">
      <c r="B636" s="12"/>
      <c r="C636" s="12"/>
      <c r="D636" s="12"/>
      <c r="E636" s="12"/>
      <c r="F636" s="12"/>
      <c r="G636" s="12"/>
      <c r="H636" s="12"/>
      <c r="I636" s="12"/>
      <c r="J636" s="12"/>
      <c r="K636" s="12"/>
      <c r="L636" s="12"/>
      <c r="M636" s="12"/>
      <c r="N636" s="12"/>
      <c r="O636" s="12"/>
      <c r="P636" s="12"/>
      <c r="Q636" s="14"/>
    </row>
    <row r="637" spans="2:17">
      <c r="B637" s="12"/>
      <c r="C637" s="12"/>
      <c r="D637" s="12"/>
      <c r="E637" s="12"/>
      <c r="F637" s="12"/>
      <c r="G637" s="12"/>
      <c r="H637" s="12"/>
      <c r="I637" s="12"/>
      <c r="J637" s="12"/>
      <c r="K637" s="12"/>
      <c r="L637" s="12"/>
      <c r="M637" s="12"/>
      <c r="N637" s="12"/>
      <c r="O637" s="12"/>
      <c r="P637" s="12"/>
      <c r="Q637" s="14"/>
    </row>
    <row r="638" spans="2:17">
      <c r="B638" s="12"/>
      <c r="C638" s="12"/>
      <c r="D638" s="12"/>
      <c r="E638" s="12"/>
      <c r="F638" s="12"/>
      <c r="G638" s="12"/>
      <c r="H638" s="12"/>
      <c r="I638" s="12"/>
      <c r="J638" s="12"/>
      <c r="K638" s="12"/>
      <c r="L638" s="12"/>
      <c r="M638" s="12"/>
      <c r="N638" s="12"/>
      <c r="O638" s="12"/>
      <c r="P638" s="12"/>
      <c r="Q638" s="14"/>
    </row>
    <row r="639" spans="2:17">
      <c r="B639" s="12"/>
      <c r="C639" s="12"/>
      <c r="D639" s="12"/>
      <c r="E639" s="12"/>
      <c r="F639" s="12"/>
      <c r="G639" s="12"/>
      <c r="H639" s="12"/>
      <c r="I639" s="12"/>
      <c r="J639" s="12"/>
      <c r="K639" s="12"/>
      <c r="L639" s="12"/>
      <c r="M639" s="12"/>
      <c r="N639" s="12"/>
      <c r="O639" s="12"/>
      <c r="P639" s="12"/>
      <c r="Q639" s="14"/>
    </row>
    <row r="640" spans="2:17">
      <c r="B640" s="12"/>
      <c r="C640" s="12"/>
      <c r="D640" s="12"/>
      <c r="E640" s="12"/>
      <c r="F640" s="12"/>
      <c r="G640" s="12"/>
      <c r="H640" s="12"/>
      <c r="I640" s="12"/>
      <c r="J640" s="12"/>
      <c r="K640" s="12"/>
      <c r="L640" s="12"/>
      <c r="M640" s="12"/>
      <c r="N640" s="12"/>
      <c r="O640" s="12"/>
      <c r="P640" s="12"/>
      <c r="Q640" s="14"/>
    </row>
    <row r="641" spans="2:17">
      <c r="B641" s="12"/>
      <c r="C641" s="12"/>
      <c r="D641" s="12"/>
      <c r="E641" s="12"/>
      <c r="F641" s="12"/>
      <c r="G641" s="12"/>
      <c r="H641" s="12"/>
      <c r="I641" s="12"/>
      <c r="J641" s="12"/>
      <c r="K641" s="12"/>
      <c r="L641" s="12"/>
      <c r="M641" s="12"/>
      <c r="N641" s="12"/>
      <c r="O641" s="12"/>
      <c r="P641" s="12"/>
      <c r="Q641" s="14"/>
    </row>
    <row r="642" spans="2:17">
      <c r="B642" s="12"/>
      <c r="C642" s="12"/>
      <c r="D642" s="12"/>
      <c r="E642" s="12"/>
      <c r="F642" s="12"/>
      <c r="G642" s="12"/>
      <c r="H642" s="12"/>
      <c r="I642" s="12"/>
      <c r="J642" s="12"/>
      <c r="K642" s="12"/>
      <c r="L642" s="12"/>
      <c r="M642" s="12"/>
      <c r="N642" s="12"/>
      <c r="O642" s="12"/>
      <c r="P642" s="12"/>
      <c r="Q642" s="14"/>
    </row>
    <row r="643" spans="2:17">
      <c r="B643" s="12"/>
      <c r="C643" s="12"/>
      <c r="D643" s="12"/>
      <c r="E643" s="12"/>
      <c r="F643" s="12"/>
      <c r="G643" s="12"/>
      <c r="H643" s="12"/>
      <c r="I643" s="12"/>
      <c r="J643" s="12"/>
      <c r="K643" s="12"/>
      <c r="L643" s="12"/>
      <c r="M643" s="12"/>
      <c r="N643" s="12"/>
      <c r="O643" s="12"/>
      <c r="P643" s="12"/>
      <c r="Q643" s="14"/>
    </row>
    <row r="644" spans="2:17">
      <c r="B644" s="12"/>
      <c r="C644" s="12"/>
      <c r="D644" s="12"/>
      <c r="E644" s="12"/>
      <c r="F644" s="12"/>
      <c r="G644" s="12"/>
      <c r="H644" s="12"/>
      <c r="I644" s="12"/>
      <c r="J644" s="12"/>
      <c r="K644" s="12"/>
      <c r="L644" s="12"/>
      <c r="M644" s="12"/>
      <c r="N644" s="12"/>
      <c r="O644" s="12"/>
      <c r="P644" s="12"/>
      <c r="Q644" s="14"/>
    </row>
    <row r="645" spans="2:17">
      <c r="B645" s="12"/>
      <c r="C645" s="12"/>
      <c r="D645" s="12"/>
      <c r="E645" s="12"/>
      <c r="F645" s="12"/>
      <c r="G645" s="12"/>
      <c r="H645" s="12"/>
      <c r="I645" s="12"/>
      <c r="J645" s="12"/>
      <c r="K645" s="12"/>
      <c r="L645" s="12"/>
      <c r="M645" s="12"/>
      <c r="N645" s="12"/>
      <c r="O645" s="12"/>
      <c r="P645" s="12"/>
      <c r="Q645" s="14"/>
    </row>
    <row r="646" spans="2:17">
      <c r="B646" s="12"/>
      <c r="C646" s="12"/>
      <c r="D646" s="12"/>
      <c r="E646" s="12"/>
      <c r="F646" s="12"/>
      <c r="G646" s="12"/>
      <c r="H646" s="12"/>
      <c r="I646" s="12"/>
      <c r="J646" s="12"/>
      <c r="K646" s="12"/>
      <c r="L646" s="12"/>
      <c r="M646" s="12"/>
      <c r="N646" s="12"/>
      <c r="O646" s="12"/>
      <c r="P646" s="12"/>
      <c r="Q646" s="14"/>
    </row>
    <row r="647" spans="2:17">
      <c r="B647" s="12"/>
      <c r="C647" s="12"/>
      <c r="D647" s="12"/>
      <c r="E647" s="12"/>
      <c r="F647" s="12"/>
      <c r="G647" s="12"/>
      <c r="H647" s="12"/>
      <c r="I647" s="12"/>
      <c r="J647" s="12"/>
      <c r="K647" s="12"/>
      <c r="L647" s="12"/>
      <c r="M647" s="12"/>
      <c r="N647" s="12"/>
      <c r="O647" s="12"/>
      <c r="P647" s="12"/>
      <c r="Q647" s="14"/>
    </row>
    <row r="648" spans="2:17">
      <c r="B648" s="12"/>
      <c r="C648" s="12"/>
      <c r="D648" s="12"/>
      <c r="E648" s="12"/>
      <c r="F648" s="12"/>
      <c r="G648" s="12"/>
      <c r="H648" s="12"/>
      <c r="I648" s="12"/>
      <c r="J648" s="12"/>
      <c r="K648" s="12"/>
      <c r="L648" s="12"/>
      <c r="M648" s="12"/>
      <c r="N648" s="12"/>
      <c r="O648" s="12"/>
      <c r="P648" s="12"/>
      <c r="Q648" s="14"/>
    </row>
    <row r="649" spans="2:17">
      <c r="B649" s="12"/>
      <c r="C649" s="12"/>
      <c r="D649" s="12"/>
      <c r="E649" s="12"/>
      <c r="F649" s="12"/>
      <c r="G649" s="12"/>
      <c r="H649" s="12"/>
      <c r="I649" s="12"/>
      <c r="J649" s="12"/>
      <c r="K649" s="12"/>
      <c r="L649" s="12"/>
      <c r="M649" s="12"/>
      <c r="N649" s="12"/>
      <c r="O649" s="12"/>
      <c r="P649" s="12"/>
      <c r="Q649" s="14"/>
    </row>
    <row r="650" spans="2:17">
      <c r="B650" s="12"/>
      <c r="C650" s="12"/>
      <c r="D650" s="12"/>
      <c r="E650" s="12"/>
      <c r="F650" s="12"/>
      <c r="G650" s="12"/>
      <c r="H650" s="12"/>
      <c r="I650" s="12"/>
      <c r="J650" s="12"/>
      <c r="K650" s="12"/>
      <c r="L650" s="12"/>
      <c r="M650" s="12"/>
      <c r="N650" s="12"/>
      <c r="O650" s="12"/>
      <c r="P650" s="12"/>
      <c r="Q650" s="14"/>
    </row>
    <row r="651" spans="2:17">
      <c r="B651" s="12"/>
      <c r="C651" s="12"/>
      <c r="D651" s="12"/>
      <c r="E651" s="12"/>
      <c r="F651" s="12"/>
      <c r="G651" s="12"/>
      <c r="H651" s="12"/>
      <c r="I651" s="12"/>
      <c r="J651" s="12"/>
      <c r="K651" s="12"/>
      <c r="L651" s="12"/>
      <c r="M651" s="12"/>
      <c r="N651" s="12"/>
      <c r="O651" s="12"/>
      <c r="P651" s="12"/>
      <c r="Q651" s="14"/>
    </row>
    <row r="652" spans="2:17">
      <c r="B652" s="12"/>
      <c r="C652" s="12"/>
      <c r="D652" s="12"/>
      <c r="E652" s="12"/>
      <c r="F652" s="12"/>
      <c r="G652" s="12"/>
      <c r="H652" s="12"/>
      <c r="I652" s="12"/>
      <c r="J652" s="12"/>
      <c r="K652" s="12"/>
      <c r="L652" s="12"/>
      <c r="M652" s="12"/>
      <c r="N652" s="12"/>
      <c r="O652" s="12"/>
      <c r="P652" s="12"/>
      <c r="Q652" s="14"/>
    </row>
    <row r="653" spans="2:17">
      <c r="B653" s="12"/>
      <c r="C653" s="12"/>
      <c r="D653" s="12"/>
      <c r="E653" s="12"/>
      <c r="F653" s="12"/>
      <c r="G653" s="12"/>
      <c r="H653" s="12"/>
      <c r="I653" s="12"/>
      <c r="J653" s="12"/>
      <c r="K653" s="12"/>
      <c r="L653" s="12"/>
      <c r="M653" s="12"/>
      <c r="N653" s="12"/>
      <c r="O653" s="12"/>
      <c r="P653" s="12"/>
      <c r="Q653" s="14"/>
    </row>
    <row r="654" spans="2:17">
      <c r="B654" s="12"/>
      <c r="C654" s="12"/>
      <c r="D654" s="12"/>
      <c r="E654" s="12"/>
      <c r="F654" s="12"/>
      <c r="G654" s="12"/>
      <c r="H654" s="12"/>
      <c r="I654" s="12"/>
      <c r="J654" s="12"/>
      <c r="K654" s="12"/>
      <c r="L654" s="12"/>
      <c r="M654" s="12"/>
      <c r="N654" s="12"/>
      <c r="O654" s="12"/>
      <c r="P654" s="12"/>
      <c r="Q654" s="14"/>
    </row>
    <row r="655" spans="2:17">
      <c r="B655" s="12"/>
      <c r="C655" s="12"/>
      <c r="D655" s="12"/>
      <c r="E655" s="12"/>
      <c r="F655" s="12"/>
      <c r="G655" s="12"/>
      <c r="H655" s="12"/>
      <c r="I655" s="12"/>
      <c r="J655" s="12"/>
      <c r="K655" s="12"/>
      <c r="L655" s="12"/>
      <c r="M655" s="12"/>
      <c r="N655" s="12"/>
      <c r="O655" s="12"/>
      <c r="P655" s="12"/>
      <c r="Q655" s="14"/>
    </row>
    <row r="656" spans="2:17">
      <c r="B656" s="12"/>
      <c r="C656" s="12"/>
      <c r="D656" s="12"/>
      <c r="E656" s="12"/>
      <c r="F656" s="12"/>
      <c r="G656" s="12"/>
      <c r="H656" s="12"/>
      <c r="I656" s="12"/>
      <c r="J656" s="12"/>
      <c r="K656" s="12"/>
      <c r="L656" s="12"/>
      <c r="M656" s="12"/>
      <c r="N656" s="12"/>
      <c r="O656" s="12"/>
      <c r="P656" s="12"/>
      <c r="Q656" s="14"/>
    </row>
    <row r="657" spans="2:17">
      <c r="B657" s="12"/>
      <c r="C657" s="12"/>
      <c r="D657" s="12"/>
      <c r="E657" s="12"/>
      <c r="F657" s="12"/>
      <c r="G657" s="12"/>
      <c r="H657" s="12"/>
      <c r="I657" s="12"/>
      <c r="J657" s="12"/>
      <c r="K657" s="12"/>
      <c r="L657" s="12"/>
      <c r="M657" s="12"/>
      <c r="N657" s="12"/>
      <c r="O657" s="12"/>
      <c r="P657" s="12"/>
      <c r="Q657" s="14"/>
    </row>
    <row r="658" spans="2:17">
      <c r="B658" s="12"/>
      <c r="C658" s="12"/>
      <c r="D658" s="12"/>
      <c r="E658" s="12"/>
      <c r="F658" s="12"/>
      <c r="G658" s="12"/>
      <c r="H658" s="12"/>
      <c r="I658" s="12"/>
      <c r="J658" s="12"/>
      <c r="K658" s="12"/>
      <c r="L658" s="12"/>
      <c r="M658" s="12"/>
      <c r="N658" s="12"/>
      <c r="O658" s="12"/>
      <c r="P658" s="12"/>
      <c r="Q658" s="14"/>
    </row>
    <row r="659" spans="2:17">
      <c r="B659" s="12"/>
      <c r="C659" s="12"/>
      <c r="D659" s="12"/>
      <c r="E659" s="12"/>
      <c r="F659" s="12"/>
      <c r="G659" s="12"/>
      <c r="H659" s="12"/>
      <c r="I659" s="12"/>
      <c r="J659" s="12"/>
      <c r="K659" s="12"/>
      <c r="L659" s="12"/>
      <c r="M659" s="12"/>
      <c r="N659" s="12"/>
      <c r="O659" s="12"/>
      <c r="P659" s="12"/>
      <c r="Q659" s="14"/>
    </row>
    <row r="660" spans="2:17">
      <c r="B660" s="12"/>
      <c r="C660" s="12"/>
      <c r="D660" s="12"/>
      <c r="E660" s="12"/>
      <c r="F660" s="12"/>
      <c r="G660" s="12"/>
      <c r="H660" s="12"/>
      <c r="I660" s="12"/>
      <c r="J660" s="12"/>
      <c r="K660" s="12"/>
      <c r="L660" s="12"/>
      <c r="M660" s="12"/>
      <c r="N660" s="12"/>
      <c r="O660" s="12"/>
      <c r="P660" s="12"/>
      <c r="Q660" s="14"/>
    </row>
    <row r="661" spans="2:17">
      <c r="B661" s="12"/>
      <c r="C661" s="12"/>
      <c r="D661" s="12"/>
      <c r="E661" s="12"/>
      <c r="F661" s="12"/>
      <c r="G661" s="12"/>
      <c r="H661" s="12"/>
      <c r="I661" s="12"/>
      <c r="J661" s="12"/>
      <c r="K661" s="12"/>
      <c r="L661" s="12"/>
      <c r="M661" s="12"/>
      <c r="N661" s="12"/>
      <c r="O661" s="12"/>
      <c r="P661" s="12"/>
      <c r="Q661" s="14"/>
    </row>
    <row r="662" spans="2:17">
      <c r="B662" s="12"/>
      <c r="C662" s="12"/>
      <c r="D662" s="12"/>
      <c r="E662" s="12"/>
      <c r="F662" s="12"/>
      <c r="G662" s="12"/>
      <c r="H662" s="12"/>
      <c r="I662" s="12"/>
      <c r="J662" s="12"/>
      <c r="K662" s="12"/>
      <c r="L662" s="12"/>
      <c r="M662" s="12"/>
      <c r="N662" s="12"/>
      <c r="O662" s="12"/>
      <c r="P662" s="12"/>
      <c r="Q662" s="14"/>
    </row>
    <row r="663" spans="2:17">
      <c r="B663" s="12"/>
      <c r="C663" s="12"/>
      <c r="D663" s="12"/>
      <c r="E663" s="12"/>
      <c r="F663" s="12"/>
      <c r="G663" s="12"/>
      <c r="H663" s="12"/>
      <c r="I663" s="12"/>
      <c r="J663" s="12"/>
      <c r="K663" s="12"/>
      <c r="L663" s="12"/>
      <c r="M663" s="12"/>
      <c r="N663" s="12"/>
      <c r="O663" s="12"/>
      <c r="P663" s="12"/>
      <c r="Q663" s="14"/>
    </row>
    <row r="664" spans="2:17">
      <c r="B664" s="12"/>
      <c r="C664" s="12"/>
      <c r="D664" s="12"/>
      <c r="E664" s="12"/>
      <c r="F664" s="12"/>
      <c r="G664" s="12"/>
      <c r="H664" s="12"/>
      <c r="I664" s="12"/>
      <c r="J664" s="12"/>
      <c r="K664" s="12"/>
      <c r="L664" s="12"/>
      <c r="M664" s="12"/>
      <c r="N664" s="12"/>
      <c r="O664" s="12"/>
      <c r="P664" s="12"/>
      <c r="Q664" s="14"/>
    </row>
    <row r="665" spans="2:17">
      <c r="B665" s="12"/>
      <c r="C665" s="12"/>
      <c r="D665" s="12"/>
      <c r="E665" s="12"/>
      <c r="F665" s="12"/>
      <c r="G665" s="12"/>
      <c r="H665" s="12"/>
      <c r="I665" s="12"/>
      <c r="J665" s="12"/>
      <c r="K665" s="12"/>
      <c r="L665" s="12"/>
      <c r="M665" s="12"/>
      <c r="N665" s="12"/>
      <c r="O665" s="12"/>
      <c r="P665" s="12"/>
      <c r="Q665" s="14"/>
    </row>
    <row r="666" spans="2:17">
      <c r="B666" s="12"/>
      <c r="C666" s="12"/>
      <c r="D666" s="12"/>
      <c r="E666" s="12"/>
      <c r="F666" s="12"/>
      <c r="G666" s="12"/>
      <c r="H666" s="12"/>
      <c r="I666" s="12"/>
      <c r="J666" s="12"/>
      <c r="K666" s="12"/>
      <c r="L666" s="12"/>
      <c r="M666" s="12"/>
      <c r="N666" s="12"/>
      <c r="O666" s="12"/>
      <c r="P666" s="12"/>
      <c r="Q666" s="14"/>
    </row>
    <row r="667" spans="2:17">
      <c r="B667" s="12"/>
      <c r="C667" s="12"/>
      <c r="D667" s="12"/>
      <c r="E667" s="12"/>
      <c r="F667" s="12"/>
      <c r="G667" s="12"/>
      <c r="H667" s="12"/>
      <c r="I667" s="12"/>
      <c r="J667" s="12"/>
      <c r="K667" s="12"/>
      <c r="L667" s="12"/>
      <c r="M667" s="12"/>
      <c r="N667" s="12"/>
      <c r="O667" s="12"/>
      <c r="P667" s="12"/>
      <c r="Q667" s="14"/>
    </row>
    <row r="668" spans="2:17">
      <c r="B668" s="12"/>
      <c r="C668" s="12"/>
      <c r="D668" s="12"/>
      <c r="E668" s="12"/>
      <c r="F668" s="12"/>
      <c r="G668" s="12"/>
      <c r="H668" s="12"/>
      <c r="I668" s="12"/>
      <c r="J668" s="12"/>
      <c r="K668" s="12"/>
      <c r="L668" s="12"/>
      <c r="M668" s="12"/>
      <c r="N668" s="12"/>
      <c r="O668" s="12"/>
      <c r="P668" s="12"/>
      <c r="Q668" s="14"/>
    </row>
    <row r="669" spans="2:17">
      <c r="B669" s="12"/>
      <c r="C669" s="12"/>
      <c r="D669" s="12"/>
      <c r="E669" s="12"/>
      <c r="F669" s="12"/>
      <c r="G669" s="12"/>
      <c r="H669" s="12"/>
      <c r="I669" s="12"/>
      <c r="J669" s="12"/>
      <c r="K669" s="12"/>
      <c r="L669" s="12"/>
      <c r="M669" s="12"/>
      <c r="N669" s="12"/>
      <c r="O669" s="12"/>
      <c r="P669" s="12"/>
      <c r="Q669" s="14"/>
    </row>
    <row r="670" spans="2:17">
      <c r="B670" s="12"/>
      <c r="C670" s="12"/>
      <c r="D670" s="12"/>
      <c r="E670" s="12"/>
      <c r="F670" s="12"/>
      <c r="G670" s="12"/>
      <c r="H670" s="12"/>
      <c r="I670" s="12"/>
      <c r="J670" s="12"/>
      <c r="K670" s="12"/>
      <c r="L670" s="12"/>
      <c r="M670" s="12"/>
      <c r="N670" s="12"/>
      <c r="O670" s="12"/>
      <c r="P670" s="12"/>
      <c r="Q670" s="14"/>
    </row>
    <row r="671" spans="2:17">
      <c r="B671" s="12"/>
      <c r="C671" s="12"/>
      <c r="D671" s="12"/>
      <c r="E671" s="12"/>
      <c r="F671" s="12"/>
      <c r="G671" s="12"/>
      <c r="H671" s="12"/>
      <c r="I671" s="12"/>
      <c r="J671" s="12"/>
      <c r="K671" s="12"/>
      <c r="L671" s="12"/>
      <c r="M671" s="12"/>
      <c r="N671" s="12"/>
      <c r="O671" s="12"/>
      <c r="P671" s="12"/>
      <c r="Q671" s="14"/>
    </row>
    <row r="672" spans="2:17">
      <c r="B672" s="12"/>
      <c r="C672" s="12"/>
      <c r="D672" s="12"/>
      <c r="E672" s="12"/>
      <c r="F672" s="12"/>
      <c r="G672" s="12"/>
      <c r="H672" s="12"/>
      <c r="I672" s="12"/>
      <c r="J672" s="12"/>
      <c r="K672" s="12"/>
      <c r="L672" s="12"/>
      <c r="M672" s="12"/>
      <c r="N672" s="12"/>
      <c r="O672" s="12"/>
      <c r="P672" s="12"/>
      <c r="Q672" s="14"/>
    </row>
    <row r="673" spans="2:17">
      <c r="B673" s="12"/>
      <c r="C673" s="12"/>
      <c r="D673" s="12"/>
      <c r="E673" s="12"/>
      <c r="F673" s="12"/>
      <c r="G673" s="12"/>
      <c r="H673" s="12"/>
      <c r="I673" s="12"/>
      <c r="J673" s="12"/>
      <c r="K673" s="12"/>
      <c r="L673" s="12"/>
      <c r="M673" s="12"/>
      <c r="N673" s="12"/>
      <c r="O673" s="12"/>
      <c r="P673" s="12"/>
      <c r="Q673" s="14"/>
    </row>
    <row r="674" spans="2:17">
      <c r="B674" s="12"/>
      <c r="C674" s="12"/>
      <c r="D674" s="12"/>
      <c r="E674" s="12"/>
      <c r="F674" s="12"/>
      <c r="G674" s="12"/>
      <c r="H674" s="12"/>
      <c r="I674" s="12"/>
      <c r="J674" s="12"/>
      <c r="K674" s="12"/>
      <c r="L674" s="12"/>
      <c r="M674" s="12"/>
      <c r="N674" s="12"/>
      <c r="O674" s="12"/>
      <c r="P674" s="12"/>
      <c r="Q674" s="14"/>
    </row>
    <row r="675" spans="2:17">
      <c r="B675" s="12"/>
      <c r="C675" s="12"/>
      <c r="D675" s="12"/>
      <c r="E675" s="12"/>
      <c r="F675" s="12"/>
      <c r="G675" s="12"/>
      <c r="H675" s="12"/>
      <c r="I675" s="12"/>
      <c r="J675" s="12"/>
      <c r="K675" s="12"/>
      <c r="L675" s="12"/>
      <c r="M675" s="12"/>
      <c r="N675" s="12"/>
      <c r="O675" s="12"/>
      <c r="P675" s="12"/>
      <c r="Q675" s="14"/>
    </row>
    <row r="676" spans="2:17">
      <c r="B676" s="12"/>
      <c r="C676" s="12"/>
      <c r="D676" s="12"/>
      <c r="E676" s="12"/>
      <c r="F676" s="12"/>
      <c r="G676" s="12"/>
      <c r="H676" s="12"/>
      <c r="I676" s="12"/>
      <c r="J676" s="12"/>
      <c r="K676" s="12"/>
      <c r="L676" s="12"/>
      <c r="M676" s="12"/>
      <c r="N676" s="12"/>
      <c r="O676" s="12"/>
      <c r="P676" s="12"/>
      <c r="Q676" s="14"/>
    </row>
    <row r="677" spans="2:17">
      <c r="B677" s="12"/>
      <c r="C677" s="12"/>
      <c r="D677" s="12"/>
      <c r="E677" s="12"/>
      <c r="F677" s="12"/>
      <c r="G677" s="12"/>
      <c r="H677" s="12"/>
      <c r="I677" s="12"/>
      <c r="J677" s="12"/>
      <c r="K677" s="12"/>
      <c r="L677" s="12"/>
      <c r="M677" s="12"/>
      <c r="N677" s="12"/>
      <c r="O677" s="12"/>
      <c r="P677" s="12"/>
      <c r="Q677" s="14"/>
    </row>
    <row r="678" spans="2:17">
      <c r="B678" s="12"/>
      <c r="C678" s="12"/>
      <c r="D678" s="12"/>
      <c r="E678" s="12"/>
      <c r="F678" s="12"/>
      <c r="G678" s="12"/>
      <c r="H678" s="12"/>
      <c r="I678" s="12"/>
      <c r="J678" s="12"/>
      <c r="K678" s="12"/>
      <c r="L678" s="12"/>
      <c r="M678" s="12"/>
      <c r="N678" s="12"/>
      <c r="O678" s="12"/>
      <c r="P678" s="12"/>
      <c r="Q678" s="14"/>
    </row>
    <row r="679" spans="2:17">
      <c r="B679" s="12"/>
      <c r="C679" s="12"/>
      <c r="D679" s="12"/>
      <c r="E679" s="12"/>
      <c r="F679" s="12"/>
      <c r="G679" s="12"/>
      <c r="H679" s="12"/>
      <c r="I679" s="12"/>
      <c r="J679" s="12"/>
      <c r="K679" s="12"/>
      <c r="L679" s="12"/>
      <c r="M679" s="12"/>
      <c r="N679" s="12"/>
      <c r="O679" s="12"/>
      <c r="P679" s="12"/>
      <c r="Q679" s="14"/>
    </row>
    <row r="680" spans="2:17">
      <c r="B680" s="12"/>
      <c r="C680" s="12"/>
      <c r="D680" s="12"/>
      <c r="E680" s="12"/>
      <c r="F680" s="12"/>
      <c r="G680" s="12"/>
      <c r="H680" s="12"/>
      <c r="I680" s="12"/>
      <c r="J680" s="12"/>
      <c r="K680" s="12"/>
      <c r="L680" s="12"/>
      <c r="M680" s="12"/>
      <c r="N680" s="12"/>
      <c r="O680" s="12"/>
      <c r="P680" s="12"/>
      <c r="Q680" s="14"/>
    </row>
    <row r="681" spans="2:17">
      <c r="B681" s="12"/>
      <c r="C681" s="12"/>
      <c r="D681" s="12"/>
      <c r="E681" s="12"/>
      <c r="F681" s="12"/>
      <c r="G681" s="12"/>
      <c r="H681" s="12"/>
      <c r="I681" s="12"/>
      <c r="J681" s="12"/>
      <c r="K681" s="12"/>
      <c r="L681" s="12"/>
      <c r="M681" s="12"/>
      <c r="N681" s="12"/>
      <c r="O681" s="12"/>
      <c r="P681" s="12"/>
      <c r="Q681" s="14"/>
    </row>
    <row r="682" spans="2:17">
      <c r="B682" s="12"/>
      <c r="C682" s="12"/>
      <c r="D682" s="12"/>
      <c r="E682" s="12"/>
      <c r="F682" s="12"/>
      <c r="G682" s="12"/>
      <c r="H682" s="12"/>
      <c r="I682" s="12"/>
      <c r="J682" s="12"/>
      <c r="K682" s="12"/>
      <c r="L682" s="12"/>
      <c r="M682" s="12"/>
      <c r="N682" s="12"/>
      <c r="O682" s="12"/>
      <c r="P682" s="12"/>
      <c r="Q682" s="14"/>
    </row>
    <row r="683" spans="2:17">
      <c r="B683" s="12"/>
      <c r="C683" s="12"/>
      <c r="D683" s="12"/>
      <c r="E683" s="12"/>
      <c r="F683" s="12"/>
      <c r="G683" s="12"/>
      <c r="H683" s="12"/>
      <c r="I683" s="12"/>
      <c r="J683" s="12"/>
      <c r="K683" s="12"/>
      <c r="L683" s="12"/>
      <c r="M683" s="12"/>
      <c r="N683" s="12"/>
      <c r="O683" s="12"/>
      <c r="P683" s="12"/>
      <c r="Q683" s="14"/>
    </row>
    <row r="684" spans="2:17">
      <c r="B684" s="12"/>
      <c r="C684" s="12"/>
      <c r="D684" s="12"/>
      <c r="E684" s="12"/>
      <c r="F684" s="12"/>
      <c r="G684" s="12"/>
      <c r="H684" s="12"/>
      <c r="I684" s="12"/>
      <c r="J684" s="12"/>
      <c r="K684" s="12"/>
      <c r="L684" s="12"/>
      <c r="M684" s="12"/>
      <c r="N684" s="12"/>
      <c r="O684" s="12"/>
      <c r="P684" s="12"/>
      <c r="Q684" s="14"/>
    </row>
    <row r="685" spans="2:17">
      <c r="B685" s="12"/>
      <c r="C685" s="12"/>
      <c r="D685" s="12"/>
      <c r="E685" s="12"/>
      <c r="F685" s="12"/>
      <c r="G685" s="12"/>
      <c r="H685" s="12"/>
      <c r="I685" s="12"/>
      <c r="J685" s="12"/>
      <c r="K685" s="12"/>
      <c r="L685" s="12"/>
      <c r="M685" s="12"/>
      <c r="N685" s="12"/>
      <c r="O685" s="12"/>
      <c r="P685" s="12"/>
      <c r="Q685" s="14"/>
    </row>
    <row r="686" spans="2:17">
      <c r="B686" s="12"/>
      <c r="C686" s="12"/>
      <c r="D686" s="12"/>
      <c r="E686" s="12"/>
      <c r="F686" s="12"/>
      <c r="G686" s="12"/>
      <c r="H686" s="12"/>
      <c r="I686" s="12"/>
      <c r="J686" s="12"/>
      <c r="K686" s="12"/>
      <c r="L686" s="12"/>
      <c r="M686" s="12"/>
      <c r="N686" s="12"/>
      <c r="O686" s="12"/>
      <c r="P686" s="12"/>
      <c r="Q686" s="14"/>
    </row>
    <row r="687" spans="2:17">
      <c r="B687" s="12"/>
      <c r="C687" s="12"/>
      <c r="D687" s="12"/>
      <c r="E687" s="12"/>
      <c r="F687" s="12"/>
      <c r="G687" s="12"/>
      <c r="H687" s="12"/>
      <c r="I687" s="12"/>
      <c r="J687" s="12"/>
      <c r="K687" s="12"/>
      <c r="L687" s="12"/>
      <c r="M687" s="12"/>
      <c r="N687" s="12"/>
      <c r="O687" s="12"/>
      <c r="P687" s="12"/>
      <c r="Q687" s="14"/>
    </row>
    <row r="688" spans="2:17">
      <c r="B688" s="12"/>
      <c r="C688" s="12"/>
      <c r="D688" s="12"/>
      <c r="E688" s="12"/>
      <c r="F688" s="12"/>
      <c r="G688" s="12"/>
      <c r="H688" s="12"/>
      <c r="I688" s="12"/>
      <c r="J688" s="12"/>
      <c r="K688" s="12"/>
      <c r="L688" s="12"/>
      <c r="M688" s="12"/>
      <c r="N688" s="12"/>
      <c r="O688" s="12"/>
      <c r="P688" s="12"/>
      <c r="Q688" s="14"/>
    </row>
    <row r="689" spans="2:17">
      <c r="B689" s="12"/>
      <c r="C689" s="12"/>
      <c r="D689" s="12"/>
      <c r="E689" s="12"/>
      <c r="F689" s="12"/>
      <c r="G689" s="12"/>
      <c r="H689" s="12"/>
      <c r="I689" s="12"/>
      <c r="J689" s="12"/>
      <c r="K689" s="12"/>
      <c r="L689" s="12"/>
      <c r="M689" s="12"/>
      <c r="N689" s="12"/>
      <c r="O689" s="12"/>
      <c r="P689" s="12"/>
      <c r="Q689" s="14"/>
    </row>
    <row r="690" spans="2:17">
      <c r="B690" s="12"/>
      <c r="C690" s="12"/>
      <c r="D690" s="12"/>
      <c r="E690" s="12"/>
      <c r="F690" s="12"/>
      <c r="G690" s="12"/>
      <c r="H690" s="12"/>
      <c r="I690" s="12"/>
      <c r="J690" s="12"/>
      <c r="K690" s="12"/>
      <c r="L690" s="12"/>
      <c r="M690" s="12"/>
      <c r="N690" s="12"/>
      <c r="O690" s="12"/>
      <c r="P690" s="12"/>
      <c r="Q690" s="14"/>
    </row>
    <row r="691" spans="2:17">
      <c r="B691" s="12"/>
      <c r="C691" s="12"/>
      <c r="D691" s="12"/>
      <c r="E691" s="12"/>
      <c r="F691" s="12"/>
      <c r="G691" s="12"/>
      <c r="H691" s="12"/>
      <c r="I691" s="12"/>
      <c r="J691" s="12"/>
      <c r="K691" s="12"/>
      <c r="L691" s="12"/>
      <c r="M691" s="12"/>
      <c r="N691" s="12"/>
      <c r="O691" s="12"/>
      <c r="P691" s="12"/>
      <c r="Q691" s="14"/>
    </row>
    <row r="692" spans="2:17">
      <c r="B692" s="12"/>
      <c r="C692" s="12"/>
      <c r="D692" s="12"/>
      <c r="E692" s="12"/>
      <c r="F692" s="12"/>
      <c r="G692" s="12"/>
      <c r="H692" s="12"/>
      <c r="I692" s="12"/>
      <c r="J692" s="12"/>
      <c r="K692" s="12"/>
      <c r="L692" s="12"/>
      <c r="M692" s="12"/>
      <c r="N692" s="12"/>
      <c r="O692" s="12"/>
      <c r="P692" s="12"/>
      <c r="Q692" s="14"/>
    </row>
    <row r="693" spans="2:17">
      <c r="B693" s="12"/>
      <c r="C693" s="12"/>
      <c r="D693" s="12"/>
      <c r="E693" s="12"/>
      <c r="F693" s="12"/>
      <c r="G693" s="12"/>
      <c r="H693" s="12"/>
      <c r="I693" s="12"/>
      <c r="J693" s="12"/>
      <c r="K693" s="12"/>
      <c r="L693" s="12"/>
      <c r="M693" s="12"/>
      <c r="N693" s="12"/>
      <c r="O693" s="12"/>
      <c r="P693" s="12"/>
      <c r="Q693" s="14"/>
    </row>
    <row r="694" spans="2:17">
      <c r="B694" s="12"/>
      <c r="C694" s="12"/>
      <c r="D694" s="12"/>
      <c r="E694" s="12"/>
      <c r="F694" s="12"/>
      <c r="G694" s="12"/>
      <c r="H694" s="12"/>
      <c r="I694" s="12"/>
      <c r="J694" s="12"/>
      <c r="K694" s="12"/>
      <c r="L694" s="12"/>
      <c r="M694" s="12"/>
      <c r="N694" s="12"/>
      <c r="O694" s="12"/>
      <c r="P694" s="12"/>
      <c r="Q694" s="14"/>
    </row>
    <row r="695" spans="2:17">
      <c r="B695" s="12"/>
      <c r="C695" s="12"/>
      <c r="D695" s="12"/>
      <c r="E695" s="12"/>
      <c r="F695" s="12"/>
      <c r="G695" s="12"/>
      <c r="H695" s="12"/>
      <c r="I695" s="12"/>
      <c r="J695" s="12"/>
      <c r="K695" s="12"/>
      <c r="L695" s="12"/>
      <c r="M695" s="12"/>
      <c r="N695" s="12"/>
      <c r="O695" s="12"/>
      <c r="P695" s="12"/>
      <c r="Q695" s="14"/>
    </row>
    <row r="696" spans="2:17">
      <c r="B696" s="12"/>
      <c r="C696" s="12"/>
      <c r="D696" s="12"/>
      <c r="E696" s="12"/>
      <c r="F696" s="12"/>
      <c r="G696" s="12"/>
      <c r="H696" s="12"/>
      <c r="I696" s="12"/>
      <c r="J696" s="12"/>
      <c r="K696" s="12"/>
      <c r="L696" s="12"/>
      <c r="M696" s="12"/>
      <c r="N696" s="12"/>
      <c r="O696" s="12"/>
      <c r="P696" s="12"/>
      <c r="Q696" s="14"/>
    </row>
    <row r="697" spans="2:17">
      <c r="B697" s="12"/>
      <c r="C697" s="12"/>
      <c r="D697" s="12"/>
      <c r="E697" s="12"/>
      <c r="F697" s="12"/>
      <c r="G697" s="12"/>
      <c r="H697" s="12"/>
      <c r="I697" s="12"/>
      <c r="J697" s="12"/>
      <c r="K697" s="12"/>
      <c r="L697" s="12"/>
      <c r="M697" s="12"/>
      <c r="N697" s="12"/>
      <c r="O697" s="12"/>
      <c r="P697" s="12"/>
      <c r="Q697" s="14"/>
    </row>
    <row r="698" spans="2:17">
      <c r="B698" s="12"/>
      <c r="C698" s="12"/>
      <c r="D698" s="12"/>
      <c r="E698" s="12"/>
      <c r="F698" s="12"/>
      <c r="G698" s="12"/>
      <c r="H698" s="12"/>
      <c r="I698" s="12"/>
      <c r="J698" s="12"/>
      <c r="K698" s="12"/>
      <c r="L698" s="12"/>
      <c r="M698" s="12"/>
      <c r="N698" s="12"/>
      <c r="O698" s="12"/>
      <c r="P698" s="12"/>
      <c r="Q698" s="14"/>
    </row>
    <row r="699" spans="2:17">
      <c r="B699" s="12"/>
      <c r="C699" s="12"/>
      <c r="D699" s="12"/>
      <c r="E699" s="12"/>
      <c r="F699" s="12"/>
      <c r="G699" s="12"/>
      <c r="H699" s="12"/>
      <c r="I699" s="12"/>
      <c r="J699" s="12"/>
      <c r="K699" s="12"/>
      <c r="L699" s="12"/>
      <c r="M699" s="12"/>
      <c r="N699" s="12"/>
      <c r="O699" s="12"/>
      <c r="P699" s="12"/>
      <c r="Q699" s="14"/>
    </row>
    <row r="700" spans="2:17">
      <c r="B700" s="12"/>
      <c r="C700" s="12"/>
      <c r="D700" s="12"/>
      <c r="E700" s="12"/>
      <c r="F700" s="12"/>
      <c r="G700" s="12"/>
      <c r="H700" s="12"/>
      <c r="I700" s="12"/>
      <c r="J700" s="12"/>
      <c r="K700" s="12"/>
      <c r="L700" s="12"/>
      <c r="M700" s="12"/>
      <c r="N700" s="12"/>
      <c r="O700" s="12"/>
      <c r="P700" s="12"/>
      <c r="Q700" s="14"/>
    </row>
    <row r="701" spans="2:17">
      <c r="B701" s="12"/>
      <c r="C701" s="12"/>
      <c r="D701" s="12"/>
      <c r="E701" s="12"/>
      <c r="F701" s="12"/>
      <c r="G701" s="12"/>
      <c r="H701" s="12"/>
      <c r="I701" s="12"/>
      <c r="J701" s="12"/>
      <c r="K701" s="12"/>
      <c r="L701" s="12"/>
      <c r="M701" s="12"/>
      <c r="N701" s="12"/>
      <c r="O701" s="12"/>
      <c r="P701" s="12"/>
      <c r="Q701" s="14"/>
    </row>
    <row r="702" spans="2:17">
      <c r="B702" s="12"/>
      <c r="C702" s="12"/>
      <c r="D702" s="12"/>
      <c r="E702" s="12"/>
      <c r="F702" s="12"/>
      <c r="G702" s="12"/>
      <c r="H702" s="12"/>
      <c r="I702" s="12"/>
      <c r="J702" s="12"/>
      <c r="K702" s="12"/>
      <c r="L702" s="12"/>
      <c r="M702" s="12"/>
      <c r="N702" s="12"/>
      <c r="O702" s="12"/>
      <c r="P702" s="12"/>
      <c r="Q702" s="14"/>
    </row>
    <row r="703" spans="2:17">
      <c r="B703" s="12"/>
      <c r="C703" s="12"/>
      <c r="D703" s="12"/>
      <c r="E703" s="12"/>
      <c r="F703" s="12"/>
      <c r="G703" s="12"/>
      <c r="H703" s="12"/>
      <c r="I703" s="12"/>
      <c r="J703" s="12"/>
      <c r="K703" s="12"/>
      <c r="L703" s="12"/>
      <c r="M703" s="12"/>
      <c r="N703" s="12"/>
      <c r="O703" s="12"/>
      <c r="P703" s="12"/>
      <c r="Q703" s="14"/>
    </row>
    <row r="704" spans="2:17">
      <c r="B704" s="12"/>
      <c r="C704" s="12"/>
      <c r="D704" s="12"/>
      <c r="E704" s="12"/>
      <c r="F704" s="12"/>
      <c r="G704" s="12"/>
      <c r="H704" s="12"/>
      <c r="I704" s="12"/>
      <c r="J704" s="12"/>
      <c r="K704" s="12"/>
      <c r="L704" s="12"/>
      <c r="M704" s="12"/>
      <c r="N704" s="12"/>
      <c r="O704" s="12"/>
      <c r="P704" s="12"/>
      <c r="Q704" s="14"/>
    </row>
    <row r="705" spans="2:17">
      <c r="B705" s="12"/>
      <c r="C705" s="12"/>
      <c r="D705" s="12"/>
      <c r="E705" s="12"/>
      <c r="F705" s="12"/>
      <c r="G705" s="12"/>
      <c r="H705" s="12"/>
      <c r="I705" s="12"/>
      <c r="J705" s="12"/>
      <c r="K705" s="12"/>
      <c r="L705" s="12"/>
      <c r="M705" s="12"/>
      <c r="N705" s="12"/>
      <c r="O705" s="12"/>
      <c r="P705" s="12"/>
      <c r="Q705" s="14"/>
    </row>
    <row r="706" spans="2:17">
      <c r="B706" s="12"/>
      <c r="C706" s="12"/>
      <c r="D706" s="12"/>
      <c r="E706" s="12"/>
      <c r="F706" s="12"/>
      <c r="G706" s="12"/>
      <c r="H706" s="12"/>
      <c r="I706" s="12"/>
      <c r="J706" s="12"/>
      <c r="K706" s="12"/>
      <c r="L706" s="12"/>
      <c r="M706" s="12"/>
      <c r="N706" s="12"/>
      <c r="O706" s="12"/>
      <c r="P706" s="12"/>
      <c r="Q706" s="14"/>
    </row>
    <row r="707" spans="2:17">
      <c r="B707" s="12"/>
      <c r="C707" s="12"/>
      <c r="D707" s="12"/>
      <c r="E707" s="12"/>
      <c r="F707" s="12"/>
      <c r="G707" s="12"/>
      <c r="H707" s="12"/>
      <c r="I707" s="12"/>
      <c r="J707" s="12"/>
      <c r="K707" s="12"/>
      <c r="L707" s="12"/>
      <c r="M707" s="12"/>
      <c r="N707" s="12"/>
      <c r="O707" s="12"/>
      <c r="P707" s="12"/>
      <c r="Q707" s="14"/>
    </row>
    <row r="708" spans="2:17">
      <c r="B708" s="12"/>
      <c r="C708" s="12"/>
      <c r="D708" s="12"/>
      <c r="E708" s="12"/>
      <c r="F708" s="12"/>
      <c r="G708" s="12"/>
      <c r="H708" s="12"/>
      <c r="I708" s="12"/>
      <c r="J708" s="12"/>
      <c r="K708" s="12"/>
      <c r="L708" s="12"/>
      <c r="M708" s="12"/>
      <c r="N708" s="12"/>
      <c r="O708" s="12"/>
      <c r="P708" s="12"/>
      <c r="Q708" s="14"/>
    </row>
    <row r="709" spans="2:17">
      <c r="B709" s="12"/>
      <c r="C709" s="12"/>
      <c r="D709" s="12"/>
      <c r="E709" s="12"/>
      <c r="F709" s="12"/>
      <c r="G709" s="12"/>
      <c r="H709" s="12"/>
      <c r="I709" s="12"/>
      <c r="J709" s="12"/>
      <c r="K709" s="12"/>
      <c r="L709" s="12"/>
      <c r="M709" s="12"/>
      <c r="N709" s="12"/>
      <c r="O709" s="12"/>
      <c r="P709" s="12"/>
      <c r="Q709" s="14"/>
    </row>
    <row r="710" spans="2:17">
      <c r="B710" s="12"/>
      <c r="C710" s="12"/>
      <c r="D710" s="12"/>
      <c r="E710" s="12"/>
      <c r="F710" s="12"/>
      <c r="G710" s="12"/>
      <c r="H710" s="12"/>
      <c r="I710" s="12"/>
      <c r="J710" s="12"/>
      <c r="K710" s="12"/>
      <c r="L710" s="12"/>
      <c r="M710" s="12"/>
      <c r="N710" s="12"/>
      <c r="O710" s="12"/>
      <c r="P710" s="12"/>
      <c r="Q710" s="14"/>
    </row>
    <row r="711" spans="2:17">
      <c r="B711" s="12"/>
      <c r="C711" s="12"/>
      <c r="D711" s="12"/>
      <c r="E711" s="12"/>
      <c r="F711" s="12"/>
      <c r="G711" s="12"/>
      <c r="H711" s="12"/>
      <c r="I711" s="12"/>
      <c r="J711" s="12"/>
      <c r="K711" s="12"/>
      <c r="L711" s="12"/>
      <c r="M711" s="12"/>
      <c r="N711" s="12"/>
      <c r="O711" s="12"/>
      <c r="P711" s="12"/>
      <c r="Q711" s="14"/>
    </row>
    <row r="712" spans="2:17">
      <c r="B712" s="12"/>
      <c r="C712" s="12"/>
      <c r="D712" s="12"/>
      <c r="E712" s="12"/>
      <c r="F712" s="12"/>
      <c r="G712" s="12"/>
      <c r="H712" s="12"/>
      <c r="I712" s="12"/>
      <c r="J712" s="12"/>
      <c r="K712" s="12"/>
      <c r="L712" s="12"/>
      <c r="M712" s="12"/>
      <c r="N712" s="12"/>
      <c r="O712" s="12"/>
      <c r="P712" s="12"/>
      <c r="Q712" s="14"/>
    </row>
    <row r="713" spans="2:17">
      <c r="B713" s="12"/>
      <c r="C713" s="12"/>
      <c r="D713" s="12"/>
      <c r="E713" s="12"/>
      <c r="F713" s="12"/>
      <c r="G713" s="12"/>
      <c r="H713" s="12"/>
      <c r="I713" s="12"/>
      <c r="J713" s="12"/>
      <c r="K713" s="12"/>
      <c r="L713" s="12"/>
      <c r="M713" s="12"/>
      <c r="N713" s="12"/>
      <c r="O713" s="12"/>
      <c r="P713" s="12"/>
      <c r="Q713" s="14"/>
    </row>
    <row r="714" spans="2:17">
      <c r="B714" s="12"/>
      <c r="C714" s="12"/>
      <c r="D714" s="12"/>
      <c r="E714" s="12"/>
      <c r="F714" s="12"/>
      <c r="G714" s="12"/>
      <c r="H714" s="12"/>
      <c r="I714" s="12"/>
      <c r="J714" s="12"/>
      <c r="K714" s="12"/>
      <c r="L714" s="12"/>
      <c r="M714" s="12"/>
      <c r="N714" s="12"/>
      <c r="O714" s="12"/>
      <c r="P714" s="12"/>
      <c r="Q714" s="14"/>
    </row>
    <row r="715" spans="2:17">
      <c r="B715" s="12"/>
      <c r="C715" s="12"/>
      <c r="D715" s="12"/>
      <c r="E715" s="12"/>
      <c r="F715" s="12"/>
      <c r="G715" s="12"/>
      <c r="H715" s="12"/>
      <c r="I715" s="12"/>
      <c r="J715" s="12"/>
      <c r="K715" s="12"/>
      <c r="L715" s="12"/>
      <c r="M715" s="12"/>
      <c r="N715" s="12"/>
      <c r="O715" s="12"/>
      <c r="P715" s="12"/>
      <c r="Q715" s="14"/>
    </row>
    <row r="716" spans="2:17">
      <c r="B716" s="12"/>
      <c r="C716" s="12"/>
      <c r="D716" s="12"/>
      <c r="E716" s="12"/>
      <c r="F716" s="12"/>
      <c r="G716" s="12"/>
      <c r="H716" s="12"/>
      <c r="I716" s="12"/>
      <c r="J716" s="12"/>
      <c r="K716" s="12"/>
      <c r="L716" s="12"/>
      <c r="M716" s="12"/>
      <c r="N716" s="12"/>
      <c r="O716" s="12"/>
      <c r="P716" s="12"/>
      <c r="Q716" s="14"/>
    </row>
    <row r="717" spans="2:17">
      <c r="B717" s="12"/>
      <c r="C717" s="12"/>
      <c r="D717" s="12"/>
      <c r="E717" s="12"/>
      <c r="F717" s="12"/>
      <c r="G717" s="12"/>
      <c r="H717" s="12"/>
      <c r="I717" s="12"/>
      <c r="J717" s="12"/>
      <c r="K717" s="12"/>
      <c r="L717" s="12"/>
      <c r="M717" s="12"/>
      <c r="N717" s="12"/>
      <c r="O717" s="12"/>
      <c r="P717" s="12"/>
      <c r="Q717" s="14"/>
    </row>
    <row r="718" spans="2:17">
      <c r="B718" s="12"/>
      <c r="C718" s="12"/>
      <c r="D718" s="12"/>
      <c r="E718" s="12"/>
      <c r="F718" s="12"/>
      <c r="G718" s="12"/>
      <c r="H718" s="12"/>
      <c r="I718" s="12"/>
      <c r="J718" s="12"/>
      <c r="K718" s="12"/>
      <c r="L718" s="12"/>
      <c r="M718" s="12"/>
      <c r="N718" s="12"/>
      <c r="O718" s="12"/>
      <c r="P718" s="12"/>
      <c r="Q718" s="14"/>
    </row>
    <row r="719" spans="2:17">
      <c r="B719" s="12"/>
      <c r="C719" s="12"/>
      <c r="D719" s="12"/>
      <c r="E719" s="12"/>
      <c r="F719" s="12"/>
      <c r="G719" s="12"/>
      <c r="H719" s="12"/>
      <c r="I719" s="12"/>
      <c r="J719" s="12"/>
      <c r="K719" s="12"/>
      <c r="L719" s="12"/>
      <c r="M719" s="12"/>
      <c r="N719" s="12"/>
      <c r="O719" s="12"/>
      <c r="P719" s="12"/>
      <c r="Q719" s="14"/>
    </row>
    <row r="720" spans="2:17">
      <c r="B720" s="12"/>
      <c r="C720" s="12"/>
      <c r="D720" s="12"/>
      <c r="E720" s="12"/>
      <c r="F720" s="12"/>
      <c r="G720" s="12"/>
      <c r="H720" s="12"/>
      <c r="I720" s="12"/>
      <c r="J720" s="12"/>
      <c r="K720" s="12"/>
      <c r="L720" s="12"/>
      <c r="M720" s="12"/>
      <c r="N720" s="12"/>
      <c r="O720" s="12"/>
      <c r="P720" s="12"/>
      <c r="Q720" s="14"/>
    </row>
    <row r="721" spans="2:17">
      <c r="B721" s="12"/>
      <c r="C721" s="12"/>
      <c r="D721" s="12"/>
      <c r="E721" s="12"/>
      <c r="F721" s="12"/>
      <c r="G721" s="12"/>
      <c r="H721" s="12"/>
      <c r="I721" s="12"/>
      <c r="J721" s="12"/>
      <c r="K721" s="12"/>
      <c r="L721" s="12"/>
      <c r="M721" s="12"/>
      <c r="N721" s="12"/>
      <c r="O721" s="12"/>
      <c r="P721" s="12"/>
      <c r="Q721" s="14"/>
    </row>
    <row r="722" spans="2:17">
      <c r="B722" s="12"/>
      <c r="C722" s="12"/>
      <c r="D722" s="12"/>
      <c r="E722" s="12"/>
      <c r="F722" s="12"/>
      <c r="G722" s="12"/>
      <c r="H722" s="12"/>
      <c r="I722" s="12"/>
      <c r="J722" s="12"/>
      <c r="K722" s="12"/>
      <c r="L722" s="12"/>
      <c r="M722" s="12"/>
      <c r="N722" s="12"/>
      <c r="O722" s="12"/>
      <c r="P722" s="12"/>
      <c r="Q722" s="14"/>
    </row>
    <row r="723" spans="2:17">
      <c r="B723" s="12"/>
      <c r="C723" s="12"/>
      <c r="D723" s="12"/>
      <c r="E723" s="12"/>
      <c r="F723" s="12"/>
      <c r="G723" s="12"/>
      <c r="H723" s="12"/>
      <c r="I723" s="12"/>
      <c r="J723" s="12"/>
      <c r="K723" s="12"/>
      <c r="L723" s="12"/>
      <c r="M723" s="12"/>
      <c r="N723" s="12"/>
      <c r="O723" s="12"/>
      <c r="P723" s="12"/>
      <c r="Q723" s="14"/>
    </row>
    <row r="724" spans="2:17">
      <c r="B724" s="12"/>
      <c r="C724" s="12"/>
      <c r="D724" s="12"/>
      <c r="E724" s="12"/>
      <c r="F724" s="12"/>
      <c r="G724" s="12"/>
      <c r="H724" s="12"/>
      <c r="I724" s="12"/>
      <c r="J724" s="12"/>
      <c r="K724" s="12"/>
      <c r="L724" s="12"/>
      <c r="M724" s="12"/>
      <c r="N724" s="12"/>
      <c r="O724" s="12"/>
      <c r="P724" s="12"/>
      <c r="Q724" s="14"/>
    </row>
    <row r="725" spans="2:17">
      <c r="B725" s="12"/>
      <c r="C725" s="12"/>
      <c r="D725" s="12"/>
      <c r="E725" s="12"/>
      <c r="F725" s="12"/>
      <c r="G725" s="12"/>
      <c r="H725" s="12"/>
      <c r="I725" s="12"/>
      <c r="J725" s="12"/>
      <c r="K725" s="12"/>
      <c r="L725" s="12"/>
      <c r="M725" s="12"/>
      <c r="N725" s="12"/>
      <c r="O725" s="12"/>
      <c r="P725" s="12"/>
      <c r="Q725" s="14"/>
    </row>
    <row r="726" spans="2:17">
      <c r="B726" s="12"/>
      <c r="C726" s="12"/>
      <c r="D726" s="12"/>
      <c r="E726" s="12"/>
      <c r="F726" s="12"/>
      <c r="G726" s="12"/>
      <c r="H726" s="12"/>
      <c r="I726" s="12"/>
      <c r="J726" s="12"/>
      <c r="K726" s="12"/>
      <c r="L726" s="12"/>
      <c r="M726" s="12"/>
      <c r="N726" s="12"/>
      <c r="O726" s="12"/>
      <c r="P726" s="12"/>
      <c r="Q726" s="14"/>
    </row>
    <row r="727" spans="2:17">
      <c r="B727" s="12"/>
      <c r="C727" s="12"/>
      <c r="D727" s="12"/>
      <c r="E727" s="12"/>
      <c r="F727" s="12"/>
      <c r="G727" s="12"/>
      <c r="H727" s="12"/>
      <c r="I727" s="12"/>
      <c r="J727" s="12"/>
      <c r="K727" s="12"/>
      <c r="L727" s="12"/>
      <c r="M727" s="12"/>
      <c r="N727" s="12"/>
      <c r="O727" s="12"/>
      <c r="P727" s="12"/>
      <c r="Q727" s="14"/>
    </row>
    <row r="728" spans="2:17">
      <c r="B728" s="12"/>
      <c r="C728" s="12"/>
      <c r="D728" s="12"/>
      <c r="E728" s="12"/>
      <c r="F728" s="12"/>
      <c r="G728" s="12"/>
      <c r="H728" s="12"/>
      <c r="I728" s="12"/>
      <c r="J728" s="12"/>
      <c r="K728" s="12"/>
      <c r="L728" s="12"/>
      <c r="M728" s="12"/>
      <c r="N728" s="12"/>
      <c r="O728" s="12"/>
      <c r="P728" s="12"/>
      <c r="Q728" s="14"/>
    </row>
    <row r="729" spans="2:17">
      <c r="B729" s="12"/>
      <c r="C729" s="12"/>
      <c r="D729" s="12"/>
      <c r="E729" s="12"/>
      <c r="F729" s="12"/>
      <c r="G729" s="12"/>
      <c r="H729" s="12"/>
      <c r="I729" s="12"/>
      <c r="J729" s="12"/>
      <c r="K729" s="12"/>
      <c r="L729" s="12"/>
      <c r="M729" s="12"/>
      <c r="N729" s="12"/>
      <c r="O729" s="12"/>
      <c r="P729" s="12"/>
      <c r="Q729" s="14"/>
    </row>
    <row r="730" spans="2:17">
      <c r="B730" s="12"/>
      <c r="C730" s="12"/>
      <c r="D730" s="12"/>
      <c r="E730" s="12"/>
      <c r="F730" s="12"/>
      <c r="G730" s="12"/>
      <c r="H730" s="12"/>
      <c r="I730" s="12"/>
      <c r="J730" s="12"/>
      <c r="K730" s="12"/>
      <c r="L730" s="12"/>
      <c r="M730" s="12"/>
      <c r="N730" s="12"/>
      <c r="O730" s="12"/>
      <c r="P730" s="12"/>
      <c r="Q730" s="14"/>
    </row>
    <row r="731" spans="2:17">
      <c r="B731" s="12"/>
      <c r="C731" s="12"/>
      <c r="D731" s="12"/>
      <c r="E731" s="12"/>
      <c r="F731" s="12"/>
      <c r="G731" s="12"/>
      <c r="H731" s="12"/>
      <c r="I731" s="12"/>
      <c r="J731" s="12"/>
      <c r="K731" s="12"/>
      <c r="L731" s="12"/>
      <c r="M731" s="12"/>
      <c r="N731" s="12"/>
      <c r="O731" s="12"/>
      <c r="P731" s="12"/>
      <c r="Q731" s="14"/>
    </row>
    <row r="732" spans="2:17">
      <c r="B732" s="12"/>
      <c r="C732" s="12"/>
      <c r="D732" s="12"/>
      <c r="E732" s="12"/>
      <c r="F732" s="12"/>
      <c r="G732" s="12"/>
      <c r="H732" s="12"/>
      <c r="I732" s="12"/>
      <c r="J732" s="12"/>
      <c r="K732" s="12"/>
      <c r="L732" s="12"/>
      <c r="M732" s="12"/>
      <c r="N732" s="12"/>
      <c r="O732" s="12"/>
      <c r="P732" s="12"/>
      <c r="Q732" s="14"/>
    </row>
    <row r="733" spans="2:17">
      <c r="B733" s="12"/>
      <c r="C733" s="12"/>
      <c r="D733" s="12"/>
      <c r="E733" s="12"/>
      <c r="F733" s="12"/>
      <c r="G733" s="12"/>
      <c r="H733" s="12"/>
      <c r="I733" s="12"/>
      <c r="J733" s="12"/>
      <c r="K733" s="12"/>
      <c r="L733" s="12"/>
      <c r="M733" s="12"/>
      <c r="N733" s="12"/>
      <c r="O733" s="12"/>
      <c r="P733" s="12"/>
      <c r="Q733" s="14"/>
    </row>
    <row r="734" spans="2:17">
      <c r="B734" s="12"/>
      <c r="C734" s="12"/>
      <c r="D734" s="12"/>
      <c r="E734" s="12"/>
      <c r="F734" s="12"/>
      <c r="G734" s="12"/>
      <c r="H734" s="12"/>
      <c r="I734" s="12"/>
      <c r="J734" s="12"/>
      <c r="K734" s="12"/>
      <c r="L734" s="12"/>
      <c r="M734" s="12"/>
      <c r="N734" s="12"/>
      <c r="O734" s="12"/>
      <c r="P734" s="12"/>
      <c r="Q734" s="14"/>
    </row>
    <row r="735" spans="2:17">
      <c r="B735" s="12"/>
      <c r="C735" s="12"/>
      <c r="D735" s="12"/>
      <c r="E735" s="12"/>
      <c r="F735" s="12"/>
      <c r="G735" s="12"/>
      <c r="H735" s="12"/>
      <c r="I735" s="12"/>
      <c r="J735" s="12"/>
      <c r="K735" s="12"/>
      <c r="L735" s="12"/>
      <c r="M735" s="12"/>
      <c r="N735" s="12"/>
      <c r="O735" s="12"/>
      <c r="P735" s="12"/>
      <c r="Q735" s="14"/>
    </row>
    <row r="736" spans="2:17">
      <c r="B736" s="12"/>
      <c r="C736" s="12"/>
      <c r="D736" s="12"/>
      <c r="E736" s="12"/>
      <c r="F736" s="12"/>
      <c r="G736" s="12"/>
      <c r="H736" s="12"/>
      <c r="I736" s="12"/>
      <c r="J736" s="12"/>
      <c r="K736" s="12"/>
      <c r="L736" s="12"/>
      <c r="M736" s="12"/>
      <c r="N736" s="12"/>
      <c r="O736" s="12"/>
      <c r="P736" s="12"/>
      <c r="Q736" s="14"/>
    </row>
    <row r="737" spans="2:17">
      <c r="B737" s="12"/>
      <c r="C737" s="12"/>
      <c r="D737" s="12"/>
      <c r="E737" s="12"/>
      <c r="F737" s="12"/>
      <c r="G737" s="12"/>
      <c r="H737" s="12"/>
      <c r="I737" s="12"/>
      <c r="J737" s="12"/>
      <c r="K737" s="12"/>
      <c r="L737" s="12"/>
      <c r="M737" s="12"/>
      <c r="N737" s="12"/>
      <c r="O737" s="12"/>
      <c r="P737" s="12"/>
      <c r="Q737" s="14"/>
    </row>
    <row r="738" spans="2:17">
      <c r="B738" s="12"/>
      <c r="C738" s="12"/>
      <c r="D738" s="12"/>
      <c r="E738" s="12"/>
      <c r="F738" s="12"/>
      <c r="G738" s="12"/>
      <c r="H738" s="12"/>
      <c r="I738" s="12"/>
      <c r="J738" s="12"/>
      <c r="K738" s="12"/>
      <c r="L738" s="12"/>
      <c r="M738" s="12"/>
      <c r="N738" s="12"/>
      <c r="O738" s="12"/>
      <c r="P738" s="12"/>
      <c r="Q738" s="14"/>
    </row>
    <row r="739" spans="2:17">
      <c r="B739" s="12"/>
      <c r="C739" s="12"/>
      <c r="D739" s="12"/>
      <c r="E739" s="12"/>
      <c r="F739" s="12"/>
      <c r="G739" s="12"/>
      <c r="H739" s="12"/>
      <c r="I739" s="12"/>
      <c r="J739" s="12"/>
      <c r="K739" s="12"/>
      <c r="L739" s="12"/>
      <c r="M739" s="12"/>
      <c r="N739" s="12"/>
      <c r="O739" s="12"/>
      <c r="P739" s="12"/>
      <c r="Q739" s="14"/>
    </row>
    <row r="740" spans="2:17">
      <c r="B740" s="12"/>
      <c r="C740" s="12"/>
      <c r="D740" s="12"/>
      <c r="E740" s="12"/>
      <c r="F740" s="12"/>
      <c r="G740" s="12"/>
      <c r="H740" s="12"/>
      <c r="I740" s="12"/>
      <c r="J740" s="12"/>
      <c r="K740" s="12"/>
      <c r="L740" s="12"/>
      <c r="M740" s="12"/>
      <c r="N740" s="12"/>
      <c r="O740" s="12"/>
      <c r="P740" s="12"/>
      <c r="Q740" s="14"/>
    </row>
    <row r="741" spans="2:17">
      <c r="B741" s="12"/>
      <c r="C741" s="12"/>
      <c r="D741" s="12"/>
      <c r="E741" s="12"/>
      <c r="F741" s="12"/>
      <c r="G741" s="12"/>
      <c r="H741" s="12"/>
      <c r="I741" s="12"/>
      <c r="J741" s="12"/>
      <c r="K741" s="12"/>
      <c r="L741" s="12"/>
      <c r="M741" s="12"/>
      <c r="N741" s="12"/>
      <c r="O741" s="12"/>
      <c r="P741" s="12"/>
      <c r="Q741" s="14"/>
    </row>
    <row r="742" spans="2:17">
      <c r="B742" s="12"/>
      <c r="C742" s="12"/>
      <c r="D742" s="12"/>
      <c r="E742" s="12"/>
      <c r="F742" s="12"/>
      <c r="G742" s="12"/>
      <c r="H742" s="12"/>
      <c r="I742" s="12"/>
      <c r="J742" s="12"/>
      <c r="K742" s="12"/>
      <c r="L742" s="12"/>
      <c r="M742" s="12"/>
      <c r="N742" s="12"/>
      <c r="O742" s="12"/>
      <c r="P742" s="12"/>
      <c r="Q742" s="14"/>
    </row>
    <row r="743" spans="2:17">
      <c r="B743" s="12"/>
      <c r="C743" s="12"/>
      <c r="D743" s="12"/>
      <c r="E743" s="12"/>
      <c r="F743" s="12"/>
      <c r="G743" s="12"/>
      <c r="H743" s="12"/>
      <c r="I743" s="12"/>
      <c r="J743" s="12"/>
      <c r="K743" s="12"/>
      <c r="L743" s="12"/>
      <c r="M743" s="12"/>
      <c r="N743" s="12"/>
      <c r="O743" s="12"/>
      <c r="P743" s="12"/>
      <c r="Q743" s="14"/>
    </row>
    <row r="744" spans="2:17">
      <c r="B744" s="12"/>
      <c r="C744" s="12"/>
      <c r="D744" s="12"/>
      <c r="E744" s="12"/>
      <c r="F744" s="12"/>
      <c r="G744" s="12"/>
      <c r="H744" s="12"/>
      <c r="I744" s="12"/>
      <c r="J744" s="12"/>
      <c r="K744" s="12"/>
      <c r="L744" s="12"/>
      <c r="M744" s="12"/>
      <c r="N744" s="12"/>
      <c r="O744" s="12"/>
      <c r="P744" s="12"/>
      <c r="Q744" s="14"/>
    </row>
    <row r="745" spans="2:17">
      <c r="B745" s="12"/>
      <c r="C745" s="12"/>
      <c r="D745" s="12"/>
      <c r="E745" s="12"/>
      <c r="F745" s="12"/>
      <c r="G745" s="12"/>
      <c r="H745" s="12"/>
      <c r="I745" s="12"/>
      <c r="J745" s="12"/>
      <c r="K745" s="12"/>
      <c r="L745" s="12"/>
      <c r="M745" s="12"/>
      <c r="N745" s="12"/>
      <c r="O745" s="12"/>
      <c r="P745" s="12"/>
      <c r="Q745" s="14"/>
    </row>
    <row r="746" spans="2:17">
      <c r="B746" s="12"/>
      <c r="C746" s="12"/>
      <c r="D746" s="12"/>
      <c r="E746" s="12"/>
      <c r="F746" s="12"/>
      <c r="G746" s="12"/>
      <c r="H746" s="12"/>
      <c r="I746" s="12"/>
      <c r="J746" s="12"/>
      <c r="K746" s="12"/>
      <c r="L746" s="12"/>
      <c r="M746" s="12"/>
      <c r="N746" s="12"/>
      <c r="O746" s="12"/>
      <c r="P746" s="12"/>
      <c r="Q746" s="14"/>
    </row>
    <row r="747" spans="2:17">
      <c r="B747" s="12"/>
      <c r="C747" s="12"/>
      <c r="D747" s="12"/>
      <c r="E747" s="12"/>
      <c r="F747" s="12"/>
      <c r="G747" s="12"/>
      <c r="H747" s="12"/>
      <c r="I747" s="12"/>
      <c r="J747" s="12"/>
      <c r="K747" s="12"/>
      <c r="L747" s="12"/>
      <c r="M747" s="12"/>
      <c r="N747" s="12"/>
      <c r="O747" s="12"/>
      <c r="P747" s="12"/>
      <c r="Q747" s="14"/>
    </row>
    <row r="748" spans="2:17">
      <c r="B748" s="12"/>
      <c r="C748" s="12"/>
      <c r="D748" s="12"/>
      <c r="E748" s="12"/>
      <c r="F748" s="12"/>
      <c r="G748" s="12"/>
      <c r="H748" s="12"/>
      <c r="I748" s="12"/>
      <c r="J748" s="12"/>
      <c r="K748" s="12"/>
      <c r="L748" s="12"/>
      <c r="M748" s="12"/>
      <c r="N748" s="12"/>
      <c r="O748" s="12"/>
      <c r="P748" s="12"/>
      <c r="Q748" s="14"/>
    </row>
    <row r="749" spans="2:17">
      <c r="B749" s="12"/>
      <c r="C749" s="12"/>
      <c r="D749" s="12"/>
      <c r="E749" s="12"/>
      <c r="F749" s="12"/>
      <c r="G749" s="12"/>
      <c r="H749" s="12"/>
      <c r="I749" s="12"/>
      <c r="J749" s="12"/>
      <c r="K749" s="12"/>
      <c r="L749" s="12"/>
      <c r="M749" s="12"/>
      <c r="N749" s="12"/>
      <c r="O749" s="12"/>
      <c r="P749" s="12"/>
      <c r="Q749" s="14"/>
    </row>
    <row r="750" spans="2:17">
      <c r="B750" s="12"/>
      <c r="C750" s="12"/>
      <c r="D750" s="12"/>
      <c r="E750" s="12"/>
      <c r="F750" s="12"/>
      <c r="G750" s="12"/>
      <c r="H750" s="12"/>
      <c r="I750" s="12"/>
      <c r="J750" s="12"/>
      <c r="K750" s="12"/>
      <c r="L750" s="12"/>
      <c r="M750" s="12"/>
      <c r="N750" s="12"/>
      <c r="O750" s="12"/>
      <c r="P750" s="12"/>
      <c r="Q750" s="14"/>
    </row>
    <row r="751" spans="2:17">
      <c r="B751" s="12"/>
      <c r="C751" s="12"/>
      <c r="D751" s="12"/>
      <c r="E751" s="12"/>
      <c r="F751" s="12"/>
      <c r="G751" s="12"/>
      <c r="H751" s="12"/>
      <c r="I751" s="12"/>
      <c r="J751" s="12"/>
      <c r="K751" s="12"/>
      <c r="L751" s="12"/>
      <c r="M751" s="12"/>
      <c r="N751" s="12"/>
      <c r="O751" s="12"/>
      <c r="P751" s="12"/>
      <c r="Q751" s="14"/>
    </row>
    <row r="752" spans="2:17">
      <c r="B752" s="12"/>
      <c r="C752" s="12"/>
      <c r="D752" s="12"/>
      <c r="E752" s="12"/>
      <c r="F752" s="12"/>
      <c r="G752" s="12"/>
      <c r="H752" s="12"/>
      <c r="I752" s="12"/>
      <c r="J752" s="12"/>
      <c r="K752" s="12"/>
      <c r="L752" s="12"/>
      <c r="M752" s="12"/>
      <c r="N752" s="12"/>
      <c r="O752" s="12"/>
      <c r="P752" s="12"/>
      <c r="Q752" s="14"/>
    </row>
    <row r="753" spans="2:17">
      <c r="B753" s="12"/>
      <c r="C753" s="12"/>
      <c r="D753" s="12"/>
      <c r="E753" s="12"/>
      <c r="F753" s="12"/>
      <c r="G753" s="12"/>
      <c r="H753" s="12"/>
      <c r="I753" s="12"/>
      <c r="J753" s="12"/>
      <c r="K753" s="12"/>
      <c r="L753" s="12"/>
      <c r="M753" s="12"/>
      <c r="N753" s="12"/>
      <c r="O753" s="12"/>
      <c r="P753" s="12"/>
      <c r="Q753" s="14"/>
    </row>
    <row r="754" spans="2:17">
      <c r="B754" s="12"/>
      <c r="C754" s="12"/>
      <c r="D754" s="12"/>
      <c r="E754" s="12"/>
      <c r="F754" s="12"/>
      <c r="G754" s="12"/>
      <c r="H754" s="12"/>
      <c r="I754" s="12"/>
      <c r="J754" s="12"/>
      <c r="K754" s="12"/>
      <c r="L754" s="12"/>
      <c r="M754" s="12"/>
      <c r="N754" s="12"/>
      <c r="O754" s="12"/>
      <c r="P754" s="12"/>
      <c r="Q754" s="14"/>
    </row>
    <row r="755" spans="2:17">
      <c r="B755" s="12"/>
      <c r="C755" s="12"/>
      <c r="D755" s="12"/>
      <c r="E755" s="12"/>
      <c r="F755" s="12"/>
      <c r="G755" s="12"/>
      <c r="H755" s="12"/>
      <c r="I755" s="12"/>
      <c r="J755" s="12"/>
      <c r="K755" s="12"/>
      <c r="L755" s="12"/>
      <c r="M755" s="12"/>
      <c r="N755" s="12"/>
      <c r="O755" s="12"/>
      <c r="P755" s="12"/>
      <c r="Q755" s="14"/>
    </row>
    <row r="756" spans="2:17">
      <c r="B756" s="12"/>
      <c r="C756" s="12"/>
      <c r="D756" s="12"/>
      <c r="E756" s="12"/>
      <c r="F756" s="12"/>
      <c r="G756" s="12"/>
      <c r="H756" s="12"/>
      <c r="I756" s="12"/>
      <c r="J756" s="12"/>
      <c r="K756" s="12"/>
      <c r="L756" s="12"/>
      <c r="M756" s="12"/>
      <c r="N756" s="12"/>
      <c r="O756" s="12"/>
      <c r="P756" s="12"/>
      <c r="Q756" s="14"/>
    </row>
    <row r="757" spans="2:17">
      <c r="B757" s="12"/>
      <c r="C757" s="12"/>
      <c r="D757" s="12"/>
      <c r="E757" s="12"/>
      <c r="F757" s="12"/>
      <c r="G757" s="12"/>
      <c r="H757" s="12"/>
      <c r="I757" s="12"/>
      <c r="J757" s="12"/>
      <c r="K757" s="12"/>
      <c r="L757" s="12"/>
      <c r="M757" s="12"/>
      <c r="N757" s="12"/>
      <c r="O757" s="12"/>
      <c r="P757" s="12"/>
      <c r="Q757" s="14"/>
    </row>
    <row r="758" spans="2:17">
      <c r="B758" s="12"/>
      <c r="C758" s="12"/>
      <c r="D758" s="12"/>
      <c r="E758" s="12"/>
      <c r="F758" s="12"/>
      <c r="G758" s="12"/>
      <c r="H758" s="12"/>
      <c r="I758" s="12"/>
      <c r="J758" s="12"/>
      <c r="K758" s="12"/>
      <c r="L758" s="12"/>
      <c r="M758" s="12"/>
      <c r="N758" s="12"/>
      <c r="O758" s="12"/>
      <c r="P758" s="12"/>
      <c r="Q758" s="14"/>
    </row>
    <row r="759" spans="2:17">
      <c r="B759" s="12"/>
      <c r="C759" s="12"/>
      <c r="D759" s="12"/>
      <c r="E759" s="12"/>
      <c r="F759" s="12"/>
      <c r="G759" s="12"/>
      <c r="H759" s="12"/>
      <c r="I759" s="12"/>
      <c r="J759" s="12"/>
      <c r="K759" s="12"/>
      <c r="L759" s="12"/>
      <c r="M759" s="12"/>
      <c r="N759" s="12"/>
      <c r="O759" s="12"/>
      <c r="P759" s="12"/>
      <c r="Q759" s="14"/>
    </row>
    <row r="760" spans="2:17">
      <c r="B760" s="12"/>
      <c r="C760" s="12"/>
      <c r="D760" s="12"/>
      <c r="E760" s="12"/>
      <c r="F760" s="12"/>
      <c r="G760" s="12"/>
      <c r="H760" s="12"/>
      <c r="I760" s="12"/>
      <c r="J760" s="12"/>
      <c r="K760" s="12"/>
      <c r="L760" s="12"/>
      <c r="M760" s="12"/>
      <c r="N760" s="12"/>
      <c r="O760" s="12"/>
      <c r="P760" s="12"/>
      <c r="Q760" s="14"/>
    </row>
    <row r="761" spans="2:17">
      <c r="B761" s="12"/>
      <c r="C761" s="12"/>
      <c r="D761" s="12"/>
      <c r="E761" s="12"/>
      <c r="F761" s="12"/>
      <c r="G761" s="12"/>
      <c r="H761" s="12"/>
      <c r="I761" s="12"/>
      <c r="J761" s="12"/>
      <c r="K761" s="12"/>
      <c r="L761" s="12"/>
      <c r="M761" s="12"/>
      <c r="N761" s="12"/>
      <c r="O761" s="12"/>
      <c r="P761" s="12"/>
      <c r="Q761" s="14"/>
    </row>
    <row r="762" spans="2:17">
      <c r="B762" s="12"/>
      <c r="C762" s="12"/>
      <c r="D762" s="12"/>
      <c r="E762" s="12"/>
      <c r="F762" s="12"/>
      <c r="G762" s="12"/>
      <c r="H762" s="12"/>
      <c r="I762" s="12"/>
      <c r="J762" s="12"/>
      <c r="K762" s="12"/>
      <c r="L762" s="12"/>
      <c r="M762" s="12"/>
      <c r="N762" s="12"/>
      <c r="O762" s="12"/>
      <c r="P762" s="12"/>
      <c r="Q762" s="14"/>
    </row>
    <row r="763" spans="2:17">
      <c r="B763" s="12"/>
      <c r="C763" s="12"/>
      <c r="D763" s="12"/>
      <c r="E763" s="12"/>
      <c r="F763" s="12"/>
      <c r="G763" s="12"/>
      <c r="H763" s="12"/>
      <c r="I763" s="12"/>
      <c r="J763" s="12"/>
      <c r="K763" s="12"/>
      <c r="L763" s="12"/>
      <c r="M763" s="12"/>
      <c r="N763" s="12"/>
      <c r="O763" s="12"/>
      <c r="P763" s="12"/>
      <c r="Q763" s="14"/>
    </row>
    <row r="764" spans="2:17">
      <c r="B764" s="12"/>
      <c r="C764" s="12"/>
      <c r="D764" s="12"/>
      <c r="E764" s="12"/>
      <c r="F764" s="12"/>
      <c r="G764" s="12"/>
      <c r="H764" s="12"/>
      <c r="I764" s="12"/>
      <c r="J764" s="12"/>
      <c r="K764" s="12"/>
      <c r="L764" s="12"/>
      <c r="M764" s="12"/>
      <c r="N764" s="12"/>
      <c r="O764" s="12"/>
      <c r="P764" s="12"/>
      <c r="Q764" s="14"/>
    </row>
    <row r="765" spans="2:17">
      <c r="B765" s="12"/>
      <c r="C765" s="12"/>
      <c r="D765" s="12"/>
      <c r="E765" s="12"/>
      <c r="F765" s="12"/>
      <c r="G765" s="12"/>
      <c r="H765" s="12"/>
      <c r="I765" s="12"/>
      <c r="J765" s="12"/>
      <c r="K765" s="12"/>
      <c r="L765" s="12"/>
      <c r="M765" s="12"/>
      <c r="N765" s="12"/>
      <c r="O765" s="12"/>
      <c r="P765" s="12"/>
      <c r="Q765" s="14"/>
    </row>
    <row r="766" spans="2:17">
      <c r="B766" s="12"/>
      <c r="C766" s="12"/>
      <c r="D766" s="12"/>
      <c r="E766" s="12"/>
      <c r="F766" s="12"/>
      <c r="G766" s="12"/>
      <c r="H766" s="12"/>
      <c r="I766" s="12"/>
      <c r="J766" s="12"/>
      <c r="K766" s="12"/>
      <c r="L766" s="12"/>
      <c r="M766" s="12"/>
      <c r="N766" s="12"/>
      <c r="O766" s="12"/>
      <c r="P766" s="12"/>
      <c r="Q766" s="14"/>
    </row>
    <row r="767" spans="2:17">
      <c r="B767" s="12"/>
      <c r="C767" s="12"/>
      <c r="D767" s="12"/>
      <c r="E767" s="12"/>
      <c r="F767" s="12"/>
      <c r="G767" s="12"/>
      <c r="H767" s="12"/>
      <c r="I767" s="12"/>
      <c r="J767" s="12"/>
      <c r="K767" s="12"/>
      <c r="L767" s="12"/>
      <c r="M767" s="12"/>
      <c r="N767" s="12"/>
      <c r="O767" s="12"/>
      <c r="P767" s="12"/>
      <c r="Q767" s="14"/>
    </row>
    <row r="768" spans="2:17">
      <c r="B768" s="12"/>
      <c r="C768" s="12"/>
      <c r="D768" s="12"/>
      <c r="E768" s="12"/>
      <c r="F768" s="12"/>
      <c r="G768" s="12"/>
      <c r="H768" s="12"/>
      <c r="I768" s="12"/>
      <c r="J768" s="12"/>
      <c r="K768" s="12"/>
      <c r="L768" s="12"/>
      <c r="M768" s="12"/>
      <c r="N768" s="12"/>
      <c r="O768" s="12"/>
      <c r="P768" s="12"/>
      <c r="Q768" s="14"/>
    </row>
    <row r="769" spans="2:17">
      <c r="B769" s="12"/>
      <c r="C769" s="12"/>
      <c r="D769" s="12"/>
      <c r="E769" s="12"/>
      <c r="F769" s="12"/>
      <c r="G769" s="12"/>
      <c r="H769" s="12"/>
      <c r="I769" s="12"/>
      <c r="J769" s="12"/>
      <c r="K769" s="12"/>
      <c r="L769" s="12"/>
      <c r="M769" s="12"/>
      <c r="N769" s="12"/>
      <c r="O769" s="12"/>
      <c r="P769" s="12"/>
      <c r="Q769" s="14"/>
    </row>
    <row r="770" spans="2:17">
      <c r="B770" s="12"/>
      <c r="C770" s="12"/>
      <c r="D770" s="12"/>
      <c r="E770" s="12"/>
      <c r="F770" s="12"/>
      <c r="G770" s="12"/>
      <c r="H770" s="12"/>
      <c r="I770" s="12"/>
      <c r="J770" s="12"/>
      <c r="K770" s="12"/>
      <c r="L770" s="12"/>
      <c r="M770" s="12"/>
      <c r="N770" s="12"/>
      <c r="O770" s="12"/>
      <c r="P770" s="12"/>
      <c r="Q770" s="14"/>
    </row>
    <row r="771" spans="2:17">
      <c r="B771" s="12"/>
      <c r="C771" s="12"/>
      <c r="D771" s="12"/>
      <c r="E771" s="12"/>
      <c r="F771" s="12"/>
      <c r="G771" s="12"/>
      <c r="H771" s="12"/>
      <c r="I771" s="12"/>
      <c r="J771" s="12"/>
      <c r="K771" s="12"/>
      <c r="L771" s="12"/>
      <c r="M771" s="12"/>
      <c r="N771" s="12"/>
      <c r="O771" s="12"/>
      <c r="P771" s="12"/>
      <c r="Q771" s="14"/>
    </row>
    <row r="772" spans="2:17">
      <c r="B772" s="12"/>
      <c r="C772" s="12"/>
      <c r="D772" s="12"/>
      <c r="E772" s="12"/>
      <c r="F772" s="12"/>
      <c r="G772" s="12"/>
      <c r="H772" s="12"/>
      <c r="I772" s="12"/>
      <c r="J772" s="12"/>
      <c r="K772" s="12"/>
      <c r="L772" s="12"/>
      <c r="M772" s="12"/>
      <c r="N772" s="12"/>
      <c r="O772" s="12"/>
      <c r="P772" s="12"/>
      <c r="Q772" s="14"/>
    </row>
    <row r="773" spans="2:17">
      <c r="B773" s="12"/>
      <c r="C773" s="12"/>
      <c r="D773" s="12"/>
      <c r="E773" s="12"/>
      <c r="F773" s="12"/>
      <c r="G773" s="12"/>
      <c r="H773" s="12"/>
      <c r="I773" s="12"/>
      <c r="J773" s="12"/>
      <c r="K773" s="12"/>
      <c r="L773" s="12"/>
      <c r="M773" s="12"/>
      <c r="N773" s="12"/>
      <c r="O773" s="12"/>
      <c r="P773" s="12"/>
      <c r="Q773" s="14"/>
    </row>
    <row r="774" spans="2:17">
      <c r="B774" s="12"/>
      <c r="C774" s="12"/>
      <c r="D774" s="12"/>
      <c r="E774" s="12"/>
      <c r="F774" s="12"/>
      <c r="G774" s="12"/>
      <c r="H774" s="12"/>
      <c r="I774" s="12"/>
      <c r="J774" s="12"/>
      <c r="K774" s="12"/>
      <c r="L774" s="12"/>
      <c r="M774" s="12"/>
      <c r="N774" s="12"/>
      <c r="O774" s="12"/>
      <c r="P774" s="12"/>
      <c r="Q774" s="14"/>
    </row>
    <row r="775" spans="2:17">
      <c r="B775" s="12"/>
      <c r="C775" s="12"/>
      <c r="D775" s="12"/>
      <c r="E775" s="12"/>
      <c r="F775" s="12"/>
      <c r="G775" s="12"/>
      <c r="H775" s="12"/>
      <c r="I775" s="12"/>
      <c r="J775" s="12"/>
      <c r="K775" s="12"/>
      <c r="L775" s="12"/>
      <c r="M775" s="12"/>
      <c r="N775" s="12"/>
      <c r="O775" s="12"/>
      <c r="P775" s="12"/>
      <c r="Q775" s="14"/>
    </row>
    <row r="776" spans="2:17">
      <c r="B776" s="12"/>
      <c r="C776" s="12"/>
      <c r="D776" s="12"/>
      <c r="E776" s="12"/>
      <c r="F776" s="12"/>
      <c r="G776" s="12"/>
      <c r="H776" s="12"/>
      <c r="I776" s="12"/>
      <c r="J776" s="12"/>
      <c r="K776" s="12"/>
      <c r="L776" s="12"/>
      <c r="M776" s="12"/>
      <c r="N776" s="12"/>
      <c r="O776" s="12"/>
      <c r="P776" s="12"/>
      <c r="Q776" s="14"/>
    </row>
    <row r="777" spans="2:17">
      <c r="B777" s="12"/>
      <c r="C777" s="12"/>
      <c r="D777" s="12"/>
      <c r="E777" s="12"/>
      <c r="F777" s="12"/>
      <c r="G777" s="12"/>
      <c r="H777" s="12"/>
      <c r="I777" s="12"/>
      <c r="J777" s="12"/>
      <c r="K777" s="12"/>
      <c r="L777" s="12"/>
      <c r="M777" s="12"/>
      <c r="N777" s="12"/>
      <c r="O777" s="12"/>
      <c r="P777" s="12"/>
      <c r="Q777" s="14"/>
    </row>
    <row r="778" spans="2:17">
      <c r="B778" s="12"/>
      <c r="C778" s="12"/>
      <c r="D778" s="12"/>
      <c r="E778" s="12"/>
      <c r="F778" s="12"/>
      <c r="G778" s="12"/>
      <c r="H778" s="12"/>
      <c r="I778" s="12"/>
      <c r="J778" s="12"/>
      <c r="K778" s="12"/>
      <c r="L778" s="12"/>
      <c r="M778" s="12"/>
      <c r="N778" s="12"/>
      <c r="O778" s="12"/>
      <c r="P778" s="12"/>
      <c r="Q778" s="14"/>
    </row>
    <row r="779" spans="2:17">
      <c r="B779" s="12"/>
      <c r="C779" s="12"/>
      <c r="D779" s="12"/>
      <c r="E779" s="12"/>
      <c r="F779" s="12"/>
      <c r="G779" s="12"/>
      <c r="H779" s="12"/>
      <c r="I779" s="12"/>
      <c r="J779" s="12"/>
      <c r="K779" s="12"/>
      <c r="L779" s="12"/>
      <c r="M779" s="12"/>
      <c r="N779" s="12"/>
      <c r="O779" s="12"/>
      <c r="P779" s="12"/>
      <c r="Q779" s="14"/>
    </row>
    <row r="780" spans="2:17">
      <c r="B780" s="12"/>
      <c r="C780" s="12"/>
      <c r="D780" s="12"/>
      <c r="E780" s="12"/>
      <c r="F780" s="12"/>
      <c r="G780" s="12"/>
      <c r="H780" s="12"/>
      <c r="I780" s="12"/>
      <c r="J780" s="12"/>
      <c r="K780" s="12"/>
      <c r="L780" s="12"/>
      <c r="M780" s="12"/>
      <c r="N780" s="12"/>
      <c r="O780" s="12"/>
      <c r="P780" s="12"/>
      <c r="Q780" s="14"/>
    </row>
    <row r="781" spans="2:17">
      <c r="B781" s="12"/>
      <c r="C781" s="12"/>
      <c r="D781" s="12"/>
      <c r="E781" s="12"/>
      <c r="F781" s="12"/>
      <c r="G781" s="12"/>
      <c r="H781" s="12"/>
      <c r="I781" s="12"/>
      <c r="J781" s="12"/>
      <c r="K781" s="12"/>
      <c r="L781" s="12"/>
      <c r="M781" s="12"/>
      <c r="N781" s="12"/>
      <c r="O781" s="12"/>
      <c r="P781" s="12"/>
      <c r="Q781" s="14"/>
    </row>
    <row r="782" spans="2:17">
      <c r="B782" s="12"/>
      <c r="C782" s="12"/>
      <c r="D782" s="12"/>
      <c r="E782" s="12"/>
      <c r="F782" s="12"/>
      <c r="G782" s="12"/>
      <c r="H782" s="12"/>
      <c r="I782" s="12"/>
      <c r="J782" s="12"/>
      <c r="K782" s="12"/>
      <c r="L782" s="12"/>
      <c r="M782" s="12"/>
      <c r="N782" s="12"/>
      <c r="O782" s="12"/>
      <c r="P782" s="12"/>
      <c r="Q782" s="14"/>
    </row>
    <row r="783" spans="2:17">
      <c r="B783" s="12"/>
      <c r="C783" s="12"/>
      <c r="D783" s="12"/>
      <c r="E783" s="12"/>
      <c r="F783" s="12"/>
      <c r="G783" s="12"/>
      <c r="H783" s="12"/>
      <c r="I783" s="12"/>
      <c r="J783" s="12"/>
      <c r="K783" s="12"/>
      <c r="L783" s="12"/>
      <c r="M783" s="12"/>
      <c r="N783" s="12"/>
      <c r="O783" s="12"/>
      <c r="P783" s="12"/>
      <c r="Q783" s="14"/>
    </row>
    <row r="784" spans="2:17">
      <c r="B784" s="12"/>
      <c r="C784" s="12"/>
      <c r="D784" s="12"/>
      <c r="E784" s="12"/>
      <c r="F784" s="12"/>
      <c r="G784" s="12"/>
      <c r="H784" s="12"/>
      <c r="I784" s="12"/>
      <c r="J784" s="12"/>
      <c r="K784" s="12"/>
      <c r="L784" s="12"/>
      <c r="M784" s="12"/>
      <c r="N784" s="12"/>
      <c r="O784" s="12"/>
      <c r="P784" s="12"/>
      <c r="Q784" s="14"/>
    </row>
    <row r="785" spans="2:17">
      <c r="B785" s="12"/>
      <c r="C785" s="12"/>
      <c r="D785" s="12"/>
      <c r="E785" s="12"/>
      <c r="F785" s="12"/>
      <c r="G785" s="12"/>
      <c r="H785" s="12"/>
      <c r="I785" s="12"/>
      <c r="J785" s="12"/>
      <c r="K785" s="12"/>
      <c r="L785" s="12"/>
      <c r="M785" s="12"/>
      <c r="N785" s="12"/>
      <c r="O785" s="12"/>
      <c r="P785" s="12"/>
      <c r="Q785" s="14"/>
    </row>
    <row r="786" spans="2:17">
      <c r="B786" s="12"/>
      <c r="C786" s="12"/>
      <c r="D786" s="12"/>
      <c r="E786" s="12"/>
      <c r="F786" s="12"/>
      <c r="G786" s="12"/>
      <c r="H786" s="12"/>
      <c r="I786" s="12"/>
      <c r="J786" s="12"/>
      <c r="K786" s="12"/>
      <c r="L786" s="12"/>
      <c r="M786" s="12"/>
      <c r="N786" s="12"/>
      <c r="O786" s="12"/>
      <c r="P786" s="12"/>
      <c r="Q786" s="14"/>
    </row>
    <row r="787" spans="2:17">
      <c r="B787" s="12"/>
      <c r="C787" s="12"/>
      <c r="D787" s="12"/>
      <c r="E787" s="12"/>
      <c r="F787" s="12"/>
      <c r="G787" s="12"/>
      <c r="H787" s="12"/>
      <c r="I787" s="12"/>
      <c r="J787" s="12"/>
      <c r="K787" s="12"/>
      <c r="L787" s="12"/>
      <c r="M787" s="12"/>
      <c r="N787" s="12"/>
      <c r="O787" s="12"/>
      <c r="P787" s="12"/>
      <c r="Q787" s="14"/>
    </row>
    <row r="788" spans="2:17">
      <c r="B788" s="12"/>
      <c r="C788" s="12"/>
      <c r="D788" s="12"/>
      <c r="E788" s="12"/>
      <c r="F788" s="12"/>
      <c r="G788" s="12"/>
      <c r="H788" s="12"/>
      <c r="I788" s="12"/>
      <c r="J788" s="12"/>
      <c r="K788" s="12"/>
      <c r="L788" s="12"/>
      <c r="M788" s="12"/>
      <c r="N788" s="12"/>
      <c r="O788" s="12"/>
      <c r="P788" s="12"/>
      <c r="Q788" s="14"/>
    </row>
    <row r="789" spans="2:17">
      <c r="B789" s="12"/>
      <c r="C789" s="12"/>
      <c r="D789" s="12"/>
      <c r="E789" s="12"/>
      <c r="F789" s="12"/>
      <c r="G789" s="12"/>
      <c r="H789" s="12"/>
      <c r="I789" s="12"/>
      <c r="J789" s="12"/>
      <c r="K789" s="12"/>
      <c r="L789" s="12"/>
      <c r="M789" s="12"/>
      <c r="N789" s="12"/>
      <c r="O789" s="12"/>
      <c r="P789" s="12"/>
      <c r="Q789" s="14"/>
    </row>
    <row r="790" spans="2:17">
      <c r="B790" s="12"/>
      <c r="C790" s="12"/>
      <c r="D790" s="12"/>
      <c r="E790" s="12"/>
      <c r="F790" s="12"/>
      <c r="G790" s="12"/>
      <c r="H790" s="12"/>
      <c r="I790" s="12"/>
      <c r="J790" s="12"/>
      <c r="K790" s="12"/>
      <c r="L790" s="12"/>
      <c r="M790" s="12"/>
      <c r="N790" s="12"/>
      <c r="O790" s="12"/>
      <c r="P790" s="12"/>
      <c r="Q790" s="14"/>
    </row>
    <row r="791" spans="2:17">
      <c r="B791" s="12"/>
      <c r="C791" s="12"/>
      <c r="D791" s="12"/>
      <c r="E791" s="12"/>
      <c r="F791" s="12"/>
      <c r="G791" s="12"/>
      <c r="H791" s="12"/>
      <c r="I791" s="12"/>
      <c r="J791" s="12"/>
      <c r="K791" s="12"/>
      <c r="L791" s="12"/>
      <c r="M791" s="12"/>
      <c r="N791" s="12"/>
      <c r="O791" s="12"/>
      <c r="P791" s="12"/>
      <c r="Q791" s="14"/>
    </row>
    <row r="792" spans="2:17">
      <c r="B792" s="12"/>
      <c r="C792" s="12"/>
      <c r="D792" s="12"/>
      <c r="E792" s="12"/>
      <c r="F792" s="12"/>
      <c r="G792" s="12"/>
      <c r="H792" s="12"/>
      <c r="I792" s="12"/>
      <c r="J792" s="12"/>
      <c r="K792" s="12"/>
      <c r="L792" s="12"/>
      <c r="M792" s="12"/>
      <c r="N792" s="12"/>
      <c r="O792" s="12"/>
      <c r="P792" s="12"/>
      <c r="Q792" s="14"/>
    </row>
    <row r="793" spans="2:17">
      <c r="B793" s="12"/>
      <c r="C793" s="12"/>
      <c r="D793" s="12"/>
      <c r="E793" s="12"/>
      <c r="F793" s="12"/>
      <c r="G793" s="12"/>
      <c r="H793" s="12"/>
      <c r="I793" s="12"/>
      <c r="J793" s="12"/>
      <c r="K793" s="12"/>
      <c r="L793" s="12"/>
      <c r="M793" s="12"/>
      <c r="N793" s="12"/>
      <c r="O793" s="12"/>
      <c r="P793" s="12"/>
      <c r="Q793" s="14"/>
    </row>
    <row r="794" spans="2:17">
      <c r="B794" s="12"/>
      <c r="C794" s="12"/>
      <c r="D794" s="12"/>
      <c r="E794" s="12"/>
      <c r="F794" s="12"/>
      <c r="G794" s="12"/>
      <c r="H794" s="12"/>
      <c r="I794" s="12"/>
      <c r="J794" s="12"/>
      <c r="K794" s="12"/>
      <c r="L794" s="12"/>
      <c r="M794" s="12"/>
      <c r="N794" s="12"/>
      <c r="O794" s="12"/>
      <c r="P794" s="12"/>
      <c r="Q794" s="14"/>
    </row>
    <row r="795" spans="2:17">
      <c r="B795" s="12"/>
      <c r="C795" s="12"/>
      <c r="D795" s="12"/>
      <c r="E795" s="12"/>
      <c r="F795" s="12"/>
      <c r="G795" s="12"/>
      <c r="H795" s="12"/>
      <c r="I795" s="12"/>
      <c r="J795" s="12"/>
      <c r="K795" s="12"/>
      <c r="L795" s="12"/>
      <c r="M795" s="12"/>
      <c r="N795" s="12"/>
      <c r="O795" s="12"/>
      <c r="P795" s="12"/>
      <c r="Q795" s="14"/>
    </row>
    <row r="796" spans="2:17">
      <c r="B796" s="12"/>
      <c r="C796" s="12"/>
      <c r="D796" s="12"/>
      <c r="E796" s="12"/>
      <c r="F796" s="12"/>
      <c r="G796" s="12"/>
      <c r="H796" s="12"/>
      <c r="I796" s="12"/>
      <c r="J796" s="12"/>
      <c r="K796" s="12"/>
      <c r="L796" s="12"/>
      <c r="M796" s="12"/>
      <c r="N796" s="12"/>
      <c r="O796" s="12"/>
      <c r="P796" s="12"/>
      <c r="Q796" s="14"/>
    </row>
    <row r="797" spans="2:17">
      <c r="B797" s="12"/>
      <c r="C797" s="12"/>
      <c r="D797" s="12"/>
      <c r="E797" s="12"/>
      <c r="F797" s="12"/>
      <c r="G797" s="12"/>
      <c r="H797" s="12"/>
      <c r="I797" s="12"/>
      <c r="J797" s="12"/>
      <c r="K797" s="12"/>
      <c r="L797" s="12"/>
      <c r="M797" s="12"/>
      <c r="N797" s="12"/>
      <c r="O797" s="12"/>
      <c r="P797" s="12"/>
      <c r="Q797" s="14"/>
    </row>
    <row r="798" spans="2:17">
      <c r="B798" s="12"/>
      <c r="C798" s="12"/>
      <c r="D798" s="12"/>
      <c r="E798" s="12"/>
      <c r="F798" s="12"/>
      <c r="G798" s="12"/>
      <c r="H798" s="12"/>
      <c r="I798" s="12"/>
      <c r="J798" s="12"/>
      <c r="K798" s="12"/>
      <c r="L798" s="12"/>
      <c r="M798" s="12"/>
      <c r="N798" s="12"/>
      <c r="O798" s="12"/>
      <c r="P798" s="12"/>
      <c r="Q798" s="14"/>
    </row>
    <row r="799" spans="2:17">
      <c r="B799" s="12"/>
      <c r="C799" s="12"/>
      <c r="D799" s="12"/>
      <c r="E799" s="12"/>
      <c r="F799" s="12"/>
      <c r="G799" s="12"/>
      <c r="H799" s="12"/>
      <c r="I799" s="12"/>
      <c r="J799" s="12"/>
      <c r="K799" s="12"/>
      <c r="L799" s="12"/>
      <c r="M799" s="12"/>
      <c r="N799" s="12"/>
      <c r="O799" s="12"/>
      <c r="P799" s="12"/>
      <c r="Q799" s="14"/>
    </row>
    <row r="800" spans="2:17">
      <c r="B800" s="12"/>
      <c r="C800" s="12"/>
      <c r="D800" s="12"/>
      <c r="E800" s="12"/>
      <c r="F800" s="12"/>
      <c r="G800" s="12"/>
      <c r="H800" s="12"/>
      <c r="I800" s="12"/>
      <c r="J800" s="12"/>
      <c r="K800" s="12"/>
      <c r="L800" s="12"/>
      <c r="M800" s="12"/>
      <c r="N800" s="12"/>
      <c r="O800" s="12"/>
      <c r="P800" s="12"/>
      <c r="Q800" s="14"/>
    </row>
    <row r="801" spans="2:17">
      <c r="B801" s="12"/>
      <c r="C801" s="12"/>
      <c r="D801" s="12"/>
      <c r="E801" s="12"/>
      <c r="F801" s="12"/>
      <c r="G801" s="12"/>
      <c r="H801" s="12"/>
      <c r="I801" s="12"/>
      <c r="J801" s="12"/>
      <c r="K801" s="12"/>
      <c r="L801" s="12"/>
      <c r="M801" s="12"/>
      <c r="N801" s="12"/>
      <c r="O801" s="12"/>
      <c r="P801" s="12"/>
      <c r="Q801" s="14"/>
    </row>
    <row r="802" spans="2:17">
      <c r="B802" s="12"/>
      <c r="C802" s="12"/>
      <c r="D802" s="12"/>
      <c r="E802" s="12"/>
      <c r="F802" s="12"/>
      <c r="G802" s="12"/>
      <c r="H802" s="12"/>
      <c r="I802" s="12"/>
      <c r="J802" s="12"/>
      <c r="K802" s="12"/>
      <c r="L802" s="12"/>
      <c r="M802" s="12"/>
      <c r="N802" s="12"/>
      <c r="O802" s="12"/>
      <c r="P802" s="12"/>
      <c r="Q802" s="14"/>
    </row>
    <row r="803" spans="2:17">
      <c r="B803" s="12"/>
      <c r="C803" s="12"/>
      <c r="D803" s="12"/>
      <c r="E803" s="12"/>
      <c r="F803" s="12"/>
      <c r="G803" s="12"/>
      <c r="H803" s="12"/>
      <c r="I803" s="12"/>
      <c r="J803" s="12"/>
      <c r="K803" s="12"/>
      <c r="L803" s="12"/>
      <c r="M803" s="12"/>
      <c r="N803" s="12"/>
      <c r="O803" s="12"/>
      <c r="P803" s="12"/>
      <c r="Q803" s="14"/>
    </row>
    <row r="804" spans="2:17">
      <c r="B804" s="12"/>
      <c r="C804" s="12"/>
      <c r="D804" s="12"/>
      <c r="E804" s="12"/>
      <c r="F804" s="12"/>
      <c r="G804" s="12"/>
      <c r="H804" s="12"/>
      <c r="I804" s="12"/>
      <c r="J804" s="12"/>
      <c r="K804" s="12"/>
      <c r="L804" s="12"/>
      <c r="M804" s="12"/>
      <c r="N804" s="12"/>
      <c r="O804" s="12"/>
      <c r="P804" s="12"/>
      <c r="Q804" s="14"/>
    </row>
    <row r="805" spans="2:17">
      <c r="B805" s="12"/>
      <c r="C805" s="12"/>
      <c r="D805" s="12"/>
      <c r="E805" s="12"/>
      <c r="F805" s="12"/>
      <c r="G805" s="12"/>
      <c r="H805" s="12"/>
      <c r="I805" s="12"/>
      <c r="J805" s="12"/>
      <c r="K805" s="12"/>
      <c r="L805" s="12"/>
      <c r="M805" s="12"/>
      <c r="N805" s="12"/>
      <c r="O805" s="12"/>
      <c r="P805" s="12"/>
      <c r="Q805" s="14"/>
    </row>
    <row r="806" spans="2:17">
      <c r="B806" s="12"/>
      <c r="C806" s="12"/>
      <c r="D806" s="12"/>
      <c r="E806" s="12"/>
      <c r="F806" s="12"/>
      <c r="G806" s="12"/>
      <c r="H806" s="12"/>
      <c r="I806" s="12"/>
      <c r="J806" s="12"/>
      <c r="K806" s="12"/>
      <c r="L806" s="12"/>
      <c r="M806" s="12"/>
      <c r="N806" s="12"/>
      <c r="O806" s="12"/>
      <c r="P806" s="12"/>
      <c r="Q806" s="14"/>
    </row>
    <row r="807" spans="2:17">
      <c r="B807" s="12"/>
      <c r="C807" s="12"/>
      <c r="D807" s="12"/>
      <c r="E807" s="12"/>
      <c r="F807" s="12"/>
      <c r="G807" s="12"/>
      <c r="H807" s="12"/>
      <c r="I807" s="12"/>
      <c r="J807" s="12"/>
      <c r="K807" s="12"/>
      <c r="L807" s="12"/>
      <c r="M807" s="12"/>
      <c r="N807" s="12"/>
      <c r="O807" s="12"/>
      <c r="P807" s="12"/>
      <c r="Q807" s="14"/>
    </row>
    <row r="808" spans="2:17">
      <c r="B808" s="12"/>
      <c r="C808" s="12"/>
      <c r="D808" s="12"/>
      <c r="E808" s="12"/>
      <c r="F808" s="12"/>
      <c r="G808" s="12"/>
      <c r="H808" s="12"/>
      <c r="I808" s="12"/>
      <c r="J808" s="12"/>
      <c r="K808" s="12"/>
      <c r="L808" s="12"/>
      <c r="M808" s="12"/>
      <c r="N808" s="12"/>
      <c r="O808" s="12"/>
      <c r="P808" s="12"/>
      <c r="Q808" s="14"/>
    </row>
    <row r="809" spans="2:17">
      <c r="B809" s="12"/>
      <c r="C809" s="12"/>
      <c r="D809" s="12"/>
      <c r="E809" s="12"/>
      <c r="F809" s="12"/>
      <c r="G809" s="12"/>
      <c r="H809" s="12"/>
      <c r="I809" s="12"/>
      <c r="J809" s="12"/>
      <c r="K809" s="12"/>
      <c r="L809" s="12"/>
      <c r="M809" s="12"/>
      <c r="N809" s="12"/>
      <c r="O809" s="12"/>
      <c r="P809" s="12"/>
      <c r="Q809" s="14"/>
    </row>
    <row r="810" spans="2:17">
      <c r="B810" s="12"/>
      <c r="C810" s="12"/>
      <c r="D810" s="12"/>
      <c r="E810" s="12"/>
      <c r="F810" s="12"/>
      <c r="G810" s="12"/>
      <c r="H810" s="12"/>
      <c r="I810" s="12"/>
      <c r="J810" s="12"/>
      <c r="K810" s="12"/>
      <c r="L810" s="12"/>
      <c r="M810" s="12"/>
      <c r="N810" s="12"/>
      <c r="O810" s="12"/>
      <c r="P810" s="12"/>
      <c r="Q810" s="14"/>
    </row>
    <row r="811" spans="2:17">
      <c r="B811" s="12"/>
      <c r="C811" s="12"/>
      <c r="D811" s="12"/>
      <c r="E811" s="12"/>
      <c r="F811" s="12"/>
      <c r="G811" s="12"/>
      <c r="H811" s="12"/>
      <c r="I811" s="12"/>
      <c r="J811" s="12"/>
      <c r="K811" s="12"/>
      <c r="L811" s="12"/>
      <c r="M811" s="12"/>
      <c r="N811" s="12"/>
      <c r="O811" s="12"/>
      <c r="P811" s="12"/>
      <c r="Q811" s="14"/>
    </row>
    <row r="812" spans="2:17">
      <c r="B812" s="12"/>
      <c r="C812" s="12"/>
      <c r="D812" s="12"/>
      <c r="E812" s="12"/>
      <c r="F812" s="12"/>
      <c r="G812" s="12"/>
      <c r="H812" s="12"/>
      <c r="I812" s="12"/>
      <c r="J812" s="12"/>
      <c r="K812" s="12"/>
      <c r="L812" s="12"/>
      <c r="M812" s="12"/>
      <c r="N812" s="12"/>
      <c r="O812" s="12"/>
      <c r="P812" s="12"/>
      <c r="Q812" s="14"/>
    </row>
    <row r="813" spans="2:17">
      <c r="B813" s="12"/>
      <c r="C813" s="12"/>
      <c r="D813" s="12"/>
      <c r="E813" s="12"/>
      <c r="F813" s="12"/>
      <c r="G813" s="12"/>
      <c r="H813" s="12"/>
      <c r="I813" s="12"/>
      <c r="J813" s="12"/>
      <c r="K813" s="12"/>
      <c r="L813" s="12"/>
      <c r="M813" s="12"/>
      <c r="N813" s="12"/>
      <c r="O813" s="12"/>
      <c r="P813" s="12"/>
      <c r="Q813" s="14"/>
    </row>
    <row r="814" spans="2:17">
      <c r="B814" s="12"/>
      <c r="C814" s="12"/>
      <c r="D814" s="12"/>
      <c r="E814" s="12"/>
      <c r="F814" s="12"/>
      <c r="G814" s="12"/>
      <c r="H814" s="12"/>
      <c r="I814" s="12"/>
      <c r="J814" s="12"/>
      <c r="K814" s="12"/>
      <c r="L814" s="12"/>
      <c r="M814" s="12"/>
      <c r="N814" s="12"/>
      <c r="O814" s="12"/>
      <c r="P814" s="12"/>
      <c r="Q814" s="14"/>
    </row>
    <row r="815" spans="2:17">
      <c r="B815" s="12"/>
      <c r="C815" s="12"/>
      <c r="D815" s="12"/>
      <c r="E815" s="12"/>
      <c r="F815" s="12"/>
      <c r="G815" s="12"/>
      <c r="H815" s="12"/>
      <c r="I815" s="12"/>
      <c r="J815" s="12"/>
      <c r="K815" s="12"/>
      <c r="L815" s="12"/>
      <c r="M815" s="12"/>
      <c r="N815" s="12"/>
      <c r="O815" s="12"/>
      <c r="P815" s="12"/>
      <c r="Q815" s="14"/>
    </row>
    <row r="816" spans="2:17">
      <c r="B816" s="12"/>
      <c r="C816" s="12"/>
      <c r="D816" s="12"/>
      <c r="E816" s="12"/>
      <c r="F816" s="12"/>
      <c r="G816" s="12"/>
      <c r="H816" s="12"/>
      <c r="I816" s="12"/>
      <c r="J816" s="12"/>
      <c r="K816" s="12"/>
      <c r="L816" s="12"/>
      <c r="M816" s="12"/>
      <c r="N816" s="12"/>
      <c r="O816" s="12"/>
      <c r="P816" s="12"/>
      <c r="Q816" s="14"/>
    </row>
    <row r="817" spans="2:17">
      <c r="B817" s="12"/>
      <c r="C817" s="12"/>
      <c r="D817" s="12"/>
      <c r="E817" s="12"/>
      <c r="F817" s="12"/>
      <c r="G817" s="12"/>
      <c r="H817" s="12"/>
      <c r="I817" s="12"/>
      <c r="J817" s="12"/>
      <c r="K817" s="12"/>
      <c r="L817" s="12"/>
      <c r="M817" s="12"/>
      <c r="N817" s="12"/>
      <c r="O817" s="12"/>
      <c r="P817" s="12"/>
      <c r="Q817" s="14"/>
    </row>
    <row r="818" spans="2:17">
      <c r="B818" s="12"/>
      <c r="C818" s="12"/>
      <c r="D818" s="12"/>
      <c r="E818" s="12"/>
      <c r="F818" s="12"/>
      <c r="G818" s="12"/>
      <c r="H818" s="12"/>
      <c r="I818" s="12"/>
      <c r="J818" s="12"/>
      <c r="K818" s="12"/>
      <c r="L818" s="12"/>
      <c r="M818" s="12"/>
      <c r="N818" s="12"/>
      <c r="O818" s="12"/>
      <c r="P818" s="12"/>
      <c r="Q818" s="14"/>
    </row>
    <row r="819" spans="2:17">
      <c r="B819" s="12"/>
      <c r="C819" s="12"/>
      <c r="D819" s="12"/>
      <c r="E819" s="12"/>
      <c r="F819" s="12"/>
      <c r="G819" s="12"/>
      <c r="H819" s="12"/>
      <c r="I819" s="12"/>
      <c r="J819" s="12"/>
      <c r="K819" s="12"/>
      <c r="L819" s="12"/>
      <c r="M819" s="12"/>
      <c r="N819" s="12"/>
      <c r="O819" s="12"/>
      <c r="P819" s="12"/>
      <c r="Q819" s="14"/>
    </row>
    <row r="820" spans="2:17">
      <c r="B820" s="12"/>
      <c r="C820" s="12"/>
      <c r="D820" s="12"/>
      <c r="E820" s="12"/>
      <c r="F820" s="12"/>
      <c r="G820" s="12"/>
      <c r="H820" s="12"/>
      <c r="I820" s="12"/>
      <c r="J820" s="12"/>
      <c r="K820" s="12"/>
      <c r="L820" s="12"/>
      <c r="M820" s="12"/>
      <c r="N820" s="12"/>
      <c r="O820" s="12"/>
      <c r="P820" s="12"/>
      <c r="Q820" s="14"/>
    </row>
    <row r="821" spans="2:17">
      <c r="B821" s="12"/>
      <c r="C821" s="12"/>
      <c r="D821" s="12"/>
      <c r="E821" s="12"/>
      <c r="F821" s="12"/>
      <c r="G821" s="12"/>
      <c r="H821" s="12"/>
      <c r="I821" s="12"/>
      <c r="J821" s="12"/>
      <c r="K821" s="12"/>
      <c r="L821" s="12"/>
      <c r="M821" s="12"/>
      <c r="N821" s="12"/>
      <c r="O821" s="12"/>
      <c r="P821" s="12"/>
      <c r="Q821" s="14"/>
    </row>
    <row r="822" spans="2:17">
      <c r="B822" s="12"/>
      <c r="C822" s="12"/>
      <c r="D822" s="12"/>
      <c r="E822" s="12"/>
      <c r="F822" s="12"/>
      <c r="G822" s="12"/>
      <c r="H822" s="12"/>
      <c r="I822" s="12"/>
      <c r="J822" s="12"/>
      <c r="K822" s="12"/>
      <c r="L822" s="12"/>
      <c r="M822" s="12"/>
      <c r="N822" s="12"/>
      <c r="O822" s="12"/>
      <c r="P822" s="12"/>
      <c r="Q822" s="14"/>
    </row>
    <row r="823" spans="2:17">
      <c r="B823" s="12"/>
      <c r="C823" s="12"/>
      <c r="D823" s="12"/>
      <c r="E823" s="12"/>
      <c r="F823" s="12"/>
      <c r="G823" s="12"/>
      <c r="H823" s="12"/>
      <c r="I823" s="12"/>
      <c r="J823" s="12"/>
      <c r="K823" s="12"/>
      <c r="L823" s="12"/>
      <c r="M823" s="12"/>
      <c r="N823" s="12"/>
      <c r="O823" s="12"/>
      <c r="P823" s="12"/>
      <c r="Q823" s="14"/>
    </row>
    <row r="824" spans="2:17">
      <c r="B824" s="12"/>
      <c r="C824" s="12"/>
      <c r="D824" s="12"/>
      <c r="E824" s="12"/>
      <c r="F824" s="12"/>
      <c r="G824" s="12"/>
      <c r="H824" s="12"/>
      <c r="I824" s="12"/>
      <c r="J824" s="12"/>
      <c r="K824" s="12"/>
      <c r="L824" s="12"/>
      <c r="M824" s="12"/>
      <c r="N824" s="12"/>
      <c r="O824" s="12"/>
      <c r="P824" s="12"/>
      <c r="Q824" s="14"/>
    </row>
    <row r="825" spans="2:17">
      <c r="B825" s="12"/>
      <c r="C825" s="12"/>
      <c r="D825" s="12"/>
      <c r="E825" s="12"/>
      <c r="F825" s="12"/>
      <c r="G825" s="12"/>
      <c r="H825" s="12"/>
      <c r="I825" s="12"/>
      <c r="J825" s="12"/>
      <c r="K825" s="12"/>
      <c r="L825" s="12"/>
      <c r="M825" s="12"/>
      <c r="N825" s="12"/>
      <c r="O825" s="12"/>
      <c r="P825" s="12"/>
      <c r="Q825" s="14"/>
    </row>
    <row r="826" spans="2:17">
      <c r="B826" s="12"/>
      <c r="C826" s="12"/>
      <c r="D826" s="12"/>
      <c r="E826" s="12"/>
      <c r="F826" s="12"/>
      <c r="G826" s="12"/>
      <c r="H826" s="12"/>
      <c r="I826" s="12"/>
      <c r="J826" s="12"/>
      <c r="K826" s="12"/>
      <c r="L826" s="12"/>
      <c r="M826" s="12"/>
      <c r="N826" s="12"/>
      <c r="O826" s="12"/>
      <c r="P826" s="12"/>
      <c r="Q826" s="14"/>
    </row>
    <row r="827" spans="2:17">
      <c r="B827" s="12"/>
      <c r="C827" s="12"/>
      <c r="D827" s="12"/>
      <c r="E827" s="12"/>
      <c r="F827" s="12"/>
      <c r="G827" s="12"/>
      <c r="H827" s="12"/>
      <c r="I827" s="12"/>
      <c r="J827" s="12"/>
      <c r="K827" s="12"/>
      <c r="L827" s="12"/>
      <c r="M827" s="12"/>
      <c r="N827" s="12"/>
      <c r="O827" s="12"/>
      <c r="P827" s="12"/>
      <c r="Q827" s="14"/>
    </row>
    <row r="828" spans="2:17">
      <c r="B828" s="12"/>
      <c r="C828" s="12"/>
      <c r="D828" s="12"/>
      <c r="E828" s="12"/>
      <c r="F828" s="12"/>
      <c r="G828" s="12"/>
      <c r="H828" s="12"/>
      <c r="I828" s="12"/>
      <c r="J828" s="12"/>
      <c r="K828" s="12"/>
      <c r="L828" s="12"/>
      <c r="M828" s="12"/>
      <c r="N828" s="12"/>
      <c r="O828" s="12"/>
      <c r="P828" s="12"/>
      <c r="Q828" s="14"/>
    </row>
    <row r="829" spans="2:17">
      <c r="B829" s="12"/>
      <c r="C829" s="12"/>
      <c r="D829" s="12"/>
      <c r="E829" s="12"/>
      <c r="F829" s="12"/>
      <c r="G829" s="12"/>
      <c r="H829" s="12"/>
      <c r="I829" s="12"/>
      <c r="J829" s="12"/>
      <c r="K829" s="12"/>
      <c r="L829" s="12"/>
      <c r="M829" s="12"/>
      <c r="N829" s="12"/>
      <c r="O829" s="12"/>
      <c r="P829" s="12"/>
      <c r="Q829" s="14"/>
    </row>
    <row r="830" spans="2:17">
      <c r="B830" s="12"/>
      <c r="C830" s="12"/>
      <c r="D830" s="12"/>
      <c r="E830" s="12"/>
      <c r="F830" s="12"/>
      <c r="G830" s="12"/>
      <c r="H830" s="12"/>
      <c r="I830" s="12"/>
      <c r="J830" s="12"/>
      <c r="K830" s="12"/>
      <c r="L830" s="12"/>
      <c r="M830" s="12"/>
      <c r="N830" s="12"/>
      <c r="O830" s="12"/>
      <c r="P830" s="12"/>
      <c r="Q830" s="14"/>
    </row>
    <row r="831" spans="2:17">
      <c r="B831" s="12"/>
      <c r="C831" s="12"/>
      <c r="D831" s="12"/>
      <c r="E831" s="12"/>
      <c r="F831" s="12"/>
      <c r="G831" s="12"/>
      <c r="H831" s="12"/>
      <c r="I831" s="12"/>
      <c r="J831" s="12"/>
      <c r="K831" s="12"/>
      <c r="L831" s="12"/>
      <c r="M831" s="12"/>
      <c r="N831" s="12"/>
      <c r="O831" s="12"/>
      <c r="P831" s="12"/>
      <c r="Q831" s="14"/>
    </row>
    <row r="832" spans="2:17">
      <c r="B832" s="12"/>
      <c r="C832" s="12"/>
      <c r="D832" s="12"/>
      <c r="E832" s="12"/>
      <c r="F832" s="12"/>
      <c r="G832" s="12"/>
      <c r="H832" s="12"/>
      <c r="I832" s="12"/>
      <c r="J832" s="12"/>
      <c r="K832" s="12"/>
      <c r="L832" s="12"/>
      <c r="M832" s="12"/>
      <c r="N832" s="12"/>
      <c r="O832" s="12"/>
      <c r="P832" s="12"/>
      <c r="Q832" s="14"/>
    </row>
    <row r="833" spans="2:17">
      <c r="B833" s="12"/>
      <c r="C833" s="12"/>
      <c r="D833" s="12"/>
      <c r="E833" s="12"/>
      <c r="F833" s="12"/>
      <c r="G833" s="12"/>
      <c r="H833" s="12"/>
      <c r="I833" s="12"/>
      <c r="J833" s="12"/>
      <c r="K833" s="12"/>
      <c r="L833" s="12"/>
      <c r="M833" s="12"/>
      <c r="N833" s="12"/>
      <c r="O833" s="12"/>
      <c r="P833" s="12"/>
      <c r="Q833" s="14"/>
    </row>
    <row r="834" spans="2:17">
      <c r="B834" s="12"/>
      <c r="C834" s="12"/>
      <c r="D834" s="12"/>
      <c r="E834" s="12"/>
      <c r="F834" s="12"/>
      <c r="G834" s="12"/>
      <c r="H834" s="12"/>
      <c r="I834" s="12"/>
      <c r="J834" s="12"/>
      <c r="K834" s="12"/>
      <c r="L834" s="12"/>
      <c r="M834" s="12"/>
      <c r="N834" s="12"/>
      <c r="O834" s="12"/>
      <c r="P834" s="12"/>
      <c r="Q834" s="14"/>
    </row>
    <row r="835" spans="2:17">
      <c r="B835" s="12"/>
      <c r="C835" s="12"/>
      <c r="D835" s="12"/>
      <c r="E835" s="12"/>
      <c r="F835" s="12"/>
      <c r="G835" s="12"/>
      <c r="H835" s="12"/>
      <c r="I835" s="12"/>
      <c r="J835" s="12"/>
      <c r="K835" s="12"/>
      <c r="L835" s="12"/>
      <c r="M835" s="12"/>
      <c r="N835" s="12"/>
      <c r="O835" s="12"/>
      <c r="P835" s="12"/>
      <c r="Q835" s="14"/>
    </row>
    <row r="836" spans="2:17">
      <c r="B836" s="12"/>
      <c r="C836" s="12"/>
      <c r="D836" s="12"/>
      <c r="E836" s="12"/>
      <c r="F836" s="12"/>
      <c r="G836" s="12"/>
      <c r="H836" s="12"/>
      <c r="I836" s="12"/>
      <c r="J836" s="12"/>
      <c r="K836" s="12"/>
      <c r="L836" s="12"/>
      <c r="M836" s="12"/>
      <c r="N836" s="12"/>
      <c r="O836" s="12"/>
      <c r="P836" s="12"/>
      <c r="Q836" s="14"/>
    </row>
    <row r="837" spans="2:17">
      <c r="B837" s="12"/>
      <c r="C837" s="12"/>
      <c r="D837" s="12"/>
      <c r="E837" s="12"/>
      <c r="F837" s="12"/>
      <c r="G837" s="12"/>
      <c r="H837" s="12"/>
      <c r="I837" s="12"/>
      <c r="J837" s="12"/>
      <c r="K837" s="12"/>
      <c r="L837" s="12"/>
      <c r="M837" s="12"/>
      <c r="N837" s="12"/>
      <c r="O837" s="12"/>
      <c r="P837" s="12"/>
      <c r="Q837" s="14"/>
    </row>
    <row r="838" spans="2:17">
      <c r="B838" s="12"/>
      <c r="C838" s="12"/>
      <c r="D838" s="12"/>
      <c r="E838" s="12"/>
      <c r="F838" s="12"/>
      <c r="G838" s="12"/>
      <c r="H838" s="12"/>
      <c r="I838" s="12"/>
      <c r="J838" s="12"/>
      <c r="K838" s="12"/>
      <c r="L838" s="12"/>
      <c r="M838" s="12"/>
      <c r="N838" s="12"/>
      <c r="O838" s="12"/>
      <c r="P838" s="12"/>
      <c r="Q838" s="14"/>
    </row>
    <row r="839" spans="2:17">
      <c r="B839" s="12"/>
      <c r="C839" s="12"/>
      <c r="D839" s="12"/>
      <c r="E839" s="12"/>
      <c r="F839" s="12"/>
      <c r="G839" s="12"/>
      <c r="H839" s="12"/>
      <c r="I839" s="12"/>
      <c r="J839" s="12"/>
      <c r="K839" s="12"/>
      <c r="L839" s="12"/>
      <c r="M839" s="12"/>
      <c r="N839" s="12"/>
      <c r="O839" s="12"/>
      <c r="P839" s="12"/>
      <c r="Q839" s="14"/>
    </row>
    <row r="840" spans="2:17">
      <c r="B840" s="12"/>
      <c r="C840" s="12"/>
      <c r="D840" s="12"/>
      <c r="E840" s="12"/>
      <c r="F840" s="12"/>
      <c r="G840" s="12"/>
      <c r="H840" s="12"/>
      <c r="I840" s="12"/>
      <c r="J840" s="12"/>
      <c r="K840" s="12"/>
      <c r="L840" s="12"/>
      <c r="M840" s="12"/>
      <c r="N840" s="12"/>
      <c r="O840" s="12"/>
      <c r="P840" s="12"/>
      <c r="Q840" s="14"/>
    </row>
    <row r="841" spans="2:17">
      <c r="B841" s="12"/>
      <c r="C841" s="12"/>
      <c r="D841" s="12"/>
      <c r="E841" s="12"/>
      <c r="F841" s="12"/>
      <c r="G841" s="12"/>
      <c r="H841" s="12"/>
      <c r="I841" s="12"/>
      <c r="J841" s="12"/>
      <c r="K841" s="12"/>
      <c r="L841" s="12"/>
      <c r="M841" s="12"/>
      <c r="N841" s="12"/>
      <c r="O841" s="12"/>
      <c r="P841" s="12"/>
      <c r="Q841" s="14"/>
    </row>
    <row r="842" spans="2:17">
      <c r="B842" s="12"/>
      <c r="C842" s="12"/>
      <c r="D842" s="12"/>
      <c r="E842" s="12"/>
      <c r="F842" s="12"/>
      <c r="G842" s="12"/>
      <c r="H842" s="12"/>
      <c r="I842" s="12"/>
      <c r="J842" s="12"/>
      <c r="K842" s="12"/>
      <c r="L842" s="12"/>
      <c r="M842" s="12"/>
      <c r="N842" s="12"/>
      <c r="O842" s="12"/>
      <c r="P842" s="12"/>
      <c r="Q842" s="14"/>
    </row>
    <row r="843" spans="2:17">
      <c r="B843" s="12"/>
      <c r="C843" s="12"/>
      <c r="D843" s="12"/>
      <c r="E843" s="12"/>
      <c r="F843" s="12"/>
      <c r="G843" s="12"/>
      <c r="H843" s="12"/>
      <c r="I843" s="12"/>
      <c r="J843" s="12"/>
      <c r="K843" s="12"/>
      <c r="L843" s="12"/>
      <c r="M843" s="12"/>
      <c r="N843" s="12"/>
      <c r="O843" s="12"/>
      <c r="P843" s="12"/>
      <c r="Q843" s="14"/>
    </row>
    <row r="844" spans="2:17">
      <c r="B844" s="12"/>
      <c r="C844" s="12"/>
      <c r="D844" s="12"/>
      <c r="E844" s="12"/>
      <c r="F844" s="12"/>
      <c r="G844" s="12"/>
      <c r="H844" s="12"/>
      <c r="I844" s="12"/>
      <c r="J844" s="12"/>
      <c r="K844" s="12"/>
      <c r="L844" s="12"/>
      <c r="M844" s="12"/>
      <c r="N844" s="12"/>
      <c r="O844" s="12"/>
      <c r="P844" s="12"/>
      <c r="Q844" s="14"/>
    </row>
    <row r="845" spans="2:17">
      <c r="B845" s="12"/>
      <c r="C845" s="12"/>
      <c r="D845" s="12"/>
      <c r="E845" s="12"/>
      <c r="F845" s="12"/>
      <c r="G845" s="12"/>
      <c r="H845" s="12"/>
      <c r="I845" s="12"/>
      <c r="J845" s="12"/>
      <c r="K845" s="12"/>
      <c r="L845" s="12"/>
      <c r="M845" s="12"/>
      <c r="N845" s="12"/>
      <c r="O845" s="12"/>
      <c r="P845" s="12"/>
      <c r="Q845" s="14"/>
    </row>
    <row r="846" spans="2:17">
      <c r="B846" s="12"/>
      <c r="C846" s="12"/>
      <c r="D846" s="12"/>
      <c r="E846" s="12"/>
      <c r="F846" s="12"/>
      <c r="G846" s="12"/>
      <c r="H846" s="12"/>
      <c r="I846" s="12"/>
      <c r="J846" s="12"/>
      <c r="K846" s="12"/>
      <c r="L846" s="12"/>
      <c r="M846" s="12"/>
      <c r="N846" s="12"/>
      <c r="O846" s="12"/>
      <c r="P846" s="12"/>
      <c r="Q846" s="14"/>
    </row>
    <row r="847" spans="2:17">
      <c r="B847" s="12"/>
      <c r="C847" s="12"/>
      <c r="D847" s="12"/>
      <c r="E847" s="12"/>
      <c r="F847" s="12"/>
      <c r="G847" s="12"/>
      <c r="H847" s="12"/>
      <c r="I847" s="12"/>
      <c r="J847" s="12"/>
      <c r="K847" s="12"/>
      <c r="L847" s="12"/>
      <c r="M847" s="12"/>
      <c r="N847" s="12"/>
      <c r="O847" s="12"/>
      <c r="P847" s="12"/>
      <c r="Q847" s="14"/>
    </row>
    <row r="848" spans="2:17">
      <c r="B848" s="12"/>
      <c r="C848" s="12"/>
      <c r="D848" s="12"/>
      <c r="E848" s="12"/>
      <c r="F848" s="12"/>
      <c r="G848" s="12"/>
      <c r="H848" s="12"/>
      <c r="I848" s="12"/>
      <c r="J848" s="12"/>
      <c r="K848" s="12"/>
      <c r="L848" s="12"/>
      <c r="M848" s="12"/>
      <c r="N848" s="12"/>
      <c r="O848" s="12"/>
      <c r="P848" s="12"/>
      <c r="Q848" s="14"/>
    </row>
    <row r="849" spans="2:17">
      <c r="B849" s="12"/>
      <c r="C849" s="12"/>
      <c r="D849" s="12"/>
      <c r="E849" s="12"/>
      <c r="F849" s="12"/>
      <c r="G849" s="12"/>
      <c r="H849" s="12"/>
      <c r="I849" s="12"/>
      <c r="J849" s="12"/>
      <c r="K849" s="12"/>
      <c r="L849" s="12"/>
      <c r="M849" s="12"/>
      <c r="N849" s="12"/>
      <c r="O849" s="12"/>
      <c r="P849" s="12"/>
      <c r="Q849" s="14"/>
    </row>
    <row r="850" spans="2:17">
      <c r="B850" s="12"/>
      <c r="C850" s="12"/>
      <c r="D850" s="12"/>
      <c r="E850" s="12"/>
      <c r="F850" s="12"/>
      <c r="G850" s="12"/>
      <c r="H850" s="12"/>
      <c r="I850" s="12"/>
      <c r="J850" s="12"/>
      <c r="K850" s="12"/>
      <c r="L850" s="12"/>
      <c r="M850" s="12"/>
      <c r="N850" s="12"/>
      <c r="O850" s="12"/>
      <c r="P850" s="12"/>
      <c r="Q850" s="14"/>
    </row>
    <row r="851" spans="2:17">
      <c r="B851" s="12"/>
      <c r="C851" s="12"/>
      <c r="D851" s="12"/>
      <c r="E851" s="12"/>
      <c r="F851" s="12"/>
      <c r="G851" s="12"/>
      <c r="H851" s="12"/>
      <c r="I851" s="12"/>
      <c r="J851" s="12"/>
      <c r="K851" s="12"/>
      <c r="L851" s="12"/>
      <c r="M851" s="12"/>
      <c r="N851" s="12"/>
      <c r="O851" s="12"/>
      <c r="P851" s="12"/>
      <c r="Q851" s="14"/>
    </row>
    <row r="852" spans="2:17">
      <c r="B852" s="12"/>
      <c r="C852" s="12"/>
      <c r="D852" s="12"/>
      <c r="E852" s="12"/>
      <c r="F852" s="12"/>
      <c r="G852" s="12"/>
      <c r="H852" s="12"/>
      <c r="I852" s="12"/>
      <c r="J852" s="12"/>
      <c r="K852" s="12"/>
      <c r="L852" s="12"/>
      <c r="M852" s="12"/>
      <c r="N852" s="12"/>
      <c r="O852" s="12"/>
      <c r="P852" s="12"/>
      <c r="Q852" s="14"/>
    </row>
    <row r="853" spans="2:17">
      <c r="B853" s="12"/>
      <c r="C853" s="12"/>
      <c r="D853" s="12"/>
      <c r="E853" s="12"/>
      <c r="F853" s="12"/>
      <c r="G853" s="12"/>
      <c r="H853" s="12"/>
      <c r="I853" s="12"/>
      <c r="J853" s="12"/>
      <c r="K853" s="12"/>
      <c r="L853" s="12"/>
      <c r="M853" s="12"/>
      <c r="N853" s="12"/>
      <c r="O853" s="12"/>
      <c r="P853" s="12"/>
      <c r="Q853" s="14"/>
    </row>
    <row r="854" spans="2:17">
      <c r="B854" s="12"/>
      <c r="C854" s="12"/>
      <c r="D854" s="12"/>
      <c r="E854" s="12"/>
      <c r="F854" s="12"/>
      <c r="G854" s="12"/>
      <c r="H854" s="12"/>
      <c r="I854" s="12"/>
      <c r="J854" s="12"/>
      <c r="K854" s="12"/>
      <c r="L854" s="12"/>
      <c r="M854" s="12"/>
      <c r="N854" s="12"/>
      <c r="O854" s="12"/>
      <c r="P854" s="12"/>
      <c r="Q854" s="14"/>
    </row>
    <row r="855" spans="2:17">
      <c r="B855" s="12"/>
      <c r="C855" s="12"/>
      <c r="D855" s="12"/>
      <c r="E855" s="12"/>
      <c r="F855" s="12"/>
      <c r="G855" s="12"/>
      <c r="H855" s="12"/>
      <c r="I855" s="12"/>
      <c r="J855" s="12"/>
      <c r="K855" s="12"/>
      <c r="L855" s="12"/>
      <c r="M855" s="12"/>
      <c r="N855" s="12"/>
      <c r="O855" s="12"/>
      <c r="P855" s="12"/>
      <c r="Q855" s="14"/>
    </row>
    <row r="856" spans="2:17">
      <c r="B856" s="12"/>
      <c r="C856" s="12"/>
      <c r="D856" s="12"/>
      <c r="E856" s="12"/>
      <c r="F856" s="12"/>
      <c r="G856" s="12"/>
      <c r="H856" s="12"/>
      <c r="I856" s="12"/>
      <c r="J856" s="12"/>
      <c r="K856" s="12"/>
      <c r="L856" s="12"/>
      <c r="M856" s="12"/>
      <c r="N856" s="12"/>
      <c r="O856" s="12"/>
      <c r="P856" s="12"/>
      <c r="Q856" s="14"/>
    </row>
    <row r="857" spans="2:17">
      <c r="B857" s="12"/>
      <c r="C857" s="12"/>
      <c r="D857" s="12"/>
      <c r="E857" s="12"/>
      <c r="F857" s="12"/>
      <c r="G857" s="12"/>
      <c r="H857" s="12"/>
      <c r="I857" s="12"/>
      <c r="J857" s="12"/>
      <c r="K857" s="12"/>
      <c r="L857" s="12"/>
      <c r="M857" s="12"/>
      <c r="N857" s="12"/>
      <c r="O857" s="12"/>
      <c r="P857" s="12"/>
      <c r="Q857" s="14"/>
    </row>
    <row r="858" spans="2:17">
      <c r="B858" s="12"/>
      <c r="C858" s="12"/>
      <c r="D858" s="12"/>
      <c r="E858" s="12"/>
      <c r="F858" s="12"/>
      <c r="G858" s="12"/>
      <c r="H858" s="12"/>
      <c r="I858" s="12"/>
      <c r="J858" s="12"/>
      <c r="K858" s="12"/>
      <c r="L858" s="12"/>
      <c r="M858" s="12"/>
      <c r="N858" s="12"/>
      <c r="O858" s="12"/>
      <c r="P858" s="12"/>
      <c r="Q858" s="14"/>
    </row>
    <row r="859" spans="2:17">
      <c r="B859" s="12"/>
      <c r="C859" s="12"/>
      <c r="D859" s="12"/>
      <c r="E859" s="12"/>
      <c r="F859" s="12"/>
      <c r="G859" s="12"/>
      <c r="H859" s="12"/>
      <c r="I859" s="12"/>
      <c r="J859" s="12"/>
      <c r="K859" s="12"/>
      <c r="L859" s="12"/>
      <c r="M859" s="12"/>
      <c r="N859" s="12"/>
      <c r="O859" s="12"/>
      <c r="P859" s="12"/>
      <c r="Q859" s="14"/>
    </row>
    <row r="860" spans="2:17">
      <c r="B860" s="12"/>
      <c r="C860" s="12"/>
      <c r="D860" s="12"/>
      <c r="E860" s="12"/>
      <c r="F860" s="12"/>
      <c r="G860" s="12"/>
      <c r="H860" s="12"/>
      <c r="I860" s="12"/>
      <c r="J860" s="12"/>
      <c r="K860" s="12"/>
      <c r="L860" s="12"/>
      <c r="M860" s="12"/>
      <c r="N860" s="12"/>
      <c r="O860" s="12"/>
      <c r="P860" s="12"/>
      <c r="Q860" s="14"/>
    </row>
    <row r="861" spans="2:17">
      <c r="B861" s="12"/>
      <c r="C861" s="12"/>
      <c r="D861" s="12"/>
      <c r="E861" s="12"/>
      <c r="F861" s="12"/>
      <c r="G861" s="12"/>
      <c r="H861" s="12"/>
      <c r="I861" s="12"/>
      <c r="J861" s="12"/>
      <c r="K861" s="12"/>
      <c r="L861" s="12"/>
      <c r="M861" s="12"/>
      <c r="N861" s="12"/>
      <c r="O861" s="12"/>
      <c r="P861" s="12"/>
      <c r="Q861" s="14"/>
    </row>
    <row r="862" spans="2:17">
      <c r="B862" s="12"/>
      <c r="C862" s="12"/>
      <c r="D862" s="12"/>
      <c r="E862" s="12"/>
      <c r="F862" s="12"/>
      <c r="G862" s="12"/>
      <c r="H862" s="12"/>
      <c r="I862" s="12"/>
      <c r="J862" s="12"/>
      <c r="K862" s="12"/>
      <c r="L862" s="12"/>
      <c r="M862" s="12"/>
      <c r="N862" s="12"/>
      <c r="O862" s="12"/>
      <c r="P862" s="12"/>
      <c r="Q862" s="14"/>
    </row>
    <row r="863" spans="2:17">
      <c r="B863" s="12"/>
      <c r="C863" s="12"/>
      <c r="D863" s="12"/>
      <c r="E863" s="12"/>
      <c r="F863" s="12"/>
      <c r="G863" s="12"/>
      <c r="H863" s="12"/>
      <c r="I863" s="12"/>
      <c r="J863" s="12"/>
      <c r="K863" s="12"/>
      <c r="L863" s="12"/>
      <c r="M863" s="12"/>
      <c r="N863" s="12"/>
      <c r="O863" s="12"/>
      <c r="P863" s="12"/>
      <c r="Q863" s="14"/>
    </row>
    <row r="864" spans="2:17">
      <c r="B864" s="12"/>
      <c r="C864" s="12"/>
      <c r="D864" s="12"/>
      <c r="E864" s="12"/>
      <c r="F864" s="12"/>
      <c r="G864" s="12"/>
      <c r="H864" s="12"/>
      <c r="I864" s="12"/>
      <c r="J864" s="12"/>
      <c r="K864" s="12"/>
      <c r="L864" s="12"/>
      <c r="M864" s="12"/>
      <c r="N864" s="12"/>
      <c r="O864" s="12"/>
      <c r="P864" s="12"/>
      <c r="Q864" s="14"/>
    </row>
    <row r="865" spans="2:17">
      <c r="B865" s="12"/>
      <c r="C865" s="12"/>
      <c r="D865" s="12"/>
      <c r="E865" s="12"/>
      <c r="F865" s="12"/>
      <c r="G865" s="12"/>
      <c r="H865" s="12"/>
      <c r="I865" s="12"/>
      <c r="J865" s="12"/>
      <c r="K865" s="12"/>
      <c r="L865" s="12"/>
      <c r="M865" s="12"/>
      <c r="N865" s="12"/>
      <c r="O865" s="12"/>
      <c r="P865" s="12"/>
      <c r="Q865" s="14"/>
    </row>
    <row r="866" spans="2:17">
      <c r="B866" s="12"/>
      <c r="C866" s="12"/>
      <c r="D866" s="12"/>
      <c r="E866" s="12"/>
      <c r="F866" s="12"/>
      <c r="G866" s="12"/>
      <c r="H866" s="12"/>
      <c r="I866" s="12"/>
      <c r="J866" s="12"/>
      <c r="K866" s="12"/>
      <c r="L866" s="12"/>
      <c r="M866" s="12"/>
      <c r="N866" s="12"/>
      <c r="O866" s="12"/>
      <c r="P866" s="12"/>
      <c r="Q866" s="14"/>
    </row>
    <row r="867" spans="2:17">
      <c r="B867" s="12"/>
      <c r="C867" s="12"/>
      <c r="D867" s="12"/>
      <c r="E867" s="12"/>
      <c r="F867" s="12"/>
      <c r="G867" s="12"/>
      <c r="H867" s="12"/>
      <c r="I867" s="12"/>
      <c r="J867" s="12"/>
      <c r="K867" s="12"/>
      <c r="L867" s="12"/>
      <c r="M867" s="12"/>
      <c r="N867" s="12"/>
      <c r="O867" s="12"/>
      <c r="P867" s="12"/>
      <c r="Q867" s="14"/>
    </row>
    <row r="868" spans="2:17">
      <c r="B868" s="12"/>
      <c r="C868" s="12"/>
      <c r="D868" s="12"/>
      <c r="E868" s="12"/>
      <c r="F868" s="12"/>
      <c r="G868" s="12"/>
      <c r="H868" s="12"/>
      <c r="I868" s="12"/>
      <c r="J868" s="12"/>
      <c r="K868" s="12"/>
      <c r="L868" s="12"/>
      <c r="M868" s="12"/>
      <c r="N868" s="12"/>
      <c r="O868" s="12"/>
      <c r="P868" s="12"/>
      <c r="Q868" s="14"/>
    </row>
    <row r="869" spans="2:17">
      <c r="B869" s="12"/>
      <c r="C869" s="12"/>
      <c r="D869" s="12"/>
      <c r="E869" s="12"/>
      <c r="F869" s="12"/>
      <c r="G869" s="12"/>
      <c r="H869" s="12"/>
      <c r="I869" s="12"/>
      <c r="J869" s="12"/>
      <c r="K869" s="12"/>
      <c r="L869" s="12"/>
      <c r="M869" s="12"/>
      <c r="N869" s="12"/>
      <c r="O869" s="12"/>
      <c r="P869" s="12"/>
      <c r="Q869" s="14"/>
    </row>
    <row r="870" spans="2:17">
      <c r="B870" s="12"/>
      <c r="C870" s="12"/>
      <c r="D870" s="12"/>
      <c r="E870" s="12"/>
      <c r="F870" s="12"/>
      <c r="G870" s="12"/>
      <c r="H870" s="12"/>
      <c r="I870" s="12"/>
      <c r="J870" s="12"/>
      <c r="K870" s="12"/>
      <c r="L870" s="12"/>
      <c r="M870" s="12"/>
      <c r="N870" s="12"/>
      <c r="O870" s="12"/>
      <c r="P870" s="12"/>
      <c r="Q870" s="14"/>
    </row>
    <row r="871" spans="2:17">
      <c r="B871" s="12"/>
      <c r="C871" s="12"/>
      <c r="D871" s="12"/>
      <c r="E871" s="12"/>
      <c r="F871" s="12"/>
      <c r="G871" s="12"/>
      <c r="H871" s="12"/>
      <c r="I871" s="12"/>
      <c r="J871" s="12"/>
      <c r="K871" s="12"/>
      <c r="L871" s="12"/>
      <c r="M871" s="12"/>
      <c r="N871" s="12"/>
      <c r="O871" s="12"/>
      <c r="P871" s="12"/>
      <c r="Q871" s="14"/>
    </row>
    <row r="872" spans="2:17">
      <c r="B872" s="12"/>
      <c r="C872" s="12"/>
      <c r="D872" s="12"/>
      <c r="E872" s="12"/>
      <c r="F872" s="12"/>
      <c r="G872" s="12"/>
      <c r="H872" s="12"/>
      <c r="I872" s="12"/>
      <c r="J872" s="12"/>
      <c r="K872" s="12"/>
      <c r="L872" s="12"/>
      <c r="M872" s="12"/>
      <c r="N872" s="12"/>
      <c r="O872" s="12"/>
      <c r="P872" s="12"/>
      <c r="Q872" s="14"/>
    </row>
    <row r="873" spans="2:17">
      <c r="B873" s="12"/>
      <c r="C873" s="12"/>
      <c r="D873" s="12"/>
      <c r="E873" s="12"/>
      <c r="F873" s="12"/>
      <c r="G873" s="12"/>
      <c r="H873" s="12"/>
      <c r="I873" s="12"/>
      <c r="J873" s="12"/>
      <c r="K873" s="12"/>
      <c r="L873" s="12"/>
      <c r="M873" s="12"/>
      <c r="N873" s="12"/>
      <c r="O873" s="12"/>
      <c r="P873" s="12"/>
      <c r="Q873" s="14"/>
    </row>
    <row r="874" spans="2:17">
      <c r="B874" s="12"/>
      <c r="C874" s="12"/>
      <c r="D874" s="12"/>
      <c r="E874" s="12"/>
      <c r="F874" s="12"/>
      <c r="G874" s="12"/>
      <c r="H874" s="12"/>
      <c r="I874" s="12"/>
      <c r="J874" s="12"/>
      <c r="K874" s="12"/>
      <c r="L874" s="12"/>
      <c r="M874" s="12"/>
      <c r="N874" s="12"/>
      <c r="O874" s="12"/>
      <c r="P874" s="12"/>
      <c r="Q874" s="14"/>
    </row>
    <row r="875" spans="2:17">
      <c r="B875" s="12"/>
      <c r="C875" s="12"/>
      <c r="D875" s="12"/>
      <c r="E875" s="12"/>
      <c r="F875" s="12"/>
      <c r="G875" s="12"/>
      <c r="H875" s="12"/>
      <c r="I875" s="12"/>
      <c r="J875" s="12"/>
      <c r="K875" s="12"/>
      <c r="L875" s="12"/>
      <c r="M875" s="12"/>
      <c r="N875" s="12"/>
      <c r="O875" s="12"/>
      <c r="P875" s="12"/>
      <c r="Q875" s="14"/>
    </row>
    <row r="876" spans="2:17">
      <c r="B876" s="12"/>
      <c r="C876" s="12"/>
      <c r="D876" s="12"/>
      <c r="E876" s="12"/>
      <c r="F876" s="12"/>
      <c r="G876" s="12"/>
      <c r="H876" s="12"/>
      <c r="I876" s="12"/>
      <c r="J876" s="12"/>
      <c r="K876" s="12"/>
      <c r="L876" s="12"/>
      <c r="M876" s="12"/>
      <c r="N876" s="12"/>
      <c r="O876" s="12"/>
      <c r="P876" s="12"/>
      <c r="Q876" s="14"/>
    </row>
    <row r="877" spans="2:17">
      <c r="B877" s="12"/>
      <c r="C877" s="12"/>
      <c r="D877" s="12"/>
      <c r="E877" s="12"/>
      <c r="F877" s="12"/>
      <c r="G877" s="12"/>
      <c r="H877" s="12"/>
      <c r="I877" s="12"/>
      <c r="J877" s="12"/>
      <c r="K877" s="12"/>
      <c r="L877" s="12"/>
      <c r="M877" s="12"/>
      <c r="N877" s="12"/>
      <c r="O877" s="12"/>
      <c r="P877" s="12"/>
      <c r="Q877" s="14"/>
    </row>
    <row r="878" spans="2:17">
      <c r="B878" s="12"/>
      <c r="C878" s="12"/>
      <c r="D878" s="12"/>
      <c r="E878" s="12"/>
      <c r="F878" s="12"/>
      <c r="G878" s="12"/>
      <c r="H878" s="12"/>
      <c r="I878" s="12"/>
      <c r="J878" s="12"/>
      <c r="K878" s="12"/>
      <c r="L878" s="12"/>
      <c r="M878" s="12"/>
      <c r="N878" s="12"/>
      <c r="O878" s="12"/>
      <c r="P878" s="12"/>
      <c r="Q878" s="14"/>
    </row>
    <row r="879" spans="2:17">
      <c r="B879" s="12"/>
      <c r="C879" s="12"/>
      <c r="D879" s="12"/>
      <c r="E879" s="12"/>
      <c r="F879" s="12"/>
      <c r="G879" s="12"/>
      <c r="H879" s="12"/>
      <c r="I879" s="12"/>
      <c r="J879" s="12"/>
      <c r="K879" s="12"/>
      <c r="L879" s="12"/>
      <c r="M879" s="12"/>
      <c r="N879" s="12"/>
      <c r="O879" s="12"/>
      <c r="P879" s="12"/>
      <c r="Q879" s="14"/>
    </row>
    <row r="880" spans="2:17">
      <c r="B880" s="12"/>
      <c r="C880" s="12"/>
      <c r="D880" s="12"/>
      <c r="E880" s="12"/>
      <c r="F880" s="12"/>
      <c r="G880" s="12"/>
      <c r="H880" s="12"/>
      <c r="I880" s="12"/>
      <c r="J880" s="12"/>
      <c r="K880" s="12"/>
      <c r="L880" s="12"/>
      <c r="M880" s="12"/>
      <c r="N880" s="12"/>
      <c r="O880" s="12"/>
      <c r="P880" s="12"/>
      <c r="Q880" s="14"/>
    </row>
    <row r="881" spans="2:17">
      <c r="B881" s="12"/>
      <c r="C881" s="12"/>
      <c r="D881" s="12"/>
      <c r="E881" s="12"/>
      <c r="F881" s="12"/>
      <c r="G881" s="12"/>
      <c r="H881" s="12"/>
      <c r="I881" s="12"/>
      <c r="J881" s="12"/>
      <c r="K881" s="12"/>
      <c r="L881" s="12"/>
      <c r="M881" s="12"/>
      <c r="N881" s="12"/>
      <c r="O881" s="12"/>
      <c r="P881" s="12"/>
      <c r="Q881" s="14"/>
    </row>
    <row r="882" spans="2:17">
      <c r="B882" s="12"/>
      <c r="C882" s="12"/>
      <c r="D882" s="12"/>
      <c r="E882" s="12"/>
      <c r="F882" s="12"/>
      <c r="G882" s="12"/>
      <c r="H882" s="12"/>
      <c r="I882" s="12"/>
      <c r="J882" s="12"/>
      <c r="K882" s="12"/>
      <c r="L882" s="12"/>
      <c r="M882" s="12"/>
      <c r="N882" s="12"/>
      <c r="O882" s="12"/>
      <c r="P882" s="12"/>
      <c r="Q882" s="14"/>
    </row>
    <row r="883" spans="2:17">
      <c r="B883" s="12"/>
      <c r="C883" s="12"/>
      <c r="D883" s="12"/>
      <c r="E883" s="12"/>
      <c r="F883" s="12"/>
      <c r="G883" s="12"/>
      <c r="H883" s="12"/>
      <c r="I883" s="12"/>
      <c r="J883" s="12"/>
      <c r="K883" s="12"/>
      <c r="L883" s="12"/>
      <c r="M883" s="12"/>
      <c r="N883" s="12"/>
      <c r="O883" s="12"/>
      <c r="P883" s="12"/>
      <c r="Q883" s="14"/>
    </row>
    <row r="884" spans="2:17">
      <c r="B884" s="12"/>
      <c r="C884" s="12"/>
      <c r="D884" s="12"/>
      <c r="E884" s="12"/>
      <c r="F884" s="12"/>
      <c r="G884" s="12"/>
      <c r="H884" s="12"/>
      <c r="I884" s="12"/>
      <c r="J884" s="12"/>
      <c r="K884" s="12"/>
      <c r="L884" s="12"/>
      <c r="M884" s="12"/>
      <c r="N884" s="12"/>
      <c r="O884" s="12"/>
      <c r="P884" s="12"/>
      <c r="Q884" s="14"/>
    </row>
    <row r="885" spans="2:17">
      <c r="B885" s="12"/>
      <c r="C885" s="12"/>
      <c r="D885" s="12"/>
      <c r="E885" s="12"/>
      <c r="F885" s="12"/>
      <c r="G885" s="12"/>
      <c r="H885" s="12"/>
      <c r="I885" s="12"/>
      <c r="J885" s="12"/>
      <c r="K885" s="12"/>
      <c r="L885" s="12"/>
      <c r="M885" s="12"/>
      <c r="N885" s="12"/>
      <c r="O885" s="12"/>
      <c r="P885" s="12"/>
      <c r="Q885" s="14"/>
    </row>
    <row r="886" spans="2:17">
      <c r="B886" s="12"/>
      <c r="C886" s="12"/>
      <c r="D886" s="12"/>
      <c r="E886" s="12"/>
      <c r="F886" s="12"/>
      <c r="G886" s="12"/>
      <c r="H886" s="12"/>
      <c r="I886" s="12"/>
      <c r="J886" s="12"/>
      <c r="K886" s="12"/>
      <c r="L886" s="12"/>
      <c r="M886" s="12"/>
      <c r="N886" s="12"/>
      <c r="O886" s="12"/>
      <c r="P886" s="12"/>
      <c r="Q886" s="14"/>
    </row>
    <row r="887" spans="2:17">
      <c r="B887" s="12"/>
      <c r="C887" s="12"/>
      <c r="D887" s="12"/>
      <c r="E887" s="12"/>
      <c r="F887" s="12"/>
      <c r="G887" s="12"/>
      <c r="H887" s="12"/>
      <c r="I887" s="12"/>
      <c r="J887" s="12"/>
      <c r="K887" s="12"/>
      <c r="L887" s="12"/>
      <c r="M887" s="12"/>
      <c r="N887" s="12"/>
      <c r="O887" s="12"/>
      <c r="P887" s="12"/>
      <c r="Q887" s="14"/>
    </row>
    <row r="888" spans="2:17">
      <c r="B888" s="12"/>
      <c r="C888" s="12"/>
      <c r="D888" s="12"/>
      <c r="E888" s="12"/>
      <c r="F888" s="12"/>
      <c r="G888" s="12"/>
      <c r="H888" s="12"/>
      <c r="I888" s="12"/>
      <c r="J888" s="12"/>
      <c r="K888" s="12"/>
      <c r="L888" s="12"/>
      <c r="M888" s="12"/>
      <c r="N888" s="12"/>
      <c r="O888" s="12"/>
      <c r="P888" s="12"/>
      <c r="Q888" s="14"/>
    </row>
    <row r="889" spans="2:17">
      <c r="B889" s="12"/>
      <c r="C889" s="12"/>
      <c r="D889" s="12"/>
      <c r="E889" s="12"/>
      <c r="F889" s="12"/>
      <c r="G889" s="12"/>
      <c r="H889" s="12"/>
      <c r="I889" s="12"/>
      <c r="J889" s="12"/>
      <c r="K889" s="12"/>
      <c r="L889" s="12"/>
      <c r="M889" s="12"/>
      <c r="N889" s="12"/>
      <c r="O889" s="12"/>
      <c r="P889" s="12"/>
      <c r="Q889" s="14"/>
    </row>
    <row r="890" spans="2:17">
      <c r="B890" s="12"/>
      <c r="C890" s="12"/>
      <c r="D890" s="12"/>
      <c r="E890" s="12"/>
      <c r="F890" s="12"/>
      <c r="G890" s="12"/>
      <c r="H890" s="12"/>
      <c r="I890" s="12"/>
      <c r="J890" s="12"/>
      <c r="K890" s="12"/>
      <c r="L890" s="12"/>
      <c r="M890" s="12"/>
      <c r="N890" s="12"/>
      <c r="O890" s="12"/>
      <c r="P890" s="12"/>
      <c r="Q890" s="14"/>
    </row>
    <row r="891" spans="2:17">
      <c r="B891" s="12"/>
      <c r="C891" s="12"/>
      <c r="D891" s="12"/>
      <c r="E891" s="12"/>
      <c r="F891" s="12"/>
      <c r="G891" s="12"/>
      <c r="H891" s="12"/>
      <c r="I891" s="12"/>
      <c r="J891" s="12"/>
      <c r="K891" s="12"/>
      <c r="L891" s="12"/>
      <c r="M891" s="12"/>
      <c r="N891" s="12"/>
      <c r="O891" s="12"/>
      <c r="P891" s="12"/>
      <c r="Q891" s="14"/>
    </row>
    <row r="892" spans="2:17">
      <c r="B892" s="12"/>
      <c r="C892" s="12"/>
      <c r="D892" s="12"/>
      <c r="E892" s="12"/>
      <c r="F892" s="12"/>
      <c r="G892" s="12"/>
      <c r="H892" s="12"/>
      <c r="I892" s="12"/>
      <c r="J892" s="12"/>
      <c r="K892" s="12"/>
      <c r="L892" s="12"/>
      <c r="M892" s="12"/>
      <c r="N892" s="12"/>
      <c r="O892" s="12"/>
      <c r="P892" s="12"/>
      <c r="Q892" s="14"/>
    </row>
    <row r="893" spans="2:17">
      <c r="B893" s="12"/>
      <c r="C893" s="12"/>
      <c r="D893" s="12"/>
      <c r="E893" s="12"/>
      <c r="F893" s="12"/>
      <c r="G893" s="12"/>
      <c r="H893" s="12"/>
      <c r="I893" s="12"/>
      <c r="J893" s="12"/>
      <c r="K893" s="12"/>
      <c r="L893" s="12"/>
      <c r="M893" s="12"/>
      <c r="N893" s="12"/>
      <c r="O893" s="12"/>
      <c r="P893" s="12"/>
      <c r="Q893" s="14"/>
    </row>
    <row r="894" spans="2:17">
      <c r="B894" s="12"/>
      <c r="C894" s="12"/>
      <c r="D894" s="12"/>
      <c r="E894" s="12"/>
      <c r="F894" s="12"/>
      <c r="G894" s="12"/>
      <c r="H894" s="12"/>
      <c r="I894" s="12"/>
      <c r="J894" s="12"/>
      <c r="K894" s="12"/>
      <c r="L894" s="12"/>
      <c r="M894" s="12"/>
      <c r="N894" s="12"/>
      <c r="O894" s="12"/>
      <c r="P894" s="12"/>
      <c r="Q894" s="14"/>
    </row>
    <row r="895" spans="2:17">
      <c r="B895" s="12"/>
      <c r="C895" s="12"/>
      <c r="D895" s="12"/>
      <c r="E895" s="12"/>
      <c r="F895" s="12"/>
      <c r="G895" s="12"/>
      <c r="H895" s="12"/>
      <c r="I895" s="12"/>
      <c r="J895" s="12"/>
      <c r="K895" s="12"/>
      <c r="L895" s="12"/>
      <c r="M895" s="12"/>
      <c r="N895" s="12"/>
      <c r="O895" s="12"/>
      <c r="P895" s="12"/>
      <c r="Q895" s="14"/>
    </row>
    <row r="896" spans="2:17">
      <c r="B896" s="12"/>
      <c r="C896" s="12"/>
      <c r="D896" s="12"/>
      <c r="E896" s="12"/>
      <c r="F896" s="12"/>
      <c r="G896" s="12"/>
      <c r="H896" s="12"/>
      <c r="I896" s="12"/>
      <c r="J896" s="12"/>
      <c r="K896" s="12"/>
      <c r="L896" s="12"/>
      <c r="M896" s="12"/>
      <c r="N896" s="12"/>
      <c r="O896" s="12"/>
      <c r="P896" s="12"/>
      <c r="Q896" s="14"/>
    </row>
    <row r="897" spans="2:17">
      <c r="B897" s="12"/>
      <c r="C897" s="12"/>
      <c r="D897" s="12"/>
      <c r="E897" s="12"/>
      <c r="F897" s="12"/>
      <c r="G897" s="12"/>
      <c r="H897" s="12"/>
      <c r="I897" s="12"/>
      <c r="J897" s="12"/>
      <c r="K897" s="12"/>
      <c r="L897" s="12"/>
      <c r="M897" s="12"/>
      <c r="N897" s="12"/>
      <c r="O897" s="12"/>
      <c r="P897" s="12"/>
      <c r="Q897" s="14"/>
    </row>
    <row r="898" spans="2:17">
      <c r="B898" s="12"/>
      <c r="C898" s="12"/>
      <c r="D898" s="12"/>
      <c r="E898" s="12"/>
      <c r="F898" s="12"/>
      <c r="G898" s="12"/>
      <c r="H898" s="12"/>
      <c r="I898" s="12"/>
      <c r="J898" s="12"/>
      <c r="K898" s="12"/>
      <c r="L898" s="12"/>
      <c r="M898" s="12"/>
      <c r="N898" s="12"/>
      <c r="O898" s="12"/>
      <c r="P898" s="12"/>
      <c r="Q898" s="14"/>
    </row>
    <row r="899" spans="2:17">
      <c r="B899" s="12"/>
      <c r="C899" s="12"/>
      <c r="D899" s="12"/>
      <c r="E899" s="12"/>
      <c r="F899" s="12"/>
      <c r="G899" s="12"/>
      <c r="H899" s="12"/>
      <c r="I899" s="12"/>
      <c r="J899" s="12"/>
      <c r="K899" s="12"/>
      <c r="L899" s="12"/>
      <c r="M899" s="12"/>
      <c r="N899" s="12"/>
      <c r="O899" s="12"/>
      <c r="P899" s="12"/>
      <c r="Q899" s="14"/>
    </row>
    <row r="900" spans="2:17">
      <c r="B900" s="12"/>
      <c r="C900" s="12"/>
      <c r="D900" s="12"/>
      <c r="E900" s="12"/>
      <c r="F900" s="12"/>
      <c r="G900" s="12"/>
      <c r="H900" s="12"/>
      <c r="I900" s="12"/>
      <c r="J900" s="12"/>
      <c r="K900" s="12"/>
      <c r="L900" s="12"/>
      <c r="M900" s="12"/>
      <c r="N900" s="12"/>
      <c r="O900" s="12"/>
      <c r="P900" s="12"/>
      <c r="Q900" s="14"/>
    </row>
    <row r="901" spans="2:17">
      <c r="B901" s="12"/>
      <c r="C901" s="12"/>
      <c r="D901" s="12"/>
      <c r="E901" s="12"/>
      <c r="F901" s="12"/>
      <c r="G901" s="12"/>
      <c r="H901" s="12"/>
      <c r="I901" s="12"/>
      <c r="J901" s="12"/>
      <c r="K901" s="12"/>
      <c r="L901" s="12"/>
      <c r="M901" s="12"/>
      <c r="N901" s="12"/>
      <c r="O901" s="12"/>
      <c r="P901" s="12"/>
      <c r="Q901" s="14"/>
    </row>
    <row r="902" spans="2:17">
      <c r="B902" s="12"/>
      <c r="C902" s="12"/>
      <c r="D902" s="12"/>
      <c r="E902" s="12"/>
      <c r="F902" s="12"/>
      <c r="G902" s="12"/>
      <c r="H902" s="12"/>
      <c r="I902" s="12"/>
      <c r="J902" s="12"/>
      <c r="K902" s="12"/>
      <c r="L902" s="12"/>
      <c r="M902" s="12"/>
      <c r="N902" s="12"/>
      <c r="O902" s="12"/>
      <c r="P902" s="12"/>
      <c r="Q902" s="14"/>
    </row>
    <row r="903" spans="2:17">
      <c r="B903" s="12"/>
      <c r="C903" s="12"/>
      <c r="D903" s="12"/>
      <c r="E903" s="12"/>
      <c r="F903" s="12"/>
      <c r="G903" s="12"/>
      <c r="H903" s="12"/>
      <c r="I903" s="12"/>
      <c r="J903" s="12"/>
      <c r="K903" s="12"/>
      <c r="L903" s="12"/>
      <c r="M903" s="12"/>
      <c r="N903" s="12"/>
      <c r="O903" s="12"/>
      <c r="P903" s="12"/>
      <c r="Q903" s="14"/>
    </row>
    <row r="904" spans="2:17">
      <c r="B904" s="12"/>
      <c r="C904" s="12"/>
      <c r="D904" s="12"/>
      <c r="E904" s="12"/>
      <c r="F904" s="12"/>
      <c r="G904" s="12"/>
      <c r="H904" s="12"/>
      <c r="I904" s="12"/>
      <c r="J904" s="12"/>
      <c r="K904" s="12"/>
      <c r="L904" s="12"/>
      <c r="M904" s="12"/>
      <c r="N904" s="12"/>
      <c r="O904" s="12"/>
      <c r="P904" s="12"/>
      <c r="Q904" s="14"/>
    </row>
    <row r="905" spans="2:17">
      <c r="B905" s="12"/>
      <c r="C905" s="12"/>
      <c r="D905" s="12"/>
      <c r="E905" s="12"/>
      <c r="F905" s="12"/>
      <c r="G905" s="12"/>
      <c r="H905" s="12"/>
      <c r="I905" s="12"/>
      <c r="J905" s="12"/>
      <c r="K905" s="12"/>
      <c r="L905" s="12"/>
      <c r="M905" s="12"/>
      <c r="N905" s="12"/>
      <c r="O905" s="12"/>
      <c r="P905" s="12"/>
      <c r="Q905" s="14"/>
    </row>
    <row r="906" spans="2:17">
      <c r="B906" s="12"/>
      <c r="C906" s="12"/>
      <c r="D906" s="12"/>
      <c r="E906" s="12"/>
      <c r="F906" s="12"/>
      <c r="G906" s="12"/>
      <c r="H906" s="12"/>
      <c r="I906" s="12"/>
      <c r="J906" s="12"/>
      <c r="K906" s="12"/>
      <c r="L906" s="12"/>
      <c r="M906" s="12"/>
      <c r="N906" s="12"/>
      <c r="O906" s="12"/>
      <c r="P906" s="12"/>
      <c r="Q906" s="14"/>
    </row>
    <row r="907" spans="2:17">
      <c r="B907" s="12"/>
      <c r="C907" s="12"/>
      <c r="D907" s="12"/>
      <c r="E907" s="12"/>
      <c r="F907" s="12"/>
      <c r="G907" s="12"/>
      <c r="H907" s="12"/>
      <c r="I907" s="12"/>
      <c r="J907" s="12"/>
      <c r="K907" s="12"/>
      <c r="L907" s="12"/>
      <c r="M907" s="12"/>
      <c r="N907" s="12"/>
      <c r="O907" s="12"/>
      <c r="P907" s="12"/>
      <c r="Q907" s="14"/>
    </row>
    <row r="908" spans="2:17">
      <c r="B908" s="12"/>
      <c r="C908" s="12"/>
      <c r="D908" s="12"/>
      <c r="E908" s="12"/>
      <c r="F908" s="12"/>
      <c r="G908" s="12"/>
      <c r="H908" s="12"/>
      <c r="I908" s="12"/>
      <c r="J908" s="12"/>
      <c r="K908" s="12"/>
      <c r="L908" s="12"/>
      <c r="M908" s="12"/>
      <c r="N908" s="12"/>
      <c r="O908" s="12"/>
      <c r="P908" s="12"/>
      <c r="Q908" s="14"/>
    </row>
    <row r="909" spans="2:17">
      <c r="B909" s="12"/>
      <c r="C909" s="12"/>
      <c r="D909" s="12"/>
      <c r="E909" s="12"/>
      <c r="F909" s="12"/>
      <c r="G909" s="12"/>
      <c r="H909" s="12"/>
      <c r="I909" s="12"/>
      <c r="J909" s="12"/>
      <c r="K909" s="12"/>
      <c r="L909" s="12"/>
      <c r="M909" s="12"/>
      <c r="N909" s="12"/>
      <c r="O909" s="12"/>
      <c r="P909" s="12"/>
      <c r="Q909" s="14"/>
    </row>
    <row r="910" spans="2:17">
      <c r="B910" s="12"/>
      <c r="C910" s="12"/>
      <c r="D910" s="12"/>
      <c r="E910" s="12"/>
      <c r="F910" s="12"/>
      <c r="G910" s="12"/>
      <c r="H910" s="12"/>
      <c r="I910" s="12"/>
      <c r="J910" s="12"/>
      <c r="K910" s="12"/>
      <c r="L910" s="12"/>
      <c r="M910" s="12"/>
      <c r="N910" s="12"/>
      <c r="O910" s="12"/>
      <c r="P910" s="12"/>
      <c r="Q910" s="14"/>
    </row>
    <row r="911" spans="2:17">
      <c r="B911" s="12"/>
      <c r="C911" s="12"/>
      <c r="D911" s="12"/>
      <c r="E911" s="12"/>
      <c r="F911" s="12"/>
      <c r="G911" s="12"/>
      <c r="H911" s="12"/>
      <c r="I911" s="12"/>
      <c r="J911" s="12"/>
      <c r="K911" s="12"/>
      <c r="L911" s="12"/>
      <c r="M911" s="12"/>
      <c r="N911" s="12"/>
      <c r="O911" s="12"/>
      <c r="P911" s="12"/>
      <c r="Q911" s="14"/>
    </row>
    <row r="912" spans="2:17">
      <c r="B912" s="12"/>
      <c r="C912" s="12"/>
      <c r="D912" s="12"/>
      <c r="E912" s="12"/>
      <c r="F912" s="12"/>
      <c r="G912" s="12"/>
      <c r="H912" s="12"/>
      <c r="I912" s="12"/>
      <c r="J912" s="12"/>
      <c r="K912" s="12"/>
      <c r="L912" s="12"/>
      <c r="M912" s="12"/>
      <c r="N912" s="12"/>
      <c r="O912" s="12"/>
      <c r="P912" s="12"/>
      <c r="Q912" s="14"/>
    </row>
    <row r="913" spans="2:17">
      <c r="B913" s="12"/>
      <c r="C913" s="12"/>
      <c r="D913" s="12"/>
      <c r="E913" s="12"/>
      <c r="F913" s="12"/>
      <c r="G913" s="12"/>
      <c r="H913" s="12"/>
      <c r="I913" s="12"/>
      <c r="J913" s="12"/>
      <c r="K913" s="12"/>
      <c r="L913" s="12"/>
      <c r="M913" s="12"/>
      <c r="N913" s="12"/>
      <c r="O913" s="12"/>
      <c r="P913" s="12"/>
      <c r="Q913" s="14"/>
    </row>
    <row r="914" spans="2:17">
      <c r="B914" s="12"/>
      <c r="C914" s="12"/>
      <c r="D914" s="12"/>
      <c r="E914" s="12"/>
      <c r="F914" s="12"/>
      <c r="G914" s="12"/>
      <c r="H914" s="12"/>
      <c r="I914" s="12"/>
      <c r="J914" s="12"/>
      <c r="K914" s="12"/>
      <c r="L914" s="12"/>
      <c r="M914" s="12"/>
      <c r="N914" s="12"/>
      <c r="O914" s="12"/>
      <c r="P914" s="12"/>
      <c r="Q914" s="14"/>
    </row>
    <row r="915" spans="2:17">
      <c r="B915" s="12"/>
      <c r="C915" s="12"/>
      <c r="D915" s="12"/>
      <c r="E915" s="12"/>
      <c r="F915" s="12"/>
      <c r="G915" s="12"/>
      <c r="H915" s="12"/>
      <c r="I915" s="12"/>
      <c r="J915" s="12"/>
      <c r="K915" s="12"/>
      <c r="L915" s="12"/>
      <c r="M915" s="12"/>
      <c r="N915" s="12"/>
      <c r="O915" s="12"/>
      <c r="P915" s="12"/>
      <c r="Q915" s="14"/>
    </row>
    <row r="916" spans="2:17">
      <c r="B916" s="12"/>
      <c r="C916" s="12"/>
      <c r="D916" s="12"/>
      <c r="E916" s="12"/>
      <c r="F916" s="12"/>
      <c r="G916" s="12"/>
      <c r="H916" s="12"/>
      <c r="I916" s="12"/>
      <c r="J916" s="12"/>
      <c r="K916" s="12"/>
      <c r="L916" s="12"/>
      <c r="M916" s="12"/>
      <c r="N916" s="12"/>
      <c r="O916" s="12"/>
      <c r="P916" s="12"/>
      <c r="Q916" s="14"/>
    </row>
    <row r="917" spans="2:17">
      <c r="B917" s="12"/>
      <c r="C917" s="12"/>
      <c r="D917" s="12"/>
      <c r="E917" s="12"/>
      <c r="F917" s="12"/>
      <c r="G917" s="12"/>
      <c r="H917" s="12"/>
      <c r="I917" s="12"/>
      <c r="J917" s="12"/>
      <c r="K917" s="12"/>
      <c r="L917" s="12"/>
      <c r="M917" s="12"/>
      <c r="N917" s="12"/>
      <c r="O917" s="12"/>
      <c r="P917" s="12"/>
      <c r="Q917" s="14"/>
    </row>
    <row r="918" spans="2:17">
      <c r="B918" s="12"/>
      <c r="C918" s="12"/>
      <c r="D918" s="12"/>
      <c r="E918" s="12"/>
      <c r="F918" s="12"/>
      <c r="G918" s="12"/>
      <c r="H918" s="12"/>
      <c r="I918" s="12"/>
      <c r="J918" s="12"/>
      <c r="K918" s="12"/>
      <c r="L918" s="12"/>
      <c r="M918" s="12"/>
      <c r="N918" s="12"/>
      <c r="O918" s="12"/>
      <c r="P918" s="12"/>
      <c r="Q918" s="14"/>
    </row>
    <row r="919" spans="2:17">
      <c r="B919" s="12"/>
      <c r="C919" s="12"/>
      <c r="D919" s="12"/>
      <c r="E919" s="12"/>
      <c r="F919" s="12"/>
      <c r="G919" s="12"/>
      <c r="H919" s="12"/>
      <c r="I919" s="12"/>
      <c r="J919" s="12"/>
      <c r="K919" s="12"/>
      <c r="L919" s="12"/>
      <c r="M919" s="12"/>
      <c r="N919" s="12"/>
      <c r="O919" s="12"/>
      <c r="P919" s="12"/>
      <c r="Q919" s="14"/>
    </row>
    <row r="920" spans="2:17">
      <c r="B920" s="12"/>
      <c r="C920" s="12"/>
      <c r="D920" s="12"/>
      <c r="E920" s="12"/>
      <c r="F920" s="12"/>
      <c r="G920" s="12"/>
      <c r="H920" s="12"/>
      <c r="I920" s="12"/>
      <c r="J920" s="12"/>
      <c r="K920" s="12"/>
      <c r="L920" s="12"/>
      <c r="M920" s="12"/>
      <c r="N920" s="12"/>
      <c r="O920" s="12"/>
      <c r="P920" s="12"/>
      <c r="Q920" s="14"/>
    </row>
    <row r="921" spans="2:17">
      <c r="B921" s="12"/>
      <c r="C921" s="12"/>
      <c r="D921" s="12"/>
      <c r="E921" s="12"/>
      <c r="F921" s="12"/>
      <c r="G921" s="12"/>
      <c r="H921" s="12"/>
      <c r="I921" s="12"/>
      <c r="J921" s="12"/>
      <c r="K921" s="12"/>
      <c r="L921" s="12"/>
      <c r="M921" s="12"/>
      <c r="N921" s="12"/>
      <c r="O921" s="12"/>
      <c r="P921" s="12"/>
      <c r="Q921" s="14"/>
    </row>
    <row r="922" spans="2:17">
      <c r="B922" s="12"/>
      <c r="C922" s="12"/>
      <c r="D922" s="12"/>
      <c r="E922" s="12"/>
      <c r="F922" s="12"/>
      <c r="G922" s="12"/>
      <c r="H922" s="12"/>
      <c r="I922" s="12"/>
      <c r="J922" s="12"/>
      <c r="K922" s="12"/>
      <c r="L922" s="12"/>
      <c r="M922" s="12"/>
      <c r="N922" s="12"/>
      <c r="O922" s="12"/>
      <c r="P922" s="12"/>
      <c r="Q922" s="14"/>
    </row>
    <row r="923" spans="2:17">
      <c r="B923" s="12"/>
      <c r="C923" s="12"/>
      <c r="D923" s="12"/>
      <c r="E923" s="12"/>
      <c r="F923" s="12"/>
      <c r="G923" s="12"/>
      <c r="H923" s="12"/>
      <c r="I923" s="12"/>
      <c r="J923" s="12"/>
      <c r="K923" s="12"/>
      <c r="L923" s="12"/>
      <c r="M923" s="12"/>
      <c r="N923" s="12"/>
      <c r="O923" s="12"/>
      <c r="P923" s="12"/>
      <c r="Q923" s="14"/>
    </row>
    <row r="924" spans="2:17">
      <c r="B924" s="12"/>
      <c r="C924" s="12"/>
      <c r="D924" s="12"/>
      <c r="E924" s="12"/>
      <c r="F924" s="12"/>
      <c r="G924" s="12"/>
      <c r="H924" s="12"/>
      <c r="I924" s="12"/>
      <c r="J924" s="12"/>
      <c r="K924" s="12"/>
      <c r="L924" s="12"/>
      <c r="M924" s="12"/>
      <c r="N924" s="12"/>
      <c r="O924" s="12"/>
      <c r="P924" s="12"/>
      <c r="Q924" s="14"/>
    </row>
    <row r="925" spans="2:17">
      <c r="B925" s="12"/>
      <c r="C925" s="12"/>
      <c r="D925" s="12"/>
      <c r="E925" s="12"/>
      <c r="F925" s="12"/>
      <c r="G925" s="12"/>
      <c r="H925" s="12"/>
      <c r="I925" s="12"/>
      <c r="J925" s="12"/>
      <c r="K925" s="12"/>
      <c r="L925" s="12"/>
      <c r="M925" s="12"/>
      <c r="N925" s="12"/>
      <c r="O925" s="12"/>
      <c r="P925" s="12"/>
      <c r="Q925" s="14"/>
    </row>
    <row r="926" spans="2:17">
      <c r="B926" s="12"/>
      <c r="C926" s="12"/>
      <c r="D926" s="12"/>
      <c r="E926" s="12"/>
      <c r="F926" s="12"/>
      <c r="G926" s="12"/>
      <c r="H926" s="12"/>
      <c r="I926" s="12"/>
      <c r="J926" s="12"/>
      <c r="K926" s="12"/>
      <c r="L926" s="12"/>
      <c r="M926" s="12"/>
      <c r="N926" s="12"/>
      <c r="O926" s="12"/>
      <c r="P926" s="12"/>
      <c r="Q926" s="14"/>
    </row>
    <row r="927" spans="2:17">
      <c r="B927" s="12"/>
      <c r="C927" s="12"/>
      <c r="D927" s="12"/>
      <c r="E927" s="12"/>
      <c r="F927" s="12"/>
      <c r="G927" s="12"/>
      <c r="H927" s="12"/>
      <c r="I927" s="12"/>
      <c r="J927" s="12"/>
      <c r="K927" s="12"/>
      <c r="L927" s="12"/>
      <c r="M927" s="12"/>
      <c r="N927" s="12"/>
      <c r="O927" s="12"/>
      <c r="P927" s="12"/>
      <c r="Q927" s="14"/>
    </row>
    <row r="928" spans="2:17">
      <c r="B928" s="12"/>
      <c r="C928" s="12"/>
      <c r="D928" s="12"/>
      <c r="E928" s="12"/>
      <c r="F928" s="12"/>
      <c r="G928" s="12"/>
      <c r="H928" s="12"/>
      <c r="I928" s="12"/>
      <c r="J928" s="12"/>
      <c r="K928" s="12"/>
      <c r="L928" s="12"/>
      <c r="M928" s="12"/>
      <c r="N928" s="12"/>
      <c r="O928" s="12"/>
      <c r="P928" s="12"/>
      <c r="Q928" s="14"/>
    </row>
    <row r="929" spans="2:17">
      <c r="B929" s="12"/>
      <c r="C929" s="12"/>
      <c r="D929" s="12"/>
      <c r="E929" s="12"/>
      <c r="F929" s="12"/>
      <c r="G929" s="12"/>
      <c r="H929" s="12"/>
      <c r="I929" s="12"/>
      <c r="J929" s="12"/>
      <c r="K929" s="12"/>
      <c r="L929" s="12"/>
      <c r="M929" s="12"/>
      <c r="N929" s="12"/>
      <c r="O929" s="12"/>
      <c r="P929" s="12"/>
      <c r="Q929" s="14"/>
    </row>
    <row r="930" spans="2:17">
      <c r="B930" s="12"/>
      <c r="C930" s="12"/>
      <c r="D930" s="12"/>
      <c r="E930" s="12"/>
      <c r="F930" s="12"/>
      <c r="G930" s="12"/>
      <c r="H930" s="12"/>
      <c r="I930" s="12"/>
      <c r="J930" s="12"/>
      <c r="K930" s="12"/>
      <c r="L930" s="12"/>
      <c r="M930" s="12"/>
      <c r="N930" s="12"/>
      <c r="O930" s="12"/>
      <c r="P930" s="12"/>
      <c r="Q930" s="14"/>
    </row>
    <row r="931" spans="2:17">
      <c r="B931" s="12"/>
      <c r="C931" s="12"/>
      <c r="D931" s="12"/>
      <c r="E931" s="12"/>
      <c r="F931" s="12"/>
      <c r="G931" s="12"/>
      <c r="H931" s="12"/>
      <c r="I931" s="12"/>
      <c r="J931" s="12"/>
      <c r="K931" s="12"/>
      <c r="L931" s="12"/>
      <c r="M931" s="12"/>
      <c r="N931" s="12"/>
      <c r="O931" s="12"/>
      <c r="P931" s="12"/>
      <c r="Q931" s="14"/>
    </row>
    <row r="932" spans="2:17">
      <c r="B932" s="12"/>
      <c r="C932" s="12"/>
      <c r="D932" s="12"/>
      <c r="E932" s="12"/>
      <c r="F932" s="12"/>
      <c r="G932" s="12"/>
      <c r="H932" s="12"/>
      <c r="I932" s="12"/>
      <c r="J932" s="12"/>
      <c r="K932" s="12"/>
      <c r="L932" s="12"/>
      <c r="M932" s="12"/>
      <c r="N932" s="12"/>
      <c r="O932" s="12"/>
      <c r="P932" s="12"/>
      <c r="Q932" s="14"/>
    </row>
    <row r="933" spans="2:17">
      <c r="B933" s="12"/>
      <c r="C933" s="12"/>
      <c r="D933" s="12"/>
      <c r="E933" s="12"/>
      <c r="F933" s="12"/>
      <c r="G933" s="12"/>
      <c r="H933" s="12"/>
      <c r="I933" s="12"/>
      <c r="J933" s="12"/>
      <c r="K933" s="12"/>
      <c r="L933" s="12"/>
      <c r="M933" s="12"/>
      <c r="N933" s="12"/>
      <c r="O933" s="12"/>
      <c r="P933" s="12"/>
      <c r="Q933" s="14"/>
    </row>
    <row r="934" spans="2:17">
      <c r="B934" s="12"/>
      <c r="C934" s="12"/>
      <c r="D934" s="12"/>
      <c r="E934" s="12"/>
      <c r="F934" s="12"/>
      <c r="G934" s="12"/>
      <c r="H934" s="12"/>
      <c r="I934" s="12"/>
      <c r="J934" s="12"/>
      <c r="K934" s="12"/>
      <c r="L934" s="12"/>
      <c r="M934" s="12"/>
      <c r="N934" s="12"/>
      <c r="O934" s="12"/>
      <c r="P934" s="12"/>
      <c r="Q934" s="14"/>
    </row>
    <row r="935" spans="2:17">
      <c r="B935" s="12"/>
      <c r="C935" s="12"/>
      <c r="D935" s="12"/>
      <c r="E935" s="12"/>
      <c r="F935" s="12"/>
      <c r="G935" s="12"/>
      <c r="H935" s="12"/>
      <c r="I935" s="12"/>
      <c r="J935" s="12"/>
      <c r="K935" s="12"/>
      <c r="L935" s="12"/>
      <c r="M935" s="12"/>
      <c r="N935" s="12"/>
      <c r="O935" s="12"/>
      <c r="P935" s="12"/>
      <c r="Q935" s="14"/>
    </row>
    <row r="936" spans="2:17">
      <c r="B936" s="12"/>
      <c r="C936" s="12"/>
      <c r="D936" s="12"/>
      <c r="E936" s="12"/>
      <c r="F936" s="12"/>
      <c r="G936" s="12"/>
      <c r="H936" s="12"/>
      <c r="I936" s="12"/>
      <c r="J936" s="12"/>
      <c r="K936" s="12"/>
      <c r="L936" s="12"/>
      <c r="M936" s="12"/>
      <c r="N936" s="12"/>
      <c r="O936" s="12"/>
      <c r="P936" s="12"/>
      <c r="Q936" s="14"/>
    </row>
    <row r="937" spans="2:17">
      <c r="B937" s="12"/>
      <c r="C937" s="12"/>
      <c r="D937" s="12"/>
      <c r="E937" s="12"/>
      <c r="F937" s="12"/>
      <c r="G937" s="12"/>
      <c r="H937" s="12"/>
      <c r="I937" s="12"/>
      <c r="J937" s="12"/>
      <c r="K937" s="12"/>
      <c r="L937" s="12"/>
      <c r="M937" s="12"/>
      <c r="N937" s="12"/>
      <c r="O937" s="12"/>
      <c r="P937" s="12"/>
      <c r="Q937" s="14"/>
    </row>
    <row r="938" spans="2:17">
      <c r="B938" s="12"/>
      <c r="C938" s="12"/>
      <c r="D938" s="12"/>
      <c r="E938" s="12"/>
      <c r="F938" s="12"/>
      <c r="G938" s="12"/>
      <c r="H938" s="12"/>
      <c r="I938" s="12"/>
      <c r="J938" s="12"/>
      <c r="K938" s="12"/>
      <c r="L938" s="12"/>
      <c r="M938" s="12"/>
      <c r="N938" s="12"/>
      <c r="O938" s="12"/>
      <c r="P938" s="12"/>
      <c r="Q938" s="14"/>
    </row>
    <row r="939" spans="2:17">
      <c r="B939" s="12"/>
      <c r="C939" s="12"/>
      <c r="D939" s="12"/>
      <c r="E939" s="12"/>
      <c r="F939" s="12"/>
      <c r="G939" s="12"/>
      <c r="H939" s="12"/>
      <c r="I939" s="12"/>
      <c r="J939" s="12"/>
      <c r="K939" s="12"/>
      <c r="L939" s="12"/>
      <c r="M939" s="12"/>
      <c r="N939" s="12"/>
      <c r="O939" s="12"/>
      <c r="P939" s="12"/>
      <c r="Q939" s="14"/>
    </row>
    <row r="940" spans="2:17">
      <c r="B940" s="12"/>
      <c r="C940" s="12"/>
      <c r="D940" s="12"/>
      <c r="E940" s="12"/>
      <c r="F940" s="12"/>
      <c r="G940" s="12"/>
      <c r="H940" s="12"/>
      <c r="I940" s="12"/>
      <c r="J940" s="12"/>
      <c r="K940" s="12"/>
      <c r="L940" s="12"/>
      <c r="M940" s="12"/>
      <c r="N940" s="12"/>
      <c r="O940" s="12"/>
      <c r="P940" s="12"/>
      <c r="Q940" s="14"/>
    </row>
    <row r="941" spans="2:17">
      <c r="B941" s="12"/>
      <c r="C941" s="12"/>
      <c r="D941" s="12"/>
      <c r="E941" s="12"/>
      <c r="F941" s="12"/>
      <c r="G941" s="12"/>
      <c r="H941" s="12"/>
      <c r="I941" s="12"/>
      <c r="J941" s="12"/>
      <c r="K941" s="12"/>
      <c r="L941" s="12"/>
      <c r="M941" s="12"/>
      <c r="N941" s="12"/>
      <c r="O941" s="12"/>
      <c r="P941" s="12"/>
      <c r="Q941" s="14"/>
    </row>
    <row r="942" spans="2:17">
      <c r="B942" s="12"/>
      <c r="C942" s="12"/>
      <c r="D942" s="12"/>
      <c r="E942" s="12"/>
      <c r="F942" s="12"/>
      <c r="G942" s="12"/>
      <c r="H942" s="12"/>
      <c r="I942" s="12"/>
      <c r="J942" s="12"/>
      <c r="K942" s="12"/>
      <c r="L942" s="12"/>
      <c r="M942" s="12"/>
      <c r="N942" s="12"/>
      <c r="O942" s="12"/>
      <c r="P942" s="12"/>
      <c r="Q942" s="14"/>
    </row>
    <row r="943" spans="2:17">
      <c r="B943" s="12"/>
      <c r="C943" s="12"/>
      <c r="D943" s="12"/>
      <c r="E943" s="12"/>
      <c r="F943" s="12"/>
      <c r="G943" s="12"/>
      <c r="H943" s="12"/>
      <c r="I943" s="12"/>
      <c r="J943" s="12"/>
      <c r="K943" s="12"/>
      <c r="L943" s="12"/>
      <c r="M943" s="12"/>
      <c r="N943" s="12"/>
      <c r="O943" s="12"/>
      <c r="P943" s="12"/>
      <c r="Q943" s="14"/>
    </row>
    <row r="944" spans="2:17">
      <c r="B944" s="12"/>
      <c r="C944" s="12"/>
      <c r="D944" s="12"/>
      <c r="E944" s="12"/>
      <c r="F944" s="12"/>
      <c r="G944" s="12"/>
      <c r="H944" s="12"/>
      <c r="I944" s="12"/>
      <c r="J944" s="12"/>
      <c r="K944" s="12"/>
      <c r="L944" s="12"/>
      <c r="M944" s="12"/>
      <c r="N944" s="12"/>
      <c r="O944" s="12"/>
      <c r="P944" s="12"/>
      <c r="Q944" s="14"/>
    </row>
    <row r="945" spans="2:17">
      <c r="B945" s="12"/>
      <c r="C945" s="12"/>
      <c r="D945" s="12"/>
      <c r="E945" s="12"/>
      <c r="F945" s="12"/>
      <c r="G945" s="12"/>
      <c r="H945" s="12"/>
      <c r="I945" s="12"/>
      <c r="J945" s="12"/>
      <c r="K945" s="12"/>
      <c r="L945" s="12"/>
      <c r="M945" s="12"/>
      <c r="N945" s="12"/>
      <c r="O945" s="12"/>
      <c r="P945" s="12"/>
      <c r="Q945" s="14"/>
    </row>
    <row r="946" spans="2:17">
      <c r="B946" s="12"/>
      <c r="C946" s="12"/>
      <c r="D946" s="12"/>
      <c r="E946" s="12"/>
      <c r="F946" s="12"/>
      <c r="G946" s="12"/>
      <c r="H946" s="12"/>
      <c r="I946" s="12"/>
      <c r="J946" s="12"/>
      <c r="K946" s="12"/>
      <c r="L946" s="12"/>
      <c r="M946" s="12"/>
      <c r="N946" s="12"/>
      <c r="O946" s="12"/>
      <c r="P946" s="12"/>
      <c r="Q946" s="14"/>
    </row>
    <row r="947" spans="2:17">
      <c r="B947" s="12"/>
      <c r="C947" s="12"/>
      <c r="D947" s="12"/>
      <c r="E947" s="12"/>
      <c r="F947" s="12"/>
      <c r="G947" s="12"/>
      <c r="H947" s="12"/>
      <c r="I947" s="12"/>
      <c r="J947" s="12"/>
      <c r="K947" s="12"/>
      <c r="L947" s="12"/>
      <c r="M947" s="12"/>
      <c r="N947" s="12"/>
      <c r="O947" s="12"/>
      <c r="P947" s="12"/>
      <c r="Q947" s="14"/>
    </row>
    <row r="948" spans="2:17">
      <c r="B948" s="12"/>
      <c r="C948" s="12"/>
      <c r="D948" s="12"/>
      <c r="E948" s="12"/>
      <c r="F948" s="12"/>
      <c r="G948" s="12"/>
      <c r="H948" s="12"/>
      <c r="I948" s="12"/>
      <c r="J948" s="12"/>
      <c r="K948" s="12"/>
      <c r="L948" s="12"/>
      <c r="M948" s="12"/>
      <c r="N948" s="12"/>
      <c r="O948" s="12"/>
      <c r="P948" s="12"/>
      <c r="Q948" s="14"/>
    </row>
    <row r="949" spans="2:17">
      <c r="B949" s="12"/>
      <c r="C949" s="12"/>
      <c r="D949" s="12"/>
      <c r="E949" s="12"/>
      <c r="F949" s="12"/>
      <c r="G949" s="12"/>
      <c r="H949" s="12"/>
      <c r="I949" s="12"/>
      <c r="J949" s="12"/>
      <c r="K949" s="12"/>
      <c r="L949" s="12"/>
      <c r="M949" s="12"/>
      <c r="N949" s="12"/>
      <c r="O949" s="12"/>
      <c r="P949" s="12"/>
      <c r="Q949" s="14"/>
    </row>
    <row r="950" spans="2:17">
      <c r="B950" s="12"/>
      <c r="C950" s="12"/>
      <c r="D950" s="12"/>
      <c r="E950" s="12"/>
      <c r="F950" s="12"/>
      <c r="G950" s="12"/>
      <c r="H950" s="12"/>
      <c r="I950" s="12"/>
      <c r="J950" s="12"/>
      <c r="K950" s="12"/>
      <c r="L950" s="12"/>
      <c r="M950" s="12"/>
      <c r="N950" s="12"/>
      <c r="O950" s="12"/>
      <c r="P950" s="12"/>
      <c r="Q950" s="14"/>
    </row>
    <row r="951" spans="2:17">
      <c r="B951" s="12"/>
      <c r="C951" s="12"/>
      <c r="D951" s="12"/>
      <c r="E951" s="12"/>
      <c r="F951" s="12"/>
      <c r="G951" s="12"/>
      <c r="H951" s="12"/>
      <c r="I951" s="12"/>
      <c r="J951" s="12"/>
      <c r="K951" s="12"/>
      <c r="L951" s="12"/>
      <c r="M951" s="12"/>
      <c r="N951" s="12"/>
      <c r="O951" s="12"/>
      <c r="P951" s="12"/>
      <c r="Q951" s="14"/>
    </row>
    <row r="952" spans="2:17">
      <c r="B952" s="12"/>
      <c r="C952" s="12"/>
      <c r="D952" s="12"/>
      <c r="E952" s="12"/>
      <c r="F952" s="12"/>
      <c r="G952" s="12"/>
      <c r="H952" s="12"/>
      <c r="I952" s="12"/>
      <c r="J952" s="12"/>
      <c r="K952" s="12"/>
      <c r="L952" s="12"/>
      <c r="M952" s="12"/>
      <c r="N952" s="12"/>
      <c r="O952" s="12"/>
      <c r="P952" s="12"/>
      <c r="Q952" s="14"/>
    </row>
    <row r="953" spans="2:17">
      <c r="B953" s="12"/>
      <c r="C953" s="12"/>
      <c r="D953" s="12"/>
      <c r="E953" s="12"/>
      <c r="F953" s="12"/>
      <c r="G953" s="12"/>
      <c r="H953" s="12"/>
      <c r="I953" s="12"/>
      <c r="J953" s="12"/>
      <c r="K953" s="12"/>
      <c r="L953" s="12"/>
      <c r="M953" s="12"/>
      <c r="N953" s="12"/>
      <c r="O953" s="12"/>
      <c r="P953" s="12"/>
      <c r="Q953" s="14"/>
    </row>
    <row r="954" spans="2:17">
      <c r="B954" s="12"/>
      <c r="C954" s="12"/>
      <c r="D954" s="12"/>
      <c r="E954" s="12"/>
      <c r="F954" s="12"/>
      <c r="G954" s="12"/>
      <c r="H954" s="12"/>
      <c r="I954" s="12"/>
      <c r="J954" s="12"/>
      <c r="K954" s="12"/>
      <c r="L954" s="12"/>
      <c r="M954" s="12"/>
      <c r="N954" s="12"/>
      <c r="O954" s="12"/>
      <c r="P954" s="12"/>
      <c r="Q954" s="14"/>
    </row>
    <row r="955" spans="2:17">
      <c r="B955" s="12"/>
      <c r="C955" s="12"/>
      <c r="D955" s="12"/>
      <c r="E955" s="12"/>
      <c r="F955" s="12"/>
      <c r="G955" s="12"/>
      <c r="H955" s="12"/>
      <c r="I955" s="12"/>
      <c r="J955" s="12"/>
      <c r="K955" s="12"/>
      <c r="L955" s="12"/>
      <c r="M955" s="12"/>
      <c r="N955" s="12"/>
      <c r="O955" s="12"/>
      <c r="P955" s="12"/>
      <c r="Q955" s="14"/>
    </row>
    <row r="956" spans="2:17">
      <c r="B956" s="12"/>
      <c r="C956" s="12"/>
      <c r="D956" s="12"/>
      <c r="E956" s="12"/>
      <c r="F956" s="12"/>
      <c r="G956" s="12"/>
      <c r="H956" s="12"/>
      <c r="I956" s="12"/>
      <c r="J956" s="12"/>
      <c r="K956" s="12"/>
      <c r="L956" s="12"/>
      <c r="M956" s="12"/>
      <c r="N956" s="12"/>
      <c r="O956" s="12"/>
      <c r="P956" s="12"/>
      <c r="Q956" s="14"/>
    </row>
    <row r="957" spans="2:17">
      <c r="B957" s="12"/>
      <c r="C957" s="12"/>
      <c r="D957" s="12"/>
      <c r="E957" s="12"/>
      <c r="F957" s="12"/>
      <c r="G957" s="12"/>
      <c r="H957" s="12"/>
      <c r="I957" s="12"/>
      <c r="J957" s="12"/>
      <c r="K957" s="12"/>
      <c r="L957" s="12"/>
      <c r="M957" s="12"/>
      <c r="N957" s="12"/>
      <c r="O957" s="12"/>
      <c r="P957" s="12"/>
      <c r="Q957" s="14"/>
    </row>
    <row r="958" spans="2:17">
      <c r="B958" s="12"/>
      <c r="C958" s="12"/>
      <c r="D958" s="12"/>
      <c r="E958" s="12"/>
      <c r="F958" s="12"/>
      <c r="G958" s="12"/>
      <c r="H958" s="12"/>
      <c r="I958" s="12"/>
      <c r="J958" s="12"/>
      <c r="K958" s="12"/>
      <c r="L958" s="12"/>
      <c r="M958" s="12"/>
      <c r="N958" s="12"/>
      <c r="O958" s="12"/>
      <c r="P958" s="12"/>
      <c r="Q958" s="14"/>
    </row>
    <row r="959" spans="2:17">
      <c r="B959" s="12"/>
      <c r="C959" s="12"/>
      <c r="D959" s="12"/>
      <c r="E959" s="12"/>
      <c r="F959" s="12"/>
      <c r="G959" s="12"/>
      <c r="H959" s="12"/>
      <c r="I959" s="12"/>
      <c r="J959" s="12"/>
      <c r="K959" s="12"/>
      <c r="L959" s="12"/>
      <c r="M959" s="12"/>
      <c r="N959" s="12"/>
      <c r="O959" s="12"/>
      <c r="P959" s="12"/>
      <c r="Q959" s="14"/>
    </row>
    <row r="960" spans="2:17">
      <c r="B960" s="12"/>
      <c r="C960" s="12"/>
      <c r="D960" s="12"/>
      <c r="E960" s="12"/>
      <c r="F960" s="12"/>
      <c r="G960" s="12"/>
      <c r="H960" s="12"/>
      <c r="I960" s="12"/>
      <c r="J960" s="12"/>
      <c r="K960" s="12"/>
      <c r="L960" s="12"/>
      <c r="M960" s="12"/>
      <c r="N960" s="12"/>
      <c r="O960" s="12"/>
      <c r="P960" s="12"/>
      <c r="Q960" s="14"/>
    </row>
    <row r="961" spans="2:17">
      <c r="B961" s="12"/>
      <c r="C961" s="12"/>
      <c r="D961" s="12"/>
      <c r="E961" s="12"/>
      <c r="F961" s="12"/>
      <c r="G961" s="12"/>
      <c r="H961" s="12"/>
      <c r="I961" s="12"/>
      <c r="J961" s="12"/>
      <c r="K961" s="12"/>
      <c r="L961" s="12"/>
      <c r="M961" s="12"/>
      <c r="N961" s="12"/>
      <c r="O961" s="12"/>
      <c r="P961" s="12"/>
      <c r="Q961" s="14"/>
    </row>
    <row r="962" spans="2:17">
      <c r="B962" s="12"/>
      <c r="C962" s="12"/>
      <c r="D962" s="12"/>
      <c r="E962" s="12"/>
      <c r="F962" s="12"/>
      <c r="G962" s="12"/>
      <c r="H962" s="12"/>
      <c r="I962" s="12"/>
      <c r="J962" s="12"/>
      <c r="K962" s="12"/>
      <c r="L962" s="12"/>
      <c r="M962" s="12"/>
      <c r="N962" s="12"/>
      <c r="O962" s="12"/>
      <c r="P962" s="12"/>
      <c r="Q962" s="14"/>
    </row>
    <row r="963" spans="2:17">
      <c r="B963" s="12"/>
      <c r="C963" s="12"/>
      <c r="D963" s="12"/>
      <c r="E963" s="12"/>
      <c r="F963" s="12"/>
      <c r="G963" s="12"/>
      <c r="H963" s="12"/>
      <c r="I963" s="12"/>
      <c r="J963" s="12"/>
      <c r="K963" s="12"/>
      <c r="L963" s="12"/>
      <c r="M963" s="12"/>
      <c r="N963" s="12"/>
      <c r="O963" s="12"/>
      <c r="P963" s="12"/>
      <c r="Q963" s="14"/>
    </row>
    <row r="964" spans="2:17">
      <c r="B964" s="12"/>
      <c r="C964" s="12"/>
      <c r="D964" s="12"/>
      <c r="E964" s="12"/>
      <c r="F964" s="12"/>
      <c r="G964" s="12"/>
      <c r="H964" s="12"/>
      <c r="I964" s="12"/>
      <c r="J964" s="12"/>
      <c r="K964" s="12"/>
      <c r="L964" s="12"/>
      <c r="M964" s="12"/>
      <c r="N964" s="12"/>
      <c r="O964" s="12"/>
      <c r="P964" s="12"/>
      <c r="Q964" s="14"/>
    </row>
    <row r="965" spans="2:17">
      <c r="B965" s="12"/>
      <c r="C965" s="12"/>
      <c r="D965" s="12"/>
      <c r="E965" s="12"/>
      <c r="F965" s="12"/>
      <c r="G965" s="12"/>
      <c r="H965" s="12"/>
      <c r="I965" s="12"/>
      <c r="J965" s="12"/>
      <c r="K965" s="12"/>
      <c r="L965" s="12"/>
      <c r="M965" s="12"/>
      <c r="N965" s="12"/>
      <c r="O965" s="12"/>
      <c r="P965" s="12"/>
      <c r="Q965" s="14"/>
    </row>
    <row r="966" spans="2:17">
      <c r="B966" s="12"/>
      <c r="C966" s="12"/>
      <c r="D966" s="12"/>
      <c r="E966" s="12"/>
      <c r="F966" s="12"/>
      <c r="G966" s="12"/>
      <c r="H966" s="12"/>
      <c r="I966" s="12"/>
      <c r="J966" s="12"/>
      <c r="K966" s="12"/>
      <c r="L966" s="12"/>
      <c r="M966" s="12"/>
      <c r="N966" s="12"/>
      <c r="O966" s="12"/>
      <c r="P966" s="12"/>
      <c r="Q966" s="14"/>
    </row>
    <row r="967" spans="2:17">
      <c r="B967" s="12"/>
      <c r="C967" s="12"/>
      <c r="D967" s="12"/>
      <c r="E967" s="12"/>
      <c r="F967" s="12"/>
      <c r="G967" s="12"/>
      <c r="H967" s="12"/>
      <c r="I967" s="12"/>
      <c r="J967" s="12"/>
      <c r="K967" s="12"/>
      <c r="L967" s="12"/>
      <c r="M967" s="12"/>
      <c r="N967" s="12"/>
      <c r="O967" s="12"/>
      <c r="P967" s="12"/>
      <c r="Q967" s="14"/>
    </row>
    <row r="968" spans="2:17">
      <c r="B968" s="12"/>
      <c r="C968" s="12"/>
      <c r="D968" s="12"/>
      <c r="E968" s="12"/>
      <c r="F968" s="12"/>
      <c r="G968" s="12"/>
      <c r="H968" s="12"/>
      <c r="I968" s="12"/>
      <c r="J968" s="12"/>
      <c r="K968" s="12"/>
      <c r="L968" s="12"/>
      <c r="M968" s="12"/>
      <c r="N968" s="12"/>
      <c r="O968" s="12"/>
      <c r="P968" s="12"/>
      <c r="Q968" s="14"/>
    </row>
    <row r="969" spans="2:17">
      <c r="B969" s="12"/>
      <c r="C969" s="12"/>
      <c r="D969" s="12"/>
      <c r="E969" s="12"/>
      <c r="F969" s="12"/>
      <c r="G969" s="12"/>
      <c r="H969" s="12"/>
      <c r="I969" s="12"/>
      <c r="J969" s="12"/>
      <c r="K969" s="12"/>
      <c r="L969" s="12"/>
      <c r="M969" s="12"/>
      <c r="N969" s="12"/>
      <c r="O969" s="12"/>
      <c r="P969" s="12"/>
      <c r="Q969" s="14"/>
    </row>
    <row r="970" spans="2:17">
      <c r="B970" s="12"/>
      <c r="C970" s="12"/>
      <c r="D970" s="12"/>
      <c r="E970" s="12"/>
      <c r="F970" s="12"/>
      <c r="G970" s="12"/>
      <c r="H970" s="12"/>
      <c r="I970" s="12"/>
      <c r="J970" s="12"/>
      <c r="K970" s="12"/>
      <c r="L970" s="12"/>
      <c r="M970" s="12"/>
      <c r="N970" s="12"/>
      <c r="O970" s="12"/>
      <c r="P970" s="12"/>
      <c r="Q970" s="14"/>
    </row>
    <row r="971" spans="2:17">
      <c r="B971" s="12"/>
      <c r="C971" s="12"/>
      <c r="D971" s="12"/>
      <c r="E971" s="12"/>
      <c r="F971" s="12"/>
      <c r="G971" s="12"/>
      <c r="H971" s="12"/>
      <c r="I971" s="12"/>
      <c r="J971" s="12"/>
      <c r="K971" s="12"/>
      <c r="L971" s="12"/>
      <c r="M971" s="12"/>
      <c r="N971" s="12"/>
      <c r="O971" s="12"/>
      <c r="P971" s="12"/>
      <c r="Q971" s="14"/>
    </row>
    <row r="972" spans="2:17">
      <c r="B972" s="12"/>
      <c r="C972" s="12"/>
      <c r="D972" s="12"/>
      <c r="E972" s="12"/>
      <c r="F972" s="12"/>
      <c r="G972" s="12"/>
      <c r="H972" s="12"/>
      <c r="I972" s="12"/>
      <c r="J972" s="12"/>
      <c r="K972" s="12"/>
      <c r="L972" s="12"/>
      <c r="M972" s="12"/>
      <c r="N972" s="12"/>
      <c r="O972" s="12"/>
      <c r="P972" s="12"/>
      <c r="Q972" s="14"/>
    </row>
    <row r="973" spans="2:17">
      <c r="B973" s="12"/>
      <c r="C973" s="12"/>
      <c r="D973" s="12"/>
      <c r="E973" s="12"/>
      <c r="F973" s="12"/>
      <c r="G973" s="12"/>
      <c r="H973" s="12"/>
      <c r="I973" s="12"/>
      <c r="J973" s="12"/>
      <c r="K973" s="12"/>
      <c r="L973" s="12"/>
      <c r="M973" s="12"/>
      <c r="N973" s="12"/>
      <c r="O973" s="12"/>
      <c r="P973" s="12"/>
      <c r="Q973" s="14"/>
    </row>
    <row r="974" spans="2:17">
      <c r="B974" s="12"/>
      <c r="C974" s="12"/>
      <c r="D974" s="12"/>
      <c r="E974" s="12"/>
      <c r="F974" s="12"/>
      <c r="G974" s="12"/>
      <c r="H974" s="12"/>
      <c r="I974" s="12"/>
      <c r="J974" s="12"/>
      <c r="K974" s="12"/>
      <c r="L974" s="12"/>
      <c r="M974" s="12"/>
      <c r="N974" s="12"/>
      <c r="O974" s="12"/>
      <c r="P974" s="12"/>
      <c r="Q974" s="14"/>
    </row>
    <row r="975" spans="2:17">
      <c r="B975" s="12"/>
      <c r="C975" s="12"/>
      <c r="D975" s="12"/>
      <c r="E975" s="12"/>
      <c r="F975" s="12"/>
      <c r="G975" s="12"/>
      <c r="H975" s="12"/>
      <c r="I975" s="12"/>
      <c r="J975" s="12"/>
      <c r="K975" s="12"/>
      <c r="L975" s="12"/>
      <c r="M975" s="12"/>
      <c r="N975" s="12"/>
      <c r="O975" s="12"/>
      <c r="P975" s="12"/>
      <c r="Q975" s="14"/>
    </row>
    <row r="976" spans="2:17">
      <c r="B976" s="12"/>
      <c r="C976" s="12"/>
      <c r="D976" s="12"/>
      <c r="E976" s="12"/>
      <c r="F976" s="12"/>
      <c r="G976" s="12"/>
      <c r="H976" s="12"/>
      <c r="I976" s="12"/>
      <c r="J976" s="12"/>
      <c r="K976" s="12"/>
      <c r="L976" s="12"/>
      <c r="M976" s="12"/>
      <c r="N976" s="12"/>
      <c r="O976" s="12"/>
      <c r="P976" s="12"/>
      <c r="Q976" s="14"/>
    </row>
    <row r="977" spans="2:17">
      <c r="B977" s="12"/>
      <c r="C977" s="12"/>
      <c r="D977" s="12"/>
      <c r="E977" s="12"/>
      <c r="F977" s="12"/>
      <c r="G977" s="12"/>
      <c r="H977" s="12"/>
      <c r="I977" s="12"/>
      <c r="J977" s="12"/>
      <c r="K977" s="12"/>
      <c r="L977" s="12"/>
      <c r="M977" s="12"/>
      <c r="N977" s="12"/>
      <c r="O977" s="12"/>
      <c r="P977" s="12"/>
      <c r="Q977" s="14"/>
    </row>
    <row r="978" spans="2:17">
      <c r="B978" s="12"/>
      <c r="C978" s="12"/>
      <c r="D978" s="12"/>
      <c r="E978" s="12"/>
      <c r="F978" s="12"/>
      <c r="G978" s="12"/>
      <c r="H978" s="12"/>
      <c r="I978" s="12"/>
      <c r="J978" s="12"/>
      <c r="K978" s="12"/>
      <c r="L978" s="12"/>
      <c r="M978" s="12"/>
      <c r="N978" s="12"/>
      <c r="O978" s="12"/>
      <c r="P978" s="12"/>
      <c r="Q978" s="14"/>
    </row>
    <row r="979" spans="2:17">
      <c r="B979" s="12"/>
      <c r="C979" s="12"/>
      <c r="D979" s="12"/>
      <c r="E979" s="12"/>
      <c r="F979" s="12"/>
      <c r="G979" s="12"/>
      <c r="H979" s="12"/>
      <c r="I979" s="12"/>
      <c r="J979" s="12"/>
      <c r="K979" s="12"/>
      <c r="L979" s="12"/>
      <c r="M979" s="12"/>
      <c r="N979" s="12"/>
      <c r="O979" s="12"/>
      <c r="P979" s="12"/>
      <c r="Q979" s="14"/>
    </row>
    <row r="980" spans="2:17">
      <c r="B980" s="12"/>
      <c r="C980" s="12"/>
      <c r="D980" s="12"/>
      <c r="E980" s="12"/>
      <c r="F980" s="12"/>
      <c r="G980" s="12"/>
      <c r="H980" s="12"/>
      <c r="I980" s="12"/>
      <c r="J980" s="12"/>
      <c r="K980" s="12"/>
      <c r="L980" s="12"/>
      <c r="M980" s="12"/>
      <c r="N980" s="12"/>
      <c r="O980" s="12"/>
      <c r="P980" s="12"/>
      <c r="Q980" s="14"/>
    </row>
    <row r="981" spans="2:17">
      <c r="B981" s="12"/>
      <c r="C981" s="12"/>
      <c r="D981" s="12"/>
      <c r="E981" s="12"/>
      <c r="F981" s="12"/>
      <c r="G981" s="12"/>
      <c r="H981" s="12"/>
      <c r="I981" s="12"/>
      <c r="J981" s="12"/>
      <c r="K981" s="12"/>
      <c r="L981" s="12"/>
      <c r="M981" s="12"/>
      <c r="N981" s="12"/>
      <c r="O981" s="12"/>
      <c r="P981" s="12"/>
      <c r="Q981" s="14"/>
    </row>
    <row r="982" spans="2:17">
      <c r="B982" s="12"/>
      <c r="C982" s="12"/>
      <c r="D982" s="12"/>
      <c r="E982" s="12"/>
      <c r="F982" s="12"/>
      <c r="G982" s="12"/>
      <c r="H982" s="12"/>
      <c r="I982" s="12"/>
      <c r="J982" s="12"/>
      <c r="K982" s="12"/>
      <c r="L982" s="12"/>
      <c r="M982" s="12"/>
      <c r="N982" s="12"/>
      <c r="O982" s="12"/>
      <c r="P982" s="12"/>
      <c r="Q982" s="14"/>
    </row>
    <row r="983" spans="2:17">
      <c r="B983" s="12"/>
      <c r="C983" s="12"/>
      <c r="D983" s="12"/>
      <c r="E983" s="12"/>
      <c r="F983" s="12"/>
      <c r="G983" s="12"/>
      <c r="H983" s="12"/>
      <c r="I983" s="12"/>
      <c r="J983" s="12"/>
      <c r="K983" s="12"/>
      <c r="L983" s="12"/>
      <c r="M983" s="12"/>
      <c r="N983" s="12"/>
      <c r="O983" s="12"/>
      <c r="P983" s="12"/>
      <c r="Q983" s="14"/>
    </row>
    <row r="984" spans="2:17">
      <c r="B984" s="12"/>
      <c r="C984" s="12"/>
      <c r="D984" s="12"/>
      <c r="E984" s="12"/>
      <c r="F984" s="12"/>
      <c r="G984" s="12"/>
      <c r="H984" s="12"/>
      <c r="I984" s="12"/>
      <c r="J984" s="12"/>
      <c r="K984" s="12"/>
      <c r="L984" s="12"/>
      <c r="M984" s="12"/>
      <c r="N984" s="12"/>
      <c r="O984" s="12"/>
      <c r="P984" s="12"/>
      <c r="Q984" s="14"/>
    </row>
    <row r="985" spans="2:17">
      <c r="B985" s="12"/>
      <c r="C985" s="12"/>
      <c r="D985" s="12"/>
      <c r="E985" s="12"/>
      <c r="F985" s="12"/>
      <c r="G985" s="12"/>
      <c r="H985" s="12"/>
      <c r="I985" s="12"/>
      <c r="J985" s="12"/>
      <c r="K985" s="12"/>
      <c r="L985" s="12"/>
      <c r="M985" s="12"/>
      <c r="N985" s="12"/>
      <c r="O985" s="12"/>
      <c r="P985" s="12"/>
      <c r="Q985" s="14"/>
    </row>
    <row r="986" spans="2:17">
      <c r="B986" s="12"/>
      <c r="C986" s="12"/>
      <c r="D986" s="12"/>
      <c r="E986" s="12"/>
      <c r="F986" s="12"/>
      <c r="G986" s="12"/>
      <c r="H986" s="12"/>
      <c r="I986" s="12"/>
      <c r="J986" s="12"/>
      <c r="K986" s="12"/>
      <c r="L986" s="12"/>
      <c r="M986" s="12"/>
      <c r="N986" s="12"/>
      <c r="O986" s="12"/>
      <c r="P986" s="12"/>
      <c r="Q986" s="14"/>
    </row>
    <row r="987" spans="2:17">
      <c r="B987" s="12"/>
      <c r="C987" s="12"/>
      <c r="D987" s="12"/>
      <c r="E987" s="12"/>
      <c r="F987" s="12"/>
      <c r="G987" s="12"/>
      <c r="H987" s="12"/>
      <c r="I987" s="12"/>
      <c r="J987" s="12"/>
      <c r="K987" s="12"/>
      <c r="L987" s="12"/>
      <c r="M987" s="12"/>
      <c r="N987" s="12"/>
      <c r="O987" s="12"/>
      <c r="P987" s="12"/>
      <c r="Q987" s="14"/>
    </row>
    <row r="988" spans="2:17">
      <c r="B988" s="12"/>
      <c r="C988" s="12"/>
      <c r="D988" s="12"/>
      <c r="E988" s="12"/>
      <c r="F988" s="12"/>
      <c r="G988" s="12"/>
      <c r="H988" s="12"/>
      <c r="I988" s="12"/>
      <c r="J988" s="12"/>
      <c r="K988" s="12"/>
      <c r="L988" s="12"/>
      <c r="M988" s="12"/>
      <c r="N988" s="12"/>
      <c r="O988" s="12"/>
      <c r="P988" s="12"/>
      <c r="Q988" s="14"/>
    </row>
    <row r="989" spans="2:17">
      <c r="B989" s="12"/>
      <c r="C989" s="12"/>
      <c r="D989" s="12"/>
      <c r="E989" s="12"/>
      <c r="F989" s="12"/>
      <c r="G989" s="12"/>
      <c r="H989" s="12"/>
      <c r="I989" s="12"/>
      <c r="J989" s="12"/>
      <c r="K989" s="12"/>
      <c r="L989" s="12"/>
      <c r="M989" s="12"/>
      <c r="N989" s="12"/>
      <c r="O989" s="12"/>
      <c r="P989" s="12"/>
      <c r="Q989" s="14"/>
    </row>
    <row r="990" spans="2:17">
      <c r="B990" s="12"/>
      <c r="C990" s="12"/>
      <c r="D990" s="12"/>
      <c r="E990" s="12"/>
      <c r="F990" s="12"/>
      <c r="G990" s="12"/>
      <c r="H990" s="12"/>
      <c r="I990" s="12"/>
      <c r="J990" s="12"/>
      <c r="K990" s="12"/>
      <c r="L990" s="12"/>
      <c r="M990" s="12"/>
      <c r="N990" s="12"/>
      <c r="O990" s="12"/>
      <c r="P990" s="12"/>
      <c r="Q990" s="14"/>
    </row>
    <row r="991" spans="2:17">
      <c r="B991" s="12"/>
      <c r="C991" s="12"/>
      <c r="D991" s="12"/>
      <c r="E991" s="12"/>
      <c r="F991" s="12"/>
      <c r="G991" s="12"/>
      <c r="H991" s="12"/>
      <c r="I991" s="12"/>
      <c r="J991" s="12"/>
      <c r="K991" s="12"/>
      <c r="L991" s="12"/>
      <c r="M991" s="12"/>
      <c r="N991" s="12"/>
      <c r="O991" s="12"/>
      <c r="P991" s="12"/>
      <c r="Q991" s="14"/>
    </row>
    <row r="992" spans="2:17">
      <c r="B992" s="12"/>
      <c r="C992" s="12"/>
      <c r="D992" s="12"/>
      <c r="E992" s="12"/>
      <c r="F992" s="12"/>
      <c r="G992" s="12"/>
      <c r="H992" s="12"/>
      <c r="I992" s="12"/>
      <c r="J992" s="12"/>
      <c r="K992" s="12"/>
      <c r="L992" s="12"/>
      <c r="M992" s="12"/>
      <c r="N992" s="12"/>
      <c r="O992" s="12"/>
      <c r="P992" s="12"/>
      <c r="Q992" s="14"/>
    </row>
    <row r="993" spans="2:17">
      <c r="B993" s="12"/>
      <c r="C993" s="12"/>
      <c r="D993" s="12"/>
      <c r="E993" s="12"/>
      <c r="F993" s="12"/>
      <c r="G993" s="12"/>
      <c r="H993" s="12"/>
      <c r="I993" s="12"/>
      <c r="J993" s="12"/>
      <c r="K993" s="12"/>
      <c r="L993" s="12"/>
      <c r="M993" s="12"/>
      <c r="N993" s="12"/>
      <c r="O993" s="12"/>
      <c r="P993" s="12"/>
      <c r="Q993" s="14"/>
    </row>
    <row r="994" spans="2:17">
      <c r="B994" s="12"/>
      <c r="C994" s="12"/>
      <c r="D994" s="12"/>
      <c r="E994" s="12"/>
      <c r="F994" s="12"/>
      <c r="G994" s="12"/>
      <c r="H994" s="12"/>
      <c r="I994" s="12"/>
      <c r="J994" s="12"/>
      <c r="K994" s="12"/>
      <c r="L994" s="12"/>
      <c r="M994" s="12"/>
      <c r="N994" s="12"/>
      <c r="O994" s="12"/>
      <c r="P994" s="12"/>
      <c r="Q994" s="14"/>
    </row>
    <row r="995" spans="2:17">
      <c r="B995" s="12"/>
      <c r="C995" s="12"/>
      <c r="D995" s="12"/>
      <c r="E995" s="12"/>
      <c r="F995" s="12"/>
      <c r="G995" s="12"/>
      <c r="H995" s="12"/>
      <c r="I995" s="12"/>
      <c r="J995" s="12"/>
      <c r="K995" s="12"/>
      <c r="L995" s="12"/>
      <c r="M995" s="12"/>
      <c r="N995" s="12"/>
      <c r="O995" s="12"/>
      <c r="P995" s="12"/>
      <c r="Q995" s="14"/>
    </row>
    <row r="996" spans="2:17">
      <c r="B996" s="12"/>
      <c r="C996" s="12"/>
      <c r="D996" s="12"/>
      <c r="E996" s="12"/>
      <c r="F996" s="12"/>
      <c r="G996" s="12"/>
      <c r="H996" s="12"/>
      <c r="I996" s="12"/>
      <c r="J996" s="12"/>
      <c r="K996" s="12"/>
      <c r="L996" s="12"/>
      <c r="M996" s="12"/>
      <c r="N996" s="12"/>
      <c r="O996" s="12"/>
      <c r="P996" s="12"/>
      <c r="Q996" s="14"/>
    </row>
    <row r="997" spans="2:17">
      <c r="B997" s="12"/>
      <c r="C997" s="12"/>
      <c r="D997" s="12"/>
      <c r="E997" s="12"/>
      <c r="F997" s="12"/>
      <c r="G997" s="12"/>
      <c r="H997" s="12"/>
      <c r="I997" s="12"/>
      <c r="J997" s="12"/>
      <c r="K997" s="12"/>
      <c r="L997" s="12"/>
      <c r="M997" s="12"/>
      <c r="N997" s="12"/>
      <c r="O997" s="12"/>
      <c r="P997" s="12"/>
      <c r="Q997" s="14"/>
    </row>
    <row r="998" spans="2:17">
      <c r="B998" s="12"/>
      <c r="C998" s="12"/>
      <c r="D998" s="12"/>
      <c r="E998" s="12"/>
      <c r="F998" s="12"/>
      <c r="G998" s="12"/>
      <c r="H998" s="12"/>
      <c r="I998" s="12"/>
      <c r="J998" s="12"/>
      <c r="K998" s="12"/>
      <c r="L998" s="12"/>
      <c r="M998" s="12"/>
      <c r="N998" s="12"/>
      <c r="O998" s="12"/>
      <c r="P998" s="12"/>
      <c r="Q998" s="14"/>
    </row>
    <row r="999" spans="2:17">
      <c r="B999" s="12"/>
      <c r="C999" s="12"/>
      <c r="D999" s="12"/>
      <c r="E999" s="12"/>
      <c r="F999" s="12"/>
      <c r="G999" s="12"/>
      <c r="H999" s="12"/>
      <c r="I999" s="12"/>
      <c r="J999" s="12"/>
      <c r="K999" s="12"/>
      <c r="L999" s="12"/>
      <c r="M999" s="12"/>
      <c r="N999" s="12"/>
      <c r="O999" s="12"/>
      <c r="P999" s="12"/>
      <c r="Q999" s="14"/>
    </row>
    <row r="1000" spans="2:17">
      <c r="B1000" s="12"/>
      <c r="C1000" s="12"/>
      <c r="D1000" s="12"/>
      <c r="E1000" s="12"/>
      <c r="F1000" s="12"/>
      <c r="G1000" s="12"/>
      <c r="H1000" s="12"/>
      <c r="I1000" s="12"/>
      <c r="J1000" s="12"/>
      <c r="K1000" s="12"/>
      <c r="L1000" s="12"/>
      <c r="M1000" s="12"/>
      <c r="N1000" s="12"/>
      <c r="O1000" s="12"/>
      <c r="P1000" s="12"/>
      <c r="Q1000" s="14"/>
    </row>
    <row r="1001" spans="2:17">
      <c r="B1001" s="12"/>
      <c r="C1001" s="12"/>
      <c r="D1001" s="12"/>
      <c r="E1001" s="12"/>
      <c r="F1001" s="12"/>
      <c r="G1001" s="12"/>
      <c r="H1001" s="12"/>
      <c r="I1001" s="12"/>
      <c r="J1001" s="12"/>
      <c r="K1001" s="12"/>
      <c r="L1001" s="12"/>
      <c r="M1001" s="12"/>
      <c r="N1001" s="12"/>
      <c r="O1001" s="12"/>
      <c r="P1001" s="12"/>
      <c r="Q1001" s="14"/>
    </row>
    <row r="1002" spans="2:17">
      <c r="B1002" s="12"/>
      <c r="C1002" s="12"/>
      <c r="D1002" s="12"/>
      <c r="E1002" s="12"/>
      <c r="F1002" s="12"/>
      <c r="G1002" s="12"/>
      <c r="H1002" s="12"/>
      <c r="I1002" s="12"/>
      <c r="J1002" s="12"/>
      <c r="K1002" s="12"/>
      <c r="L1002" s="12"/>
      <c r="M1002" s="12"/>
      <c r="N1002" s="12"/>
      <c r="O1002" s="12"/>
      <c r="P1002" s="12"/>
      <c r="Q1002" s="14"/>
    </row>
    <row r="1003" spans="2:17">
      <c r="B1003" s="12"/>
      <c r="C1003" s="12"/>
      <c r="D1003" s="12"/>
      <c r="E1003" s="12"/>
      <c r="F1003" s="12"/>
      <c r="G1003" s="12"/>
      <c r="H1003" s="12"/>
      <c r="I1003" s="12"/>
      <c r="J1003" s="12"/>
      <c r="K1003" s="12"/>
      <c r="L1003" s="12"/>
      <c r="M1003" s="12"/>
      <c r="N1003" s="12"/>
      <c r="O1003" s="12"/>
      <c r="P1003" s="12"/>
      <c r="Q1003" s="14"/>
    </row>
    <row r="1004" spans="2:17">
      <c r="B1004" s="12"/>
      <c r="C1004" s="12"/>
      <c r="D1004" s="12"/>
      <c r="E1004" s="12"/>
      <c r="F1004" s="12"/>
      <c r="G1004" s="12"/>
      <c r="H1004" s="12"/>
      <c r="I1004" s="12"/>
      <c r="J1004" s="12"/>
      <c r="K1004" s="12"/>
      <c r="L1004" s="12"/>
      <c r="M1004" s="12"/>
      <c r="N1004" s="12"/>
      <c r="O1004" s="12"/>
      <c r="P1004" s="12"/>
      <c r="Q1004" s="14"/>
    </row>
    <row r="1005" spans="2:17">
      <c r="B1005" s="12"/>
      <c r="C1005" s="12"/>
      <c r="D1005" s="12"/>
      <c r="E1005" s="12"/>
      <c r="F1005" s="12"/>
      <c r="G1005" s="12"/>
      <c r="H1005" s="12"/>
      <c r="I1005" s="12"/>
      <c r="J1005" s="12"/>
      <c r="K1005" s="12"/>
      <c r="L1005" s="12"/>
      <c r="M1005" s="12"/>
      <c r="N1005" s="12"/>
      <c r="O1005" s="12"/>
      <c r="P1005" s="12"/>
      <c r="Q1005" s="14"/>
    </row>
    <row r="1006" spans="2:17">
      <c r="B1006" s="12"/>
      <c r="C1006" s="12"/>
      <c r="D1006" s="12"/>
      <c r="E1006" s="12"/>
      <c r="F1006" s="12"/>
      <c r="G1006" s="12"/>
      <c r="H1006" s="12"/>
      <c r="I1006" s="12"/>
      <c r="J1006" s="12"/>
      <c r="K1006" s="12"/>
      <c r="L1006" s="12"/>
      <c r="M1006" s="12"/>
      <c r="N1006" s="12"/>
      <c r="O1006" s="12"/>
      <c r="P1006" s="12"/>
      <c r="Q1006" s="14"/>
    </row>
    <row r="1007" spans="2:17">
      <c r="B1007" s="12"/>
      <c r="C1007" s="12"/>
      <c r="D1007" s="12"/>
      <c r="E1007" s="12"/>
      <c r="F1007" s="12"/>
      <c r="G1007" s="12"/>
      <c r="H1007" s="12"/>
      <c r="I1007" s="12"/>
      <c r="J1007" s="12"/>
      <c r="K1007" s="12"/>
      <c r="L1007" s="12"/>
      <c r="M1007" s="12"/>
      <c r="N1007" s="12"/>
      <c r="O1007" s="12"/>
      <c r="P1007" s="12"/>
      <c r="Q1007" s="14"/>
    </row>
    <row r="1008" spans="2:17">
      <c r="B1008" s="12"/>
      <c r="C1008" s="12"/>
      <c r="D1008" s="12"/>
      <c r="E1008" s="12"/>
      <c r="F1008" s="12"/>
      <c r="G1008" s="12"/>
      <c r="H1008" s="12"/>
      <c r="I1008" s="12"/>
      <c r="J1008" s="12"/>
      <c r="K1008" s="12"/>
      <c r="L1008" s="12"/>
      <c r="M1008" s="12"/>
      <c r="N1008" s="12"/>
      <c r="O1008" s="12"/>
      <c r="P1008" s="12"/>
      <c r="Q1008" s="14"/>
    </row>
    <row r="1009" spans="2:17">
      <c r="B1009" s="12"/>
      <c r="C1009" s="12"/>
      <c r="D1009" s="12"/>
      <c r="E1009" s="12"/>
      <c r="F1009" s="12"/>
      <c r="G1009" s="12"/>
      <c r="H1009" s="12"/>
      <c r="I1009" s="12"/>
      <c r="J1009" s="12"/>
      <c r="K1009" s="12"/>
      <c r="L1009" s="12"/>
      <c r="M1009" s="12"/>
      <c r="N1009" s="12"/>
      <c r="O1009" s="12"/>
      <c r="P1009" s="12"/>
      <c r="Q1009" s="14"/>
    </row>
    <row r="1010" spans="2:17">
      <c r="B1010" s="12"/>
      <c r="C1010" s="12"/>
      <c r="D1010" s="12"/>
      <c r="E1010" s="12"/>
      <c r="F1010" s="12"/>
      <c r="G1010" s="12"/>
      <c r="H1010" s="12"/>
      <c r="I1010" s="12"/>
      <c r="J1010" s="12"/>
      <c r="K1010" s="12"/>
      <c r="L1010" s="12"/>
      <c r="M1010" s="12"/>
      <c r="N1010" s="12"/>
      <c r="O1010" s="12"/>
      <c r="P1010" s="12"/>
      <c r="Q1010" s="14"/>
    </row>
    <row r="1011" spans="2:17">
      <c r="B1011" s="12"/>
      <c r="C1011" s="12"/>
      <c r="D1011" s="12"/>
      <c r="E1011" s="12"/>
      <c r="F1011" s="12"/>
      <c r="G1011" s="12"/>
      <c r="H1011" s="12"/>
      <c r="I1011" s="12"/>
      <c r="J1011" s="12"/>
      <c r="K1011" s="12"/>
      <c r="L1011" s="12"/>
      <c r="M1011" s="12"/>
      <c r="N1011" s="12"/>
      <c r="O1011" s="12"/>
      <c r="P1011" s="12"/>
      <c r="Q1011" s="14"/>
    </row>
    <row r="1012" spans="2:17">
      <c r="B1012" s="12"/>
      <c r="C1012" s="12"/>
      <c r="D1012" s="12"/>
      <c r="E1012" s="12"/>
      <c r="F1012" s="12"/>
      <c r="G1012" s="12"/>
      <c r="H1012" s="12"/>
      <c r="I1012" s="12"/>
      <c r="J1012" s="12"/>
      <c r="K1012" s="12"/>
      <c r="L1012" s="12"/>
      <c r="M1012" s="12"/>
      <c r="N1012" s="12"/>
      <c r="O1012" s="12"/>
      <c r="P1012" s="12"/>
      <c r="Q1012" s="14"/>
    </row>
    <row r="1013" spans="2:17">
      <c r="B1013" s="12"/>
      <c r="C1013" s="12"/>
      <c r="D1013" s="12"/>
      <c r="E1013" s="12"/>
      <c r="F1013" s="12"/>
      <c r="G1013" s="12"/>
      <c r="H1013" s="12"/>
      <c r="I1013" s="12"/>
      <c r="J1013" s="12"/>
      <c r="K1013" s="12"/>
      <c r="L1013" s="12"/>
      <c r="M1013" s="12"/>
      <c r="N1013" s="12"/>
      <c r="O1013" s="12"/>
      <c r="P1013" s="12"/>
      <c r="Q1013" s="14"/>
    </row>
    <row r="1014" spans="2:17">
      <c r="B1014" s="12"/>
      <c r="C1014" s="12"/>
      <c r="D1014" s="12"/>
      <c r="E1014" s="12"/>
      <c r="F1014" s="12"/>
      <c r="G1014" s="12"/>
      <c r="H1014" s="12"/>
      <c r="I1014" s="12"/>
      <c r="J1014" s="12"/>
      <c r="K1014" s="12"/>
      <c r="L1014" s="12"/>
      <c r="M1014" s="12"/>
      <c r="N1014" s="12"/>
      <c r="O1014" s="12"/>
      <c r="P1014" s="12"/>
      <c r="Q1014" s="14"/>
    </row>
    <row r="1015" spans="2:17">
      <c r="B1015" s="12"/>
      <c r="C1015" s="12"/>
      <c r="D1015" s="12"/>
      <c r="E1015" s="12"/>
      <c r="F1015" s="12"/>
      <c r="G1015" s="12"/>
      <c r="H1015" s="12"/>
      <c r="I1015" s="12"/>
      <c r="J1015" s="12"/>
      <c r="K1015" s="12"/>
      <c r="L1015" s="12"/>
      <c r="M1015" s="12"/>
      <c r="N1015" s="12"/>
      <c r="O1015" s="12"/>
      <c r="P1015" s="12"/>
      <c r="Q1015" s="14"/>
    </row>
    <row r="1016" spans="2:17">
      <c r="B1016" s="12"/>
      <c r="C1016" s="12"/>
      <c r="D1016" s="12"/>
      <c r="E1016" s="12"/>
      <c r="F1016" s="12"/>
      <c r="G1016" s="12"/>
      <c r="H1016" s="12"/>
      <c r="I1016" s="12"/>
      <c r="J1016" s="12"/>
      <c r="K1016" s="12"/>
      <c r="L1016" s="12"/>
      <c r="M1016" s="12"/>
      <c r="N1016" s="12"/>
      <c r="O1016" s="12"/>
      <c r="P1016" s="12"/>
      <c r="Q1016" s="14"/>
    </row>
    <row r="1017" spans="2:17">
      <c r="B1017" s="12"/>
      <c r="C1017" s="12"/>
      <c r="D1017" s="12"/>
      <c r="E1017" s="12"/>
      <c r="F1017" s="12"/>
      <c r="G1017" s="12"/>
      <c r="H1017" s="12"/>
      <c r="I1017" s="12"/>
      <c r="J1017" s="12"/>
      <c r="K1017" s="12"/>
      <c r="L1017" s="12"/>
      <c r="M1017" s="12"/>
      <c r="N1017" s="12"/>
      <c r="O1017" s="12"/>
      <c r="P1017" s="12"/>
      <c r="Q1017" s="14"/>
    </row>
    <row r="1018" spans="2:17">
      <c r="B1018" s="12"/>
      <c r="C1018" s="12"/>
      <c r="D1018" s="12"/>
      <c r="E1018" s="12"/>
      <c r="F1018" s="12"/>
      <c r="G1018" s="12"/>
      <c r="H1018" s="12"/>
      <c r="I1018" s="12"/>
      <c r="J1018" s="12"/>
      <c r="K1018" s="12"/>
      <c r="L1018" s="12"/>
      <c r="M1018" s="12"/>
      <c r="N1018" s="12"/>
      <c r="O1018" s="12"/>
      <c r="P1018" s="12"/>
      <c r="Q1018" s="14"/>
    </row>
    <row r="1019" spans="2:17">
      <c r="B1019" s="12"/>
      <c r="C1019" s="12"/>
      <c r="D1019" s="12"/>
      <c r="E1019" s="12"/>
      <c r="F1019" s="12"/>
      <c r="G1019" s="12"/>
      <c r="H1019" s="12"/>
      <c r="I1019" s="12"/>
      <c r="J1019" s="12"/>
      <c r="K1019" s="12"/>
      <c r="L1019" s="12"/>
      <c r="M1019" s="12"/>
      <c r="N1019" s="12"/>
      <c r="O1019" s="12"/>
      <c r="P1019" s="12"/>
      <c r="Q1019" s="14"/>
    </row>
    <row r="1020" spans="2:17">
      <c r="B1020" s="12"/>
      <c r="C1020" s="12"/>
      <c r="D1020" s="12"/>
      <c r="E1020" s="12"/>
      <c r="F1020" s="12"/>
      <c r="G1020" s="12"/>
      <c r="H1020" s="12"/>
      <c r="I1020" s="12"/>
      <c r="J1020" s="12"/>
      <c r="K1020" s="12"/>
      <c r="L1020" s="12"/>
      <c r="M1020" s="12"/>
      <c r="N1020" s="12"/>
      <c r="O1020" s="12"/>
      <c r="P1020" s="12"/>
      <c r="Q1020" s="14"/>
    </row>
    <row r="1021" spans="2:17">
      <c r="B1021" s="12"/>
      <c r="C1021" s="12"/>
      <c r="D1021" s="12"/>
      <c r="E1021" s="12"/>
      <c r="F1021" s="12"/>
      <c r="G1021" s="12"/>
      <c r="H1021" s="12"/>
      <c r="I1021" s="12"/>
      <c r="J1021" s="12"/>
      <c r="K1021" s="12"/>
      <c r="L1021" s="12"/>
      <c r="M1021" s="12"/>
      <c r="N1021" s="12"/>
      <c r="O1021" s="12"/>
      <c r="P1021" s="12"/>
      <c r="Q1021" s="14"/>
    </row>
    <row r="1022" spans="2:17">
      <c r="B1022" s="12"/>
      <c r="C1022" s="12"/>
      <c r="D1022" s="12"/>
      <c r="E1022" s="12"/>
      <c r="F1022" s="12"/>
      <c r="G1022" s="12"/>
      <c r="H1022" s="12"/>
      <c r="I1022" s="12"/>
      <c r="J1022" s="12"/>
      <c r="K1022" s="12"/>
      <c r="L1022" s="12"/>
      <c r="M1022" s="12"/>
      <c r="N1022" s="12"/>
      <c r="O1022" s="12"/>
      <c r="P1022" s="12"/>
      <c r="Q1022" s="14"/>
    </row>
    <row r="1023" spans="2:17">
      <c r="B1023" s="12"/>
      <c r="C1023" s="12"/>
      <c r="D1023" s="12"/>
      <c r="E1023" s="12"/>
      <c r="F1023" s="12"/>
      <c r="G1023" s="12"/>
      <c r="H1023" s="12"/>
      <c r="I1023" s="12"/>
      <c r="J1023" s="12"/>
      <c r="K1023" s="12"/>
      <c r="L1023" s="12"/>
      <c r="M1023" s="12"/>
      <c r="N1023" s="12"/>
      <c r="O1023" s="12"/>
      <c r="P1023" s="12"/>
      <c r="Q1023" s="14"/>
    </row>
    <row r="1024" spans="2:17">
      <c r="B1024" s="12"/>
      <c r="C1024" s="12"/>
      <c r="D1024" s="12"/>
      <c r="E1024" s="12"/>
      <c r="F1024" s="12"/>
      <c r="G1024" s="12"/>
      <c r="H1024" s="12"/>
      <c r="I1024" s="12"/>
      <c r="J1024" s="12"/>
      <c r="K1024" s="12"/>
      <c r="L1024" s="12"/>
      <c r="M1024" s="12"/>
      <c r="N1024" s="12"/>
      <c r="O1024" s="12"/>
      <c r="P1024" s="12"/>
      <c r="Q1024" s="14"/>
    </row>
    <row r="1025" spans="2:17">
      <c r="B1025" s="12"/>
      <c r="C1025" s="12"/>
      <c r="D1025" s="12"/>
      <c r="E1025" s="12"/>
      <c r="F1025" s="12"/>
      <c r="G1025" s="12"/>
      <c r="H1025" s="12"/>
      <c r="I1025" s="12"/>
      <c r="J1025" s="12"/>
      <c r="K1025" s="12"/>
      <c r="L1025" s="12"/>
      <c r="M1025" s="12"/>
      <c r="N1025" s="12"/>
      <c r="O1025" s="12"/>
      <c r="P1025" s="12"/>
      <c r="Q1025" s="14"/>
    </row>
    <row r="1026" spans="2:17">
      <c r="B1026" s="12"/>
      <c r="C1026" s="12"/>
      <c r="D1026" s="12"/>
      <c r="E1026" s="12"/>
      <c r="F1026" s="12"/>
      <c r="G1026" s="12"/>
      <c r="H1026" s="12"/>
      <c r="I1026" s="12"/>
      <c r="J1026" s="12"/>
      <c r="K1026" s="12"/>
      <c r="L1026" s="12"/>
      <c r="M1026" s="12"/>
      <c r="N1026" s="12"/>
      <c r="O1026" s="12"/>
      <c r="P1026" s="12"/>
      <c r="Q1026" s="14"/>
    </row>
    <row r="1027" spans="2:17">
      <c r="B1027" s="12"/>
      <c r="C1027" s="12"/>
      <c r="D1027" s="12"/>
      <c r="E1027" s="12"/>
      <c r="F1027" s="12"/>
      <c r="G1027" s="12"/>
      <c r="H1027" s="12"/>
      <c r="I1027" s="12"/>
      <c r="J1027" s="12"/>
      <c r="K1027" s="12"/>
      <c r="L1027" s="12"/>
      <c r="M1027" s="12"/>
      <c r="N1027" s="12"/>
      <c r="O1027" s="12"/>
      <c r="P1027" s="12"/>
      <c r="Q1027" s="14"/>
    </row>
    <row r="1028" spans="2:17">
      <c r="B1028" s="12"/>
      <c r="C1028" s="12"/>
      <c r="D1028" s="12"/>
      <c r="E1028" s="12"/>
      <c r="F1028" s="12"/>
      <c r="G1028" s="12"/>
      <c r="H1028" s="12"/>
      <c r="I1028" s="12"/>
      <c r="J1028" s="12"/>
      <c r="K1028" s="12"/>
      <c r="L1028" s="12"/>
      <c r="M1028" s="12"/>
      <c r="N1028" s="12"/>
      <c r="O1028" s="12"/>
      <c r="P1028" s="12"/>
      <c r="Q1028" s="14"/>
    </row>
    <row r="1029" spans="2:17">
      <c r="B1029" s="12"/>
      <c r="C1029" s="12"/>
      <c r="D1029" s="12"/>
      <c r="E1029" s="12"/>
      <c r="F1029" s="12"/>
      <c r="G1029" s="12"/>
      <c r="H1029" s="12"/>
      <c r="I1029" s="12"/>
      <c r="J1029" s="12"/>
      <c r="K1029" s="12"/>
      <c r="L1029" s="12"/>
      <c r="M1029" s="12"/>
      <c r="N1029" s="12"/>
      <c r="O1029" s="12"/>
      <c r="P1029" s="12"/>
      <c r="Q1029" s="14"/>
    </row>
    <row r="1030" spans="2:17">
      <c r="B1030" s="12"/>
      <c r="C1030" s="12"/>
      <c r="D1030" s="12"/>
      <c r="E1030" s="12"/>
      <c r="F1030" s="12"/>
      <c r="G1030" s="12"/>
      <c r="H1030" s="12"/>
      <c r="I1030" s="12"/>
      <c r="J1030" s="12"/>
      <c r="K1030" s="12"/>
      <c r="L1030" s="12"/>
      <c r="M1030" s="12"/>
      <c r="N1030" s="12"/>
      <c r="O1030" s="12"/>
      <c r="P1030" s="12"/>
      <c r="Q1030" s="14"/>
    </row>
    <row r="1031" spans="2:17">
      <c r="B1031" s="12"/>
      <c r="C1031" s="12"/>
      <c r="D1031" s="12"/>
      <c r="E1031" s="12"/>
      <c r="F1031" s="12"/>
      <c r="G1031" s="12"/>
      <c r="H1031" s="12"/>
      <c r="I1031" s="12"/>
      <c r="J1031" s="12"/>
      <c r="K1031" s="12"/>
      <c r="L1031" s="12"/>
      <c r="M1031" s="12"/>
      <c r="N1031" s="12"/>
      <c r="O1031" s="12"/>
      <c r="P1031" s="12"/>
      <c r="Q1031" s="14"/>
    </row>
    <row r="1032" spans="2:17">
      <c r="B1032" s="12"/>
      <c r="C1032" s="12"/>
      <c r="D1032" s="12"/>
      <c r="E1032" s="12"/>
      <c r="F1032" s="12"/>
      <c r="G1032" s="12"/>
      <c r="H1032" s="12"/>
      <c r="I1032" s="12"/>
      <c r="J1032" s="12"/>
      <c r="K1032" s="12"/>
      <c r="L1032" s="12"/>
      <c r="M1032" s="12"/>
      <c r="N1032" s="12"/>
      <c r="O1032" s="12"/>
      <c r="P1032" s="12"/>
      <c r="Q1032" s="14"/>
    </row>
    <row r="1033" spans="2:17">
      <c r="B1033" s="12"/>
      <c r="C1033" s="12"/>
      <c r="D1033" s="12"/>
      <c r="E1033" s="12"/>
      <c r="F1033" s="12"/>
      <c r="G1033" s="12"/>
      <c r="H1033" s="12"/>
      <c r="I1033" s="12"/>
      <c r="J1033" s="12"/>
      <c r="K1033" s="12"/>
      <c r="L1033" s="12"/>
      <c r="M1033" s="12"/>
      <c r="N1033" s="12"/>
      <c r="O1033" s="12"/>
      <c r="P1033" s="12"/>
      <c r="Q1033" s="14"/>
    </row>
    <row r="1034" spans="2:17">
      <c r="B1034" s="12"/>
      <c r="C1034" s="12"/>
      <c r="D1034" s="12"/>
      <c r="E1034" s="12"/>
      <c r="F1034" s="12"/>
      <c r="G1034" s="12"/>
      <c r="H1034" s="12"/>
      <c r="I1034" s="12"/>
      <c r="J1034" s="12"/>
      <c r="K1034" s="12"/>
      <c r="L1034" s="12"/>
      <c r="M1034" s="12"/>
      <c r="N1034" s="12"/>
      <c r="O1034" s="12"/>
      <c r="P1034" s="12"/>
      <c r="Q1034" s="14"/>
    </row>
    <row r="1035" spans="2:17">
      <c r="B1035" s="12"/>
      <c r="C1035" s="12"/>
      <c r="D1035" s="12"/>
      <c r="E1035" s="12"/>
      <c r="F1035" s="12"/>
      <c r="G1035" s="12"/>
      <c r="H1035" s="12"/>
      <c r="I1035" s="12"/>
      <c r="J1035" s="12"/>
      <c r="K1035" s="12"/>
      <c r="L1035" s="12"/>
      <c r="M1035" s="12"/>
      <c r="N1035" s="12"/>
      <c r="O1035" s="12"/>
      <c r="P1035" s="12"/>
      <c r="Q1035" s="14"/>
    </row>
    <row r="1036" spans="2:17">
      <c r="B1036" s="12"/>
      <c r="C1036" s="12"/>
      <c r="D1036" s="12"/>
      <c r="E1036" s="12"/>
      <c r="F1036" s="12"/>
      <c r="G1036" s="12"/>
      <c r="H1036" s="12"/>
      <c r="I1036" s="12"/>
      <c r="J1036" s="12"/>
      <c r="K1036" s="12"/>
      <c r="L1036" s="12"/>
      <c r="M1036" s="12"/>
      <c r="N1036" s="12"/>
      <c r="O1036" s="12"/>
      <c r="P1036" s="12"/>
      <c r="Q1036" s="14"/>
    </row>
    <row r="1037" spans="2:17">
      <c r="B1037" s="12"/>
      <c r="C1037" s="12"/>
      <c r="D1037" s="12"/>
      <c r="E1037" s="12"/>
      <c r="F1037" s="12"/>
      <c r="G1037" s="12"/>
      <c r="H1037" s="12"/>
      <c r="I1037" s="12"/>
      <c r="J1037" s="12"/>
      <c r="K1037" s="12"/>
      <c r="L1037" s="12"/>
      <c r="M1037" s="12"/>
      <c r="N1037" s="12"/>
      <c r="O1037" s="12"/>
      <c r="P1037" s="12"/>
      <c r="Q1037" s="14"/>
    </row>
    <row r="1038" spans="2:17">
      <c r="B1038" s="12"/>
      <c r="C1038" s="12"/>
      <c r="D1038" s="12"/>
      <c r="E1038" s="12"/>
      <c r="F1038" s="12"/>
      <c r="G1038" s="12"/>
      <c r="H1038" s="12"/>
      <c r="I1038" s="12"/>
      <c r="J1038" s="12"/>
      <c r="K1038" s="12"/>
      <c r="L1038" s="12"/>
      <c r="M1038" s="12"/>
      <c r="N1038" s="12"/>
      <c r="O1038" s="12"/>
      <c r="P1038" s="12"/>
      <c r="Q1038" s="14"/>
    </row>
    <row r="1039" spans="2:17">
      <c r="B1039" s="12"/>
      <c r="C1039" s="12"/>
      <c r="D1039" s="12"/>
      <c r="E1039" s="12"/>
      <c r="F1039" s="12"/>
      <c r="G1039" s="12"/>
      <c r="H1039" s="12"/>
      <c r="I1039" s="12"/>
      <c r="J1039" s="12"/>
      <c r="K1039" s="12"/>
      <c r="L1039" s="12"/>
      <c r="M1039" s="12"/>
      <c r="N1039" s="12"/>
      <c r="O1039" s="12"/>
      <c r="P1039" s="12"/>
      <c r="Q1039" s="14"/>
    </row>
    <row r="1040" spans="2:17">
      <c r="B1040" s="12"/>
      <c r="C1040" s="12"/>
      <c r="D1040" s="12"/>
      <c r="E1040" s="12"/>
      <c r="F1040" s="12"/>
      <c r="G1040" s="12"/>
      <c r="H1040" s="12"/>
      <c r="I1040" s="12"/>
      <c r="J1040" s="12"/>
      <c r="K1040" s="12"/>
      <c r="L1040" s="12"/>
      <c r="M1040" s="12"/>
      <c r="N1040" s="12"/>
      <c r="O1040" s="12"/>
      <c r="P1040" s="12"/>
      <c r="Q1040" s="14"/>
    </row>
    <row r="1041" spans="2:17">
      <c r="B1041" s="12"/>
      <c r="C1041" s="12"/>
      <c r="D1041" s="12"/>
      <c r="E1041" s="12"/>
      <c r="F1041" s="12"/>
      <c r="G1041" s="12"/>
      <c r="H1041" s="12"/>
      <c r="I1041" s="12"/>
      <c r="J1041" s="12"/>
      <c r="K1041" s="12"/>
      <c r="L1041" s="12"/>
      <c r="M1041" s="12"/>
      <c r="N1041" s="12"/>
      <c r="O1041" s="12"/>
      <c r="P1041" s="12"/>
      <c r="Q1041" s="14"/>
    </row>
    <row r="1042" spans="2:17">
      <c r="B1042" s="12"/>
      <c r="C1042" s="12"/>
      <c r="D1042" s="12"/>
      <c r="E1042" s="12"/>
      <c r="F1042" s="12"/>
      <c r="G1042" s="12"/>
      <c r="H1042" s="12"/>
      <c r="I1042" s="12"/>
      <c r="J1042" s="12"/>
      <c r="K1042" s="12"/>
      <c r="L1042" s="12"/>
      <c r="M1042" s="12"/>
      <c r="N1042" s="12"/>
      <c r="O1042" s="12"/>
      <c r="P1042" s="12"/>
      <c r="Q1042" s="14"/>
    </row>
    <row r="1043" spans="2:17">
      <c r="B1043" s="12"/>
      <c r="C1043" s="12"/>
      <c r="D1043" s="12"/>
      <c r="E1043" s="12"/>
      <c r="F1043" s="12"/>
      <c r="G1043" s="12"/>
      <c r="H1043" s="12"/>
      <c r="I1043" s="12"/>
      <c r="J1043" s="12"/>
      <c r="K1043" s="12"/>
      <c r="L1043" s="12"/>
      <c r="M1043" s="12"/>
      <c r="N1043" s="12"/>
      <c r="O1043" s="12"/>
      <c r="P1043" s="12"/>
      <c r="Q1043" s="14"/>
    </row>
    <row r="1044" spans="2:17">
      <c r="B1044" s="12"/>
      <c r="C1044" s="12"/>
      <c r="D1044" s="12"/>
      <c r="E1044" s="12"/>
      <c r="F1044" s="12"/>
      <c r="G1044" s="12"/>
      <c r="H1044" s="12"/>
      <c r="I1044" s="12"/>
      <c r="J1044" s="12"/>
      <c r="K1044" s="12"/>
      <c r="L1044" s="12"/>
      <c r="M1044" s="12"/>
      <c r="N1044" s="12"/>
      <c r="O1044" s="12"/>
      <c r="P1044" s="12"/>
      <c r="Q1044" s="14"/>
    </row>
    <row r="1045" spans="2:17">
      <c r="B1045" s="12"/>
      <c r="C1045" s="12"/>
      <c r="D1045" s="12"/>
      <c r="E1045" s="12"/>
      <c r="F1045" s="12"/>
      <c r="G1045" s="12"/>
      <c r="H1045" s="12"/>
      <c r="I1045" s="12"/>
      <c r="J1045" s="12"/>
      <c r="K1045" s="12"/>
      <c r="L1045" s="12"/>
      <c r="M1045" s="12"/>
      <c r="N1045" s="12"/>
      <c r="O1045" s="12"/>
      <c r="P1045" s="12"/>
      <c r="Q1045" s="14"/>
    </row>
    <row r="1046" spans="2:17">
      <c r="B1046" s="12"/>
      <c r="C1046" s="12"/>
      <c r="D1046" s="12"/>
      <c r="E1046" s="12"/>
      <c r="F1046" s="12"/>
      <c r="G1046" s="12"/>
      <c r="H1046" s="12"/>
      <c r="I1046" s="12"/>
      <c r="J1046" s="12"/>
      <c r="K1046" s="12"/>
      <c r="L1046" s="12"/>
      <c r="M1046" s="12"/>
      <c r="N1046" s="12"/>
      <c r="O1046" s="12"/>
      <c r="P1046" s="12"/>
      <c r="Q1046" s="14"/>
    </row>
    <row r="1047" spans="2:17">
      <c r="B1047" s="12"/>
      <c r="C1047" s="12"/>
      <c r="D1047" s="12"/>
      <c r="E1047" s="12"/>
      <c r="F1047" s="12"/>
      <c r="G1047" s="12"/>
      <c r="H1047" s="12"/>
      <c r="I1047" s="12"/>
      <c r="J1047" s="12"/>
      <c r="K1047" s="12"/>
      <c r="L1047" s="12"/>
      <c r="M1047" s="12"/>
      <c r="N1047" s="12"/>
      <c r="O1047" s="12"/>
      <c r="P1047" s="12"/>
      <c r="Q1047" s="14"/>
    </row>
    <row r="1048" spans="2:17">
      <c r="B1048" s="12"/>
      <c r="C1048" s="12"/>
      <c r="D1048" s="12"/>
      <c r="E1048" s="12"/>
      <c r="F1048" s="12"/>
      <c r="G1048" s="12"/>
      <c r="H1048" s="12"/>
      <c r="I1048" s="12"/>
      <c r="J1048" s="12"/>
      <c r="K1048" s="12"/>
      <c r="L1048" s="12"/>
      <c r="M1048" s="12"/>
      <c r="N1048" s="12"/>
      <c r="O1048" s="12"/>
      <c r="P1048" s="12"/>
      <c r="Q1048" s="14"/>
    </row>
    <row r="1049" spans="2:17">
      <c r="B1049" s="12"/>
      <c r="C1049" s="12"/>
      <c r="D1049" s="12"/>
      <c r="E1049" s="12"/>
      <c r="F1049" s="12"/>
      <c r="G1049" s="12"/>
      <c r="H1049" s="12"/>
      <c r="I1049" s="12"/>
      <c r="J1049" s="12"/>
      <c r="K1049" s="12"/>
      <c r="L1049" s="12"/>
      <c r="M1049" s="12"/>
      <c r="N1049" s="12"/>
      <c r="O1049" s="12"/>
      <c r="P1049" s="12"/>
      <c r="Q1049" s="14"/>
    </row>
    <row r="1050" spans="2:17">
      <c r="B1050" s="12"/>
      <c r="C1050" s="12"/>
      <c r="D1050" s="12"/>
      <c r="E1050" s="12"/>
      <c r="F1050" s="12"/>
      <c r="G1050" s="12"/>
      <c r="H1050" s="12"/>
      <c r="I1050" s="12"/>
      <c r="J1050" s="12"/>
      <c r="K1050" s="12"/>
      <c r="L1050" s="12"/>
      <c r="M1050" s="12"/>
      <c r="N1050" s="12"/>
      <c r="O1050" s="12"/>
      <c r="P1050" s="12"/>
      <c r="Q1050" s="14"/>
    </row>
    <row r="1051" spans="2:17">
      <c r="B1051" s="12"/>
      <c r="C1051" s="12"/>
      <c r="D1051" s="12"/>
      <c r="E1051" s="12"/>
      <c r="F1051" s="12"/>
      <c r="G1051" s="12"/>
      <c r="H1051" s="12"/>
      <c r="I1051" s="12"/>
      <c r="J1051" s="12"/>
      <c r="K1051" s="12"/>
      <c r="L1051" s="12"/>
      <c r="M1051" s="12"/>
      <c r="N1051" s="12"/>
      <c r="O1051" s="12"/>
      <c r="P1051" s="12"/>
      <c r="Q1051" s="14"/>
    </row>
    <row r="1052" spans="2:17">
      <c r="B1052" s="12"/>
      <c r="C1052" s="12"/>
      <c r="D1052" s="12"/>
      <c r="E1052" s="12"/>
      <c r="F1052" s="12"/>
      <c r="G1052" s="12"/>
      <c r="H1052" s="12"/>
      <c r="I1052" s="12"/>
      <c r="J1052" s="12"/>
      <c r="K1052" s="12"/>
      <c r="L1052" s="12"/>
      <c r="M1052" s="12"/>
      <c r="N1052" s="12"/>
      <c r="O1052" s="12"/>
      <c r="P1052" s="12"/>
      <c r="Q1052" s="14"/>
    </row>
    <row r="1053" spans="2:17">
      <c r="B1053" s="12"/>
      <c r="C1053" s="12"/>
      <c r="D1053" s="12"/>
      <c r="E1053" s="12"/>
      <c r="F1053" s="12"/>
      <c r="G1053" s="12"/>
      <c r="H1053" s="12"/>
      <c r="I1053" s="12"/>
      <c r="J1053" s="12"/>
      <c r="K1053" s="12"/>
      <c r="L1053" s="12"/>
      <c r="M1053" s="12"/>
      <c r="N1053" s="12"/>
      <c r="O1053" s="12"/>
      <c r="P1053" s="12"/>
      <c r="Q1053" s="14"/>
    </row>
    <row r="1054" spans="2:17">
      <c r="B1054" s="12"/>
      <c r="C1054" s="12"/>
      <c r="D1054" s="12"/>
      <c r="E1054" s="12"/>
      <c r="F1054" s="12"/>
      <c r="G1054" s="12"/>
      <c r="H1054" s="12"/>
      <c r="I1054" s="12"/>
      <c r="J1054" s="12"/>
      <c r="K1054" s="12"/>
      <c r="L1054" s="12"/>
      <c r="M1054" s="12"/>
      <c r="N1054" s="12"/>
      <c r="O1054" s="12"/>
      <c r="P1054" s="12"/>
      <c r="Q1054" s="14"/>
    </row>
    <row r="1055" spans="2:17">
      <c r="B1055" s="12"/>
      <c r="C1055" s="12"/>
      <c r="D1055" s="12"/>
      <c r="E1055" s="12"/>
      <c r="F1055" s="12"/>
      <c r="G1055" s="12"/>
      <c r="H1055" s="12"/>
      <c r="I1055" s="12"/>
      <c r="J1055" s="12"/>
      <c r="K1055" s="12"/>
      <c r="L1055" s="12"/>
      <c r="M1055" s="12"/>
      <c r="N1055" s="12"/>
      <c r="O1055" s="12"/>
      <c r="P1055" s="12"/>
      <c r="Q1055" s="14"/>
    </row>
    <row r="1056" spans="2:17">
      <c r="B1056" s="12"/>
      <c r="C1056" s="12"/>
      <c r="D1056" s="12"/>
      <c r="E1056" s="12"/>
      <c r="F1056" s="12"/>
      <c r="G1056" s="12"/>
      <c r="H1056" s="12"/>
      <c r="I1056" s="12"/>
      <c r="J1056" s="12"/>
      <c r="K1056" s="12"/>
      <c r="L1056" s="12"/>
      <c r="M1056" s="12"/>
      <c r="N1056" s="12"/>
      <c r="O1056" s="12"/>
      <c r="P1056" s="12"/>
      <c r="Q1056" s="14"/>
    </row>
    <row r="1057" spans="2:17">
      <c r="B1057" s="12"/>
      <c r="C1057" s="12"/>
      <c r="D1057" s="12"/>
      <c r="E1057" s="12"/>
      <c r="F1057" s="12"/>
      <c r="G1057" s="12"/>
      <c r="H1057" s="12"/>
      <c r="I1057" s="12"/>
      <c r="J1057" s="12"/>
      <c r="K1057" s="12"/>
      <c r="L1057" s="12"/>
      <c r="M1057" s="12"/>
      <c r="N1057" s="12"/>
      <c r="O1057" s="12"/>
      <c r="P1057" s="12"/>
      <c r="Q1057" s="14"/>
    </row>
    <row r="1058" spans="2:17">
      <c r="B1058" s="12"/>
      <c r="C1058" s="12"/>
      <c r="D1058" s="12"/>
      <c r="E1058" s="12"/>
      <c r="F1058" s="12"/>
      <c r="G1058" s="12"/>
      <c r="H1058" s="12"/>
      <c r="I1058" s="12"/>
      <c r="J1058" s="12"/>
      <c r="K1058" s="12"/>
      <c r="L1058" s="12"/>
      <c r="M1058" s="12"/>
      <c r="N1058" s="12"/>
      <c r="O1058" s="12"/>
      <c r="P1058" s="12"/>
      <c r="Q1058" s="14"/>
    </row>
    <row r="1059" spans="2:17">
      <c r="B1059" s="12"/>
      <c r="C1059" s="12"/>
      <c r="D1059" s="12"/>
      <c r="E1059" s="12"/>
      <c r="F1059" s="12"/>
      <c r="G1059" s="12"/>
      <c r="H1059" s="12"/>
      <c r="I1059" s="12"/>
      <c r="J1059" s="12"/>
      <c r="K1059" s="12"/>
      <c r="L1059" s="12"/>
      <c r="M1059" s="12"/>
      <c r="N1059" s="12"/>
      <c r="O1059" s="12"/>
      <c r="P1059" s="12"/>
      <c r="Q1059" s="14"/>
    </row>
    <row r="1060" spans="2:17">
      <c r="B1060" s="12"/>
      <c r="C1060" s="12"/>
      <c r="D1060" s="12"/>
      <c r="E1060" s="12"/>
      <c r="F1060" s="12"/>
      <c r="G1060" s="12"/>
      <c r="H1060" s="12"/>
      <c r="I1060" s="12"/>
      <c r="J1060" s="12"/>
      <c r="K1060" s="12"/>
      <c r="L1060" s="12"/>
      <c r="M1060" s="12"/>
      <c r="N1060" s="12"/>
      <c r="O1060" s="12"/>
      <c r="P1060" s="12"/>
      <c r="Q1060" s="14"/>
    </row>
    <row r="1061" spans="2:17">
      <c r="B1061" s="12"/>
      <c r="C1061" s="12"/>
      <c r="D1061" s="12"/>
      <c r="E1061" s="12"/>
      <c r="F1061" s="12"/>
      <c r="G1061" s="12"/>
      <c r="H1061" s="12"/>
      <c r="I1061" s="12"/>
      <c r="J1061" s="12"/>
      <c r="K1061" s="12"/>
      <c r="L1061" s="12"/>
      <c r="M1061" s="12"/>
      <c r="N1061" s="12"/>
      <c r="O1061" s="12"/>
      <c r="P1061" s="12"/>
      <c r="Q1061" s="14"/>
    </row>
    <row r="1062" spans="2:17">
      <c r="B1062" s="12"/>
      <c r="C1062" s="12"/>
      <c r="D1062" s="12"/>
      <c r="E1062" s="12"/>
      <c r="F1062" s="12"/>
      <c r="G1062" s="12"/>
      <c r="H1062" s="12"/>
      <c r="I1062" s="12"/>
      <c r="J1062" s="12"/>
      <c r="K1062" s="12"/>
      <c r="L1062" s="12"/>
      <c r="M1062" s="12"/>
      <c r="N1062" s="12"/>
      <c r="O1062" s="12"/>
      <c r="P1062" s="12"/>
      <c r="Q1062" s="14"/>
    </row>
    <row r="1063" spans="2:17">
      <c r="B1063" s="12"/>
      <c r="C1063" s="12"/>
      <c r="D1063" s="12"/>
      <c r="E1063" s="12"/>
      <c r="F1063" s="12"/>
      <c r="G1063" s="12"/>
      <c r="H1063" s="12"/>
      <c r="I1063" s="12"/>
      <c r="J1063" s="12"/>
      <c r="K1063" s="12"/>
      <c r="L1063" s="12"/>
      <c r="M1063" s="12"/>
      <c r="N1063" s="12"/>
      <c r="O1063" s="12"/>
      <c r="P1063" s="12"/>
      <c r="Q1063" s="14"/>
    </row>
    <row r="1064" spans="2:17">
      <c r="B1064" s="12"/>
      <c r="C1064" s="12"/>
      <c r="D1064" s="12"/>
      <c r="E1064" s="12"/>
      <c r="F1064" s="12"/>
      <c r="G1064" s="12"/>
      <c r="H1064" s="12"/>
      <c r="I1064" s="12"/>
      <c r="J1064" s="12"/>
      <c r="K1064" s="12"/>
      <c r="L1064" s="12"/>
      <c r="M1064" s="12"/>
      <c r="N1064" s="12"/>
      <c r="O1064" s="12"/>
      <c r="P1064" s="12"/>
      <c r="Q1064" s="14"/>
    </row>
    <row r="1065" spans="2:17">
      <c r="B1065" s="12"/>
      <c r="C1065" s="12"/>
      <c r="D1065" s="12"/>
      <c r="E1065" s="12"/>
      <c r="F1065" s="12"/>
      <c r="G1065" s="12"/>
      <c r="H1065" s="12"/>
      <c r="I1065" s="12"/>
      <c r="J1065" s="12"/>
      <c r="K1065" s="12"/>
      <c r="L1065" s="12"/>
      <c r="M1065" s="12"/>
      <c r="N1065" s="12"/>
      <c r="O1065" s="12"/>
      <c r="P1065" s="12"/>
      <c r="Q1065" s="14"/>
    </row>
    <row r="1066" spans="2:17">
      <c r="B1066" s="12"/>
      <c r="C1066" s="12"/>
      <c r="D1066" s="12"/>
      <c r="E1066" s="12"/>
      <c r="F1066" s="12"/>
      <c r="G1066" s="12"/>
      <c r="H1066" s="12"/>
      <c r="I1066" s="12"/>
      <c r="J1066" s="12"/>
      <c r="K1066" s="12"/>
      <c r="L1066" s="12"/>
      <c r="M1066" s="12"/>
      <c r="N1066" s="12"/>
      <c r="O1066" s="12"/>
      <c r="P1066" s="12"/>
      <c r="Q1066" s="14"/>
    </row>
    <row r="1067" spans="2:17">
      <c r="B1067" s="12"/>
      <c r="C1067" s="12"/>
      <c r="D1067" s="12"/>
      <c r="E1067" s="12"/>
      <c r="F1067" s="12"/>
      <c r="G1067" s="12"/>
      <c r="H1067" s="12"/>
      <c r="I1067" s="12"/>
      <c r="J1067" s="12"/>
      <c r="K1067" s="12"/>
      <c r="L1067" s="12"/>
      <c r="M1067" s="12"/>
      <c r="N1067" s="12"/>
      <c r="O1067" s="12"/>
      <c r="P1067" s="12"/>
      <c r="Q1067" s="14"/>
    </row>
    <row r="1068" spans="2:17">
      <c r="B1068" s="12"/>
      <c r="C1068" s="12"/>
      <c r="D1068" s="12"/>
      <c r="E1068" s="12"/>
      <c r="F1068" s="12"/>
      <c r="G1068" s="12"/>
      <c r="H1068" s="12"/>
      <c r="I1068" s="12"/>
      <c r="J1068" s="12"/>
      <c r="K1068" s="12"/>
      <c r="L1068" s="12"/>
      <c r="M1068" s="12"/>
      <c r="N1068" s="12"/>
      <c r="O1068" s="12"/>
      <c r="P1068" s="12"/>
      <c r="Q1068" s="14"/>
    </row>
    <row r="1069" spans="2:17">
      <c r="B1069" s="12"/>
      <c r="C1069" s="12"/>
      <c r="D1069" s="12"/>
      <c r="E1069" s="12"/>
      <c r="F1069" s="12"/>
      <c r="G1069" s="12"/>
      <c r="H1069" s="12"/>
      <c r="I1069" s="12"/>
      <c r="J1069" s="12"/>
      <c r="K1069" s="12"/>
      <c r="L1069" s="12"/>
      <c r="M1069" s="12"/>
      <c r="N1069" s="12"/>
      <c r="O1069" s="12"/>
      <c r="P1069" s="12"/>
      <c r="Q1069" s="14"/>
    </row>
    <row r="1070" spans="2:17">
      <c r="B1070" s="12"/>
      <c r="C1070" s="12"/>
      <c r="D1070" s="12"/>
      <c r="E1070" s="12"/>
      <c r="F1070" s="12"/>
      <c r="G1070" s="12"/>
      <c r="H1070" s="12"/>
      <c r="I1070" s="12"/>
      <c r="J1070" s="12"/>
      <c r="K1070" s="12"/>
      <c r="L1070" s="12"/>
      <c r="M1070" s="12"/>
      <c r="N1070" s="12"/>
      <c r="O1070" s="12"/>
      <c r="P1070" s="12"/>
      <c r="Q1070" s="14"/>
    </row>
    <row r="1071" spans="2:17">
      <c r="B1071" s="12"/>
      <c r="C1071" s="12"/>
      <c r="D1071" s="12"/>
      <c r="E1071" s="12"/>
      <c r="F1071" s="12"/>
      <c r="G1071" s="12"/>
      <c r="H1071" s="12"/>
      <c r="I1071" s="12"/>
      <c r="J1071" s="12"/>
      <c r="K1071" s="12"/>
      <c r="L1071" s="12"/>
      <c r="M1071" s="12"/>
      <c r="N1071" s="12"/>
      <c r="O1071" s="12"/>
      <c r="P1071" s="12"/>
      <c r="Q1071" s="14"/>
    </row>
    <row r="1072" spans="2:17">
      <c r="B1072" s="12"/>
      <c r="C1072" s="12"/>
      <c r="D1072" s="12"/>
      <c r="E1072" s="12"/>
      <c r="F1072" s="12"/>
      <c r="G1072" s="12"/>
      <c r="H1072" s="12"/>
      <c r="I1072" s="12"/>
      <c r="J1072" s="12"/>
      <c r="K1072" s="12"/>
      <c r="L1072" s="12"/>
      <c r="M1072" s="12"/>
      <c r="N1072" s="12"/>
      <c r="O1072" s="12"/>
      <c r="P1072" s="12"/>
      <c r="Q1072" s="14"/>
    </row>
    <row r="1073" spans="2:17">
      <c r="B1073" s="12"/>
      <c r="C1073" s="12"/>
      <c r="D1073" s="12"/>
      <c r="E1073" s="12"/>
      <c r="F1073" s="12"/>
      <c r="G1073" s="12"/>
      <c r="H1073" s="12"/>
      <c r="I1073" s="12"/>
      <c r="J1073" s="12"/>
      <c r="K1073" s="12"/>
      <c r="L1073" s="12"/>
      <c r="M1073" s="12"/>
      <c r="N1073" s="12"/>
      <c r="O1073" s="12"/>
      <c r="P1073" s="12"/>
      <c r="Q1073" s="14"/>
    </row>
    <row r="1074" spans="2:17">
      <c r="B1074" s="12"/>
      <c r="C1074" s="12"/>
      <c r="D1074" s="12"/>
      <c r="E1074" s="12"/>
      <c r="F1074" s="12"/>
      <c r="G1074" s="12"/>
      <c r="H1074" s="12"/>
      <c r="I1074" s="12"/>
      <c r="J1074" s="12"/>
      <c r="K1074" s="12"/>
      <c r="L1074" s="12"/>
      <c r="M1074" s="12"/>
      <c r="N1074" s="12"/>
      <c r="O1074" s="12"/>
      <c r="P1074" s="12"/>
      <c r="Q1074" s="14"/>
    </row>
    <row r="1075" spans="2:17">
      <c r="B1075" s="12"/>
      <c r="C1075" s="12"/>
      <c r="D1075" s="12"/>
      <c r="E1075" s="12"/>
      <c r="F1075" s="12"/>
      <c r="G1075" s="12"/>
      <c r="H1075" s="12"/>
      <c r="I1075" s="12"/>
      <c r="J1075" s="12"/>
      <c r="K1075" s="12"/>
      <c r="L1075" s="12"/>
      <c r="M1075" s="12"/>
      <c r="N1075" s="12"/>
      <c r="O1075" s="12"/>
      <c r="P1075" s="12"/>
      <c r="Q1075" s="14"/>
    </row>
    <row r="1076" spans="2:17">
      <c r="B1076" s="12"/>
      <c r="C1076" s="12"/>
      <c r="D1076" s="12"/>
      <c r="E1076" s="12"/>
      <c r="F1076" s="12"/>
      <c r="G1076" s="12"/>
      <c r="H1076" s="12"/>
      <c r="I1076" s="12"/>
      <c r="J1076" s="12"/>
      <c r="K1076" s="12"/>
      <c r="L1076" s="12"/>
      <c r="M1076" s="12"/>
      <c r="N1076" s="12"/>
      <c r="O1076" s="12"/>
      <c r="P1076" s="12"/>
      <c r="Q1076" s="14"/>
    </row>
    <row r="1077" spans="2:17">
      <c r="B1077" s="12"/>
      <c r="C1077" s="12"/>
      <c r="D1077" s="12"/>
      <c r="E1077" s="12"/>
      <c r="F1077" s="12"/>
      <c r="G1077" s="12"/>
      <c r="H1077" s="12"/>
      <c r="I1077" s="12"/>
      <c r="J1077" s="12"/>
      <c r="K1077" s="12"/>
      <c r="L1077" s="12"/>
      <c r="M1077" s="12"/>
      <c r="N1077" s="12"/>
      <c r="O1077" s="12"/>
      <c r="P1077" s="12"/>
      <c r="Q1077" s="14"/>
    </row>
    <row r="1078" spans="2:17">
      <c r="B1078" s="12"/>
      <c r="C1078" s="12"/>
      <c r="D1078" s="12"/>
      <c r="E1078" s="12"/>
      <c r="F1078" s="12"/>
      <c r="G1078" s="12"/>
      <c r="H1078" s="12"/>
      <c r="I1078" s="12"/>
      <c r="J1078" s="12"/>
      <c r="K1078" s="12"/>
      <c r="L1078" s="12"/>
      <c r="M1078" s="12"/>
      <c r="N1078" s="12"/>
      <c r="O1078" s="12"/>
      <c r="P1078" s="12"/>
      <c r="Q1078" s="14"/>
    </row>
    <row r="1079" spans="2:17">
      <c r="B1079" s="12"/>
      <c r="C1079" s="12"/>
      <c r="D1079" s="12"/>
      <c r="E1079" s="12"/>
      <c r="F1079" s="12"/>
      <c r="G1079" s="12"/>
      <c r="H1079" s="12"/>
      <c r="I1079" s="12"/>
      <c r="J1079" s="12"/>
      <c r="K1079" s="12"/>
      <c r="L1079" s="12"/>
      <c r="M1079" s="12"/>
      <c r="N1079" s="12"/>
      <c r="O1079" s="12"/>
      <c r="P1079" s="12"/>
      <c r="Q1079" s="14"/>
    </row>
    <row r="1080" spans="2:17">
      <c r="B1080" s="12"/>
      <c r="C1080" s="12"/>
      <c r="D1080" s="12"/>
      <c r="E1080" s="12"/>
      <c r="F1080" s="12"/>
      <c r="G1080" s="12"/>
      <c r="H1080" s="12"/>
      <c r="I1080" s="12"/>
      <c r="J1080" s="12"/>
      <c r="K1080" s="12"/>
      <c r="L1080" s="12"/>
      <c r="M1080" s="12"/>
      <c r="N1080" s="12"/>
      <c r="O1080" s="12"/>
      <c r="P1080" s="12"/>
      <c r="Q1080" s="14"/>
    </row>
    <row r="1081" spans="2:17">
      <c r="B1081" s="12"/>
      <c r="C1081" s="12"/>
      <c r="D1081" s="12"/>
      <c r="E1081" s="12"/>
      <c r="F1081" s="12"/>
      <c r="G1081" s="12"/>
      <c r="H1081" s="12"/>
      <c r="I1081" s="12"/>
      <c r="J1081" s="12"/>
      <c r="K1081" s="12"/>
      <c r="L1081" s="12"/>
      <c r="M1081" s="12"/>
      <c r="N1081" s="12"/>
      <c r="O1081" s="12"/>
      <c r="P1081" s="12"/>
      <c r="Q1081" s="14"/>
    </row>
    <row r="1082" spans="2:17">
      <c r="B1082" s="12"/>
      <c r="C1082" s="12"/>
      <c r="D1082" s="12"/>
      <c r="E1082" s="12"/>
      <c r="F1082" s="12"/>
      <c r="G1082" s="12"/>
      <c r="H1082" s="12"/>
      <c r="I1082" s="12"/>
      <c r="J1082" s="12"/>
      <c r="K1082" s="12"/>
      <c r="L1082" s="12"/>
      <c r="M1082" s="12"/>
      <c r="N1082" s="12"/>
      <c r="O1082" s="12"/>
      <c r="P1082" s="12"/>
      <c r="Q1082" s="14"/>
    </row>
    <row r="1083" spans="2:17">
      <c r="B1083" s="12"/>
      <c r="C1083" s="12"/>
      <c r="D1083" s="12"/>
      <c r="E1083" s="12"/>
      <c r="F1083" s="12"/>
      <c r="G1083" s="12"/>
      <c r="H1083" s="12"/>
      <c r="I1083" s="12"/>
      <c r="J1083" s="12"/>
      <c r="K1083" s="12"/>
      <c r="L1083" s="12"/>
      <c r="M1083" s="12"/>
      <c r="N1083" s="12"/>
      <c r="O1083" s="12"/>
      <c r="P1083" s="12"/>
      <c r="Q1083" s="14"/>
    </row>
    <row r="1084" spans="2:17">
      <c r="B1084" s="12"/>
      <c r="C1084" s="12"/>
      <c r="D1084" s="12"/>
      <c r="E1084" s="12"/>
      <c r="F1084" s="12"/>
      <c r="G1084" s="12"/>
      <c r="H1084" s="12"/>
      <c r="I1084" s="12"/>
      <c r="J1084" s="12"/>
      <c r="K1084" s="12"/>
      <c r="L1084" s="12"/>
      <c r="M1084" s="12"/>
      <c r="N1084" s="12"/>
      <c r="O1084" s="12"/>
      <c r="P1084" s="12"/>
      <c r="Q1084" s="14"/>
    </row>
    <row r="1085" spans="2:17">
      <c r="B1085" s="12"/>
      <c r="C1085" s="12"/>
      <c r="D1085" s="12"/>
      <c r="E1085" s="12"/>
      <c r="F1085" s="12"/>
      <c r="G1085" s="12"/>
      <c r="H1085" s="12"/>
      <c r="I1085" s="12"/>
      <c r="J1085" s="12"/>
      <c r="K1085" s="12"/>
      <c r="L1085" s="12"/>
      <c r="M1085" s="12"/>
      <c r="N1085" s="12"/>
      <c r="O1085" s="12"/>
      <c r="P1085" s="12"/>
      <c r="Q1085" s="14"/>
    </row>
    <row r="1086" spans="2:17">
      <c r="B1086" s="12"/>
      <c r="C1086" s="12"/>
      <c r="D1086" s="12"/>
      <c r="E1086" s="12"/>
      <c r="F1086" s="12"/>
      <c r="G1086" s="12"/>
      <c r="H1086" s="12"/>
      <c r="I1086" s="12"/>
      <c r="J1086" s="12"/>
      <c r="K1086" s="12"/>
      <c r="L1086" s="12"/>
      <c r="M1086" s="12"/>
      <c r="N1086" s="12"/>
      <c r="O1086" s="12"/>
      <c r="P1086" s="12"/>
      <c r="Q1086" s="14"/>
    </row>
    <row r="1087" spans="2:17">
      <c r="B1087" s="12"/>
      <c r="C1087" s="12"/>
      <c r="D1087" s="12"/>
      <c r="E1087" s="12"/>
      <c r="F1087" s="12"/>
      <c r="G1087" s="12"/>
      <c r="H1087" s="12"/>
      <c r="I1087" s="12"/>
      <c r="J1087" s="12"/>
      <c r="K1087" s="12"/>
      <c r="L1087" s="12"/>
      <c r="M1087" s="12"/>
      <c r="N1087" s="12"/>
      <c r="O1087" s="12"/>
      <c r="P1087" s="12"/>
      <c r="Q1087" s="14"/>
    </row>
    <row r="1088" spans="2:17">
      <c r="B1088" s="12"/>
      <c r="C1088" s="12"/>
      <c r="D1088" s="12"/>
      <c r="E1088" s="12"/>
      <c r="F1088" s="12"/>
      <c r="G1088" s="12"/>
      <c r="H1088" s="12"/>
      <c r="I1088" s="12"/>
      <c r="J1088" s="12"/>
      <c r="K1088" s="12"/>
      <c r="L1088" s="12"/>
      <c r="M1088" s="12"/>
      <c r="N1088" s="12"/>
      <c r="O1088" s="12"/>
      <c r="P1088" s="12"/>
      <c r="Q1088" s="14"/>
    </row>
    <row r="1089" spans="2:17">
      <c r="B1089" s="12"/>
      <c r="C1089" s="12"/>
      <c r="D1089" s="12"/>
      <c r="E1089" s="12"/>
      <c r="F1089" s="12"/>
      <c r="G1089" s="12"/>
      <c r="H1089" s="12"/>
      <c r="I1089" s="12"/>
      <c r="J1089" s="12"/>
      <c r="K1089" s="12"/>
      <c r="L1089" s="12"/>
      <c r="M1089" s="12"/>
      <c r="N1089" s="12"/>
      <c r="O1089" s="12"/>
      <c r="P1089" s="12"/>
      <c r="Q1089" s="14"/>
    </row>
    <row r="1090" spans="2:17">
      <c r="B1090" s="12"/>
      <c r="C1090" s="12"/>
      <c r="D1090" s="12"/>
      <c r="E1090" s="12"/>
      <c r="F1090" s="12"/>
      <c r="G1090" s="12"/>
      <c r="H1090" s="12"/>
      <c r="I1090" s="12"/>
      <c r="J1090" s="12"/>
      <c r="K1090" s="12"/>
      <c r="L1090" s="12"/>
      <c r="M1090" s="12"/>
      <c r="N1090" s="12"/>
      <c r="O1090" s="12"/>
      <c r="P1090" s="12"/>
      <c r="Q1090" s="14"/>
    </row>
    <row r="1091" spans="2:17">
      <c r="B1091" s="12"/>
      <c r="C1091" s="12"/>
      <c r="D1091" s="12"/>
      <c r="E1091" s="12"/>
      <c r="F1091" s="12"/>
      <c r="G1091" s="12"/>
      <c r="H1091" s="12"/>
      <c r="I1091" s="12"/>
      <c r="J1091" s="12"/>
      <c r="K1091" s="12"/>
      <c r="L1091" s="12"/>
      <c r="M1091" s="12"/>
      <c r="N1091" s="12"/>
      <c r="O1091" s="12"/>
      <c r="P1091" s="12"/>
      <c r="Q1091" s="14"/>
    </row>
    <row r="1092" spans="2:17">
      <c r="B1092" s="12"/>
      <c r="C1092" s="12"/>
      <c r="D1092" s="12"/>
      <c r="E1092" s="12"/>
      <c r="F1092" s="12"/>
      <c r="G1092" s="12"/>
      <c r="H1092" s="12"/>
      <c r="I1092" s="12"/>
      <c r="J1092" s="12"/>
      <c r="K1092" s="12"/>
      <c r="L1092" s="12"/>
      <c r="M1092" s="12"/>
      <c r="N1092" s="12"/>
      <c r="O1092" s="12"/>
      <c r="P1092" s="12"/>
      <c r="Q1092" s="14"/>
    </row>
    <row r="1093" spans="2:17">
      <c r="B1093" s="12"/>
      <c r="C1093" s="12"/>
      <c r="D1093" s="12"/>
      <c r="E1093" s="12"/>
      <c r="F1093" s="12"/>
      <c r="G1093" s="12"/>
      <c r="H1093" s="12"/>
      <c r="I1093" s="12"/>
      <c r="J1093" s="12"/>
      <c r="K1093" s="12"/>
      <c r="L1093" s="12"/>
      <c r="M1093" s="12"/>
      <c r="N1093" s="12"/>
      <c r="O1093" s="12"/>
      <c r="P1093" s="12"/>
      <c r="Q1093" s="14"/>
    </row>
    <row r="1094" spans="2:17">
      <c r="B1094" s="12"/>
      <c r="C1094" s="12"/>
      <c r="D1094" s="12"/>
      <c r="E1094" s="12"/>
      <c r="F1094" s="12"/>
      <c r="G1094" s="12"/>
      <c r="H1094" s="12"/>
      <c r="I1094" s="12"/>
      <c r="J1094" s="12"/>
      <c r="K1094" s="12"/>
      <c r="L1094" s="12"/>
      <c r="M1094" s="12"/>
      <c r="N1094" s="12"/>
      <c r="O1094" s="12"/>
      <c r="P1094" s="12"/>
      <c r="Q1094" s="14"/>
    </row>
    <row r="1095" spans="2:17">
      <c r="B1095" s="12"/>
      <c r="C1095" s="12"/>
      <c r="D1095" s="12"/>
      <c r="E1095" s="12"/>
      <c r="F1095" s="12"/>
      <c r="G1095" s="12"/>
      <c r="H1095" s="12"/>
      <c r="I1095" s="12"/>
      <c r="J1095" s="12"/>
      <c r="K1095" s="12"/>
      <c r="L1095" s="12"/>
      <c r="M1095" s="12"/>
      <c r="N1095" s="12"/>
      <c r="O1095" s="12"/>
      <c r="P1095" s="12"/>
      <c r="Q1095" s="14"/>
    </row>
    <row r="1096" spans="2:17">
      <c r="B1096" s="12"/>
      <c r="C1096" s="12"/>
      <c r="D1096" s="12"/>
      <c r="E1096" s="12"/>
      <c r="F1096" s="12"/>
      <c r="G1096" s="12"/>
      <c r="H1096" s="12"/>
      <c r="I1096" s="12"/>
      <c r="J1096" s="12"/>
      <c r="K1096" s="12"/>
      <c r="L1096" s="12"/>
      <c r="M1096" s="12"/>
      <c r="N1096" s="12"/>
      <c r="O1096" s="12"/>
      <c r="P1096" s="12"/>
      <c r="Q1096" s="14"/>
    </row>
    <row r="1097" spans="2:17">
      <c r="B1097" s="12"/>
      <c r="C1097" s="12"/>
      <c r="D1097" s="12"/>
      <c r="E1097" s="12"/>
      <c r="F1097" s="12"/>
      <c r="G1097" s="12"/>
      <c r="H1097" s="12"/>
      <c r="I1097" s="12"/>
      <c r="J1097" s="12"/>
      <c r="K1097" s="12"/>
      <c r="L1097" s="12"/>
      <c r="M1097" s="12"/>
      <c r="N1097" s="12"/>
      <c r="O1097" s="12"/>
      <c r="P1097" s="12"/>
      <c r="Q1097" s="14"/>
    </row>
    <row r="1098" spans="2:17">
      <c r="B1098" s="12"/>
      <c r="C1098" s="12"/>
      <c r="D1098" s="12"/>
      <c r="E1098" s="12"/>
      <c r="F1098" s="12"/>
      <c r="G1098" s="12"/>
      <c r="H1098" s="12"/>
      <c r="I1098" s="12"/>
      <c r="J1098" s="12"/>
      <c r="K1098" s="12"/>
      <c r="L1098" s="12"/>
      <c r="M1098" s="12"/>
      <c r="N1098" s="12"/>
      <c r="O1098" s="12"/>
      <c r="P1098" s="12"/>
      <c r="Q1098" s="14"/>
    </row>
    <row r="1099" spans="2:17">
      <c r="B1099" s="12"/>
      <c r="C1099" s="12"/>
      <c r="D1099" s="12"/>
      <c r="E1099" s="12"/>
      <c r="F1099" s="12"/>
      <c r="G1099" s="12"/>
      <c r="H1099" s="12"/>
      <c r="I1099" s="12"/>
      <c r="J1099" s="12"/>
      <c r="K1099" s="12"/>
      <c r="L1099" s="12"/>
      <c r="M1099" s="12"/>
      <c r="N1099" s="12"/>
      <c r="O1099" s="12"/>
      <c r="P1099" s="12"/>
      <c r="Q1099" s="14"/>
    </row>
    <row r="1100" spans="2:17">
      <c r="B1100" s="12"/>
      <c r="C1100" s="12"/>
      <c r="D1100" s="12"/>
      <c r="E1100" s="12"/>
      <c r="F1100" s="12"/>
      <c r="G1100" s="12"/>
      <c r="H1100" s="12"/>
      <c r="I1100" s="12"/>
      <c r="J1100" s="12"/>
      <c r="K1100" s="12"/>
      <c r="L1100" s="12"/>
      <c r="M1100" s="12"/>
      <c r="N1100" s="12"/>
      <c r="O1100" s="12"/>
      <c r="P1100" s="12"/>
      <c r="Q1100" s="14"/>
    </row>
    <row r="1101" spans="2:17">
      <c r="B1101" s="12"/>
      <c r="C1101" s="12"/>
      <c r="D1101" s="12"/>
      <c r="E1101" s="12"/>
      <c r="F1101" s="12"/>
      <c r="G1101" s="12"/>
      <c r="H1101" s="12"/>
      <c r="I1101" s="12"/>
      <c r="J1101" s="12"/>
      <c r="K1101" s="12"/>
      <c r="L1101" s="12"/>
      <c r="M1101" s="12"/>
      <c r="N1101" s="12"/>
      <c r="O1101" s="12"/>
      <c r="P1101" s="12"/>
      <c r="Q1101" s="14"/>
    </row>
    <row r="1102" spans="2:17">
      <c r="B1102" s="12"/>
      <c r="C1102" s="12"/>
      <c r="D1102" s="12"/>
      <c r="E1102" s="12"/>
      <c r="F1102" s="12"/>
      <c r="G1102" s="12"/>
      <c r="H1102" s="12"/>
      <c r="I1102" s="12"/>
      <c r="J1102" s="12"/>
      <c r="K1102" s="12"/>
      <c r="L1102" s="12"/>
      <c r="M1102" s="12"/>
      <c r="N1102" s="12"/>
      <c r="O1102" s="12"/>
      <c r="P1102" s="12"/>
      <c r="Q1102" s="14"/>
    </row>
    <row r="1103" spans="2:17">
      <c r="B1103" s="12"/>
      <c r="C1103" s="12"/>
      <c r="D1103" s="12"/>
      <c r="E1103" s="12"/>
      <c r="F1103" s="12"/>
      <c r="G1103" s="12"/>
      <c r="H1103" s="12"/>
      <c r="I1103" s="12"/>
      <c r="J1103" s="12"/>
      <c r="K1103" s="12"/>
      <c r="L1103" s="12"/>
      <c r="M1103" s="12"/>
      <c r="N1103" s="12"/>
      <c r="O1103" s="12"/>
      <c r="P1103" s="12"/>
      <c r="Q1103" s="14"/>
    </row>
    <row r="1104" spans="2:17">
      <c r="B1104" s="12"/>
      <c r="C1104" s="12"/>
      <c r="D1104" s="12"/>
      <c r="E1104" s="12"/>
      <c r="F1104" s="12"/>
      <c r="G1104" s="12"/>
      <c r="H1104" s="12"/>
      <c r="I1104" s="12"/>
      <c r="J1104" s="12"/>
      <c r="K1104" s="12"/>
      <c r="L1104" s="12"/>
      <c r="M1104" s="12"/>
      <c r="N1104" s="12"/>
      <c r="O1104" s="12"/>
      <c r="P1104" s="12"/>
      <c r="Q1104" s="14"/>
    </row>
    <row r="1105" spans="2:17">
      <c r="B1105" s="12"/>
      <c r="C1105" s="12"/>
      <c r="D1105" s="12"/>
      <c r="E1105" s="12"/>
      <c r="F1105" s="12"/>
      <c r="G1105" s="12"/>
      <c r="H1105" s="12"/>
      <c r="I1105" s="12"/>
      <c r="J1105" s="12"/>
      <c r="K1105" s="12"/>
      <c r="L1105" s="12"/>
      <c r="M1105" s="12"/>
      <c r="N1105" s="12"/>
      <c r="O1105" s="12"/>
      <c r="P1105" s="12"/>
      <c r="Q1105" s="14"/>
    </row>
    <row r="1106" spans="2:17">
      <c r="B1106" s="12"/>
      <c r="C1106" s="12"/>
      <c r="D1106" s="12"/>
      <c r="E1106" s="12"/>
      <c r="F1106" s="12"/>
      <c r="G1106" s="12"/>
      <c r="H1106" s="12"/>
      <c r="I1106" s="12"/>
      <c r="J1106" s="12"/>
      <c r="K1106" s="12"/>
      <c r="L1106" s="12"/>
      <c r="M1106" s="12"/>
      <c r="N1106" s="12"/>
      <c r="O1106" s="12"/>
      <c r="P1106" s="12"/>
      <c r="Q1106" s="14"/>
    </row>
    <row r="1107" spans="2:17">
      <c r="B1107" s="12"/>
      <c r="C1107" s="12"/>
      <c r="D1107" s="12"/>
      <c r="E1107" s="12"/>
      <c r="F1107" s="12"/>
      <c r="G1107" s="12"/>
      <c r="H1107" s="12"/>
      <c r="I1107" s="12"/>
      <c r="J1107" s="12"/>
      <c r="K1107" s="12"/>
      <c r="L1107" s="12"/>
      <c r="M1107" s="12"/>
      <c r="N1107" s="12"/>
      <c r="O1107" s="12"/>
      <c r="P1107" s="12"/>
      <c r="Q1107" s="14"/>
    </row>
    <row r="1108" spans="2:17">
      <c r="B1108" s="12"/>
      <c r="C1108" s="12"/>
      <c r="D1108" s="12"/>
      <c r="E1108" s="12"/>
      <c r="F1108" s="12"/>
      <c r="G1108" s="12"/>
      <c r="H1108" s="12"/>
      <c r="I1108" s="12"/>
      <c r="J1108" s="12"/>
      <c r="K1108" s="12"/>
      <c r="L1108" s="12"/>
      <c r="M1108" s="12"/>
      <c r="N1108" s="12"/>
      <c r="O1108" s="12"/>
      <c r="P1108" s="12"/>
      <c r="Q1108" s="14"/>
    </row>
    <row r="1109" spans="2:17">
      <c r="B1109" s="12"/>
      <c r="C1109" s="12"/>
      <c r="D1109" s="12"/>
      <c r="E1109" s="12"/>
      <c r="F1109" s="12"/>
      <c r="G1109" s="12"/>
      <c r="H1109" s="12"/>
      <c r="I1109" s="12"/>
      <c r="J1109" s="12"/>
      <c r="K1109" s="12"/>
      <c r="L1109" s="12"/>
      <c r="M1109" s="12"/>
      <c r="N1109" s="12"/>
      <c r="O1109" s="12"/>
      <c r="P1109" s="12"/>
      <c r="Q1109" s="14"/>
    </row>
    <row r="1110" spans="2:17">
      <c r="B1110" s="12"/>
      <c r="C1110" s="12"/>
      <c r="D1110" s="12"/>
      <c r="E1110" s="12"/>
      <c r="F1110" s="12"/>
      <c r="G1110" s="12"/>
      <c r="H1110" s="12"/>
      <c r="I1110" s="12"/>
      <c r="J1110" s="12"/>
      <c r="K1110" s="12"/>
      <c r="L1110" s="12"/>
      <c r="M1110" s="12"/>
      <c r="N1110" s="12"/>
      <c r="O1110" s="12"/>
      <c r="P1110" s="12"/>
      <c r="Q1110" s="14"/>
    </row>
    <row r="1111" spans="2:17">
      <c r="B1111" s="12"/>
      <c r="C1111" s="12"/>
      <c r="D1111" s="12"/>
      <c r="E1111" s="12"/>
      <c r="F1111" s="12"/>
      <c r="G1111" s="12"/>
      <c r="H1111" s="12"/>
      <c r="I1111" s="12"/>
      <c r="J1111" s="12"/>
      <c r="K1111" s="12"/>
      <c r="L1111" s="12"/>
      <c r="M1111" s="12"/>
      <c r="N1111" s="12"/>
      <c r="O1111" s="12"/>
      <c r="P1111" s="12"/>
      <c r="Q1111" s="14"/>
    </row>
    <row r="1112" spans="2:17">
      <c r="B1112" s="12"/>
      <c r="C1112" s="12"/>
      <c r="D1112" s="12"/>
      <c r="E1112" s="12"/>
      <c r="F1112" s="12"/>
      <c r="G1112" s="12"/>
      <c r="H1112" s="12"/>
      <c r="I1112" s="12"/>
      <c r="J1112" s="12"/>
      <c r="K1112" s="12"/>
      <c r="L1112" s="12"/>
      <c r="M1112" s="12"/>
      <c r="N1112" s="12"/>
      <c r="O1112" s="12"/>
      <c r="P1112" s="12"/>
      <c r="Q1112" s="14"/>
    </row>
    <row r="1113" spans="2:17">
      <c r="B1113" s="12"/>
      <c r="C1113" s="12"/>
      <c r="D1113" s="12"/>
      <c r="E1113" s="12"/>
      <c r="F1113" s="12"/>
      <c r="G1113" s="12"/>
      <c r="H1113" s="12"/>
      <c r="I1113" s="12"/>
      <c r="J1113" s="12"/>
      <c r="K1113" s="12"/>
      <c r="L1113" s="12"/>
      <c r="M1113" s="12"/>
      <c r="N1113" s="12"/>
      <c r="O1113" s="12"/>
      <c r="P1113" s="12"/>
      <c r="Q1113" s="14"/>
    </row>
    <row r="1114" spans="2:17">
      <c r="B1114" s="12"/>
      <c r="C1114" s="12"/>
      <c r="D1114" s="12"/>
      <c r="E1114" s="12"/>
      <c r="F1114" s="12"/>
      <c r="G1114" s="12"/>
      <c r="H1114" s="12"/>
      <c r="I1114" s="12"/>
      <c r="J1114" s="12"/>
      <c r="K1114" s="12"/>
      <c r="L1114" s="12"/>
      <c r="M1114" s="12"/>
      <c r="N1114" s="12"/>
      <c r="O1114" s="12"/>
      <c r="P1114" s="12"/>
      <c r="Q1114" s="14"/>
    </row>
    <row r="1115" spans="2:17">
      <c r="B1115" s="12"/>
      <c r="C1115" s="12"/>
      <c r="D1115" s="12"/>
      <c r="E1115" s="12"/>
      <c r="F1115" s="12"/>
      <c r="G1115" s="12"/>
      <c r="H1115" s="12"/>
      <c r="I1115" s="12"/>
      <c r="J1115" s="12"/>
      <c r="K1115" s="12"/>
      <c r="L1115" s="12"/>
      <c r="M1115" s="12"/>
      <c r="N1115" s="12"/>
      <c r="O1115" s="12"/>
      <c r="P1115" s="12"/>
      <c r="Q1115" s="14"/>
    </row>
    <row r="1116" spans="2:17">
      <c r="B1116" s="12"/>
      <c r="C1116" s="12"/>
      <c r="D1116" s="12"/>
      <c r="E1116" s="12"/>
      <c r="F1116" s="12"/>
      <c r="G1116" s="12"/>
      <c r="H1116" s="12"/>
      <c r="I1116" s="12"/>
      <c r="J1116" s="12"/>
      <c r="K1116" s="12"/>
      <c r="L1116" s="12"/>
      <c r="M1116" s="12"/>
      <c r="N1116" s="12"/>
      <c r="O1116" s="12"/>
      <c r="P1116" s="12"/>
      <c r="Q1116" s="14"/>
    </row>
    <row r="1117" spans="2:17">
      <c r="B1117" s="12"/>
      <c r="C1117" s="12"/>
      <c r="D1117" s="12"/>
      <c r="E1117" s="12"/>
      <c r="F1117" s="12"/>
      <c r="G1117" s="12"/>
      <c r="H1117" s="12"/>
      <c r="I1117" s="12"/>
      <c r="J1117" s="12"/>
      <c r="K1117" s="12"/>
      <c r="L1117" s="12"/>
      <c r="M1117" s="12"/>
      <c r="N1117" s="12"/>
      <c r="O1117" s="12"/>
      <c r="P1117" s="12"/>
      <c r="Q1117" s="14"/>
    </row>
    <row r="1118" spans="2:17">
      <c r="B1118" s="12"/>
      <c r="C1118" s="12"/>
      <c r="D1118" s="12"/>
      <c r="E1118" s="12"/>
      <c r="F1118" s="12"/>
      <c r="G1118" s="12"/>
      <c r="H1118" s="12"/>
      <c r="I1118" s="12"/>
      <c r="J1118" s="12"/>
      <c r="K1118" s="12"/>
      <c r="L1118" s="12"/>
      <c r="M1118" s="12"/>
      <c r="N1118" s="12"/>
      <c r="O1118" s="12"/>
      <c r="P1118" s="12"/>
      <c r="Q1118" s="14"/>
    </row>
    <row r="1119" spans="2:17">
      <c r="B1119" s="12"/>
      <c r="C1119" s="12"/>
      <c r="D1119" s="12"/>
      <c r="E1119" s="12"/>
      <c r="F1119" s="12"/>
      <c r="G1119" s="12"/>
      <c r="H1119" s="12"/>
      <c r="I1119" s="12"/>
      <c r="J1119" s="12"/>
      <c r="K1119" s="12"/>
      <c r="L1119" s="12"/>
      <c r="M1119" s="12"/>
      <c r="N1119" s="12"/>
      <c r="O1119" s="12"/>
      <c r="P1119" s="12"/>
      <c r="Q1119" s="14"/>
    </row>
    <row r="1120" spans="2:17">
      <c r="B1120" s="12"/>
      <c r="C1120" s="12"/>
      <c r="D1120" s="12"/>
      <c r="E1120" s="12"/>
      <c r="F1120" s="12"/>
      <c r="G1120" s="12"/>
      <c r="H1120" s="12"/>
      <c r="I1120" s="12"/>
      <c r="J1120" s="12"/>
      <c r="K1120" s="12"/>
      <c r="L1120" s="12"/>
      <c r="M1120" s="12"/>
      <c r="N1120" s="12"/>
      <c r="O1120" s="12"/>
      <c r="P1120" s="12"/>
      <c r="Q1120" s="14"/>
    </row>
    <row r="1121" spans="2:17">
      <c r="B1121" s="12"/>
      <c r="C1121" s="12"/>
      <c r="D1121" s="12"/>
      <c r="E1121" s="12"/>
      <c r="F1121" s="12"/>
      <c r="G1121" s="12"/>
      <c r="H1121" s="12"/>
      <c r="I1121" s="12"/>
      <c r="J1121" s="12"/>
      <c r="K1121" s="12"/>
      <c r="L1121" s="12"/>
      <c r="M1121" s="12"/>
      <c r="N1121" s="12"/>
      <c r="O1121" s="12"/>
      <c r="P1121" s="12"/>
      <c r="Q1121" s="14"/>
    </row>
    <row r="1122" spans="2:17">
      <c r="B1122" s="12"/>
      <c r="C1122" s="12"/>
      <c r="D1122" s="12"/>
      <c r="E1122" s="12"/>
      <c r="F1122" s="12"/>
      <c r="G1122" s="12"/>
      <c r="H1122" s="12"/>
      <c r="I1122" s="12"/>
      <c r="J1122" s="12"/>
      <c r="K1122" s="12"/>
      <c r="L1122" s="12"/>
      <c r="M1122" s="12"/>
      <c r="N1122" s="12"/>
      <c r="O1122" s="12"/>
      <c r="P1122" s="12"/>
      <c r="Q1122" s="14"/>
    </row>
    <row r="1123" spans="2:17">
      <c r="B1123" s="12"/>
      <c r="C1123" s="12"/>
      <c r="D1123" s="12"/>
      <c r="E1123" s="12"/>
      <c r="F1123" s="12"/>
      <c r="G1123" s="12"/>
      <c r="H1123" s="12"/>
      <c r="I1123" s="12"/>
      <c r="J1123" s="12"/>
      <c r="K1123" s="12"/>
      <c r="L1123" s="12"/>
      <c r="M1123" s="12"/>
      <c r="N1123" s="12"/>
      <c r="O1123" s="12"/>
      <c r="P1123" s="12"/>
      <c r="Q1123" s="14"/>
    </row>
    <row r="1124" spans="2:17">
      <c r="B1124" s="12"/>
      <c r="C1124" s="12"/>
      <c r="D1124" s="12"/>
      <c r="E1124" s="12"/>
      <c r="F1124" s="12"/>
      <c r="G1124" s="12"/>
      <c r="H1124" s="12"/>
      <c r="I1124" s="12"/>
      <c r="J1124" s="12"/>
      <c r="K1124" s="12"/>
      <c r="L1124" s="12"/>
      <c r="M1124" s="12"/>
      <c r="N1124" s="12"/>
      <c r="O1124" s="12"/>
      <c r="P1124" s="12"/>
      <c r="Q1124" s="14"/>
    </row>
    <row r="1125" spans="2:17">
      <c r="B1125" s="12"/>
      <c r="C1125" s="12"/>
      <c r="D1125" s="12"/>
      <c r="E1125" s="12"/>
      <c r="F1125" s="12"/>
      <c r="G1125" s="12"/>
      <c r="H1125" s="12"/>
      <c r="I1125" s="12"/>
      <c r="J1125" s="12"/>
      <c r="K1125" s="12"/>
      <c r="L1125" s="12"/>
      <c r="M1125" s="12"/>
      <c r="N1125" s="12"/>
      <c r="O1125" s="12"/>
      <c r="P1125" s="12"/>
      <c r="Q1125" s="14"/>
    </row>
    <row r="1126" spans="2:17">
      <c r="B1126" s="12"/>
      <c r="C1126" s="12"/>
      <c r="D1126" s="12"/>
      <c r="E1126" s="12"/>
      <c r="F1126" s="12"/>
      <c r="G1126" s="12"/>
      <c r="H1126" s="12"/>
      <c r="I1126" s="12"/>
      <c r="J1126" s="12"/>
      <c r="K1126" s="12"/>
      <c r="L1126" s="12"/>
      <c r="M1126" s="12"/>
      <c r="N1126" s="12"/>
      <c r="O1126" s="12"/>
      <c r="P1126" s="12"/>
      <c r="Q1126" s="14"/>
    </row>
    <row r="1127" spans="2:17">
      <c r="B1127" s="12"/>
      <c r="C1127" s="12"/>
      <c r="D1127" s="12"/>
      <c r="E1127" s="12"/>
      <c r="F1127" s="12"/>
      <c r="G1127" s="12"/>
      <c r="H1127" s="12"/>
      <c r="I1127" s="12"/>
      <c r="J1127" s="12"/>
      <c r="K1127" s="12"/>
      <c r="L1127" s="12"/>
      <c r="M1127" s="12"/>
      <c r="N1127" s="12"/>
      <c r="O1127" s="12"/>
      <c r="P1127" s="12"/>
      <c r="Q1127" s="14"/>
    </row>
    <row r="1128" spans="2:17">
      <c r="B1128" s="12"/>
      <c r="C1128" s="12"/>
      <c r="D1128" s="12"/>
      <c r="E1128" s="12"/>
      <c r="F1128" s="12"/>
      <c r="G1128" s="12"/>
      <c r="H1128" s="12"/>
      <c r="I1128" s="12"/>
      <c r="J1128" s="12"/>
      <c r="K1128" s="12"/>
      <c r="L1128" s="12"/>
      <c r="M1128" s="12"/>
      <c r="N1128" s="12"/>
      <c r="O1128" s="12"/>
      <c r="P1128" s="12"/>
      <c r="Q1128" s="14"/>
    </row>
    <row r="1129" spans="2:17">
      <c r="B1129" s="12"/>
      <c r="C1129" s="12"/>
      <c r="D1129" s="12"/>
      <c r="E1129" s="12"/>
      <c r="F1129" s="12"/>
      <c r="G1129" s="12"/>
      <c r="H1129" s="12"/>
      <c r="I1129" s="12"/>
      <c r="J1129" s="12"/>
      <c r="K1129" s="12"/>
      <c r="L1129" s="12"/>
      <c r="M1129" s="12"/>
      <c r="N1129" s="12"/>
      <c r="O1129" s="12"/>
      <c r="P1129" s="12"/>
      <c r="Q1129" s="14"/>
    </row>
    <row r="1130" spans="2:17">
      <c r="B1130" s="12"/>
      <c r="C1130" s="12"/>
      <c r="D1130" s="12"/>
      <c r="E1130" s="12"/>
      <c r="F1130" s="12"/>
      <c r="G1130" s="12"/>
      <c r="H1130" s="12"/>
      <c r="I1130" s="12"/>
      <c r="J1130" s="12"/>
      <c r="K1130" s="12"/>
      <c r="L1130" s="12"/>
      <c r="M1130" s="12"/>
      <c r="N1130" s="12"/>
      <c r="O1130" s="12"/>
      <c r="P1130" s="12"/>
      <c r="Q1130" s="14"/>
    </row>
    <row r="1131" spans="2:17">
      <c r="B1131" s="12"/>
      <c r="C1131" s="12"/>
      <c r="D1131" s="12"/>
      <c r="E1131" s="12"/>
      <c r="F1131" s="12"/>
      <c r="G1131" s="12"/>
      <c r="H1131" s="12"/>
      <c r="I1131" s="12"/>
      <c r="J1131" s="12"/>
      <c r="K1131" s="12"/>
      <c r="L1131" s="12"/>
      <c r="M1131" s="12"/>
      <c r="N1131" s="12"/>
      <c r="O1131" s="12"/>
      <c r="P1131" s="12"/>
      <c r="Q1131" s="14"/>
    </row>
    <row r="1132" spans="2:17">
      <c r="B1132" s="12"/>
      <c r="C1132" s="12"/>
      <c r="D1132" s="12"/>
      <c r="E1132" s="12"/>
      <c r="F1132" s="12"/>
      <c r="G1132" s="12"/>
      <c r="H1132" s="12"/>
      <c r="I1132" s="12"/>
      <c r="J1132" s="12"/>
      <c r="K1132" s="12"/>
      <c r="L1132" s="12"/>
      <c r="M1132" s="12"/>
      <c r="N1132" s="12"/>
      <c r="O1132" s="12"/>
      <c r="P1132" s="12"/>
      <c r="Q1132" s="14"/>
    </row>
    <row r="1133" spans="2:17">
      <c r="B1133" s="12"/>
      <c r="C1133" s="12"/>
      <c r="D1133" s="12"/>
      <c r="E1133" s="12"/>
      <c r="F1133" s="12"/>
      <c r="G1133" s="12"/>
      <c r="H1133" s="12"/>
      <c r="I1133" s="12"/>
      <c r="J1133" s="12"/>
      <c r="K1133" s="12"/>
      <c r="L1133" s="12"/>
      <c r="M1133" s="12"/>
      <c r="N1133" s="12"/>
      <c r="O1133" s="12"/>
      <c r="P1133" s="12"/>
      <c r="Q1133" s="14"/>
    </row>
    <row r="1134" spans="2:17">
      <c r="B1134" s="12"/>
      <c r="C1134" s="12"/>
      <c r="D1134" s="12"/>
      <c r="E1134" s="12"/>
      <c r="F1134" s="12"/>
      <c r="G1134" s="12"/>
      <c r="H1134" s="12"/>
      <c r="I1134" s="12"/>
      <c r="J1134" s="12"/>
      <c r="K1134" s="12"/>
      <c r="L1134" s="12"/>
      <c r="M1134" s="12"/>
      <c r="N1134" s="12"/>
      <c r="O1134" s="12"/>
      <c r="P1134" s="12"/>
      <c r="Q1134" s="14"/>
    </row>
    <row r="1135" spans="2:17">
      <c r="B1135" s="12"/>
      <c r="C1135" s="12"/>
      <c r="D1135" s="12"/>
      <c r="E1135" s="12"/>
      <c r="F1135" s="12"/>
      <c r="G1135" s="12"/>
      <c r="H1135" s="12"/>
      <c r="I1135" s="12"/>
      <c r="J1135" s="12"/>
      <c r="K1135" s="12"/>
      <c r="L1135" s="12"/>
      <c r="M1135" s="12"/>
      <c r="N1135" s="12"/>
      <c r="O1135" s="12"/>
      <c r="P1135" s="12"/>
      <c r="Q1135" s="14"/>
    </row>
    <row r="1136" spans="2:17">
      <c r="B1136" s="12"/>
      <c r="C1136" s="12"/>
      <c r="D1136" s="12"/>
      <c r="E1136" s="12"/>
      <c r="F1136" s="12"/>
      <c r="G1136" s="12"/>
      <c r="H1136" s="12"/>
      <c r="I1136" s="12"/>
      <c r="J1136" s="12"/>
      <c r="K1136" s="12"/>
      <c r="L1136" s="12"/>
      <c r="M1136" s="12"/>
      <c r="N1136" s="12"/>
      <c r="O1136" s="12"/>
      <c r="P1136" s="12"/>
      <c r="Q1136" s="14"/>
    </row>
    <row r="1137" spans="2:17">
      <c r="B1137" s="12"/>
      <c r="C1137" s="12"/>
      <c r="D1137" s="12"/>
      <c r="E1137" s="12"/>
      <c r="F1137" s="12"/>
      <c r="G1137" s="12"/>
      <c r="H1137" s="12"/>
      <c r="I1137" s="12"/>
      <c r="J1137" s="12"/>
      <c r="K1137" s="12"/>
      <c r="L1137" s="12"/>
      <c r="M1137" s="12"/>
      <c r="N1137" s="12"/>
      <c r="O1137" s="12"/>
      <c r="P1137" s="12"/>
      <c r="Q1137" s="14"/>
    </row>
    <row r="1138" spans="2:17">
      <c r="B1138" s="12"/>
      <c r="C1138" s="12"/>
      <c r="D1138" s="12"/>
      <c r="E1138" s="12"/>
      <c r="F1138" s="12"/>
      <c r="G1138" s="12"/>
      <c r="H1138" s="12"/>
      <c r="I1138" s="12"/>
      <c r="J1138" s="12"/>
      <c r="K1138" s="12"/>
      <c r="L1138" s="12"/>
      <c r="M1138" s="12"/>
      <c r="N1138" s="12"/>
      <c r="O1138" s="12"/>
      <c r="P1138" s="12"/>
      <c r="Q1138" s="14"/>
    </row>
    <row r="1139" spans="2:17">
      <c r="B1139" s="12"/>
      <c r="C1139" s="12"/>
      <c r="D1139" s="12"/>
      <c r="E1139" s="12"/>
      <c r="F1139" s="12"/>
      <c r="G1139" s="12"/>
      <c r="H1139" s="12"/>
      <c r="I1139" s="12"/>
      <c r="J1139" s="12"/>
      <c r="K1139" s="12"/>
      <c r="L1139" s="12"/>
      <c r="M1139" s="12"/>
      <c r="N1139" s="12"/>
      <c r="O1139" s="12"/>
      <c r="P1139" s="12"/>
      <c r="Q1139" s="14"/>
    </row>
    <row r="1140" spans="2:17">
      <c r="B1140" s="12"/>
      <c r="C1140" s="12"/>
      <c r="D1140" s="12"/>
      <c r="E1140" s="12"/>
      <c r="F1140" s="12"/>
      <c r="G1140" s="12"/>
      <c r="H1140" s="12"/>
      <c r="I1140" s="12"/>
      <c r="J1140" s="12"/>
      <c r="K1140" s="12"/>
      <c r="L1140" s="12"/>
      <c r="M1140" s="12"/>
      <c r="N1140" s="12"/>
      <c r="O1140" s="12"/>
      <c r="P1140" s="12"/>
      <c r="Q1140" s="14"/>
    </row>
    <row r="1141" spans="2:17">
      <c r="B1141" s="12"/>
      <c r="C1141" s="12"/>
      <c r="D1141" s="12"/>
      <c r="E1141" s="12"/>
      <c r="F1141" s="12"/>
      <c r="G1141" s="12"/>
      <c r="H1141" s="12"/>
      <c r="I1141" s="12"/>
      <c r="J1141" s="12"/>
      <c r="K1141" s="12"/>
      <c r="L1141" s="12"/>
      <c r="M1141" s="12"/>
      <c r="N1141" s="12"/>
      <c r="O1141" s="12"/>
      <c r="P1141" s="12"/>
      <c r="Q1141" s="14"/>
    </row>
    <row r="1142" spans="2:17">
      <c r="B1142" s="12"/>
      <c r="C1142" s="12"/>
      <c r="D1142" s="12"/>
      <c r="E1142" s="12"/>
      <c r="F1142" s="12"/>
      <c r="G1142" s="12"/>
      <c r="H1142" s="12"/>
      <c r="I1142" s="12"/>
      <c r="J1142" s="12"/>
      <c r="K1142" s="12"/>
      <c r="L1142" s="12"/>
      <c r="M1142" s="12"/>
      <c r="N1142" s="12"/>
      <c r="O1142" s="12"/>
      <c r="P1142" s="12"/>
      <c r="Q1142" s="14"/>
    </row>
    <row r="1143" spans="2:17">
      <c r="B1143" s="12"/>
      <c r="C1143" s="12"/>
      <c r="D1143" s="12"/>
      <c r="E1143" s="12"/>
      <c r="F1143" s="12"/>
      <c r="G1143" s="12"/>
      <c r="H1143" s="12"/>
      <c r="I1143" s="12"/>
      <c r="J1143" s="12"/>
      <c r="K1143" s="12"/>
      <c r="L1143" s="12"/>
      <c r="M1143" s="12"/>
      <c r="N1143" s="12"/>
      <c r="O1143" s="12"/>
      <c r="P1143" s="12"/>
      <c r="Q1143" s="14"/>
    </row>
    <row r="1144" spans="2:17">
      <c r="B1144" s="12"/>
      <c r="C1144" s="12"/>
      <c r="D1144" s="12"/>
      <c r="E1144" s="12"/>
      <c r="F1144" s="12"/>
      <c r="G1144" s="12"/>
      <c r="H1144" s="12"/>
      <c r="I1144" s="12"/>
      <c r="J1144" s="12"/>
      <c r="K1144" s="12"/>
      <c r="L1144" s="12"/>
      <c r="M1144" s="12"/>
      <c r="N1144" s="12"/>
      <c r="O1144" s="12"/>
      <c r="P1144" s="12"/>
      <c r="Q1144" s="14"/>
    </row>
    <row r="1145" spans="2:17">
      <c r="B1145" s="12"/>
      <c r="C1145" s="12"/>
      <c r="D1145" s="12"/>
      <c r="E1145" s="12"/>
      <c r="F1145" s="12"/>
      <c r="G1145" s="12"/>
      <c r="H1145" s="12"/>
      <c r="I1145" s="12"/>
      <c r="J1145" s="12"/>
      <c r="K1145" s="12"/>
      <c r="L1145" s="12"/>
      <c r="M1145" s="12"/>
      <c r="N1145" s="12"/>
      <c r="O1145" s="12"/>
      <c r="P1145" s="12"/>
      <c r="Q1145" s="14"/>
    </row>
    <row r="1146" spans="2:17">
      <c r="B1146" s="12"/>
      <c r="C1146" s="12"/>
      <c r="D1146" s="12"/>
      <c r="E1146" s="12"/>
      <c r="F1146" s="12"/>
      <c r="G1146" s="12"/>
      <c r="H1146" s="12"/>
      <c r="I1146" s="12"/>
      <c r="J1146" s="12"/>
      <c r="K1146" s="12"/>
      <c r="L1146" s="12"/>
      <c r="M1146" s="12"/>
      <c r="N1146" s="12"/>
      <c r="O1146" s="12"/>
      <c r="P1146" s="12"/>
      <c r="Q1146" s="14"/>
    </row>
    <row r="1147" spans="2:17">
      <c r="B1147" s="12"/>
      <c r="C1147" s="12"/>
      <c r="D1147" s="12"/>
      <c r="E1147" s="12"/>
      <c r="F1147" s="12"/>
      <c r="G1147" s="12"/>
      <c r="H1147" s="12"/>
      <c r="I1147" s="12"/>
      <c r="J1147" s="12"/>
      <c r="K1147" s="12"/>
      <c r="L1147" s="12"/>
      <c r="M1147" s="12"/>
      <c r="N1147" s="12"/>
      <c r="O1147" s="12"/>
      <c r="P1147" s="12"/>
      <c r="Q1147" s="14"/>
    </row>
    <row r="1148" spans="2:17">
      <c r="B1148" s="12"/>
      <c r="C1148" s="12"/>
      <c r="D1148" s="12"/>
      <c r="E1148" s="12"/>
      <c r="F1148" s="12"/>
      <c r="G1148" s="12"/>
      <c r="H1148" s="12"/>
      <c r="I1148" s="12"/>
      <c r="J1148" s="12"/>
      <c r="K1148" s="12"/>
      <c r="L1148" s="12"/>
      <c r="M1148" s="12"/>
      <c r="N1148" s="12"/>
      <c r="O1148" s="12"/>
      <c r="P1148" s="12"/>
      <c r="Q1148" s="14"/>
    </row>
    <row r="1149" spans="2:17">
      <c r="B1149" s="12"/>
      <c r="C1149" s="12"/>
      <c r="D1149" s="12"/>
      <c r="E1149" s="12"/>
      <c r="F1149" s="12"/>
      <c r="G1149" s="12"/>
      <c r="H1149" s="12"/>
      <c r="I1149" s="12"/>
      <c r="J1149" s="12"/>
      <c r="K1149" s="12"/>
      <c r="L1149" s="12"/>
      <c r="M1149" s="12"/>
      <c r="N1149" s="12"/>
      <c r="O1149" s="12"/>
      <c r="P1149" s="12"/>
      <c r="Q1149" s="14"/>
    </row>
    <row r="1150" spans="2:17">
      <c r="B1150" s="12"/>
      <c r="C1150" s="12"/>
      <c r="D1150" s="12"/>
      <c r="E1150" s="12"/>
      <c r="F1150" s="12"/>
      <c r="G1150" s="12"/>
      <c r="H1150" s="12"/>
      <c r="I1150" s="12"/>
      <c r="J1150" s="12"/>
      <c r="K1150" s="12"/>
      <c r="L1150" s="12"/>
      <c r="M1150" s="12"/>
      <c r="N1150" s="12"/>
      <c r="O1150" s="12"/>
      <c r="P1150" s="12"/>
      <c r="Q1150" s="14"/>
    </row>
    <row r="1151" spans="2:17">
      <c r="B1151" s="12"/>
      <c r="C1151" s="12"/>
      <c r="D1151" s="12"/>
      <c r="E1151" s="12"/>
      <c r="F1151" s="12"/>
      <c r="G1151" s="12"/>
      <c r="H1151" s="12"/>
      <c r="I1151" s="12"/>
      <c r="J1151" s="12"/>
      <c r="K1151" s="12"/>
      <c r="L1151" s="12"/>
      <c r="M1151" s="12"/>
      <c r="N1151" s="12"/>
      <c r="O1151" s="12"/>
      <c r="P1151" s="12"/>
      <c r="Q1151" s="14"/>
    </row>
    <row r="1152" spans="2:17">
      <c r="B1152" s="12"/>
      <c r="C1152" s="12"/>
      <c r="D1152" s="12"/>
      <c r="E1152" s="12"/>
      <c r="F1152" s="12"/>
      <c r="G1152" s="12"/>
      <c r="H1152" s="12"/>
      <c r="I1152" s="12"/>
      <c r="J1152" s="12"/>
      <c r="K1152" s="12"/>
      <c r="L1152" s="12"/>
      <c r="M1152" s="12"/>
      <c r="N1152" s="12"/>
      <c r="O1152" s="12"/>
      <c r="P1152" s="12"/>
      <c r="Q1152" s="14"/>
    </row>
    <row r="1153" spans="2:17">
      <c r="B1153" s="12"/>
      <c r="C1153" s="12"/>
      <c r="D1153" s="12"/>
      <c r="E1153" s="12"/>
      <c r="F1153" s="12"/>
      <c r="G1153" s="12"/>
      <c r="H1153" s="12"/>
      <c r="I1153" s="12"/>
      <c r="J1153" s="12"/>
      <c r="K1153" s="12"/>
      <c r="L1153" s="12"/>
      <c r="M1153" s="12"/>
      <c r="N1153" s="12"/>
      <c r="O1153" s="12"/>
      <c r="P1153" s="12"/>
      <c r="Q1153" s="14"/>
    </row>
    <row r="1154" spans="2:17">
      <c r="B1154" s="12"/>
      <c r="C1154" s="12"/>
      <c r="D1154" s="12"/>
      <c r="E1154" s="12"/>
      <c r="F1154" s="12"/>
      <c r="G1154" s="12"/>
      <c r="H1154" s="12"/>
      <c r="I1154" s="12"/>
      <c r="J1154" s="12"/>
      <c r="K1154" s="12"/>
      <c r="L1154" s="12"/>
      <c r="M1154" s="12"/>
      <c r="N1154" s="12"/>
      <c r="O1154" s="12"/>
      <c r="P1154" s="12"/>
      <c r="Q1154" s="14"/>
    </row>
    <row r="1155" spans="2:17">
      <c r="B1155" s="12"/>
      <c r="C1155" s="12"/>
      <c r="D1155" s="12"/>
      <c r="E1155" s="12"/>
      <c r="F1155" s="12"/>
      <c r="G1155" s="12"/>
      <c r="H1155" s="12"/>
      <c r="I1155" s="12"/>
      <c r="J1155" s="12"/>
      <c r="K1155" s="12"/>
      <c r="L1155" s="12"/>
      <c r="M1155" s="12"/>
      <c r="N1155" s="12"/>
      <c r="O1155" s="12"/>
      <c r="P1155" s="12"/>
      <c r="Q1155" s="14"/>
    </row>
    <row r="1156" spans="2:17">
      <c r="B1156" s="12"/>
      <c r="C1156" s="12"/>
      <c r="D1156" s="12"/>
      <c r="E1156" s="12"/>
      <c r="F1156" s="12"/>
      <c r="G1156" s="12"/>
      <c r="H1156" s="12"/>
      <c r="I1156" s="12"/>
      <c r="J1156" s="12"/>
      <c r="K1156" s="12"/>
      <c r="L1156" s="12"/>
      <c r="M1156" s="12"/>
      <c r="N1156" s="12"/>
      <c r="O1156" s="12"/>
      <c r="P1156" s="12"/>
      <c r="Q1156" s="14"/>
    </row>
    <row r="1157" spans="2:17">
      <c r="B1157" s="12"/>
      <c r="C1157" s="12"/>
      <c r="D1157" s="12"/>
      <c r="E1157" s="12"/>
      <c r="F1157" s="12"/>
      <c r="G1157" s="12"/>
      <c r="H1157" s="12"/>
      <c r="I1157" s="12"/>
      <c r="J1157" s="12"/>
      <c r="K1157" s="12"/>
      <c r="L1157" s="12"/>
      <c r="M1157" s="12"/>
      <c r="N1157" s="12"/>
      <c r="O1157" s="12"/>
      <c r="P1157" s="12"/>
      <c r="Q1157" s="14"/>
    </row>
    <row r="1158" spans="2:17">
      <c r="B1158" s="12"/>
      <c r="C1158" s="12"/>
      <c r="D1158" s="12"/>
      <c r="E1158" s="12"/>
      <c r="F1158" s="12"/>
      <c r="G1158" s="12"/>
      <c r="H1158" s="12"/>
      <c r="I1158" s="12"/>
      <c r="J1158" s="12"/>
      <c r="K1158" s="12"/>
      <c r="L1158" s="12"/>
      <c r="M1158" s="12"/>
      <c r="N1158" s="12"/>
      <c r="O1158" s="12"/>
      <c r="P1158" s="12"/>
      <c r="Q1158" s="14"/>
    </row>
    <row r="1159" spans="2:17">
      <c r="B1159" s="12"/>
      <c r="C1159" s="12"/>
      <c r="D1159" s="12"/>
      <c r="E1159" s="12"/>
      <c r="F1159" s="12"/>
      <c r="G1159" s="12"/>
      <c r="H1159" s="12"/>
      <c r="I1159" s="12"/>
      <c r="J1159" s="12"/>
      <c r="K1159" s="12"/>
      <c r="L1159" s="12"/>
      <c r="M1159" s="12"/>
      <c r="N1159" s="12"/>
      <c r="O1159" s="12"/>
      <c r="P1159" s="12"/>
      <c r="Q1159" s="14"/>
    </row>
    <row r="1160" spans="2:17">
      <c r="B1160" s="12"/>
      <c r="C1160" s="12"/>
      <c r="D1160" s="12"/>
      <c r="E1160" s="12"/>
      <c r="F1160" s="12"/>
      <c r="G1160" s="12"/>
      <c r="H1160" s="12"/>
      <c r="I1160" s="12"/>
      <c r="J1160" s="12"/>
      <c r="K1160" s="12"/>
      <c r="L1160" s="12"/>
      <c r="M1160" s="12"/>
      <c r="N1160" s="12"/>
      <c r="O1160" s="12"/>
      <c r="P1160" s="12"/>
      <c r="Q1160" s="14"/>
    </row>
    <row r="1161" spans="2:17">
      <c r="B1161" s="12"/>
      <c r="C1161" s="12"/>
      <c r="D1161" s="12"/>
      <c r="E1161" s="12"/>
      <c r="F1161" s="12"/>
      <c r="G1161" s="12"/>
      <c r="H1161" s="12"/>
      <c r="I1161" s="12"/>
      <c r="J1161" s="12"/>
      <c r="K1161" s="12"/>
      <c r="L1161" s="12"/>
      <c r="M1161" s="12"/>
      <c r="N1161" s="12"/>
      <c r="O1161" s="12"/>
      <c r="P1161" s="12"/>
      <c r="Q1161" s="14"/>
    </row>
    <row r="1162" spans="2:17">
      <c r="B1162" s="12"/>
      <c r="C1162" s="12"/>
      <c r="D1162" s="12"/>
      <c r="E1162" s="12"/>
      <c r="F1162" s="12"/>
      <c r="G1162" s="12"/>
      <c r="H1162" s="12"/>
      <c r="I1162" s="12"/>
      <c r="J1162" s="12"/>
      <c r="K1162" s="12"/>
      <c r="L1162" s="12"/>
      <c r="M1162" s="12"/>
      <c r="N1162" s="12"/>
      <c r="O1162" s="12"/>
      <c r="P1162" s="12"/>
      <c r="Q1162" s="14"/>
    </row>
    <row r="1163" spans="2:17">
      <c r="B1163" s="12"/>
      <c r="C1163" s="12"/>
      <c r="D1163" s="12"/>
      <c r="E1163" s="12"/>
      <c r="F1163" s="12"/>
      <c r="G1163" s="12"/>
      <c r="H1163" s="12"/>
      <c r="I1163" s="12"/>
      <c r="J1163" s="12"/>
      <c r="K1163" s="12"/>
      <c r="L1163" s="12"/>
      <c r="M1163" s="12"/>
      <c r="N1163" s="12"/>
      <c r="O1163" s="12"/>
      <c r="P1163" s="12"/>
      <c r="Q1163" s="14"/>
    </row>
    <row r="1164" spans="2:17">
      <c r="B1164" s="12"/>
      <c r="C1164" s="12"/>
      <c r="D1164" s="12"/>
      <c r="E1164" s="12"/>
      <c r="F1164" s="12"/>
      <c r="G1164" s="12"/>
      <c r="H1164" s="12"/>
      <c r="I1164" s="12"/>
      <c r="J1164" s="12"/>
      <c r="K1164" s="12"/>
      <c r="L1164" s="12"/>
      <c r="M1164" s="12"/>
      <c r="N1164" s="12"/>
      <c r="O1164" s="12"/>
      <c r="P1164" s="12"/>
      <c r="Q1164" s="14"/>
    </row>
    <row r="1165" spans="2:17">
      <c r="B1165" s="12"/>
      <c r="C1165" s="12"/>
      <c r="D1165" s="12"/>
      <c r="E1165" s="12"/>
      <c r="F1165" s="12"/>
      <c r="G1165" s="12"/>
      <c r="H1165" s="12"/>
      <c r="I1165" s="12"/>
      <c r="J1165" s="12"/>
      <c r="K1165" s="12"/>
      <c r="L1165" s="12"/>
      <c r="M1165" s="12"/>
      <c r="N1165" s="12"/>
      <c r="O1165" s="12"/>
      <c r="P1165" s="12"/>
      <c r="Q1165" s="14"/>
    </row>
    <row r="1166" spans="2:17">
      <c r="B1166" s="12"/>
      <c r="C1166" s="12"/>
      <c r="D1166" s="12"/>
      <c r="E1166" s="12"/>
      <c r="F1166" s="12"/>
      <c r="G1166" s="12"/>
      <c r="H1166" s="12"/>
      <c r="I1166" s="12"/>
      <c r="J1166" s="12"/>
      <c r="K1166" s="12"/>
      <c r="L1166" s="12"/>
      <c r="M1166" s="12"/>
      <c r="N1166" s="12"/>
      <c r="O1166" s="12"/>
      <c r="P1166" s="12"/>
      <c r="Q1166" s="14"/>
    </row>
    <row r="1167" spans="2:17">
      <c r="B1167" s="12"/>
      <c r="C1167" s="12"/>
      <c r="D1167" s="12"/>
      <c r="E1167" s="12"/>
      <c r="F1167" s="12"/>
      <c r="G1167" s="12"/>
      <c r="H1167" s="12"/>
      <c r="I1167" s="12"/>
      <c r="J1167" s="12"/>
      <c r="K1167" s="12"/>
      <c r="L1167" s="12"/>
      <c r="M1167" s="12"/>
      <c r="N1167" s="12"/>
      <c r="O1167" s="12"/>
      <c r="P1167" s="12"/>
      <c r="Q1167" s="14"/>
    </row>
    <row r="1168" spans="2:17">
      <c r="B1168" s="12"/>
      <c r="C1168" s="12"/>
      <c r="D1168" s="12"/>
      <c r="E1168" s="12"/>
      <c r="F1168" s="12"/>
      <c r="G1168" s="12"/>
      <c r="H1168" s="12"/>
      <c r="I1168" s="12"/>
      <c r="J1168" s="12"/>
      <c r="K1168" s="12"/>
      <c r="L1168" s="12"/>
      <c r="M1168" s="12"/>
      <c r="N1168" s="12"/>
      <c r="O1168" s="12"/>
      <c r="P1168" s="12"/>
      <c r="Q1168" s="14"/>
    </row>
    <row r="1169" spans="2:17">
      <c r="B1169" s="12"/>
      <c r="C1169" s="12"/>
      <c r="D1169" s="12"/>
      <c r="E1169" s="12"/>
      <c r="F1169" s="12"/>
      <c r="G1169" s="12"/>
      <c r="H1169" s="12"/>
      <c r="I1169" s="12"/>
      <c r="J1169" s="12"/>
      <c r="K1169" s="12"/>
      <c r="L1169" s="12"/>
      <c r="M1169" s="12"/>
      <c r="N1169" s="12"/>
      <c r="O1169" s="12"/>
      <c r="P1169" s="12"/>
      <c r="Q1169" s="14"/>
    </row>
    <row r="1170" spans="2:17">
      <c r="B1170" s="12"/>
      <c r="C1170" s="12"/>
      <c r="D1170" s="12"/>
      <c r="E1170" s="12"/>
      <c r="F1170" s="12"/>
      <c r="G1170" s="12"/>
      <c r="H1170" s="12"/>
      <c r="I1170" s="12"/>
      <c r="J1170" s="12"/>
      <c r="K1170" s="12"/>
      <c r="L1170" s="12"/>
      <c r="M1170" s="12"/>
      <c r="N1170" s="12"/>
      <c r="O1170" s="12"/>
      <c r="P1170" s="12"/>
      <c r="Q1170" s="14"/>
    </row>
    <row r="1171" spans="2:17">
      <c r="B1171" s="12"/>
      <c r="C1171" s="12"/>
      <c r="D1171" s="12"/>
      <c r="E1171" s="12"/>
      <c r="F1171" s="12"/>
      <c r="G1171" s="12"/>
      <c r="H1171" s="12"/>
      <c r="I1171" s="12"/>
      <c r="J1171" s="12"/>
      <c r="K1171" s="12"/>
      <c r="L1171" s="12"/>
      <c r="M1171" s="12"/>
      <c r="N1171" s="12"/>
      <c r="O1171" s="12"/>
      <c r="P1171" s="12"/>
      <c r="Q1171" s="14"/>
    </row>
    <row r="1172" spans="2:17">
      <c r="B1172" s="12"/>
      <c r="C1172" s="12"/>
      <c r="D1172" s="12"/>
      <c r="E1172" s="12"/>
      <c r="F1172" s="12"/>
      <c r="G1172" s="12"/>
      <c r="H1172" s="12"/>
      <c r="I1172" s="12"/>
      <c r="J1172" s="12"/>
      <c r="K1172" s="12"/>
      <c r="L1172" s="12"/>
      <c r="M1172" s="12"/>
      <c r="N1172" s="12"/>
      <c r="O1172" s="12"/>
      <c r="P1172" s="12"/>
      <c r="Q1172" s="14"/>
    </row>
    <row r="1173" spans="2:17">
      <c r="B1173" s="12"/>
      <c r="C1173" s="12"/>
      <c r="D1173" s="12"/>
      <c r="E1173" s="12"/>
      <c r="F1173" s="12"/>
      <c r="G1173" s="12"/>
      <c r="H1173" s="12"/>
      <c r="I1173" s="12"/>
      <c r="J1173" s="12"/>
      <c r="K1173" s="12"/>
      <c r="L1173" s="12"/>
      <c r="M1173" s="12"/>
      <c r="N1173" s="12"/>
      <c r="O1173" s="12"/>
      <c r="P1173" s="12"/>
      <c r="Q1173" s="14"/>
    </row>
    <row r="1174" spans="2:17">
      <c r="B1174" s="12"/>
      <c r="C1174" s="12"/>
      <c r="D1174" s="12"/>
      <c r="E1174" s="12"/>
      <c r="F1174" s="12"/>
      <c r="G1174" s="12"/>
      <c r="H1174" s="12"/>
      <c r="I1174" s="12"/>
      <c r="J1174" s="12"/>
      <c r="K1174" s="12"/>
      <c r="L1174" s="12"/>
      <c r="M1174" s="12"/>
      <c r="N1174" s="12"/>
      <c r="O1174" s="12"/>
      <c r="P1174" s="12"/>
      <c r="Q1174" s="14"/>
    </row>
    <row r="1175" spans="2:17">
      <c r="B1175" s="12"/>
      <c r="C1175" s="12"/>
      <c r="D1175" s="12"/>
      <c r="E1175" s="12"/>
      <c r="F1175" s="12"/>
      <c r="G1175" s="12"/>
      <c r="H1175" s="12"/>
      <c r="I1175" s="12"/>
      <c r="J1175" s="12"/>
      <c r="K1175" s="12"/>
      <c r="L1175" s="12"/>
      <c r="M1175" s="12"/>
      <c r="N1175" s="12"/>
      <c r="O1175" s="12"/>
      <c r="P1175" s="12"/>
      <c r="Q1175" s="14"/>
    </row>
    <row r="1176" spans="2:17">
      <c r="B1176" s="12"/>
      <c r="C1176" s="12"/>
      <c r="D1176" s="12"/>
      <c r="E1176" s="12"/>
      <c r="F1176" s="12"/>
      <c r="G1176" s="12"/>
      <c r="H1176" s="12"/>
      <c r="I1176" s="12"/>
      <c r="J1176" s="12"/>
      <c r="K1176" s="12"/>
      <c r="L1176" s="12"/>
      <c r="M1176" s="12"/>
      <c r="N1176" s="12"/>
      <c r="O1176" s="12"/>
      <c r="P1176" s="12"/>
      <c r="Q1176" s="14"/>
    </row>
    <row r="1177" spans="2:17">
      <c r="B1177" s="12"/>
      <c r="C1177" s="12"/>
      <c r="D1177" s="12"/>
      <c r="E1177" s="12"/>
      <c r="F1177" s="12"/>
      <c r="G1177" s="12"/>
      <c r="H1177" s="12"/>
      <c r="I1177" s="12"/>
      <c r="J1177" s="12"/>
      <c r="K1177" s="12"/>
      <c r="L1177" s="12"/>
      <c r="M1177" s="12"/>
      <c r="N1177" s="12"/>
      <c r="O1177" s="12"/>
      <c r="P1177" s="12"/>
      <c r="Q1177" s="14"/>
    </row>
    <row r="1178" spans="2:17">
      <c r="B1178" s="12"/>
      <c r="C1178" s="12"/>
      <c r="D1178" s="12"/>
      <c r="E1178" s="12"/>
      <c r="F1178" s="12"/>
      <c r="G1178" s="12"/>
      <c r="H1178" s="12"/>
      <c r="I1178" s="12"/>
      <c r="J1178" s="12"/>
      <c r="K1178" s="12"/>
      <c r="L1178" s="12"/>
      <c r="M1178" s="12"/>
      <c r="N1178" s="12"/>
      <c r="O1178" s="12"/>
      <c r="P1178" s="12"/>
      <c r="Q1178" s="14"/>
    </row>
    <row r="1179" spans="2:17">
      <c r="B1179" s="12"/>
      <c r="C1179" s="12"/>
      <c r="D1179" s="12"/>
      <c r="E1179" s="12"/>
      <c r="F1179" s="12"/>
      <c r="G1179" s="12"/>
      <c r="H1179" s="12"/>
      <c r="I1179" s="12"/>
      <c r="J1179" s="12"/>
      <c r="K1179" s="12"/>
      <c r="L1179" s="12"/>
      <c r="M1179" s="12"/>
      <c r="N1179" s="12"/>
      <c r="O1179" s="12"/>
      <c r="P1179" s="12"/>
      <c r="Q1179" s="14"/>
    </row>
    <row r="1180" spans="2:17">
      <c r="B1180" s="12"/>
      <c r="C1180" s="12"/>
      <c r="D1180" s="12"/>
      <c r="E1180" s="12"/>
      <c r="F1180" s="12"/>
      <c r="G1180" s="12"/>
      <c r="H1180" s="12"/>
      <c r="I1180" s="12"/>
      <c r="J1180" s="12"/>
      <c r="K1180" s="12"/>
      <c r="L1180" s="12"/>
      <c r="M1180" s="12"/>
      <c r="N1180" s="12"/>
      <c r="O1180" s="12"/>
      <c r="P1180" s="12"/>
      <c r="Q1180" s="14"/>
    </row>
    <row r="1181" spans="2:17">
      <c r="B1181" s="12"/>
      <c r="C1181" s="12"/>
      <c r="D1181" s="12"/>
      <c r="E1181" s="12"/>
      <c r="F1181" s="12"/>
      <c r="G1181" s="12"/>
      <c r="H1181" s="12"/>
      <c r="I1181" s="12"/>
      <c r="J1181" s="12"/>
      <c r="K1181" s="12"/>
      <c r="L1181" s="12"/>
      <c r="M1181" s="12"/>
      <c r="N1181" s="12"/>
      <c r="O1181" s="12"/>
      <c r="P1181" s="12"/>
      <c r="Q1181" s="14"/>
    </row>
    <row r="1182" spans="2:17">
      <c r="B1182" s="12"/>
      <c r="C1182" s="12"/>
      <c r="D1182" s="12"/>
      <c r="E1182" s="12"/>
      <c r="F1182" s="12"/>
      <c r="G1182" s="12"/>
      <c r="H1182" s="12"/>
      <c r="I1182" s="12"/>
      <c r="J1182" s="12"/>
      <c r="K1182" s="12"/>
      <c r="L1182" s="12"/>
      <c r="M1182" s="12"/>
      <c r="N1182" s="12"/>
      <c r="O1182" s="12"/>
      <c r="P1182" s="12"/>
      <c r="Q1182" s="14"/>
    </row>
    <row r="1183" spans="2:17">
      <c r="B1183" s="12"/>
      <c r="C1183" s="12"/>
      <c r="D1183" s="12"/>
      <c r="E1183" s="12"/>
      <c r="F1183" s="12"/>
      <c r="G1183" s="12"/>
      <c r="H1183" s="12"/>
      <c r="I1183" s="12"/>
      <c r="J1183" s="12"/>
      <c r="K1183" s="12"/>
      <c r="L1183" s="12"/>
      <c r="M1183" s="12"/>
      <c r="N1183" s="12"/>
      <c r="O1183" s="12"/>
      <c r="P1183" s="12"/>
      <c r="Q1183" s="14"/>
    </row>
    <row r="1184" spans="2:17">
      <c r="B1184" s="12"/>
      <c r="C1184" s="12"/>
      <c r="D1184" s="12"/>
      <c r="E1184" s="12"/>
      <c r="F1184" s="12"/>
      <c r="G1184" s="12"/>
      <c r="H1184" s="12"/>
      <c r="I1184" s="12"/>
      <c r="J1184" s="12"/>
      <c r="K1184" s="12"/>
      <c r="L1184" s="12"/>
      <c r="M1184" s="12"/>
      <c r="N1184" s="12"/>
      <c r="O1184" s="12"/>
      <c r="P1184" s="12"/>
      <c r="Q1184" s="14"/>
    </row>
    <row r="1185" spans="2:17">
      <c r="B1185" s="12"/>
      <c r="C1185" s="12"/>
      <c r="D1185" s="12"/>
      <c r="E1185" s="12"/>
      <c r="F1185" s="12"/>
      <c r="G1185" s="12"/>
      <c r="H1185" s="12"/>
      <c r="I1185" s="12"/>
      <c r="J1185" s="12"/>
      <c r="K1185" s="12"/>
      <c r="L1185" s="12"/>
      <c r="M1185" s="12"/>
      <c r="N1185" s="12"/>
      <c r="O1185" s="12"/>
      <c r="P1185" s="12"/>
      <c r="Q1185" s="14"/>
    </row>
    <row r="1186" spans="2:17">
      <c r="B1186" s="12"/>
      <c r="C1186" s="12"/>
      <c r="D1186" s="12"/>
      <c r="E1186" s="12"/>
      <c r="F1186" s="12"/>
      <c r="G1186" s="12"/>
      <c r="H1186" s="12"/>
      <c r="I1186" s="12"/>
      <c r="J1186" s="12"/>
      <c r="K1186" s="12"/>
      <c r="L1186" s="12"/>
      <c r="M1186" s="12"/>
      <c r="N1186" s="12"/>
      <c r="O1186" s="12"/>
      <c r="P1186" s="12"/>
      <c r="Q1186" s="14"/>
    </row>
    <row r="1187" spans="2:17">
      <c r="B1187" s="12"/>
      <c r="C1187" s="12"/>
      <c r="D1187" s="12"/>
      <c r="E1187" s="12"/>
      <c r="F1187" s="12"/>
      <c r="G1187" s="12"/>
      <c r="H1187" s="12"/>
      <c r="I1187" s="12"/>
      <c r="J1187" s="12"/>
      <c r="K1187" s="12"/>
      <c r="L1187" s="12"/>
      <c r="M1187" s="12"/>
      <c r="N1187" s="12"/>
      <c r="O1187" s="12"/>
      <c r="P1187" s="12"/>
      <c r="Q1187" s="14"/>
    </row>
    <row r="1188" spans="2:17">
      <c r="B1188" s="12"/>
      <c r="C1188" s="12"/>
      <c r="D1188" s="12"/>
      <c r="E1188" s="12"/>
      <c r="F1188" s="12"/>
      <c r="G1188" s="12"/>
      <c r="H1188" s="12"/>
      <c r="I1188" s="12"/>
      <c r="J1188" s="12"/>
      <c r="K1188" s="12"/>
      <c r="L1188" s="12"/>
      <c r="M1188" s="12"/>
      <c r="N1188" s="12"/>
      <c r="O1188" s="12"/>
      <c r="P1188" s="12"/>
      <c r="Q1188" s="14"/>
    </row>
    <row r="1189" spans="2:17">
      <c r="B1189" s="12"/>
      <c r="C1189" s="12"/>
      <c r="D1189" s="12"/>
      <c r="E1189" s="12"/>
      <c r="F1189" s="12"/>
      <c r="G1189" s="12"/>
      <c r="H1189" s="12"/>
      <c r="I1189" s="12"/>
      <c r="J1189" s="12"/>
      <c r="K1189" s="12"/>
      <c r="L1189" s="12"/>
      <c r="M1189" s="12"/>
      <c r="N1189" s="12"/>
      <c r="O1189" s="12"/>
      <c r="P1189" s="12"/>
      <c r="Q1189" s="14"/>
    </row>
    <row r="1190" spans="2:17">
      <c r="B1190" s="12"/>
      <c r="C1190" s="12"/>
      <c r="D1190" s="12"/>
      <c r="E1190" s="12"/>
      <c r="F1190" s="12"/>
      <c r="G1190" s="12"/>
      <c r="H1190" s="12"/>
      <c r="I1190" s="12"/>
      <c r="J1190" s="12"/>
      <c r="K1190" s="12"/>
      <c r="L1190" s="12"/>
      <c r="M1190" s="12"/>
      <c r="N1190" s="12"/>
      <c r="O1190" s="12"/>
      <c r="P1190" s="12"/>
      <c r="Q1190" s="14"/>
    </row>
    <row r="1191" spans="2:17">
      <c r="B1191" s="12"/>
      <c r="C1191" s="12"/>
      <c r="D1191" s="12"/>
      <c r="E1191" s="12"/>
      <c r="F1191" s="12"/>
      <c r="G1191" s="12"/>
      <c r="H1191" s="12"/>
      <c r="I1191" s="12"/>
      <c r="J1191" s="12"/>
      <c r="K1191" s="12"/>
      <c r="L1191" s="12"/>
      <c r="M1191" s="12"/>
      <c r="N1191" s="12"/>
      <c r="O1191" s="12"/>
      <c r="P1191" s="12"/>
      <c r="Q1191" s="14"/>
    </row>
    <row r="1192" spans="2:17">
      <c r="B1192" s="12"/>
      <c r="C1192" s="12"/>
      <c r="D1192" s="12"/>
      <c r="E1192" s="12"/>
      <c r="F1192" s="12"/>
      <c r="G1192" s="12"/>
      <c r="H1192" s="12"/>
      <c r="I1192" s="12"/>
      <c r="J1192" s="12"/>
      <c r="K1192" s="12"/>
      <c r="L1192" s="12"/>
      <c r="M1192" s="12"/>
      <c r="N1192" s="12"/>
      <c r="O1192" s="12"/>
      <c r="P1192" s="12"/>
      <c r="Q1192" s="14"/>
    </row>
    <row r="1193" spans="2:17">
      <c r="B1193" s="12"/>
      <c r="C1193" s="12"/>
      <c r="D1193" s="12"/>
      <c r="E1193" s="12"/>
      <c r="F1193" s="12"/>
      <c r="G1193" s="12"/>
      <c r="H1193" s="12"/>
      <c r="I1193" s="12"/>
      <c r="J1193" s="12"/>
      <c r="K1193" s="12"/>
      <c r="L1193" s="12"/>
      <c r="M1193" s="12"/>
      <c r="N1193" s="12"/>
      <c r="O1193" s="12"/>
      <c r="P1193" s="12"/>
      <c r="Q1193" s="14"/>
    </row>
    <row r="1194" spans="2:17">
      <c r="B1194" s="12"/>
      <c r="C1194" s="12"/>
      <c r="D1194" s="12"/>
      <c r="E1194" s="12"/>
      <c r="F1194" s="12"/>
      <c r="G1194" s="12"/>
      <c r="H1194" s="12"/>
      <c r="I1194" s="12"/>
      <c r="J1194" s="12"/>
      <c r="K1194" s="12"/>
      <c r="L1194" s="12"/>
      <c r="M1194" s="12"/>
      <c r="N1194" s="12"/>
      <c r="O1194" s="12"/>
      <c r="P1194" s="12"/>
      <c r="Q1194" s="14"/>
    </row>
    <row r="1195" spans="2:17">
      <c r="B1195" s="12"/>
      <c r="C1195" s="12"/>
      <c r="D1195" s="12"/>
      <c r="E1195" s="12"/>
      <c r="F1195" s="12"/>
      <c r="G1195" s="12"/>
      <c r="H1195" s="12"/>
      <c r="I1195" s="12"/>
      <c r="J1195" s="12"/>
      <c r="K1195" s="12"/>
      <c r="L1195" s="12"/>
      <c r="M1195" s="12"/>
      <c r="N1195" s="12"/>
      <c r="O1195" s="12"/>
      <c r="P1195" s="12"/>
      <c r="Q1195" s="14"/>
    </row>
    <row r="1196" spans="2:17">
      <c r="B1196" s="12"/>
      <c r="C1196" s="12"/>
      <c r="D1196" s="12"/>
      <c r="E1196" s="12"/>
      <c r="F1196" s="12"/>
      <c r="G1196" s="12"/>
      <c r="H1196" s="12"/>
      <c r="I1196" s="12"/>
      <c r="J1196" s="12"/>
      <c r="K1196" s="12"/>
      <c r="L1196" s="12"/>
      <c r="M1196" s="12"/>
      <c r="N1196" s="12"/>
      <c r="O1196" s="12"/>
      <c r="P1196" s="12"/>
      <c r="Q1196" s="14"/>
    </row>
    <row r="1197" spans="2:17">
      <c r="B1197" s="12"/>
      <c r="C1197" s="12"/>
      <c r="D1197" s="12"/>
      <c r="E1197" s="12"/>
      <c r="F1197" s="12"/>
      <c r="G1197" s="12"/>
      <c r="H1197" s="12"/>
      <c r="I1197" s="12"/>
      <c r="J1197" s="12"/>
      <c r="K1197" s="12"/>
      <c r="L1197" s="12"/>
      <c r="M1197" s="12"/>
      <c r="N1197" s="12"/>
      <c r="O1197" s="12"/>
      <c r="P1197" s="12"/>
      <c r="Q1197" s="14"/>
    </row>
    <row r="1198" spans="2:17">
      <c r="B1198" s="12"/>
      <c r="C1198" s="12"/>
      <c r="D1198" s="12"/>
      <c r="E1198" s="12"/>
      <c r="F1198" s="12"/>
      <c r="G1198" s="12"/>
      <c r="H1198" s="12"/>
      <c r="I1198" s="12"/>
      <c r="J1198" s="12"/>
      <c r="K1198" s="12"/>
      <c r="L1198" s="12"/>
      <c r="M1198" s="12"/>
      <c r="N1198" s="12"/>
      <c r="O1198" s="12"/>
      <c r="P1198" s="12"/>
      <c r="Q1198" s="14"/>
    </row>
    <row r="1199" spans="2:17">
      <c r="B1199" s="12"/>
      <c r="C1199" s="12"/>
      <c r="D1199" s="12"/>
      <c r="E1199" s="12"/>
      <c r="F1199" s="12"/>
      <c r="G1199" s="12"/>
      <c r="H1199" s="12"/>
      <c r="I1199" s="12"/>
      <c r="J1199" s="12"/>
      <c r="K1199" s="12"/>
      <c r="L1199" s="12"/>
      <c r="M1199" s="12"/>
      <c r="N1199" s="12"/>
      <c r="O1199" s="12"/>
      <c r="P1199" s="12"/>
      <c r="Q1199" s="14"/>
    </row>
    <row r="1200" spans="2:17">
      <c r="B1200" s="12"/>
      <c r="C1200" s="12"/>
      <c r="D1200" s="12"/>
      <c r="E1200" s="12"/>
      <c r="F1200" s="12"/>
      <c r="G1200" s="12"/>
      <c r="H1200" s="12"/>
      <c r="I1200" s="12"/>
      <c r="J1200" s="12"/>
      <c r="K1200" s="12"/>
      <c r="L1200" s="12"/>
      <c r="M1200" s="12"/>
      <c r="N1200" s="12"/>
      <c r="O1200" s="12"/>
      <c r="P1200" s="12"/>
      <c r="Q1200" s="14"/>
    </row>
    <row r="1201" spans="2:17">
      <c r="B1201" s="12"/>
      <c r="C1201" s="12"/>
      <c r="D1201" s="12"/>
      <c r="E1201" s="12"/>
      <c r="F1201" s="12"/>
      <c r="G1201" s="12"/>
      <c r="H1201" s="12"/>
      <c r="I1201" s="12"/>
      <c r="J1201" s="12"/>
      <c r="K1201" s="12"/>
      <c r="L1201" s="12"/>
      <c r="M1201" s="12"/>
      <c r="N1201" s="12"/>
      <c r="O1201" s="12"/>
      <c r="P1201" s="12"/>
      <c r="Q1201" s="14"/>
    </row>
    <row r="1202" spans="2:17">
      <c r="B1202" s="12"/>
      <c r="C1202" s="12"/>
      <c r="D1202" s="12"/>
      <c r="E1202" s="12"/>
      <c r="F1202" s="12"/>
      <c r="G1202" s="12"/>
      <c r="H1202" s="12"/>
      <c r="I1202" s="12"/>
      <c r="J1202" s="12"/>
      <c r="K1202" s="12"/>
      <c r="L1202" s="12"/>
      <c r="M1202" s="12"/>
      <c r="N1202" s="12"/>
      <c r="O1202" s="12"/>
      <c r="P1202" s="12"/>
      <c r="Q1202" s="14"/>
    </row>
    <row r="1203" spans="2:17">
      <c r="B1203" s="12"/>
      <c r="C1203" s="12"/>
      <c r="D1203" s="12"/>
      <c r="E1203" s="12"/>
      <c r="F1203" s="12"/>
      <c r="G1203" s="12"/>
      <c r="H1203" s="12"/>
      <c r="I1203" s="12"/>
      <c r="J1203" s="12"/>
      <c r="K1203" s="12"/>
      <c r="L1203" s="12"/>
      <c r="M1203" s="12"/>
      <c r="N1203" s="12"/>
      <c r="O1203" s="12"/>
      <c r="P1203" s="12"/>
      <c r="Q1203" s="14"/>
    </row>
    <row r="1204" spans="2:17">
      <c r="B1204" s="12"/>
      <c r="C1204" s="12"/>
      <c r="D1204" s="12"/>
      <c r="E1204" s="12"/>
      <c r="F1204" s="12"/>
      <c r="G1204" s="12"/>
      <c r="H1204" s="12"/>
      <c r="I1204" s="12"/>
      <c r="J1204" s="12"/>
      <c r="K1204" s="12"/>
      <c r="L1204" s="12"/>
      <c r="M1204" s="12"/>
      <c r="N1204" s="12"/>
      <c r="O1204" s="12"/>
      <c r="P1204" s="12"/>
      <c r="Q1204" s="14"/>
    </row>
    <row r="1205" spans="2:17">
      <c r="B1205" s="12"/>
      <c r="C1205" s="12"/>
      <c r="D1205" s="12"/>
      <c r="E1205" s="12"/>
      <c r="F1205" s="12"/>
      <c r="G1205" s="12"/>
      <c r="H1205" s="12"/>
      <c r="I1205" s="12"/>
      <c r="J1205" s="12"/>
      <c r="K1205" s="12"/>
      <c r="L1205" s="12"/>
      <c r="M1205" s="12"/>
      <c r="N1205" s="12"/>
      <c r="O1205" s="12"/>
      <c r="P1205" s="12"/>
      <c r="Q1205" s="14"/>
    </row>
    <row r="1206" spans="2:17">
      <c r="B1206" s="12"/>
      <c r="C1206" s="12"/>
      <c r="D1206" s="12"/>
      <c r="E1206" s="12"/>
      <c r="F1206" s="12"/>
      <c r="G1206" s="12"/>
      <c r="H1206" s="12"/>
      <c r="I1206" s="12"/>
      <c r="J1206" s="12"/>
      <c r="K1206" s="12"/>
      <c r="L1206" s="12"/>
      <c r="M1206" s="12"/>
      <c r="N1206" s="12"/>
      <c r="O1206" s="12"/>
      <c r="P1206" s="12"/>
      <c r="Q1206" s="14"/>
    </row>
    <row r="1207" spans="2:17">
      <c r="B1207" s="12"/>
      <c r="C1207" s="12"/>
      <c r="D1207" s="12"/>
      <c r="E1207" s="12"/>
      <c r="F1207" s="12"/>
      <c r="G1207" s="12"/>
      <c r="H1207" s="12"/>
      <c r="I1207" s="12"/>
      <c r="J1207" s="12"/>
      <c r="K1207" s="12"/>
      <c r="L1207" s="12"/>
      <c r="M1207" s="12"/>
      <c r="N1207" s="12"/>
      <c r="O1207" s="12"/>
      <c r="P1207" s="12"/>
      <c r="Q1207" s="14"/>
    </row>
    <row r="1208" spans="2:17">
      <c r="B1208" s="12"/>
      <c r="C1208" s="12"/>
      <c r="D1208" s="12"/>
      <c r="E1208" s="12"/>
      <c r="F1208" s="12"/>
      <c r="G1208" s="12"/>
      <c r="H1208" s="12"/>
      <c r="I1208" s="12"/>
      <c r="J1208" s="12"/>
      <c r="K1208" s="12"/>
      <c r="L1208" s="12"/>
      <c r="M1208" s="12"/>
      <c r="N1208" s="12"/>
      <c r="O1208" s="12"/>
      <c r="P1208" s="12"/>
      <c r="Q1208" s="14"/>
    </row>
    <row r="1209" spans="2:17">
      <c r="B1209" s="12"/>
      <c r="C1209" s="12"/>
      <c r="D1209" s="12"/>
      <c r="E1209" s="12"/>
      <c r="F1209" s="12"/>
      <c r="G1209" s="12"/>
      <c r="H1209" s="12"/>
      <c r="I1209" s="12"/>
      <c r="J1209" s="12"/>
      <c r="K1209" s="12"/>
      <c r="L1209" s="12"/>
      <c r="M1209" s="12"/>
      <c r="N1209" s="12"/>
      <c r="O1209" s="12"/>
      <c r="P1209" s="12"/>
      <c r="Q1209" s="14"/>
    </row>
    <row r="1210" spans="2:17">
      <c r="B1210" s="12"/>
      <c r="C1210" s="12"/>
      <c r="D1210" s="12"/>
      <c r="E1210" s="12"/>
      <c r="F1210" s="12"/>
      <c r="G1210" s="12"/>
      <c r="H1210" s="12"/>
      <c r="I1210" s="12"/>
      <c r="J1210" s="12"/>
      <c r="K1210" s="12"/>
      <c r="L1210" s="12"/>
      <c r="M1210" s="12"/>
      <c r="N1210" s="12"/>
      <c r="O1210" s="12"/>
      <c r="P1210" s="12"/>
      <c r="Q1210" s="14"/>
    </row>
    <row r="1211" spans="2:17">
      <c r="B1211" s="12"/>
      <c r="C1211" s="12"/>
      <c r="D1211" s="12"/>
      <c r="E1211" s="12"/>
      <c r="F1211" s="12"/>
      <c r="G1211" s="12"/>
      <c r="H1211" s="12"/>
      <c r="I1211" s="12"/>
      <c r="J1211" s="12"/>
      <c r="K1211" s="12"/>
      <c r="L1211" s="12"/>
      <c r="M1211" s="12"/>
      <c r="N1211" s="12"/>
      <c r="O1211" s="12"/>
      <c r="P1211" s="12"/>
      <c r="Q1211" s="14"/>
    </row>
    <row r="1212" spans="2:17">
      <c r="B1212" s="12"/>
      <c r="C1212" s="12"/>
      <c r="D1212" s="12"/>
      <c r="E1212" s="12"/>
      <c r="F1212" s="12"/>
      <c r="G1212" s="12"/>
      <c r="H1212" s="12"/>
      <c r="I1212" s="12"/>
      <c r="J1212" s="12"/>
      <c r="K1212" s="12"/>
      <c r="L1212" s="12"/>
      <c r="M1212" s="12"/>
      <c r="N1212" s="12"/>
      <c r="O1212" s="12"/>
      <c r="P1212" s="12"/>
      <c r="Q1212" s="14"/>
    </row>
    <row r="1213" spans="2:17">
      <c r="B1213" s="12"/>
      <c r="C1213" s="12"/>
      <c r="D1213" s="12"/>
      <c r="E1213" s="12"/>
      <c r="F1213" s="12"/>
      <c r="G1213" s="12"/>
      <c r="H1213" s="12"/>
      <c r="I1213" s="12"/>
      <c r="J1213" s="12"/>
      <c r="K1213" s="12"/>
      <c r="L1213" s="12"/>
      <c r="M1213" s="12"/>
      <c r="N1213" s="12"/>
      <c r="O1213" s="12"/>
      <c r="P1213" s="12"/>
      <c r="Q1213" s="14"/>
    </row>
    <row r="1214" spans="2:17">
      <c r="B1214" s="12"/>
      <c r="C1214" s="12"/>
      <c r="D1214" s="12"/>
      <c r="E1214" s="12"/>
      <c r="F1214" s="12"/>
      <c r="G1214" s="12"/>
      <c r="H1214" s="12"/>
      <c r="I1214" s="12"/>
      <c r="J1214" s="12"/>
      <c r="K1214" s="12"/>
      <c r="L1214" s="12"/>
      <c r="M1214" s="12"/>
      <c r="N1214" s="12"/>
      <c r="O1214" s="12"/>
      <c r="P1214" s="12"/>
      <c r="Q1214" s="14"/>
    </row>
    <row r="1215" spans="2:17">
      <c r="B1215" s="12"/>
      <c r="C1215" s="12"/>
      <c r="D1215" s="12"/>
      <c r="E1215" s="12"/>
      <c r="F1215" s="12"/>
      <c r="G1215" s="12"/>
      <c r="H1215" s="12"/>
      <c r="I1215" s="12"/>
      <c r="J1215" s="12"/>
      <c r="K1215" s="12"/>
      <c r="L1215" s="12"/>
      <c r="M1215" s="12"/>
      <c r="N1215" s="12"/>
      <c r="O1215" s="12"/>
      <c r="P1215" s="12"/>
      <c r="Q1215" s="14"/>
    </row>
    <row r="1216" spans="2:17">
      <c r="B1216" s="12"/>
      <c r="C1216" s="12"/>
      <c r="D1216" s="12"/>
      <c r="E1216" s="12"/>
      <c r="F1216" s="12"/>
      <c r="G1216" s="12"/>
      <c r="H1216" s="12"/>
      <c r="I1216" s="12"/>
      <c r="J1216" s="12"/>
      <c r="K1216" s="12"/>
      <c r="L1216" s="12"/>
      <c r="M1216" s="12"/>
      <c r="N1216" s="12"/>
      <c r="O1216" s="12"/>
      <c r="P1216" s="12"/>
      <c r="Q1216" s="14"/>
    </row>
    <row r="1217" spans="2:17">
      <c r="B1217" s="12"/>
      <c r="C1217" s="12"/>
      <c r="D1217" s="12"/>
      <c r="E1217" s="12"/>
      <c r="F1217" s="12"/>
      <c r="G1217" s="12"/>
      <c r="H1217" s="12"/>
      <c r="I1217" s="12"/>
      <c r="J1217" s="12"/>
      <c r="K1217" s="12"/>
      <c r="L1217" s="12"/>
      <c r="M1217" s="12"/>
      <c r="N1217" s="12"/>
      <c r="O1217" s="12"/>
      <c r="P1217" s="12"/>
      <c r="Q1217" s="14"/>
    </row>
    <row r="1218" spans="2:17">
      <c r="B1218" s="12"/>
      <c r="C1218" s="12"/>
      <c r="D1218" s="12"/>
      <c r="E1218" s="12"/>
      <c r="F1218" s="12"/>
      <c r="G1218" s="12"/>
      <c r="H1218" s="12"/>
      <c r="I1218" s="12"/>
      <c r="J1218" s="12"/>
      <c r="K1218" s="12"/>
      <c r="L1218" s="12"/>
      <c r="M1218" s="12"/>
      <c r="N1218" s="12"/>
      <c r="O1218" s="12"/>
      <c r="P1218" s="12"/>
      <c r="Q1218" s="14"/>
    </row>
    <row r="1219" spans="2:17">
      <c r="B1219" s="12"/>
      <c r="C1219" s="12"/>
      <c r="D1219" s="12"/>
      <c r="E1219" s="12"/>
      <c r="F1219" s="12"/>
      <c r="G1219" s="12"/>
      <c r="H1219" s="12"/>
      <c r="I1219" s="12"/>
      <c r="J1219" s="12"/>
      <c r="K1219" s="12"/>
      <c r="L1219" s="12"/>
      <c r="M1219" s="12"/>
      <c r="N1219" s="12"/>
      <c r="O1219" s="12"/>
      <c r="P1219" s="12"/>
      <c r="Q1219" s="14"/>
    </row>
    <row r="1220" spans="2:17">
      <c r="B1220" s="12"/>
      <c r="C1220" s="12"/>
      <c r="D1220" s="12"/>
      <c r="E1220" s="12"/>
      <c r="F1220" s="12"/>
      <c r="G1220" s="12"/>
      <c r="H1220" s="12"/>
      <c r="I1220" s="12"/>
      <c r="J1220" s="12"/>
      <c r="K1220" s="12"/>
      <c r="L1220" s="12"/>
      <c r="M1220" s="12"/>
      <c r="N1220" s="12"/>
      <c r="O1220" s="12"/>
      <c r="P1220" s="12"/>
      <c r="Q1220" s="14"/>
    </row>
    <row r="1221" spans="2:17">
      <c r="B1221" s="12"/>
      <c r="C1221" s="12"/>
      <c r="D1221" s="12"/>
      <c r="E1221" s="12"/>
      <c r="F1221" s="12"/>
      <c r="G1221" s="12"/>
      <c r="H1221" s="12"/>
      <c r="I1221" s="12"/>
      <c r="J1221" s="12"/>
      <c r="K1221" s="12"/>
      <c r="L1221" s="12"/>
      <c r="M1221" s="12"/>
      <c r="N1221" s="12"/>
      <c r="O1221" s="12"/>
      <c r="P1221" s="12"/>
      <c r="Q1221" s="14"/>
    </row>
    <row r="1222" spans="2:17">
      <c r="B1222" s="12"/>
      <c r="C1222" s="12"/>
      <c r="D1222" s="12"/>
      <c r="E1222" s="12"/>
      <c r="F1222" s="12"/>
      <c r="G1222" s="12"/>
      <c r="H1222" s="12"/>
      <c r="I1222" s="12"/>
      <c r="J1222" s="12"/>
      <c r="K1222" s="12"/>
      <c r="L1222" s="12"/>
      <c r="M1222" s="12"/>
      <c r="N1222" s="12"/>
      <c r="O1222" s="12"/>
      <c r="P1222" s="12"/>
      <c r="Q1222" s="14"/>
    </row>
    <row r="1223" spans="2:17">
      <c r="B1223" s="12"/>
      <c r="C1223" s="12"/>
      <c r="D1223" s="12"/>
      <c r="E1223" s="12"/>
      <c r="F1223" s="12"/>
      <c r="G1223" s="12"/>
      <c r="H1223" s="12"/>
      <c r="I1223" s="12"/>
      <c r="J1223" s="12"/>
      <c r="K1223" s="12"/>
      <c r="L1223" s="12"/>
      <c r="M1223" s="12"/>
      <c r="N1223" s="12"/>
      <c r="O1223" s="12"/>
      <c r="P1223" s="12"/>
      <c r="Q1223" s="14"/>
    </row>
    <row r="1224" spans="2:17">
      <c r="B1224" s="12"/>
      <c r="C1224" s="12"/>
      <c r="D1224" s="12"/>
      <c r="E1224" s="12"/>
      <c r="F1224" s="12"/>
      <c r="G1224" s="12"/>
      <c r="H1224" s="12"/>
      <c r="I1224" s="12"/>
      <c r="J1224" s="12"/>
      <c r="K1224" s="12"/>
      <c r="L1224" s="12"/>
      <c r="M1224" s="12"/>
      <c r="N1224" s="12"/>
      <c r="O1224" s="12"/>
      <c r="P1224" s="12"/>
      <c r="Q1224" s="14"/>
    </row>
    <row r="1225" spans="2:17">
      <c r="B1225" s="12"/>
      <c r="C1225" s="12"/>
      <c r="D1225" s="12"/>
      <c r="E1225" s="12"/>
      <c r="F1225" s="12"/>
      <c r="G1225" s="12"/>
      <c r="H1225" s="12"/>
      <c r="I1225" s="12"/>
      <c r="J1225" s="12"/>
      <c r="K1225" s="12"/>
      <c r="L1225" s="12"/>
      <c r="M1225" s="12"/>
      <c r="N1225" s="12"/>
      <c r="O1225" s="12"/>
      <c r="P1225" s="12"/>
      <c r="Q1225" s="14"/>
    </row>
    <row r="1226" spans="2:17">
      <c r="B1226" s="12"/>
      <c r="C1226" s="12"/>
      <c r="D1226" s="12"/>
      <c r="E1226" s="12"/>
      <c r="F1226" s="12"/>
      <c r="G1226" s="12"/>
      <c r="H1226" s="12"/>
      <c r="I1226" s="12"/>
      <c r="J1226" s="12"/>
      <c r="K1226" s="12"/>
      <c r="L1226" s="12"/>
      <c r="M1226" s="12"/>
      <c r="N1226" s="12"/>
      <c r="O1226" s="12"/>
      <c r="P1226" s="12"/>
      <c r="Q1226" s="14"/>
    </row>
    <row r="1227" spans="2:17">
      <c r="B1227" s="12"/>
      <c r="C1227" s="12"/>
      <c r="D1227" s="12"/>
      <c r="E1227" s="12"/>
      <c r="F1227" s="12"/>
      <c r="G1227" s="12"/>
      <c r="H1227" s="12"/>
      <c r="I1227" s="12"/>
      <c r="J1227" s="12"/>
      <c r="K1227" s="12"/>
      <c r="L1227" s="12"/>
      <c r="M1227" s="12"/>
      <c r="N1227" s="12"/>
      <c r="O1227" s="12"/>
      <c r="P1227" s="12"/>
      <c r="Q1227" s="14"/>
    </row>
    <row r="1228" spans="2:17">
      <c r="B1228" s="12"/>
      <c r="C1228" s="12"/>
      <c r="D1228" s="12"/>
      <c r="E1228" s="12"/>
      <c r="F1228" s="12"/>
      <c r="G1228" s="12"/>
      <c r="H1228" s="12"/>
      <c r="I1228" s="12"/>
      <c r="J1228" s="12"/>
      <c r="K1228" s="12"/>
      <c r="L1228" s="12"/>
      <c r="M1228" s="12"/>
      <c r="N1228" s="12"/>
      <c r="O1228" s="12"/>
      <c r="P1228" s="12"/>
      <c r="Q1228" s="14"/>
    </row>
    <row r="1229" spans="2:17">
      <c r="B1229" s="12"/>
      <c r="C1229" s="12"/>
      <c r="D1229" s="12"/>
      <c r="E1229" s="12"/>
      <c r="F1229" s="12"/>
      <c r="G1229" s="12"/>
      <c r="H1229" s="12"/>
      <c r="I1229" s="12"/>
      <c r="J1229" s="12"/>
      <c r="K1229" s="12"/>
      <c r="L1229" s="12"/>
      <c r="M1229" s="12"/>
      <c r="N1229" s="12"/>
      <c r="O1229" s="12"/>
      <c r="P1229" s="12"/>
      <c r="Q1229" s="14"/>
    </row>
    <row r="1230" spans="2:17">
      <c r="B1230" s="12"/>
      <c r="C1230" s="12"/>
      <c r="D1230" s="12"/>
      <c r="E1230" s="12"/>
      <c r="F1230" s="12"/>
      <c r="G1230" s="12"/>
      <c r="H1230" s="12"/>
      <c r="I1230" s="12"/>
      <c r="J1230" s="12"/>
      <c r="K1230" s="12"/>
      <c r="L1230" s="12"/>
      <c r="M1230" s="12"/>
      <c r="N1230" s="12"/>
      <c r="O1230" s="12"/>
      <c r="P1230" s="12"/>
      <c r="Q1230" s="14"/>
    </row>
    <row r="1231" spans="2:17">
      <c r="B1231" s="12"/>
      <c r="C1231" s="12"/>
      <c r="D1231" s="12"/>
      <c r="E1231" s="12"/>
      <c r="F1231" s="12"/>
      <c r="G1231" s="12"/>
      <c r="H1231" s="12"/>
      <c r="I1231" s="12"/>
      <c r="J1231" s="12"/>
      <c r="K1231" s="12"/>
      <c r="L1231" s="12"/>
      <c r="M1231" s="12"/>
      <c r="N1231" s="12"/>
      <c r="O1231" s="12"/>
      <c r="P1231" s="12"/>
      <c r="Q1231" s="14"/>
    </row>
    <row r="1232" spans="2:17">
      <c r="B1232" s="12"/>
      <c r="C1232" s="12"/>
      <c r="D1232" s="12"/>
      <c r="E1232" s="12"/>
      <c r="F1232" s="12"/>
      <c r="G1232" s="12"/>
      <c r="H1232" s="12"/>
      <c r="I1232" s="12"/>
      <c r="J1232" s="12"/>
      <c r="K1232" s="12"/>
      <c r="L1232" s="12"/>
      <c r="M1232" s="12"/>
      <c r="N1232" s="12"/>
      <c r="O1232" s="12"/>
      <c r="P1232" s="12"/>
      <c r="Q1232" s="14"/>
    </row>
    <row r="1233" spans="2:17">
      <c r="B1233" s="12"/>
      <c r="C1233" s="12"/>
      <c r="D1233" s="12"/>
      <c r="E1233" s="12"/>
      <c r="F1233" s="12"/>
      <c r="G1233" s="12"/>
      <c r="H1233" s="12"/>
      <c r="I1233" s="12"/>
      <c r="J1233" s="12"/>
      <c r="K1233" s="12"/>
      <c r="L1233" s="12"/>
      <c r="M1233" s="12"/>
      <c r="N1233" s="12"/>
      <c r="O1233" s="12"/>
      <c r="P1233" s="12"/>
      <c r="Q1233" s="14"/>
    </row>
    <row r="1234" spans="2:17">
      <c r="B1234" s="12"/>
      <c r="C1234" s="12"/>
      <c r="D1234" s="12"/>
      <c r="E1234" s="12"/>
      <c r="F1234" s="12"/>
      <c r="G1234" s="12"/>
      <c r="H1234" s="12"/>
      <c r="I1234" s="12"/>
      <c r="J1234" s="12"/>
      <c r="K1234" s="12"/>
      <c r="L1234" s="12"/>
      <c r="M1234" s="12"/>
      <c r="N1234" s="12"/>
      <c r="O1234" s="12"/>
      <c r="P1234" s="12"/>
      <c r="Q1234" s="14"/>
    </row>
    <row r="1235" spans="2:17">
      <c r="B1235" s="12"/>
      <c r="C1235" s="12"/>
      <c r="D1235" s="12"/>
      <c r="E1235" s="12"/>
      <c r="F1235" s="12"/>
      <c r="G1235" s="12"/>
      <c r="H1235" s="12"/>
      <c r="I1235" s="12"/>
      <c r="J1235" s="12"/>
      <c r="K1235" s="12"/>
      <c r="L1235" s="12"/>
      <c r="M1235" s="12"/>
      <c r="N1235" s="12"/>
      <c r="O1235" s="12"/>
      <c r="P1235" s="12"/>
      <c r="Q1235" s="14"/>
    </row>
    <row r="1236" spans="2:17">
      <c r="B1236" s="12"/>
      <c r="C1236" s="12"/>
      <c r="D1236" s="12"/>
      <c r="E1236" s="12"/>
      <c r="F1236" s="12"/>
      <c r="G1236" s="12"/>
      <c r="H1236" s="12"/>
      <c r="I1236" s="12"/>
      <c r="J1236" s="12"/>
      <c r="K1236" s="12"/>
      <c r="L1236" s="12"/>
      <c r="M1236" s="12"/>
      <c r="N1236" s="12"/>
      <c r="O1236" s="12"/>
      <c r="P1236" s="12"/>
      <c r="Q1236" s="14"/>
    </row>
    <row r="1237" spans="2:17">
      <c r="B1237" s="12"/>
      <c r="C1237" s="12"/>
      <c r="D1237" s="12"/>
      <c r="E1237" s="12"/>
      <c r="F1237" s="12"/>
      <c r="G1237" s="12"/>
      <c r="H1237" s="12"/>
      <c r="I1237" s="12"/>
      <c r="J1237" s="12"/>
      <c r="K1237" s="12"/>
      <c r="L1237" s="12"/>
      <c r="M1237" s="12"/>
      <c r="N1237" s="12"/>
      <c r="O1237" s="12"/>
      <c r="P1237" s="12"/>
      <c r="Q1237" s="14"/>
    </row>
    <row r="1238" spans="2:17">
      <c r="B1238" s="12"/>
      <c r="C1238" s="12"/>
      <c r="D1238" s="12"/>
      <c r="E1238" s="12"/>
      <c r="F1238" s="12"/>
      <c r="G1238" s="12"/>
      <c r="H1238" s="12"/>
      <c r="I1238" s="12"/>
      <c r="J1238" s="12"/>
      <c r="K1238" s="12"/>
      <c r="L1238" s="12"/>
      <c r="M1238" s="12"/>
      <c r="N1238" s="12"/>
      <c r="O1238" s="12"/>
      <c r="P1238" s="12"/>
      <c r="Q1238" s="14"/>
    </row>
    <row r="1239" spans="2:17">
      <c r="B1239" s="12"/>
      <c r="C1239" s="12"/>
      <c r="D1239" s="12"/>
      <c r="E1239" s="12"/>
      <c r="F1239" s="12"/>
      <c r="G1239" s="12"/>
      <c r="H1239" s="12"/>
      <c r="I1239" s="12"/>
      <c r="J1239" s="12"/>
      <c r="K1239" s="12"/>
      <c r="L1239" s="12"/>
      <c r="M1239" s="12"/>
      <c r="N1239" s="12"/>
      <c r="O1239" s="12"/>
      <c r="P1239" s="12"/>
      <c r="Q1239" s="14"/>
    </row>
    <row r="1240" spans="2:17">
      <c r="B1240" s="12"/>
      <c r="C1240" s="12"/>
      <c r="D1240" s="12"/>
      <c r="E1240" s="12"/>
      <c r="F1240" s="12"/>
      <c r="G1240" s="12"/>
      <c r="H1240" s="12"/>
      <c r="I1240" s="12"/>
      <c r="J1240" s="12"/>
      <c r="K1240" s="12"/>
      <c r="L1240" s="12"/>
      <c r="M1240" s="12"/>
      <c r="N1240" s="12"/>
      <c r="O1240" s="12"/>
      <c r="P1240" s="12"/>
      <c r="Q1240" s="14"/>
    </row>
    <row r="1241" spans="2:17">
      <c r="B1241" s="12"/>
      <c r="C1241" s="12"/>
      <c r="D1241" s="12"/>
      <c r="E1241" s="12"/>
      <c r="F1241" s="12"/>
      <c r="G1241" s="12"/>
      <c r="H1241" s="12"/>
      <c r="I1241" s="12"/>
      <c r="J1241" s="12"/>
      <c r="K1241" s="12"/>
      <c r="L1241" s="12"/>
      <c r="M1241" s="12"/>
      <c r="N1241" s="12"/>
      <c r="O1241" s="12"/>
      <c r="P1241" s="12"/>
      <c r="Q1241" s="14"/>
    </row>
    <row r="1242" spans="2:17">
      <c r="B1242" s="12"/>
      <c r="C1242" s="12"/>
      <c r="D1242" s="12"/>
      <c r="E1242" s="12"/>
      <c r="F1242" s="12"/>
      <c r="G1242" s="12"/>
      <c r="H1242" s="12"/>
      <c r="I1242" s="12"/>
      <c r="J1242" s="12"/>
      <c r="K1242" s="12"/>
      <c r="L1242" s="12"/>
      <c r="M1242" s="12"/>
      <c r="N1242" s="12"/>
      <c r="O1242" s="12"/>
      <c r="P1242" s="12"/>
      <c r="Q1242" s="14"/>
    </row>
    <row r="1243" spans="2:17">
      <c r="B1243" s="12"/>
      <c r="C1243" s="12"/>
      <c r="D1243" s="12"/>
      <c r="E1243" s="12"/>
      <c r="F1243" s="12"/>
      <c r="G1243" s="12"/>
      <c r="H1243" s="12"/>
      <c r="I1243" s="12"/>
      <c r="J1243" s="12"/>
      <c r="K1243" s="12"/>
      <c r="L1243" s="12"/>
      <c r="M1243" s="12"/>
      <c r="N1243" s="12"/>
      <c r="O1243" s="12"/>
      <c r="P1243" s="12"/>
      <c r="Q1243" s="14"/>
    </row>
    <row r="1244" spans="2:17">
      <c r="B1244" s="12"/>
      <c r="C1244" s="12"/>
      <c r="D1244" s="12"/>
      <c r="E1244" s="12"/>
      <c r="F1244" s="12"/>
      <c r="G1244" s="12"/>
      <c r="H1244" s="12"/>
      <c r="I1244" s="12"/>
      <c r="J1244" s="12"/>
      <c r="K1244" s="12"/>
      <c r="L1244" s="12"/>
      <c r="M1244" s="12"/>
      <c r="N1244" s="12"/>
      <c r="O1244" s="12"/>
      <c r="P1244" s="12"/>
      <c r="Q1244" s="14"/>
    </row>
    <row r="1245" spans="2:17">
      <c r="B1245" s="12"/>
      <c r="C1245" s="12"/>
      <c r="D1245" s="12"/>
      <c r="E1245" s="12"/>
      <c r="F1245" s="12"/>
      <c r="G1245" s="12"/>
      <c r="H1245" s="12"/>
      <c r="I1245" s="12"/>
      <c r="J1245" s="12"/>
      <c r="K1245" s="12"/>
      <c r="L1245" s="12"/>
      <c r="M1245" s="12"/>
      <c r="N1245" s="12"/>
      <c r="O1245" s="12"/>
      <c r="P1245" s="12"/>
      <c r="Q1245" s="14"/>
    </row>
    <row r="1246" spans="2:17">
      <c r="B1246" s="12"/>
      <c r="C1246" s="12"/>
      <c r="D1246" s="12"/>
      <c r="E1246" s="12"/>
      <c r="F1246" s="12"/>
      <c r="G1246" s="12"/>
      <c r="H1246" s="12"/>
      <c r="I1246" s="12"/>
      <c r="J1246" s="12"/>
      <c r="K1246" s="12"/>
      <c r="L1246" s="12"/>
      <c r="M1246" s="12"/>
      <c r="N1246" s="12"/>
      <c r="O1246" s="12"/>
      <c r="P1246" s="12"/>
      <c r="Q1246" s="14"/>
    </row>
    <row r="1247" spans="2:17">
      <c r="B1247" s="12"/>
      <c r="C1247" s="12"/>
      <c r="D1247" s="12"/>
      <c r="E1247" s="12"/>
      <c r="F1247" s="12"/>
      <c r="G1247" s="12"/>
      <c r="H1247" s="12"/>
      <c r="I1247" s="12"/>
      <c r="J1247" s="12"/>
      <c r="K1247" s="12"/>
      <c r="L1247" s="12"/>
      <c r="M1247" s="12"/>
      <c r="N1247" s="12"/>
      <c r="O1247" s="12"/>
      <c r="P1247" s="12"/>
      <c r="Q1247" s="14"/>
    </row>
    <row r="1248" spans="2:17">
      <c r="B1248" s="12"/>
      <c r="C1248" s="12"/>
      <c r="D1248" s="12"/>
      <c r="E1248" s="12"/>
      <c r="F1248" s="12"/>
      <c r="G1248" s="12"/>
      <c r="H1248" s="12"/>
      <c r="I1248" s="12"/>
      <c r="J1248" s="12"/>
      <c r="K1248" s="12"/>
      <c r="L1248" s="12"/>
      <c r="M1248" s="12"/>
      <c r="N1248" s="12"/>
      <c r="O1248" s="12"/>
      <c r="P1248" s="12"/>
      <c r="Q1248" s="14"/>
    </row>
    <row r="1249" spans="2:17">
      <c r="B1249" s="12"/>
      <c r="C1249" s="12"/>
      <c r="D1249" s="12"/>
      <c r="E1249" s="12"/>
      <c r="F1249" s="12"/>
      <c r="G1249" s="12"/>
      <c r="H1249" s="12"/>
      <c r="I1249" s="12"/>
      <c r="J1249" s="12"/>
      <c r="K1249" s="12"/>
      <c r="L1249" s="12"/>
      <c r="M1249" s="12"/>
      <c r="N1249" s="12"/>
      <c r="O1249" s="12"/>
      <c r="P1249" s="12"/>
      <c r="Q1249" s="14"/>
    </row>
    <row r="1250" spans="2:17">
      <c r="B1250" s="12"/>
      <c r="C1250" s="12"/>
      <c r="D1250" s="12"/>
      <c r="E1250" s="12"/>
      <c r="F1250" s="12"/>
      <c r="G1250" s="12"/>
      <c r="H1250" s="12"/>
      <c r="I1250" s="12"/>
      <c r="J1250" s="12"/>
      <c r="K1250" s="12"/>
      <c r="L1250" s="12"/>
      <c r="M1250" s="12"/>
      <c r="N1250" s="12"/>
      <c r="O1250" s="12"/>
      <c r="P1250" s="12"/>
      <c r="Q1250" s="14"/>
    </row>
    <row r="1251" spans="2:17">
      <c r="B1251" s="12"/>
      <c r="C1251" s="12"/>
      <c r="D1251" s="12"/>
      <c r="E1251" s="12"/>
      <c r="F1251" s="12"/>
      <c r="G1251" s="12"/>
      <c r="H1251" s="12"/>
      <c r="I1251" s="12"/>
      <c r="J1251" s="12"/>
      <c r="K1251" s="12"/>
      <c r="L1251" s="12"/>
      <c r="M1251" s="12"/>
      <c r="N1251" s="12"/>
      <c r="O1251" s="12"/>
      <c r="P1251" s="12"/>
      <c r="Q1251" s="14"/>
    </row>
    <row r="1252" spans="2:17">
      <c r="B1252" s="12"/>
      <c r="C1252" s="12"/>
      <c r="D1252" s="12"/>
      <c r="E1252" s="12"/>
      <c r="F1252" s="12"/>
      <c r="G1252" s="12"/>
      <c r="H1252" s="12"/>
      <c r="I1252" s="12"/>
      <c r="J1252" s="12"/>
      <c r="K1252" s="12"/>
      <c r="L1252" s="12"/>
      <c r="M1252" s="12"/>
      <c r="N1252" s="12"/>
      <c r="O1252" s="12"/>
      <c r="P1252" s="12"/>
      <c r="Q1252" s="14"/>
    </row>
    <row r="1253" spans="2:17">
      <c r="B1253" s="12"/>
      <c r="C1253" s="12"/>
      <c r="D1253" s="12"/>
      <c r="E1253" s="12"/>
      <c r="F1253" s="12"/>
      <c r="G1253" s="12"/>
      <c r="H1253" s="12"/>
      <c r="I1253" s="12"/>
      <c r="J1253" s="12"/>
      <c r="K1253" s="12"/>
      <c r="L1253" s="12"/>
      <c r="M1253" s="12"/>
      <c r="N1253" s="12"/>
      <c r="O1253" s="12"/>
      <c r="P1253" s="12"/>
      <c r="Q1253" s="14"/>
    </row>
    <row r="1254" spans="2:17">
      <c r="B1254" s="12"/>
      <c r="C1254" s="12"/>
      <c r="D1254" s="12"/>
      <c r="E1254" s="12"/>
      <c r="F1254" s="12"/>
      <c r="G1254" s="12"/>
      <c r="H1254" s="12"/>
      <c r="I1254" s="12"/>
      <c r="J1254" s="12"/>
      <c r="K1254" s="12"/>
      <c r="L1254" s="12"/>
      <c r="M1254" s="12"/>
      <c r="N1254" s="12"/>
      <c r="O1254" s="12"/>
      <c r="P1254" s="12"/>
      <c r="Q1254" s="14"/>
    </row>
    <row r="1255" spans="2:17">
      <c r="B1255" s="12"/>
      <c r="C1255" s="12"/>
      <c r="D1255" s="12"/>
      <c r="E1255" s="12"/>
      <c r="F1255" s="12"/>
      <c r="G1255" s="12"/>
      <c r="H1255" s="12"/>
      <c r="I1255" s="12"/>
      <c r="J1255" s="12"/>
      <c r="K1255" s="12"/>
      <c r="L1255" s="12"/>
      <c r="M1255" s="12"/>
      <c r="N1255" s="12"/>
      <c r="O1255" s="12"/>
      <c r="P1255" s="12"/>
      <c r="Q1255" s="14"/>
    </row>
    <row r="1256" spans="2:17">
      <c r="B1256" s="12"/>
      <c r="C1256" s="12"/>
      <c r="D1256" s="12"/>
      <c r="E1256" s="12"/>
      <c r="F1256" s="12"/>
      <c r="G1256" s="12"/>
      <c r="H1256" s="12"/>
      <c r="I1256" s="12"/>
      <c r="J1256" s="12"/>
      <c r="K1256" s="12"/>
      <c r="L1256" s="12"/>
      <c r="M1256" s="12"/>
      <c r="N1256" s="12"/>
      <c r="O1256" s="12"/>
      <c r="P1256" s="12"/>
      <c r="Q1256" s="14"/>
    </row>
    <row r="1257" spans="2:17">
      <c r="B1257" s="12"/>
      <c r="C1257" s="12"/>
      <c r="D1257" s="12"/>
      <c r="E1257" s="12"/>
      <c r="F1257" s="12"/>
      <c r="G1257" s="12"/>
      <c r="H1257" s="12"/>
      <c r="I1257" s="12"/>
      <c r="J1257" s="12"/>
      <c r="K1257" s="12"/>
      <c r="L1257" s="12"/>
      <c r="M1257" s="12"/>
      <c r="N1257" s="12"/>
      <c r="O1257" s="12"/>
      <c r="P1257" s="12"/>
      <c r="Q1257" s="14"/>
    </row>
    <row r="1258" spans="2:17">
      <c r="B1258" s="12"/>
      <c r="C1258" s="12"/>
      <c r="D1258" s="12"/>
      <c r="E1258" s="12"/>
      <c r="F1258" s="12"/>
      <c r="G1258" s="12"/>
      <c r="H1258" s="12"/>
      <c r="I1258" s="12"/>
      <c r="J1258" s="12"/>
      <c r="K1258" s="12"/>
      <c r="L1258" s="12"/>
      <c r="M1258" s="12"/>
      <c r="N1258" s="12"/>
      <c r="O1258" s="12"/>
      <c r="P1258" s="12"/>
      <c r="Q1258" s="14"/>
    </row>
    <row r="1259" spans="2:17">
      <c r="B1259" s="12"/>
      <c r="C1259" s="12"/>
      <c r="D1259" s="12"/>
      <c r="E1259" s="12"/>
      <c r="F1259" s="12"/>
      <c r="G1259" s="12"/>
      <c r="H1259" s="12"/>
      <c r="I1259" s="12"/>
      <c r="J1259" s="12"/>
      <c r="K1259" s="12"/>
      <c r="L1259" s="12"/>
      <c r="M1259" s="12"/>
      <c r="N1259" s="12"/>
      <c r="O1259" s="12"/>
      <c r="P1259" s="12"/>
      <c r="Q1259" s="14"/>
    </row>
    <row r="1260" spans="2:17">
      <c r="B1260" s="12"/>
      <c r="C1260" s="12"/>
      <c r="D1260" s="12"/>
      <c r="E1260" s="12"/>
      <c r="F1260" s="12"/>
      <c r="G1260" s="12"/>
      <c r="H1260" s="12"/>
      <c r="I1260" s="12"/>
      <c r="J1260" s="12"/>
      <c r="K1260" s="12"/>
      <c r="L1260" s="12"/>
      <c r="M1260" s="12"/>
      <c r="N1260" s="12"/>
      <c r="O1260" s="12"/>
      <c r="P1260" s="12"/>
      <c r="Q1260" s="14"/>
    </row>
    <row r="1261" spans="2:17">
      <c r="B1261" s="12"/>
      <c r="C1261" s="12"/>
      <c r="D1261" s="12"/>
      <c r="E1261" s="12"/>
      <c r="F1261" s="12"/>
      <c r="G1261" s="12"/>
      <c r="H1261" s="12"/>
      <c r="I1261" s="12"/>
      <c r="J1261" s="12"/>
      <c r="K1261" s="12"/>
      <c r="L1261" s="12"/>
      <c r="M1261" s="12"/>
      <c r="N1261" s="12"/>
      <c r="O1261" s="12"/>
      <c r="P1261" s="12"/>
      <c r="Q1261" s="14"/>
    </row>
    <row r="1262" spans="2:17">
      <c r="B1262" s="12"/>
      <c r="C1262" s="12"/>
      <c r="D1262" s="12"/>
      <c r="E1262" s="12"/>
      <c r="F1262" s="12"/>
      <c r="G1262" s="12"/>
      <c r="H1262" s="12"/>
      <c r="I1262" s="12"/>
      <c r="J1262" s="12"/>
      <c r="K1262" s="12"/>
      <c r="L1262" s="12"/>
      <c r="M1262" s="12"/>
      <c r="N1262" s="12"/>
      <c r="O1262" s="12"/>
      <c r="P1262" s="12"/>
      <c r="Q1262" s="14"/>
    </row>
    <row r="1263" spans="2:17">
      <c r="B1263" s="12"/>
      <c r="C1263" s="12"/>
      <c r="D1263" s="12"/>
      <c r="E1263" s="12"/>
      <c r="F1263" s="12"/>
      <c r="G1263" s="12"/>
      <c r="H1263" s="12"/>
      <c r="I1263" s="12"/>
      <c r="J1263" s="12"/>
      <c r="K1263" s="12"/>
      <c r="L1263" s="12"/>
      <c r="M1263" s="12"/>
      <c r="N1263" s="12"/>
      <c r="O1263" s="12"/>
      <c r="P1263" s="12"/>
      <c r="Q1263" s="14"/>
    </row>
    <row r="1264" spans="2:17">
      <c r="B1264" s="12"/>
      <c r="C1264" s="12"/>
      <c r="D1264" s="12"/>
      <c r="E1264" s="12"/>
      <c r="F1264" s="12"/>
      <c r="G1264" s="12"/>
      <c r="H1264" s="12"/>
      <c r="I1264" s="12"/>
      <c r="J1264" s="12"/>
      <c r="K1264" s="12"/>
      <c r="L1264" s="12"/>
      <c r="M1264" s="12"/>
      <c r="N1264" s="12"/>
      <c r="O1264" s="12"/>
      <c r="P1264" s="12"/>
      <c r="Q1264" s="14"/>
    </row>
    <row r="1265" spans="2:17">
      <c r="B1265" s="12"/>
      <c r="C1265" s="12"/>
      <c r="D1265" s="12"/>
      <c r="E1265" s="12"/>
      <c r="F1265" s="12"/>
      <c r="G1265" s="12"/>
      <c r="H1265" s="12"/>
      <c r="I1265" s="12"/>
      <c r="J1265" s="12"/>
      <c r="K1265" s="12"/>
      <c r="L1265" s="12"/>
      <c r="M1265" s="12"/>
      <c r="N1265" s="12"/>
      <c r="O1265" s="12"/>
      <c r="P1265" s="12"/>
      <c r="Q1265" s="14"/>
    </row>
    <row r="1266" spans="2:17">
      <c r="B1266" s="12"/>
      <c r="C1266" s="12"/>
      <c r="D1266" s="12"/>
      <c r="E1266" s="12"/>
      <c r="F1266" s="12"/>
      <c r="G1266" s="12"/>
      <c r="H1266" s="12"/>
      <c r="I1266" s="12"/>
      <c r="J1266" s="12"/>
      <c r="K1266" s="12"/>
      <c r="L1266" s="12"/>
      <c r="M1266" s="12"/>
      <c r="N1266" s="12"/>
      <c r="O1266" s="12"/>
      <c r="P1266" s="12"/>
      <c r="Q1266" s="14"/>
    </row>
    <row r="1267" spans="2:17">
      <c r="B1267" s="12"/>
      <c r="C1267" s="12"/>
      <c r="D1267" s="12"/>
      <c r="E1267" s="12"/>
      <c r="F1267" s="12"/>
      <c r="G1267" s="12"/>
      <c r="H1267" s="12"/>
      <c r="I1267" s="12"/>
      <c r="J1267" s="12"/>
      <c r="K1267" s="12"/>
      <c r="L1267" s="12"/>
      <c r="M1267" s="12"/>
      <c r="N1267" s="12"/>
      <c r="O1267" s="12"/>
      <c r="P1267" s="12"/>
      <c r="Q1267" s="14"/>
    </row>
    <row r="1268" spans="2:17">
      <c r="B1268" s="12"/>
      <c r="C1268" s="12"/>
      <c r="D1268" s="12"/>
      <c r="E1268" s="12"/>
      <c r="F1268" s="12"/>
      <c r="G1268" s="12"/>
      <c r="H1268" s="12"/>
      <c r="I1268" s="12"/>
      <c r="J1268" s="12"/>
      <c r="K1268" s="12"/>
      <c r="L1268" s="12"/>
      <c r="M1268" s="12"/>
      <c r="N1268" s="12"/>
      <c r="O1268" s="12"/>
      <c r="P1268" s="12"/>
      <c r="Q1268" s="14"/>
    </row>
    <row r="1269" spans="2:17">
      <c r="B1269" s="12"/>
      <c r="C1269" s="12"/>
      <c r="D1269" s="12"/>
      <c r="E1269" s="12"/>
      <c r="F1269" s="12"/>
      <c r="G1269" s="12"/>
      <c r="H1269" s="12"/>
      <c r="I1269" s="12"/>
      <c r="J1269" s="12"/>
      <c r="K1269" s="12"/>
      <c r="L1269" s="12"/>
      <c r="M1269" s="12"/>
      <c r="N1269" s="12"/>
      <c r="O1269" s="12"/>
      <c r="P1269" s="12"/>
      <c r="Q1269" s="14"/>
    </row>
    <row r="1270" spans="2:17">
      <c r="B1270" s="12"/>
      <c r="C1270" s="12"/>
      <c r="D1270" s="12"/>
      <c r="E1270" s="12"/>
      <c r="F1270" s="12"/>
      <c r="G1270" s="12"/>
      <c r="H1270" s="12"/>
      <c r="I1270" s="12"/>
      <c r="J1270" s="12"/>
      <c r="K1270" s="12"/>
      <c r="L1270" s="12"/>
      <c r="M1270" s="12"/>
      <c r="N1270" s="12"/>
      <c r="O1270" s="12"/>
      <c r="P1270" s="12"/>
      <c r="Q1270" s="14"/>
    </row>
    <row r="1271" spans="2:17">
      <c r="B1271" s="12"/>
      <c r="C1271" s="12"/>
      <c r="D1271" s="12"/>
      <c r="E1271" s="12"/>
      <c r="F1271" s="12"/>
      <c r="G1271" s="12"/>
      <c r="H1271" s="12"/>
      <c r="I1271" s="12"/>
      <c r="J1271" s="12"/>
      <c r="K1271" s="12"/>
      <c r="L1271" s="12"/>
      <c r="M1271" s="12"/>
      <c r="N1271" s="12"/>
      <c r="O1271" s="12"/>
      <c r="P1271" s="12"/>
      <c r="Q1271" s="14"/>
    </row>
    <row r="1272" spans="2:17">
      <c r="B1272" s="12"/>
      <c r="C1272" s="12"/>
      <c r="D1272" s="12"/>
      <c r="E1272" s="12"/>
      <c r="F1272" s="12"/>
      <c r="G1272" s="12"/>
      <c r="H1272" s="12"/>
      <c r="I1272" s="12"/>
      <c r="J1272" s="12"/>
      <c r="K1272" s="12"/>
      <c r="L1272" s="12"/>
      <c r="M1272" s="12"/>
      <c r="N1272" s="12"/>
      <c r="O1272" s="12"/>
      <c r="P1272" s="12"/>
      <c r="Q1272" s="14"/>
    </row>
    <row r="1273" spans="2:17">
      <c r="B1273" s="12"/>
      <c r="C1273" s="12"/>
      <c r="D1273" s="12"/>
      <c r="E1273" s="12"/>
      <c r="F1273" s="12"/>
      <c r="G1273" s="12"/>
      <c r="H1273" s="12"/>
      <c r="I1273" s="12"/>
      <c r="J1273" s="12"/>
      <c r="K1273" s="12"/>
      <c r="L1273" s="12"/>
      <c r="M1273" s="12"/>
      <c r="N1273" s="12"/>
      <c r="O1273" s="12"/>
      <c r="P1273" s="12"/>
      <c r="Q1273" s="14"/>
    </row>
    <row r="1274" spans="2:17">
      <c r="B1274" s="12"/>
      <c r="C1274" s="12"/>
      <c r="D1274" s="12"/>
      <c r="E1274" s="12"/>
      <c r="F1274" s="12"/>
      <c r="G1274" s="12"/>
      <c r="H1274" s="12"/>
      <c r="I1274" s="12"/>
      <c r="J1274" s="12"/>
      <c r="K1274" s="12"/>
      <c r="L1274" s="12"/>
      <c r="M1274" s="12"/>
      <c r="N1274" s="12"/>
      <c r="O1274" s="12"/>
      <c r="P1274" s="12"/>
      <c r="Q1274" s="14"/>
    </row>
    <row r="1275" spans="2:17">
      <c r="B1275" s="12"/>
      <c r="C1275" s="12"/>
      <c r="D1275" s="12"/>
      <c r="E1275" s="12"/>
      <c r="F1275" s="12"/>
      <c r="G1275" s="12"/>
      <c r="H1275" s="12"/>
      <c r="I1275" s="12"/>
      <c r="J1275" s="12"/>
      <c r="K1275" s="12"/>
      <c r="L1275" s="12"/>
      <c r="M1275" s="12"/>
      <c r="N1275" s="12"/>
      <c r="O1275" s="12"/>
      <c r="P1275" s="12"/>
      <c r="Q1275" s="14"/>
    </row>
    <row r="1276" spans="2:17">
      <c r="B1276" s="12"/>
      <c r="C1276" s="12"/>
      <c r="D1276" s="12"/>
      <c r="E1276" s="12"/>
      <c r="F1276" s="12"/>
      <c r="G1276" s="12"/>
      <c r="H1276" s="12"/>
      <c r="I1276" s="12"/>
      <c r="J1276" s="12"/>
      <c r="K1276" s="12"/>
      <c r="L1276" s="12"/>
      <c r="M1276" s="12"/>
      <c r="N1276" s="12"/>
      <c r="O1276" s="12"/>
      <c r="P1276" s="12"/>
      <c r="Q1276" s="14"/>
    </row>
    <row r="1277" spans="2:17">
      <c r="B1277" s="12"/>
      <c r="C1277" s="12"/>
      <c r="D1277" s="12"/>
      <c r="E1277" s="12"/>
      <c r="F1277" s="12"/>
      <c r="G1277" s="12"/>
      <c r="H1277" s="12"/>
      <c r="I1277" s="12"/>
      <c r="J1277" s="12"/>
      <c r="K1277" s="12"/>
      <c r="L1277" s="12"/>
      <c r="M1277" s="12"/>
      <c r="N1277" s="12"/>
      <c r="O1277" s="12"/>
      <c r="P1277" s="12"/>
      <c r="Q1277" s="14"/>
    </row>
    <row r="1278" spans="2:17">
      <c r="B1278" s="12"/>
      <c r="C1278" s="12"/>
      <c r="D1278" s="12"/>
      <c r="E1278" s="12"/>
      <c r="F1278" s="12"/>
      <c r="G1278" s="12"/>
      <c r="H1278" s="12"/>
      <c r="I1278" s="12"/>
      <c r="J1278" s="12"/>
      <c r="K1278" s="12"/>
      <c r="L1278" s="12"/>
      <c r="M1278" s="12"/>
      <c r="N1278" s="12"/>
      <c r="O1278" s="12"/>
      <c r="P1278" s="12"/>
      <c r="Q1278" s="14"/>
    </row>
    <row r="1279" spans="2:17">
      <c r="B1279" s="12"/>
      <c r="C1279" s="12"/>
      <c r="D1279" s="12"/>
      <c r="E1279" s="12"/>
      <c r="F1279" s="12"/>
      <c r="G1279" s="12"/>
      <c r="H1279" s="12"/>
      <c r="I1279" s="12"/>
      <c r="J1279" s="12"/>
      <c r="K1279" s="12"/>
      <c r="L1279" s="12"/>
      <c r="M1279" s="12"/>
      <c r="N1279" s="12"/>
      <c r="O1279" s="12"/>
      <c r="P1279" s="12"/>
      <c r="Q1279" s="14"/>
    </row>
    <row r="1280" spans="2:17">
      <c r="B1280" s="12"/>
      <c r="C1280" s="12"/>
      <c r="D1280" s="12"/>
      <c r="E1280" s="12"/>
      <c r="F1280" s="12"/>
      <c r="G1280" s="12"/>
      <c r="H1280" s="12"/>
      <c r="I1280" s="12"/>
      <c r="J1280" s="12"/>
      <c r="K1280" s="12"/>
      <c r="L1280" s="12"/>
      <c r="M1280" s="12"/>
      <c r="N1280" s="12"/>
      <c r="O1280" s="12"/>
      <c r="P1280" s="12"/>
      <c r="Q1280" s="14"/>
    </row>
    <row r="1281" spans="2:17">
      <c r="B1281" s="12"/>
      <c r="C1281" s="12"/>
      <c r="D1281" s="12"/>
      <c r="E1281" s="12"/>
      <c r="F1281" s="12"/>
      <c r="G1281" s="12"/>
      <c r="H1281" s="12"/>
      <c r="I1281" s="12"/>
      <c r="J1281" s="12"/>
      <c r="K1281" s="12"/>
      <c r="L1281" s="12"/>
      <c r="M1281" s="12"/>
      <c r="N1281" s="12"/>
      <c r="O1281" s="12"/>
      <c r="P1281" s="12"/>
      <c r="Q1281" s="14"/>
    </row>
    <row r="1282" spans="2:17">
      <c r="B1282" s="12"/>
      <c r="C1282" s="12"/>
      <c r="D1282" s="12"/>
      <c r="E1282" s="12"/>
      <c r="F1282" s="12"/>
      <c r="G1282" s="12"/>
      <c r="H1282" s="12"/>
      <c r="I1282" s="12"/>
      <c r="J1282" s="12"/>
      <c r="K1282" s="12"/>
      <c r="L1282" s="12"/>
      <c r="M1282" s="12"/>
      <c r="N1282" s="12"/>
      <c r="O1282" s="12"/>
      <c r="P1282" s="12"/>
      <c r="Q1282" s="14"/>
    </row>
    <row r="1283" spans="2:17">
      <c r="B1283" s="12"/>
      <c r="C1283" s="12"/>
      <c r="D1283" s="12"/>
      <c r="E1283" s="12"/>
      <c r="F1283" s="12"/>
      <c r="G1283" s="12"/>
      <c r="H1283" s="12"/>
      <c r="I1283" s="12"/>
      <c r="J1283" s="12"/>
      <c r="K1283" s="12"/>
      <c r="L1283" s="12"/>
      <c r="M1283" s="12"/>
      <c r="N1283" s="12"/>
      <c r="O1283" s="12"/>
      <c r="P1283" s="12"/>
      <c r="Q1283" s="14"/>
    </row>
    <row r="1284" spans="2:17">
      <c r="B1284" s="12"/>
      <c r="C1284" s="12"/>
      <c r="D1284" s="12"/>
      <c r="E1284" s="12"/>
      <c r="F1284" s="12"/>
      <c r="G1284" s="12"/>
      <c r="H1284" s="12"/>
      <c r="I1284" s="12"/>
      <c r="J1284" s="12"/>
      <c r="K1284" s="12"/>
      <c r="L1284" s="12"/>
      <c r="M1284" s="12"/>
      <c r="N1284" s="12"/>
      <c r="O1284" s="12"/>
      <c r="P1284" s="12"/>
      <c r="Q1284" s="14"/>
    </row>
    <row r="1285" spans="2:17">
      <c r="B1285" s="12"/>
      <c r="C1285" s="12"/>
      <c r="D1285" s="12"/>
      <c r="E1285" s="12"/>
      <c r="F1285" s="12"/>
      <c r="G1285" s="12"/>
      <c r="H1285" s="12"/>
      <c r="I1285" s="12"/>
      <c r="J1285" s="12"/>
      <c r="K1285" s="12"/>
      <c r="L1285" s="12"/>
      <c r="M1285" s="12"/>
      <c r="N1285" s="12"/>
      <c r="O1285" s="12"/>
      <c r="P1285" s="12"/>
      <c r="Q1285" s="14"/>
    </row>
    <row r="1286" spans="2:17">
      <c r="B1286" s="12"/>
      <c r="C1286" s="12"/>
      <c r="D1286" s="12"/>
      <c r="E1286" s="12"/>
      <c r="F1286" s="12"/>
      <c r="G1286" s="12"/>
      <c r="H1286" s="12"/>
      <c r="I1286" s="12"/>
      <c r="J1286" s="12"/>
      <c r="K1286" s="12"/>
      <c r="L1286" s="12"/>
      <c r="M1286" s="12"/>
      <c r="N1286" s="12"/>
      <c r="O1286" s="12"/>
      <c r="P1286" s="12"/>
      <c r="Q1286" s="14"/>
    </row>
    <row r="1287" spans="2:17">
      <c r="B1287" s="12"/>
      <c r="C1287" s="12"/>
      <c r="D1287" s="12"/>
      <c r="E1287" s="12"/>
      <c r="F1287" s="12"/>
      <c r="G1287" s="12"/>
      <c r="H1287" s="12"/>
      <c r="I1287" s="12"/>
      <c r="J1287" s="12"/>
      <c r="K1287" s="12"/>
      <c r="L1287" s="12"/>
      <c r="M1287" s="12"/>
      <c r="N1287" s="12"/>
      <c r="O1287" s="12"/>
      <c r="P1287" s="12"/>
      <c r="Q1287" s="14"/>
    </row>
    <row r="1288" spans="2:17">
      <c r="B1288" s="12"/>
      <c r="C1288" s="12"/>
      <c r="D1288" s="12"/>
      <c r="E1288" s="12"/>
      <c r="F1288" s="12"/>
      <c r="G1288" s="12"/>
      <c r="H1288" s="12"/>
      <c r="I1288" s="12"/>
      <c r="J1288" s="12"/>
      <c r="K1288" s="12"/>
      <c r="L1288" s="12"/>
      <c r="M1288" s="12"/>
      <c r="N1288" s="12"/>
      <c r="O1288" s="12"/>
      <c r="P1288" s="12"/>
      <c r="Q1288" s="14"/>
    </row>
    <row r="1289" spans="2:17">
      <c r="B1289" s="12"/>
      <c r="C1289" s="12"/>
      <c r="D1289" s="12"/>
      <c r="E1289" s="12"/>
      <c r="F1289" s="12"/>
      <c r="G1289" s="12"/>
      <c r="H1289" s="12"/>
      <c r="I1289" s="12"/>
      <c r="J1289" s="12"/>
      <c r="K1289" s="12"/>
      <c r="L1289" s="12"/>
      <c r="M1289" s="12"/>
      <c r="N1289" s="12"/>
      <c r="O1289" s="12"/>
      <c r="P1289" s="12"/>
      <c r="Q1289" s="14"/>
    </row>
    <row r="1290" spans="2:17">
      <c r="B1290" s="12"/>
      <c r="C1290" s="12"/>
      <c r="D1290" s="12"/>
      <c r="E1290" s="12"/>
      <c r="F1290" s="12"/>
      <c r="G1290" s="12"/>
      <c r="H1290" s="12"/>
      <c r="I1290" s="12"/>
      <c r="J1290" s="12"/>
      <c r="K1290" s="12"/>
      <c r="L1290" s="12"/>
      <c r="M1290" s="12"/>
      <c r="N1290" s="12"/>
      <c r="O1290" s="12"/>
      <c r="P1290" s="12"/>
      <c r="Q1290" s="14"/>
    </row>
    <row r="1291" spans="2:17">
      <c r="B1291" s="12"/>
      <c r="C1291" s="12"/>
      <c r="D1291" s="12"/>
      <c r="E1291" s="12"/>
      <c r="F1291" s="12"/>
      <c r="G1291" s="12"/>
      <c r="H1291" s="12"/>
      <c r="I1291" s="12"/>
      <c r="J1291" s="12"/>
      <c r="K1291" s="12"/>
      <c r="L1291" s="12"/>
      <c r="M1291" s="12"/>
      <c r="N1291" s="12"/>
      <c r="O1291" s="12"/>
      <c r="P1291" s="12"/>
      <c r="Q1291" s="14"/>
    </row>
    <row r="1292" spans="2:17">
      <c r="B1292" s="12"/>
      <c r="C1292" s="12"/>
      <c r="D1292" s="12"/>
      <c r="E1292" s="12"/>
      <c r="F1292" s="12"/>
      <c r="G1292" s="12"/>
      <c r="H1292" s="12"/>
      <c r="I1292" s="12"/>
      <c r="J1292" s="12"/>
      <c r="K1292" s="12"/>
      <c r="L1292" s="12"/>
      <c r="M1292" s="12"/>
      <c r="N1292" s="12"/>
      <c r="O1292" s="12"/>
      <c r="P1292" s="12"/>
      <c r="Q1292" s="14"/>
    </row>
    <row r="1293" spans="2:17">
      <c r="B1293" s="12"/>
      <c r="C1293" s="12"/>
      <c r="D1293" s="12"/>
      <c r="E1293" s="12"/>
      <c r="F1293" s="12"/>
      <c r="G1293" s="12"/>
      <c r="H1293" s="12"/>
      <c r="I1293" s="12"/>
      <c r="J1293" s="12"/>
      <c r="K1293" s="12"/>
      <c r="L1293" s="12"/>
      <c r="M1293" s="12"/>
      <c r="N1293" s="12"/>
      <c r="O1293" s="12"/>
      <c r="P1293" s="12"/>
      <c r="Q1293" s="14"/>
    </row>
    <row r="1294" spans="2:17">
      <c r="B1294" s="12"/>
      <c r="C1294" s="12"/>
      <c r="D1294" s="12"/>
      <c r="E1294" s="12"/>
      <c r="F1294" s="12"/>
      <c r="G1294" s="12"/>
      <c r="H1294" s="12"/>
      <c r="I1294" s="12"/>
      <c r="J1294" s="12"/>
      <c r="K1294" s="12"/>
      <c r="L1294" s="12"/>
      <c r="M1294" s="12"/>
      <c r="N1294" s="12"/>
      <c r="O1294" s="12"/>
      <c r="P1294" s="12"/>
      <c r="Q1294" s="14"/>
    </row>
    <row r="1295" spans="2:17">
      <c r="B1295" s="12"/>
      <c r="C1295" s="12"/>
      <c r="D1295" s="12"/>
      <c r="E1295" s="12"/>
      <c r="F1295" s="12"/>
      <c r="G1295" s="12"/>
      <c r="H1295" s="12"/>
      <c r="I1295" s="12"/>
      <c r="J1295" s="12"/>
      <c r="K1295" s="12"/>
      <c r="L1295" s="12"/>
      <c r="M1295" s="12"/>
      <c r="N1295" s="12"/>
      <c r="O1295" s="12"/>
      <c r="P1295" s="12"/>
      <c r="Q1295" s="14"/>
    </row>
    <row r="1296" spans="2:17">
      <c r="B1296" s="12"/>
      <c r="C1296" s="12"/>
      <c r="D1296" s="12"/>
      <c r="E1296" s="12"/>
      <c r="F1296" s="12"/>
      <c r="G1296" s="12"/>
      <c r="H1296" s="12"/>
      <c r="I1296" s="12"/>
      <c r="J1296" s="12"/>
      <c r="K1296" s="12"/>
      <c r="L1296" s="12"/>
      <c r="M1296" s="12"/>
      <c r="N1296" s="12"/>
      <c r="O1296" s="12"/>
      <c r="P1296" s="12"/>
      <c r="Q1296" s="14"/>
    </row>
    <row r="1297" spans="2:17">
      <c r="B1297" s="12"/>
      <c r="C1297" s="12"/>
      <c r="D1297" s="12"/>
      <c r="E1297" s="12"/>
      <c r="F1297" s="12"/>
      <c r="G1297" s="12"/>
      <c r="H1297" s="12"/>
      <c r="I1297" s="12"/>
      <c r="J1297" s="12"/>
      <c r="K1297" s="12"/>
      <c r="L1297" s="12"/>
      <c r="M1297" s="12"/>
      <c r="N1297" s="12"/>
      <c r="O1297" s="12"/>
      <c r="P1297" s="12"/>
      <c r="Q1297" s="14"/>
    </row>
    <row r="1298" spans="2:17">
      <c r="B1298" s="12"/>
      <c r="C1298" s="12"/>
      <c r="D1298" s="12"/>
      <c r="E1298" s="12"/>
      <c r="F1298" s="12"/>
      <c r="G1298" s="12"/>
      <c r="H1298" s="12"/>
      <c r="I1298" s="12"/>
      <c r="J1298" s="12"/>
      <c r="K1298" s="12"/>
      <c r="L1298" s="12"/>
      <c r="M1298" s="12"/>
      <c r="N1298" s="12"/>
      <c r="O1298" s="12"/>
      <c r="P1298" s="12"/>
      <c r="Q1298" s="14"/>
    </row>
    <row r="1299" spans="2:17">
      <c r="B1299" s="12"/>
      <c r="C1299" s="12"/>
      <c r="D1299" s="12"/>
      <c r="E1299" s="12"/>
      <c r="F1299" s="12"/>
      <c r="G1299" s="12"/>
      <c r="H1299" s="12"/>
      <c r="I1299" s="12"/>
      <c r="J1299" s="12"/>
      <c r="K1299" s="12"/>
      <c r="L1299" s="12"/>
      <c r="M1299" s="12"/>
      <c r="N1299" s="12"/>
      <c r="O1299" s="12"/>
      <c r="P1299" s="12"/>
      <c r="Q1299" s="14"/>
    </row>
    <row r="1300" spans="2:17">
      <c r="B1300" s="12"/>
      <c r="C1300" s="12"/>
      <c r="D1300" s="12"/>
      <c r="E1300" s="12"/>
      <c r="F1300" s="12"/>
      <c r="G1300" s="12"/>
      <c r="H1300" s="12"/>
      <c r="I1300" s="12"/>
      <c r="J1300" s="12"/>
      <c r="K1300" s="12"/>
      <c r="L1300" s="12"/>
      <c r="M1300" s="12"/>
      <c r="N1300" s="12"/>
      <c r="O1300" s="12"/>
      <c r="P1300" s="12"/>
      <c r="Q1300" s="14"/>
    </row>
    <row r="1301" spans="2:17">
      <c r="B1301" s="12"/>
      <c r="C1301" s="12"/>
      <c r="D1301" s="12"/>
      <c r="E1301" s="12"/>
      <c r="F1301" s="12"/>
      <c r="G1301" s="12"/>
      <c r="H1301" s="12"/>
      <c r="I1301" s="12"/>
      <c r="J1301" s="12"/>
      <c r="K1301" s="12"/>
      <c r="L1301" s="12"/>
      <c r="M1301" s="12"/>
      <c r="N1301" s="12"/>
      <c r="O1301" s="12"/>
      <c r="P1301" s="12"/>
      <c r="Q1301" s="14"/>
    </row>
    <row r="1302" spans="2:17">
      <c r="B1302" s="12"/>
      <c r="C1302" s="12"/>
      <c r="D1302" s="12"/>
      <c r="E1302" s="12"/>
      <c r="F1302" s="12"/>
      <c r="G1302" s="12"/>
      <c r="H1302" s="12"/>
      <c r="I1302" s="12"/>
      <c r="J1302" s="12"/>
      <c r="K1302" s="12"/>
      <c r="L1302" s="12"/>
      <c r="M1302" s="12"/>
      <c r="N1302" s="12"/>
      <c r="O1302" s="12"/>
      <c r="P1302" s="12"/>
      <c r="Q1302" s="14"/>
    </row>
    <row r="1303" spans="2:17">
      <c r="B1303" s="12"/>
      <c r="C1303" s="12"/>
      <c r="D1303" s="12"/>
      <c r="E1303" s="12"/>
      <c r="F1303" s="12"/>
      <c r="G1303" s="12"/>
      <c r="H1303" s="12"/>
      <c r="I1303" s="12"/>
      <c r="J1303" s="12"/>
      <c r="K1303" s="12"/>
      <c r="L1303" s="12"/>
      <c r="M1303" s="12"/>
      <c r="N1303" s="12"/>
      <c r="O1303" s="12"/>
      <c r="P1303" s="12"/>
      <c r="Q1303" s="14"/>
    </row>
    <row r="1304" spans="2:17">
      <c r="B1304" s="12"/>
      <c r="C1304" s="12"/>
      <c r="D1304" s="12"/>
      <c r="E1304" s="12"/>
      <c r="F1304" s="12"/>
      <c r="G1304" s="12"/>
      <c r="H1304" s="12"/>
      <c r="I1304" s="12"/>
      <c r="J1304" s="12"/>
      <c r="K1304" s="12"/>
      <c r="L1304" s="12"/>
      <c r="M1304" s="12"/>
      <c r="N1304" s="12"/>
      <c r="O1304" s="12"/>
      <c r="P1304" s="12"/>
      <c r="Q1304" s="14"/>
    </row>
    <row r="1305" spans="2:17">
      <c r="B1305" s="12"/>
      <c r="C1305" s="12"/>
      <c r="D1305" s="12"/>
      <c r="E1305" s="12"/>
      <c r="F1305" s="12"/>
      <c r="G1305" s="12"/>
      <c r="H1305" s="12"/>
      <c r="I1305" s="12"/>
      <c r="J1305" s="12"/>
      <c r="K1305" s="12"/>
      <c r="L1305" s="12"/>
      <c r="M1305" s="12"/>
      <c r="N1305" s="12"/>
      <c r="O1305" s="12"/>
      <c r="P1305" s="12"/>
      <c r="Q1305" s="14"/>
    </row>
    <row r="1306" spans="2:17">
      <c r="B1306" s="12"/>
      <c r="C1306" s="12"/>
      <c r="D1306" s="12"/>
      <c r="E1306" s="12"/>
      <c r="F1306" s="12"/>
      <c r="G1306" s="12"/>
      <c r="H1306" s="12"/>
      <c r="I1306" s="12"/>
      <c r="J1306" s="12"/>
      <c r="K1306" s="12"/>
      <c r="L1306" s="12"/>
      <c r="M1306" s="12"/>
      <c r="N1306" s="12"/>
      <c r="O1306" s="12"/>
      <c r="P1306" s="12"/>
      <c r="Q1306" s="14"/>
    </row>
    <row r="1307" spans="2:17">
      <c r="B1307" s="14"/>
      <c r="C1307" s="14"/>
      <c r="D1307" s="14"/>
      <c r="E1307" s="14"/>
      <c r="F1307" s="14"/>
      <c r="G1307" s="14"/>
      <c r="H1307" s="14"/>
      <c r="I1307" s="14"/>
      <c r="J1307" s="14"/>
      <c r="K1307" s="14"/>
      <c r="L1307" s="14"/>
      <c r="M1307" s="14"/>
      <c r="N1307" s="14"/>
      <c r="O1307" s="14"/>
      <c r="P1307" s="14"/>
      <c r="Q1307" s="14"/>
    </row>
    <row r="1308" spans="2:17">
      <c r="B1308" s="14"/>
      <c r="C1308" s="14"/>
      <c r="D1308" s="14"/>
      <c r="E1308" s="14"/>
      <c r="F1308" s="14"/>
      <c r="G1308" s="14"/>
      <c r="H1308" s="14"/>
      <c r="I1308" s="14"/>
      <c r="J1308" s="14"/>
      <c r="K1308" s="14"/>
      <c r="L1308" s="14"/>
      <c r="M1308" s="14"/>
      <c r="N1308" s="14"/>
      <c r="O1308" s="14"/>
      <c r="P1308" s="14"/>
      <c r="Q1308" s="14"/>
    </row>
    <row r="1309" spans="2:17">
      <c r="B1309" s="14"/>
      <c r="C1309" s="14"/>
      <c r="D1309" s="14"/>
      <c r="E1309" s="14"/>
      <c r="F1309" s="14"/>
      <c r="G1309" s="14"/>
      <c r="H1309" s="14"/>
      <c r="I1309" s="14"/>
      <c r="J1309" s="14"/>
      <c r="K1309" s="14"/>
      <c r="L1309" s="14"/>
      <c r="M1309" s="14"/>
      <c r="N1309" s="14"/>
      <c r="O1309" s="14"/>
      <c r="P1309" s="14"/>
      <c r="Q1309" s="14"/>
    </row>
    <row r="1310" spans="2:17">
      <c r="B1310" s="14"/>
      <c r="C1310" s="14"/>
      <c r="D1310" s="14"/>
      <c r="E1310" s="14"/>
      <c r="F1310" s="14"/>
      <c r="G1310" s="14"/>
      <c r="H1310" s="14"/>
      <c r="I1310" s="14"/>
      <c r="J1310" s="14"/>
      <c r="K1310" s="14"/>
      <c r="L1310" s="14"/>
      <c r="M1310" s="14"/>
      <c r="N1310" s="14"/>
      <c r="O1310" s="14"/>
      <c r="P1310" s="14"/>
      <c r="Q1310" s="14"/>
    </row>
    <row r="1311" spans="2:17">
      <c r="B1311" s="14"/>
      <c r="C1311" s="14"/>
      <c r="D1311" s="14"/>
      <c r="E1311" s="14"/>
      <c r="F1311" s="14"/>
      <c r="G1311" s="14"/>
      <c r="H1311" s="14"/>
      <c r="I1311" s="14"/>
      <c r="J1311" s="14"/>
      <c r="K1311" s="14"/>
      <c r="L1311" s="14"/>
      <c r="M1311" s="14"/>
      <c r="N1311" s="14"/>
      <c r="O1311" s="14"/>
      <c r="P1311" s="14"/>
      <c r="Q1311" s="14"/>
    </row>
    <row r="1312" spans="2:17">
      <c r="B1312" s="14"/>
      <c r="C1312" s="14"/>
      <c r="D1312" s="14"/>
      <c r="E1312" s="14"/>
      <c r="F1312" s="14"/>
      <c r="G1312" s="14"/>
      <c r="H1312" s="14"/>
      <c r="I1312" s="14"/>
      <c r="J1312" s="14"/>
      <c r="K1312" s="14"/>
      <c r="L1312" s="14"/>
      <c r="M1312" s="14"/>
      <c r="N1312" s="14"/>
      <c r="O1312" s="14"/>
      <c r="P1312" s="14"/>
      <c r="Q1312" s="14"/>
    </row>
    <row r="1313" spans="2:17">
      <c r="B1313" s="14"/>
      <c r="C1313" s="14"/>
      <c r="D1313" s="14"/>
      <c r="E1313" s="14"/>
      <c r="F1313" s="14"/>
      <c r="G1313" s="14"/>
      <c r="H1313" s="14"/>
      <c r="I1313" s="14"/>
      <c r="J1313" s="14"/>
      <c r="K1313" s="14"/>
      <c r="L1313" s="14"/>
      <c r="M1313" s="14"/>
      <c r="N1313" s="14"/>
      <c r="O1313" s="14"/>
      <c r="P1313" s="14"/>
      <c r="Q1313" s="14"/>
    </row>
    <row r="1314" spans="2:17">
      <c r="B1314" s="14"/>
      <c r="C1314" s="14"/>
      <c r="D1314" s="14"/>
      <c r="E1314" s="14"/>
      <c r="F1314" s="14"/>
      <c r="G1314" s="14"/>
      <c r="H1314" s="14"/>
      <c r="I1314" s="14"/>
      <c r="J1314" s="14"/>
      <c r="K1314" s="14"/>
      <c r="L1314" s="14"/>
      <c r="M1314" s="14"/>
      <c r="N1314" s="14"/>
      <c r="O1314" s="14"/>
      <c r="P1314" s="14"/>
      <c r="Q1314" s="14"/>
    </row>
    <row r="1315" spans="2:17">
      <c r="B1315" s="14"/>
      <c r="C1315" s="14"/>
      <c r="D1315" s="14"/>
      <c r="E1315" s="14"/>
      <c r="F1315" s="14"/>
      <c r="G1315" s="14"/>
      <c r="H1315" s="14"/>
      <c r="I1315" s="14"/>
      <c r="J1315" s="14"/>
      <c r="K1315" s="14"/>
      <c r="L1315" s="14"/>
      <c r="M1315" s="14"/>
      <c r="N1315" s="14"/>
      <c r="O1315" s="14"/>
      <c r="P1315" s="14"/>
      <c r="Q1315" s="14"/>
    </row>
    <row r="1316" spans="2:17">
      <c r="B1316" s="14"/>
      <c r="C1316" s="14"/>
      <c r="D1316" s="14"/>
      <c r="E1316" s="14"/>
      <c r="F1316" s="14"/>
      <c r="G1316" s="14"/>
      <c r="H1316" s="14"/>
      <c r="I1316" s="14"/>
      <c r="J1316" s="14"/>
      <c r="K1316" s="14"/>
      <c r="L1316" s="14"/>
      <c r="M1316" s="14"/>
      <c r="N1316" s="14"/>
      <c r="O1316" s="14"/>
      <c r="P1316" s="14"/>
      <c r="Q1316" s="14"/>
    </row>
    <row r="1317" spans="2:17">
      <c r="B1317" s="14"/>
      <c r="C1317" s="14"/>
      <c r="D1317" s="14"/>
      <c r="E1317" s="14"/>
      <c r="F1317" s="14"/>
      <c r="G1317" s="14"/>
      <c r="H1317" s="14"/>
      <c r="I1317" s="14"/>
      <c r="J1317" s="14"/>
      <c r="K1317" s="14"/>
      <c r="L1317" s="14"/>
      <c r="M1317" s="14"/>
      <c r="N1317" s="14"/>
      <c r="O1317" s="14"/>
      <c r="P1317" s="14"/>
      <c r="Q1317" s="14"/>
    </row>
    <row r="1318" spans="2:17">
      <c r="B1318" s="14"/>
      <c r="C1318" s="14"/>
      <c r="D1318" s="14"/>
      <c r="E1318" s="14"/>
      <c r="F1318" s="14"/>
      <c r="G1318" s="14"/>
      <c r="H1318" s="14"/>
      <c r="I1318" s="14"/>
      <c r="J1318" s="14"/>
      <c r="K1318" s="14"/>
      <c r="L1318" s="14"/>
      <c r="M1318" s="14"/>
      <c r="N1318" s="14"/>
      <c r="O1318" s="14"/>
      <c r="P1318" s="14"/>
      <c r="Q1318" s="14"/>
    </row>
    <row r="1319" spans="2:17">
      <c r="B1319" s="14"/>
      <c r="C1319" s="14"/>
      <c r="D1319" s="14"/>
      <c r="E1319" s="14"/>
      <c r="F1319" s="14"/>
      <c r="G1319" s="14"/>
      <c r="H1319" s="14"/>
      <c r="I1319" s="14"/>
      <c r="J1319" s="14"/>
      <c r="K1319" s="14"/>
      <c r="L1319" s="14"/>
      <c r="M1319" s="14"/>
      <c r="N1319" s="14"/>
      <c r="O1319" s="14"/>
      <c r="P1319" s="14"/>
      <c r="Q1319" s="14"/>
    </row>
    <row r="1320" spans="2:17">
      <c r="B1320" s="14"/>
      <c r="C1320" s="14"/>
      <c r="D1320" s="14"/>
      <c r="E1320" s="14"/>
      <c r="F1320" s="14"/>
      <c r="G1320" s="14"/>
      <c r="H1320" s="14"/>
      <c r="I1320" s="14"/>
      <c r="J1320" s="14"/>
      <c r="K1320" s="14"/>
      <c r="L1320" s="14"/>
      <c r="M1320" s="14"/>
      <c r="N1320" s="14"/>
      <c r="O1320" s="14"/>
      <c r="P1320" s="14"/>
      <c r="Q1320" s="14"/>
    </row>
    <row r="1321" spans="2:17">
      <c r="B1321" s="14"/>
      <c r="C1321" s="14"/>
      <c r="D1321" s="14"/>
      <c r="E1321" s="14"/>
      <c r="F1321" s="14"/>
      <c r="G1321" s="14"/>
      <c r="H1321" s="14"/>
      <c r="I1321" s="14"/>
      <c r="J1321" s="14"/>
      <c r="K1321" s="14"/>
      <c r="L1321" s="14"/>
      <c r="M1321" s="14"/>
      <c r="N1321" s="14"/>
      <c r="O1321" s="14"/>
      <c r="P1321" s="14"/>
      <c r="Q1321" s="14"/>
    </row>
    <row r="1322" spans="2:17">
      <c r="B1322" s="14"/>
      <c r="C1322" s="14"/>
      <c r="D1322" s="14"/>
      <c r="E1322" s="14"/>
      <c r="F1322" s="14"/>
      <c r="G1322" s="14"/>
      <c r="H1322" s="14"/>
      <c r="I1322" s="14"/>
      <c r="J1322" s="14"/>
      <c r="K1322" s="14"/>
      <c r="L1322" s="14"/>
      <c r="M1322" s="14"/>
      <c r="N1322" s="14"/>
      <c r="O1322" s="14"/>
      <c r="P1322" s="14"/>
      <c r="Q1322" s="14"/>
    </row>
    <row r="1323" spans="2:17">
      <c r="B1323" s="14"/>
      <c r="C1323" s="14"/>
      <c r="D1323" s="14"/>
      <c r="E1323" s="14"/>
      <c r="F1323" s="14"/>
      <c r="G1323" s="14"/>
      <c r="H1323" s="14"/>
      <c r="I1323" s="14"/>
      <c r="J1323" s="14"/>
      <c r="K1323" s="14"/>
      <c r="L1323" s="14"/>
      <c r="M1323" s="14"/>
      <c r="N1323" s="14"/>
      <c r="O1323" s="14"/>
      <c r="P1323" s="14"/>
      <c r="Q1323" s="14"/>
    </row>
    <row r="1324" spans="2:17">
      <c r="B1324" s="14"/>
      <c r="C1324" s="14"/>
      <c r="D1324" s="14"/>
      <c r="E1324" s="14"/>
      <c r="F1324" s="14"/>
      <c r="G1324" s="14"/>
      <c r="H1324" s="14"/>
      <c r="I1324" s="14"/>
      <c r="J1324" s="14"/>
      <c r="K1324" s="14"/>
      <c r="L1324" s="14"/>
      <c r="M1324" s="14"/>
      <c r="N1324" s="14"/>
      <c r="O1324" s="14"/>
      <c r="P1324" s="14"/>
      <c r="Q1324" s="14"/>
    </row>
    <row r="1325" spans="2:17">
      <c r="B1325" s="14"/>
      <c r="C1325" s="14"/>
      <c r="D1325" s="14"/>
      <c r="E1325" s="14"/>
      <c r="F1325" s="14"/>
      <c r="G1325" s="14"/>
      <c r="H1325" s="14"/>
      <c r="I1325" s="14"/>
      <c r="J1325" s="14"/>
      <c r="K1325" s="14"/>
      <c r="L1325" s="14"/>
      <c r="M1325" s="14"/>
      <c r="N1325" s="14"/>
      <c r="O1325" s="14"/>
      <c r="P1325" s="14"/>
      <c r="Q1325" s="14"/>
    </row>
    <row r="1326" spans="2:17">
      <c r="B1326" s="14"/>
      <c r="C1326" s="14"/>
      <c r="D1326" s="14"/>
      <c r="E1326" s="14"/>
      <c r="F1326" s="14"/>
      <c r="G1326" s="14"/>
      <c r="H1326" s="14"/>
      <c r="I1326" s="14"/>
      <c r="J1326" s="14"/>
      <c r="K1326" s="14"/>
      <c r="L1326" s="14"/>
      <c r="M1326" s="14"/>
      <c r="N1326" s="14"/>
      <c r="O1326" s="14"/>
      <c r="P1326" s="14"/>
      <c r="Q1326" s="14"/>
    </row>
    <row r="1327" spans="2:17">
      <c r="B1327" s="14"/>
      <c r="C1327" s="14"/>
      <c r="D1327" s="14"/>
      <c r="E1327" s="14"/>
      <c r="F1327" s="14"/>
      <c r="G1327" s="14"/>
      <c r="H1327" s="14"/>
      <c r="I1327" s="14"/>
      <c r="J1327" s="14"/>
      <c r="K1327" s="14"/>
      <c r="L1327" s="14"/>
      <c r="M1327" s="14"/>
      <c r="N1327" s="14"/>
      <c r="O1327" s="14"/>
      <c r="P1327" s="14"/>
      <c r="Q1327" s="14"/>
    </row>
    <row r="1328" spans="2:17">
      <c r="B1328" s="14"/>
      <c r="C1328" s="14"/>
      <c r="D1328" s="14"/>
      <c r="E1328" s="14"/>
      <c r="F1328" s="14"/>
      <c r="G1328" s="14"/>
      <c r="H1328" s="14"/>
      <c r="I1328" s="14"/>
      <c r="J1328" s="14"/>
      <c r="K1328" s="14"/>
      <c r="L1328" s="14"/>
      <c r="M1328" s="14"/>
      <c r="N1328" s="14"/>
      <c r="O1328" s="14"/>
      <c r="P1328" s="14"/>
      <c r="Q1328" s="14"/>
    </row>
    <row r="1329" spans="2:17">
      <c r="B1329" s="14"/>
      <c r="C1329" s="14"/>
      <c r="D1329" s="14"/>
      <c r="E1329" s="14"/>
      <c r="F1329" s="14"/>
      <c r="G1329" s="14"/>
      <c r="H1329" s="14"/>
      <c r="I1329" s="14"/>
      <c r="J1329" s="14"/>
      <c r="K1329" s="14"/>
      <c r="L1329" s="14"/>
      <c r="M1329" s="14"/>
      <c r="N1329" s="14"/>
      <c r="O1329" s="14"/>
      <c r="P1329" s="14"/>
      <c r="Q1329" s="14"/>
    </row>
    <row r="1330" spans="2:17">
      <c r="B1330" s="14"/>
      <c r="C1330" s="14"/>
      <c r="D1330" s="14"/>
      <c r="E1330" s="14"/>
      <c r="F1330" s="14"/>
      <c r="G1330" s="14"/>
      <c r="H1330" s="14"/>
      <c r="I1330" s="14"/>
      <c r="J1330" s="14"/>
      <c r="K1330" s="14"/>
      <c r="L1330" s="14"/>
      <c r="M1330" s="14"/>
      <c r="N1330" s="14"/>
      <c r="O1330" s="14"/>
      <c r="P1330" s="14"/>
      <c r="Q1330" s="14"/>
    </row>
    <row r="1331" spans="2:17">
      <c r="B1331" s="14"/>
      <c r="C1331" s="14"/>
      <c r="D1331" s="14"/>
      <c r="E1331" s="14"/>
      <c r="F1331" s="14"/>
      <c r="G1331" s="14"/>
      <c r="H1331" s="14"/>
      <c r="I1331" s="14"/>
      <c r="J1331" s="14"/>
      <c r="K1331" s="14"/>
      <c r="L1331" s="14"/>
      <c r="M1331" s="14"/>
      <c r="N1331" s="14"/>
      <c r="O1331" s="14"/>
      <c r="P1331" s="14"/>
      <c r="Q1331" s="14"/>
    </row>
    <row r="1332" spans="2:17">
      <c r="B1332" s="14"/>
      <c r="C1332" s="14"/>
      <c r="D1332" s="14"/>
      <c r="E1332" s="14"/>
      <c r="F1332" s="14"/>
      <c r="G1332" s="14"/>
      <c r="H1332" s="14"/>
      <c r="I1332" s="14"/>
      <c r="J1332" s="14"/>
      <c r="K1332" s="14"/>
      <c r="L1332" s="14"/>
      <c r="M1332" s="14"/>
      <c r="N1332" s="14"/>
      <c r="O1332" s="14"/>
      <c r="P1332" s="14"/>
      <c r="Q1332" s="14"/>
    </row>
    <row r="1333" spans="2:17">
      <c r="B1333" s="14"/>
      <c r="C1333" s="14"/>
      <c r="D1333" s="14"/>
      <c r="E1333" s="14"/>
      <c r="F1333" s="14"/>
      <c r="G1333" s="14"/>
      <c r="H1333" s="14"/>
      <c r="I1333" s="14"/>
      <c r="J1333" s="14"/>
      <c r="K1333" s="14"/>
      <c r="L1333" s="14"/>
      <c r="M1333" s="14"/>
      <c r="N1333" s="14"/>
      <c r="O1333" s="14"/>
      <c r="P1333" s="14"/>
      <c r="Q1333" s="14"/>
    </row>
    <row r="1334" spans="2:17">
      <c r="B1334" s="14"/>
      <c r="C1334" s="14"/>
      <c r="D1334" s="14"/>
      <c r="E1334" s="14"/>
      <c r="F1334" s="14"/>
      <c r="G1334" s="14"/>
      <c r="H1334" s="14"/>
      <c r="I1334" s="14"/>
      <c r="J1334" s="14"/>
      <c r="K1334" s="14"/>
      <c r="L1334" s="14"/>
      <c r="M1334" s="14"/>
      <c r="N1334" s="14"/>
      <c r="O1334" s="14"/>
      <c r="P1334" s="14"/>
      <c r="Q1334" s="14"/>
    </row>
    <row r="1335" spans="2:17">
      <c r="B1335" s="14"/>
      <c r="C1335" s="14"/>
      <c r="D1335" s="14"/>
      <c r="E1335" s="14"/>
      <c r="F1335" s="14"/>
      <c r="G1335" s="14"/>
      <c r="H1335" s="14"/>
      <c r="I1335" s="14"/>
      <c r="J1335" s="14"/>
      <c r="K1335" s="14"/>
      <c r="L1335" s="14"/>
      <c r="M1335" s="14"/>
      <c r="N1335" s="14"/>
      <c r="O1335" s="14"/>
      <c r="P1335" s="14"/>
      <c r="Q1335" s="14"/>
    </row>
    <row r="1336" spans="2:17">
      <c r="B1336" s="14"/>
      <c r="C1336" s="14"/>
      <c r="D1336" s="14"/>
      <c r="E1336" s="14"/>
      <c r="F1336" s="14"/>
      <c r="G1336" s="14"/>
      <c r="H1336" s="14"/>
      <c r="I1336" s="14"/>
      <c r="J1336" s="14"/>
      <c r="K1336" s="14"/>
      <c r="L1336" s="14"/>
      <c r="M1336" s="14"/>
      <c r="N1336" s="14"/>
      <c r="O1336" s="14"/>
      <c r="P1336" s="14"/>
      <c r="Q1336" s="14"/>
    </row>
    <row r="1337" spans="2:17">
      <c r="B1337" s="14"/>
      <c r="C1337" s="14"/>
      <c r="D1337" s="14"/>
      <c r="E1337" s="14"/>
      <c r="F1337" s="14"/>
      <c r="G1337" s="14"/>
      <c r="H1337" s="14"/>
      <c r="I1337" s="14"/>
      <c r="J1337" s="14"/>
      <c r="K1337" s="14"/>
      <c r="L1337" s="14"/>
      <c r="M1337" s="14"/>
      <c r="N1337" s="14"/>
      <c r="O1337" s="14"/>
      <c r="P1337" s="14"/>
      <c r="Q1337" s="14"/>
    </row>
    <row r="1338" spans="2:17">
      <c r="B1338" s="14"/>
      <c r="C1338" s="14"/>
      <c r="D1338" s="14"/>
      <c r="E1338" s="14"/>
      <c r="F1338" s="14"/>
      <c r="G1338" s="14"/>
      <c r="H1338" s="14"/>
      <c r="I1338" s="14"/>
      <c r="J1338" s="14"/>
      <c r="K1338" s="14"/>
      <c r="L1338" s="14"/>
      <c r="M1338" s="14"/>
      <c r="N1338" s="14"/>
      <c r="O1338" s="14"/>
      <c r="P1338" s="14"/>
      <c r="Q1338" s="14"/>
    </row>
    <row r="1339" spans="2:17">
      <c r="B1339" s="14"/>
      <c r="C1339" s="14"/>
      <c r="D1339" s="14"/>
      <c r="E1339" s="14"/>
      <c r="F1339" s="14"/>
      <c r="G1339" s="14"/>
      <c r="H1339" s="14"/>
      <c r="I1339" s="14"/>
      <c r="J1339" s="14"/>
      <c r="K1339" s="14"/>
      <c r="L1339" s="14"/>
      <c r="M1339" s="14"/>
      <c r="N1339" s="14"/>
      <c r="O1339" s="14"/>
      <c r="P1339" s="14"/>
      <c r="Q1339" s="14"/>
    </row>
    <row r="1340" spans="2:17">
      <c r="B1340" s="14"/>
      <c r="C1340" s="14"/>
      <c r="D1340" s="14"/>
      <c r="E1340" s="14"/>
      <c r="F1340" s="14"/>
      <c r="G1340" s="14"/>
      <c r="H1340" s="14"/>
      <c r="I1340" s="14"/>
      <c r="J1340" s="14"/>
      <c r="K1340" s="14"/>
      <c r="L1340" s="14"/>
      <c r="M1340" s="14"/>
      <c r="N1340" s="14"/>
      <c r="O1340" s="14"/>
      <c r="P1340" s="14"/>
      <c r="Q1340" s="14"/>
    </row>
    <row r="1341" spans="2:17">
      <c r="B1341" s="14"/>
      <c r="C1341" s="14"/>
      <c r="D1341" s="14"/>
      <c r="E1341" s="14"/>
      <c r="F1341" s="14"/>
      <c r="G1341" s="14"/>
      <c r="H1341" s="14"/>
      <c r="I1341" s="14"/>
      <c r="J1341" s="14"/>
      <c r="K1341" s="14"/>
      <c r="L1341" s="14"/>
      <c r="M1341" s="14"/>
      <c r="N1341" s="14"/>
      <c r="O1341" s="14"/>
      <c r="P1341" s="14"/>
      <c r="Q1341" s="14"/>
    </row>
    <row r="1342" spans="2:17">
      <c r="B1342" s="14"/>
      <c r="C1342" s="14"/>
      <c r="D1342" s="14"/>
      <c r="E1342" s="14"/>
      <c r="F1342" s="14"/>
      <c r="G1342" s="14"/>
      <c r="H1342" s="14"/>
      <c r="I1342" s="14"/>
      <c r="J1342" s="14"/>
      <c r="K1342" s="14"/>
      <c r="L1342" s="14"/>
      <c r="M1342" s="14"/>
      <c r="N1342" s="14"/>
      <c r="O1342" s="14"/>
      <c r="P1342" s="14"/>
      <c r="Q1342" s="14"/>
    </row>
    <row r="1343" spans="2:17">
      <c r="B1343" s="14"/>
      <c r="C1343" s="14"/>
      <c r="D1343" s="14"/>
      <c r="E1343" s="14"/>
      <c r="F1343" s="14"/>
      <c r="G1343" s="14"/>
      <c r="H1343" s="14"/>
      <c r="I1343" s="14"/>
      <c r="J1343" s="14"/>
      <c r="K1343" s="14"/>
      <c r="L1343" s="14"/>
      <c r="M1343" s="14"/>
      <c r="N1343" s="14"/>
      <c r="O1343" s="14"/>
      <c r="P1343" s="14"/>
      <c r="Q1343" s="14"/>
    </row>
    <row r="1344" spans="2:17">
      <c r="B1344" s="14"/>
      <c r="C1344" s="14"/>
      <c r="D1344" s="14"/>
      <c r="E1344" s="14"/>
      <c r="F1344" s="14"/>
      <c r="G1344" s="14"/>
      <c r="H1344" s="14"/>
      <c r="I1344" s="14"/>
      <c r="J1344" s="14"/>
      <c r="K1344" s="14"/>
      <c r="L1344" s="14"/>
      <c r="M1344" s="14"/>
      <c r="N1344" s="14"/>
      <c r="O1344" s="14"/>
      <c r="P1344" s="14"/>
      <c r="Q1344" s="14"/>
    </row>
    <row r="1345" spans="2:17">
      <c r="B1345" s="14"/>
      <c r="C1345" s="14"/>
      <c r="D1345" s="14"/>
      <c r="E1345" s="14"/>
      <c r="F1345" s="14"/>
      <c r="G1345" s="14"/>
      <c r="H1345" s="14"/>
      <c r="I1345" s="14"/>
      <c r="J1345" s="14"/>
      <c r="K1345" s="14"/>
      <c r="L1345" s="14"/>
      <c r="M1345" s="14"/>
      <c r="N1345" s="14"/>
      <c r="O1345" s="14"/>
      <c r="P1345" s="14"/>
      <c r="Q1345" s="14"/>
    </row>
    <row r="1346" spans="2:17">
      <c r="B1346" s="14"/>
      <c r="C1346" s="14"/>
      <c r="D1346" s="14"/>
      <c r="E1346" s="14"/>
      <c r="F1346" s="14"/>
      <c r="G1346" s="14"/>
      <c r="H1346" s="14"/>
      <c r="I1346" s="14"/>
      <c r="J1346" s="14"/>
      <c r="K1346" s="14"/>
      <c r="L1346" s="14"/>
      <c r="M1346" s="14"/>
      <c r="N1346" s="14"/>
      <c r="O1346" s="14"/>
      <c r="P1346" s="14"/>
      <c r="Q1346" s="14"/>
    </row>
    <row r="1347" spans="2:17">
      <c r="B1347" s="14"/>
      <c r="C1347" s="14"/>
      <c r="D1347" s="14"/>
      <c r="E1347" s="14"/>
      <c r="F1347" s="14"/>
      <c r="G1347" s="14"/>
      <c r="H1347" s="14"/>
      <c r="I1347" s="14"/>
      <c r="J1347" s="14"/>
      <c r="K1347" s="14"/>
      <c r="L1347" s="14"/>
      <c r="M1347" s="14"/>
      <c r="N1347" s="14"/>
      <c r="O1347" s="14"/>
      <c r="P1347" s="14"/>
      <c r="Q1347" s="14"/>
    </row>
    <row r="1348" spans="2:17">
      <c r="B1348" s="14"/>
      <c r="C1348" s="14"/>
      <c r="D1348" s="14"/>
      <c r="E1348" s="14"/>
      <c r="F1348" s="14"/>
      <c r="G1348" s="14"/>
      <c r="H1348" s="14"/>
      <c r="I1348" s="14"/>
      <c r="J1348" s="14"/>
      <c r="K1348" s="14"/>
      <c r="L1348" s="14"/>
      <c r="M1348" s="14"/>
      <c r="N1348" s="14"/>
      <c r="O1348" s="14"/>
      <c r="P1348" s="14"/>
      <c r="Q1348" s="14"/>
    </row>
    <row r="1349" spans="2:17">
      <c r="B1349" s="14"/>
      <c r="C1349" s="14"/>
      <c r="D1349" s="14"/>
      <c r="E1349" s="14"/>
      <c r="F1349" s="14"/>
      <c r="G1349" s="14"/>
      <c r="H1349" s="14"/>
      <c r="I1349" s="14"/>
      <c r="J1349" s="14"/>
      <c r="K1349" s="14"/>
      <c r="L1349" s="14"/>
      <c r="M1349" s="14"/>
      <c r="N1349" s="14"/>
      <c r="O1349" s="14"/>
      <c r="P1349" s="14"/>
      <c r="Q1349" s="14"/>
    </row>
    <row r="1350" spans="2:17">
      <c r="B1350" s="14"/>
      <c r="C1350" s="14"/>
      <c r="D1350" s="14"/>
      <c r="E1350" s="14"/>
      <c r="F1350" s="14"/>
      <c r="G1350" s="14"/>
      <c r="H1350" s="14"/>
      <c r="I1350" s="14"/>
      <c r="J1350" s="14"/>
      <c r="K1350" s="14"/>
      <c r="L1350" s="14"/>
      <c r="M1350" s="14"/>
      <c r="N1350" s="14"/>
      <c r="O1350" s="14"/>
      <c r="P1350" s="14"/>
      <c r="Q1350" s="14"/>
    </row>
    <row r="1351" spans="2:17">
      <c r="B1351" s="14"/>
      <c r="C1351" s="14"/>
      <c r="D1351" s="14"/>
      <c r="E1351" s="14"/>
      <c r="F1351" s="14"/>
      <c r="G1351" s="14"/>
      <c r="H1351" s="14"/>
      <c r="I1351" s="14"/>
      <c r="J1351" s="14"/>
      <c r="K1351" s="14"/>
      <c r="L1351" s="14"/>
      <c r="M1351" s="14"/>
      <c r="N1351" s="14"/>
      <c r="O1351" s="14"/>
      <c r="P1351" s="14"/>
      <c r="Q1351" s="14"/>
    </row>
    <row r="1352" spans="2:17">
      <c r="B1352" s="14"/>
      <c r="C1352" s="14"/>
      <c r="D1352" s="14"/>
      <c r="E1352" s="14"/>
      <c r="F1352" s="14"/>
      <c r="G1352" s="14"/>
      <c r="H1352" s="14"/>
      <c r="I1352" s="14"/>
      <c r="J1352" s="14"/>
      <c r="K1352" s="14"/>
      <c r="L1352" s="14"/>
      <c r="M1352" s="14"/>
      <c r="N1352" s="14"/>
      <c r="O1352" s="14"/>
      <c r="P1352" s="14"/>
      <c r="Q1352" s="14"/>
    </row>
    <row r="1353" spans="2:17">
      <c r="B1353" s="14"/>
      <c r="C1353" s="14"/>
      <c r="D1353" s="14"/>
      <c r="E1353" s="14"/>
      <c r="F1353" s="14"/>
      <c r="G1353" s="14"/>
      <c r="H1353" s="14"/>
      <c r="I1353" s="14"/>
      <c r="J1353" s="14"/>
      <c r="K1353" s="14"/>
      <c r="L1353" s="14"/>
      <c r="M1353" s="14"/>
      <c r="N1353" s="14"/>
      <c r="O1353" s="14"/>
      <c r="P1353" s="14"/>
      <c r="Q1353" s="14"/>
    </row>
    <row r="1354" spans="2:17">
      <c r="B1354" s="14"/>
      <c r="C1354" s="14"/>
      <c r="D1354" s="14"/>
      <c r="E1354" s="14"/>
      <c r="F1354" s="14"/>
      <c r="G1354" s="14"/>
      <c r="H1354" s="14"/>
      <c r="I1354" s="14"/>
      <c r="J1354" s="14"/>
      <c r="K1354" s="14"/>
      <c r="L1354" s="14"/>
      <c r="M1354" s="14"/>
      <c r="N1354" s="14"/>
      <c r="O1354" s="14"/>
      <c r="P1354" s="14"/>
      <c r="Q1354" s="14"/>
    </row>
    <row r="1355" spans="2:17">
      <c r="B1355" s="14"/>
      <c r="C1355" s="14"/>
      <c r="D1355" s="14"/>
      <c r="E1355" s="14"/>
      <c r="F1355" s="14"/>
      <c r="G1355" s="14"/>
      <c r="H1355" s="14"/>
      <c r="I1355" s="14"/>
      <c r="J1355" s="14"/>
      <c r="K1355" s="14"/>
      <c r="L1355" s="14"/>
      <c r="M1355" s="14"/>
      <c r="N1355" s="14"/>
      <c r="O1355" s="14"/>
      <c r="P1355" s="14"/>
      <c r="Q1355" s="14"/>
    </row>
    <row r="1356" spans="2:17">
      <c r="B1356" s="14"/>
      <c r="C1356" s="14"/>
      <c r="D1356" s="14"/>
      <c r="E1356" s="14"/>
      <c r="F1356" s="14"/>
      <c r="G1356" s="14"/>
      <c r="H1356" s="14"/>
      <c r="I1356" s="14"/>
      <c r="J1356" s="14"/>
      <c r="K1356" s="14"/>
      <c r="L1356" s="14"/>
      <c r="M1356" s="14"/>
      <c r="N1356" s="14"/>
      <c r="O1356" s="14"/>
      <c r="P1356" s="14"/>
      <c r="Q1356" s="14"/>
    </row>
    <row r="1357" spans="2:17">
      <c r="B1357" s="14"/>
      <c r="C1357" s="14"/>
      <c r="D1357" s="14"/>
      <c r="E1357" s="14"/>
      <c r="F1357" s="14"/>
      <c r="G1357" s="14"/>
      <c r="H1357" s="14"/>
      <c r="I1357" s="14"/>
      <c r="J1357" s="14"/>
      <c r="K1357" s="14"/>
      <c r="L1357" s="14"/>
      <c r="M1357" s="14"/>
      <c r="N1357" s="14"/>
      <c r="O1357" s="14"/>
      <c r="P1357" s="14"/>
      <c r="Q1357" s="14"/>
    </row>
    <row r="1358" spans="2:17">
      <c r="B1358" s="14"/>
      <c r="C1358" s="14"/>
      <c r="D1358" s="14"/>
      <c r="E1358" s="14"/>
      <c r="F1358" s="14"/>
      <c r="G1358" s="14"/>
      <c r="H1358" s="14"/>
      <c r="I1358" s="14"/>
      <c r="J1358" s="14"/>
      <c r="K1358" s="14"/>
      <c r="L1358" s="14"/>
      <c r="M1358" s="14"/>
      <c r="N1358" s="14"/>
      <c r="O1358" s="14"/>
      <c r="P1358" s="14"/>
      <c r="Q1358" s="14"/>
    </row>
    <row r="1359" spans="2:17">
      <c r="B1359" s="14"/>
      <c r="C1359" s="14"/>
      <c r="D1359" s="14"/>
      <c r="E1359" s="14"/>
      <c r="F1359" s="14"/>
      <c r="G1359" s="14"/>
      <c r="H1359" s="14"/>
      <c r="I1359" s="14"/>
      <c r="J1359" s="14"/>
      <c r="K1359" s="14"/>
      <c r="L1359" s="14"/>
      <c r="M1359" s="14"/>
      <c r="N1359" s="14"/>
      <c r="O1359" s="14"/>
      <c r="P1359" s="14"/>
      <c r="Q1359" s="14"/>
    </row>
    <row r="1360" spans="2:17">
      <c r="B1360" s="14"/>
      <c r="C1360" s="14"/>
      <c r="D1360" s="14"/>
      <c r="E1360" s="14"/>
      <c r="F1360" s="14"/>
      <c r="G1360" s="14"/>
      <c r="H1360" s="14"/>
      <c r="I1360" s="14"/>
      <c r="J1360" s="14"/>
      <c r="K1360" s="14"/>
      <c r="L1360" s="14"/>
      <c r="M1360" s="14"/>
      <c r="N1360" s="14"/>
      <c r="O1360" s="14"/>
      <c r="P1360" s="14"/>
      <c r="Q1360" s="14"/>
    </row>
    <row r="1361" spans="2:17">
      <c r="B1361" s="14"/>
      <c r="C1361" s="14"/>
      <c r="D1361" s="14"/>
      <c r="E1361" s="14"/>
      <c r="F1361" s="14"/>
      <c r="G1361" s="14"/>
      <c r="H1361" s="14"/>
      <c r="I1361" s="14"/>
      <c r="J1361" s="14"/>
      <c r="K1361" s="14"/>
      <c r="L1361" s="14"/>
      <c r="M1361" s="14"/>
      <c r="N1361" s="14"/>
      <c r="O1361" s="14"/>
      <c r="P1361" s="14"/>
      <c r="Q1361" s="14"/>
    </row>
    <row r="1362" spans="2:17">
      <c r="B1362" s="14"/>
      <c r="C1362" s="14"/>
      <c r="D1362" s="14"/>
      <c r="E1362" s="14"/>
      <c r="F1362" s="14"/>
      <c r="G1362" s="14"/>
      <c r="H1362" s="14"/>
      <c r="I1362" s="14"/>
      <c r="J1362" s="14"/>
      <c r="K1362" s="14"/>
      <c r="L1362" s="14"/>
      <c r="M1362" s="14"/>
      <c r="N1362" s="14"/>
      <c r="O1362" s="14"/>
      <c r="P1362" s="14"/>
      <c r="Q1362" s="14"/>
    </row>
    <row r="1363" spans="2:17">
      <c r="B1363" s="14"/>
      <c r="C1363" s="14"/>
      <c r="D1363" s="14"/>
      <c r="E1363" s="14"/>
      <c r="F1363" s="14"/>
      <c r="G1363" s="14"/>
      <c r="H1363" s="14"/>
      <c r="I1363" s="14"/>
      <c r="J1363" s="14"/>
      <c r="K1363" s="14"/>
      <c r="L1363" s="14"/>
      <c r="M1363" s="14"/>
      <c r="N1363" s="14"/>
      <c r="O1363" s="14"/>
      <c r="P1363" s="14"/>
      <c r="Q1363" s="14"/>
    </row>
    <row r="1364" spans="2:17">
      <c r="B1364" s="14"/>
      <c r="C1364" s="14"/>
      <c r="D1364" s="14"/>
      <c r="E1364" s="14"/>
      <c r="F1364" s="14"/>
      <c r="G1364" s="14"/>
      <c r="H1364" s="14"/>
      <c r="I1364" s="14"/>
      <c r="J1364" s="14"/>
      <c r="K1364" s="14"/>
      <c r="L1364" s="14"/>
      <c r="M1364" s="14"/>
      <c r="N1364" s="14"/>
      <c r="O1364" s="14"/>
      <c r="P1364" s="14"/>
      <c r="Q1364" s="14"/>
    </row>
    <row r="1365" spans="2:17">
      <c r="B1365" s="14"/>
      <c r="C1365" s="14"/>
      <c r="D1365" s="14"/>
      <c r="E1365" s="14"/>
      <c r="F1365" s="14"/>
      <c r="G1365" s="14"/>
      <c r="H1365" s="14"/>
      <c r="I1365" s="14"/>
      <c r="J1365" s="14"/>
      <c r="K1365" s="14"/>
      <c r="L1365" s="14"/>
      <c r="M1365" s="14"/>
      <c r="N1365" s="14"/>
      <c r="O1365" s="14"/>
      <c r="P1365" s="14"/>
      <c r="Q1365" s="14"/>
    </row>
    <row r="1366" spans="2:17">
      <c r="B1366" s="14"/>
      <c r="C1366" s="14"/>
      <c r="D1366" s="14"/>
      <c r="E1366" s="14"/>
      <c r="F1366" s="14"/>
      <c r="G1366" s="14"/>
      <c r="H1366" s="14"/>
      <c r="I1366" s="14"/>
      <c r="J1366" s="14"/>
      <c r="K1366" s="14"/>
      <c r="L1366" s="14"/>
      <c r="M1366" s="14"/>
      <c r="N1366" s="14"/>
      <c r="O1366" s="14"/>
      <c r="P1366" s="14"/>
      <c r="Q1366" s="14"/>
    </row>
    <row r="1367" spans="2:17">
      <c r="B1367" s="14"/>
      <c r="C1367" s="14"/>
      <c r="D1367" s="14"/>
      <c r="E1367" s="14"/>
      <c r="F1367" s="14"/>
      <c r="G1367" s="14"/>
      <c r="H1367" s="14"/>
      <c r="I1367" s="14"/>
      <c r="J1367" s="14"/>
      <c r="K1367" s="14"/>
      <c r="L1367" s="14"/>
      <c r="M1367" s="14"/>
      <c r="N1367" s="14"/>
      <c r="O1367" s="14"/>
      <c r="P1367" s="14"/>
      <c r="Q1367" s="14"/>
    </row>
    <row r="1368" spans="2:17">
      <c r="B1368" s="14"/>
      <c r="C1368" s="14"/>
      <c r="D1368" s="14"/>
      <c r="E1368" s="14"/>
      <c r="F1368" s="14"/>
      <c r="G1368" s="14"/>
      <c r="H1368" s="14"/>
      <c r="I1368" s="14"/>
      <c r="J1368" s="14"/>
      <c r="K1368" s="14"/>
      <c r="L1368" s="14"/>
      <c r="M1368" s="14"/>
      <c r="N1368" s="14"/>
      <c r="O1368" s="14"/>
      <c r="P1368" s="14"/>
      <c r="Q1368" s="14"/>
    </row>
    <row r="1369" spans="2:17">
      <c r="B1369" s="14"/>
      <c r="C1369" s="14"/>
      <c r="D1369" s="14"/>
      <c r="E1369" s="14"/>
      <c r="F1369" s="14"/>
      <c r="G1369" s="14"/>
      <c r="H1369" s="14"/>
      <c r="I1369" s="14"/>
      <c r="J1369" s="14"/>
      <c r="K1369" s="14"/>
      <c r="L1369" s="14"/>
      <c r="M1369" s="14"/>
      <c r="N1369" s="14"/>
      <c r="O1369" s="14"/>
      <c r="P1369" s="14"/>
      <c r="Q1369" s="14"/>
    </row>
    <row r="1370" spans="2:17">
      <c r="B1370" s="14"/>
      <c r="C1370" s="14"/>
      <c r="D1370" s="14"/>
      <c r="E1370" s="14"/>
      <c r="F1370" s="14"/>
      <c r="G1370" s="14"/>
      <c r="H1370" s="14"/>
      <c r="I1370" s="14"/>
      <c r="J1370" s="14"/>
      <c r="K1370" s="14"/>
      <c r="L1370" s="14"/>
      <c r="M1370" s="14"/>
      <c r="N1370" s="14"/>
      <c r="O1370" s="14"/>
      <c r="P1370" s="14"/>
      <c r="Q1370" s="14"/>
    </row>
    <row r="1371" spans="2:17">
      <c r="B1371" s="14"/>
      <c r="C1371" s="14"/>
      <c r="D1371" s="14"/>
      <c r="E1371" s="14"/>
      <c r="F1371" s="14"/>
      <c r="G1371" s="14"/>
      <c r="H1371" s="14"/>
      <c r="I1371" s="14"/>
      <c r="J1371" s="14"/>
      <c r="K1371" s="14"/>
      <c r="L1371" s="14"/>
      <c r="M1371" s="14"/>
      <c r="N1371" s="14"/>
      <c r="O1371" s="14"/>
      <c r="P1371" s="14"/>
      <c r="Q1371" s="14"/>
    </row>
    <row r="1372" spans="2:17">
      <c r="B1372" s="14"/>
      <c r="C1372" s="14"/>
      <c r="D1372" s="14"/>
      <c r="E1372" s="14"/>
      <c r="F1372" s="14"/>
      <c r="G1372" s="14"/>
      <c r="H1372" s="14"/>
      <c r="I1372" s="14"/>
      <c r="J1372" s="14"/>
      <c r="K1372" s="14"/>
      <c r="L1372" s="14"/>
      <c r="M1372" s="14"/>
      <c r="N1372" s="14"/>
      <c r="O1372" s="14"/>
      <c r="P1372" s="14"/>
      <c r="Q1372" s="14"/>
    </row>
    <row r="1373" spans="2:17">
      <c r="B1373" s="14"/>
      <c r="C1373" s="14"/>
      <c r="D1373" s="14"/>
      <c r="E1373" s="14"/>
      <c r="F1373" s="14"/>
      <c r="G1373" s="14"/>
      <c r="H1373" s="14"/>
      <c r="I1373" s="14"/>
      <c r="J1373" s="14"/>
      <c r="K1373" s="14"/>
      <c r="L1373" s="14"/>
      <c r="M1373" s="14"/>
      <c r="N1373" s="14"/>
      <c r="O1373" s="14"/>
      <c r="P1373" s="14"/>
      <c r="Q1373" s="14"/>
    </row>
    <row r="1374" spans="2:17">
      <c r="B1374" s="14"/>
      <c r="C1374" s="14"/>
      <c r="D1374" s="14"/>
      <c r="E1374" s="14"/>
      <c r="F1374" s="14"/>
      <c r="G1374" s="14"/>
      <c r="H1374" s="14"/>
      <c r="I1374" s="14"/>
      <c r="J1374" s="14"/>
      <c r="K1374" s="14"/>
      <c r="L1374" s="14"/>
      <c r="M1374" s="14"/>
      <c r="N1374" s="14"/>
      <c r="O1374" s="14"/>
      <c r="P1374" s="14"/>
      <c r="Q1374" s="14"/>
    </row>
    <row r="1375" spans="2:17">
      <c r="B1375" s="14"/>
      <c r="C1375" s="14"/>
      <c r="D1375" s="14"/>
      <c r="E1375" s="14"/>
      <c r="F1375" s="14"/>
      <c r="G1375" s="14"/>
      <c r="H1375" s="14"/>
      <c r="I1375" s="14"/>
      <c r="J1375" s="14"/>
      <c r="K1375" s="14"/>
      <c r="L1375" s="14"/>
      <c r="M1375" s="14"/>
      <c r="N1375" s="14"/>
      <c r="O1375" s="14"/>
      <c r="P1375" s="14"/>
      <c r="Q1375" s="14"/>
    </row>
    <row r="1376" spans="2:17">
      <c r="B1376" s="14"/>
      <c r="C1376" s="14"/>
      <c r="D1376" s="14"/>
      <c r="E1376" s="14"/>
      <c r="F1376" s="14"/>
      <c r="G1376" s="14"/>
      <c r="H1376" s="14"/>
      <c r="I1376" s="14"/>
      <c r="J1376" s="14"/>
      <c r="K1376" s="14"/>
      <c r="L1376" s="14"/>
      <c r="M1376" s="14"/>
      <c r="N1376" s="14"/>
      <c r="O1376" s="14"/>
      <c r="P1376" s="14"/>
      <c r="Q1376" s="14"/>
    </row>
    <row r="1377" spans="2:17">
      <c r="B1377" s="14"/>
      <c r="C1377" s="14"/>
      <c r="D1377" s="14"/>
      <c r="E1377" s="14"/>
      <c r="F1377" s="14"/>
      <c r="G1377" s="14"/>
      <c r="H1377" s="14"/>
      <c r="I1377" s="14"/>
      <c r="J1377" s="14"/>
      <c r="K1377" s="14"/>
      <c r="L1377" s="14"/>
      <c r="M1377" s="14"/>
      <c r="N1377" s="14"/>
      <c r="O1377" s="14"/>
      <c r="P1377" s="14"/>
      <c r="Q1377" s="14"/>
    </row>
    <row r="1378" spans="2:17">
      <c r="B1378" s="14"/>
      <c r="C1378" s="14"/>
      <c r="D1378" s="14"/>
      <c r="E1378" s="14"/>
      <c r="F1378" s="14"/>
      <c r="G1378" s="14"/>
      <c r="H1378" s="14"/>
      <c r="I1378" s="14"/>
      <c r="J1378" s="14"/>
      <c r="K1378" s="14"/>
      <c r="L1378" s="14"/>
      <c r="M1378" s="14"/>
      <c r="N1378" s="14"/>
      <c r="O1378" s="14"/>
      <c r="P1378" s="14"/>
      <c r="Q1378" s="14"/>
    </row>
    <row r="1379" spans="2:17">
      <c r="B1379" s="14"/>
      <c r="C1379" s="14"/>
      <c r="D1379" s="14"/>
      <c r="E1379" s="14"/>
      <c r="F1379" s="14"/>
      <c r="G1379" s="14"/>
      <c r="H1379" s="14"/>
      <c r="I1379" s="14"/>
      <c r="J1379" s="14"/>
      <c r="K1379" s="14"/>
      <c r="L1379" s="14"/>
      <c r="M1379" s="14"/>
      <c r="N1379" s="14"/>
      <c r="O1379" s="14"/>
      <c r="P1379" s="14"/>
      <c r="Q1379" s="14"/>
    </row>
    <row r="1380" spans="2:17">
      <c r="B1380" s="14"/>
      <c r="C1380" s="14"/>
      <c r="D1380" s="14"/>
      <c r="E1380" s="14"/>
      <c r="F1380" s="14"/>
      <c r="G1380" s="14"/>
      <c r="H1380" s="14"/>
      <c r="I1380" s="14"/>
      <c r="J1380" s="14"/>
      <c r="K1380" s="14"/>
      <c r="L1380" s="14"/>
      <c r="M1380" s="14"/>
      <c r="N1380" s="14"/>
      <c r="O1380" s="14"/>
      <c r="P1380" s="14"/>
      <c r="Q1380" s="14"/>
    </row>
    <row r="1381" spans="2:17">
      <c r="B1381" s="14"/>
      <c r="C1381" s="14"/>
      <c r="D1381" s="14"/>
      <c r="E1381" s="14"/>
      <c r="F1381" s="14"/>
      <c r="G1381" s="14"/>
      <c r="H1381" s="14"/>
      <c r="I1381" s="14"/>
      <c r="J1381" s="14"/>
      <c r="K1381" s="14"/>
      <c r="L1381" s="14"/>
      <c r="M1381" s="14"/>
      <c r="N1381" s="14"/>
      <c r="O1381" s="14"/>
      <c r="P1381" s="14"/>
      <c r="Q1381" s="14"/>
    </row>
    <row r="1382" spans="2:17">
      <c r="B1382" s="14"/>
      <c r="C1382" s="14"/>
      <c r="D1382" s="14"/>
      <c r="E1382" s="14"/>
      <c r="F1382" s="14"/>
      <c r="G1382" s="14"/>
      <c r="H1382" s="14"/>
      <c r="I1382" s="14"/>
      <c r="J1382" s="14"/>
      <c r="K1382" s="14"/>
      <c r="L1382" s="14"/>
      <c r="M1382" s="14"/>
      <c r="N1382" s="14"/>
      <c r="O1382" s="14"/>
      <c r="P1382" s="14"/>
      <c r="Q1382" s="14"/>
    </row>
    <row r="1383" spans="2:17">
      <c r="B1383" s="14"/>
      <c r="C1383" s="14"/>
      <c r="D1383" s="14"/>
      <c r="E1383" s="14"/>
      <c r="F1383" s="14"/>
      <c r="G1383" s="14"/>
      <c r="H1383" s="14"/>
      <c r="I1383" s="14"/>
      <c r="J1383" s="14"/>
      <c r="K1383" s="14"/>
      <c r="L1383" s="14"/>
      <c r="M1383" s="14"/>
      <c r="N1383" s="14"/>
      <c r="O1383" s="14"/>
      <c r="P1383" s="14"/>
      <c r="Q1383" s="14"/>
    </row>
    <row r="1384" spans="2:17">
      <c r="B1384" s="14"/>
      <c r="C1384" s="14"/>
      <c r="D1384" s="14"/>
      <c r="E1384" s="14"/>
      <c r="F1384" s="14"/>
      <c r="G1384" s="14"/>
      <c r="H1384" s="14"/>
      <c r="I1384" s="14"/>
      <c r="J1384" s="14"/>
      <c r="K1384" s="14"/>
      <c r="L1384" s="14"/>
      <c r="M1384" s="14"/>
      <c r="N1384" s="14"/>
      <c r="O1384" s="14"/>
      <c r="P1384" s="14"/>
      <c r="Q1384" s="14"/>
    </row>
    <row r="1385" spans="2:17">
      <c r="B1385" s="14"/>
      <c r="C1385" s="14"/>
      <c r="D1385" s="14"/>
      <c r="E1385" s="14"/>
      <c r="F1385" s="14"/>
      <c r="G1385" s="14"/>
      <c r="H1385" s="14"/>
      <c r="I1385" s="14"/>
      <c r="J1385" s="14"/>
      <c r="K1385" s="14"/>
      <c r="L1385" s="14"/>
      <c r="M1385" s="14"/>
      <c r="N1385" s="14"/>
      <c r="O1385" s="14"/>
      <c r="P1385" s="14"/>
      <c r="Q1385" s="14"/>
    </row>
    <row r="1386" spans="2:17">
      <c r="B1386" s="14"/>
      <c r="C1386" s="14"/>
      <c r="D1386" s="14"/>
      <c r="E1386" s="14"/>
      <c r="F1386" s="14"/>
      <c r="G1386" s="14"/>
      <c r="H1386" s="14"/>
      <c r="I1386" s="14"/>
      <c r="J1386" s="14"/>
      <c r="K1386" s="14"/>
      <c r="L1386" s="14"/>
      <c r="M1386" s="14"/>
      <c r="N1386" s="14"/>
      <c r="O1386" s="14"/>
      <c r="P1386" s="14"/>
      <c r="Q1386" s="14"/>
    </row>
    <row r="1387" spans="2:17">
      <c r="B1387" s="14"/>
      <c r="C1387" s="14"/>
      <c r="D1387" s="14"/>
      <c r="E1387" s="14"/>
      <c r="F1387" s="14"/>
      <c r="G1387" s="14"/>
      <c r="H1387" s="14"/>
      <c r="I1387" s="14"/>
      <c r="J1387" s="14"/>
      <c r="K1387" s="14"/>
      <c r="L1387" s="14"/>
      <c r="M1387" s="14"/>
      <c r="N1387" s="14"/>
      <c r="O1387" s="14"/>
      <c r="P1387" s="14"/>
      <c r="Q1387" s="14"/>
    </row>
    <row r="1388" spans="2:17">
      <c r="B1388" s="14"/>
      <c r="C1388" s="14"/>
      <c r="D1388" s="14"/>
      <c r="E1388" s="14"/>
      <c r="F1388" s="14"/>
      <c r="G1388" s="14"/>
      <c r="H1388" s="14"/>
      <c r="I1388" s="14"/>
      <c r="J1388" s="14"/>
      <c r="K1388" s="14"/>
      <c r="L1388" s="14"/>
      <c r="M1388" s="14"/>
      <c r="N1388" s="14"/>
      <c r="O1388" s="14"/>
      <c r="P1388" s="14"/>
      <c r="Q1388" s="14"/>
    </row>
    <row r="1389" spans="2:17">
      <c r="B1389" s="14"/>
      <c r="C1389" s="14"/>
      <c r="D1389" s="14"/>
      <c r="E1389" s="14"/>
      <c r="F1389" s="14"/>
      <c r="G1389" s="14"/>
      <c r="H1389" s="14"/>
      <c r="I1389" s="14"/>
      <c r="J1389" s="14"/>
      <c r="K1389" s="14"/>
      <c r="L1389" s="14"/>
      <c r="M1389" s="14"/>
      <c r="N1389" s="14"/>
      <c r="O1389" s="14"/>
      <c r="P1389" s="14"/>
      <c r="Q1389" s="14"/>
    </row>
    <row r="1390" spans="2:17">
      <c r="B1390" s="14"/>
      <c r="C1390" s="14"/>
      <c r="D1390" s="14"/>
      <c r="E1390" s="14"/>
      <c r="F1390" s="14"/>
      <c r="G1390" s="14"/>
      <c r="H1390" s="14"/>
      <c r="I1390" s="14"/>
      <c r="J1390" s="14"/>
      <c r="K1390" s="14"/>
      <c r="L1390" s="14"/>
      <c r="M1390" s="14"/>
      <c r="N1390" s="14"/>
      <c r="O1390" s="14"/>
      <c r="P1390" s="14"/>
      <c r="Q1390" s="14"/>
    </row>
    <row r="1391" spans="2:17">
      <c r="B1391" s="14"/>
      <c r="C1391" s="14"/>
      <c r="D1391" s="14"/>
      <c r="E1391" s="14"/>
      <c r="F1391" s="14"/>
      <c r="G1391" s="14"/>
      <c r="H1391" s="14"/>
      <c r="I1391" s="14"/>
      <c r="J1391" s="14"/>
      <c r="K1391" s="14"/>
      <c r="L1391" s="14"/>
      <c r="M1391" s="14"/>
      <c r="N1391" s="14"/>
      <c r="O1391" s="14"/>
      <c r="P1391" s="14"/>
      <c r="Q1391" s="14"/>
    </row>
    <row r="1392" spans="2:17">
      <c r="B1392" s="14"/>
      <c r="C1392" s="14"/>
      <c r="D1392" s="14"/>
      <c r="E1392" s="14"/>
      <c r="F1392" s="14"/>
      <c r="G1392" s="14"/>
      <c r="H1392" s="14"/>
      <c r="I1392" s="14"/>
      <c r="J1392" s="14"/>
      <c r="K1392" s="14"/>
      <c r="L1392" s="14"/>
      <c r="M1392" s="14"/>
      <c r="N1392" s="14"/>
      <c r="O1392" s="14"/>
      <c r="P1392" s="14"/>
      <c r="Q1392" s="14"/>
    </row>
    <row r="1393" spans="2:17">
      <c r="B1393" s="14"/>
      <c r="C1393" s="14"/>
      <c r="D1393" s="14"/>
      <c r="E1393" s="14"/>
      <c r="F1393" s="14"/>
      <c r="G1393" s="14"/>
      <c r="H1393" s="14"/>
      <c r="I1393" s="14"/>
      <c r="J1393" s="14"/>
      <c r="K1393" s="14"/>
      <c r="L1393" s="14"/>
      <c r="M1393" s="14"/>
      <c r="N1393" s="14"/>
      <c r="O1393" s="14"/>
      <c r="P1393" s="14"/>
      <c r="Q1393" s="14"/>
    </row>
    <row r="1394" spans="2:17">
      <c r="B1394" s="14"/>
      <c r="C1394" s="14"/>
      <c r="D1394" s="14"/>
      <c r="E1394" s="14"/>
      <c r="F1394" s="14"/>
      <c r="G1394" s="14"/>
      <c r="H1394" s="14"/>
      <c r="I1394" s="14"/>
      <c r="J1394" s="14"/>
      <c r="K1394" s="14"/>
      <c r="L1394" s="14"/>
      <c r="M1394" s="14"/>
      <c r="N1394" s="14"/>
      <c r="O1394" s="14"/>
      <c r="P1394" s="14"/>
      <c r="Q1394" s="14"/>
    </row>
    <row r="1395" spans="2:17">
      <c r="B1395" s="14"/>
      <c r="C1395" s="14"/>
      <c r="D1395" s="14"/>
      <c r="E1395" s="14"/>
      <c r="F1395" s="14"/>
      <c r="G1395" s="14"/>
      <c r="H1395" s="14"/>
      <c r="I1395" s="14"/>
      <c r="J1395" s="14"/>
      <c r="K1395" s="14"/>
      <c r="L1395" s="14"/>
      <c r="M1395" s="14"/>
      <c r="N1395" s="14"/>
      <c r="O1395" s="14"/>
      <c r="P1395" s="14"/>
      <c r="Q1395" s="14"/>
    </row>
    <row r="1396" spans="2:17">
      <c r="B1396" s="14"/>
      <c r="C1396" s="14"/>
      <c r="D1396" s="14"/>
      <c r="E1396" s="14"/>
      <c r="F1396" s="14"/>
      <c r="G1396" s="14"/>
      <c r="H1396" s="14"/>
      <c r="I1396" s="14"/>
      <c r="J1396" s="14"/>
      <c r="K1396" s="14"/>
      <c r="L1396" s="14"/>
      <c r="M1396" s="14"/>
      <c r="N1396" s="14"/>
      <c r="O1396" s="14"/>
      <c r="P1396" s="14"/>
      <c r="Q1396" s="14"/>
    </row>
    <row r="1397" spans="2:17">
      <c r="B1397" s="14"/>
      <c r="C1397" s="14"/>
      <c r="D1397" s="14"/>
      <c r="E1397" s="14"/>
      <c r="F1397" s="14"/>
      <c r="G1397" s="14"/>
      <c r="H1397" s="14"/>
      <c r="I1397" s="14"/>
      <c r="J1397" s="14"/>
      <c r="K1397" s="14"/>
      <c r="L1397" s="14"/>
      <c r="M1397" s="14"/>
      <c r="N1397" s="14"/>
      <c r="O1397" s="14"/>
      <c r="P1397" s="14"/>
      <c r="Q1397" s="14"/>
    </row>
    <row r="1398" spans="2:17">
      <c r="B1398" s="14"/>
      <c r="C1398" s="14"/>
      <c r="D1398" s="14"/>
      <c r="E1398" s="14"/>
      <c r="F1398" s="14"/>
      <c r="G1398" s="14"/>
      <c r="H1398" s="14"/>
      <c r="I1398" s="14"/>
      <c r="J1398" s="14"/>
      <c r="K1398" s="14"/>
      <c r="L1398" s="14"/>
      <c r="M1398" s="14"/>
      <c r="N1398" s="14"/>
      <c r="O1398" s="14"/>
      <c r="P1398" s="14"/>
      <c r="Q1398" s="14"/>
    </row>
    <row r="1399" spans="2:17">
      <c r="B1399" s="14"/>
      <c r="C1399" s="14"/>
      <c r="D1399" s="14"/>
      <c r="E1399" s="14"/>
      <c r="F1399" s="14"/>
      <c r="G1399" s="14"/>
      <c r="H1399" s="14"/>
      <c r="I1399" s="14"/>
      <c r="J1399" s="14"/>
      <c r="K1399" s="14"/>
      <c r="L1399" s="14"/>
      <c r="M1399" s="14"/>
      <c r="N1399" s="14"/>
      <c r="O1399" s="14"/>
      <c r="P1399" s="14"/>
      <c r="Q1399" s="14"/>
    </row>
    <row r="1400" spans="2:17">
      <c r="B1400" s="14"/>
      <c r="C1400" s="14"/>
      <c r="D1400" s="14"/>
      <c r="E1400" s="14"/>
      <c r="F1400" s="14"/>
      <c r="G1400" s="14"/>
      <c r="H1400" s="14"/>
      <c r="I1400" s="14"/>
      <c r="J1400" s="14"/>
      <c r="K1400" s="14"/>
      <c r="L1400" s="14"/>
      <c r="M1400" s="14"/>
      <c r="N1400" s="14"/>
      <c r="O1400" s="14"/>
      <c r="P1400" s="14"/>
      <c r="Q1400" s="14"/>
    </row>
    <row r="1401" spans="2:17">
      <c r="B1401" s="14"/>
      <c r="C1401" s="14"/>
      <c r="D1401" s="14"/>
      <c r="E1401" s="14"/>
      <c r="F1401" s="14"/>
      <c r="G1401" s="14"/>
      <c r="H1401" s="14"/>
      <c r="I1401" s="14"/>
      <c r="J1401" s="14"/>
      <c r="K1401" s="14"/>
      <c r="L1401" s="14"/>
      <c r="M1401" s="14"/>
      <c r="N1401" s="14"/>
      <c r="O1401" s="14"/>
      <c r="P1401" s="14"/>
      <c r="Q1401" s="14"/>
    </row>
    <row r="1402" spans="2:17">
      <c r="B1402" s="14"/>
      <c r="C1402" s="14"/>
      <c r="D1402" s="14"/>
      <c r="E1402" s="14"/>
      <c r="F1402" s="14"/>
      <c r="G1402" s="14"/>
      <c r="H1402" s="14"/>
      <c r="I1402" s="14"/>
      <c r="J1402" s="14"/>
      <c r="K1402" s="14"/>
      <c r="L1402" s="14"/>
      <c r="M1402" s="14"/>
      <c r="N1402" s="14"/>
      <c r="O1402" s="14"/>
      <c r="P1402" s="14"/>
      <c r="Q1402" s="14"/>
    </row>
    <row r="1403" spans="2:17">
      <c r="B1403" s="14"/>
      <c r="C1403" s="14"/>
      <c r="D1403" s="14"/>
      <c r="E1403" s="14"/>
      <c r="F1403" s="14"/>
      <c r="G1403" s="14"/>
      <c r="H1403" s="14"/>
      <c r="I1403" s="14"/>
      <c r="J1403" s="14"/>
      <c r="K1403" s="14"/>
      <c r="L1403" s="14"/>
      <c r="M1403" s="14"/>
      <c r="N1403" s="14"/>
      <c r="O1403" s="14"/>
      <c r="P1403" s="14"/>
      <c r="Q1403" s="14"/>
    </row>
    <row r="1404" spans="2:17">
      <c r="B1404" s="14"/>
      <c r="C1404" s="14"/>
      <c r="D1404" s="14"/>
      <c r="E1404" s="14"/>
      <c r="F1404" s="14"/>
      <c r="G1404" s="14"/>
      <c r="H1404" s="14"/>
      <c r="I1404" s="14"/>
      <c r="J1404" s="14"/>
      <c r="K1404" s="14"/>
      <c r="L1404" s="14"/>
      <c r="M1404" s="14"/>
      <c r="N1404" s="14"/>
      <c r="O1404" s="14"/>
      <c r="P1404" s="14"/>
      <c r="Q1404" s="14"/>
    </row>
    <row r="1405" spans="2:17">
      <c r="B1405" s="14"/>
      <c r="C1405" s="14"/>
      <c r="D1405" s="14"/>
      <c r="E1405" s="14"/>
      <c r="F1405" s="14"/>
      <c r="G1405" s="14"/>
      <c r="H1405" s="14"/>
      <c r="I1405" s="14"/>
      <c r="J1405" s="14"/>
      <c r="K1405" s="14"/>
      <c r="L1405" s="14"/>
      <c r="M1405" s="14"/>
      <c r="N1405" s="14"/>
      <c r="O1405" s="14"/>
      <c r="P1405" s="14"/>
      <c r="Q1405" s="14"/>
    </row>
    <row r="1406" spans="2:17">
      <c r="B1406" s="14"/>
      <c r="C1406" s="14"/>
      <c r="D1406" s="14"/>
      <c r="E1406" s="14"/>
      <c r="F1406" s="14"/>
      <c r="G1406" s="14"/>
      <c r="H1406" s="14"/>
      <c r="I1406" s="14"/>
      <c r="J1406" s="14"/>
      <c r="K1406" s="14"/>
      <c r="L1406" s="14"/>
      <c r="M1406" s="14"/>
      <c r="N1406" s="14"/>
      <c r="O1406" s="14"/>
      <c r="P1406" s="14"/>
      <c r="Q1406" s="14"/>
    </row>
    <row r="1407" spans="2:17">
      <c r="B1407" s="14"/>
      <c r="C1407" s="14"/>
      <c r="D1407" s="14"/>
      <c r="E1407" s="14"/>
      <c r="F1407" s="14"/>
      <c r="G1407" s="14"/>
      <c r="H1407" s="14"/>
      <c r="I1407" s="14"/>
      <c r="J1407" s="14"/>
      <c r="K1407" s="14"/>
      <c r="L1407" s="14"/>
      <c r="M1407" s="14"/>
      <c r="N1407" s="14"/>
      <c r="O1407" s="14"/>
      <c r="P1407" s="14"/>
      <c r="Q1407" s="14"/>
    </row>
    <row r="1408" spans="2:17">
      <c r="B1408" s="14"/>
      <c r="C1408" s="14"/>
      <c r="D1408" s="14"/>
      <c r="E1408" s="14"/>
      <c r="F1408" s="14"/>
      <c r="G1408" s="14"/>
      <c r="H1408" s="14"/>
      <c r="I1408" s="14"/>
      <c r="J1408" s="14"/>
      <c r="K1408" s="14"/>
      <c r="L1408" s="14"/>
      <c r="M1408" s="14"/>
      <c r="N1408" s="14"/>
      <c r="O1408" s="14"/>
      <c r="P1408" s="14"/>
      <c r="Q1408" s="14"/>
    </row>
    <row r="1409" spans="2:17">
      <c r="B1409" s="14"/>
      <c r="C1409" s="14"/>
      <c r="D1409" s="14"/>
      <c r="E1409" s="14"/>
      <c r="F1409" s="14"/>
      <c r="G1409" s="14"/>
      <c r="H1409" s="14"/>
      <c r="I1409" s="14"/>
      <c r="J1409" s="14"/>
      <c r="K1409" s="14"/>
      <c r="L1409" s="14"/>
      <c r="M1409" s="14"/>
      <c r="N1409" s="14"/>
      <c r="O1409" s="14"/>
      <c r="P1409" s="14"/>
      <c r="Q1409" s="14"/>
    </row>
    <row r="1410" spans="2:17">
      <c r="B1410" s="14"/>
      <c r="C1410" s="14"/>
      <c r="D1410" s="14"/>
      <c r="E1410" s="14"/>
      <c r="F1410" s="14"/>
      <c r="G1410" s="14"/>
      <c r="H1410" s="14"/>
      <c r="I1410" s="14"/>
      <c r="J1410" s="14"/>
      <c r="K1410" s="14"/>
      <c r="L1410" s="14"/>
      <c r="M1410" s="14"/>
      <c r="N1410" s="14"/>
      <c r="O1410" s="14"/>
      <c r="P1410" s="14"/>
      <c r="Q1410" s="14"/>
    </row>
    <row r="1411" spans="2:17">
      <c r="B1411" s="14"/>
      <c r="C1411" s="14"/>
      <c r="D1411" s="14"/>
      <c r="E1411" s="14"/>
      <c r="F1411" s="14"/>
      <c r="G1411" s="14"/>
      <c r="H1411" s="14"/>
      <c r="I1411" s="14"/>
      <c r="J1411" s="14"/>
      <c r="K1411" s="14"/>
      <c r="L1411" s="14"/>
      <c r="M1411" s="14"/>
      <c r="N1411" s="14"/>
      <c r="O1411" s="14"/>
      <c r="P1411" s="14"/>
      <c r="Q1411" s="14"/>
    </row>
    <row r="1412" spans="2:17">
      <c r="B1412" s="14"/>
      <c r="C1412" s="14"/>
      <c r="D1412" s="14"/>
      <c r="E1412" s="14"/>
      <c r="F1412" s="14"/>
      <c r="G1412" s="14"/>
      <c r="H1412" s="14"/>
      <c r="I1412" s="14"/>
      <c r="J1412" s="14"/>
      <c r="K1412" s="14"/>
      <c r="L1412" s="14"/>
      <c r="M1412" s="14"/>
      <c r="N1412" s="14"/>
      <c r="O1412" s="14"/>
      <c r="P1412" s="14"/>
      <c r="Q1412" s="14"/>
    </row>
    <row r="1413" spans="2:17">
      <c r="B1413" s="14"/>
      <c r="C1413" s="14"/>
      <c r="D1413" s="14"/>
      <c r="E1413" s="14"/>
      <c r="F1413" s="14"/>
      <c r="G1413" s="14"/>
      <c r="H1413" s="14"/>
      <c r="I1413" s="14"/>
      <c r="J1413" s="14"/>
      <c r="K1413" s="14"/>
      <c r="L1413" s="14"/>
      <c r="M1413" s="14"/>
      <c r="N1413" s="14"/>
      <c r="O1413" s="14"/>
      <c r="P1413" s="14"/>
      <c r="Q1413" s="14"/>
    </row>
    <row r="1414" spans="2:17">
      <c r="B1414" s="14"/>
      <c r="C1414" s="14"/>
      <c r="D1414" s="14"/>
      <c r="E1414" s="14"/>
      <c r="F1414" s="14"/>
      <c r="G1414" s="14"/>
      <c r="H1414" s="14"/>
      <c r="I1414" s="14"/>
      <c r="J1414" s="14"/>
      <c r="K1414" s="14"/>
      <c r="L1414" s="14"/>
      <c r="M1414" s="14"/>
      <c r="N1414" s="14"/>
      <c r="O1414" s="14"/>
      <c r="P1414" s="14"/>
      <c r="Q1414" s="14"/>
    </row>
    <row r="1415" spans="2:17">
      <c r="B1415" s="14"/>
      <c r="C1415" s="14"/>
      <c r="D1415" s="14"/>
      <c r="E1415" s="14"/>
      <c r="F1415" s="14"/>
      <c r="G1415" s="14"/>
      <c r="H1415" s="14"/>
      <c r="I1415" s="14"/>
      <c r="J1415" s="14"/>
      <c r="K1415" s="14"/>
      <c r="L1415" s="14"/>
      <c r="M1415" s="14"/>
      <c r="N1415" s="14"/>
      <c r="O1415" s="14"/>
      <c r="P1415" s="14"/>
      <c r="Q1415" s="14"/>
    </row>
    <row r="1416" spans="2:17">
      <c r="B1416" s="14"/>
      <c r="C1416" s="14"/>
      <c r="D1416" s="14"/>
      <c r="E1416" s="14"/>
      <c r="F1416" s="14"/>
      <c r="G1416" s="14"/>
      <c r="H1416" s="14"/>
      <c r="I1416" s="14"/>
      <c r="J1416" s="14"/>
      <c r="K1416" s="14"/>
      <c r="L1416" s="14"/>
      <c r="M1416" s="14"/>
      <c r="N1416" s="14"/>
      <c r="O1416" s="14"/>
      <c r="P1416" s="14"/>
      <c r="Q1416" s="14"/>
    </row>
    <row r="1417" spans="2:17">
      <c r="B1417" s="14"/>
      <c r="C1417" s="14"/>
      <c r="D1417" s="14"/>
      <c r="E1417" s="14"/>
      <c r="F1417" s="14"/>
      <c r="G1417" s="14"/>
      <c r="H1417" s="14"/>
      <c r="I1417" s="14"/>
      <c r="J1417" s="14"/>
      <c r="K1417" s="14"/>
      <c r="L1417" s="14"/>
      <c r="M1417" s="14"/>
      <c r="N1417" s="14"/>
      <c r="O1417" s="14"/>
      <c r="P1417" s="14"/>
      <c r="Q1417" s="14"/>
    </row>
    <row r="1418" spans="2:17">
      <c r="B1418" s="14"/>
      <c r="C1418" s="14"/>
      <c r="D1418" s="14"/>
      <c r="E1418" s="14"/>
      <c r="F1418" s="14"/>
      <c r="G1418" s="14"/>
      <c r="H1418" s="14"/>
      <c r="I1418" s="14"/>
      <c r="J1418" s="14"/>
      <c r="K1418" s="14"/>
      <c r="L1418" s="14"/>
      <c r="M1418" s="14"/>
      <c r="N1418" s="14"/>
      <c r="O1418" s="14"/>
      <c r="P1418" s="14"/>
      <c r="Q1418" s="14"/>
    </row>
    <row r="1419" spans="2:17">
      <c r="B1419" s="14"/>
      <c r="C1419" s="14"/>
      <c r="D1419" s="14"/>
      <c r="E1419" s="14"/>
      <c r="F1419" s="14"/>
      <c r="G1419" s="14"/>
      <c r="H1419" s="14"/>
      <c r="I1419" s="14"/>
      <c r="J1419" s="14"/>
      <c r="K1419" s="14"/>
      <c r="L1419" s="14"/>
      <c r="M1419" s="14"/>
      <c r="N1419" s="14"/>
      <c r="O1419" s="14"/>
      <c r="P1419" s="14"/>
      <c r="Q1419" s="14"/>
    </row>
    <row r="1420" spans="2:17">
      <c r="B1420" s="14"/>
      <c r="C1420" s="14"/>
      <c r="D1420" s="14"/>
      <c r="E1420" s="14"/>
      <c r="F1420" s="14"/>
      <c r="G1420" s="14"/>
      <c r="H1420" s="14"/>
      <c r="I1420" s="14"/>
      <c r="J1420" s="14"/>
      <c r="K1420" s="14"/>
      <c r="L1420" s="14"/>
      <c r="M1420" s="14"/>
      <c r="N1420" s="14"/>
      <c r="O1420" s="14"/>
      <c r="P1420" s="14"/>
      <c r="Q1420" s="14"/>
    </row>
    <row r="1421" spans="2:17">
      <c r="B1421" s="14"/>
      <c r="C1421" s="14"/>
      <c r="D1421" s="14"/>
      <c r="E1421" s="14"/>
      <c r="F1421" s="14"/>
      <c r="G1421" s="14"/>
      <c r="H1421" s="14"/>
      <c r="I1421" s="14"/>
      <c r="J1421" s="14"/>
      <c r="K1421" s="14"/>
      <c r="L1421" s="14"/>
      <c r="M1421" s="14"/>
      <c r="N1421" s="14"/>
      <c r="O1421" s="14"/>
      <c r="P1421" s="14"/>
      <c r="Q1421" s="14"/>
    </row>
    <row r="1422" spans="2:17">
      <c r="B1422" s="14"/>
      <c r="C1422" s="14"/>
      <c r="D1422" s="14"/>
      <c r="E1422" s="14"/>
      <c r="F1422" s="14"/>
      <c r="G1422" s="14"/>
      <c r="H1422" s="14"/>
      <c r="I1422" s="14"/>
      <c r="J1422" s="14"/>
      <c r="K1422" s="14"/>
      <c r="L1422" s="14"/>
      <c r="M1422" s="14"/>
      <c r="N1422" s="14"/>
      <c r="O1422" s="14"/>
      <c r="P1422" s="14"/>
      <c r="Q1422" s="14"/>
    </row>
    <row r="1423" spans="2:17">
      <c r="B1423" s="14"/>
      <c r="C1423" s="14"/>
      <c r="D1423" s="14"/>
      <c r="E1423" s="14"/>
      <c r="F1423" s="14"/>
      <c r="G1423" s="14"/>
      <c r="H1423" s="14"/>
      <c r="I1423" s="14"/>
      <c r="J1423" s="14"/>
      <c r="K1423" s="14"/>
      <c r="L1423" s="14"/>
      <c r="M1423" s="14"/>
      <c r="N1423" s="14"/>
      <c r="O1423" s="14"/>
      <c r="P1423" s="14"/>
      <c r="Q1423" s="14"/>
    </row>
    <row r="1424" spans="2:17">
      <c r="B1424" s="14"/>
      <c r="C1424" s="14"/>
      <c r="D1424" s="14"/>
      <c r="E1424" s="14"/>
      <c r="F1424" s="14"/>
      <c r="G1424" s="14"/>
      <c r="H1424" s="14"/>
      <c r="I1424" s="14"/>
      <c r="J1424" s="14"/>
      <c r="K1424" s="14"/>
      <c r="L1424" s="14"/>
      <c r="M1424" s="14"/>
      <c r="N1424" s="14"/>
      <c r="O1424" s="14"/>
      <c r="P1424" s="14"/>
      <c r="Q1424" s="14"/>
    </row>
    <row r="1425" spans="2:17">
      <c r="B1425" s="14"/>
      <c r="C1425" s="14"/>
      <c r="D1425" s="14"/>
      <c r="E1425" s="14"/>
      <c r="F1425" s="14"/>
      <c r="G1425" s="14"/>
      <c r="H1425" s="14"/>
      <c r="I1425" s="14"/>
      <c r="J1425" s="14"/>
      <c r="K1425" s="14"/>
      <c r="L1425" s="14"/>
      <c r="M1425" s="14"/>
      <c r="N1425" s="14"/>
      <c r="O1425" s="14"/>
      <c r="P1425" s="14"/>
      <c r="Q1425" s="14"/>
    </row>
    <row r="1426" spans="2:17">
      <c r="B1426" s="14"/>
      <c r="C1426" s="14"/>
      <c r="D1426" s="14"/>
      <c r="E1426" s="14"/>
      <c r="F1426" s="14"/>
      <c r="G1426" s="14"/>
      <c r="H1426" s="14"/>
      <c r="I1426" s="14"/>
      <c r="J1426" s="14"/>
      <c r="K1426" s="14"/>
      <c r="L1426" s="14"/>
      <c r="M1426" s="14"/>
      <c r="N1426" s="14"/>
      <c r="O1426" s="14"/>
      <c r="P1426" s="14"/>
      <c r="Q1426" s="14"/>
    </row>
    <row r="1427" spans="2:17">
      <c r="B1427" s="14"/>
      <c r="C1427" s="14"/>
      <c r="D1427" s="14"/>
      <c r="E1427" s="14"/>
      <c r="F1427" s="14"/>
      <c r="G1427" s="14"/>
      <c r="H1427" s="14"/>
      <c r="I1427" s="14"/>
      <c r="J1427" s="14"/>
      <c r="K1427" s="14"/>
      <c r="L1427" s="14"/>
      <c r="M1427" s="14"/>
      <c r="N1427" s="14"/>
      <c r="O1427" s="14"/>
      <c r="P1427" s="14"/>
      <c r="Q1427" s="14"/>
    </row>
    <row r="1428" spans="2:17">
      <c r="B1428" s="14"/>
      <c r="C1428" s="14"/>
      <c r="D1428" s="14"/>
      <c r="E1428" s="14"/>
      <c r="F1428" s="14"/>
      <c r="G1428" s="14"/>
      <c r="H1428" s="14"/>
      <c r="I1428" s="14"/>
      <c r="J1428" s="14"/>
      <c r="K1428" s="14"/>
      <c r="L1428" s="14"/>
      <c r="M1428" s="14"/>
      <c r="N1428" s="14"/>
      <c r="O1428" s="14"/>
      <c r="P1428" s="14"/>
      <c r="Q1428" s="14"/>
    </row>
    <row r="1429" spans="2:17">
      <c r="B1429" s="14"/>
      <c r="C1429" s="14"/>
      <c r="D1429" s="14"/>
      <c r="E1429" s="14"/>
      <c r="F1429" s="14"/>
      <c r="G1429" s="14"/>
      <c r="H1429" s="14"/>
      <c r="I1429" s="14"/>
      <c r="J1429" s="14"/>
      <c r="K1429" s="14"/>
      <c r="L1429" s="14"/>
      <c r="M1429" s="14"/>
      <c r="N1429" s="14"/>
      <c r="O1429" s="14"/>
      <c r="P1429" s="14"/>
      <c r="Q1429" s="14"/>
    </row>
    <row r="1430" spans="2:17">
      <c r="B1430" s="14"/>
      <c r="C1430" s="14"/>
      <c r="D1430" s="14"/>
      <c r="E1430" s="14"/>
      <c r="F1430" s="14"/>
      <c r="G1430" s="14"/>
      <c r="H1430" s="14"/>
      <c r="I1430" s="14"/>
      <c r="J1430" s="14"/>
      <c r="K1430" s="14"/>
      <c r="L1430" s="14"/>
      <c r="M1430" s="14"/>
      <c r="N1430" s="14"/>
      <c r="O1430" s="14"/>
      <c r="P1430" s="14"/>
      <c r="Q1430" s="14"/>
    </row>
    <row r="1431" spans="2:17">
      <c r="B1431" s="14"/>
      <c r="C1431" s="14"/>
      <c r="D1431" s="14"/>
      <c r="E1431" s="14"/>
      <c r="F1431" s="14"/>
      <c r="G1431" s="14"/>
      <c r="H1431" s="14"/>
      <c r="I1431" s="14"/>
      <c r="J1431" s="14"/>
      <c r="K1431" s="14"/>
      <c r="L1431" s="14"/>
      <c r="M1431" s="14"/>
      <c r="N1431" s="14"/>
      <c r="O1431" s="14"/>
      <c r="P1431" s="14"/>
      <c r="Q1431" s="14"/>
    </row>
    <row r="1432" spans="2:17">
      <c r="B1432" s="14"/>
      <c r="C1432" s="14"/>
      <c r="D1432" s="14"/>
      <c r="E1432" s="14"/>
      <c r="F1432" s="14"/>
      <c r="G1432" s="14"/>
      <c r="H1432" s="14"/>
      <c r="I1432" s="14"/>
      <c r="J1432" s="14"/>
      <c r="K1432" s="14"/>
      <c r="L1432" s="14"/>
      <c r="M1432" s="14"/>
      <c r="N1432" s="14"/>
      <c r="O1432" s="14"/>
      <c r="P1432" s="14"/>
      <c r="Q1432" s="14"/>
    </row>
    <row r="1433" spans="2:17">
      <c r="B1433" s="14"/>
      <c r="C1433" s="14"/>
      <c r="D1433" s="14"/>
      <c r="E1433" s="14"/>
      <c r="F1433" s="14"/>
      <c r="G1433" s="14"/>
      <c r="H1433" s="14"/>
      <c r="I1433" s="14"/>
      <c r="J1433" s="14"/>
      <c r="K1433" s="14"/>
      <c r="L1433" s="14"/>
      <c r="M1433" s="14"/>
      <c r="N1433" s="14"/>
      <c r="O1433" s="14"/>
      <c r="P1433" s="14"/>
      <c r="Q1433" s="14"/>
    </row>
    <row r="1434" spans="2:17">
      <c r="B1434" s="14"/>
      <c r="C1434" s="14"/>
      <c r="D1434" s="14"/>
      <c r="E1434" s="14"/>
      <c r="F1434" s="14"/>
      <c r="G1434" s="14"/>
      <c r="H1434" s="14"/>
      <c r="I1434" s="14"/>
      <c r="J1434" s="14"/>
      <c r="K1434" s="14"/>
      <c r="L1434" s="14"/>
      <c r="M1434" s="14"/>
      <c r="N1434" s="14"/>
      <c r="O1434" s="14"/>
      <c r="P1434" s="14"/>
      <c r="Q1434" s="14"/>
    </row>
    <row r="1435" spans="2:17">
      <c r="B1435" s="14"/>
      <c r="C1435" s="14"/>
      <c r="D1435" s="14"/>
      <c r="E1435" s="14"/>
      <c r="F1435" s="14"/>
      <c r="G1435" s="14"/>
      <c r="H1435" s="14"/>
      <c r="I1435" s="14"/>
      <c r="J1435" s="14"/>
      <c r="K1435" s="14"/>
      <c r="L1435" s="14"/>
      <c r="M1435" s="14"/>
      <c r="N1435" s="14"/>
      <c r="O1435" s="14"/>
      <c r="P1435" s="14"/>
      <c r="Q1435" s="14"/>
    </row>
    <row r="1436" spans="2:17">
      <c r="B1436" s="14"/>
      <c r="C1436" s="14"/>
      <c r="D1436" s="14"/>
      <c r="E1436" s="14"/>
      <c r="F1436" s="14"/>
      <c r="G1436" s="14"/>
      <c r="H1436" s="14"/>
      <c r="I1436" s="14"/>
      <c r="J1436" s="14"/>
      <c r="K1436" s="14"/>
      <c r="L1436" s="14"/>
      <c r="M1436" s="14"/>
      <c r="N1436" s="14"/>
      <c r="O1436" s="14"/>
      <c r="P1436" s="14"/>
      <c r="Q1436" s="14"/>
    </row>
    <row r="1437" spans="2:17">
      <c r="B1437" s="14"/>
      <c r="C1437" s="14"/>
      <c r="D1437" s="14"/>
      <c r="E1437" s="14"/>
      <c r="F1437" s="14"/>
      <c r="G1437" s="14"/>
      <c r="H1437" s="14"/>
      <c r="I1437" s="14"/>
      <c r="J1437" s="14"/>
      <c r="K1437" s="14"/>
      <c r="L1437" s="14"/>
      <c r="M1437" s="14"/>
      <c r="N1437" s="14"/>
      <c r="O1437" s="14"/>
      <c r="P1437" s="14"/>
      <c r="Q1437" s="14"/>
    </row>
    <row r="1438" spans="2:17">
      <c r="B1438" s="14"/>
      <c r="C1438" s="14"/>
      <c r="D1438" s="14"/>
      <c r="E1438" s="14"/>
      <c r="F1438" s="14"/>
      <c r="G1438" s="14"/>
      <c r="H1438" s="14"/>
      <c r="I1438" s="14"/>
      <c r="J1438" s="14"/>
      <c r="K1438" s="14"/>
      <c r="L1438" s="14"/>
      <c r="M1438" s="14"/>
      <c r="N1438" s="14"/>
      <c r="O1438" s="14"/>
      <c r="P1438" s="14"/>
      <c r="Q1438" s="14"/>
    </row>
    <row r="1439" spans="2:17">
      <c r="B1439" s="14"/>
      <c r="C1439" s="14"/>
      <c r="D1439" s="14"/>
      <c r="E1439" s="14"/>
      <c r="F1439" s="14"/>
      <c r="G1439" s="14"/>
      <c r="H1439" s="14"/>
      <c r="I1439" s="14"/>
      <c r="J1439" s="14"/>
      <c r="K1439" s="14"/>
      <c r="L1439" s="14"/>
      <c r="M1439" s="14"/>
      <c r="N1439" s="14"/>
      <c r="O1439" s="14"/>
      <c r="P1439" s="14"/>
      <c r="Q1439" s="14"/>
    </row>
    <row r="1440" spans="2:17">
      <c r="B1440" s="14"/>
      <c r="C1440" s="14"/>
      <c r="D1440" s="14"/>
      <c r="E1440" s="14"/>
      <c r="F1440" s="14"/>
      <c r="G1440" s="14"/>
      <c r="H1440" s="14"/>
      <c r="I1440" s="14"/>
      <c r="J1440" s="14"/>
      <c r="K1440" s="14"/>
      <c r="L1440" s="14"/>
      <c r="M1440" s="14"/>
      <c r="N1440" s="14"/>
      <c r="O1440" s="14"/>
      <c r="P1440" s="14"/>
      <c r="Q1440" s="14"/>
    </row>
    <row r="1441" spans="2:17">
      <c r="B1441" s="14"/>
      <c r="C1441" s="14"/>
      <c r="D1441" s="14"/>
      <c r="E1441" s="14"/>
      <c r="F1441" s="14"/>
      <c r="G1441" s="14"/>
      <c r="H1441" s="14"/>
      <c r="I1441" s="14"/>
      <c r="J1441" s="14"/>
      <c r="K1441" s="14"/>
      <c r="L1441" s="14"/>
      <c r="M1441" s="14"/>
      <c r="N1441" s="14"/>
      <c r="O1441" s="14"/>
      <c r="P1441" s="14"/>
      <c r="Q1441" s="14"/>
    </row>
    <row r="1442" spans="2:17">
      <c r="B1442" s="14"/>
      <c r="C1442" s="14"/>
      <c r="D1442" s="14"/>
      <c r="E1442" s="14"/>
      <c r="F1442" s="14"/>
      <c r="G1442" s="14"/>
      <c r="H1442" s="14"/>
      <c r="I1442" s="14"/>
      <c r="J1442" s="14"/>
      <c r="K1442" s="14"/>
      <c r="L1442" s="14"/>
      <c r="M1442" s="14"/>
      <c r="N1442" s="14"/>
      <c r="O1442" s="14"/>
      <c r="P1442" s="14"/>
      <c r="Q1442" s="14"/>
    </row>
    <row r="1443" spans="2:17">
      <c r="B1443" s="14"/>
      <c r="C1443" s="14"/>
      <c r="D1443" s="14"/>
      <c r="E1443" s="14"/>
      <c r="F1443" s="14"/>
      <c r="G1443" s="14"/>
      <c r="H1443" s="14"/>
      <c r="I1443" s="14"/>
      <c r="J1443" s="14"/>
      <c r="K1443" s="14"/>
      <c r="L1443" s="14"/>
      <c r="M1443" s="14"/>
      <c r="N1443" s="14"/>
      <c r="O1443" s="14"/>
      <c r="P1443" s="14"/>
      <c r="Q1443" s="14"/>
    </row>
    <row r="1444" spans="2:17">
      <c r="B1444" s="14"/>
      <c r="C1444" s="14"/>
      <c r="D1444" s="14"/>
      <c r="E1444" s="14"/>
      <c r="F1444" s="14"/>
      <c r="G1444" s="14"/>
      <c r="H1444" s="14"/>
      <c r="I1444" s="14"/>
      <c r="J1444" s="14"/>
      <c r="K1444" s="14"/>
      <c r="L1444" s="14"/>
      <c r="M1444" s="14"/>
      <c r="N1444" s="14"/>
      <c r="O1444" s="14"/>
      <c r="P1444" s="14"/>
      <c r="Q1444" s="14"/>
    </row>
    <row r="1445" spans="2:17">
      <c r="B1445" s="14"/>
      <c r="C1445" s="14"/>
      <c r="D1445" s="14"/>
      <c r="E1445" s="14"/>
      <c r="F1445" s="14"/>
      <c r="G1445" s="14"/>
      <c r="H1445" s="14"/>
      <c r="I1445" s="14"/>
      <c r="J1445" s="14"/>
      <c r="K1445" s="14"/>
      <c r="L1445" s="14"/>
      <c r="M1445" s="14"/>
      <c r="N1445" s="14"/>
      <c r="O1445" s="14"/>
      <c r="P1445" s="14"/>
      <c r="Q1445" s="14"/>
    </row>
    <row r="1446" spans="2:17">
      <c r="B1446" s="14"/>
      <c r="C1446" s="14"/>
      <c r="D1446" s="14"/>
      <c r="E1446" s="14"/>
      <c r="F1446" s="14"/>
      <c r="G1446" s="14"/>
      <c r="H1446" s="14"/>
      <c r="I1446" s="14"/>
      <c r="J1446" s="14"/>
      <c r="K1446" s="14"/>
      <c r="L1446" s="14"/>
      <c r="M1446" s="14"/>
      <c r="N1446" s="14"/>
      <c r="O1446" s="14"/>
      <c r="P1446" s="14"/>
      <c r="Q1446" s="14"/>
    </row>
    <row r="1447" spans="2:17">
      <c r="B1447" s="14"/>
      <c r="C1447" s="14"/>
      <c r="D1447" s="14"/>
      <c r="E1447" s="14"/>
      <c r="F1447" s="14"/>
      <c r="G1447" s="14"/>
      <c r="H1447" s="14"/>
      <c r="I1447" s="14"/>
      <c r="J1447" s="14"/>
      <c r="K1447" s="14"/>
      <c r="L1447" s="14"/>
      <c r="M1447" s="14"/>
      <c r="N1447" s="14"/>
      <c r="O1447" s="14"/>
      <c r="P1447" s="14"/>
      <c r="Q1447" s="14"/>
    </row>
    <row r="1448" spans="2:17">
      <c r="B1448" s="14"/>
      <c r="C1448" s="14"/>
      <c r="D1448" s="14"/>
      <c r="E1448" s="14"/>
      <c r="F1448" s="14"/>
      <c r="G1448" s="14"/>
      <c r="H1448" s="14"/>
      <c r="I1448" s="14"/>
      <c r="J1448" s="14"/>
      <c r="K1448" s="14"/>
      <c r="L1448" s="14"/>
      <c r="M1448" s="14"/>
      <c r="N1448" s="14"/>
      <c r="O1448" s="14"/>
      <c r="P1448" s="14"/>
      <c r="Q1448" s="14"/>
    </row>
    <row r="1449" spans="2:17">
      <c r="B1449" s="14"/>
      <c r="C1449" s="14"/>
      <c r="D1449" s="14"/>
      <c r="E1449" s="14"/>
      <c r="F1449" s="14"/>
      <c r="G1449" s="14"/>
      <c r="H1449" s="14"/>
      <c r="I1449" s="14"/>
      <c r="J1449" s="14"/>
      <c r="K1449" s="14"/>
      <c r="L1449" s="14"/>
      <c r="M1449" s="14"/>
      <c r="N1449" s="14"/>
      <c r="O1449" s="14"/>
      <c r="P1449" s="14"/>
      <c r="Q1449" s="14"/>
    </row>
    <row r="1450" spans="2:17">
      <c r="B1450" s="14"/>
      <c r="C1450" s="14"/>
      <c r="D1450" s="14"/>
      <c r="E1450" s="14"/>
      <c r="F1450" s="14"/>
      <c r="G1450" s="14"/>
      <c r="H1450" s="14"/>
      <c r="I1450" s="14"/>
      <c r="J1450" s="14"/>
      <c r="K1450" s="14"/>
      <c r="L1450" s="14"/>
      <c r="M1450" s="14"/>
      <c r="N1450" s="14"/>
      <c r="O1450" s="14"/>
      <c r="P1450" s="14"/>
      <c r="Q1450" s="14"/>
    </row>
    <row r="1451" spans="2:17">
      <c r="B1451" s="14"/>
      <c r="C1451" s="14"/>
      <c r="D1451" s="14"/>
      <c r="E1451" s="14"/>
      <c r="F1451" s="14"/>
      <c r="G1451" s="14"/>
      <c r="H1451" s="14"/>
      <c r="I1451" s="14"/>
      <c r="J1451" s="14"/>
      <c r="K1451" s="14"/>
      <c r="L1451" s="14"/>
      <c r="M1451" s="14"/>
      <c r="N1451" s="14"/>
      <c r="O1451" s="14"/>
      <c r="P1451" s="14"/>
      <c r="Q1451" s="14"/>
    </row>
    <row r="1452" spans="2:17">
      <c r="B1452" s="14"/>
      <c r="C1452" s="14"/>
      <c r="D1452" s="14"/>
      <c r="E1452" s="14"/>
      <c r="F1452" s="14"/>
      <c r="G1452" s="14"/>
      <c r="H1452" s="14"/>
      <c r="I1452" s="14"/>
      <c r="J1452" s="14"/>
      <c r="K1452" s="14"/>
      <c r="L1452" s="14"/>
      <c r="M1452" s="14"/>
      <c r="N1452" s="14"/>
      <c r="O1452" s="14"/>
      <c r="P1452" s="14"/>
      <c r="Q1452" s="14"/>
    </row>
    <row r="1453" spans="2:17">
      <c r="B1453" s="14"/>
      <c r="C1453" s="14"/>
      <c r="D1453" s="14"/>
      <c r="E1453" s="14"/>
      <c r="F1453" s="14"/>
      <c r="G1453" s="14"/>
      <c r="H1453" s="14"/>
      <c r="I1453" s="14"/>
      <c r="J1453" s="14"/>
      <c r="K1453" s="14"/>
      <c r="L1453" s="14"/>
      <c r="M1453" s="14"/>
      <c r="N1453" s="14"/>
      <c r="O1453" s="14"/>
      <c r="P1453" s="14"/>
      <c r="Q1453" s="14"/>
    </row>
    <row r="1454" spans="2:17">
      <c r="B1454" s="14"/>
      <c r="C1454" s="14"/>
      <c r="D1454" s="14"/>
      <c r="E1454" s="14"/>
      <c r="F1454" s="14"/>
      <c r="G1454" s="14"/>
      <c r="H1454" s="14"/>
      <c r="I1454" s="14"/>
      <c r="J1454" s="14"/>
      <c r="K1454" s="14"/>
      <c r="L1454" s="14"/>
      <c r="M1454" s="14"/>
      <c r="N1454" s="14"/>
      <c r="O1454" s="14"/>
      <c r="P1454" s="14"/>
      <c r="Q1454" s="14"/>
    </row>
    <row r="1455" spans="2:17">
      <c r="B1455" s="14"/>
      <c r="C1455" s="14"/>
      <c r="D1455" s="14"/>
      <c r="E1455" s="14"/>
      <c r="F1455" s="14"/>
      <c r="G1455" s="14"/>
      <c r="H1455" s="14"/>
      <c r="I1455" s="14"/>
      <c r="J1455" s="14"/>
      <c r="K1455" s="14"/>
      <c r="L1455" s="14"/>
      <c r="M1455" s="14"/>
      <c r="N1455" s="14"/>
      <c r="O1455" s="14"/>
      <c r="P1455" s="14"/>
      <c r="Q1455" s="14"/>
    </row>
    <row r="1456" spans="2:17">
      <c r="B1456" s="14"/>
      <c r="C1456" s="14"/>
      <c r="D1456" s="14"/>
      <c r="E1456" s="14"/>
      <c r="F1456" s="14"/>
      <c r="G1456" s="14"/>
      <c r="H1456" s="14"/>
      <c r="I1456" s="14"/>
      <c r="J1456" s="14"/>
      <c r="K1456" s="14"/>
      <c r="L1456" s="14"/>
      <c r="M1456" s="14"/>
      <c r="N1456" s="14"/>
      <c r="O1456" s="14"/>
      <c r="P1456" s="14"/>
      <c r="Q1456" s="14"/>
    </row>
    <row r="1457" spans="2:17">
      <c r="B1457" s="14"/>
      <c r="C1457" s="14"/>
      <c r="D1457" s="14"/>
      <c r="E1457" s="14"/>
      <c r="F1457" s="14"/>
      <c r="G1457" s="14"/>
      <c r="H1457" s="14"/>
      <c r="I1457" s="14"/>
      <c r="J1457" s="14"/>
      <c r="K1457" s="14"/>
      <c r="L1457" s="14"/>
      <c r="M1457" s="14"/>
      <c r="N1457" s="14"/>
      <c r="O1457" s="14"/>
      <c r="P1457" s="14"/>
      <c r="Q1457" s="14"/>
    </row>
    <row r="1458" spans="2:17">
      <c r="B1458" s="14"/>
      <c r="C1458" s="14"/>
      <c r="D1458" s="14"/>
      <c r="E1458" s="14"/>
      <c r="F1458" s="14"/>
      <c r="G1458" s="14"/>
      <c r="H1458" s="14"/>
      <c r="I1458" s="14"/>
      <c r="J1458" s="14"/>
      <c r="K1458" s="14"/>
      <c r="L1458" s="14"/>
      <c r="M1458" s="14"/>
      <c r="N1458" s="14"/>
      <c r="O1458" s="14"/>
      <c r="P1458" s="14"/>
      <c r="Q1458" s="14"/>
    </row>
    <row r="1459" spans="2:17">
      <c r="B1459" s="14"/>
      <c r="C1459" s="14"/>
      <c r="D1459" s="14"/>
      <c r="E1459" s="14"/>
      <c r="F1459" s="14"/>
      <c r="G1459" s="14"/>
      <c r="H1459" s="14"/>
      <c r="I1459" s="14"/>
      <c r="J1459" s="14"/>
      <c r="K1459" s="14"/>
      <c r="L1459" s="14"/>
      <c r="M1459" s="14"/>
      <c r="N1459" s="14"/>
      <c r="O1459" s="14"/>
      <c r="P1459" s="14"/>
      <c r="Q1459" s="14"/>
    </row>
    <row r="1460" spans="2:17">
      <c r="B1460" s="14"/>
      <c r="C1460" s="14"/>
      <c r="D1460" s="14"/>
      <c r="E1460" s="14"/>
      <c r="F1460" s="14"/>
      <c r="G1460" s="14"/>
      <c r="H1460" s="14"/>
      <c r="I1460" s="14"/>
      <c r="J1460" s="14"/>
      <c r="K1460" s="14"/>
      <c r="L1460" s="14"/>
      <c r="M1460" s="14"/>
      <c r="N1460" s="14"/>
      <c r="O1460" s="14"/>
      <c r="P1460" s="14"/>
      <c r="Q1460" s="14"/>
    </row>
    <row r="1461" spans="2:17">
      <c r="B1461" s="14"/>
      <c r="C1461" s="14"/>
      <c r="D1461" s="14"/>
      <c r="E1461" s="14"/>
      <c r="F1461" s="14"/>
      <c r="G1461" s="14"/>
      <c r="H1461" s="14"/>
      <c r="I1461" s="14"/>
      <c r="J1461" s="14"/>
      <c r="K1461" s="14"/>
      <c r="L1461" s="14"/>
      <c r="M1461" s="14"/>
      <c r="N1461" s="14"/>
      <c r="O1461" s="14"/>
      <c r="P1461" s="14"/>
      <c r="Q1461" s="14"/>
    </row>
    <row r="1462" spans="2:17">
      <c r="B1462" s="14"/>
      <c r="C1462" s="14"/>
      <c r="D1462" s="14"/>
      <c r="E1462" s="14"/>
      <c r="F1462" s="14"/>
      <c r="G1462" s="14"/>
      <c r="H1462" s="14"/>
      <c r="I1462" s="14"/>
      <c r="J1462" s="14"/>
      <c r="K1462" s="14"/>
      <c r="L1462" s="14"/>
      <c r="M1462" s="14"/>
      <c r="N1462" s="14"/>
      <c r="O1462" s="14"/>
      <c r="P1462" s="14"/>
      <c r="Q1462" s="14"/>
    </row>
    <row r="1463" spans="2:17">
      <c r="B1463" s="14"/>
      <c r="C1463" s="14"/>
      <c r="D1463" s="14"/>
      <c r="E1463" s="14"/>
      <c r="F1463" s="14"/>
      <c r="G1463" s="14"/>
      <c r="H1463" s="14"/>
      <c r="I1463" s="14"/>
      <c r="J1463" s="14"/>
      <c r="K1463" s="14"/>
      <c r="L1463" s="14"/>
      <c r="M1463" s="14"/>
      <c r="N1463" s="14"/>
      <c r="O1463" s="14"/>
      <c r="P1463" s="14"/>
      <c r="Q1463" s="14"/>
    </row>
    <row r="1464" spans="2:17">
      <c r="B1464" s="14"/>
      <c r="C1464" s="14"/>
      <c r="D1464" s="14"/>
      <c r="E1464" s="14"/>
      <c r="F1464" s="14"/>
      <c r="G1464" s="14"/>
      <c r="H1464" s="14"/>
      <c r="I1464" s="14"/>
      <c r="J1464" s="14"/>
      <c r="K1464" s="14"/>
      <c r="L1464" s="14"/>
      <c r="M1464" s="14"/>
      <c r="N1464" s="14"/>
      <c r="O1464" s="14"/>
      <c r="P1464" s="14"/>
      <c r="Q1464" s="14"/>
    </row>
    <row r="1465" spans="2:17">
      <c r="B1465" s="14"/>
      <c r="C1465" s="14"/>
      <c r="D1465" s="14"/>
      <c r="E1465" s="14"/>
      <c r="F1465" s="14"/>
      <c r="G1465" s="14"/>
      <c r="H1465" s="14"/>
      <c r="I1465" s="14"/>
      <c r="J1465" s="14"/>
      <c r="K1465" s="14"/>
      <c r="L1465" s="14"/>
      <c r="M1465" s="14"/>
      <c r="N1465" s="14"/>
      <c r="O1465" s="14"/>
      <c r="P1465" s="14"/>
      <c r="Q1465" s="14"/>
    </row>
    <row r="1466" spans="2:17">
      <c r="B1466" s="14"/>
      <c r="C1466" s="14"/>
      <c r="D1466" s="14"/>
      <c r="E1466" s="14"/>
      <c r="F1466" s="14"/>
      <c r="G1466" s="14"/>
      <c r="H1466" s="14"/>
      <c r="I1466" s="14"/>
      <c r="J1466" s="14"/>
      <c r="K1466" s="14"/>
      <c r="L1466" s="14"/>
      <c r="M1466" s="14"/>
      <c r="N1466" s="14"/>
      <c r="O1466" s="14"/>
      <c r="P1466" s="14"/>
      <c r="Q1466" s="14"/>
    </row>
    <row r="1467" spans="2:17">
      <c r="B1467" s="14"/>
      <c r="C1467" s="14"/>
      <c r="D1467" s="14"/>
      <c r="E1467" s="14"/>
      <c r="F1467" s="14"/>
      <c r="G1467" s="14"/>
      <c r="H1467" s="14"/>
      <c r="I1467" s="14"/>
      <c r="J1467" s="14"/>
      <c r="K1467" s="14"/>
      <c r="L1467" s="14"/>
      <c r="M1467" s="14"/>
      <c r="N1467" s="14"/>
      <c r="O1467" s="14"/>
      <c r="P1467" s="14"/>
      <c r="Q1467" s="14"/>
    </row>
    <row r="1468" spans="2:17">
      <c r="B1468" s="14"/>
      <c r="C1468" s="14"/>
      <c r="D1468" s="14"/>
      <c r="E1468" s="14"/>
      <c r="F1468" s="14"/>
      <c r="G1468" s="14"/>
      <c r="H1468" s="14"/>
      <c r="I1468" s="14"/>
      <c r="J1468" s="14"/>
      <c r="K1468" s="14"/>
      <c r="L1468" s="14"/>
      <c r="M1468" s="14"/>
      <c r="N1468" s="14"/>
      <c r="O1468" s="14"/>
      <c r="P1468" s="14"/>
      <c r="Q1468" s="14"/>
    </row>
    <row r="1469" spans="2:17">
      <c r="B1469" s="14"/>
      <c r="C1469" s="14"/>
      <c r="D1469" s="14"/>
      <c r="E1469" s="14"/>
      <c r="F1469" s="14"/>
      <c r="G1469" s="14"/>
      <c r="H1469" s="14"/>
      <c r="I1469" s="14"/>
      <c r="J1469" s="14"/>
      <c r="K1469" s="14"/>
      <c r="L1469" s="14"/>
      <c r="M1469" s="14"/>
      <c r="N1469" s="14"/>
      <c r="O1469" s="14"/>
      <c r="P1469" s="14"/>
      <c r="Q1469" s="14"/>
    </row>
    <row r="1470" spans="2:17">
      <c r="B1470" s="14"/>
      <c r="C1470" s="14"/>
      <c r="D1470" s="14"/>
      <c r="E1470" s="14"/>
      <c r="F1470" s="14"/>
      <c r="G1470" s="14"/>
      <c r="H1470" s="14"/>
      <c r="I1470" s="14"/>
      <c r="J1470" s="14"/>
      <c r="K1470" s="14"/>
      <c r="L1470" s="14"/>
      <c r="M1470" s="14"/>
      <c r="N1470" s="14"/>
      <c r="O1470" s="14"/>
      <c r="P1470" s="14"/>
      <c r="Q1470" s="14"/>
    </row>
    <row r="1471" spans="2:17">
      <c r="B1471" s="14"/>
      <c r="C1471" s="14"/>
      <c r="D1471" s="14"/>
      <c r="E1471" s="14"/>
      <c r="F1471" s="14"/>
      <c r="G1471" s="14"/>
      <c r="H1471" s="14"/>
      <c r="I1471" s="14"/>
      <c r="J1471" s="14"/>
      <c r="K1471" s="14"/>
      <c r="L1471" s="14"/>
      <c r="M1471" s="14"/>
      <c r="N1471" s="14"/>
      <c r="O1471" s="14"/>
      <c r="P1471" s="14"/>
      <c r="Q1471" s="14"/>
    </row>
    <row r="1472" spans="2:17">
      <c r="B1472" s="14"/>
      <c r="C1472" s="14"/>
      <c r="D1472" s="14"/>
      <c r="E1472" s="14"/>
      <c r="F1472" s="14"/>
      <c r="G1472" s="14"/>
      <c r="H1472" s="14"/>
      <c r="I1472" s="14"/>
      <c r="J1472" s="14"/>
      <c r="K1472" s="14"/>
      <c r="L1472" s="14"/>
      <c r="M1472" s="14"/>
      <c r="N1472" s="14"/>
      <c r="O1472" s="14"/>
      <c r="P1472" s="14"/>
      <c r="Q1472" s="14"/>
    </row>
    <row r="1473" spans="2:17">
      <c r="B1473" s="14"/>
      <c r="C1473" s="14"/>
      <c r="D1473" s="14"/>
      <c r="E1473" s="14"/>
      <c r="F1473" s="14"/>
      <c r="G1473" s="14"/>
      <c r="H1473" s="14"/>
      <c r="I1473" s="14"/>
      <c r="J1473" s="14"/>
      <c r="K1473" s="14"/>
      <c r="L1473" s="14"/>
      <c r="M1473" s="14"/>
      <c r="N1473" s="14"/>
      <c r="O1473" s="14"/>
      <c r="P1473" s="14"/>
      <c r="Q1473" s="14"/>
    </row>
    <row r="1474" spans="2:17">
      <c r="B1474" s="14"/>
      <c r="C1474" s="14"/>
      <c r="D1474" s="14"/>
      <c r="E1474" s="14"/>
      <c r="F1474" s="14"/>
      <c r="G1474" s="14"/>
      <c r="H1474" s="14"/>
      <c r="I1474" s="14"/>
      <c r="J1474" s="14"/>
      <c r="K1474" s="14"/>
      <c r="L1474" s="14"/>
      <c r="M1474" s="14"/>
      <c r="N1474" s="14"/>
      <c r="O1474" s="14"/>
      <c r="P1474" s="14"/>
      <c r="Q1474" s="14"/>
    </row>
    <row r="1475" spans="2:17">
      <c r="B1475" s="14"/>
      <c r="C1475" s="14"/>
      <c r="D1475" s="14"/>
      <c r="E1475" s="14"/>
      <c r="F1475" s="14"/>
      <c r="G1475" s="14"/>
      <c r="H1475" s="14"/>
      <c r="I1475" s="14"/>
      <c r="J1475" s="14"/>
      <c r="K1475" s="14"/>
      <c r="L1475" s="14"/>
      <c r="M1475" s="14"/>
      <c r="N1475" s="14"/>
      <c r="O1475" s="14"/>
      <c r="P1475" s="14"/>
      <c r="Q1475" s="14"/>
    </row>
    <row r="1476" spans="2:17">
      <c r="B1476" s="14"/>
      <c r="C1476" s="14"/>
      <c r="D1476" s="14"/>
      <c r="E1476" s="14"/>
      <c r="F1476" s="14"/>
      <c r="G1476" s="14"/>
      <c r="H1476" s="14"/>
      <c r="I1476" s="14"/>
      <c r="J1476" s="14"/>
      <c r="K1476" s="14"/>
      <c r="L1476" s="14"/>
      <c r="M1476" s="14"/>
      <c r="N1476" s="14"/>
      <c r="O1476" s="14"/>
      <c r="P1476" s="14"/>
      <c r="Q1476" s="14"/>
    </row>
    <row r="1477" spans="2:17">
      <c r="B1477" s="14"/>
      <c r="C1477" s="14"/>
      <c r="D1477" s="14"/>
      <c r="E1477" s="14"/>
      <c r="F1477" s="14"/>
      <c r="G1477" s="14"/>
      <c r="H1477" s="14"/>
      <c r="I1477" s="14"/>
      <c r="J1477" s="14"/>
      <c r="K1477" s="14"/>
      <c r="L1477" s="14"/>
      <c r="M1477" s="14"/>
      <c r="N1477" s="14"/>
      <c r="O1477" s="14"/>
      <c r="P1477" s="14"/>
      <c r="Q1477" s="14"/>
    </row>
    <row r="1478" spans="2:17">
      <c r="B1478" s="14"/>
      <c r="C1478" s="14"/>
      <c r="D1478" s="14"/>
      <c r="E1478" s="14"/>
      <c r="F1478" s="14"/>
      <c r="G1478" s="14"/>
      <c r="H1478" s="14"/>
      <c r="I1478" s="14"/>
      <c r="J1478" s="14"/>
      <c r="K1478" s="14"/>
      <c r="L1478" s="14"/>
      <c r="M1478" s="14"/>
      <c r="N1478" s="14"/>
      <c r="O1478" s="14"/>
      <c r="P1478" s="14"/>
      <c r="Q1478" s="14"/>
    </row>
    <row r="1479" spans="2:17">
      <c r="B1479" s="14"/>
      <c r="C1479" s="14"/>
      <c r="D1479" s="14"/>
      <c r="E1479" s="14"/>
      <c r="F1479" s="14"/>
      <c r="G1479" s="14"/>
      <c r="H1479" s="14"/>
      <c r="I1479" s="14"/>
      <c r="J1479" s="14"/>
      <c r="K1479" s="14"/>
      <c r="L1479" s="14"/>
      <c r="M1479" s="14"/>
      <c r="N1479" s="14"/>
      <c r="O1479" s="14"/>
      <c r="P1479" s="14"/>
      <c r="Q1479" s="14"/>
    </row>
    <row r="1480" spans="2:17">
      <c r="B1480" s="14"/>
      <c r="C1480" s="14"/>
      <c r="D1480" s="14"/>
      <c r="E1480" s="14"/>
      <c r="F1480" s="14"/>
      <c r="G1480" s="14"/>
      <c r="H1480" s="14"/>
      <c r="I1480" s="14"/>
      <c r="J1480" s="14"/>
      <c r="K1480" s="14"/>
      <c r="L1480" s="14"/>
      <c r="M1480" s="14"/>
      <c r="N1480" s="14"/>
      <c r="O1480" s="14"/>
      <c r="P1480" s="14"/>
      <c r="Q1480" s="14"/>
    </row>
    <row r="1481" spans="2:17">
      <c r="B1481" s="14"/>
      <c r="C1481" s="14"/>
      <c r="D1481" s="14"/>
      <c r="E1481" s="14"/>
      <c r="F1481" s="14"/>
      <c r="G1481" s="14"/>
      <c r="H1481" s="14"/>
      <c r="I1481" s="14"/>
      <c r="J1481" s="14"/>
      <c r="K1481" s="14"/>
      <c r="L1481" s="14"/>
      <c r="M1481" s="14"/>
      <c r="N1481" s="14"/>
      <c r="O1481" s="14"/>
      <c r="P1481" s="14"/>
      <c r="Q1481" s="14"/>
    </row>
    <row r="1482" spans="2:17">
      <c r="B1482" s="14"/>
      <c r="C1482" s="14"/>
      <c r="D1482" s="14"/>
      <c r="E1482" s="14"/>
      <c r="F1482" s="14"/>
      <c r="G1482" s="14"/>
      <c r="H1482" s="14"/>
      <c r="I1482" s="14"/>
      <c r="J1482" s="14"/>
      <c r="K1482" s="14"/>
      <c r="L1482" s="14"/>
      <c r="M1482" s="14"/>
      <c r="N1482" s="14"/>
      <c r="O1482" s="14"/>
      <c r="P1482" s="14"/>
      <c r="Q1482" s="14"/>
    </row>
    <row r="1483" spans="2:17">
      <c r="B1483" s="14"/>
      <c r="C1483" s="14"/>
      <c r="D1483" s="14"/>
      <c r="E1483" s="14"/>
      <c r="F1483" s="14"/>
      <c r="G1483" s="14"/>
      <c r="H1483" s="14"/>
      <c r="I1483" s="14"/>
      <c r="J1483" s="14"/>
      <c r="K1483" s="14"/>
      <c r="L1483" s="14"/>
      <c r="M1483" s="14"/>
      <c r="N1483" s="14"/>
      <c r="O1483" s="14"/>
      <c r="P1483" s="14"/>
      <c r="Q1483" s="14"/>
    </row>
    <row r="1484" spans="2:17">
      <c r="B1484" s="14"/>
      <c r="C1484" s="14"/>
      <c r="D1484" s="14"/>
      <c r="E1484" s="14"/>
      <c r="F1484" s="14"/>
      <c r="G1484" s="14"/>
      <c r="H1484" s="14"/>
      <c r="I1484" s="14"/>
      <c r="J1484" s="14"/>
      <c r="K1484" s="14"/>
      <c r="L1484" s="14"/>
      <c r="M1484" s="14"/>
      <c r="N1484" s="14"/>
      <c r="O1484" s="14"/>
      <c r="P1484" s="14"/>
      <c r="Q1484" s="14"/>
    </row>
    <row r="1485" spans="2:17">
      <c r="B1485" s="14"/>
      <c r="C1485" s="14"/>
      <c r="D1485" s="14"/>
      <c r="E1485" s="14"/>
      <c r="F1485" s="14"/>
      <c r="G1485" s="14"/>
      <c r="H1485" s="14"/>
      <c r="I1485" s="14"/>
      <c r="J1485" s="14"/>
      <c r="K1485" s="14"/>
      <c r="L1485" s="14"/>
      <c r="M1485" s="14"/>
      <c r="N1485" s="14"/>
      <c r="O1485" s="14"/>
      <c r="P1485" s="14"/>
      <c r="Q1485" s="14"/>
    </row>
    <row r="1486" spans="2:17">
      <c r="B1486" s="14"/>
      <c r="C1486" s="14"/>
      <c r="D1486" s="14"/>
      <c r="E1486" s="14"/>
      <c r="F1486" s="14"/>
      <c r="G1486" s="14"/>
      <c r="H1486" s="14"/>
      <c r="I1486" s="14"/>
      <c r="J1486" s="14"/>
      <c r="K1486" s="14"/>
      <c r="L1486" s="14"/>
      <c r="M1486" s="14"/>
      <c r="N1486" s="14"/>
      <c r="O1486" s="14"/>
      <c r="P1486" s="14"/>
      <c r="Q1486" s="14"/>
    </row>
    <row r="1487" spans="2:17">
      <c r="B1487" s="14"/>
      <c r="C1487" s="14"/>
      <c r="D1487" s="14"/>
      <c r="E1487" s="14"/>
      <c r="F1487" s="14"/>
      <c r="G1487" s="14"/>
      <c r="H1487" s="14"/>
      <c r="I1487" s="14"/>
      <c r="J1487" s="14"/>
      <c r="K1487" s="14"/>
      <c r="L1487" s="14"/>
      <c r="M1487" s="14"/>
      <c r="N1487" s="14"/>
      <c r="O1487" s="14"/>
      <c r="P1487" s="14"/>
      <c r="Q1487" s="14"/>
    </row>
    <row r="1488" spans="2:17">
      <c r="B1488" s="14"/>
      <c r="C1488" s="14"/>
      <c r="D1488" s="14"/>
      <c r="E1488" s="14"/>
      <c r="F1488" s="14"/>
      <c r="G1488" s="14"/>
      <c r="H1488" s="14"/>
      <c r="I1488" s="14"/>
      <c r="J1488" s="14"/>
      <c r="K1488" s="14"/>
      <c r="L1488" s="14"/>
      <c r="M1488" s="14"/>
      <c r="N1488" s="14"/>
      <c r="O1488" s="14"/>
      <c r="P1488" s="14"/>
      <c r="Q1488" s="14"/>
    </row>
    <row r="1489" spans="2:17">
      <c r="B1489" s="14"/>
      <c r="C1489" s="14"/>
      <c r="D1489" s="14"/>
      <c r="E1489" s="14"/>
      <c r="F1489" s="14"/>
      <c r="G1489" s="14"/>
      <c r="H1489" s="14"/>
      <c r="I1489" s="14"/>
      <c r="J1489" s="14"/>
      <c r="K1489" s="14"/>
      <c r="L1489" s="14"/>
      <c r="M1489" s="14"/>
      <c r="N1489" s="14"/>
      <c r="O1489" s="14"/>
      <c r="P1489" s="14"/>
      <c r="Q1489" s="14"/>
    </row>
  </sheetData>
  <mergeCells count="15">
    <mergeCell ref="P7:Q8"/>
    <mergeCell ref="B1:P1"/>
    <mergeCell ref="B2:P2"/>
    <mergeCell ref="B7:B8"/>
    <mergeCell ref="C7:C8"/>
    <mergeCell ref="D7:D8"/>
    <mergeCell ref="E7:E8"/>
    <mergeCell ref="F7:G7"/>
    <mergeCell ref="H7:H8"/>
    <mergeCell ref="I7:I8"/>
    <mergeCell ref="J7:K7"/>
    <mergeCell ref="L7:L8"/>
    <mergeCell ref="M7:M8"/>
    <mergeCell ref="N7:N8"/>
    <mergeCell ref="O7:O8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Y88"/>
  <sheetViews>
    <sheetView tabSelected="1" view="pageBreakPreview" topLeftCell="A34" zoomScale="60" zoomScaleNormal="60" workbookViewId="0">
      <selection activeCell="Y61" sqref="Y61"/>
    </sheetView>
  </sheetViews>
  <sheetFormatPr defaultRowHeight="12.75"/>
  <cols>
    <col min="1" max="1" width="3.85546875" style="67" customWidth="1"/>
    <col min="2" max="3" width="16" customWidth="1"/>
    <col min="4" max="4" width="11.42578125" customWidth="1"/>
    <col min="5" max="5" width="13.5703125" customWidth="1"/>
    <col min="14" max="14" width="13" customWidth="1"/>
    <col min="15" max="17" width="10.85546875" customWidth="1"/>
  </cols>
  <sheetData>
    <row r="2" spans="1:17">
      <c r="A2" s="66"/>
      <c r="B2" s="1"/>
      <c r="C2" s="19"/>
    </row>
    <row r="3" spans="1:17" ht="15">
      <c r="B3" s="103" t="s">
        <v>3287</v>
      </c>
      <c r="N3" s="1" t="s">
        <v>3288</v>
      </c>
    </row>
    <row r="4" spans="1:17" ht="38.25">
      <c r="B4" s="104" t="s">
        <v>136</v>
      </c>
      <c r="C4" s="104" t="s">
        <v>3289</v>
      </c>
      <c r="D4" s="104" t="s">
        <v>3290</v>
      </c>
      <c r="N4" s="105" t="s">
        <v>3291</v>
      </c>
      <c r="O4" s="105" t="s">
        <v>3292</v>
      </c>
      <c r="P4" s="105" t="s">
        <v>3293</v>
      </c>
      <c r="Q4" s="106" t="s">
        <v>3294</v>
      </c>
    </row>
    <row r="5" spans="1:17" ht="15" customHeight="1">
      <c r="B5" s="107" t="s">
        <v>71</v>
      </c>
      <c r="C5" s="108">
        <f>COUNTIF('ALL DATA'!$D$9:$D$5000,"1")</f>
        <v>271</v>
      </c>
      <c r="D5" s="109">
        <f t="shared" ref="D5:D16" si="0">C5/$C$17</f>
        <v>0.55876288659793816</v>
      </c>
      <c r="N5" s="110" t="s">
        <v>3295</v>
      </c>
      <c r="O5" s="111">
        <f>COUNTIF(Jtime,"&lt;=0.25")</f>
        <v>128</v>
      </c>
      <c r="P5" s="112">
        <f>O5</f>
        <v>128</v>
      </c>
      <c r="Q5" s="113">
        <f>P5/$O$15</f>
        <v>0.28381374722838137</v>
      </c>
    </row>
    <row r="6" spans="1:17" ht="15" customHeight="1">
      <c r="B6" s="107" t="s">
        <v>72</v>
      </c>
      <c r="C6" s="108">
        <f>COUNTIF('ALL DATA'!$D$9:$D$5000,"2")</f>
        <v>64</v>
      </c>
      <c r="D6" s="109">
        <f t="shared" si="0"/>
        <v>0.13195876288659794</v>
      </c>
      <c r="N6" s="110" t="s">
        <v>3296</v>
      </c>
      <c r="O6" s="111">
        <f>COUNTIF(Jtime,"&lt;=0.5")</f>
        <v>250</v>
      </c>
      <c r="P6" s="112">
        <f>O6-O5</f>
        <v>122</v>
      </c>
      <c r="Q6" s="113">
        <f t="shared" ref="Q6:Q15" si="1">P6/$O$15</f>
        <v>0.270509977827051</v>
      </c>
    </row>
    <row r="7" spans="1:17" ht="15" customHeight="1">
      <c r="B7" s="107" t="s">
        <v>73</v>
      </c>
      <c r="C7" s="108">
        <f>COUNTIF('ALL DATA'!$D$9:$D$5000,"3")</f>
        <v>19</v>
      </c>
      <c r="D7" s="109">
        <f t="shared" si="0"/>
        <v>3.9175257731958762E-2</v>
      </c>
      <c r="N7" s="110" t="s">
        <v>3297</v>
      </c>
      <c r="O7" s="111">
        <f>COUNTIF(Jtime,"&lt;=0.75")</f>
        <v>303</v>
      </c>
      <c r="P7" s="112">
        <f t="shared" ref="P7:P15" si="2">O7-O6</f>
        <v>53</v>
      </c>
      <c r="Q7" s="113">
        <f t="shared" si="1"/>
        <v>0.11751662971175167</v>
      </c>
    </row>
    <row r="8" spans="1:17" ht="15" customHeight="1">
      <c r="B8" s="107" t="s">
        <v>74</v>
      </c>
      <c r="C8" s="108">
        <f>COUNTIF('ALL DATA'!$D$9:$D$5000,"4")</f>
        <v>33</v>
      </c>
      <c r="D8" s="109">
        <f t="shared" si="0"/>
        <v>6.8041237113402056E-2</v>
      </c>
      <c r="N8" s="110" t="s">
        <v>3298</v>
      </c>
      <c r="O8" s="111">
        <f>COUNTIF(Jtime,"&lt;=1.0")</f>
        <v>384</v>
      </c>
      <c r="P8" s="112">
        <f t="shared" si="2"/>
        <v>81</v>
      </c>
      <c r="Q8" s="113">
        <f t="shared" si="1"/>
        <v>0.17960088691796008</v>
      </c>
    </row>
    <row r="9" spans="1:17" ht="15" customHeight="1">
      <c r="B9" s="107" t="s">
        <v>75</v>
      </c>
      <c r="C9" s="108">
        <f>COUNTIF('ALL DATA'!$D$9:$D$5000,"5")</f>
        <v>1</v>
      </c>
      <c r="D9" s="109">
        <f t="shared" si="0"/>
        <v>2.0618556701030928E-3</v>
      </c>
      <c r="N9" s="110" t="s">
        <v>3299</v>
      </c>
      <c r="O9" s="111">
        <f>COUNTIF(Jtime,"&lt;=1.5")</f>
        <v>403</v>
      </c>
      <c r="P9" s="112">
        <f t="shared" si="2"/>
        <v>19</v>
      </c>
      <c r="Q9" s="113">
        <f t="shared" si="1"/>
        <v>4.2128603104212861E-2</v>
      </c>
    </row>
    <row r="10" spans="1:17" ht="15" customHeight="1">
      <c r="B10" s="107" t="s">
        <v>76</v>
      </c>
      <c r="C10" s="108">
        <f>COUNTIF('ALL DATA'!$D$9:$D$5000,"6")</f>
        <v>1</v>
      </c>
      <c r="D10" s="109">
        <f t="shared" si="0"/>
        <v>2.0618556701030928E-3</v>
      </c>
      <c r="N10" s="110" t="s">
        <v>3300</v>
      </c>
      <c r="O10" s="111">
        <f>COUNTIF(Jtime,"&lt;=2")</f>
        <v>425</v>
      </c>
      <c r="P10" s="112">
        <f t="shared" si="2"/>
        <v>22</v>
      </c>
      <c r="Q10" s="113">
        <f t="shared" si="1"/>
        <v>4.878048780487805E-2</v>
      </c>
    </row>
    <row r="11" spans="1:17" ht="15" customHeight="1">
      <c r="B11" s="107" t="s">
        <v>77</v>
      </c>
      <c r="C11" s="108">
        <f>COUNTIF('ALL DATA'!$D$9:$D$5000,"7")</f>
        <v>66</v>
      </c>
      <c r="D11" s="109">
        <f t="shared" si="0"/>
        <v>0.13608247422680411</v>
      </c>
      <c r="N11" s="110" t="s">
        <v>3301</v>
      </c>
      <c r="O11" s="111">
        <f>COUNTIF(Jtime,"&lt;=3")</f>
        <v>438</v>
      </c>
      <c r="P11" s="112">
        <f t="shared" si="2"/>
        <v>13</v>
      </c>
      <c r="Q11" s="113">
        <f t="shared" si="1"/>
        <v>2.8824833702882482E-2</v>
      </c>
    </row>
    <row r="12" spans="1:17" ht="15" customHeight="1">
      <c r="B12" s="107" t="s">
        <v>78</v>
      </c>
      <c r="C12" s="108">
        <f>COUNTIF('ALL DATA'!$D$9:$D$5000,"8")</f>
        <v>19</v>
      </c>
      <c r="D12" s="109">
        <f t="shared" si="0"/>
        <v>3.9175257731958762E-2</v>
      </c>
      <c r="N12" s="110" t="s">
        <v>3302</v>
      </c>
      <c r="O12" s="111">
        <f>COUNTIF(Jtime,"&lt;=5")</f>
        <v>444</v>
      </c>
      <c r="P12" s="112">
        <f t="shared" si="2"/>
        <v>6</v>
      </c>
      <c r="Q12" s="113">
        <f t="shared" si="1"/>
        <v>1.3303769401330377E-2</v>
      </c>
    </row>
    <row r="13" spans="1:17" ht="15" customHeight="1">
      <c r="B13" s="107" t="s">
        <v>79</v>
      </c>
      <c r="C13" s="108">
        <f>COUNTIF('ALL DATA'!$D$9:$D$5000,"9")</f>
        <v>5</v>
      </c>
      <c r="D13" s="109">
        <f t="shared" si="0"/>
        <v>1.0309278350515464E-2</v>
      </c>
      <c r="N13" s="110" t="s">
        <v>3303</v>
      </c>
      <c r="O13" s="111">
        <f>COUNTIF(Jtime,"&lt;=7.5")</f>
        <v>447</v>
      </c>
      <c r="P13" s="112">
        <f t="shared" si="2"/>
        <v>3</v>
      </c>
      <c r="Q13" s="113">
        <f t="shared" si="1"/>
        <v>6.6518847006651885E-3</v>
      </c>
    </row>
    <row r="14" spans="1:17" ht="15" customHeight="1">
      <c r="B14" s="107" t="s">
        <v>80</v>
      </c>
      <c r="C14" s="108">
        <f>COUNTIF('ALL DATA'!$D$9:$D$5000,"10")</f>
        <v>2</v>
      </c>
      <c r="D14" s="109">
        <f t="shared" si="0"/>
        <v>4.1237113402061857E-3</v>
      </c>
      <c r="N14" s="110" t="s">
        <v>3304</v>
      </c>
      <c r="O14" s="111">
        <f>COUNTIF(Jtime,"&lt;=10")</f>
        <v>450</v>
      </c>
      <c r="P14" s="112">
        <f t="shared" si="2"/>
        <v>3</v>
      </c>
      <c r="Q14" s="113">
        <f t="shared" si="1"/>
        <v>6.6518847006651885E-3</v>
      </c>
    </row>
    <row r="15" spans="1:17" ht="15" customHeight="1">
      <c r="B15" s="107" t="s">
        <v>82</v>
      </c>
      <c r="C15" s="108">
        <f>COUNTIF('ALL DATA'!$D$9:$D$5000,"11")</f>
        <v>3</v>
      </c>
      <c r="D15" s="109">
        <f t="shared" si="0"/>
        <v>6.1855670103092781E-3</v>
      </c>
      <c r="N15" s="110" t="s">
        <v>3305</v>
      </c>
      <c r="O15" s="111">
        <f>COUNTIF(Jtime,"&lt;=15")</f>
        <v>451</v>
      </c>
      <c r="P15" s="112">
        <f t="shared" si="2"/>
        <v>1</v>
      </c>
      <c r="Q15" s="113">
        <f t="shared" si="1"/>
        <v>2.2172949002217295E-3</v>
      </c>
    </row>
    <row r="16" spans="1:17">
      <c r="B16" s="107" t="s">
        <v>81</v>
      </c>
      <c r="C16" s="108">
        <f>COUNTIF('ALL DATA'!$D$9:$D$5000,"12")</f>
        <v>1</v>
      </c>
      <c r="D16" s="109">
        <f t="shared" si="0"/>
        <v>2.0618556701030928E-3</v>
      </c>
    </row>
    <row r="17" spans="2:16">
      <c r="B17" s="108"/>
      <c r="C17" s="114">
        <f>SUM(C5:C16)</f>
        <v>485</v>
      </c>
      <c r="D17" s="108"/>
    </row>
    <row r="21" spans="2:16">
      <c r="N21" s="1" t="s">
        <v>108</v>
      </c>
    </row>
    <row r="22" spans="2:16" ht="39">
      <c r="B22" s="103" t="s">
        <v>137</v>
      </c>
      <c r="N22" s="115" t="s">
        <v>108</v>
      </c>
      <c r="O22" s="115" t="s">
        <v>3293</v>
      </c>
      <c r="P22" s="116" t="s">
        <v>3294</v>
      </c>
    </row>
    <row r="23" spans="2:16" ht="15" customHeight="1">
      <c r="B23" s="117" t="s">
        <v>3306</v>
      </c>
      <c r="C23" s="117" t="s">
        <v>3307</v>
      </c>
      <c r="D23" s="117" t="s">
        <v>3308</v>
      </c>
      <c r="N23" s="118" t="s">
        <v>3309</v>
      </c>
      <c r="O23" s="119">
        <f>COUNTIF(TripFreq,"=1")</f>
        <v>131</v>
      </c>
      <c r="P23" s="109">
        <f>O23/$O$29</f>
        <v>0.27578947368421053</v>
      </c>
    </row>
    <row r="24" spans="2:16" ht="15" customHeight="1">
      <c r="B24" s="120" t="s">
        <v>138</v>
      </c>
      <c r="C24" s="121">
        <f>COUNTIF('ALL DATA'!$R$9:$R$5000,"Home-Work")</f>
        <v>122</v>
      </c>
      <c r="D24" s="122">
        <f>C24/$C$29</f>
        <v>0.25154639175257731</v>
      </c>
      <c r="N24" s="118" t="s">
        <v>110</v>
      </c>
      <c r="O24" s="119">
        <f>COUNTIF(TripFreq,"=2")</f>
        <v>177</v>
      </c>
      <c r="P24" s="109">
        <f t="shared" ref="P24:P28" si="3">O24/$O$29</f>
        <v>0.37263157894736842</v>
      </c>
    </row>
    <row r="25" spans="2:16" ht="15" customHeight="1">
      <c r="B25" s="120" t="s">
        <v>139</v>
      </c>
      <c r="C25" s="121">
        <f>COUNTIF('ALL DATA'!$R$9:$R$369,"Home-Study")</f>
        <v>8</v>
      </c>
      <c r="D25" s="122">
        <f>C25/$C$29</f>
        <v>1.6494845360824743E-2</v>
      </c>
      <c r="N25" s="118" t="s">
        <v>111</v>
      </c>
      <c r="O25" s="119">
        <f>COUNTIF(TripFreq,"=3")</f>
        <v>54</v>
      </c>
      <c r="P25" s="109">
        <f t="shared" si="3"/>
        <v>0.11368421052631579</v>
      </c>
    </row>
    <row r="26" spans="2:16" ht="15" customHeight="1">
      <c r="B26" s="120" t="s">
        <v>140</v>
      </c>
      <c r="C26" s="121">
        <f>COUNTIF('ALL DATA'!$R$9:$R$369,"Work-Home")</f>
        <v>35</v>
      </c>
      <c r="D26" s="122">
        <f>C26/$C$29</f>
        <v>7.2164948453608241E-2</v>
      </c>
      <c r="N26" s="118" t="s">
        <v>112</v>
      </c>
      <c r="O26" s="119">
        <f>COUNTIF(TripFreq,"=4")</f>
        <v>26</v>
      </c>
      <c r="P26" s="109">
        <f t="shared" si="3"/>
        <v>5.473684210526316E-2</v>
      </c>
    </row>
    <row r="27" spans="2:16" ht="15" customHeight="1">
      <c r="B27" s="120" t="s">
        <v>141</v>
      </c>
      <c r="C27" s="121">
        <f>COUNTIF('ALL DATA'!$R$9:$R$369,"Work-Work")</f>
        <v>39</v>
      </c>
      <c r="D27" s="122">
        <f>C27/$C$29</f>
        <v>8.0412371134020624E-2</v>
      </c>
      <c r="N27" s="118" t="s">
        <v>113</v>
      </c>
      <c r="O27" s="119">
        <f>COUNTIF(TripFreq,"=5")</f>
        <v>10</v>
      </c>
      <c r="P27" s="109">
        <f t="shared" si="3"/>
        <v>2.1052631578947368E-2</v>
      </c>
    </row>
    <row r="28" spans="2:16" ht="15" customHeight="1">
      <c r="B28" s="120" t="s">
        <v>107</v>
      </c>
      <c r="C28" s="121">
        <f>C29-SUM(C24:C27)</f>
        <v>281</v>
      </c>
      <c r="D28" s="122">
        <f>C28/$C$29</f>
        <v>0.57938144329896912</v>
      </c>
      <c r="N28" s="118" t="s">
        <v>114</v>
      </c>
      <c r="O28" s="119">
        <f>COUNTIF(TripFreq,"=6")</f>
        <v>77</v>
      </c>
      <c r="P28" s="109">
        <f t="shared" si="3"/>
        <v>0.16210526315789472</v>
      </c>
    </row>
    <row r="29" spans="2:16" ht="15" customHeight="1">
      <c r="B29" s="123" t="s">
        <v>142</v>
      </c>
      <c r="C29" s="123">
        <f>C17</f>
        <v>485</v>
      </c>
      <c r="D29" s="121"/>
      <c r="N29" s="107"/>
      <c r="O29" s="124">
        <f>SUM(O23:O28)</f>
        <v>475</v>
      </c>
      <c r="P29" s="109"/>
    </row>
    <row r="40" spans="2:25">
      <c r="B40" s="1" t="s">
        <v>143</v>
      </c>
    </row>
    <row r="41" spans="2:25">
      <c r="B41" s="125" t="s">
        <v>3310</v>
      </c>
      <c r="C41" s="125" t="s">
        <v>3311</v>
      </c>
      <c r="D41" s="125" t="s">
        <v>3308</v>
      </c>
    </row>
    <row r="42" spans="2:25">
      <c r="B42" s="126" t="s">
        <v>32</v>
      </c>
      <c r="C42" s="127">
        <f>COUNTIF('ALL DATA'!$Y$9:$Y$5000,"Y")</f>
        <v>479</v>
      </c>
      <c r="D42" s="113">
        <f>C42/$C$44</f>
        <v>0.98762886597938149</v>
      </c>
    </row>
    <row r="43" spans="2:25">
      <c r="B43" s="126" t="s">
        <v>144</v>
      </c>
      <c r="C43" s="127">
        <f>C44-C42</f>
        <v>6</v>
      </c>
      <c r="D43" s="113">
        <f>C43/$C$44</f>
        <v>1.2371134020618556E-2</v>
      </c>
    </row>
    <row r="44" spans="2:25">
      <c r="B44" s="128" t="s">
        <v>142</v>
      </c>
      <c r="C44" s="128">
        <f>C29</f>
        <v>485</v>
      </c>
      <c r="D44" s="127"/>
    </row>
    <row r="47" spans="2:25">
      <c r="R47" s="171" t="s">
        <v>101</v>
      </c>
      <c r="S47" s="171" t="s">
        <v>102</v>
      </c>
      <c r="T47" s="171" t="s">
        <v>103</v>
      </c>
      <c r="U47" s="171" t="s">
        <v>104</v>
      </c>
      <c r="V47" s="171" t="s">
        <v>105</v>
      </c>
      <c r="W47" s="171" t="s">
        <v>106</v>
      </c>
      <c r="X47" s="171" t="s">
        <v>88</v>
      </c>
      <c r="Y47" s="171" t="s">
        <v>107</v>
      </c>
    </row>
    <row r="48" spans="2:25">
      <c r="P48">
        <v>1</v>
      </c>
      <c r="Q48" s="172" t="s">
        <v>101</v>
      </c>
      <c r="R48" s="173">
        <f t="shared" ref="R48:Y55" si="4">R59/SUM($R$59:$Y$66)</f>
        <v>6.3917525773195871E-2</v>
      </c>
      <c r="S48" s="173">
        <f t="shared" si="4"/>
        <v>0.25154639175257731</v>
      </c>
      <c r="T48" s="173">
        <f t="shared" si="4"/>
        <v>2.0618556701030927E-2</v>
      </c>
      <c r="U48" s="173">
        <f t="shared" si="4"/>
        <v>6.5979381443298971E-2</v>
      </c>
      <c r="V48" s="173">
        <f t="shared" si="4"/>
        <v>2.0618556701030928E-3</v>
      </c>
      <c r="W48" s="173">
        <f t="shared" si="4"/>
        <v>2.88659793814433E-2</v>
      </c>
      <c r="X48" s="173">
        <f t="shared" si="4"/>
        <v>1.2371134020618556E-2</v>
      </c>
      <c r="Y48" s="173">
        <f t="shared" si="4"/>
        <v>5.5670103092783509E-2</v>
      </c>
    </row>
    <row r="49" spans="2:25">
      <c r="P49">
        <v>2</v>
      </c>
      <c r="Q49" s="172" t="s">
        <v>102</v>
      </c>
      <c r="R49" s="173">
        <f t="shared" si="4"/>
        <v>8.4536082474226809E-2</v>
      </c>
      <c r="S49" s="173">
        <f t="shared" si="4"/>
        <v>9.6907216494845363E-2</v>
      </c>
      <c r="T49" s="173">
        <f t="shared" si="4"/>
        <v>6.1855670103092781E-3</v>
      </c>
      <c r="U49" s="173">
        <f t="shared" si="4"/>
        <v>1.2371134020618556E-2</v>
      </c>
      <c r="V49" s="173">
        <f t="shared" si="4"/>
        <v>0</v>
      </c>
      <c r="W49" s="173">
        <f t="shared" si="4"/>
        <v>1.2371134020618556E-2</v>
      </c>
      <c r="X49" s="173">
        <f t="shared" si="4"/>
        <v>0</v>
      </c>
      <c r="Y49" s="173">
        <f t="shared" si="4"/>
        <v>2.0618556701030927E-2</v>
      </c>
    </row>
    <row r="50" spans="2:25">
      <c r="P50">
        <v>3</v>
      </c>
      <c r="Q50" s="172" t="s">
        <v>103</v>
      </c>
      <c r="R50" s="173">
        <f t="shared" si="4"/>
        <v>1.443298969072165E-2</v>
      </c>
      <c r="S50" s="173">
        <f t="shared" si="4"/>
        <v>0</v>
      </c>
      <c r="T50" s="173">
        <f t="shared" si="4"/>
        <v>6.1855670103092781E-3</v>
      </c>
      <c r="U50" s="173">
        <f t="shared" si="4"/>
        <v>2.0618556701030928E-3</v>
      </c>
      <c r="V50" s="173">
        <f t="shared" si="4"/>
        <v>0</v>
      </c>
      <c r="W50" s="173">
        <f t="shared" si="4"/>
        <v>0</v>
      </c>
      <c r="X50" s="173">
        <f t="shared" si="4"/>
        <v>0</v>
      </c>
      <c r="Y50" s="173">
        <f t="shared" si="4"/>
        <v>0</v>
      </c>
    </row>
    <row r="51" spans="2:25">
      <c r="P51">
        <v>4</v>
      </c>
      <c r="Q51" s="172" t="s">
        <v>104</v>
      </c>
      <c r="R51" s="173">
        <f t="shared" si="4"/>
        <v>3.9175257731958762E-2</v>
      </c>
      <c r="S51" s="173">
        <f t="shared" si="4"/>
        <v>1.0309278350515464E-2</v>
      </c>
      <c r="T51" s="173">
        <f t="shared" si="4"/>
        <v>0</v>
      </c>
      <c r="U51" s="173">
        <f t="shared" si="4"/>
        <v>7.422680412371134E-2</v>
      </c>
      <c r="V51" s="173">
        <f t="shared" si="4"/>
        <v>0</v>
      </c>
      <c r="W51" s="173">
        <f t="shared" si="4"/>
        <v>0</v>
      </c>
      <c r="X51" s="173">
        <f t="shared" si="4"/>
        <v>0</v>
      </c>
      <c r="Y51" s="173">
        <f t="shared" si="4"/>
        <v>4.1237113402061857E-3</v>
      </c>
    </row>
    <row r="52" spans="2:25">
      <c r="P52">
        <v>5</v>
      </c>
      <c r="Q52" s="172" t="s">
        <v>105</v>
      </c>
      <c r="R52" s="173">
        <f t="shared" si="4"/>
        <v>4.1237113402061857E-3</v>
      </c>
      <c r="S52" s="173">
        <f t="shared" si="4"/>
        <v>0</v>
      </c>
      <c r="T52" s="173">
        <f t="shared" si="4"/>
        <v>0</v>
      </c>
      <c r="U52" s="173">
        <f t="shared" si="4"/>
        <v>0</v>
      </c>
      <c r="V52" s="173">
        <f t="shared" si="4"/>
        <v>0</v>
      </c>
      <c r="W52" s="173">
        <f t="shared" si="4"/>
        <v>0</v>
      </c>
      <c r="X52" s="173">
        <f t="shared" si="4"/>
        <v>0</v>
      </c>
      <c r="Y52" s="173">
        <f t="shared" si="4"/>
        <v>0</v>
      </c>
    </row>
    <row r="53" spans="2:25">
      <c r="P53">
        <v>6</v>
      </c>
      <c r="Q53" s="172" t="s">
        <v>106</v>
      </c>
      <c r="R53" s="173">
        <f t="shared" si="4"/>
        <v>6.1855670103092781E-3</v>
      </c>
      <c r="S53" s="173">
        <f t="shared" si="4"/>
        <v>2.0618556701030928E-3</v>
      </c>
      <c r="T53" s="173">
        <f t="shared" si="4"/>
        <v>0</v>
      </c>
      <c r="U53" s="173">
        <f t="shared" si="4"/>
        <v>4.1237113402061857E-3</v>
      </c>
      <c r="V53" s="173">
        <f t="shared" si="4"/>
        <v>0</v>
      </c>
      <c r="W53" s="173">
        <f t="shared" si="4"/>
        <v>1.2371134020618556E-2</v>
      </c>
      <c r="X53" s="173">
        <f t="shared" si="4"/>
        <v>0</v>
      </c>
      <c r="Y53" s="173">
        <f t="shared" si="4"/>
        <v>0</v>
      </c>
    </row>
    <row r="54" spans="2:25">
      <c r="P54">
        <v>7</v>
      </c>
      <c r="Q54" s="172" t="s">
        <v>88</v>
      </c>
      <c r="R54" s="173">
        <f t="shared" si="4"/>
        <v>8.2474226804123713E-3</v>
      </c>
      <c r="S54" s="173">
        <f t="shared" si="4"/>
        <v>0</v>
      </c>
      <c r="T54" s="173">
        <f t="shared" si="4"/>
        <v>0</v>
      </c>
      <c r="U54" s="173">
        <f t="shared" si="4"/>
        <v>0</v>
      </c>
      <c r="V54" s="173">
        <f t="shared" si="4"/>
        <v>0</v>
      </c>
      <c r="W54" s="173">
        <f t="shared" si="4"/>
        <v>0</v>
      </c>
      <c r="X54" s="173">
        <f t="shared" si="4"/>
        <v>8.2474226804123713E-3</v>
      </c>
      <c r="Y54" s="173">
        <f t="shared" si="4"/>
        <v>0</v>
      </c>
    </row>
    <row r="55" spans="2:25">
      <c r="P55">
        <v>8</v>
      </c>
      <c r="Q55" s="172" t="s">
        <v>107</v>
      </c>
      <c r="R55" s="173">
        <f t="shared" si="4"/>
        <v>1.6494845360824743E-2</v>
      </c>
      <c r="S55" s="173">
        <f t="shared" si="4"/>
        <v>2.268041237113402E-2</v>
      </c>
      <c r="T55" s="173">
        <f t="shared" si="4"/>
        <v>2.0618556701030928E-3</v>
      </c>
      <c r="U55" s="173">
        <f t="shared" si="4"/>
        <v>6.1855670103092781E-3</v>
      </c>
      <c r="V55" s="173">
        <f t="shared" si="4"/>
        <v>0</v>
      </c>
      <c r="W55" s="173">
        <f t="shared" si="4"/>
        <v>0</v>
      </c>
      <c r="X55" s="173">
        <f t="shared" si="4"/>
        <v>2.0618556701030928E-3</v>
      </c>
      <c r="Y55" s="173">
        <f t="shared" si="4"/>
        <v>2.0618556701030927E-2</v>
      </c>
    </row>
    <row r="57" spans="2:25">
      <c r="R57">
        <v>1</v>
      </c>
      <c r="S57">
        <v>2</v>
      </c>
      <c r="T57">
        <v>3</v>
      </c>
      <c r="U57">
        <v>4</v>
      </c>
      <c r="V57">
        <v>5</v>
      </c>
      <c r="W57">
        <v>6</v>
      </c>
      <c r="X57">
        <v>7</v>
      </c>
      <c r="Y57">
        <v>8</v>
      </c>
    </row>
    <row r="58" spans="2:25" ht="15.75" customHeight="1">
      <c r="B58" s="1" t="s">
        <v>3312</v>
      </c>
      <c r="R58" t="s">
        <v>101</v>
      </c>
      <c r="S58" t="s">
        <v>102</v>
      </c>
      <c r="T58" t="s">
        <v>103</v>
      </c>
      <c r="U58" t="s">
        <v>104</v>
      </c>
      <c r="V58" t="s">
        <v>105</v>
      </c>
      <c r="W58" t="s">
        <v>106</v>
      </c>
      <c r="X58" t="s">
        <v>88</v>
      </c>
      <c r="Y58" t="s">
        <v>107</v>
      </c>
    </row>
    <row r="59" spans="2:25">
      <c r="B59" s="129" t="s">
        <v>136</v>
      </c>
      <c r="C59" s="130" t="s">
        <v>3313</v>
      </c>
      <c r="P59">
        <v>1</v>
      </c>
      <c r="Q59" t="s">
        <v>101</v>
      </c>
      <c r="R59">
        <f>COUNTIF('ALL DATA'!$R$9:$R$5000,R69)</f>
        <v>31</v>
      </c>
      <c r="S59">
        <f>COUNTIF('ALL DATA'!$R$9:$R$5000,S69)</f>
        <v>122</v>
      </c>
      <c r="T59">
        <f>COUNTIF('ALL DATA'!$R$9:$R$5000,T69)</f>
        <v>10</v>
      </c>
      <c r="U59">
        <f>COUNTIF('ALL DATA'!$R$9:$R$5000,U69)</f>
        <v>32</v>
      </c>
      <c r="V59">
        <f>COUNTIF('ALL DATA'!$R$9:$R$5000,V69)</f>
        <v>1</v>
      </c>
      <c r="W59">
        <f>COUNTIF('ALL DATA'!$R$9:$R$5000,W69)</f>
        <v>14</v>
      </c>
      <c r="X59">
        <f>COUNTIF('ALL DATA'!$R$9:$R$5000,X69)</f>
        <v>6</v>
      </c>
      <c r="Y59">
        <f>COUNTIF('ALL DATA'!$R$9:$R$5000,Y69)</f>
        <v>27</v>
      </c>
    </row>
    <row r="60" spans="2:25" ht="15" customHeight="1">
      <c r="B60" s="110" t="s">
        <v>71</v>
      </c>
      <c r="C60" s="111">
        <f ca="1">AVERAGEIF(Veh,"=1",'ALL DATA'!$Z$9:$Z$5000)</f>
        <v>1889.6153846153845</v>
      </c>
      <c r="P60">
        <v>2</v>
      </c>
      <c r="Q60" t="s">
        <v>102</v>
      </c>
      <c r="R60">
        <f>COUNTIF('ALL DATA'!$R$9:$R$5000,R70)</f>
        <v>41</v>
      </c>
      <c r="S60">
        <f>COUNTIF('ALL DATA'!$R$9:$R$5000,S70)</f>
        <v>47</v>
      </c>
      <c r="T60">
        <f>COUNTIF('ALL DATA'!$R$9:$R$5000,T70)</f>
        <v>3</v>
      </c>
      <c r="U60">
        <f>COUNTIF('ALL DATA'!$R$9:$R$5000,U70)</f>
        <v>6</v>
      </c>
      <c r="V60">
        <f>COUNTIF('ALL DATA'!$R$9:$R$5000,V70)</f>
        <v>0</v>
      </c>
      <c r="W60">
        <f>COUNTIF('ALL DATA'!$R$9:$R$5000,W70)</f>
        <v>6</v>
      </c>
      <c r="X60">
        <f>COUNTIF('ALL DATA'!$R$9:$R$5000,X70)</f>
        <v>0</v>
      </c>
      <c r="Y60">
        <f>COUNTIF('ALL DATA'!$R$9:$R$5000,Y70)</f>
        <v>10</v>
      </c>
    </row>
    <row r="61" spans="2:25" ht="15" customHeight="1">
      <c r="B61" s="110" t="s">
        <v>72</v>
      </c>
      <c r="C61" s="111">
        <f ca="1">AVERAGEIF(Veh,"=2",'ALL DATA'!$Z$9:$Z$5000)</f>
        <v>1817.4603174603174</v>
      </c>
      <c r="P61">
        <v>3</v>
      </c>
      <c r="Q61" t="s">
        <v>103</v>
      </c>
      <c r="R61">
        <f>COUNTIF('ALL DATA'!$R$9:$R$5000,R71)</f>
        <v>7</v>
      </c>
      <c r="S61">
        <f>COUNTIF('ALL DATA'!$R$9:$R$5000,S71)</f>
        <v>0</v>
      </c>
      <c r="T61">
        <f>COUNTIF('ALL DATA'!$R$9:$R$5000,T71)</f>
        <v>3</v>
      </c>
      <c r="U61">
        <f>COUNTIF('ALL DATA'!$R$9:$R$5000,U71)</f>
        <v>1</v>
      </c>
      <c r="V61">
        <f>COUNTIF('ALL DATA'!$R$9:$R$5000,V71)</f>
        <v>0</v>
      </c>
      <c r="W61">
        <f>COUNTIF('ALL DATA'!$R$9:$R$5000,W71)</f>
        <v>0</v>
      </c>
      <c r="X61">
        <f>COUNTIF('ALL DATA'!$R$9:$R$5000,X71)</f>
        <v>0</v>
      </c>
      <c r="Y61">
        <f>COUNTIF('ALL DATA'!$R$9:$R$5000,Y71)</f>
        <v>0</v>
      </c>
    </row>
    <row r="62" spans="2:25" ht="15" customHeight="1">
      <c r="B62" s="110" t="s">
        <v>73</v>
      </c>
      <c r="C62" s="111">
        <f ca="1">AVERAGEIF(Veh,"=3",'ALL DATA'!$Z$9:$Z$5000)</f>
        <v>1176.4705882352941</v>
      </c>
      <c r="P62">
        <v>4</v>
      </c>
      <c r="Q62" t="s">
        <v>104</v>
      </c>
      <c r="R62">
        <f>COUNTIF('ALL DATA'!$R$9:$R$5000,R72)</f>
        <v>19</v>
      </c>
      <c r="S62">
        <f>COUNTIF('ALL DATA'!$R$9:$R$5000,S72)</f>
        <v>5</v>
      </c>
      <c r="T62">
        <f>COUNTIF('ALL DATA'!$R$9:$R$5000,T72)</f>
        <v>0</v>
      </c>
      <c r="U62">
        <f>COUNTIF('ALL DATA'!$R$9:$R$5000,U72)</f>
        <v>36</v>
      </c>
      <c r="V62">
        <f>COUNTIF('ALL DATA'!$R$9:$R$5000,V72)</f>
        <v>0</v>
      </c>
      <c r="W62">
        <f>COUNTIF('ALL DATA'!$R$9:$R$5000,W72)</f>
        <v>0</v>
      </c>
      <c r="X62">
        <f>COUNTIF('ALL DATA'!$R$9:$R$5000,X72)</f>
        <v>0</v>
      </c>
      <c r="Y62">
        <f>COUNTIF('ALL DATA'!$R$9:$R$5000,Y72)</f>
        <v>2</v>
      </c>
    </row>
    <row r="63" spans="2:25" ht="15" customHeight="1">
      <c r="B63" s="110" t="s">
        <v>74</v>
      </c>
      <c r="C63" s="111">
        <f ca="1">AVERAGEIF(Veh,"=4",'ALL DATA'!$Z$9:$Z$5000)</f>
        <v>1621.2121212121212</v>
      </c>
      <c r="P63">
        <v>5</v>
      </c>
      <c r="Q63" t="s">
        <v>105</v>
      </c>
      <c r="R63">
        <f>COUNTIF('ALL DATA'!$R$9:$R$5000,R73)</f>
        <v>2</v>
      </c>
      <c r="S63">
        <f>COUNTIF('ALL DATA'!$R$9:$R$5000,S73)</f>
        <v>0</v>
      </c>
      <c r="T63">
        <f>COUNTIF('ALL DATA'!$R$9:$R$5000,T73)</f>
        <v>0</v>
      </c>
      <c r="U63">
        <f>COUNTIF('ALL DATA'!$R$9:$R$5000,U73)</f>
        <v>0</v>
      </c>
      <c r="V63">
        <f>COUNTIF('ALL DATA'!$R$9:$R$5000,V73)</f>
        <v>0</v>
      </c>
      <c r="W63">
        <f>COUNTIF('ALL DATA'!$R$9:$R$5000,W73)</f>
        <v>0</v>
      </c>
      <c r="X63">
        <f>COUNTIF('ALL DATA'!$R$9:$R$5000,X73)</f>
        <v>0</v>
      </c>
      <c r="Y63">
        <f>COUNTIF('ALL DATA'!$R$9:$R$5000,Y73)</f>
        <v>0</v>
      </c>
    </row>
    <row r="64" spans="2:25" ht="15" customHeight="1">
      <c r="B64" s="110" t="s">
        <v>75</v>
      </c>
      <c r="C64" s="111">
        <f ca="1">AVERAGEIF(Veh,"=5",'ALL DATA'!$Z$9:$Z$5000)</f>
        <v>2000</v>
      </c>
      <c r="P64">
        <v>6</v>
      </c>
      <c r="Q64" t="s">
        <v>106</v>
      </c>
      <c r="R64">
        <f>COUNTIF('ALL DATA'!$R$9:$R$5000,R74)</f>
        <v>3</v>
      </c>
      <c r="S64">
        <f>COUNTIF('ALL DATA'!$R$9:$R$5000,S74)</f>
        <v>1</v>
      </c>
      <c r="T64">
        <f>COUNTIF('ALL DATA'!$R$9:$R$5000,T74)</f>
        <v>0</v>
      </c>
      <c r="U64">
        <f>COUNTIF('ALL DATA'!$R$9:$R$5000,U74)</f>
        <v>2</v>
      </c>
      <c r="V64">
        <f>COUNTIF('ALL DATA'!$R$9:$R$5000,V74)</f>
        <v>0</v>
      </c>
      <c r="W64">
        <f>COUNTIF('ALL DATA'!$R$9:$R$5000,W74)</f>
        <v>6</v>
      </c>
      <c r="X64">
        <f>COUNTIF('ALL DATA'!$R$9:$R$5000,X74)</f>
        <v>0</v>
      </c>
      <c r="Y64">
        <f>COUNTIF('ALL DATA'!$R$9:$R$5000,Y74)</f>
        <v>0</v>
      </c>
    </row>
    <row r="65" spans="2:25" ht="15" customHeight="1">
      <c r="B65" s="110" t="s">
        <v>76</v>
      </c>
      <c r="C65" s="111">
        <f ca="1">AVERAGEIF(Veh,"=6",'ALL DATA'!$Z$9:$Z$5000)</f>
        <v>1000</v>
      </c>
      <c r="P65">
        <v>7</v>
      </c>
      <c r="Q65" t="s">
        <v>88</v>
      </c>
      <c r="R65">
        <f>COUNTIF('ALL DATA'!$R$9:$R$5000,R75)</f>
        <v>4</v>
      </c>
      <c r="S65">
        <f>COUNTIF('ALL DATA'!$R$9:$R$5000,S75)</f>
        <v>0</v>
      </c>
      <c r="T65">
        <f>COUNTIF('ALL DATA'!$R$9:$R$5000,T75)</f>
        <v>0</v>
      </c>
      <c r="U65">
        <f>COUNTIF('ALL DATA'!$R$9:$R$5000,U75)</f>
        <v>0</v>
      </c>
      <c r="V65">
        <f>COUNTIF('ALL DATA'!$R$9:$R$5000,V75)</f>
        <v>0</v>
      </c>
      <c r="W65">
        <f>COUNTIF('ALL DATA'!$R$9:$R$5000,W75)</f>
        <v>0</v>
      </c>
      <c r="X65">
        <f>COUNTIF('ALL DATA'!$R$9:$R$5000,X75)</f>
        <v>4</v>
      </c>
      <c r="Y65">
        <f>COUNTIF('ALL DATA'!$R$9:$R$5000,Y75)</f>
        <v>0</v>
      </c>
    </row>
    <row r="66" spans="2:25" ht="15" customHeight="1">
      <c r="B66" s="110" t="s">
        <v>77</v>
      </c>
      <c r="C66" s="111">
        <f ca="1">AVERAGEIF(Veh,"=7",'ALL DATA'!$Z$9:$Z$5000)</f>
        <v>2270.7692307692309</v>
      </c>
      <c r="P66">
        <v>8</v>
      </c>
      <c r="Q66" t="s">
        <v>107</v>
      </c>
      <c r="R66">
        <f>COUNTIF('ALL DATA'!$R$9:$R$5000,R76)</f>
        <v>8</v>
      </c>
      <c r="S66">
        <f>COUNTIF('ALL DATA'!$R$9:$R$5000,S76)</f>
        <v>11</v>
      </c>
      <c r="T66">
        <f>COUNTIF('ALL DATA'!$R$9:$R$5000,T76)</f>
        <v>1</v>
      </c>
      <c r="U66">
        <f>COUNTIF('ALL DATA'!$R$9:$R$5000,U76)</f>
        <v>3</v>
      </c>
      <c r="V66">
        <f>COUNTIF('ALL DATA'!$R$9:$R$5000,V76)</f>
        <v>0</v>
      </c>
      <c r="W66">
        <f>COUNTIF('ALL DATA'!$R$9:$R$5000,W76)</f>
        <v>0</v>
      </c>
      <c r="X66">
        <f>COUNTIF('ALL DATA'!$R$9:$R$5000,X76)</f>
        <v>1</v>
      </c>
      <c r="Y66">
        <f>COUNTIF('ALL DATA'!$R$9:$R$5000,Y76)</f>
        <v>10</v>
      </c>
    </row>
    <row r="67" spans="2:25" ht="15" customHeight="1">
      <c r="B67" s="110" t="s">
        <v>78</v>
      </c>
      <c r="C67" s="111">
        <f ca="1">AVERAGEIF(Veh,"=8",'ALL DATA'!$Z$9:$Z$5000)</f>
        <v>1221.0526315789473</v>
      </c>
    </row>
    <row r="68" spans="2:25" ht="15" customHeight="1">
      <c r="B68" s="110" t="s">
        <v>79</v>
      </c>
      <c r="C68" s="111">
        <f ca="1">AVERAGEIF(Veh,"=9",'ALL DATA'!$Z$9:$Z$5000)</f>
        <v>2000</v>
      </c>
      <c r="R68" t="s">
        <v>101</v>
      </c>
      <c r="S68" t="s">
        <v>102</v>
      </c>
      <c r="T68" t="s">
        <v>103</v>
      </c>
      <c r="U68" t="s">
        <v>104</v>
      </c>
      <c r="V68" t="s">
        <v>105</v>
      </c>
      <c r="W68" t="s">
        <v>106</v>
      </c>
      <c r="X68" t="s">
        <v>88</v>
      </c>
      <c r="Y68" t="s">
        <v>107</v>
      </c>
    </row>
    <row r="69" spans="2:25" ht="15" customHeight="1">
      <c r="B69" s="110" t="s">
        <v>80</v>
      </c>
      <c r="C69" s="111">
        <f ca="1">AVERAGEIF(Veh,"=10",'ALL DATA'!$Z$9:$Z$5000)</f>
        <v>3000</v>
      </c>
      <c r="P69">
        <v>1</v>
      </c>
      <c r="Q69" t="s">
        <v>101</v>
      </c>
      <c r="R69" t="str">
        <f t="shared" ref="R69:Y76" si="5">$Q69&amp;"-"&amp;R$68</f>
        <v>Home-Home</v>
      </c>
      <c r="S69" t="str">
        <f t="shared" si="5"/>
        <v>Home-Work</v>
      </c>
      <c r="T69" t="str">
        <f t="shared" si="5"/>
        <v>Home-Study</v>
      </c>
      <c r="U69" t="str">
        <f t="shared" si="5"/>
        <v>Home-Commercial</v>
      </c>
      <c r="V69" t="str">
        <f t="shared" si="5"/>
        <v>Home-Tourism</v>
      </c>
      <c r="W69" t="str">
        <f t="shared" si="5"/>
        <v>Home-Leisure/Social</v>
      </c>
      <c r="X69" t="str">
        <f t="shared" si="5"/>
        <v>Home-Hospital</v>
      </c>
      <c r="Y69" t="str">
        <f t="shared" si="5"/>
        <v>Home-Others</v>
      </c>
    </row>
    <row r="70" spans="2:25" ht="15" customHeight="1">
      <c r="B70" s="110" t="s">
        <v>82</v>
      </c>
      <c r="C70" s="111">
        <f ca="1">AVERAGEIF(Veh,"=11",'ALL DATA'!$Z$9:$Z$5000)</f>
        <v>2666.6666666666665</v>
      </c>
      <c r="P70">
        <v>2</v>
      </c>
      <c r="Q70" t="s">
        <v>102</v>
      </c>
      <c r="R70" t="str">
        <f t="shared" si="5"/>
        <v>Work-Home</v>
      </c>
      <c r="S70" t="str">
        <f t="shared" si="5"/>
        <v>Work-Work</v>
      </c>
      <c r="T70" t="str">
        <f t="shared" si="5"/>
        <v>Work-Study</v>
      </c>
      <c r="U70" t="str">
        <f t="shared" si="5"/>
        <v>Work-Commercial</v>
      </c>
      <c r="V70" t="str">
        <f t="shared" si="5"/>
        <v>Work-Tourism</v>
      </c>
      <c r="W70" t="str">
        <f t="shared" si="5"/>
        <v>Work-Leisure/Social</v>
      </c>
      <c r="X70" t="str">
        <f t="shared" si="5"/>
        <v>Work-Hospital</v>
      </c>
      <c r="Y70" t="str">
        <f t="shared" si="5"/>
        <v>Work-Others</v>
      </c>
    </row>
    <row r="71" spans="2:25" ht="15" customHeight="1">
      <c r="B71" s="110" t="s">
        <v>81</v>
      </c>
      <c r="C71" s="111">
        <f ca="1">AVERAGEIF(Veh,"=12",'ALL DATA'!$Z$9:$Z$5000)</f>
        <v>2000</v>
      </c>
      <c r="P71">
        <v>3</v>
      </c>
      <c r="Q71" t="s">
        <v>103</v>
      </c>
      <c r="R71" t="str">
        <f t="shared" si="5"/>
        <v>Study-Home</v>
      </c>
      <c r="S71" t="str">
        <f t="shared" si="5"/>
        <v>Study-Work</v>
      </c>
      <c r="T71" t="str">
        <f t="shared" si="5"/>
        <v>Study-Study</v>
      </c>
      <c r="U71" t="str">
        <f t="shared" si="5"/>
        <v>Study-Commercial</v>
      </c>
      <c r="V71" t="str">
        <f t="shared" si="5"/>
        <v>Study-Tourism</v>
      </c>
      <c r="W71" t="str">
        <f t="shared" si="5"/>
        <v>Study-Leisure/Social</v>
      </c>
      <c r="X71" t="str">
        <f t="shared" si="5"/>
        <v>Study-Hospital</v>
      </c>
      <c r="Y71" t="str">
        <f t="shared" si="5"/>
        <v>Study-Others</v>
      </c>
    </row>
    <row r="72" spans="2:25">
      <c r="P72">
        <v>4</v>
      </c>
      <c r="Q72" t="s">
        <v>104</v>
      </c>
      <c r="R72" t="str">
        <f t="shared" si="5"/>
        <v>Commercial-Home</v>
      </c>
      <c r="S72" t="str">
        <f t="shared" si="5"/>
        <v>Commercial-Work</v>
      </c>
      <c r="T72" t="str">
        <f t="shared" si="5"/>
        <v>Commercial-Study</v>
      </c>
      <c r="U72" t="str">
        <f t="shared" si="5"/>
        <v>Commercial-Commercial</v>
      </c>
      <c r="V72" t="str">
        <f t="shared" si="5"/>
        <v>Commercial-Tourism</v>
      </c>
      <c r="W72" t="str">
        <f t="shared" si="5"/>
        <v>Commercial-Leisure/Social</v>
      </c>
      <c r="X72" t="str">
        <f t="shared" si="5"/>
        <v>Commercial-Hospital</v>
      </c>
      <c r="Y72" t="str">
        <f t="shared" si="5"/>
        <v>Commercial-Others</v>
      </c>
    </row>
    <row r="73" spans="2:25">
      <c r="P73">
        <v>5</v>
      </c>
      <c r="Q73" t="s">
        <v>105</v>
      </c>
      <c r="R73" t="str">
        <f t="shared" si="5"/>
        <v>Tourism-Home</v>
      </c>
      <c r="S73" t="str">
        <f t="shared" si="5"/>
        <v>Tourism-Work</v>
      </c>
      <c r="T73" t="str">
        <f t="shared" si="5"/>
        <v>Tourism-Study</v>
      </c>
      <c r="U73" t="str">
        <f t="shared" si="5"/>
        <v>Tourism-Commercial</v>
      </c>
      <c r="V73" t="str">
        <f t="shared" si="5"/>
        <v>Tourism-Tourism</v>
      </c>
      <c r="W73" t="str">
        <f t="shared" si="5"/>
        <v>Tourism-Leisure/Social</v>
      </c>
      <c r="X73" t="str">
        <f t="shared" si="5"/>
        <v>Tourism-Hospital</v>
      </c>
      <c r="Y73" t="str">
        <f t="shared" si="5"/>
        <v>Tourism-Others</v>
      </c>
    </row>
    <row r="74" spans="2:25">
      <c r="P74">
        <v>6</v>
      </c>
      <c r="Q74" t="s">
        <v>106</v>
      </c>
      <c r="R74" t="str">
        <f t="shared" si="5"/>
        <v>Leisure/Social-Home</v>
      </c>
      <c r="S74" t="str">
        <f t="shared" si="5"/>
        <v>Leisure/Social-Work</v>
      </c>
      <c r="T74" t="str">
        <f t="shared" si="5"/>
        <v>Leisure/Social-Study</v>
      </c>
      <c r="U74" t="str">
        <f t="shared" si="5"/>
        <v>Leisure/Social-Commercial</v>
      </c>
      <c r="V74" t="str">
        <f t="shared" si="5"/>
        <v>Leisure/Social-Tourism</v>
      </c>
      <c r="W74" t="str">
        <f t="shared" si="5"/>
        <v>Leisure/Social-Leisure/Social</v>
      </c>
      <c r="X74" t="str">
        <f t="shared" si="5"/>
        <v>Leisure/Social-Hospital</v>
      </c>
      <c r="Y74" t="str">
        <f t="shared" si="5"/>
        <v>Leisure/Social-Others</v>
      </c>
    </row>
    <row r="75" spans="2:25">
      <c r="P75">
        <v>7</v>
      </c>
      <c r="Q75" t="s">
        <v>88</v>
      </c>
      <c r="R75" t="str">
        <f t="shared" si="5"/>
        <v>Hospital-Home</v>
      </c>
      <c r="S75" t="str">
        <f t="shared" si="5"/>
        <v>Hospital-Work</v>
      </c>
      <c r="T75" t="str">
        <f t="shared" si="5"/>
        <v>Hospital-Study</v>
      </c>
      <c r="U75" t="str">
        <f t="shared" si="5"/>
        <v>Hospital-Commercial</v>
      </c>
      <c r="V75" t="str">
        <f t="shared" si="5"/>
        <v>Hospital-Tourism</v>
      </c>
      <c r="W75" t="str">
        <f t="shared" si="5"/>
        <v>Hospital-Leisure/Social</v>
      </c>
      <c r="X75" t="str">
        <f t="shared" si="5"/>
        <v>Hospital-Hospital</v>
      </c>
      <c r="Y75" t="str">
        <f t="shared" si="5"/>
        <v>Hospital-Others</v>
      </c>
    </row>
    <row r="76" spans="2:25">
      <c r="P76">
        <v>8</v>
      </c>
      <c r="Q76" t="s">
        <v>107</v>
      </c>
      <c r="R76" t="str">
        <f t="shared" si="5"/>
        <v>Others-Home</v>
      </c>
      <c r="S76" t="str">
        <f t="shared" si="5"/>
        <v>Others-Work</v>
      </c>
      <c r="T76" t="str">
        <f t="shared" si="5"/>
        <v>Others-Study</v>
      </c>
      <c r="U76" t="str">
        <f t="shared" si="5"/>
        <v>Others-Commercial</v>
      </c>
      <c r="V76" t="str">
        <f t="shared" si="5"/>
        <v>Others-Tourism</v>
      </c>
      <c r="W76" t="str">
        <f t="shared" si="5"/>
        <v>Others-Leisure/Social</v>
      </c>
      <c r="X76" t="str">
        <f t="shared" si="5"/>
        <v>Others-Hospital</v>
      </c>
      <c r="Y76" t="str">
        <f t="shared" si="5"/>
        <v>Others-Others</v>
      </c>
    </row>
    <row r="78" spans="2:25" ht="16.5" customHeight="1">
      <c r="B78" s="36" t="s">
        <v>3314</v>
      </c>
    </row>
    <row r="79" spans="2:25" ht="25.5">
      <c r="B79" s="131" t="s">
        <v>3315</v>
      </c>
      <c r="C79" s="132" t="s">
        <v>3316</v>
      </c>
      <c r="D79" s="133" t="s">
        <v>3293</v>
      </c>
      <c r="E79" s="134" t="s">
        <v>3317</v>
      </c>
    </row>
    <row r="80" spans="2:25" ht="15" customHeight="1">
      <c r="B80" s="135" t="s">
        <v>3318</v>
      </c>
      <c r="C80" s="136">
        <f>COUNTIF(Dist,"&lt;=1")</f>
        <v>18</v>
      </c>
      <c r="D80" s="137">
        <f>C80</f>
        <v>18</v>
      </c>
      <c r="E80" s="138">
        <f>D80/$C$88</f>
        <v>5.3412462908011868E-2</v>
      </c>
    </row>
    <row r="81" spans="2:5" ht="15" customHeight="1">
      <c r="B81" s="135" t="s">
        <v>3319</v>
      </c>
      <c r="C81" s="136">
        <f>COUNTIF(Dist,"&lt;=2.5")</f>
        <v>57</v>
      </c>
      <c r="D81" s="137">
        <f>C81-C80</f>
        <v>39</v>
      </c>
      <c r="E81" s="138">
        <f t="shared" ref="E81:E88" si="6">D81/$C$88</f>
        <v>0.11572700296735905</v>
      </c>
    </row>
    <row r="82" spans="2:5" ht="15" customHeight="1">
      <c r="B82" s="135" t="s">
        <v>3320</v>
      </c>
      <c r="C82" s="136">
        <f>COUNTIF(Dist,"&lt;=5")</f>
        <v>136</v>
      </c>
      <c r="D82" s="137">
        <f t="shared" ref="D82:D88" si="7">C82-C81</f>
        <v>79</v>
      </c>
      <c r="E82" s="138">
        <f t="shared" si="6"/>
        <v>0.23442136498516319</v>
      </c>
    </row>
    <row r="83" spans="2:5" ht="15" customHeight="1">
      <c r="B83" s="135" t="s">
        <v>3321</v>
      </c>
      <c r="C83" s="136">
        <f>COUNTIF(Dist,"&lt;=10")</f>
        <v>203</v>
      </c>
      <c r="D83" s="137">
        <f t="shared" si="7"/>
        <v>67</v>
      </c>
      <c r="E83" s="138">
        <f t="shared" si="6"/>
        <v>0.19881305637982197</v>
      </c>
    </row>
    <row r="84" spans="2:5" ht="15" customHeight="1">
      <c r="B84" s="135" t="s">
        <v>3322</v>
      </c>
      <c r="C84" s="136">
        <f>COUNTIF(Dist,"&lt;=20")</f>
        <v>268</v>
      </c>
      <c r="D84" s="137">
        <f t="shared" si="7"/>
        <v>65</v>
      </c>
      <c r="E84" s="138">
        <f t="shared" si="6"/>
        <v>0.19287833827893175</v>
      </c>
    </row>
    <row r="85" spans="2:5" ht="15" customHeight="1">
      <c r="B85" s="135" t="s">
        <v>3323</v>
      </c>
      <c r="C85" s="136">
        <f>COUNTIF(Dist,"&lt;=50")</f>
        <v>310</v>
      </c>
      <c r="D85" s="137">
        <f t="shared" si="7"/>
        <v>42</v>
      </c>
      <c r="E85" s="138">
        <f t="shared" si="6"/>
        <v>0.12462908011869436</v>
      </c>
    </row>
    <row r="86" spans="2:5" ht="15" customHeight="1">
      <c r="B86" s="135" t="s">
        <v>3324</v>
      </c>
      <c r="C86" s="136">
        <f>COUNTIF(Dist,"&lt;=100")</f>
        <v>322</v>
      </c>
      <c r="D86" s="137">
        <f t="shared" si="7"/>
        <v>12</v>
      </c>
      <c r="E86" s="138">
        <f t="shared" si="6"/>
        <v>3.5608308605341248E-2</v>
      </c>
    </row>
    <row r="87" spans="2:5" ht="15" customHeight="1">
      <c r="B87" s="135" t="s">
        <v>3325</v>
      </c>
      <c r="C87" s="136">
        <f>COUNTIF(Dist,"&lt;=250")</f>
        <v>327</v>
      </c>
      <c r="D87" s="137">
        <f t="shared" si="7"/>
        <v>5</v>
      </c>
      <c r="E87" s="138">
        <f t="shared" si="6"/>
        <v>1.483679525222552E-2</v>
      </c>
    </row>
    <row r="88" spans="2:5" ht="15" customHeight="1">
      <c r="B88" s="135" t="s">
        <v>3326</v>
      </c>
      <c r="C88" s="136">
        <f>COUNTIF(Dist,"&lt;=700")</f>
        <v>337</v>
      </c>
      <c r="D88" s="137">
        <f t="shared" si="7"/>
        <v>10</v>
      </c>
      <c r="E88" s="138">
        <f t="shared" si="6"/>
        <v>2.967359050445104E-2</v>
      </c>
    </row>
  </sheetData>
  <pageMargins left="0.7" right="0.7" top="0.75" bottom="0.75" header="0.3" footer="0.3"/>
  <pageSetup scale="35" orientation="portrait" horizontalDpi="1200" verticalDpi="1200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I493"/>
  <sheetViews>
    <sheetView zoomScale="75" zoomScaleNormal="75" zoomScaleSheetLayoutView="80" workbookViewId="0">
      <selection activeCell="Z3" sqref="Z1:Z1048576"/>
    </sheetView>
  </sheetViews>
  <sheetFormatPr defaultRowHeight="12.75"/>
  <cols>
    <col min="1" max="1" width="2.7109375" customWidth="1"/>
    <col min="2" max="2" width="7.28515625" customWidth="1"/>
    <col min="3" max="3" width="10.28515625" customWidth="1"/>
    <col min="4" max="4" width="9.7109375" customWidth="1"/>
    <col min="5" max="5" width="11.5703125" customWidth="1"/>
    <col min="6" max="6" width="15.28515625" customWidth="1"/>
    <col min="7" max="7" width="11.7109375" customWidth="1"/>
    <col min="8" max="8" width="9" customWidth="1"/>
    <col min="9" max="9" width="8.85546875" customWidth="1"/>
    <col min="10" max="10" width="8.42578125" customWidth="1"/>
    <col min="11" max="11" width="10" customWidth="1"/>
    <col min="12" max="12" width="15.7109375" customWidth="1"/>
    <col min="13" max="13" width="11.7109375" customWidth="1"/>
    <col min="14" max="14" width="12.140625" customWidth="1"/>
    <col min="15" max="16" width="9.28515625" customWidth="1"/>
    <col min="17" max="17" width="12.7109375" customWidth="1"/>
    <col min="18" max="18" width="15.140625" customWidth="1"/>
    <col min="19" max="21" width="9.28515625" customWidth="1"/>
    <col min="22" max="22" width="11.140625" customWidth="1"/>
    <col min="23" max="23" width="11" customWidth="1"/>
    <col min="24" max="24" width="10.7109375" customWidth="1"/>
    <col min="25" max="25" width="9" customWidth="1"/>
    <col min="26" max="26" width="10.7109375" customWidth="1"/>
    <col min="27" max="27" width="8.42578125" customWidth="1"/>
    <col min="28" max="28" width="8" customWidth="1"/>
  </cols>
  <sheetData>
    <row r="1" spans="2:35" s="1" customFormat="1" ht="15.75">
      <c r="B1" s="143" t="s">
        <v>832</v>
      </c>
      <c r="C1" s="143"/>
      <c r="D1" s="143"/>
      <c r="E1" s="143"/>
      <c r="F1" s="143"/>
      <c r="G1" s="143"/>
      <c r="H1" s="143"/>
      <c r="I1" s="143"/>
      <c r="J1" s="143"/>
      <c r="K1" s="143"/>
      <c r="L1" s="143"/>
      <c r="M1" s="143"/>
      <c r="N1" s="143"/>
      <c r="O1" s="143"/>
      <c r="P1" s="143"/>
      <c r="Q1" s="143"/>
      <c r="R1" s="143"/>
      <c r="S1" s="143"/>
      <c r="T1" s="143"/>
      <c r="U1" s="143"/>
      <c r="V1" s="143"/>
      <c r="W1" s="143"/>
      <c r="X1" s="143"/>
      <c r="Y1" s="143"/>
      <c r="Z1" s="143"/>
      <c r="AA1" s="143"/>
      <c r="AB1" s="143"/>
      <c r="AC1" s="6"/>
      <c r="AD1" s="6"/>
      <c r="AE1" s="6"/>
      <c r="AF1" s="6"/>
      <c r="AG1" s="6"/>
      <c r="AH1" s="6"/>
      <c r="AI1" s="6"/>
    </row>
    <row r="2" spans="2:35" ht="15">
      <c r="B2" s="143" t="s">
        <v>1</v>
      </c>
      <c r="C2" s="143"/>
      <c r="D2" s="143"/>
      <c r="E2" s="143"/>
      <c r="F2" s="143"/>
      <c r="G2" s="143"/>
      <c r="H2" s="143"/>
      <c r="I2" s="143"/>
      <c r="J2" s="143"/>
      <c r="K2" s="143"/>
      <c r="L2" s="143"/>
      <c r="M2" s="143"/>
      <c r="N2" s="143"/>
      <c r="O2" s="143"/>
      <c r="P2" s="143"/>
      <c r="Q2" s="143"/>
      <c r="R2" s="143"/>
      <c r="S2" s="143"/>
      <c r="T2" s="143"/>
      <c r="U2" s="143"/>
      <c r="V2" s="143"/>
      <c r="W2" s="143"/>
      <c r="X2" s="143"/>
      <c r="Y2" s="143"/>
      <c r="Z2" s="143"/>
      <c r="AA2" s="143"/>
      <c r="AB2" s="143"/>
      <c r="AC2" s="7"/>
      <c r="AD2" s="7"/>
      <c r="AE2" s="7"/>
      <c r="AF2" s="7"/>
      <c r="AG2" s="7"/>
      <c r="AH2" s="7"/>
      <c r="AI2" s="7"/>
    </row>
    <row r="3" spans="2:35" ht="15">
      <c r="B3" s="71"/>
      <c r="C3" s="71"/>
      <c r="D3" s="71"/>
      <c r="E3" s="71"/>
      <c r="F3" s="71"/>
      <c r="G3" s="71"/>
      <c r="H3" s="71"/>
      <c r="I3" s="71"/>
      <c r="J3" s="71"/>
      <c r="K3" s="71"/>
      <c r="L3" s="71"/>
      <c r="M3" s="71"/>
      <c r="N3" s="71"/>
      <c r="O3" s="71"/>
      <c r="P3" s="71"/>
      <c r="Q3" s="71"/>
      <c r="R3" s="71"/>
      <c r="S3" s="71"/>
      <c r="T3" s="71"/>
      <c r="U3" s="71"/>
      <c r="V3" s="71"/>
      <c r="W3" s="71"/>
      <c r="X3" s="71"/>
      <c r="Y3" s="71"/>
      <c r="Z3" s="71"/>
      <c r="AA3" s="71"/>
      <c r="AB3" s="71"/>
    </row>
    <row r="4" spans="2:35" ht="15" customHeight="1">
      <c r="B4" s="26" t="s">
        <v>2</v>
      </c>
      <c r="C4" s="31" t="s">
        <v>563</v>
      </c>
      <c r="E4" s="1" t="s">
        <v>65</v>
      </c>
      <c r="F4" s="152" t="str">
        <f>'14.10 KASANGATI-MATUGGA'!F4:G4</f>
        <v>MATUGGA-WAKISO ROAD</v>
      </c>
      <c r="G4" s="153"/>
      <c r="I4" s="27" t="s">
        <v>66</v>
      </c>
      <c r="J4" s="5"/>
      <c r="K4" s="5"/>
      <c r="L4" s="62" t="s">
        <v>147</v>
      </c>
      <c r="M4" s="71"/>
      <c r="N4" s="1" t="s">
        <v>68</v>
      </c>
      <c r="O4" s="154" t="s">
        <v>565</v>
      </c>
      <c r="P4" s="155"/>
      <c r="Q4" s="155"/>
      <c r="R4" s="155"/>
      <c r="S4" s="155"/>
      <c r="T4" s="155"/>
      <c r="V4" s="1" t="s">
        <v>69</v>
      </c>
      <c r="W4" s="65" t="s">
        <v>567</v>
      </c>
      <c r="Y4" s="27" t="s">
        <v>6</v>
      </c>
      <c r="Z4" s="39" t="str">
        <f>'14.10 KASANGATI-MATUGGA'!Z4</f>
        <v>DAVID</v>
      </c>
      <c r="AA4" s="32" t="s">
        <v>7</v>
      </c>
      <c r="AB4" s="39" t="s">
        <v>848</v>
      </c>
      <c r="AE4" s="10"/>
      <c r="AF4" s="5"/>
    </row>
    <row r="5" spans="2:35" ht="15" customHeight="1">
      <c r="B5" s="71"/>
      <c r="C5" s="71"/>
      <c r="D5" s="71"/>
      <c r="E5" s="22"/>
      <c r="F5" s="71"/>
      <c r="G5" s="71"/>
      <c r="I5" s="28" t="s">
        <v>67</v>
      </c>
      <c r="J5" s="71"/>
      <c r="K5" s="71"/>
      <c r="L5" s="63" t="s">
        <v>564</v>
      </c>
      <c r="M5" s="71"/>
      <c r="N5" s="71"/>
      <c r="O5" s="71"/>
      <c r="P5" s="71"/>
      <c r="Q5" s="71"/>
      <c r="R5" s="71"/>
      <c r="S5" s="71"/>
      <c r="T5" s="71"/>
      <c r="U5" s="71"/>
      <c r="V5" s="71"/>
      <c r="W5" s="71"/>
      <c r="X5" s="71"/>
      <c r="Y5" s="71"/>
      <c r="Z5" s="71"/>
      <c r="AA5" s="71"/>
      <c r="AB5" s="71"/>
    </row>
    <row r="6" spans="2:35" ht="13.5" thickBot="1"/>
    <row r="7" spans="2:35" ht="30.75" customHeight="1">
      <c r="B7" s="144" t="s">
        <v>34</v>
      </c>
      <c r="C7" s="150" t="s">
        <v>56</v>
      </c>
      <c r="D7" s="146" t="s">
        <v>9</v>
      </c>
      <c r="E7" s="150" t="s">
        <v>35</v>
      </c>
      <c r="F7" s="159" t="s">
        <v>12</v>
      </c>
      <c r="G7" s="160"/>
      <c r="H7" s="161"/>
      <c r="I7" s="146" t="s">
        <v>59</v>
      </c>
      <c r="J7" s="150" t="s">
        <v>15</v>
      </c>
      <c r="K7" s="150" t="s">
        <v>128</v>
      </c>
      <c r="L7" s="159" t="s">
        <v>17</v>
      </c>
      <c r="M7" s="160"/>
      <c r="N7" s="161"/>
      <c r="O7" s="146" t="s">
        <v>60</v>
      </c>
      <c r="P7" s="150" t="s">
        <v>18</v>
      </c>
      <c r="Q7" s="150" t="s">
        <v>129</v>
      </c>
      <c r="R7" s="150" t="s">
        <v>130</v>
      </c>
      <c r="S7" s="150" t="s">
        <v>132</v>
      </c>
      <c r="T7" s="150" t="s">
        <v>131</v>
      </c>
      <c r="U7" s="150" t="s">
        <v>61</v>
      </c>
      <c r="V7" s="163" t="s">
        <v>64</v>
      </c>
      <c r="W7" s="164"/>
      <c r="X7" s="165"/>
      <c r="Y7" s="150" t="s">
        <v>63</v>
      </c>
      <c r="Z7" s="150" t="s">
        <v>135</v>
      </c>
      <c r="AA7" s="146" t="s">
        <v>20</v>
      </c>
      <c r="AB7" s="148" t="s">
        <v>21</v>
      </c>
      <c r="AD7" s="19"/>
    </row>
    <row r="8" spans="2:35" ht="38.25" customHeight="1">
      <c r="B8" s="156"/>
      <c r="C8" s="151"/>
      <c r="D8" s="157"/>
      <c r="E8" s="158"/>
      <c r="F8" s="72" t="s">
        <v>70</v>
      </c>
      <c r="G8" s="72" t="s">
        <v>57</v>
      </c>
      <c r="H8" s="24" t="s">
        <v>58</v>
      </c>
      <c r="I8" s="157"/>
      <c r="J8" s="151"/>
      <c r="K8" s="151"/>
      <c r="L8" s="72" t="s">
        <v>70</v>
      </c>
      <c r="M8" s="72" t="s">
        <v>57</v>
      </c>
      <c r="N8" s="72" t="s">
        <v>58</v>
      </c>
      <c r="O8" s="157"/>
      <c r="P8" s="151"/>
      <c r="Q8" s="151"/>
      <c r="R8" s="151"/>
      <c r="S8" s="151"/>
      <c r="T8" s="151"/>
      <c r="U8" s="151"/>
      <c r="V8" s="29" t="s">
        <v>62</v>
      </c>
      <c r="W8" s="30" t="s">
        <v>133</v>
      </c>
      <c r="X8" s="30" t="s">
        <v>134</v>
      </c>
      <c r="Y8" s="151"/>
      <c r="Z8" s="151"/>
      <c r="AA8" s="157"/>
      <c r="AB8" s="162"/>
    </row>
    <row r="9" spans="2:35" s="19" customFormat="1">
      <c r="B9" s="40">
        <v>0.67152777777777783</v>
      </c>
      <c r="C9" s="40" t="s">
        <v>568</v>
      </c>
      <c r="D9" s="41">
        <v>8</v>
      </c>
      <c r="E9" s="42">
        <v>1</v>
      </c>
      <c r="F9" s="42" t="s">
        <v>471</v>
      </c>
      <c r="G9" s="43" t="s">
        <v>154</v>
      </c>
      <c r="H9" s="42" t="s">
        <v>155</v>
      </c>
      <c r="I9" s="43">
        <v>9</v>
      </c>
      <c r="J9" s="43">
        <v>1</v>
      </c>
      <c r="K9" s="25" t="str">
        <f>VLOOKUP(J9,Key!$E$2:$F$9,2,FALSE)</f>
        <v>Home</v>
      </c>
      <c r="L9" s="42" t="s">
        <v>564</v>
      </c>
      <c r="M9" s="43" t="s">
        <v>154</v>
      </c>
      <c r="N9" s="42" t="s">
        <v>155</v>
      </c>
      <c r="O9" s="43">
        <v>1</v>
      </c>
      <c r="P9" s="43">
        <v>1</v>
      </c>
      <c r="Q9" s="25" t="str">
        <f>VLOOKUP(P9,Key!$E$2:$F$9,2,FALSE)</f>
        <v>Home</v>
      </c>
      <c r="R9" s="25" t="str">
        <f>K9&amp;"-"&amp;Q9</f>
        <v>Home-Home</v>
      </c>
      <c r="S9" s="58"/>
      <c r="T9" s="58"/>
      <c r="U9" s="43">
        <v>1</v>
      </c>
      <c r="V9" s="43">
        <v>11</v>
      </c>
      <c r="W9" s="58"/>
      <c r="X9" s="58"/>
      <c r="Y9" s="59" t="s">
        <v>156</v>
      </c>
      <c r="Z9" s="60">
        <v>3000</v>
      </c>
      <c r="AA9" s="25">
        <f>VLOOKUP(F9,Zones!$A$2:$F$2186,6,FALSE)</f>
        <v>1402</v>
      </c>
      <c r="AB9" s="25">
        <f>VLOOKUP(L9,Zones!$A$2:$F$2186,6,FALSE)</f>
        <v>1393</v>
      </c>
    </row>
    <row r="10" spans="2:35">
      <c r="B10" s="40">
        <v>0.67291666666666661</v>
      </c>
      <c r="C10" s="40" t="s">
        <v>570</v>
      </c>
      <c r="D10" s="41">
        <v>1</v>
      </c>
      <c r="E10" s="42">
        <v>2</v>
      </c>
      <c r="F10" s="42" t="s">
        <v>3280</v>
      </c>
      <c r="G10" s="43" t="s">
        <v>154</v>
      </c>
      <c r="H10" s="42" t="s">
        <v>155</v>
      </c>
      <c r="I10" s="43">
        <v>7</v>
      </c>
      <c r="J10" s="43">
        <v>1</v>
      </c>
      <c r="K10" s="25" t="str">
        <f>VLOOKUP(J10,Key!$E$2:$F$9,2,FALSE)</f>
        <v>Home</v>
      </c>
      <c r="L10" s="42" t="s">
        <v>468</v>
      </c>
      <c r="M10" s="43" t="s">
        <v>159</v>
      </c>
      <c r="N10" s="42" t="s">
        <v>155</v>
      </c>
      <c r="O10" s="43">
        <v>1</v>
      </c>
      <c r="P10" s="43">
        <v>1</v>
      </c>
      <c r="Q10" s="25" t="str">
        <f>VLOOKUP(P10,Key!$E$2:$F$9,2,FALSE)</f>
        <v>Home</v>
      </c>
      <c r="R10" s="25" t="str">
        <f t="shared" ref="R10:R73" si="0">K10&amp;"-"&amp;Q10</f>
        <v>Home-Home</v>
      </c>
      <c r="S10" s="58">
        <v>3</v>
      </c>
      <c r="T10" s="58"/>
      <c r="U10" s="43">
        <v>1</v>
      </c>
      <c r="V10" s="43"/>
      <c r="W10" s="58"/>
      <c r="X10" s="58"/>
      <c r="Y10" s="59" t="s">
        <v>156</v>
      </c>
      <c r="Z10" s="60">
        <v>3500</v>
      </c>
      <c r="AA10" s="25">
        <f>VLOOKUP(F10,Zones!$A$2:$F$2186,6,FALSE)</f>
        <v>565</v>
      </c>
      <c r="AB10" s="25">
        <f>VLOOKUP(L10,Zones!$A$2:$F$2186,6,FALSE)</f>
        <v>516</v>
      </c>
    </row>
    <row r="11" spans="2:35">
      <c r="B11" s="40">
        <v>0.62222222222222223</v>
      </c>
      <c r="C11" s="40" t="s">
        <v>572</v>
      </c>
      <c r="D11" s="41">
        <v>1</v>
      </c>
      <c r="E11" s="42">
        <v>5</v>
      </c>
      <c r="F11" s="42" t="s">
        <v>245</v>
      </c>
      <c r="G11" s="43" t="s">
        <v>154</v>
      </c>
      <c r="H11" s="42" t="s">
        <v>155</v>
      </c>
      <c r="I11" s="43">
        <v>1</v>
      </c>
      <c r="J11" s="43">
        <v>3</v>
      </c>
      <c r="K11" s="25" t="str">
        <f>VLOOKUP(J11,Key!$E$2:$F$9,2,FALSE)</f>
        <v>Study</v>
      </c>
      <c r="L11" s="42" t="s">
        <v>268</v>
      </c>
      <c r="M11" s="43" t="s">
        <v>154</v>
      </c>
      <c r="N11" s="42" t="s">
        <v>155</v>
      </c>
      <c r="O11" s="43">
        <v>4</v>
      </c>
      <c r="P11" s="43">
        <v>3</v>
      </c>
      <c r="Q11" s="25" t="str">
        <f>VLOOKUP(P11,Key!$E$2:$F$9,2,FALSE)</f>
        <v>Study</v>
      </c>
      <c r="R11" s="25" t="str">
        <f t="shared" si="0"/>
        <v>Study-Study</v>
      </c>
      <c r="S11" s="58"/>
      <c r="T11" s="58">
        <v>0.1</v>
      </c>
      <c r="U11" s="43">
        <v>1</v>
      </c>
      <c r="V11" s="43"/>
      <c r="W11" s="58"/>
      <c r="X11" s="58"/>
      <c r="Y11" s="59" t="s">
        <v>156</v>
      </c>
      <c r="Z11" s="60">
        <v>3500</v>
      </c>
      <c r="AA11" s="25">
        <f>VLOOKUP(F11,Zones!$A$2:$F$2186,6,FALSE)</f>
        <v>1402</v>
      </c>
      <c r="AB11" s="25">
        <f>VLOOKUP(L11,Zones!$A$2:$F$2186,6,FALSE)</f>
        <v>1396</v>
      </c>
    </row>
    <row r="12" spans="2:35">
      <c r="B12" s="40">
        <v>0.625</v>
      </c>
      <c r="C12" s="40" t="s">
        <v>573</v>
      </c>
      <c r="D12" s="41">
        <v>1</v>
      </c>
      <c r="E12" s="42">
        <v>4</v>
      </c>
      <c r="F12" s="42" t="s">
        <v>147</v>
      </c>
      <c r="G12" s="43" t="s">
        <v>154</v>
      </c>
      <c r="H12" s="42" t="s">
        <v>155</v>
      </c>
      <c r="I12" s="43">
        <v>1</v>
      </c>
      <c r="J12" s="43">
        <v>8</v>
      </c>
      <c r="K12" s="25" t="str">
        <f>VLOOKUP(J12,Key!$E$2:$F$9,2,FALSE)</f>
        <v>Others</v>
      </c>
      <c r="L12" s="42" t="s">
        <v>420</v>
      </c>
      <c r="M12" s="43" t="s">
        <v>159</v>
      </c>
      <c r="N12" s="42" t="s">
        <v>155</v>
      </c>
      <c r="O12" s="43">
        <v>4</v>
      </c>
      <c r="P12" s="43">
        <v>8</v>
      </c>
      <c r="Q12" s="25" t="str">
        <f>VLOOKUP(P12,Key!$E$2:$F$9,2,FALSE)</f>
        <v>Others</v>
      </c>
      <c r="R12" s="25" t="str">
        <f t="shared" si="0"/>
        <v>Others-Others</v>
      </c>
      <c r="S12" s="58">
        <v>7</v>
      </c>
      <c r="T12" s="58">
        <v>0.2</v>
      </c>
      <c r="U12" s="43">
        <v>5</v>
      </c>
      <c r="V12" s="43"/>
      <c r="W12" s="58"/>
      <c r="X12" s="58"/>
      <c r="Y12" s="59" t="s">
        <v>156</v>
      </c>
      <c r="Z12" s="60">
        <v>1000</v>
      </c>
      <c r="AA12" s="25">
        <f>VLOOKUP(F12,Zones!$A$2:$F$2186,6,FALSE)</f>
        <v>1402</v>
      </c>
      <c r="AB12" s="25">
        <f>VLOOKUP(L12,Zones!$A$2:$F$2186,6,FALSE)</f>
        <v>560</v>
      </c>
    </row>
    <row r="13" spans="2:35">
      <c r="B13" s="40">
        <v>0.62986111111111109</v>
      </c>
      <c r="C13" s="40" t="s">
        <v>574</v>
      </c>
      <c r="D13" s="41">
        <v>1</v>
      </c>
      <c r="E13" s="42">
        <v>2</v>
      </c>
      <c r="F13" s="42" t="s">
        <v>3281</v>
      </c>
      <c r="G13" s="43" t="s">
        <v>154</v>
      </c>
      <c r="H13" s="42" t="s">
        <v>155</v>
      </c>
      <c r="I13" s="43">
        <v>1</v>
      </c>
      <c r="J13" s="43">
        <v>2</v>
      </c>
      <c r="K13" s="25" t="str">
        <f>VLOOKUP(J13,Key!$E$2:$F$9,2,FALSE)</f>
        <v>Work</v>
      </c>
      <c r="L13" s="42" t="s">
        <v>564</v>
      </c>
      <c r="M13" s="43" t="s">
        <v>154</v>
      </c>
      <c r="N13" s="42" t="s">
        <v>155</v>
      </c>
      <c r="O13" s="43">
        <v>7</v>
      </c>
      <c r="P13" s="43">
        <v>4</v>
      </c>
      <c r="Q13" s="25" t="str">
        <f>VLOOKUP(P13,Key!$E$2:$F$9,2,FALSE)</f>
        <v>Commercial</v>
      </c>
      <c r="R13" s="25" t="str">
        <f t="shared" si="0"/>
        <v>Work-Commercial</v>
      </c>
      <c r="S13" s="58"/>
      <c r="T13" s="58">
        <v>0.1</v>
      </c>
      <c r="U13" s="43">
        <v>1</v>
      </c>
      <c r="V13" s="43"/>
      <c r="W13" s="58"/>
      <c r="X13" s="58"/>
      <c r="Y13" s="59" t="s">
        <v>156</v>
      </c>
      <c r="Z13" s="60">
        <v>400</v>
      </c>
      <c r="AA13" s="25">
        <f>VLOOKUP(F13,Zones!$A$2:$F$2186,6,FALSE)</f>
        <v>1408</v>
      </c>
      <c r="AB13" s="25">
        <f>VLOOKUP(L13,Zones!$A$2:$F$2186,6,FALSE)</f>
        <v>1393</v>
      </c>
    </row>
    <row r="14" spans="2:35">
      <c r="B14" s="40">
        <v>0.62777777777777777</v>
      </c>
      <c r="C14" s="40" t="s">
        <v>576</v>
      </c>
      <c r="D14" s="41">
        <v>1</v>
      </c>
      <c r="E14" s="42">
        <v>1</v>
      </c>
      <c r="F14" s="42" t="s">
        <v>245</v>
      </c>
      <c r="G14" s="43" t="s">
        <v>154</v>
      </c>
      <c r="H14" s="42" t="s">
        <v>155</v>
      </c>
      <c r="I14" s="43">
        <v>1</v>
      </c>
      <c r="J14" s="43">
        <v>7</v>
      </c>
      <c r="K14" s="25" t="str">
        <f>VLOOKUP(J14,Key!$E$2:$F$9,2,FALSE)</f>
        <v>Hospital</v>
      </c>
      <c r="L14" s="42" t="s">
        <v>184</v>
      </c>
      <c r="M14" s="43" t="s">
        <v>154</v>
      </c>
      <c r="N14" s="42" t="s">
        <v>155</v>
      </c>
      <c r="O14" s="43">
        <v>5</v>
      </c>
      <c r="P14" s="43">
        <v>7</v>
      </c>
      <c r="Q14" s="25" t="str">
        <f>VLOOKUP(P14,Key!$E$2:$F$9,2,FALSE)</f>
        <v>Hospital</v>
      </c>
      <c r="R14" s="25" t="str">
        <f t="shared" si="0"/>
        <v>Hospital-Hospital</v>
      </c>
      <c r="S14" s="58">
        <v>5</v>
      </c>
      <c r="T14" s="58">
        <v>0.1</v>
      </c>
      <c r="U14" s="43">
        <v>1</v>
      </c>
      <c r="V14" s="43"/>
      <c r="W14" s="58"/>
      <c r="X14" s="58"/>
      <c r="Y14" s="59" t="s">
        <v>156</v>
      </c>
      <c r="Z14" s="60">
        <v>5000</v>
      </c>
      <c r="AA14" s="25">
        <f>VLOOKUP(F14,Zones!$A$2:$F$2186,6,FALSE)</f>
        <v>1402</v>
      </c>
      <c r="AB14" s="25">
        <f>VLOOKUP(L14,Zones!$A$2:$F$2186,6,FALSE)</f>
        <v>811</v>
      </c>
    </row>
    <row r="15" spans="2:35">
      <c r="B15" s="40">
        <v>0.65833333333333333</v>
      </c>
      <c r="C15" s="40" t="s">
        <v>577</v>
      </c>
      <c r="D15" s="41">
        <v>1</v>
      </c>
      <c r="E15" s="42">
        <v>3</v>
      </c>
      <c r="F15" s="42" t="s">
        <v>245</v>
      </c>
      <c r="G15" s="43" t="s">
        <v>154</v>
      </c>
      <c r="H15" s="42" t="s">
        <v>155</v>
      </c>
      <c r="I15" s="43">
        <v>1</v>
      </c>
      <c r="J15" s="43">
        <v>1</v>
      </c>
      <c r="K15" s="25" t="str">
        <f>VLOOKUP(J15,Key!$E$2:$F$9,2,FALSE)</f>
        <v>Home</v>
      </c>
      <c r="L15" s="42" t="s">
        <v>564</v>
      </c>
      <c r="M15" s="43" t="s">
        <v>154</v>
      </c>
      <c r="N15" s="42" t="s">
        <v>155</v>
      </c>
      <c r="O15" s="43">
        <v>5</v>
      </c>
      <c r="P15" s="43">
        <v>7</v>
      </c>
      <c r="Q15" s="25" t="str">
        <f>VLOOKUP(P15,Key!$E$2:$F$9,2,FALSE)</f>
        <v>Hospital</v>
      </c>
      <c r="R15" s="25" t="str">
        <f t="shared" si="0"/>
        <v>Home-Hospital</v>
      </c>
      <c r="S15" s="58">
        <v>2</v>
      </c>
      <c r="T15" s="58">
        <v>0.1</v>
      </c>
      <c r="U15" s="43">
        <v>6</v>
      </c>
      <c r="V15" s="43"/>
      <c r="W15" s="58"/>
      <c r="X15" s="58"/>
      <c r="Y15" s="59" t="s">
        <v>156</v>
      </c>
      <c r="Z15" s="60">
        <v>500</v>
      </c>
      <c r="AA15" s="25">
        <f>VLOOKUP(F15,Zones!$A$2:$F$2186,6,FALSE)</f>
        <v>1402</v>
      </c>
      <c r="AB15" s="25">
        <f>VLOOKUP(L15,Zones!$A$2:$F$2186,6,FALSE)</f>
        <v>1393</v>
      </c>
    </row>
    <row r="16" spans="2:35">
      <c r="B16" s="40">
        <v>0.66319444444444442</v>
      </c>
      <c r="C16" s="40" t="s">
        <v>578</v>
      </c>
      <c r="D16" s="41">
        <v>3</v>
      </c>
      <c r="E16" s="42">
        <v>2</v>
      </c>
      <c r="F16" s="42" t="s">
        <v>3281</v>
      </c>
      <c r="G16" s="43" t="s">
        <v>154</v>
      </c>
      <c r="H16" s="42" t="s">
        <v>155</v>
      </c>
      <c r="I16" s="43">
        <v>1</v>
      </c>
      <c r="J16" s="43">
        <v>6</v>
      </c>
      <c r="K16" s="25" t="str">
        <f>VLOOKUP(J16,Key!$E$2:$F$9,2,FALSE)</f>
        <v>Leisure/Social</v>
      </c>
      <c r="L16" s="42" t="s">
        <v>564</v>
      </c>
      <c r="M16" s="43" t="s">
        <v>154</v>
      </c>
      <c r="N16" s="42" t="s">
        <v>155</v>
      </c>
      <c r="O16" s="43">
        <v>7</v>
      </c>
      <c r="P16" s="43">
        <v>6</v>
      </c>
      <c r="Q16" s="25" t="str">
        <f>VLOOKUP(P16,Key!$E$2:$F$9,2,FALSE)</f>
        <v>Leisure/Social</v>
      </c>
      <c r="R16" s="25" t="str">
        <f t="shared" si="0"/>
        <v>Leisure/Social-Leisure/Social</v>
      </c>
      <c r="S16" s="58">
        <v>0.5</v>
      </c>
      <c r="T16" s="58">
        <v>0.1</v>
      </c>
      <c r="U16" s="43">
        <v>1</v>
      </c>
      <c r="V16" s="43"/>
      <c r="W16" s="58"/>
      <c r="X16" s="58"/>
      <c r="Y16" s="59" t="s">
        <v>156</v>
      </c>
      <c r="Z16" s="60">
        <v>1000</v>
      </c>
      <c r="AA16" s="25">
        <f>VLOOKUP(F16,Zones!$A$2:$F$2186,6,FALSE)</f>
        <v>1408</v>
      </c>
      <c r="AB16" s="25">
        <f>VLOOKUP(L16,Zones!$A$2:$F$2186,6,FALSE)</f>
        <v>1393</v>
      </c>
    </row>
    <row r="17" spans="2:28">
      <c r="B17" s="40">
        <v>0.61458333333333337</v>
      </c>
      <c r="C17" s="40" t="s">
        <v>580</v>
      </c>
      <c r="D17" s="41">
        <v>1</v>
      </c>
      <c r="E17" s="42">
        <v>2</v>
      </c>
      <c r="F17" s="42" t="s">
        <v>147</v>
      </c>
      <c r="G17" s="43" t="s">
        <v>154</v>
      </c>
      <c r="H17" s="42" t="s">
        <v>155</v>
      </c>
      <c r="I17" s="43">
        <v>1</v>
      </c>
      <c r="J17" s="43">
        <v>6</v>
      </c>
      <c r="K17" s="25" t="str">
        <f>VLOOKUP(J17,Key!$E$2:$F$9,2,FALSE)</f>
        <v>Leisure/Social</v>
      </c>
      <c r="L17" s="42" t="s">
        <v>184</v>
      </c>
      <c r="M17" s="43" t="s">
        <v>154</v>
      </c>
      <c r="N17" s="42" t="s">
        <v>155</v>
      </c>
      <c r="O17" s="43">
        <v>1</v>
      </c>
      <c r="P17" s="43">
        <v>6</v>
      </c>
      <c r="Q17" s="25" t="str">
        <f>VLOOKUP(P17,Key!$E$2:$F$9,2,FALSE)</f>
        <v>Leisure/Social</v>
      </c>
      <c r="R17" s="25" t="str">
        <f t="shared" si="0"/>
        <v>Leisure/Social-Leisure/Social</v>
      </c>
      <c r="S17" s="58">
        <v>7</v>
      </c>
      <c r="T17" s="58">
        <v>0.1</v>
      </c>
      <c r="U17" s="43">
        <v>1</v>
      </c>
      <c r="V17" s="43"/>
      <c r="W17" s="58"/>
      <c r="X17" s="58"/>
      <c r="Y17" s="59" t="s">
        <v>156</v>
      </c>
      <c r="Z17" s="60">
        <v>1000</v>
      </c>
      <c r="AA17" s="25">
        <f>VLOOKUP(F17,Zones!$A$2:$F$2186,6,FALSE)</f>
        <v>1402</v>
      </c>
      <c r="AB17" s="25">
        <f>VLOOKUP(L17,Zones!$A$2:$F$2186,6,FALSE)</f>
        <v>811</v>
      </c>
    </row>
    <row r="18" spans="2:28">
      <c r="B18" s="40">
        <v>0.6118055555555556</v>
      </c>
      <c r="C18" s="40" t="s">
        <v>581</v>
      </c>
      <c r="D18" s="41">
        <v>1</v>
      </c>
      <c r="E18" s="42">
        <v>6</v>
      </c>
      <c r="F18" s="42" t="s">
        <v>3281</v>
      </c>
      <c r="G18" s="43" t="s">
        <v>154</v>
      </c>
      <c r="H18" s="42" t="s">
        <v>155</v>
      </c>
      <c r="I18" s="43">
        <v>1</v>
      </c>
      <c r="J18" s="43">
        <v>6</v>
      </c>
      <c r="K18" s="25" t="str">
        <f>VLOOKUP(J18,Key!$E$2:$F$9,2,FALSE)</f>
        <v>Leisure/Social</v>
      </c>
      <c r="L18" s="42" t="s">
        <v>184</v>
      </c>
      <c r="M18" s="43" t="s">
        <v>154</v>
      </c>
      <c r="N18" s="42" t="s">
        <v>155</v>
      </c>
      <c r="O18" s="43">
        <v>1</v>
      </c>
      <c r="P18" s="43">
        <v>6</v>
      </c>
      <c r="Q18" s="25" t="str">
        <f>VLOOKUP(P18,Key!$E$2:$F$9,2,FALSE)</f>
        <v>Leisure/Social</v>
      </c>
      <c r="R18" s="25" t="str">
        <f t="shared" si="0"/>
        <v>Leisure/Social-Leisure/Social</v>
      </c>
      <c r="S18" s="58">
        <v>3</v>
      </c>
      <c r="T18" s="58">
        <v>0.1</v>
      </c>
      <c r="U18" s="43">
        <v>1</v>
      </c>
      <c r="V18" s="43"/>
      <c r="W18" s="58"/>
      <c r="X18" s="58"/>
      <c r="Y18" s="59" t="s">
        <v>156</v>
      </c>
      <c r="Z18" s="60">
        <v>200</v>
      </c>
      <c r="AA18" s="25">
        <f>VLOOKUP(F18,Zones!$A$2:$F$2186,6,FALSE)</f>
        <v>1408</v>
      </c>
      <c r="AB18" s="25">
        <f>VLOOKUP(L18,Zones!$A$2:$F$2186,6,FALSE)</f>
        <v>811</v>
      </c>
    </row>
    <row r="19" spans="2:28">
      <c r="B19" s="40">
        <v>0.64097222222222217</v>
      </c>
      <c r="C19" s="40" t="s">
        <v>584</v>
      </c>
      <c r="D19" s="41">
        <v>1</v>
      </c>
      <c r="E19" s="42">
        <v>2</v>
      </c>
      <c r="F19" s="42" t="s">
        <v>168</v>
      </c>
      <c r="G19" s="43" t="s">
        <v>154</v>
      </c>
      <c r="H19" s="42" t="s">
        <v>155</v>
      </c>
      <c r="I19" s="43">
        <v>1</v>
      </c>
      <c r="J19" s="43">
        <v>6</v>
      </c>
      <c r="K19" s="25" t="str">
        <f>VLOOKUP(J19,Key!$E$2:$F$9,2,FALSE)</f>
        <v>Leisure/Social</v>
      </c>
      <c r="L19" s="42" t="s">
        <v>564</v>
      </c>
      <c r="M19" s="43" t="s">
        <v>154</v>
      </c>
      <c r="N19" s="42" t="s">
        <v>155</v>
      </c>
      <c r="O19" s="43">
        <v>7</v>
      </c>
      <c r="P19" s="43">
        <v>6</v>
      </c>
      <c r="Q19" s="25" t="str">
        <f>VLOOKUP(P19,Key!$E$2:$F$9,2,FALSE)</f>
        <v>Leisure/Social</v>
      </c>
      <c r="R19" s="25" t="str">
        <f t="shared" si="0"/>
        <v>Leisure/Social-Leisure/Social</v>
      </c>
      <c r="S19" s="58">
        <v>0.5</v>
      </c>
      <c r="T19" s="58">
        <v>0.1</v>
      </c>
      <c r="U19" s="43">
        <v>6</v>
      </c>
      <c r="V19" s="43"/>
      <c r="W19" s="58"/>
      <c r="X19" s="58"/>
      <c r="Y19" s="59" t="s">
        <v>156</v>
      </c>
      <c r="Z19" s="60">
        <v>2000</v>
      </c>
      <c r="AA19" s="25">
        <f>VLOOKUP(F19,Zones!$A$2:$F$2186,6,FALSE)</f>
        <v>1393</v>
      </c>
      <c r="AB19" s="25">
        <f>VLOOKUP(L19,Zones!$A$2:$F$2186,6,FALSE)</f>
        <v>1393</v>
      </c>
    </row>
    <row r="20" spans="2:28">
      <c r="B20" s="40">
        <v>0.63750000000000007</v>
      </c>
      <c r="C20" s="40" t="s">
        <v>585</v>
      </c>
      <c r="D20" s="41">
        <v>1</v>
      </c>
      <c r="E20" s="42">
        <v>5</v>
      </c>
      <c r="F20" s="42" t="s">
        <v>3281</v>
      </c>
      <c r="G20" s="43" t="s">
        <v>154</v>
      </c>
      <c r="H20" s="42" t="s">
        <v>155</v>
      </c>
      <c r="I20" s="43">
        <v>1</v>
      </c>
      <c r="J20" s="43">
        <v>5</v>
      </c>
      <c r="K20" s="25" t="str">
        <f>VLOOKUP(J20,Key!$E$2:$F$9,2,FALSE)</f>
        <v>Tourism</v>
      </c>
      <c r="L20" s="42" t="s">
        <v>564</v>
      </c>
      <c r="M20" s="43" t="s">
        <v>154</v>
      </c>
      <c r="N20" s="42" t="s">
        <v>155</v>
      </c>
      <c r="O20" s="43">
        <v>1</v>
      </c>
      <c r="P20" s="43">
        <v>1</v>
      </c>
      <c r="Q20" s="25" t="str">
        <f>VLOOKUP(P20,Key!$E$2:$F$9,2,FALSE)</f>
        <v>Home</v>
      </c>
      <c r="R20" s="25" t="str">
        <f t="shared" si="0"/>
        <v>Tourism-Home</v>
      </c>
      <c r="S20" s="58"/>
      <c r="T20" s="58">
        <v>0.1</v>
      </c>
      <c r="U20" s="43">
        <v>1</v>
      </c>
      <c r="V20" s="43"/>
      <c r="W20" s="58"/>
      <c r="X20" s="58"/>
      <c r="Y20" s="59" t="s">
        <v>156</v>
      </c>
      <c r="Z20" s="60">
        <v>500</v>
      </c>
      <c r="AA20" s="25">
        <f>VLOOKUP(F20,Zones!$A$2:$F$2186,6,FALSE)</f>
        <v>1408</v>
      </c>
      <c r="AB20" s="25">
        <f>VLOOKUP(L20,Zones!$A$2:$F$2186,6,FALSE)</f>
        <v>1393</v>
      </c>
    </row>
    <row r="21" spans="2:28">
      <c r="B21" s="40">
        <v>0.61944444444444446</v>
      </c>
      <c r="C21" s="40" t="s">
        <v>587</v>
      </c>
      <c r="D21" s="41">
        <v>1</v>
      </c>
      <c r="E21" s="42">
        <v>4</v>
      </c>
      <c r="F21" s="42" t="s">
        <v>168</v>
      </c>
      <c r="G21" s="43" t="s">
        <v>154</v>
      </c>
      <c r="H21" s="42" t="s">
        <v>155</v>
      </c>
      <c r="I21" s="43">
        <v>1</v>
      </c>
      <c r="J21" s="43">
        <v>1</v>
      </c>
      <c r="K21" s="25" t="str">
        <f>VLOOKUP(J21,Key!$E$2:$F$9,2,FALSE)</f>
        <v>Home</v>
      </c>
      <c r="L21" s="42" t="s">
        <v>420</v>
      </c>
      <c r="M21" s="43" t="s">
        <v>159</v>
      </c>
      <c r="N21" s="42" t="s">
        <v>155</v>
      </c>
      <c r="O21" s="43">
        <v>1</v>
      </c>
      <c r="P21" s="43">
        <v>1</v>
      </c>
      <c r="Q21" s="25" t="str">
        <f>VLOOKUP(P21,Key!$E$2:$F$9,2,FALSE)</f>
        <v>Home</v>
      </c>
      <c r="R21" s="25" t="str">
        <f t="shared" si="0"/>
        <v>Home-Home</v>
      </c>
      <c r="S21" s="58">
        <v>2</v>
      </c>
      <c r="T21" s="58">
        <v>0.1</v>
      </c>
      <c r="U21" s="43">
        <v>1</v>
      </c>
      <c r="V21" s="43"/>
      <c r="W21" s="58"/>
      <c r="X21" s="58"/>
      <c r="Y21" s="59" t="s">
        <v>156</v>
      </c>
      <c r="Z21" s="60">
        <v>3000</v>
      </c>
      <c r="AA21" s="25">
        <f>VLOOKUP(F21,Zones!$A$2:$F$2186,6,FALSE)</f>
        <v>1393</v>
      </c>
      <c r="AB21" s="25">
        <f>VLOOKUP(L21,Zones!$A$2:$F$2186,6,FALSE)</f>
        <v>560</v>
      </c>
    </row>
    <row r="22" spans="2:28">
      <c r="B22" s="40">
        <v>0.6166666666666667</v>
      </c>
      <c r="C22" s="40" t="s">
        <v>171</v>
      </c>
      <c r="D22" s="41">
        <v>2</v>
      </c>
      <c r="E22" s="42">
        <v>2</v>
      </c>
      <c r="F22" s="42" t="s">
        <v>168</v>
      </c>
      <c r="G22" s="43" t="s">
        <v>154</v>
      </c>
      <c r="H22" s="42" t="s">
        <v>155</v>
      </c>
      <c r="I22" s="43">
        <v>1</v>
      </c>
      <c r="J22" s="43">
        <v>2</v>
      </c>
      <c r="K22" s="25" t="str">
        <f>VLOOKUP(J22,Key!$E$2:$F$9,2,FALSE)</f>
        <v>Work</v>
      </c>
      <c r="L22" s="42" t="s">
        <v>159</v>
      </c>
      <c r="M22" s="43" t="s">
        <v>159</v>
      </c>
      <c r="N22" s="42" t="s">
        <v>155</v>
      </c>
      <c r="O22" s="43">
        <v>2</v>
      </c>
      <c r="P22" s="43">
        <v>2</v>
      </c>
      <c r="Q22" s="25" t="str">
        <f>VLOOKUP(P22,Key!$E$2:$F$9,2,FALSE)</f>
        <v>Work</v>
      </c>
      <c r="R22" s="25" t="str">
        <f t="shared" si="0"/>
        <v>Work-Work</v>
      </c>
      <c r="S22" s="58">
        <v>1.5</v>
      </c>
      <c r="T22" s="58">
        <v>0.1</v>
      </c>
      <c r="U22" s="43">
        <v>1</v>
      </c>
      <c r="V22" s="43"/>
      <c r="W22" s="58"/>
      <c r="X22" s="58"/>
      <c r="Y22" s="59" t="s">
        <v>156</v>
      </c>
      <c r="Z22" s="60">
        <v>5000</v>
      </c>
      <c r="AA22" s="25">
        <f>VLOOKUP(F22,Zones!$A$2:$F$2186,6,FALSE)</f>
        <v>1393</v>
      </c>
      <c r="AB22" s="25">
        <f>VLOOKUP(L22,Zones!$A$2:$F$2186,6,FALSE)</f>
        <v>521</v>
      </c>
    </row>
    <row r="23" spans="2:28">
      <c r="B23" s="40">
        <v>0.42986111111111108</v>
      </c>
      <c r="C23" s="40" t="s">
        <v>588</v>
      </c>
      <c r="D23" s="41">
        <v>1</v>
      </c>
      <c r="E23" s="42">
        <v>2</v>
      </c>
      <c r="F23" s="42" t="s">
        <v>3281</v>
      </c>
      <c r="G23" s="43" t="s">
        <v>154</v>
      </c>
      <c r="H23" s="42" t="s">
        <v>155</v>
      </c>
      <c r="I23" s="43">
        <v>1</v>
      </c>
      <c r="J23" s="43">
        <v>2</v>
      </c>
      <c r="K23" s="25" t="str">
        <f>VLOOKUP(J23,Key!$E$2:$F$9,2,FALSE)</f>
        <v>Work</v>
      </c>
      <c r="L23" s="42" t="s">
        <v>564</v>
      </c>
      <c r="M23" s="43" t="s">
        <v>154</v>
      </c>
      <c r="N23" s="42" t="s">
        <v>155</v>
      </c>
      <c r="O23" s="43">
        <v>3</v>
      </c>
      <c r="P23" s="43">
        <v>2</v>
      </c>
      <c r="Q23" s="25" t="str">
        <f>VLOOKUP(P23,Key!$E$2:$F$9,2,FALSE)</f>
        <v>Work</v>
      </c>
      <c r="R23" s="25" t="str">
        <f t="shared" si="0"/>
        <v>Work-Work</v>
      </c>
      <c r="S23" s="58">
        <v>1</v>
      </c>
      <c r="T23" s="58">
        <v>0.1</v>
      </c>
      <c r="U23" s="43">
        <v>1</v>
      </c>
      <c r="V23" s="43"/>
      <c r="W23" s="58"/>
      <c r="X23" s="58"/>
      <c r="Y23" s="59" t="s">
        <v>156</v>
      </c>
      <c r="Z23" s="60">
        <v>1000</v>
      </c>
      <c r="AA23" s="25">
        <f>VLOOKUP(F23,Zones!$A$2:$F$2186,6,FALSE)</f>
        <v>1408</v>
      </c>
      <c r="AB23" s="25">
        <f>VLOOKUP(L23,Zones!$A$2:$F$2186,6,FALSE)</f>
        <v>1393</v>
      </c>
    </row>
    <row r="24" spans="2:28">
      <c r="B24" s="40">
        <v>0.43124999999999997</v>
      </c>
      <c r="C24" s="40" t="s">
        <v>590</v>
      </c>
      <c r="D24" s="41">
        <v>1</v>
      </c>
      <c r="E24" s="42">
        <v>6</v>
      </c>
      <c r="F24" s="42" t="s">
        <v>3281</v>
      </c>
      <c r="G24" s="43" t="s">
        <v>154</v>
      </c>
      <c r="H24" s="42" t="s">
        <v>155</v>
      </c>
      <c r="I24" s="43">
        <v>1</v>
      </c>
      <c r="J24" s="43">
        <v>6</v>
      </c>
      <c r="K24" s="25" t="str">
        <f>VLOOKUP(J24,Key!$E$2:$F$9,2,FALSE)</f>
        <v>Leisure/Social</v>
      </c>
      <c r="L24" s="42" t="s">
        <v>592</v>
      </c>
      <c r="M24" s="43" t="s">
        <v>159</v>
      </c>
      <c r="N24" s="42" t="s">
        <v>155</v>
      </c>
      <c r="O24" s="43">
        <v>1</v>
      </c>
      <c r="P24" s="43">
        <v>1</v>
      </c>
      <c r="Q24" s="25" t="str">
        <f>VLOOKUP(P24,Key!$E$2:$F$9,2,FALSE)</f>
        <v>Home</v>
      </c>
      <c r="R24" s="25" t="str">
        <f t="shared" si="0"/>
        <v>Leisure/Social-Home</v>
      </c>
      <c r="S24" s="58">
        <v>10</v>
      </c>
      <c r="T24" s="58">
        <v>0.3</v>
      </c>
      <c r="U24" s="43">
        <v>1</v>
      </c>
      <c r="V24" s="43"/>
      <c r="W24" s="58"/>
      <c r="X24" s="58"/>
      <c r="Y24" s="59" t="s">
        <v>156</v>
      </c>
      <c r="Z24" s="60">
        <v>1000</v>
      </c>
      <c r="AA24" s="25">
        <f>VLOOKUP(F24,Zones!$A$2:$F$2186,6,FALSE)</f>
        <v>1408</v>
      </c>
      <c r="AB24" s="25">
        <f>VLOOKUP(L24,Zones!$A$2:$F$2186,6,FALSE)</f>
        <v>572</v>
      </c>
    </row>
    <row r="25" spans="2:28">
      <c r="B25" s="40">
        <v>0.58333333333333337</v>
      </c>
      <c r="C25" s="40" t="s">
        <v>593</v>
      </c>
      <c r="D25" s="41">
        <v>2</v>
      </c>
      <c r="E25" s="42">
        <v>3</v>
      </c>
      <c r="F25" s="42" t="s">
        <v>382</v>
      </c>
      <c r="G25" s="43" t="s">
        <v>159</v>
      </c>
      <c r="H25" s="42" t="s">
        <v>155</v>
      </c>
      <c r="I25" s="43">
        <v>3</v>
      </c>
      <c r="J25" s="43">
        <v>4</v>
      </c>
      <c r="K25" s="25" t="str">
        <f>VLOOKUP(J25,Key!$E$2:$F$9,2,FALSE)</f>
        <v>Commercial</v>
      </c>
      <c r="L25" s="42" t="s">
        <v>184</v>
      </c>
      <c r="M25" s="43" t="s">
        <v>154</v>
      </c>
      <c r="N25" s="42" t="s">
        <v>155</v>
      </c>
      <c r="O25" s="43">
        <v>4</v>
      </c>
      <c r="P25" s="43">
        <v>4</v>
      </c>
      <c r="Q25" s="25" t="str">
        <f>VLOOKUP(P25,Key!$E$2:$F$9,2,FALSE)</f>
        <v>Commercial</v>
      </c>
      <c r="R25" s="25" t="str">
        <f t="shared" si="0"/>
        <v>Commercial-Commercial</v>
      </c>
      <c r="S25" s="58"/>
      <c r="T25" s="58">
        <v>0.1</v>
      </c>
      <c r="U25" s="43">
        <v>1</v>
      </c>
      <c r="V25" s="43">
        <v>4</v>
      </c>
      <c r="W25" s="58">
        <v>1.5</v>
      </c>
      <c r="X25" s="58">
        <v>2</v>
      </c>
      <c r="Y25" s="59" t="s">
        <v>156</v>
      </c>
      <c r="Z25" s="60">
        <v>2500</v>
      </c>
      <c r="AA25" s="25">
        <f>VLOOKUP(F25,Zones!$A$2:$F$2186,6,FALSE)</f>
        <v>559</v>
      </c>
      <c r="AB25" s="25">
        <f>VLOOKUP(L25,Zones!$A$2:$F$2186,6,FALSE)</f>
        <v>811</v>
      </c>
    </row>
    <row r="26" spans="2:28">
      <c r="B26" s="40">
        <v>0.83194444444444438</v>
      </c>
      <c r="C26" s="40" t="s">
        <v>594</v>
      </c>
      <c r="D26" s="41">
        <v>1</v>
      </c>
      <c r="E26" s="42">
        <v>2</v>
      </c>
      <c r="F26" s="42" t="s">
        <v>391</v>
      </c>
      <c r="G26" s="43" t="s">
        <v>154</v>
      </c>
      <c r="H26" s="42" t="s">
        <v>155</v>
      </c>
      <c r="I26" s="43">
        <v>1</v>
      </c>
      <c r="J26" s="43">
        <v>1</v>
      </c>
      <c r="K26" s="25" t="str">
        <f>VLOOKUP(J26,Key!$E$2:$F$9,2,FALSE)</f>
        <v>Home</v>
      </c>
      <c r="L26" s="42" t="s">
        <v>159</v>
      </c>
      <c r="M26" s="43" t="s">
        <v>159</v>
      </c>
      <c r="N26" s="42" t="s">
        <v>155</v>
      </c>
      <c r="O26" s="43">
        <v>5</v>
      </c>
      <c r="P26" s="43">
        <v>7</v>
      </c>
      <c r="Q26" s="25" t="str">
        <f>VLOOKUP(P26,Key!$E$2:$F$9,2,FALSE)</f>
        <v>Hospital</v>
      </c>
      <c r="R26" s="25" t="str">
        <f t="shared" si="0"/>
        <v>Home-Hospital</v>
      </c>
      <c r="S26" s="58">
        <v>3</v>
      </c>
      <c r="T26" s="58">
        <v>0.1</v>
      </c>
      <c r="U26" s="43">
        <v>1</v>
      </c>
      <c r="V26" s="43"/>
      <c r="W26" s="58"/>
      <c r="X26" s="58"/>
      <c r="Y26" s="59" t="s">
        <v>156</v>
      </c>
      <c r="Z26" s="60">
        <v>3000</v>
      </c>
      <c r="AA26" s="25">
        <f>VLOOKUP(F26,Zones!$A$2:$F$2186,6,FALSE)</f>
        <v>1408</v>
      </c>
      <c r="AB26" s="25">
        <f>VLOOKUP(L26,Zones!$A$2:$F$2186,6,FALSE)</f>
        <v>521</v>
      </c>
    </row>
    <row r="27" spans="2:28">
      <c r="B27" s="40">
        <v>0.43402777777777773</v>
      </c>
      <c r="C27" s="40" t="s">
        <v>595</v>
      </c>
      <c r="D27" s="41">
        <v>1</v>
      </c>
      <c r="E27" s="42">
        <v>3</v>
      </c>
      <c r="F27" s="42" t="s">
        <v>394</v>
      </c>
      <c r="G27" s="43" t="s">
        <v>154</v>
      </c>
      <c r="H27" s="42" t="s">
        <v>155</v>
      </c>
      <c r="I27" s="43">
        <v>1</v>
      </c>
      <c r="J27" s="43">
        <v>1</v>
      </c>
      <c r="K27" s="25" t="str">
        <f>VLOOKUP(J27,Key!$E$2:$F$9,2,FALSE)</f>
        <v>Home</v>
      </c>
      <c r="L27" s="42" t="s">
        <v>159</v>
      </c>
      <c r="M27" s="43" t="s">
        <v>159</v>
      </c>
      <c r="N27" s="42" t="s">
        <v>155</v>
      </c>
      <c r="O27" s="43">
        <v>5</v>
      </c>
      <c r="P27" s="43">
        <v>7</v>
      </c>
      <c r="Q27" s="25" t="str">
        <f>VLOOKUP(P27,Key!$E$2:$F$9,2,FALSE)</f>
        <v>Hospital</v>
      </c>
      <c r="R27" s="25" t="str">
        <f t="shared" si="0"/>
        <v>Home-Hospital</v>
      </c>
      <c r="S27" s="58">
        <v>1.5</v>
      </c>
      <c r="T27" s="58">
        <v>0.1</v>
      </c>
      <c r="U27" s="43">
        <v>1</v>
      </c>
      <c r="V27" s="43"/>
      <c r="W27" s="58"/>
      <c r="X27" s="58"/>
      <c r="Y27" s="59" t="s">
        <v>156</v>
      </c>
      <c r="Z27" s="60">
        <v>2000</v>
      </c>
      <c r="AA27" s="25">
        <f>VLOOKUP(F27,Zones!$A$2:$F$2186,6,FALSE)</f>
        <v>542</v>
      </c>
      <c r="AB27" s="25">
        <f>VLOOKUP(L27,Zones!$A$2:$F$2186,6,FALSE)</f>
        <v>521</v>
      </c>
    </row>
    <row r="28" spans="2:28">
      <c r="B28" s="40">
        <v>0.44027777777777777</v>
      </c>
      <c r="C28" s="40" t="s">
        <v>596</v>
      </c>
      <c r="D28" s="41">
        <v>2</v>
      </c>
      <c r="E28" s="42">
        <v>1</v>
      </c>
      <c r="F28" s="42" t="s">
        <v>168</v>
      </c>
      <c r="G28" s="43" t="s">
        <v>154</v>
      </c>
      <c r="H28" s="42" t="s">
        <v>155</v>
      </c>
      <c r="I28" s="43">
        <v>1</v>
      </c>
      <c r="J28" s="43">
        <v>1</v>
      </c>
      <c r="K28" s="25" t="str">
        <f>VLOOKUP(J28,Key!$E$2:$F$9,2,FALSE)</f>
        <v>Home</v>
      </c>
      <c r="L28" s="42" t="s">
        <v>184</v>
      </c>
      <c r="M28" s="43" t="s">
        <v>154</v>
      </c>
      <c r="N28" s="42" t="s">
        <v>155</v>
      </c>
      <c r="O28" s="43">
        <v>7</v>
      </c>
      <c r="P28" s="43">
        <v>4</v>
      </c>
      <c r="Q28" s="25" t="str">
        <f>VLOOKUP(P28,Key!$E$2:$F$9,2,FALSE)</f>
        <v>Commercial</v>
      </c>
      <c r="R28" s="25" t="str">
        <f t="shared" si="0"/>
        <v>Home-Commercial</v>
      </c>
      <c r="S28" s="58">
        <v>5</v>
      </c>
      <c r="T28" s="58">
        <v>0.1</v>
      </c>
      <c r="U28" s="43">
        <v>1</v>
      </c>
      <c r="V28" s="43"/>
      <c r="W28" s="58"/>
      <c r="X28" s="58"/>
      <c r="Y28" s="59" t="s">
        <v>156</v>
      </c>
      <c r="Z28" s="60">
        <v>1000</v>
      </c>
      <c r="AA28" s="25">
        <f>VLOOKUP(F28,Zones!$A$2:$F$2186,6,FALSE)</f>
        <v>1393</v>
      </c>
      <c r="AB28" s="25">
        <f>VLOOKUP(L28,Zones!$A$2:$F$2186,6,FALSE)</f>
        <v>811</v>
      </c>
    </row>
    <row r="29" spans="2:28">
      <c r="B29" s="40">
        <v>0.44305555555555554</v>
      </c>
      <c r="C29" s="40" t="s">
        <v>597</v>
      </c>
      <c r="D29" s="41">
        <v>1</v>
      </c>
      <c r="E29" s="42">
        <v>2</v>
      </c>
      <c r="F29" s="42" t="s">
        <v>337</v>
      </c>
      <c r="G29" s="43" t="s">
        <v>154</v>
      </c>
      <c r="H29" s="42" t="s">
        <v>155</v>
      </c>
      <c r="I29" s="43">
        <v>1</v>
      </c>
      <c r="J29" s="43">
        <v>4</v>
      </c>
      <c r="K29" s="25" t="str">
        <f>VLOOKUP(J29,Key!$E$2:$F$9,2,FALSE)</f>
        <v>Commercial</v>
      </c>
      <c r="L29" s="42" t="s">
        <v>564</v>
      </c>
      <c r="M29" s="43" t="s">
        <v>154</v>
      </c>
      <c r="N29" s="42" t="s">
        <v>155</v>
      </c>
      <c r="O29" s="43">
        <v>7</v>
      </c>
      <c r="P29" s="43">
        <v>4</v>
      </c>
      <c r="Q29" s="25" t="str">
        <f>VLOOKUP(P29,Key!$E$2:$F$9,2,FALSE)</f>
        <v>Commercial</v>
      </c>
      <c r="R29" s="25" t="str">
        <f t="shared" si="0"/>
        <v>Commercial-Commercial</v>
      </c>
      <c r="S29" s="58"/>
      <c r="T29" s="58">
        <v>0.3</v>
      </c>
      <c r="U29" s="43">
        <v>1</v>
      </c>
      <c r="V29" s="43"/>
      <c r="W29" s="58"/>
      <c r="X29" s="58"/>
      <c r="Y29" s="59" t="s">
        <v>156</v>
      </c>
      <c r="Z29" s="60">
        <v>1000</v>
      </c>
      <c r="AA29" s="25">
        <f>VLOOKUP(F29,Zones!$A$2:$F$2186,6,FALSE)</f>
        <v>1393</v>
      </c>
      <c r="AB29" s="25">
        <f>VLOOKUP(L29,Zones!$A$2:$F$2186,6,FALSE)</f>
        <v>1393</v>
      </c>
    </row>
    <row r="30" spans="2:28">
      <c r="B30" s="40">
        <v>0.44722222222222219</v>
      </c>
      <c r="C30" s="40" t="s">
        <v>598</v>
      </c>
      <c r="D30" s="41">
        <v>1</v>
      </c>
      <c r="E30" s="42">
        <v>2</v>
      </c>
      <c r="F30" s="42" t="s">
        <v>391</v>
      </c>
      <c r="G30" s="43" t="s">
        <v>154</v>
      </c>
      <c r="H30" s="42" t="s">
        <v>155</v>
      </c>
      <c r="I30" s="43">
        <v>1</v>
      </c>
      <c r="J30" s="43">
        <v>4</v>
      </c>
      <c r="K30" s="25" t="str">
        <f>VLOOKUP(J30,Key!$E$2:$F$9,2,FALSE)</f>
        <v>Commercial</v>
      </c>
      <c r="L30" s="42" t="s">
        <v>564</v>
      </c>
      <c r="M30" s="43" t="s">
        <v>154</v>
      </c>
      <c r="N30" s="42" t="s">
        <v>155</v>
      </c>
      <c r="O30" s="43">
        <v>7</v>
      </c>
      <c r="P30" s="43">
        <v>4</v>
      </c>
      <c r="Q30" s="25" t="str">
        <f>VLOOKUP(P30,Key!$E$2:$F$9,2,FALSE)</f>
        <v>Commercial</v>
      </c>
      <c r="R30" s="25" t="str">
        <f t="shared" si="0"/>
        <v>Commercial-Commercial</v>
      </c>
      <c r="S30" s="58">
        <v>10</v>
      </c>
      <c r="T30" s="58">
        <v>0.3</v>
      </c>
      <c r="U30" s="43">
        <v>4</v>
      </c>
      <c r="V30" s="43"/>
      <c r="W30" s="58"/>
      <c r="X30" s="58"/>
      <c r="Y30" s="59" t="s">
        <v>156</v>
      </c>
      <c r="Z30" s="60">
        <v>1000</v>
      </c>
      <c r="AA30" s="25">
        <f>VLOOKUP(F30,Zones!$A$2:$F$2186,6,FALSE)</f>
        <v>1408</v>
      </c>
      <c r="AB30" s="25">
        <f>VLOOKUP(L30,Zones!$A$2:$F$2186,6,FALSE)</f>
        <v>1393</v>
      </c>
    </row>
    <row r="31" spans="2:28">
      <c r="B31" s="40">
        <v>0.50763888888888886</v>
      </c>
      <c r="C31" s="40" t="s">
        <v>599</v>
      </c>
      <c r="D31" s="41">
        <v>1</v>
      </c>
      <c r="E31" s="42">
        <v>1</v>
      </c>
      <c r="F31" s="42" t="s">
        <v>245</v>
      </c>
      <c r="G31" s="43" t="s">
        <v>154</v>
      </c>
      <c r="H31" s="42" t="s">
        <v>155</v>
      </c>
      <c r="I31" s="43">
        <v>1</v>
      </c>
      <c r="J31" s="43">
        <v>2</v>
      </c>
      <c r="K31" s="25" t="str">
        <f>VLOOKUP(J31,Key!$E$2:$F$9,2,FALSE)</f>
        <v>Work</v>
      </c>
      <c r="L31" s="42" t="s">
        <v>564</v>
      </c>
      <c r="M31" s="43" t="s">
        <v>154</v>
      </c>
      <c r="N31" s="42" t="s">
        <v>155</v>
      </c>
      <c r="O31" s="43">
        <v>2</v>
      </c>
      <c r="P31" s="43">
        <v>2</v>
      </c>
      <c r="Q31" s="25" t="str">
        <f>VLOOKUP(P31,Key!$E$2:$F$9,2,FALSE)</f>
        <v>Work</v>
      </c>
      <c r="R31" s="25" t="str">
        <f t="shared" si="0"/>
        <v>Work-Work</v>
      </c>
      <c r="S31" s="58">
        <v>25</v>
      </c>
      <c r="T31" s="58">
        <v>0.1</v>
      </c>
      <c r="U31" s="43">
        <v>1</v>
      </c>
      <c r="V31" s="43"/>
      <c r="W31" s="58"/>
      <c r="X31" s="58"/>
      <c r="Y31" s="59" t="s">
        <v>156</v>
      </c>
      <c r="Z31" s="60">
        <v>1000</v>
      </c>
      <c r="AA31" s="25">
        <f>VLOOKUP(F31,Zones!$A$2:$F$2186,6,FALSE)</f>
        <v>1402</v>
      </c>
      <c r="AB31" s="25">
        <f>VLOOKUP(L31,Zones!$A$2:$F$2186,6,FALSE)</f>
        <v>1393</v>
      </c>
    </row>
    <row r="32" spans="2:28">
      <c r="B32" s="40">
        <v>0.50416666666666665</v>
      </c>
      <c r="C32" s="40" t="s">
        <v>600</v>
      </c>
      <c r="D32" s="41">
        <v>1</v>
      </c>
      <c r="E32" s="42">
        <v>3</v>
      </c>
      <c r="F32" s="42" t="s">
        <v>245</v>
      </c>
      <c r="G32" s="43" t="s">
        <v>154</v>
      </c>
      <c r="H32" s="42" t="s">
        <v>155</v>
      </c>
      <c r="I32" s="43">
        <v>1</v>
      </c>
      <c r="J32" s="43">
        <v>3</v>
      </c>
      <c r="K32" s="25" t="str">
        <f>VLOOKUP(J32,Key!$E$2:$F$9,2,FALSE)</f>
        <v>Study</v>
      </c>
      <c r="L32" s="42" t="s">
        <v>601</v>
      </c>
      <c r="M32" s="43" t="s">
        <v>159</v>
      </c>
      <c r="N32" s="42" t="s">
        <v>155</v>
      </c>
      <c r="O32" s="43">
        <v>4</v>
      </c>
      <c r="P32" s="43">
        <v>3</v>
      </c>
      <c r="Q32" s="25" t="str">
        <f>VLOOKUP(P32,Key!$E$2:$F$9,2,FALSE)</f>
        <v>Study</v>
      </c>
      <c r="R32" s="25" t="str">
        <f t="shared" si="0"/>
        <v>Study-Study</v>
      </c>
      <c r="S32" s="58">
        <v>3</v>
      </c>
      <c r="T32" s="58">
        <v>0.1</v>
      </c>
      <c r="U32" s="43">
        <v>1</v>
      </c>
      <c r="V32" s="43"/>
      <c r="W32" s="58"/>
      <c r="X32" s="58"/>
      <c r="Y32" s="59" t="s">
        <v>156</v>
      </c>
      <c r="Z32" s="60">
        <v>1000</v>
      </c>
      <c r="AA32" s="25">
        <f>VLOOKUP(F32,Zones!$A$2:$F$2186,6,FALSE)</f>
        <v>1402</v>
      </c>
      <c r="AB32" s="25">
        <f>VLOOKUP(L32,Zones!$A$2:$F$2186,6,FALSE)</f>
        <v>1405</v>
      </c>
    </row>
    <row r="33" spans="2:28">
      <c r="B33" s="40">
        <v>0.4548611111111111</v>
      </c>
      <c r="C33" s="40" t="s">
        <v>602</v>
      </c>
      <c r="D33" s="41">
        <v>1</v>
      </c>
      <c r="E33" s="42">
        <v>1</v>
      </c>
      <c r="F33" s="42" t="s">
        <v>391</v>
      </c>
      <c r="G33" s="43" t="s">
        <v>154</v>
      </c>
      <c r="H33" s="42" t="s">
        <v>155</v>
      </c>
      <c r="I33" s="43">
        <v>1</v>
      </c>
      <c r="J33" s="43">
        <v>4</v>
      </c>
      <c r="K33" s="25" t="str">
        <f>VLOOKUP(J33,Key!$E$2:$F$9,2,FALSE)</f>
        <v>Commercial</v>
      </c>
      <c r="L33" s="42" t="s">
        <v>159</v>
      </c>
      <c r="M33" s="43" t="s">
        <v>159</v>
      </c>
      <c r="N33" s="42" t="s">
        <v>155</v>
      </c>
      <c r="O33" s="43">
        <v>7</v>
      </c>
      <c r="P33" s="43">
        <v>4</v>
      </c>
      <c r="Q33" s="25" t="str">
        <f>VLOOKUP(P33,Key!$E$2:$F$9,2,FALSE)</f>
        <v>Commercial</v>
      </c>
      <c r="R33" s="25" t="str">
        <f t="shared" si="0"/>
        <v>Commercial-Commercial</v>
      </c>
      <c r="S33" s="58">
        <v>3</v>
      </c>
      <c r="T33" s="58">
        <v>0.2</v>
      </c>
      <c r="U33" s="43">
        <v>1</v>
      </c>
      <c r="V33" s="43"/>
      <c r="W33" s="58"/>
      <c r="X33" s="58"/>
      <c r="Y33" s="59" t="s">
        <v>156</v>
      </c>
      <c r="Z33" s="60">
        <v>1000</v>
      </c>
      <c r="AA33" s="25">
        <f>VLOOKUP(F33,Zones!$A$2:$F$2186,6,FALSE)</f>
        <v>1408</v>
      </c>
      <c r="AB33" s="25">
        <f>VLOOKUP(L33,Zones!$A$2:$F$2186,6,FALSE)</f>
        <v>521</v>
      </c>
    </row>
    <row r="34" spans="2:28">
      <c r="B34" s="40">
        <v>0.45347222222222222</v>
      </c>
      <c r="C34" s="40" t="s">
        <v>603</v>
      </c>
      <c r="D34" s="41">
        <v>7</v>
      </c>
      <c r="E34" s="42">
        <v>1</v>
      </c>
      <c r="F34" s="42" t="s">
        <v>604</v>
      </c>
      <c r="G34" s="43" t="s">
        <v>159</v>
      </c>
      <c r="H34" s="42" t="s">
        <v>155</v>
      </c>
      <c r="I34" s="43">
        <v>1</v>
      </c>
      <c r="J34" s="43">
        <v>2</v>
      </c>
      <c r="K34" s="25" t="str">
        <f>VLOOKUP(J34,Key!$E$2:$F$9,2,FALSE)</f>
        <v>Work</v>
      </c>
      <c r="L34" s="42" t="s">
        <v>605</v>
      </c>
      <c r="M34" s="43" t="s">
        <v>159</v>
      </c>
      <c r="N34" s="42" t="s">
        <v>155</v>
      </c>
      <c r="O34" s="43">
        <v>2</v>
      </c>
      <c r="P34" s="43">
        <v>2</v>
      </c>
      <c r="Q34" s="25" t="str">
        <f>VLOOKUP(P34,Key!$E$2:$F$9,2,FALSE)</f>
        <v>Work</v>
      </c>
      <c r="R34" s="25" t="str">
        <f t="shared" si="0"/>
        <v>Work-Work</v>
      </c>
      <c r="S34" s="58">
        <v>12</v>
      </c>
      <c r="T34" s="58">
        <v>3</v>
      </c>
      <c r="U34" s="43">
        <v>6</v>
      </c>
      <c r="V34" s="43">
        <v>11</v>
      </c>
      <c r="W34" s="58"/>
      <c r="X34" s="58"/>
      <c r="Y34" s="59" t="s">
        <v>156</v>
      </c>
      <c r="Z34" s="60">
        <v>2000</v>
      </c>
      <c r="AA34" s="25">
        <f>VLOOKUP(F34,Zones!$A$2:$F$2186,6,FALSE)</f>
        <v>565</v>
      </c>
      <c r="AB34" s="25">
        <f>VLOOKUP(L34,Zones!$A$2:$F$2186,6,FALSE)</f>
        <v>566</v>
      </c>
    </row>
    <row r="35" spans="2:28">
      <c r="B35" s="40">
        <v>0.4597222222222222</v>
      </c>
      <c r="C35" s="40" t="s">
        <v>606</v>
      </c>
      <c r="D35" s="41">
        <v>1</v>
      </c>
      <c r="E35" s="42">
        <v>2</v>
      </c>
      <c r="F35" s="42" t="s">
        <v>391</v>
      </c>
      <c r="G35" s="43" t="s">
        <v>154</v>
      </c>
      <c r="H35" s="42" t="s">
        <v>155</v>
      </c>
      <c r="I35" s="43">
        <v>1</v>
      </c>
      <c r="J35" s="43">
        <v>2</v>
      </c>
      <c r="K35" s="25" t="str">
        <f>VLOOKUP(J35,Key!$E$2:$F$9,2,FALSE)</f>
        <v>Work</v>
      </c>
      <c r="L35" s="42" t="s">
        <v>159</v>
      </c>
      <c r="M35" s="43" t="s">
        <v>159</v>
      </c>
      <c r="N35" s="42" t="s">
        <v>155</v>
      </c>
      <c r="O35" s="43">
        <v>2</v>
      </c>
      <c r="P35" s="43">
        <v>2</v>
      </c>
      <c r="Q35" s="25" t="str">
        <f>VLOOKUP(P35,Key!$E$2:$F$9,2,FALSE)</f>
        <v>Work</v>
      </c>
      <c r="R35" s="25" t="str">
        <f t="shared" si="0"/>
        <v>Work-Work</v>
      </c>
      <c r="S35" s="58">
        <v>4</v>
      </c>
      <c r="T35" s="58">
        <v>1</v>
      </c>
      <c r="U35" s="43">
        <v>1</v>
      </c>
      <c r="V35" s="43"/>
      <c r="W35" s="58"/>
      <c r="X35" s="58"/>
      <c r="Y35" s="59" t="s">
        <v>156</v>
      </c>
      <c r="Z35" s="60">
        <v>1000</v>
      </c>
      <c r="AA35" s="25">
        <f>VLOOKUP(F35,Zones!$A$2:$F$2186,6,FALSE)</f>
        <v>1408</v>
      </c>
      <c r="AB35" s="25">
        <f>VLOOKUP(L35,Zones!$A$2:$F$2186,6,FALSE)</f>
        <v>521</v>
      </c>
    </row>
    <row r="36" spans="2:28">
      <c r="B36" s="40">
        <v>0.46180555555555558</v>
      </c>
      <c r="C36" s="40" t="s">
        <v>607</v>
      </c>
      <c r="D36" s="41">
        <v>1</v>
      </c>
      <c r="E36" s="42">
        <v>1</v>
      </c>
      <c r="F36" s="42" t="s">
        <v>168</v>
      </c>
      <c r="G36" s="43" t="s">
        <v>154</v>
      </c>
      <c r="H36" s="42" t="s">
        <v>155</v>
      </c>
      <c r="I36" s="43">
        <v>1</v>
      </c>
      <c r="J36" s="43">
        <v>2</v>
      </c>
      <c r="K36" s="25" t="str">
        <f>VLOOKUP(J36,Key!$E$2:$F$9,2,FALSE)</f>
        <v>Work</v>
      </c>
      <c r="L36" s="42" t="s">
        <v>159</v>
      </c>
      <c r="M36" s="43" t="s">
        <v>159</v>
      </c>
      <c r="N36" s="42" t="s">
        <v>155</v>
      </c>
      <c r="O36" s="43">
        <v>2</v>
      </c>
      <c r="P36" s="43">
        <v>2</v>
      </c>
      <c r="Q36" s="25" t="str">
        <f>VLOOKUP(P36,Key!$E$2:$F$9,2,FALSE)</f>
        <v>Work</v>
      </c>
      <c r="R36" s="25" t="str">
        <f t="shared" si="0"/>
        <v>Work-Work</v>
      </c>
      <c r="S36" s="58">
        <v>2</v>
      </c>
      <c r="T36" s="58">
        <v>0.1</v>
      </c>
      <c r="U36" s="43">
        <v>1</v>
      </c>
      <c r="V36" s="43"/>
      <c r="W36" s="58"/>
      <c r="X36" s="58"/>
      <c r="Y36" s="59" t="s">
        <v>156</v>
      </c>
      <c r="Z36" s="60">
        <v>1000</v>
      </c>
      <c r="AA36" s="25">
        <f>VLOOKUP(F36,Zones!$A$2:$F$2186,6,FALSE)</f>
        <v>1393</v>
      </c>
      <c r="AB36" s="25">
        <f>VLOOKUP(L36,Zones!$A$2:$F$2186,6,FALSE)</f>
        <v>521</v>
      </c>
    </row>
    <row r="37" spans="2:28">
      <c r="B37" s="40">
        <v>0.49652777777777773</v>
      </c>
      <c r="C37" s="40" t="s">
        <v>608</v>
      </c>
      <c r="D37" s="41">
        <v>1</v>
      </c>
      <c r="E37" s="42">
        <v>3</v>
      </c>
      <c r="F37" s="42" t="s">
        <v>168</v>
      </c>
      <c r="G37" s="43" t="s">
        <v>154</v>
      </c>
      <c r="H37" s="42" t="s">
        <v>155</v>
      </c>
      <c r="I37" s="43">
        <v>1</v>
      </c>
      <c r="J37" s="43">
        <v>1</v>
      </c>
      <c r="K37" s="25" t="str">
        <f>VLOOKUP(J37,Key!$E$2:$F$9,2,FALSE)</f>
        <v>Home</v>
      </c>
      <c r="L37" s="42" t="s">
        <v>159</v>
      </c>
      <c r="M37" s="43" t="s">
        <v>159</v>
      </c>
      <c r="N37" s="42" t="s">
        <v>155</v>
      </c>
      <c r="O37" s="43">
        <v>2</v>
      </c>
      <c r="P37" s="43">
        <v>2</v>
      </c>
      <c r="Q37" s="25" t="str">
        <f>VLOOKUP(P37,Key!$E$2:$F$9,2,FALSE)</f>
        <v>Work</v>
      </c>
      <c r="R37" s="25" t="str">
        <f t="shared" si="0"/>
        <v>Home-Work</v>
      </c>
      <c r="S37" s="58">
        <v>2</v>
      </c>
      <c r="T37" s="58">
        <v>0.2</v>
      </c>
      <c r="U37" s="43">
        <v>2</v>
      </c>
      <c r="V37" s="43"/>
      <c r="W37" s="58"/>
      <c r="X37" s="58"/>
      <c r="Y37" s="59" t="s">
        <v>156</v>
      </c>
      <c r="Z37" s="60">
        <v>2000</v>
      </c>
      <c r="AA37" s="25">
        <f>VLOOKUP(F37,Zones!$A$2:$F$2186,6,FALSE)</f>
        <v>1393</v>
      </c>
      <c r="AB37" s="25">
        <f>VLOOKUP(L37,Zones!$A$2:$F$2186,6,FALSE)</f>
        <v>521</v>
      </c>
    </row>
    <row r="38" spans="2:28">
      <c r="B38" s="40">
        <v>0.49583333333333335</v>
      </c>
      <c r="C38" s="40" t="s">
        <v>609</v>
      </c>
      <c r="D38" s="41">
        <v>1</v>
      </c>
      <c r="E38" s="42">
        <v>1</v>
      </c>
      <c r="F38" s="42" t="s">
        <v>168</v>
      </c>
      <c r="G38" s="43" t="s">
        <v>154</v>
      </c>
      <c r="H38" s="42" t="s">
        <v>155</v>
      </c>
      <c r="I38" s="43">
        <v>1</v>
      </c>
      <c r="J38" s="43">
        <v>1</v>
      </c>
      <c r="K38" s="25" t="str">
        <f>VLOOKUP(J38,Key!$E$2:$F$9,2,FALSE)</f>
        <v>Home</v>
      </c>
      <c r="L38" s="42" t="s">
        <v>610</v>
      </c>
      <c r="M38" s="43" t="s">
        <v>159</v>
      </c>
      <c r="N38" s="42" t="s">
        <v>155</v>
      </c>
      <c r="O38" s="43">
        <v>10</v>
      </c>
      <c r="P38" s="43">
        <v>4</v>
      </c>
      <c r="Q38" s="25" t="str">
        <f>VLOOKUP(P38,Key!$E$2:$F$9,2,FALSE)</f>
        <v>Commercial</v>
      </c>
      <c r="R38" s="25" t="str">
        <f t="shared" si="0"/>
        <v>Home-Commercial</v>
      </c>
      <c r="S38" s="58">
        <v>2</v>
      </c>
      <c r="T38" s="58">
        <v>0.1</v>
      </c>
      <c r="U38" s="43">
        <v>1</v>
      </c>
      <c r="V38" s="43"/>
      <c r="W38" s="58"/>
      <c r="X38" s="58"/>
      <c r="Y38" s="59" t="s">
        <v>156</v>
      </c>
      <c r="Z38" s="60">
        <v>1500</v>
      </c>
      <c r="AA38" s="25">
        <f>VLOOKUP(F38,Zones!$A$2:$F$2186,6,FALSE)</f>
        <v>1393</v>
      </c>
      <c r="AB38" s="25">
        <f>VLOOKUP(L38,Zones!$A$2:$F$2186,6,FALSE)</f>
        <v>559</v>
      </c>
    </row>
    <row r="39" spans="2:28">
      <c r="B39" s="40">
        <v>0.4993055555555555</v>
      </c>
      <c r="C39" s="40" t="s">
        <v>611</v>
      </c>
      <c r="D39" s="41">
        <v>4</v>
      </c>
      <c r="E39" s="42">
        <v>6</v>
      </c>
      <c r="F39" s="42" t="s">
        <v>245</v>
      </c>
      <c r="G39" s="43" t="s">
        <v>154</v>
      </c>
      <c r="H39" s="42" t="s">
        <v>155</v>
      </c>
      <c r="I39" s="43">
        <v>1</v>
      </c>
      <c r="J39" s="43">
        <v>7</v>
      </c>
      <c r="K39" s="25" t="str">
        <f>VLOOKUP(J39,Key!$E$2:$F$9,2,FALSE)</f>
        <v>Hospital</v>
      </c>
      <c r="L39" s="42" t="s">
        <v>564</v>
      </c>
      <c r="M39" s="43" t="s">
        <v>154</v>
      </c>
      <c r="N39" s="42" t="s">
        <v>155</v>
      </c>
      <c r="O39" s="43">
        <v>5</v>
      </c>
      <c r="P39" s="43">
        <v>7</v>
      </c>
      <c r="Q39" s="25" t="str">
        <f>VLOOKUP(P39,Key!$E$2:$F$9,2,FALSE)</f>
        <v>Hospital</v>
      </c>
      <c r="R39" s="25" t="str">
        <f t="shared" si="0"/>
        <v>Hospital-Hospital</v>
      </c>
      <c r="S39" s="58">
        <v>5</v>
      </c>
      <c r="T39" s="58">
        <v>0.1</v>
      </c>
      <c r="U39" s="43">
        <v>1</v>
      </c>
      <c r="V39" s="43"/>
      <c r="W39" s="58"/>
      <c r="X39" s="58"/>
      <c r="Y39" s="59" t="s">
        <v>156</v>
      </c>
      <c r="Z39" s="60">
        <v>2000</v>
      </c>
      <c r="AA39" s="25">
        <f>VLOOKUP(F39,Zones!$A$2:$F$2186,6,FALSE)</f>
        <v>1402</v>
      </c>
      <c r="AB39" s="25">
        <f>VLOOKUP(L39,Zones!$A$2:$F$2186,6,FALSE)</f>
        <v>1393</v>
      </c>
    </row>
    <row r="40" spans="2:28">
      <c r="B40" s="40">
        <v>0.49791666666666662</v>
      </c>
      <c r="C40" s="40" t="s">
        <v>612</v>
      </c>
      <c r="D40" s="41">
        <v>1</v>
      </c>
      <c r="E40" s="42">
        <v>3</v>
      </c>
      <c r="F40" s="42" t="s">
        <v>391</v>
      </c>
      <c r="G40" s="43" t="s">
        <v>154</v>
      </c>
      <c r="H40" s="42" t="s">
        <v>155</v>
      </c>
      <c r="I40" s="43">
        <v>1</v>
      </c>
      <c r="J40" s="43">
        <v>6</v>
      </c>
      <c r="K40" s="25" t="str">
        <f>VLOOKUP(J40,Key!$E$2:$F$9,2,FALSE)</f>
        <v>Leisure/Social</v>
      </c>
      <c r="L40" s="42" t="s">
        <v>3284</v>
      </c>
      <c r="M40" s="43" t="s">
        <v>154</v>
      </c>
      <c r="N40" s="42" t="s">
        <v>155</v>
      </c>
      <c r="O40" s="43">
        <v>1</v>
      </c>
      <c r="P40" s="43">
        <v>6</v>
      </c>
      <c r="Q40" s="25" t="str">
        <f>VLOOKUP(P40,Key!$E$2:$F$9,2,FALSE)</f>
        <v>Leisure/Social</v>
      </c>
      <c r="R40" s="25" t="str">
        <f t="shared" si="0"/>
        <v>Leisure/Social-Leisure/Social</v>
      </c>
      <c r="S40" s="58">
        <v>2</v>
      </c>
      <c r="T40" s="58">
        <v>0.1</v>
      </c>
      <c r="U40" s="43">
        <v>1</v>
      </c>
      <c r="V40" s="43"/>
      <c r="W40" s="58"/>
      <c r="X40" s="58"/>
      <c r="Y40" s="59" t="s">
        <v>156</v>
      </c>
      <c r="Z40" s="60">
        <v>1000</v>
      </c>
      <c r="AA40" s="25">
        <f>VLOOKUP(F40,Zones!$A$2:$F$2186,6,FALSE)</f>
        <v>1408</v>
      </c>
      <c r="AB40" s="25">
        <f>VLOOKUP(L40,Zones!$A$2:$F$2186,6,FALSE)</f>
        <v>542</v>
      </c>
    </row>
    <row r="41" spans="2:28">
      <c r="B41" s="40">
        <v>0.46597222222222223</v>
      </c>
      <c r="C41" s="40" t="s">
        <v>614</v>
      </c>
      <c r="D41" s="41">
        <v>1</v>
      </c>
      <c r="E41" s="42">
        <v>1</v>
      </c>
      <c r="F41" s="42" t="s">
        <v>245</v>
      </c>
      <c r="G41" s="43" t="s">
        <v>154</v>
      </c>
      <c r="H41" s="42" t="s">
        <v>155</v>
      </c>
      <c r="I41" s="43">
        <v>1</v>
      </c>
      <c r="J41" s="43">
        <v>7</v>
      </c>
      <c r="K41" s="25" t="str">
        <f>VLOOKUP(J41,Key!$E$2:$F$9,2,FALSE)</f>
        <v>Hospital</v>
      </c>
      <c r="L41" s="42" t="s">
        <v>615</v>
      </c>
      <c r="M41" s="43" t="s">
        <v>163</v>
      </c>
      <c r="N41" s="42" t="s">
        <v>155</v>
      </c>
      <c r="O41" s="43">
        <v>5</v>
      </c>
      <c r="P41" s="43">
        <v>7</v>
      </c>
      <c r="Q41" s="25" t="str">
        <f>VLOOKUP(P41,Key!$E$2:$F$9,2,FALSE)</f>
        <v>Hospital</v>
      </c>
      <c r="R41" s="25" t="str">
        <f t="shared" si="0"/>
        <v>Hospital-Hospital</v>
      </c>
      <c r="S41" s="58">
        <v>5</v>
      </c>
      <c r="T41" s="58">
        <v>0.3</v>
      </c>
      <c r="U41" s="43">
        <v>6</v>
      </c>
      <c r="V41" s="43"/>
      <c r="W41" s="58"/>
      <c r="X41" s="58"/>
      <c r="Y41" s="59" t="s">
        <v>156</v>
      </c>
      <c r="Z41" s="60">
        <v>2000</v>
      </c>
      <c r="AA41" s="25">
        <f>VLOOKUP(F41,Zones!$A$2:$F$2186,6,FALSE)</f>
        <v>1402</v>
      </c>
      <c r="AB41" s="25">
        <f>VLOOKUP(L41,Zones!$A$2:$F$2186,6,FALSE)</f>
        <v>1071</v>
      </c>
    </row>
    <row r="42" spans="2:28">
      <c r="B42" s="40">
        <v>0.47291666666666665</v>
      </c>
      <c r="C42" s="40" t="s">
        <v>616</v>
      </c>
      <c r="D42" s="41">
        <v>8</v>
      </c>
      <c r="E42" s="42">
        <v>1</v>
      </c>
      <c r="F42" s="42" t="s">
        <v>168</v>
      </c>
      <c r="G42" s="43" t="s">
        <v>154</v>
      </c>
      <c r="H42" s="42" t="s">
        <v>155</v>
      </c>
      <c r="I42" s="43">
        <v>1</v>
      </c>
      <c r="J42" s="43">
        <v>2</v>
      </c>
      <c r="K42" s="25" t="str">
        <f>VLOOKUP(J42,Key!$E$2:$F$9,2,FALSE)</f>
        <v>Work</v>
      </c>
      <c r="L42" s="42" t="s">
        <v>564</v>
      </c>
      <c r="M42" s="43" t="s">
        <v>154</v>
      </c>
      <c r="N42" s="42" t="s">
        <v>155</v>
      </c>
      <c r="O42" s="43">
        <v>3</v>
      </c>
      <c r="P42" s="43">
        <v>3</v>
      </c>
      <c r="Q42" s="25" t="str">
        <f>VLOOKUP(P42,Key!$E$2:$F$9,2,FALSE)</f>
        <v>Study</v>
      </c>
      <c r="R42" s="25" t="str">
        <f t="shared" si="0"/>
        <v>Work-Study</v>
      </c>
      <c r="S42" s="58"/>
      <c r="T42" s="58">
        <v>2</v>
      </c>
      <c r="U42" s="43">
        <v>1</v>
      </c>
      <c r="V42" s="43">
        <v>11</v>
      </c>
      <c r="W42" s="58"/>
      <c r="X42" s="58"/>
      <c r="Y42" s="59" t="s">
        <v>156</v>
      </c>
      <c r="Z42" s="60">
        <v>15000</v>
      </c>
      <c r="AA42" s="25">
        <f>VLOOKUP(F42,Zones!$A$2:$F$2186,6,FALSE)</f>
        <v>1393</v>
      </c>
      <c r="AB42" s="25">
        <f>VLOOKUP(L42,Zones!$A$2:$F$2186,6,FALSE)</f>
        <v>1393</v>
      </c>
    </row>
    <row r="43" spans="2:28">
      <c r="B43" s="40">
        <v>0.41875000000000001</v>
      </c>
      <c r="C43" s="40" t="s">
        <v>617</v>
      </c>
      <c r="D43" s="41">
        <v>1</v>
      </c>
      <c r="E43" s="42">
        <v>2</v>
      </c>
      <c r="F43" s="42" t="s">
        <v>667</v>
      </c>
      <c r="G43" s="43" t="s">
        <v>154</v>
      </c>
      <c r="H43" s="42" t="s">
        <v>155</v>
      </c>
      <c r="I43" s="43">
        <v>9</v>
      </c>
      <c r="J43" s="43">
        <v>2</v>
      </c>
      <c r="K43" s="25" t="str">
        <f>VLOOKUP(J43,Key!$E$2:$F$9,2,FALSE)</f>
        <v>Work</v>
      </c>
      <c r="L43" s="42" t="s">
        <v>605</v>
      </c>
      <c r="M43" s="43" t="s">
        <v>159</v>
      </c>
      <c r="N43" s="42" t="s">
        <v>155</v>
      </c>
      <c r="O43" s="43">
        <v>2</v>
      </c>
      <c r="P43" s="43">
        <v>2</v>
      </c>
      <c r="Q43" s="25" t="str">
        <f>VLOOKUP(P43,Key!$E$2:$F$9,2,FALSE)</f>
        <v>Work</v>
      </c>
      <c r="R43" s="25" t="str">
        <f t="shared" si="0"/>
        <v>Work-Work</v>
      </c>
      <c r="S43" s="58">
        <v>7</v>
      </c>
      <c r="T43" s="58">
        <v>0.1</v>
      </c>
      <c r="U43" s="43">
        <v>1</v>
      </c>
      <c r="V43" s="43"/>
      <c r="W43" s="58"/>
      <c r="X43" s="58"/>
      <c r="Y43" s="59" t="s">
        <v>156</v>
      </c>
      <c r="Z43" s="60">
        <v>1000</v>
      </c>
      <c r="AA43" s="25">
        <f>VLOOKUP(F43,Zones!$A$2:$F$2186,6,FALSE)</f>
        <v>583</v>
      </c>
      <c r="AB43" s="25">
        <f>VLOOKUP(L43,Zones!$A$2:$F$2186,6,FALSE)</f>
        <v>566</v>
      </c>
    </row>
    <row r="44" spans="2:28">
      <c r="B44" s="40">
        <v>0.42222222222222222</v>
      </c>
      <c r="C44" s="40" t="s">
        <v>619</v>
      </c>
      <c r="D44" s="41">
        <v>1</v>
      </c>
      <c r="E44" s="42">
        <v>1</v>
      </c>
      <c r="F44" s="42" t="s">
        <v>337</v>
      </c>
      <c r="G44" s="43" t="s">
        <v>154</v>
      </c>
      <c r="H44" s="42" t="s">
        <v>155</v>
      </c>
      <c r="I44" s="43">
        <v>1</v>
      </c>
      <c r="J44" s="43">
        <v>2</v>
      </c>
      <c r="K44" s="25" t="str">
        <f>VLOOKUP(J44,Key!$E$2:$F$9,2,FALSE)</f>
        <v>Work</v>
      </c>
      <c r="L44" s="42" t="s">
        <v>199</v>
      </c>
      <c r="M44" s="43" t="s">
        <v>159</v>
      </c>
      <c r="N44" s="42" t="s">
        <v>155</v>
      </c>
      <c r="O44" s="43">
        <v>2</v>
      </c>
      <c r="P44" s="43">
        <v>2</v>
      </c>
      <c r="Q44" s="25" t="str">
        <f>VLOOKUP(P44,Key!$E$2:$F$9,2,FALSE)</f>
        <v>Work</v>
      </c>
      <c r="R44" s="25" t="str">
        <f t="shared" si="0"/>
        <v>Work-Work</v>
      </c>
      <c r="S44" s="58">
        <v>2</v>
      </c>
      <c r="T44" s="58">
        <v>0.1</v>
      </c>
      <c r="U44" s="43">
        <v>6</v>
      </c>
      <c r="V44" s="43"/>
      <c r="W44" s="58"/>
      <c r="X44" s="58"/>
      <c r="Y44" s="59" t="s">
        <v>156</v>
      </c>
      <c r="Z44" s="60">
        <v>1000</v>
      </c>
      <c r="AA44" s="25">
        <f>VLOOKUP(F44,Zones!$A$2:$F$2186,6,FALSE)</f>
        <v>1393</v>
      </c>
      <c r="AB44" s="25">
        <f>VLOOKUP(L44,Zones!$A$2:$F$2186,6,FALSE)</f>
        <v>577</v>
      </c>
    </row>
    <row r="45" spans="2:28">
      <c r="B45" s="40">
        <v>0.46875</v>
      </c>
      <c r="C45" s="40" t="s">
        <v>620</v>
      </c>
      <c r="D45" s="41">
        <v>11</v>
      </c>
      <c r="E45" s="42">
        <v>2</v>
      </c>
      <c r="F45" s="42" t="s">
        <v>245</v>
      </c>
      <c r="G45" s="43" t="s">
        <v>154</v>
      </c>
      <c r="H45" s="42" t="s">
        <v>155</v>
      </c>
      <c r="I45" s="43">
        <v>1</v>
      </c>
      <c r="J45" s="43">
        <v>1</v>
      </c>
      <c r="K45" s="25" t="str">
        <f>VLOOKUP(J45,Key!$E$2:$F$9,2,FALSE)</f>
        <v>Home</v>
      </c>
      <c r="L45" s="42" t="s">
        <v>564</v>
      </c>
      <c r="M45" s="43" t="s">
        <v>154</v>
      </c>
      <c r="N45" s="42" t="s">
        <v>155</v>
      </c>
      <c r="O45" s="43">
        <v>2</v>
      </c>
      <c r="P45" s="43">
        <v>2</v>
      </c>
      <c r="Q45" s="25" t="str">
        <f>VLOOKUP(P45,Key!$E$2:$F$9,2,FALSE)</f>
        <v>Work</v>
      </c>
      <c r="R45" s="25" t="str">
        <f t="shared" si="0"/>
        <v>Home-Work</v>
      </c>
      <c r="S45" s="58">
        <v>12</v>
      </c>
      <c r="T45" s="58">
        <v>0.1</v>
      </c>
      <c r="U45" s="43">
        <v>2</v>
      </c>
      <c r="V45" s="43"/>
      <c r="W45" s="58"/>
      <c r="X45" s="58"/>
      <c r="Y45" s="59" t="s">
        <v>156</v>
      </c>
      <c r="Z45" s="60">
        <v>1000</v>
      </c>
      <c r="AA45" s="25">
        <f>VLOOKUP(F45,Zones!$A$2:$F$2186,6,FALSE)</f>
        <v>1402</v>
      </c>
      <c r="AB45" s="25">
        <f>VLOOKUP(L45,Zones!$A$2:$F$2186,6,FALSE)</f>
        <v>1393</v>
      </c>
    </row>
    <row r="46" spans="2:28">
      <c r="B46" s="40">
        <v>0.47152777777777777</v>
      </c>
      <c r="C46" s="40" t="s">
        <v>621</v>
      </c>
      <c r="D46" s="41">
        <v>7</v>
      </c>
      <c r="E46" s="42">
        <v>1</v>
      </c>
      <c r="F46" s="42" t="s">
        <v>622</v>
      </c>
      <c r="G46" s="43" t="s">
        <v>154</v>
      </c>
      <c r="H46" s="42" t="s">
        <v>155</v>
      </c>
      <c r="I46" s="43">
        <v>1</v>
      </c>
      <c r="J46" s="43">
        <v>1</v>
      </c>
      <c r="K46" s="25" t="str">
        <f>VLOOKUP(J46,Key!$E$2:$F$9,2,FALSE)</f>
        <v>Home</v>
      </c>
      <c r="L46" s="42" t="s">
        <v>659</v>
      </c>
      <c r="M46" s="43" t="s">
        <v>154</v>
      </c>
      <c r="N46" s="42" t="s">
        <v>155</v>
      </c>
      <c r="O46" s="43">
        <v>2</v>
      </c>
      <c r="P46" s="43">
        <v>2</v>
      </c>
      <c r="Q46" s="25" t="str">
        <f>VLOOKUP(P46,Key!$E$2:$F$9,2,FALSE)</f>
        <v>Work</v>
      </c>
      <c r="R46" s="25" t="str">
        <f t="shared" si="0"/>
        <v>Home-Work</v>
      </c>
      <c r="S46" s="58"/>
      <c r="T46" s="58">
        <v>0.8</v>
      </c>
      <c r="U46" s="43">
        <v>6</v>
      </c>
      <c r="V46" s="43">
        <v>11</v>
      </c>
      <c r="W46" s="58"/>
      <c r="X46" s="58"/>
      <c r="Y46" s="59" t="s">
        <v>156</v>
      </c>
      <c r="Z46" s="60">
        <v>2000</v>
      </c>
      <c r="AA46" s="25">
        <f>VLOOKUP(F46,Zones!$A$2:$F$2186,6,FALSE)</f>
        <v>1402</v>
      </c>
      <c r="AB46" s="25">
        <f>VLOOKUP(L46,Zones!$A$2:$F$2186,6,FALSE)</f>
        <v>542</v>
      </c>
    </row>
    <row r="47" spans="2:28">
      <c r="B47" s="40">
        <v>0.81388888888888899</v>
      </c>
      <c r="C47" s="40" t="s">
        <v>624</v>
      </c>
      <c r="D47" s="41">
        <v>1</v>
      </c>
      <c r="E47" s="42">
        <v>3</v>
      </c>
      <c r="F47" s="42" t="s">
        <v>168</v>
      </c>
      <c r="G47" s="43" t="s">
        <v>154</v>
      </c>
      <c r="H47" s="42" t="s">
        <v>155</v>
      </c>
      <c r="I47" s="43">
        <v>1</v>
      </c>
      <c r="J47" s="43">
        <v>1</v>
      </c>
      <c r="K47" s="25" t="str">
        <f>VLOOKUP(J47,Key!$E$2:$F$9,2,FALSE)</f>
        <v>Home</v>
      </c>
      <c r="L47" s="42" t="s">
        <v>199</v>
      </c>
      <c r="M47" s="43" t="s">
        <v>159</v>
      </c>
      <c r="N47" s="42" t="s">
        <v>155</v>
      </c>
      <c r="O47" s="43">
        <v>1</v>
      </c>
      <c r="P47" s="43">
        <v>6</v>
      </c>
      <c r="Q47" s="25" t="str">
        <f>VLOOKUP(P47,Key!$E$2:$F$9,2,FALSE)</f>
        <v>Leisure/Social</v>
      </c>
      <c r="R47" s="25" t="str">
        <f t="shared" si="0"/>
        <v>Home-Leisure/Social</v>
      </c>
      <c r="S47" s="58">
        <v>2</v>
      </c>
      <c r="T47" s="58">
        <v>0.1</v>
      </c>
      <c r="U47" s="43">
        <v>1</v>
      </c>
      <c r="V47" s="43"/>
      <c r="W47" s="58"/>
      <c r="X47" s="58"/>
      <c r="Y47" s="59" t="s">
        <v>156</v>
      </c>
      <c r="Z47" s="60">
        <v>1000</v>
      </c>
      <c r="AA47" s="25">
        <f>VLOOKUP(F47,Zones!$A$2:$F$2186,6,FALSE)</f>
        <v>1393</v>
      </c>
      <c r="AB47" s="25">
        <f>VLOOKUP(L47,Zones!$A$2:$F$2186,6,FALSE)</f>
        <v>577</v>
      </c>
    </row>
    <row r="48" spans="2:28">
      <c r="B48" s="40">
        <v>0.8125</v>
      </c>
      <c r="C48" s="40" t="s">
        <v>625</v>
      </c>
      <c r="D48" s="41">
        <v>8</v>
      </c>
      <c r="E48" s="42">
        <v>3</v>
      </c>
      <c r="F48" s="42" t="s">
        <v>626</v>
      </c>
      <c r="G48" s="43" t="s">
        <v>154</v>
      </c>
      <c r="H48" s="42" t="s">
        <v>155</v>
      </c>
      <c r="I48" s="43">
        <v>1</v>
      </c>
      <c r="J48" s="43">
        <v>4</v>
      </c>
      <c r="K48" s="25" t="str">
        <f>VLOOKUP(J48,Key!$E$2:$F$9,2,FALSE)</f>
        <v>Commercial</v>
      </c>
      <c r="L48" s="42" t="s">
        <v>163</v>
      </c>
      <c r="M48" s="43" t="s">
        <v>163</v>
      </c>
      <c r="N48" s="42" t="s">
        <v>155</v>
      </c>
      <c r="O48" s="43">
        <v>3</v>
      </c>
      <c r="P48" s="43">
        <v>4</v>
      </c>
      <c r="Q48" s="25" t="str">
        <f>VLOOKUP(P48,Key!$E$2:$F$9,2,FALSE)</f>
        <v>Commercial</v>
      </c>
      <c r="R48" s="25" t="str">
        <f t="shared" si="0"/>
        <v>Commercial-Commercial</v>
      </c>
      <c r="S48" s="58"/>
      <c r="T48" s="58">
        <v>2</v>
      </c>
      <c r="U48" s="43">
        <v>1</v>
      </c>
      <c r="V48" s="43">
        <v>1</v>
      </c>
      <c r="W48" s="58">
        <v>8</v>
      </c>
      <c r="X48" s="58">
        <v>12</v>
      </c>
      <c r="Y48" s="59" t="s">
        <v>156</v>
      </c>
      <c r="Z48" s="60">
        <v>2000</v>
      </c>
      <c r="AA48" s="25">
        <f>VLOOKUP(F48,Zones!$A$2:$F$2186,6,FALSE)</f>
        <v>517</v>
      </c>
      <c r="AB48" s="25">
        <f>VLOOKUP(L48,Zones!$A$2:$F$2186,6,FALSE)</f>
        <v>1064</v>
      </c>
    </row>
    <row r="49" spans="2:28">
      <c r="B49" s="40">
        <v>0.56111111111111112</v>
      </c>
      <c r="C49" s="40" t="s">
        <v>627</v>
      </c>
      <c r="D49" s="41">
        <v>1</v>
      </c>
      <c r="E49" s="42">
        <v>4</v>
      </c>
      <c r="F49" s="42" t="s">
        <v>168</v>
      </c>
      <c r="G49" s="43" t="s">
        <v>154</v>
      </c>
      <c r="H49" s="42" t="s">
        <v>155</v>
      </c>
      <c r="I49" s="43">
        <v>1</v>
      </c>
      <c r="J49" s="43">
        <v>7</v>
      </c>
      <c r="K49" s="25" t="str">
        <f>VLOOKUP(J49,Key!$E$2:$F$9,2,FALSE)</f>
        <v>Hospital</v>
      </c>
      <c r="L49" s="42" t="s">
        <v>628</v>
      </c>
      <c r="M49" s="43" t="s">
        <v>628</v>
      </c>
      <c r="N49" s="42" t="s">
        <v>155</v>
      </c>
      <c r="O49" s="43">
        <v>5</v>
      </c>
      <c r="P49" s="43">
        <v>7</v>
      </c>
      <c r="Q49" s="25" t="str">
        <f>VLOOKUP(P49,Key!$E$2:$F$9,2,FALSE)</f>
        <v>Hospital</v>
      </c>
      <c r="R49" s="25" t="str">
        <f t="shared" si="0"/>
        <v>Hospital-Hospital</v>
      </c>
      <c r="S49" s="58">
        <v>2</v>
      </c>
      <c r="T49" s="58">
        <v>0.2</v>
      </c>
      <c r="U49" s="43">
        <v>1</v>
      </c>
      <c r="V49" s="43"/>
      <c r="W49" s="58"/>
      <c r="X49" s="58"/>
      <c r="Y49" s="59" t="s">
        <v>156</v>
      </c>
      <c r="Z49" s="60">
        <v>1000</v>
      </c>
      <c r="AA49" s="25">
        <f>VLOOKUP(F49,Zones!$A$2:$F$2186,6,FALSE)</f>
        <v>1393</v>
      </c>
      <c r="AB49" s="25">
        <f>VLOOKUP(L49,Zones!$A$2:$F$2186,6,FALSE)</f>
        <v>1037</v>
      </c>
    </row>
    <row r="50" spans="2:28">
      <c r="B50" s="40">
        <v>0.55972222222222223</v>
      </c>
      <c r="C50" s="40" t="s">
        <v>629</v>
      </c>
      <c r="D50" s="41">
        <v>1</v>
      </c>
      <c r="E50" s="42">
        <v>2</v>
      </c>
      <c r="F50" s="42" t="s">
        <v>245</v>
      </c>
      <c r="G50" s="43" t="s">
        <v>154</v>
      </c>
      <c r="H50" s="42" t="s">
        <v>155</v>
      </c>
      <c r="I50" s="43">
        <v>1</v>
      </c>
      <c r="J50" s="43">
        <v>1</v>
      </c>
      <c r="K50" s="25" t="str">
        <f>VLOOKUP(J50,Key!$E$2:$F$9,2,FALSE)</f>
        <v>Home</v>
      </c>
      <c r="L50" s="42" t="s">
        <v>659</v>
      </c>
      <c r="M50" s="43" t="s">
        <v>154</v>
      </c>
      <c r="N50" s="42" t="s">
        <v>155</v>
      </c>
      <c r="O50" s="43">
        <v>4</v>
      </c>
      <c r="P50" s="43">
        <v>3</v>
      </c>
      <c r="Q50" s="25" t="str">
        <f>VLOOKUP(P50,Key!$E$2:$F$9,2,FALSE)</f>
        <v>Study</v>
      </c>
      <c r="R50" s="25" t="str">
        <f t="shared" si="0"/>
        <v>Home-Study</v>
      </c>
      <c r="S50" s="58"/>
      <c r="T50" s="58">
        <v>0.1</v>
      </c>
      <c r="U50" s="43">
        <v>1</v>
      </c>
      <c r="V50" s="43"/>
      <c r="W50" s="58"/>
      <c r="X50" s="58"/>
      <c r="Y50" s="59" t="s">
        <v>156</v>
      </c>
      <c r="Z50" s="60">
        <v>2000</v>
      </c>
      <c r="AA50" s="25">
        <f>VLOOKUP(F50,Zones!$A$2:$F$2186,6,FALSE)</f>
        <v>1402</v>
      </c>
      <c r="AB50" s="25">
        <f>VLOOKUP(L50,Zones!$A$2:$F$2186,6,FALSE)</f>
        <v>542</v>
      </c>
    </row>
    <row r="51" spans="2:28">
      <c r="B51" s="40">
        <v>0.55763888888888891</v>
      </c>
      <c r="C51" s="40" t="s">
        <v>631</v>
      </c>
      <c r="D51" s="41">
        <v>1</v>
      </c>
      <c r="E51" s="42">
        <v>1</v>
      </c>
      <c r="F51" s="42" t="s">
        <v>391</v>
      </c>
      <c r="G51" s="43" t="s">
        <v>154</v>
      </c>
      <c r="H51" s="42" t="s">
        <v>155</v>
      </c>
      <c r="I51" s="43">
        <v>1</v>
      </c>
      <c r="J51" s="43">
        <v>1</v>
      </c>
      <c r="K51" s="25" t="str">
        <f>VLOOKUP(J51,Key!$E$2:$F$9,2,FALSE)</f>
        <v>Home</v>
      </c>
      <c r="L51" s="42" t="s">
        <v>163</v>
      </c>
      <c r="M51" s="43" t="s">
        <v>163</v>
      </c>
      <c r="N51" s="42" t="s">
        <v>155</v>
      </c>
      <c r="O51" s="43">
        <v>8</v>
      </c>
      <c r="P51" s="43">
        <v>1</v>
      </c>
      <c r="Q51" s="25" t="str">
        <f>VLOOKUP(P51,Key!$E$2:$F$9,2,FALSE)</f>
        <v>Home</v>
      </c>
      <c r="R51" s="25" t="str">
        <f t="shared" si="0"/>
        <v>Home-Home</v>
      </c>
      <c r="S51" s="58">
        <v>7</v>
      </c>
      <c r="T51" s="58">
        <v>0.2</v>
      </c>
      <c r="U51" s="43">
        <v>1</v>
      </c>
      <c r="V51" s="43"/>
      <c r="W51" s="58"/>
      <c r="X51" s="58"/>
      <c r="Y51" s="59" t="s">
        <v>156</v>
      </c>
      <c r="Z51" s="60">
        <v>3000</v>
      </c>
      <c r="AA51" s="25">
        <f>VLOOKUP(F51,Zones!$A$2:$F$2186,6,FALSE)</f>
        <v>1408</v>
      </c>
      <c r="AB51" s="25">
        <f>VLOOKUP(L51,Zones!$A$2:$F$2186,6,FALSE)</f>
        <v>1064</v>
      </c>
    </row>
    <row r="52" spans="2:28">
      <c r="B52" s="40">
        <v>0.55555555555555558</v>
      </c>
      <c r="C52" s="40" t="s">
        <v>632</v>
      </c>
      <c r="D52" s="41">
        <v>1</v>
      </c>
      <c r="E52" s="42">
        <v>1</v>
      </c>
      <c r="F52" s="42" t="s">
        <v>3281</v>
      </c>
      <c r="G52" s="43" t="s">
        <v>202</v>
      </c>
      <c r="H52" s="42" t="s">
        <v>155</v>
      </c>
      <c r="I52" s="43">
        <v>4</v>
      </c>
      <c r="J52" s="43">
        <v>3</v>
      </c>
      <c r="K52" s="25" t="str">
        <f>VLOOKUP(J52,Key!$E$2:$F$9,2,FALSE)</f>
        <v>Study</v>
      </c>
      <c r="L52" s="42" t="s">
        <v>163</v>
      </c>
      <c r="M52" s="43" t="s">
        <v>163</v>
      </c>
      <c r="N52" s="42" t="s">
        <v>155</v>
      </c>
      <c r="O52" s="43">
        <v>1</v>
      </c>
      <c r="P52" s="43">
        <v>1</v>
      </c>
      <c r="Q52" s="25" t="str">
        <f>VLOOKUP(P52,Key!$E$2:$F$9,2,FALSE)</f>
        <v>Home</v>
      </c>
      <c r="R52" s="25" t="str">
        <f t="shared" si="0"/>
        <v>Study-Home</v>
      </c>
      <c r="S52" s="58"/>
      <c r="T52" s="58">
        <v>0.7</v>
      </c>
      <c r="U52" s="43">
        <v>4</v>
      </c>
      <c r="V52" s="43"/>
      <c r="W52" s="58"/>
      <c r="X52" s="58"/>
      <c r="Y52" s="59" t="s">
        <v>156</v>
      </c>
      <c r="Z52" s="60">
        <v>1000</v>
      </c>
      <c r="AA52" s="25">
        <f>VLOOKUP(F52,Zones!$A$2:$F$2186,6,FALSE)</f>
        <v>1408</v>
      </c>
      <c r="AB52" s="25">
        <f>VLOOKUP(L52,Zones!$A$2:$F$2186,6,FALSE)</f>
        <v>1064</v>
      </c>
    </row>
    <row r="53" spans="2:28">
      <c r="B53" s="40">
        <v>0.76111111111111107</v>
      </c>
      <c r="C53" s="40" t="s">
        <v>634</v>
      </c>
      <c r="D53" s="41">
        <v>1</v>
      </c>
      <c r="E53" s="42">
        <v>4</v>
      </c>
      <c r="F53" s="42" t="s">
        <v>635</v>
      </c>
      <c r="G53" s="43" t="s">
        <v>154</v>
      </c>
      <c r="H53" s="42" t="s">
        <v>155</v>
      </c>
      <c r="I53" s="43">
        <v>1</v>
      </c>
      <c r="J53" s="43">
        <v>1</v>
      </c>
      <c r="K53" s="25" t="str">
        <f>VLOOKUP(J53,Key!$E$2:$F$9,2,FALSE)</f>
        <v>Home</v>
      </c>
      <c r="L53" s="42" t="s">
        <v>564</v>
      </c>
      <c r="M53" s="43" t="s">
        <v>154</v>
      </c>
      <c r="N53" s="42" t="s">
        <v>155</v>
      </c>
      <c r="O53" s="43">
        <v>9</v>
      </c>
      <c r="P53" s="43">
        <v>2</v>
      </c>
      <c r="Q53" s="25" t="str">
        <f>VLOOKUP(P53,Key!$E$2:$F$9,2,FALSE)</f>
        <v>Work</v>
      </c>
      <c r="R53" s="25" t="str">
        <f t="shared" si="0"/>
        <v>Home-Work</v>
      </c>
      <c r="S53" s="58">
        <v>6</v>
      </c>
      <c r="T53" s="58">
        <v>0.7</v>
      </c>
      <c r="U53" s="43">
        <v>1</v>
      </c>
      <c r="V53" s="43"/>
      <c r="W53" s="58"/>
      <c r="X53" s="58"/>
      <c r="Y53" s="59" t="s">
        <v>156</v>
      </c>
      <c r="Z53" s="60">
        <v>3000</v>
      </c>
      <c r="AA53" s="25">
        <f>VLOOKUP(F53,Zones!$A$2:$F$2186,6,FALSE)</f>
        <v>1402</v>
      </c>
      <c r="AB53" s="25">
        <f>VLOOKUP(L53,Zones!$A$2:$F$2186,6,FALSE)</f>
        <v>1393</v>
      </c>
    </row>
    <row r="54" spans="2:28">
      <c r="B54" s="40">
        <v>0.75</v>
      </c>
      <c r="C54" s="40" t="s">
        <v>636</v>
      </c>
      <c r="D54" s="41">
        <v>2</v>
      </c>
      <c r="E54" s="42">
        <v>2</v>
      </c>
      <c r="F54" s="42" t="s">
        <v>147</v>
      </c>
      <c r="G54" s="43" t="s">
        <v>154</v>
      </c>
      <c r="H54" s="42" t="s">
        <v>155</v>
      </c>
      <c r="I54" s="43">
        <v>9</v>
      </c>
      <c r="J54" s="43">
        <v>2</v>
      </c>
      <c r="K54" s="25" t="str">
        <f>VLOOKUP(J54,Key!$E$2:$F$9,2,FALSE)</f>
        <v>Work</v>
      </c>
      <c r="L54" s="42" t="s">
        <v>564</v>
      </c>
      <c r="M54" s="43" t="s">
        <v>154</v>
      </c>
      <c r="N54" s="42" t="s">
        <v>155</v>
      </c>
      <c r="O54" s="43">
        <v>1</v>
      </c>
      <c r="P54" s="43">
        <v>1</v>
      </c>
      <c r="Q54" s="25" t="str">
        <f>VLOOKUP(P54,Key!$E$2:$F$9,2,FALSE)</f>
        <v>Home</v>
      </c>
      <c r="R54" s="25" t="str">
        <f t="shared" si="0"/>
        <v>Work-Home</v>
      </c>
      <c r="S54" s="58">
        <v>2</v>
      </c>
      <c r="T54" s="58">
        <v>0.7</v>
      </c>
      <c r="U54" s="43">
        <v>1</v>
      </c>
      <c r="V54" s="43"/>
      <c r="W54" s="58"/>
      <c r="X54" s="58"/>
      <c r="Y54" s="59" t="s">
        <v>156</v>
      </c>
      <c r="Z54" s="60">
        <v>3000</v>
      </c>
      <c r="AA54" s="25">
        <f>VLOOKUP(F54,Zones!$A$2:$F$2186,6,FALSE)</f>
        <v>1402</v>
      </c>
      <c r="AB54" s="25">
        <f>VLOOKUP(L54,Zones!$A$2:$F$2186,6,FALSE)</f>
        <v>1393</v>
      </c>
    </row>
    <row r="55" spans="2:28">
      <c r="B55" s="40">
        <v>0.70486111111111116</v>
      </c>
      <c r="C55" s="40" t="s">
        <v>637</v>
      </c>
      <c r="D55" s="41">
        <v>7</v>
      </c>
      <c r="E55" s="42">
        <v>2</v>
      </c>
      <c r="F55" s="42" t="s">
        <v>147</v>
      </c>
      <c r="G55" s="43" t="s">
        <v>154</v>
      </c>
      <c r="H55" s="42" t="s">
        <v>155</v>
      </c>
      <c r="I55" s="43">
        <v>11</v>
      </c>
      <c r="J55" s="43">
        <v>4</v>
      </c>
      <c r="K55" s="25" t="str">
        <f>VLOOKUP(J55,Key!$E$2:$F$9,2,FALSE)</f>
        <v>Commercial</v>
      </c>
      <c r="L55" s="42" t="s">
        <v>564</v>
      </c>
      <c r="M55" s="43" t="s">
        <v>154</v>
      </c>
      <c r="N55" s="42" t="s">
        <v>155</v>
      </c>
      <c r="O55" s="43">
        <v>10</v>
      </c>
      <c r="P55" s="43">
        <v>4</v>
      </c>
      <c r="Q55" s="25" t="str">
        <f>VLOOKUP(P55,Key!$E$2:$F$9,2,FALSE)</f>
        <v>Commercial</v>
      </c>
      <c r="R55" s="25" t="str">
        <f t="shared" si="0"/>
        <v>Commercial-Commercial</v>
      </c>
      <c r="S55" s="58">
        <v>4</v>
      </c>
      <c r="T55" s="58">
        <v>0.5</v>
      </c>
      <c r="U55" s="43">
        <v>1</v>
      </c>
      <c r="V55" s="43">
        <v>10</v>
      </c>
      <c r="W55" s="58">
        <v>1</v>
      </c>
      <c r="X55" s="58">
        <v>0.25</v>
      </c>
      <c r="Y55" s="59" t="s">
        <v>156</v>
      </c>
      <c r="Z55" s="60">
        <v>1000</v>
      </c>
      <c r="AA55" s="25">
        <f>VLOOKUP(F55,Zones!$A$2:$F$2186,6,FALSE)</f>
        <v>1402</v>
      </c>
      <c r="AB55" s="25">
        <f>VLOOKUP(L55,Zones!$A$2:$F$2186,6,FALSE)</f>
        <v>1393</v>
      </c>
    </row>
    <row r="56" spans="2:28">
      <c r="B56" s="40">
        <v>0.70277777777777783</v>
      </c>
      <c r="C56" s="40" t="s">
        <v>638</v>
      </c>
      <c r="D56" s="41">
        <v>2</v>
      </c>
      <c r="E56" s="42">
        <v>4</v>
      </c>
      <c r="F56" s="42" t="s">
        <v>639</v>
      </c>
      <c r="G56" s="43" t="s">
        <v>202</v>
      </c>
      <c r="H56" s="42" t="s">
        <v>155</v>
      </c>
      <c r="I56" s="43">
        <v>9</v>
      </c>
      <c r="J56" s="43">
        <v>2</v>
      </c>
      <c r="K56" s="25" t="str">
        <f>VLOOKUP(J56,Key!$E$2:$F$9,2,FALSE)</f>
        <v>Work</v>
      </c>
      <c r="L56" s="42" t="s">
        <v>564</v>
      </c>
      <c r="M56" s="43" t="s">
        <v>154</v>
      </c>
      <c r="N56" s="42" t="s">
        <v>155</v>
      </c>
      <c r="O56" s="43">
        <v>1</v>
      </c>
      <c r="P56" s="43">
        <v>1</v>
      </c>
      <c r="Q56" s="25" t="str">
        <f>VLOOKUP(P56,Key!$E$2:$F$9,2,FALSE)</f>
        <v>Home</v>
      </c>
      <c r="R56" s="25" t="str">
        <f t="shared" si="0"/>
        <v>Work-Home</v>
      </c>
      <c r="S56" s="58">
        <v>5</v>
      </c>
      <c r="T56" s="58">
        <v>3</v>
      </c>
      <c r="U56" s="43">
        <v>6</v>
      </c>
      <c r="V56" s="43"/>
      <c r="W56" s="58"/>
      <c r="X56" s="58"/>
      <c r="Y56" s="59" t="s">
        <v>156</v>
      </c>
      <c r="Z56" s="60">
        <v>2000</v>
      </c>
      <c r="AA56" s="25">
        <f>VLOOKUP(F56,Zones!$A$2:$F$2186,6,FALSE)</f>
        <v>887</v>
      </c>
      <c r="AB56" s="25">
        <f>VLOOKUP(L56,Zones!$A$2:$F$2186,6,FALSE)</f>
        <v>1393</v>
      </c>
    </row>
    <row r="57" spans="2:28">
      <c r="B57" s="40">
        <v>0.70000000000000007</v>
      </c>
      <c r="C57" s="40" t="s">
        <v>286</v>
      </c>
      <c r="D57" s="41">
        <v>1</v>
      </c>
      <c r="E57" s="42">
        <v>2</v>
      </c>
      <c r="F57" s="42" t="s">
        <v>147</v>
      </c>
      <c r="G57" s="43" t="s">
        <v>154</v>
      </c>
      <c r="H57" s="42" t="s">
        <v>155</v>
      </c>
      <c r="I57" s="43">
        <v>5</v>
      </c>
      <c r="J57" s="43">
        <v>7</v>
      </c>
      <c r="K57" s="25" t="str">
        <f>VLOOKUP(J57,Key!$E$2:$F$9,2,FALSE)</f>
        <v>Hospital</v>
      </c>
      <c r="L57" s="42" t="s">
        <v>564</v>
      </c>
      <c r="M57" s="43" t="s">
        <v>154</v>
      </c>
      <c r="N57" s="42" t="s">
        <v>155</v>
      </c>
      <c r="O57" s="43">
        <v>1</v>
      </c>
      <c r="P57" s="43">
        <v>1</v>
      </c>
      <c r="Q57" s="25" t="str">
        <f>VLOOKUP(P57,Key!$E$2:$F$9,2,FALSE)</f>
        <v>Home</v>
      </c>
      <c r="R57" s="25" t="str">
        <f t="shared" si="0"/>
        <v>Hospital-Home</v>
      </c>
      <c r="S57" s="58">
        <v>3</v>
      </c>
      <c r="T57" s="58">
        <v>0.3</v>
      </c>
      <c r="U57" s="43">
        <v>1</v>
      </c>
      <c r="V57" s="43"/>
      <c r="W57" s="58"/>
      <c r="X57" s="58"/>
      <c r="Y57" s="59" t="s">
        <v>156</v>
      </c>
      <c r="Z57" s="60">
        <v>500</v>
      </c>
      <c r="AA57" s="25">
        <f>VLOOKUP(F57,Zones!$A$2:$F$2186,6,FALSE)</f>
        <v>1402</v>
      </c>
      <c r="AB57" s="25">
        <f>VLOOKUP(L57,Zones!$A$2:$F$2186,6,FALSE)</f>
        <v>1393</v>
      </c>
    </row>
    <row r="58" spans="2:28">
      <c r="B58" s="40">
        <v>0.6972222222222223</v>
      </c>
      <c r="C58" s="40" t="s">
        <v>640</v>
      </c>
      <c r="D58" s="41">
        <v>1</v>
      </c>
      <c r="E58" s="42">
        <v>1</v>
      </c>
      <c r="F58" s="42" t="s">
        <v>635</v>
      </c>
      <c r="G58" s="43" t="s">
        <v>154</v>
      </c>
      <c r="H58" s="42" t="s">
        <v>155</v>
      </c>
      <c r="I58" s="43">
        <v>16</v>
      </c>
      <c r="J58" s="43">
        <v>6</v>
      </c>
      <c r="K58" s="25" t="str">
        <f>VLOOKUP(J58,Key!$E$2:$F$9,2,FALSE)</f>
        <v>Leisure/Social</v>
      </c>
      <c r="L58" s="42" t="s">
        <v>564</v>
      </c>
      <c r="M58" s="43" t="s">
        <v>154</v>
      </c>
      <c r="N58" s="42" t="s">
        <v>155</v>
      </c>
      <c r="O58" s="43">
        <v>16</v>
      </c>
      <c r="P58" s="43">
        <v>6</v>
      </c>
      <c r="Q58" s="25" t="str">
        <f>VLOOKUP(P58,Key!$E$2:$F$9,2,FALSE)</f>
        <v>Leisure/Social</v>
      </c>
      <c r="R58" s="25" t="str">
        <f t="shared" si="0"/>
        <v>Leisure/Social-Leisure/Social</v>
      </c>
      <c r="S58" s="58"/>
      <c r="T58" s="58">
        <v>0.5</v>
      </c>
      <c r="U58" s="43">
        <v>6</v>
      </c>
      <c r="V58" s="43"/>
      <c r="W58" s="58"/>
      <c r="X58" s="58"/>
      <c r="Y58" s="59" t="s">
        <v>156</v>
      </c>
      <c r="Z58" s="60">
        <v>1000</v>
      </c>
      <c r="AA58" s="25">
        <f>VLOOKUP(F58,Zones!$A$2:$F$2186,6,FALSE)</f>
        <v>1402</v>
      </c>
      <c r="AB58" s="25">
        <f>VLOOKUP(L58,Zones!$A$2:$F$2186,6,FALSE)</f>
        <v>1393</v>
      </c>
    </row>
    <row r="59" spans="2:28">
      <c r="B59" s="40">
        <v>0.6875</v>
      </c>
      <c r="C59" s="40" t="s">
        <v>641</v>
      </c>
      <c r="D59" s="41">
        <v>1</v>
      </c>
      <c r="E59" s="42">
        <v>4</v>
      </c>
      <c r="F59" s="42" t="s">
        <v>147</v>
      </c>
      <c r="G59" s="43" t="s">
        <v>154</v>
      </c>
      <c r="H59" s="42" t="s">
        <v>155</v>
      </c>
      <c r="I59" s="43">
        <v>1</v>
      </c>
      <c r="J59" s="43">
        <v>1</v>
      </c>
      <c r="K59" s="25" t="str">
        <f>VLOOKUP(J59,Key!$E$2:$F$9,2,FALSE)</f>
        <v>Home</v>
      </c>
      <c r="L59" s="42" t="s">
        <v>159</v>
      </c>
      <c r="M59" s="43" t="s">
        <v>159</v>
      </c>
      <c r="N59" s="42" t="s">
        <v>155</v>
      </c>
      <c r="O59" s="43">
        <v>3</v>
      </c>
      <c r="P59" s="43">
        <v>2</v>
      </c>
      <c r="Q59" s="25" t="str">
        <f>VLOOKUP(P59,Key!$E$2:$F$9,2,FALSE)</f>
        <v>Work</v>
      </c>
      <c r="R59" s="25" t="str">
        <f t="shared" si="0"/>
        <v>Home-Work</v>
      </c>
      <c r="S59" s="58">
        <v>5</v>
      </c>
      <c r="T59" s="58">
        <v>0.7</v>
      </c>
      <c r="U59" s="43">
        <v>1</v>
      </c>
      <c r="V59" s="43"/>
      <c r="W59" s="58"/>
      <c r="X59" s="58"/>
      <c r="Y59" s="59" t="s">
        <v>156</v>
      </c>
      <c r="Z59" s="60">
        <v>1000</v>
      </c>
      <c r="AA59" s="25">
        <f>VLOOKUP(F59,Zones!$A$2:$F$2186,6,FALSE)</f>
        <v>1402</v>
      </c>
      <c r="AB59" s="25">
        <f>VLOOKUP(L59,Zones!$A$2:$F$2186,6,FALSE)</f>
        <v>521</v>
      </c>
    </row>
    <row r="60" spans="2:28">
      <c r="B60" s="40">
        <v>0.67569444444444438</v>
      </c>
      <c r="C60" s="40" t="s">
        <v>642</v>
      </c>
      <c r="D60" s="41">
        <v>1</v>
      </c>
      <c r="E60" s="42">
        <v>3</v>
      </c>
      <c r="F60" s="42" t="s">
        <v>168</v>
      </c>
      <c r="G60" s="43" t="s">
        <v>154</v>
      </c>
      <c r="H60" s="42" t="s">
        <v>155</v>
      </c>
      <c r="I60" s="43">
        <v>9</v>
      </c>
      <c r="J60" s="43">
        <v>2</v>
      </c>
      <c r="K60" s="25" t="str">
        <f>VLOOKUP(J60,Key!$E$2:$F$9,2,FALSE)</f>
        <v>Work</v>
      </c>
      <c r="L60" s="42" t="s">
        <v>241</v>
      </c>
      <c r="M60" s="43" t="s">
        <v>154</v>
      </c>
      <c r="N60" s="42" t="s">
        <v>155</v>
      </c>
      <c r="O60" s="43">
        <v>1</v>
      </c>
      <c r="P60" s="43">
        <v>1</v>
      </c>
      <c r="Q60" s="25" t="str">
        <f>VLOOKUP(P60,Key!$E$2:$F$9,2,FALSE)</f>
        <v>Home</v>
      </c>
      <c r="R60" s="25" t="str">
        <f t="shared" si="0"/>
        <v>Work-Home</v>
      </c>
      <c r="S60" s="58">
        <v>4</v>
      </c>
      <c r="T60" s="58">
        <v>0.5</v>
      </c>
      <c r="U60" s="43">
        <v>1</v>
      </c>
      <c r="V60" s="43"/>
      <c r="W60" s="58"/>
      <c r="X60" s="58"/>
      <c r="Y60" s="59" t="s">
        <v>156</v>
      </c>
      <c r="Z60" s="60">
        <v>2000</v>
      </c>
      <c r="AA60" s="25">
        <f>VLOOKUP(F60,Zones!$A$2:$F$2186,6,FALSE)</f>
        <v>1393</v>
      </c>
      <c r="AB60" s="25">
        <f>VLOOKUP(L60,Zones!$A$2:$F$2186,6,FALSE)</f>
        <v>542</v>
      </c>
    </row>
    <row r="61" spans="2:28">
      <c r="B61" s="40">
        <v>0.69513888888888886</v>
      </c>
      <c r="C61" s="40" t="s">
        <v>643</v>
      </c>
      <c r="D61" s="41">
        <v>1</v>
      </c>
      <c r="E61" s="42">
        <v>3</v>
      </c>
      <c r="F61" s="42" t="s">
        <v>147</v>
      </c>
      <c r="G61" s="43" t="s">
        <v>154</v>
      </c>
      <c r="H61" s="42" t="s">
        <v>155</v>
      </c>
      <c r="I61" s="43">
        <v>1</v>
      </c>
      <c r="J61" s="43">
        <v>1</v>
      </c>
      <c r="K61" s="25" t="str">
        <f>VLOOKUP(J61,Key!$E$2:$F$9,2,FALSE)</f>
        <v>Home</v>
      </c>
      <c r="L61" s="42" t="s">
        <v>564</v>
      </c>
      <c r="M61" s="43" t="s">
        <v>154</v>
      </c>
      <c r="N61" s="42" t="s">
        <v>155</v>
      </c>
      <c r="O61" s="43">
        <v>5</v>
      </c>
      <c r="P61" s="43">
        <v>7</v>
      </c>
      <c r="Q61" s="25" t="str">
        <f>VLOOKUP(P61,Key!$E$2:$F$9,2,FALSE)</f>
        <v>Hospital</v>
      </c>
      <c r="R61" s="25" t="str">
        <f t="shared" si="0"/>
        <v>Home-Hospital</v>
      </c>
      <c r="S61" s="58"/>
      <c r="T61" s="58">
        <v>0.7</v>
      </c>
      <c r="U61" s="43">
        <v>1</v>
      </c>
      <c r="V61" s="43"/>
      <c r="W61" s="58"/>
      <c r="X61" s="58"/>
      <c r="Y61" s="59" t="s">
        <v>156</v>
      </c>
      <c r="Z61" s="60">
        <v>1000</v>
      </c>
      <c r="AA61" s="25">
        <f>VLOOKUP(F61,Zones!$A$2:$F$2186,6,FALSE)</f>
        <v>1402</v>
      </c>
      <c r="AB61" s="25">
        <f>VLOOKUP(L61,Zones!$A$2:$F$2186,6,FALSE)</f>
        <v>1393</v>
      </c>
    </row>
    <row r="62" spans="2:28">
      <c r="B62" s="40">
        <v>0.69305555555555554</v>
      </c>
      <c r="C62" s="40" t="s">
        <v>644</v>
      </c>
      <c r="D62" s="41">
        <v>1</v>
      </c>
      <c r="E62" s="42">
        <v>2</v>
      </c>
      <c r="F62" s="42" t="s">
        <v>635</v>
      </c>
      <c r="G62" s="43" t="s">
        <v>154</v>
      </c>
      <c r="H62" s="42" t="s">
        <v>155</v>
      </c>
      <c r="I62" s="43">
        <v>1</v>
      </c>
      <c r="J62" s="43">
        <v>1</v>
      </c>
      <c r="K62" s="25" t="str">
        <f>VLOOKUP(J62,Key!$E$2:$F$9,2,FALSE)</f>
        <v>Home</v>
      </c>
      <c r="L62" s="42" t="s">
        <v>159</v>
      </c>
      <c r="M62" s="43" t="s">
        <v>159</v>
      </c>
      <c r="N62" s="42" t="s">
        <v>155</v>
      </c>
      <c r="O62" s="43">
        <v>16</v>
      </c>
      <c r="P62" s="43">
        <v>1</v>
      </c>
      <c r="Q62" s="25" t="str">
        <f>VLOOKUP(P62,Key!$E$2:$F$9,2,FALSE)</f>
        <v>Home</v>
      </c>
      <c r="R62" s="25" t="str">
        <f t="shared" si="0"/>
        <v>Home-Home</v>
      </c>
      <c r="S62" s="58">
        <v>6</v>
      </c>
      <c r="T62" s="58">
        <v>1</v>
      </c>
      <c r="U62" s="43">
        <v>1</v>
      </c>
      <c r="V62" s="43"/>
      <c r="W62" s="58"/>
      <c r="X62" s="58"/>
      <c r="Y62" s="59" t="s">
        <v>156</v>
      </c>
      <c r="Z62" s="60">
        <v>2000</v>
      </c>
      <c r="AA62" s="25">
        <f>VLOOKUP(F62,Zones!$A$2:$F$2186,6,FALSE)</f>
        <v>1402</v>
      </c>
      <c r="AB62" s="25">
        <f>VLOOKUP(L62,Zones!$A$2:$F$2186,6,FALSE)</f>
        <v>521</v>
      </c>
    </row>
    <row r="63" spans="2:28">
      <c r="B63" s="40">
        <v>0.50486111111111109</v>
      </c>
      <c r="C63" s="40" t="s">
        <v>645</v>
      </c>
      <c r="D63" s="41">
        <v>1</v>
      </c>
      <c r="E63" s="42">
        <v>1</v>
      </c>
      <c r="F63" s="42" t="s">
        <v>376</v>
      </c>
      <c r="G63" s="43" t="s">
        <v>154</v>
      </c>
      <c r="H63" s="42" t="s">
        <v>155</v>
      </c>
      <c r="I63" s="43">
        <v>1</v>
      </c>
      <c r="J63" s="43">
        <v>1</v>
      </c>
      <c r="K63" s="25" t="str">
        <f>VLOOKUP(J63,Key!$E$2:$F$9,2,FALSE)</f>
        <v>Home</v>
      </c>
      <c r="L63" s="42" t="s">
        <v>159</v>
      </c>
      <c r="M63" s="43" t="s">
        <v>159</v>
      </c>
      <c r="N63" s="42" t="s">
        <v>155</v>
      </c>
      <c r="O63" s="43">
        <v>2</v>
      </c>
      <c r="P63" s="43">
        <v>2</v>
      </c>
      <c r="Q63" s="25" t="str">
        <f>VLOOKUP(P63,Key!$E$2:$F$9,2,FALSE)</f>
        <v>Work</v>
      </c>
      <c r="R63" s="25" t="str">
        <f t="shared" si="0"/>
        <v>Home-Work</v>
      </c>
      <c r="S63" s="58">
        <v>5</v>
      </c>
      <c r="T63" s="58">
        <v>0.5</v>
      </c>
      <c r="U63" s="43">
        <v>1</v>
      </c>
      <c r="V63" s="43"/>
      <c r="W63" s="58"/>
      <c r="X63" s="58"/>
      <c r="Y63" s="59" t="s">
        <v>156</v>
      </c>
      <c r="Z63" s="60">
        <v>3000</v>
      </c>
      <c r="AA63" s="25">
        <f>VLOOKUP(F63,Zones!$A$2:$F$2186,6,FALSE)</f>
        <v>1393</v>
      </c>
      <c r="AB63" s="25">
        <f>VLOOKUP(L63,Zones!$A$2:$F$2186,6,FALSE)</f>
        <v>521</v>
      </c>
    </row>
    <row r="64" spans="2:28">
      <c r="B64" s="40">
        <v>0.50694444444444442</v>
      </c>
      <c r="C64" s="40" t="s">
        <v>491</v>
      </c>
      <c r="D64" s="41">
        <v>2</v>
      </c>
      <c r="E64" s="42">
        <v>1</v>
      </c>
      <c r="F64" s="42" t="s">
        <v>2990</v>
      </c>
      <c r="G64" s="43" t="s">
        <v>154</v>
      </c>
      <c r="H64" s="42" t="s">
        <v>155</v>
      </c>
      <c r="I64" s="43">
        <v>1</v>
      </c>
      <c r="J64" s="43">
        <v>1</v>
      </c>
      <c r="K64" s="25" t="str">
        <f>VLOOKUP(J64,Key!$E$2:$F$9,2,FALSE)</f>
        <v>Home</v>
      </c>
      <c r="L64" s="42" t="s">
        <v>564</v>
      </c>
      <c r="M64" s="43" t="s">
        <v>154</v>
      </c>
      <c r="N64" s="42" t="s">
        <v>155</v>
      </c>
      <c r="O64" s="43">
        <v>11</v>
      </c>
      <c r="P64" s="43">
        <v>4</v>
      </c>
      <c r="Q64" s="25" t="str">
        <f>VLOOKUP(P64,Key!$E$2:$F$9,2,FALSE)</f>
        <v>Commercial</v>
      </c>
      <c r="R64" s="25" t="str">
        <f t="shared" si="0"/>
        <v>Home-Commercial</v>
      </c>
      <c r="S64" s="58">
        <v>7</v>
      </c>
      <c r="T64" s="58">
        <v>0.1</v>
      </c>
      <c r="U64" s="43">
        <v>1</v>
      </c>
      <c r="V64" s="43"/>
      <c r="W64" s="58"/>
      <c r="X64" s="58"/>
      <c r="Y64" s="59" t="s">
        <v>156</v>
      </c>
      <c r="Z64" s="60">
        <v>0</v>
      </c>
      <c r="AA64" s="25">
        <f>VLOOKUP(F64,Zones!$A$2:$F$2186,6,FALSE)</f>
        <v>1402</v>
      </c>
      <c r="AB64" s="25">
        <f>VLOOKUP(L64,Zones!$A$2:$F$2186,6,FALSE)</f>
        <v>1393</v>
      </c>
    </row>
    <row r="65" spans="2:28">
      <c r="B65" s="40">
        <v>0.64444444444444449</v>
      </c>
      <c r="C65" s="40" t="s">
        <v>647</v>
      </c>
      <c r="D65" s="41">
        <v>1</v>
      </c>
      <c r="E65" s="42">
        <v>1</v>
      </c>
      <c r="F65" s="42" t="s">
        <v>2990</v>
      </c>
      <c r="G65" s="43" t="s">
        <v>154</v>
      </c>
      <c r="H65" s="42" t="s">
        <v>155</v>
      </c>
      <c r="I65" s="43">
        <v>10</v>
      </c>
      <c r="J65" s="43">
        <v>2</v>
      </c>
      <c r="K65" s="25" t="str">
        <f>VLOOKUP(J65,Key!$E$2:$F$9,2,FALSE)</f>
        <v>Work</v>
      </c>
      <c r="L65" s="42" t="s">
        <v>189</v>
      </c>
      <c r="M65" s="43" t="s">
        <v>154</v>
      </c>
      <c r="N65" s="42" t="s">
        <v>155</v>
      </c>
      <c r="O65" s="43">
        <v>1</v>
      </c>
      <c r="P65" s="43">
        <v>1</v>
      </c>
      <c r="Q65" s="25" t="str">
        <f>VLOOKUP(P65,Key!$E$2:$F$9,2,FALSE)</f>
        <v>Home</v>
      </c>
      <c r="R65" s="25" t="str">
        <f t="shared" si="0"/>
        <v>Work-Home</v>
      </c>
      <c r="S65" s="58">
        <v>30</v>
      </c>
      <c r="T65" s="58">
        <v>0.7</v>
      </c>
      <c r="U65" s="43">
        <v>4</v>
      </c>
      <c r="V65" s="43"/>
      <c r="W65" s="58"/>
      <c r="X65" s="58"/>
      <c r="Y65" s="59" t="s">
        <v>156</v>
      </c>
      <c r="Z65" s="60">
        <v>1000</v>
      </c>
      <c r="AA65" s="25">
        <f>VLOOKUP(F65,Zones!$A$2:$F$2186,6,FALSE)</f>
        <v>1402</v>
      </c>
      <c r="AB65" s="25">
        <f>VLOOKUP(L65,Zones!$A$2:$F$2186,6,FALSE)</f>
        <v>1386</v>
      </c>
    </row>
    <row r="66" spans="2:28">
      <c r="B66" s="40">
        <v>0.66111111111111109</v>
      </c>
      <c r="C66" s="40" t="s">
        <v>648</v>
      </c>
      <c r="D66" s="41">
        <v>1</v>
      </c>
      <c r="E66" s="42">
        <v>5</v>
      </c>
      <c r="F66" s="42" t="s">
        <v>375</v>
      </c>
      <c r="G66" s="43" t="s">
        <v>154</v>
      </c>
      <c r="H66" s="42" t="s">
        <v>155</v>
      </c>
      <c r="I66" s="43">
        <v>1</v>
      </c>
      <c r="J66" s="43">
        <v>1</v>
      </c>
      <c r="K66" s="25" t="str">
        <f>VLOOKUP(J66,Key!$E$2:$F$9,2,FALSE)</f>
        <v>Home</v>
      </c>
      <c r="L66" s="42" t="s">
        <v>146</v>
      </c>
      <c r="M66" s="43" t="s">
        <v>154</v>
      </c>
      <c r="N66" s="42" t="s">
        <v>155</v>
      </c>
      <c r="O66" s="43">
        <v>7</v>
      </c>
      <c r="P66" s="43">
        <v>4</v>
      </c>
      <c r="Q66" s="25" t="str">
        <f>VLOOKUP(P66,Key!$E$2:$F$9,2,FALSE)</f>
        <v>Commercial</v>
      </c>
      <c r="R66" s="25" t="str">
        <f t="shared" si="0"/>
        <v>Home-Commercial</v>
      </c>
      <c r="S66" s="58">
        <v>1</v>
      </c>
      <c r="T66" s="58">
        <v>0.1</v>
      </c>
      <c r="U66" s="43">
        <v>6</v>
      </c>
      <c r="V66" s="43"/>
      <c r="W66" s="58"/>
      <c r="X66" s="58"/>
      <c r="Y66" s="59" t="s">
        <v>156</v>
      </c>
      <c r="Z66" s="60">
        <v>10000</v>
      </c>
      <c r="AA66" s="25">
        <f>VLOOKUP(F66,Zones!$A$2:$F$2186,6,FALSE)</f>
        <v>811</v>
      </c>
      <c r="AB66" s="25">
        <f>VLOOKUP(L66,Zones!$A$2:$F$2186,6,FALSE)</f>
        <v>1393</v>
      </c>
    </row>
    <row r="67" spans="2:28">
      <c r="B67" s="40">
        <v>0.6381944444444444</v>
      </c>
      <c r="C67" s="40" t="s">
        <v>649</v>
      </c>
      <c r="D67" s="41">
        <v>1</v>
      </c>
      <c r="E67" s="42">
        <v>2</v>
      </c>
      <c r="F67" s="42" t="s">
        <v>159</v>
      </c>
      <c r="G67" s="43" t="s">
        <v>159</v>
      </c>
      <c r="H67" s="42" t="s">
        <v>155</v>
      </c>
      <c r="I67" s="43">
        <v>2</v>
      </c>
      <c r="J67" s="43">
        <v>2</v>
      </c>
      <c r="K67" s="25" t="str">
        <f>VLOOKUP(J67,Key!$E$2:$F$9,2,FALSE)</f>
        <v>Work</v>
      </c>
      <c r="L67" s="42" t="s">
        <v>159</v>
      </c>
      <c r="M67" s="43" t="s">
        <v>159</v>
      </c>
      <c r="N67" s="42" t="s">
        <v>155</v>
      </c>
      <c r="O67" s="43">
        <v>2</v>
      </c>
      <c r="P67" s="43">
        <v>2</v>
      </c>
      <c r="Q67" s="25" t="str">
        <f>VLOOKUP(P67,Key!$E$2:$F$9,2,FALSE)</f>
        <v>Work</v>
      </c>
      <c r="R67" s="25" t="str">
        <f t="shared" si="0"/>
        <v>Work-Work</v>
      </c>
      <c r="S67" s="58">
        <v>13</v>
      </c>
      <c r="T67" s="58">
        <v>0.7</v>
      </c>
      <c r="U67" s="43">
        <v>1</v>
      </c>
      <c r="V67" s="43"/>
      <c r="W67" s="58"/>
      <c r="X67" s="58"/>
      <c r="Y67" s="59" t="s">
        <v>156</v>
      </c>
      <c r="Z67" s="60">
        <v>3000</v>
      </c>
      <c r="AA67" s="25">
        <f>VLOOKUP(F67,Zones!$A$2:$F$2186,6,FALSE)</f>
        <v>521</v>
      </c>
      <c r="AB67" s="25">
        <f>VLOOKUP(L67,Zones!$A$2:$F$2186,6,FALSE)</f>
        <v>521</v>
      </c>
    </row>
    <row r="68" spans="2:28">
      <c r="B68" s="40">
        <v>0.65625</v>
      </c>
      <c r="C68" s="40" t="s">
        <v>650</v>
      </c>
      <c r="D68" s="41">
        <v>1</v>
      </c>
      <c r="E68" s="42">
        <v>1</v>
      </c>
      <c r="F68" s="42" t="s">
        <v>2990</v>
      </c>
      <c r="G68" s="43" t="s">
        <v>154</v>
      </c>
      <c r="H68" s="42" t="s">
        <v>155</v>
      </c>
      <c r="I68" s="43">
        <v>10</v>
      </c>
      <c r="J68" s="43">
        <v>2</v>
      </c>
      <c r="K68" s="25" t="str">
        <f>VLOOKUP(J68,Key!$E$2:$F$9,2,FALSE)</f>
        <v>Work</v>
      </c>
      <c r="L68" s="42" t="s">
        <v>468</v>
      </c>
      <c r="M68" s="43" t="s">
        <v>159</v>
      </c>
      <c r="N68" s="42" t="s">
        <v>155</v>
      </c>
      <c r="O68" s="43">
        <v>1</v>
      </c>
      <c r="P68" s="43">
        <v>1</v>
      </c>
      <c r="Q68" s="25" t="str">
        <f>VLOOKUP(P68,Key!$E$2:$F$9,2,FALSE)</f>
        <v>Home</v>
      </c>
      <c r="R68" s="25" t="str">
        <f t="shared" si="0"/>
        <v>Work-Home</v>
      </c>
      <c r="S68" s="58">
        <v>20</v>
      </c>
      <c r="T68" s="58">
        <v>0.2</v>
      </c>
      <c r="U68" s="43">
        <v>6</v>
      </c>
      <c r="V68" s="43"/>
      <c r="W68" s="58"/>
      <c r="X68" s="58"/>
      <c r="Y68" s="59" t="s">
        <v>156</v>
      </c>
      <c r="Z68" s="60">
        <v>0</v>
      </c>
      <c r="AA68" s="25">
        <f>VLOOKUP(F68,Zones!$A$2:$F$2186,6,FALSE)</f>
        <v>1402</v>
      </c>
      <c r="AB68" s="25">
        <f>VLOOKUP(L68,Zones!$A$2:$F$2186,6,FALSE)</f>
        <v>516</v>
      </c>
    </row>
    <row r="69" spans="2:28">
      <c r="B69" s="40">
        <v>0.66249999999999998</v>
      </c>
      <c r="C69" s="40" t="s">
        <v>652</v>
      </c>
      <c r="D69" s="41">
        <v>2</v>
      </c>
      <c r="E69" s="42">
        <v>2</v>
      </c>
      <c r="F69" s="42" t="s">
        <v>227</v>
      </c>
      <c r="G69" s="43" t="s">
        <v>227</v>
      </c>
      <c r="H69" s="42" t="s">
        <v>155</v>
      </c>
      <c r="I69" s="43">
        <v>15</v>
      </c>
      <c r="J69" s="43">
        <v>5</v>
      </c>
      <c r="K69" s="25" t="str">
        <f>VLOOKUP(J69,Key!$E$2:$F$9,2,FALSE)</f>
        <v>Tourism</v>
      </c>
      <c r="L69" s="42" t="s">
        <v>159</v>
      </c>
      <c r="M69" s="43" t="s">
        <v>159</v>
      </c>
      <c r="N69" s="42" t="s">
        <v>155</v>
      </c>
      <c r="O69" s="43">
        <v>1</v>
      </c>
      <c r="P69" s="43">
        <v>1</v>
      </c>
      <c r="Q69" s="25" t="str">
        <f>VLOOKUP(P69,Key!$E$2:$F$9,2,FALSE)</f>
        <v>Home</v>
      </c>
      <c r="R69" s="25" t="str">
        <f t="shared" si="0"/>
        <v>Tourism-Home</v>
      </c>
      <c r="S69" s="58">
        <v>400</v>
      </c>
      <c r="T69" s="58">
        <v>5</v>
      </c>
      <c r="U69" s="43">
        <v>6</v>
      </c>
      <c r="V69" s="43"/>
      <c r="W69" s="58"/>
      <c r="X69" s="58"/>
      <c r="Y69" s="59" t="s">
        <v>156</v>
      </c>
      <c r="Z69" s="60">
        <v>10000</v>
      </c>
      <c r="AA69" s="25">
        <f>VLOOKUP(F69,Zones!$A$2:$F$2186,6,FALSE)</f>
        <v>942</v>
      </c>
      <c r="AB69" s="25">
        <f>VLOOKUP(L69,Zones!$A$2:$F$2186,6,FALSE)</f>
        <v>521</v>
      </c>
    </row>
    <row r="70" spans="2:28">
      <c r="B70" s="40">
        <v>0.6645833333333333</v>
      </c>
      <c r="C70" s="40" t="s">
        <v>182</v>
      </c>
      <c r="D70" s="41">
        <v>4</v>
      </c>
      <c r="E70" s="42">
        <v>14</v>
      </c>
      <c r="F70" s="42" t="s">
        <v>147</v>
      </c>
      <c r="G70" s="43" t="s">
        <v>154</v>
      </c>
      <c r="H70" s="42" t="s">
        <v>155</v>
      </c>
      <c r="I70" s="43">
        <v>6</v>
      </c>
      <c r="J70" s="43">
        <v>2</v>
      </c>
      <c r="K70" s="25" t="str">
        <f>VLOOKUP(J70,Key!$E$2:$F$9,2,FALSE)</f>
        <v>Work</v>
      </c>
      <c r="L70" s="42" t="s">
        <v>268</v>
      </c>
      <c r="M70" s="43" t="s">
        <v>154</v>
      </c>
      <c r="N70" s="42" t="s">
        <v>155</v>
      </c>
      <c r="O70" s="43">
        <v>6</v>
      </c>
      <c r="P70" s="43">
        <v>2</v>
      </c>
      <c r="Q70" s="25" t="str">
        <f>VLOOKUP(P70,Key!$E$2:$F$9,2,FALSE)</f>
        <v>Work</v>
      </c>
      <c r="R70" s="25" t="str">
        <f t="shared" si="0"/>
        <v>Work-Work</v>
      </c>
      <c r="S70" s="58">
        <v>5</v>
      </c>
      <c r="T70" s="58">
        <v>0.5</v>
      </c>
      <c r="U70" s="43">
        <v>1</v>
      </c>
      <c r="V70" s="43"/>
      <c r="W70" s="58"/>
      <c r="X70" s="58"/>
      <c r="Y70" s="59" t="s">
        <v>156</v>
      </c>
      <c r="Z70" s="60">
        <v>2000</v>
      </c>
      <c r="AA70" s="25">
        <f>VLOOKUP(F70,Zones!$A$2:$F$2186,6,FALSE)</f>
        <v>1402</v>
      </c>
      <c r="AB70" s="25">
        <f>VLOOKUP(L70,Zones!$A$2:$F$2186,6,FALSE)</f>
        <v>1396</v>
      </c>
    </row>
    <row r="71" spans="2:28">
      <c r="B71" s="40">
        <v>0.62638888888888888</v>
      </c>
      <c r="C71" s="40" t="s">
        <v>653</v>
      </c>
      <c r="D71" s="41">
        <v>1</v>
      </c>
      <c r="E71" s="42">
        <v>2</v>
      </c>
      <c r="F71" s="42" t="s">
        <v>147</v>
      </c>
      <c r="G71" s="43" t="s">
        <v>154</v>
      </c>
      <c r="H71" s="42" t="s">
        <v>155</v>
      </c>
      <c r="I71" s="43">
        <v>3</v>
      </c>
      <c r="J71" s="43">
        <v>2</v>
      </c>
      <c r="K71" s="25" t="str">
        <f>VLOOKUP(J71,Key!$E$2:$F$9,2,FALSE)</f>
        <v>Work</v>
      </c>
      <c r="L71" s="42" t="s">
        <v>221</v>
      </c>
      <c r="M71" s="43" t="s">
        <v>154</v>
      </c>
      <c r="N71" s="42" t="s">
        <v>155</v>
      </c>
      <c r="O71" s="43">
        <v>16</v>
      </c>
      <c r="P71" s="43">
        <v>8</v>
      </c>
      <c r="Q71" s="25" t="str">
        <f>VLOOKUP(P71,Key!$E$2:$F$9,2,FALSE)</f>
        <v>Others</v>
      </c>
      <c r="R71" s="25" t="str">
        <f t="shared" si="0"/>
        <v>Work-Others</v>
      </c>
      <c r="S71" s="58">
        <v>55</v>
      </c>
      <c r="T71" s="58">
        <v>2</v>
      </c>
      <c r="U71" s="43">
        <v>1</v>
      </c>
      <c r="V71" s="43"/>
      <c r="W71" s="58"/>
      <c r="X71" s="58"/>
      <c r="Y71" s="59" t="s">
        <v>156</v>
      </c>
      <c r="Z71" s="60">
        <v>3000</v>
      </c>
      <c r="AA71" s="25">
        <f>VLOOKUP(F71,Zones!$A$2:$F$2186,6,FALSE)</f>
        <v>1402</v>
      </c>
      <c r="AB71" s="25">
        <f>VLOOKUP(L71,Zones!$A$2:$F$2186,6,FALSE)</f>
        <v>1387</v>
      </c>
    </row>
    <row r="72" spans="2:28">
      <c r="B72" s="40">
        <v>0.61944444444444446</v>
      </c>
      <c r="C72" s="40" t="s">
        <v>654</v>
      </c>
      <c r="D72" s="41">
        <v>1</v>
      </c>
      <c r="E72" s="42">
        <v>4</v>
      </c>
      <c r="F72" s="42" t="s">
        <v>376</v>
      </c>
      <c r="G72" s="43" t="s">
        <v>154</v>
      </c>
      <c r="H72" s="42" t="s">
        <v>155</v>
      </c>
      <c r="I72" s="43">
        <v>1</v>
      </c>
      <c r="J72" s="43">
        <v>1</v>
      </c>
      <c r="K72" s="25" t="str">
        <f>VLOOKUP(J72,Key!$E$2:$F$9,2,FALSE)</f>
        <v>Home</v>
      </c>
      <c r="L72" s="42" t="s">
        <v>159</v>
      </c>
      <c r="M72" s="43" t="s">
        <v>159</v>
      </c>
      <c r="N72" s="42" t="s">
        <v>155</v>
      </c>
      <c r="O72" s="43">
        <v>16</v>
      </c>
      <c r="P72" s="43">
        <v>6</v>
      </c>
      <c r="Q72" s="25" t="str">
        <f>VLOOKUP(P72,Key!$E$2:$F$9,2,FALSE)</f>
        <v>Leisure/Social</v>
      </c>
      <c r="R72" s="25" t="str">
        <f t="shared" si="0"/>
        <v>Home-Leisure/Social</v>
      </c>
      <c r="S72" s="58">
        <v>14</v>
      </c>
      <c r="T72" s="58">
        <v>0.5</v>
      </c>
      <c r="U72" s="43">
        <v>1</v>
      </c>
      <c r="V72" s="43"/>
      <c r="W72" s="58"/>
      <c r="X72" s="58"/>
      <c r="Y72" s="59" t="s">
        <v>156</v>
      </c>
      <c r="Z72" s="60">
        <v>2000</v>
      </c>
      <c r="AA72" s="25">
        <f>VLOOKUP(F72,Zones!$A$2:$F$2186,6,FALSE)</f>
        <v>1393</v>
      </c>
      <c r="AB72" s="25">
        <f>VLOOKUP(L72,Zones!$A$2:$F$2186,6,FALSE)</f>
        <v>521</v>
      </c>
    </row>
    <row r="73" spans="2:28">
      <c r="B73" s="40">
        <v>0.63194444444444442</v>
      </c>
      <c r="C73" s="40" t="s">
        <v>655</v>
      </c>
      <c r="D73" s="41">
        <v>7</v>
      </c>
      <c r="E73" s="42">
        <v>1</v>
      </c>
      <c r="F73" s="42" t="s">
        <v>168</v>
      </c>
      <c r="G73" s="43" t="s">
        <v>154</v>
      </c>
      <c r="H73" s="42" t="s">
        <v>155</v>
      </c>
      <c r="I73" s="43">
        <v>1</v>
      </c>
      <c r="J73" s="43">
        <v>1</v>
      </c>
      <c r="K73" s="25" t="str">
        <f>VLOOKUP(J73,Key!$E$2:$F$9,2,FALSE)</f>
        <v>Home</v>
      </c>
      <c r="L73" s="42" t="s">
        <v>259</v>
      </c>
      <c r="M73" s="43" t="s">
        <v>159</v>
      </c>
      <c r="N73" s="42" t="s">
        <v>155</v>
      </c>
      <c r="O73" s="43">
        <v>2</v>
      </c>
      <c r="P73" s="43">
        <v>2</v>
      </c>
      <c r="Q73" s="25" t="str">
        <f>VLOOKUP(P73,Key!$E$2:$F$9,2,FALSE)</f>
        <v>Work</v>
      </c>
      <c r="R73" s="25" t="str">
        <f t="shared" si="0"/>
        <v>Home-Work</v>
      </c>
      <c r="S73" s="58">
        <v>7</v>
      </c>
      <c r="T73" s="58">
        <v>0.7</v>
      </c>
      <c r="U73" s="43">
        <v>1</v>
      </c>
      <c r="V73" s="43">
        <v>3</v>
      </c>
      <c r="W73" s="58">
        <v>0.1</v>
      </c>
      <c r="X73" s="58">
        <v>1</v>
      </c>
      <c r="Y73" s="59" t="s">
        <v>156</v>
      </c>
      <c r="Z73" s="60">
        <v>0</v>
      </c>
      <c r="AA73" s="25">
        <f>VLOOKUP(F73,Zones!$A$2:$F$2186,6,FALSE)</f>
        <v>1393</v>
      </c>
      <c r="AB73" s="25">
        <f>VLOOKUP(L73,Zones!$A$2:$F$2186,6,FALSE)</f>
        <v>546</v>
      </c>
    </row>
    <row r="74" spans="2:28">
      <c r="B74" s="40">
        <v>0.63402777777777775</v>
      </c>
      <c r="C74" s="40" t="s">
        <v>656</v>
      </c>
      <c r="D74" s="41">
        <v>1</v>
      </c>
      <c r="E74" s="42">
        <v>2</v>
      </c>
      <c r="F74" s="42" t="s">
        <v>2990</v>
      </c>
      <c r="G74" s="43" t="s">
        <v>154</v>
      </c>
      <c r="H74" s="42" t="s">
        <v>155</v>
      </c>
      <c r="I74" s="43">
        <v>1</v>
      </c>
      <c r="J74" s="43">
        <v>1</v>
      </c>
      <c r="K74" s="25" t="str">
        <f>VLOOKUP(J74,Key!$E$2:$F$9,2,FALSE)</f>
        <v>Home</v>
      </c>
      <c r="L74" s="42" t="s">
        <v>468</v>
      </c>
      <c r="M74" s="43" t="s">
        <v>159</v>
      </c>
      <c r="N74" s="42" t="s">
        <v>155</v>
      </c>
      <c r="O74" s="43">
        <v>16</v>
      </c>
      <c r="P74" s="43">
        <v>6</v>
      </c>
      <c r="Q74" s="25" t="str">
        <f>VLOOKUP(P74,Key!$E$2:$F$9,2,FALSE)</f>
        <v>Leisure/Social</v>
      </c>
      <c r="R74" s="25" t="str">
        <f t="shared" ref="R74:R115" si="1">K74&amp;"-"&amp;Q74</f>
        <v>Home-Leisure/Social</v>
      </c>
      <c r="S74" s="58">
        <v>10</v>
      </c>
      <c r="T74" s="58">
        <v>0.5</v>
      </c>
      <c r="U74" s="43">
        <v>1</v>
      </c>
      <c r="V74" s="43"/>
      <c r="W74" s="58"/>
      <c r="X74" s="58"/>
      <c r="Y74" s="59" t="s">
        <v>156</v>
      </c>
      <c r="Z74" s="60">
        <v>1000</v>
      </c>
      <c r="AA74" s="25">
        <f>VLOOKUP(F74,Zones!$A$2:$F$2186,6,FALSE)</f>
        <v>1402</v>
      </c>
      <c r="AB74" s="25">
        <f>VLOOKUP(L74,Zones!$A$2:$F$2186,6,FALSE)</f>
        <v>516</v>
      </c>
    </row>
    <row r="75" spans="2:28">
      <c r="B75" s="40">
        <v>0.63055555555555554</v>
      </c>
      <c r="C75" s="40" t="s">
        <v>657</v>
      </c>
      <c r="D75" s="41">
        <v>4</v>
      </c>
      <c r="E75" s="42">
        <v>13</v>
      </c>
      <c r="F75" s="42" t="s">
        <v>147</v>
      </c>
      <c r="G75" s="43" t="s">
        <v>154</v>
      </c>
      <c r="H75" s="42" t="s">
        <v>155</v>
      </c>
      <c r="I75" s="43">
        <v>6</v>
      </c>
      <c r="J75" s="43">
        <v>2</v>
      </c>
      <c r="K75" s="25" t="str">
        <f>VLOOKUP(J75,Key!$E$2:$F$9,2,FALSE)</f>
        <v>Work</v>
      </c>
      <c r="L75" s="42" t="s">
        <v>564</v>
      </c>
      <c r="M75" s="43" t="s">
        <v>154</v>
      </c>
      <c r="N75" s="42" t="s">
        <v>155</v>
      </c>
      <c r="O75" s="43">
        <v>6</v>
      </c>
      <c r="P75" s="43">
        <v>2</v>
      </c>
      <c r="Q75" s="25" t="str">
        <f>VLOOKUP(P75,Key!$E$2:$F$9,2,FALSE)</f>
        <v>Work</v>
      </c>
      <c r="R75" s="25" t="str">
        <f t="shared" si="1"/>
        <v>Work-Work</v>
      </c>
      <c r="S75" s="58"/>
      <c r="T75" s="58">
        <v>0.5</v>
      </c>
      <c r="U75" s="43">
        <v>1</v>
      </c>
      <c r="V75" s="43"/>
      <c r="W75" s="58"/>
      <c r="X75" s="58"/>
      <c r="Y75" s="59" t="s">
        <v>156</v>
      </c>
      <c r="Z75" s="60">
        <v>500</v>
      </c>
      <c r="AA75" s="25">
        <f>VLOOKUP(F75,Zones!$A$2:$F$2186,6,FALSE)</f>
        <v>1402</v>
      </c>
      <c r="AB75" s="25">
        <f>VLOOKUP(L75,Zones!$A$2:$F$2186,6,FALSE)</f>
        <v>1393</v>
      </c>
    </row>
    <row r="76" spans="2:28">
      <c r="B76" s="40">
        <v>0.62777777777777777</v>
      </c>
      <c r="C76" s="40" t="s">
        <v>658</v>
      </c>
      <c r="D76" s="41">
        <v>1</v>
      </c>
      <c r="E76" s="42">
        <v>1</v>
      </c>
      <c r="F76" s="42" t="s">
        <v>659</v>
      </c>
      <c r="G76" s="43" t="s">
        <v>154</v>
      </c>
      <c r="H76" s="42" t="s">
        <v>155</v>
      </c>
      <c r="I76" s="43">
        <v>1</v>
      </c>
      <c r="J76" s="43">
        <v>1</v>
      </c>
      <c r="K76" s="25" t="str">
        <f>VLOOKUP(J76,Key!$E$2:$F$9,2,FALSE)</f>
        <v>Home</v>
      </c>
      <c r="L76" s="42" t="s">
        <v>159</v>
      </c>
      <c r="M76" s="43" t="s">
        <v>159</v>
      </c>
      <c r="N76" s="42" t="s">
        <v>155</v>
      </c>
      <c r="O76" s="43">
        <v>2</v>
      </c>
      <c r="P76" s="43">
        <v>2</v>
      </c>
      <c r="Q76" s="25" t="str">
        <f>VLOOKUP(P76,Key!$E$2:$F$9,2,FALSE)</f>
        <v>Work</v>
      </c>
      <c r="R76" s="25" t="str">
        <f t="shared" si="1"/>
        <v>Home-Work</v>
      </c>
      <c r="S76" s="58"/>
      <c r="T76" s="58">
        <v>0.5</v>
      </c>
      <c r="U76" s="43">
        <v>1</v>
      </c>
      <c r="V76" s="43"/>
      <c r="W76" s="58"/>
      <c r="X76" s="58"/>
      <c r="Y76" s="59" t="s">
        <v>156</v>
      </c>
      <c r="Z76" s="60">
        <v>500</v>
      </c>
      <c r="AA76" s="25">
        <f>VLOOKUP(F76,Zones!$A$2:$F$2186,6,FALSE)</f>
        <v>542</v>
      </c>
      <c r="AB76" s="25">
        <f>VLOOKUP(L76,Zones!$A$2:$F$2186,6,FALSE)</f>
        <v>521</v>
      </c>
    </row>
    <row r="77" spans="2:28">
      <c r="B77" s="40">
        <v>0.6166666666666667</v>
      </c>
      <c r="C77" s="40" t="s">
        <v>660</v>
      </c>
      <c r="D77" s="41">
        <v>1</v>
      </c>
      <c r="E77" s="42">
        <v>2</v>
      </c>
      <c r="F77" s="42" t="s">
        <v>184</v>
      </c>
      <c r="G77" s="43" t="s">
        <v>154</v>
      </c>
      <c r="H77" s="42" t="s">
        <v>155</v>
      </c>
      <c r="I77" s="43">
        <v>1</v>
      </c>
      <c r="J77" s="43">
        <v>1</v>
      </c>
      <c r="K77" s="25" t="str">
        <f>VLOOKUP(J77,Key!$E$2:$F$9,2,FALSE)</f>
        <v>Home</v>
      </c>
      <c r="L77" s="42" t="s">
        <v>159</v>
      </c>
      <c r="M77" s="43" t="s">
        <v>159</v>
      </c>
      <c r="N77" s="42" t="s">
        <v>155</v>
      </c>
      <c r="O77" s="43">
        <v>7</v>
      </c>
      <c r="P77" s="43">
        <v>4</v>
      </c>
      <c r="Q77" s="25" t="str">
        <f>VLOOKUP(P77,Key!$E$2:$F$9,2,FALSE)</f>
        <v>Commercial</v>
      </c>
      <c r="R77" s="25" t="str">
        <f t="shared" si="1"/>
        <v>Home-Commercial</v>
      </c>
      <c r="S77" s="58">
        <v>18</v>
      </c>
      <c r="T77" s="58">
        <v>0.5</v>
      </c>
      <c r="U77" s="43">
        <v>1</v>
      </c>
      <c r="V77" s="43"/>
      <c r="W77" s="58"/>
      <c r="X77" s="58"/>
      <c r="Y77" s="59" t="s">
        <v>156</v>
      </c>
      <c r="Z77" s="60">
        <v>3000</v>
      </c>
      <c r="AA77" s="25">
        <f>VLOOKUP(F77,Zones!$A$2:$F$2186,6,FALSE)</f>
        <v>811</v>
      </c>
      <c r="AB77" s="25">
        <f>VLOOKUP(L77,Zones!$A$2:$F$2186,6,FALSE)</f>
        <v>521</v>
      </c>
    </row>
    <row r="78" spans="2:28">
      <c r="B78" s="40">
        <v>0.6118055555555556</v>
      </c>
      <c r="C78" s="40" t="s">
        <v>661</v>
      </c>
      <c r="D78" s="41">
        <v>1</v>
      </c>
      <c r="E78" s="42">
        <v>1</v>
      </c>
      <c r="F78" s="42" t="s">
        <v>168</v>
      </c>
      <c r="G78" s="43" t="s">
        <v>154</v>
      </c>
      <c r="H78" s="42" t="s">
        <v>155</v>
      </c>
      <c r="I78" s="43">
        <v>1</v>
      </c>
      <c r="J78" s="43">
        <v>1</v>
      </c>
      <c r="K78" s="25" t="str">
        <f>VLOOKUP(J78,Key!$E$2:$F$9,2,FALSE)</f>
        <v>Home</v>
      </c>
      <c r="L78" s="42" t="s">
        <v>564</v>
      </c>
      <c r="M78" s="43" t="s">
        <v>154</v>
      </c>
      <c r="N78" s="42" t="s">
        <v>155</v>
      </c>
      <c r="O78" s="43">
        <v>16</v>
      </c>
      <c r="P78" s="43">
        <v>6</v>
      </c>
      <c r="Q78" s="25" t="str">
        <f>VLOOKUP(P78,Key!$E$2:$F$9,2,FALSE)</f>
        <v>Leisure/Social</v>
      </c>
      <c r="R78" s="25" t="str">
        <f t="shared" si="1"/>
        <v>Home-Leisure/Social</v>
      </c>
      <c r="S78" s="58">
        <v>3</v>
      </c>
      <c r="T78" s="58">
        <v>0.3</v>
      </c>
      <c r="U78" s="43">
        <v>1</v>
      </c>
      <c r="V78" s="43"/>
      <c r="W78" s="58"/>
      <c r="X78" s="58"/>
      <c r="Y78" s="59" t="s">
        <v>156</v>
      </c>
      <c r="Z78" s="60">
        <v>2000</v>
      </c>
      <c r="AA78" s="25">
        <f>VLOOKUP(F78,Zones!$A$2:$F$2186,6,FALSE)</f>
        <v>1393</v>
      </c>
      <c r="AB78" s="25">
        <f>VLOOKUP(L78,Zones!$A$2:$F$2186,6,FALSE)</f>
        <v>1393</v>
      </c>
    </row>
    <row r="79" spans="2:28">
      <c r="B79" s="40">
        <v>0.61388888888888882</v>
      </c>
      <c r="C79" s="40" t="s">
        <v>662</v>
      </c>
      <c r="D79" s="41">
        <v>2</v>
      </c>
      <c r="E79" s="42">
        <v>6</v>
      </c>
      <c r="F79" s="42" t="s">
        <v>168</v>
      </c>
      <c r="G79" s="43" t="s">
        <v>154</v>
      </c>
      <c r="H79" s="42" t="s">
        <v>155</v>
      </c>
      <c r="I79" s="43">
        <v>16</v>
      </c>
      <c r="J79" s="43">
        <v>8</v>
      </c>
      <c r="K79" s="25" t="str">
        <f>VLOOKUP(J79,Key!$E$2:$F$9,2,FALSE)</f>
        <v>Others</v>
      </c>
      <c r="L79" s="42" t="s">
        <v>268</v>
      </c>
      <c r="M79" s="43" t="s">
        <v>154</v>
      </c>
      <c r="N79" s="42" t="s">
        <v>155</v>
      </c>
      <c r="O79" s="43">
        <v>1</v>
      </c>
      <c r="P79" s="43">
        <v>1</v>
      </c>
      <c r="Q79" s="25" t="str">
        <f>VLOOKUP(P79,Key!$E$2:$F$9,2,FALSE)</f>
        <v>Home</v>
      </c>
      <c r="R79" s="25" t="str">
        <f t="shared" si="1"/>
        <v>Others-Home</v>
      </c>
      <c r="S79" s="58">
        <v>8</v>
      </c>
      <c r="T79" s="58">
        <v>0.5</v>
      </c>
      <c r="U79" s="43">
        <v>4</v>
      </c>
      <c r="V79" s="43"/>
      <c r="W79" s="58"/>
      <c r="X79" s="58"/>
      <c r="Y79" s="59" t="s">
        <v>156</v>
      </c>
      <c r="Z79" s="60">
        <v>3000</v>
      </c>
      <c r="AA79" s="25">
        <f>VLOOKUP(F79,Zones!$A$2:$F$2186,6,FALSE)</f>
        <v>1393</v>
      </c>
      <c r="AB79" s="25">
        <f>VLOOKUP(L79,Zones!$A$2:$F$2186,6,FALSE)</f>
        <v>1396</v>
      </c>
    </row>
    <row r="80" spans="2:28">
      <c r="B80" s="40">
        <v>0.81180555555555556</v>
      </c>
      <c r="C80" s="40" t="s">
        <v>663</v>
      </c>
      <c r="D80" s="41">
        <v>2</v>
      </c>
      <c r="E80" s="42">
        <v>4</v>
      </c>
      <c r="F80" s="42" t="s">
        <v>3281</v>
      </c>
      <c r="G80" s="43" t="s">
        <v>154</v>
      </c>
      <c r="H80" s="42" t="s">
        <v>155</v>
      </c>
      <c r="I80" s="43">
        <v>4</v>
      </c>
      <c r="J80" s="43">
        <v>2</v>
      </c>
      <c r="K80" s="25" t="str">
        <f>VLOOKUP(J80,Key!$E$2:$F$9,2,FALSE)</f>
        <v>Work</v>
      </c>
      <c r="L80" s="42" t="s">
        <v>154</v>
      </c>
      <c r="M80" s="43" t="s">
        <v>154</v>
      </c>
      <c r="N80" s="42" t="s">
        <v>155</v>
      </c>
      <c r="O80" s="43">
        <v>1</v>
      </c>
      <c r="P80" s="43">
        <v>1</v>
      </c>
      <c r="Q80" s="25" t="str">
        <f>VLOOKUP(P80,Key!$E$2:$F$9,2,FALSE)</f>
        <v>Home</v>
      </c>
      <c r="R80" s="25" t="str">
        <f t="shared" si="1"/>
        <v>Work-Home</v>
      </c>
      <c r="S80" s="58">
        <v>30</v>
      </c>
      <c r="T80" s="58">
        <v>1</v>
      </c>
      <c r="U80" s="43">
        <v>1</v>
      </c>
      <c r="V80" s="43"/>
      <c r="W80" s="58"/>
      <c r="X80" s="58"/>
      <c r="Y80" s="59" t="s">
        <v>156</v>
      </c>
      <c r="Z80" s="60">
        <v>1000</v>
      </c>
      <c r="AA80" s="25">
        <f>VLOOKUP(F80,Zones!$A$2:$F$2186,6,FALSE)</f>
        <v>1408</v>
      </c>
      <c r="AB80" s="25">
        <f>VLOOKUP(L80,Zones!$A$2:$F$2186,6,FALSE)</f>
        <v>1408</v>
      </c>
    </row>
    <row r="81" spans="2:28">
      <c r="B81" s="40">
        <v>0.5756944444444444</v>
      </c>
      <c r="C81" s="40" t="s">
        <v>665</v>
      </c>
      <c r="D81" s="41">
        <v>1</v>
      </c>
      <c r="E81" s="42">
        <v>4</v>
      </c>
      <c r="F81" s="42" t="s">
        <v>147</v>
      </c>
      <c r="G81" s="43" t="s">
        <v>154</v>
      </c>
      <c r="H81" s="42" t="s">
        <v>155</v>
      </c>
      <c r="I81" s="43">
        <v>3</v>
      </c>
      <c r="J81" s="43">
        <v>2</v>
      </c>
      <c r="K81" s="25" t="str">
        <f>VLOOKUP(J81,Key!$E$2:$F$9,2,FALSE)</f>
        <v>Work</v>
      </c>
      <c r="L81" s="42" t="s">
        <v>184</v>
      </c>
      <c r="M81" s="43" t="s">
        <v>154</v>
      </c>
      <c r="N81" s="42" t="s">
        <v>155</v>
      </c>
      <c r="O81" s="43">
        <v>1</v>
      </c>
      <c r="P81" s="43">
        <v>1</v>
      </c>
      <c r="Q81" s="25" t="str">
        <f>VLOOKUP(P81,Key!$E$2:$F$9,2,FALSE)</f>
        <v>Home</v>
      </c>
      <c r="R81" s="25" t="str">
        <f t="shared" si="1"/>
        <v>Work-Home</v>
      </c>
      <c r="S81" s="58">
        <v>10</v>
      </c>
      <c r="T81" s="58">
        <v>0.1</v>
      </c>
      <c r="U81" s="43">
        <v>6</v>
      </c>
      <c r="V81" s="43"/>
      <c r="W81" s="58"/>
      <c r="X81" s="58"/>
      <c r="Y81" s="59" t="s">
        <v>156</v>
      </c>
      <c r="Z81" s="60">
        <v>0</v>
      </c>
      <c r="AA81" s="25">
        <f>VLOOKUP(F81,Zones!$A$2:$F$2186,6,FALSE)</f>
        <v>1402</v>
      </c>
      <c r="AB81" s="25">
        <f>VLOOKUP(L81,Zones!$A$2:$F$2186,6,FALSE)</f>
        <v>811</v>
      </c>
    </row>
    <row r="82" spans="2:28">
      <c r="B82" s="40">
        <v>0.57777777777777783</v>
      </c>
      <c r="C82" s="40" t="s">
        <v>666</v>
      </c>
      <c r="D82" s="41">
        <v>1</v>
      </c>
      <c r="E82" s="42">
        <v>1</v>
      </c>
      <c r="F82" s="42" t="s">
        <v>667</v>
      </c>
      <c r="G82" s="43" t="s">
        <v>154</v>
      </c>
      <c r="H82" s="42" t="s">
        <v>155</v>
      </c>
      <c r="I82" s="43">
        <v>2</v>
      </c>
      <c r="J82" s="43">
        <v>2</v>
      </c>
      <c r="K82" s="25" t="str">
        <f>VLOOKUP(J82,Key!$E$2:$F$9,2,FALSE)</f>
        <v>Work</v>
      </c>
      <c r="L82" s="42" t="s">
        <v>3281</v>
      </c>
      <c r="M82" s="43" t="s">
        <v>154</v>
      </c>
      <c r="N82" s="42" t="s">
        <v>155</v>
      </c>
      <c r="O82" s="43">
        <v>1</v>
      </c>
      <c r="P82" s="43">
        <v>1</v>
      </c>
      <c r="Q82" s="25" t="str">
        <f>VLOOKUP(P82,Key!$E$2:$F$9,2,FALSE)</f>
        <v>Home</v>
      </c>
      <c r="R82" s="25" t="str">
        <f t="shared" si="1"/>
        <v>Work-Home</v>
      </c>
      <c r="S82" s="58">
        <v>22</v>
      </c>
      <c r="T82" s="58">
        <v>0.7</v>
      </c>
      <c r="U82" s="43">
        <v>3</v>
      </c>
      <c r="V82" s="43"/>
      <c r="W82" s="58"/>
      <c r="X82" s="58"/>
      <c r="Y82" s="59" t="s">
        <v>156</v>
      </c>
      <c r="Z82" s="60">
        <v>0</v>
      </c>
      <c r="AA82" s="25">
        <f>VLOOKUP(F82,Zones!$A$2:$F$2186,6,FALSE)</f>
        <v>583</v>
      </c>
      <c r="AB82" s="25">
        <f>VLOOKUP(L82,Zones!$A$2:$F$2186,6,FALSE)</f>
        <v>1408</v>
      </c>
    </row>
    <row r="83" spans="2:28">
      <c r="B83" s="40">
        <v>0.60486111111111118</v>
      </c>
      <c r="C83" s="40" t="s">
        <v>669</v>
      </c>
      <c r="D83" s="41">
        <v>1</v>
      </c>
      <c r="E83" s="42">
        <v>1</v>
      </c>
      <c r="F83" s="42" t="s">
        <v>168</v>
      </c>
      <c r="G83" s="43" t="s">
        <v>154</v>
      </c>
      <c r="H83" s="42" t="s">
        <v>155</v>
      </c>
      <c r="I83" s="43">
        <v>1</v>
      </c>
      <c r="J83" s="43">
        <v>1</v>
      </c>
      <c r="K83" s="25" t="str">
        <f>VLOOKUP(J83,Key!$E$2:$F$9,2,FALSE)</f>
        <v>Home</v>
      </c>
      <c r="L83" s="42" t="s">
        <v>146</v>
      </c>
      <c r="M83" s="43" t="s">
        <v>154</v>
      </c>
      <c r="N83" s="42" t="s">
        <v>155</v>
      </c>
      <c r="O83" s="43">
        <v>7</v>
      </c>
      <c r="P83" s="43">
        <v>2</v>
      </c>
      <c r="Q83" s="25" t="str">
        <f>VLOOKUP(P83,Key!$E$2:$F$9,2,FALSE)</f>
        <v>Work</v>
      </c>
      <c r="R83" s="25" t="str">
        <f t="shared" si="1"/>
        <v>Home-Work</v>
      </c>
      <c r="S83" s="58">
        <v>2</v>
      </c>
      <c r="T83" s="58">
        <v>0.3</v>
      </c>
      <c r="U83" s="43"/>
      <c r="V83" s="43"/>
      <c r="W83" s="58"/>
      <c r="X83" s="58"/>
      <c r="Y83" s="59" t="s">
        <v>156</v>
      </c>
      <c r="Z83" s="60">
        <v>500</v>
      </c>
      <c r="AA83" s="25">
        <f>VLOOKUP(F83,Zones!$A$2:$F$2186,6,FALSE)</f>
        <v>1393</v>
      </c>
      <c r="AB83" s="25">
        <f>VLOOKUP(L83,Zones!$A$2:$F$2186,6,FALSE)</f>
        <v>1393</v>
      </c>
    </row>
    <row r="84" spans="2:28">
      <c r="B84" s="40">
        <v>0.57291666666666663</v>
      </c>
      <c r="C84" s="40" t="s">
        <v>671</v>
      </c>
      <c r="D84" s="41">
        <v>4</v>
      </c>
      <c r="E84" s="42">
        <v>14</v>
      </c>
      <c r="F84" s="42" t="s">
        <v>154</v>
      </c>
      <c r="G84" s="43" t="s">
        <v>154</v>
      </c>
      <c r="H84" s="42" t="s">
        <v>155</v>
      </c>
      <c r="I84" s="43">
        <v>6</v>
      </c>
      <c r="J84" s="43">
        <v>2</v>
      </c>
      <c r="K84" s="25" t="str">
        <f>VLOOKUP(J84,Key!$E$2:$F$9,2,FALSE)</f>
        <v>Work</v>
      </c>
      <c r="L84" s="42" t="s">
        <v>146</v>
      </c>
      <c r="M84" s="43" t="s">
        <v>154</v>
      </c>
      <c r="N84" s="42" t="s">
        <v>155</v>
      </c>
      <c r="O84" s="43">
        <v>6</v>
      </c>
      <c r="P84" s="43">
        <v>2</v>
      </c>
      <c r="Q84" s="25" t="str">
        <f>VLOOKUP(P84,Key!$E$2:$F$9,2,FALSE)</f>
        <v>Work</v>
      </c>
      <c r="R84" s="25" t="str">
        <f t="shared" si="1"/>
        <v>Work-Work</v>
      </c>
      <c r="S84" s="58">
        <v>20</v>
      </c>
      <c r="T84" s="58">
        <v>0.7</v>
      </c>
      <c r="U84" s="43">
        <v>1</v>
      </c>
      <c r="V84" s="43"/>
      <c r="W84" s="58"/>
      <c r="X84" s="58"/>
      <c r="Y84" s="59" t="s">
        <v>156</v>
      </c>
      <c r="Z84" s="60">
        <v>5000</v>
      </c>
      <c r="AA84" s="25">
        <f>VLOOKUP(F84,Zones!$A$2:$F$2186,6,FALSE)</f>
        <v>1408</v>
      </c>
      <c r="AB84" s="25">
        <f>VLOOKUP(L84,Zones!$A$2:$F$2186,6,FALSE)</f>
        <v>1393</v>
      </c>
    </row>
    <row r="85" spans="2:28">
      <c r="B85" s="40">
        <v>0.60555555555555551</v>
      </c>
      <c r="C85" s="40" t="s">
        <v>672</v>
      </c>
      <c r="D85" s="41">
        <v>1</v>
      </c>
      <c r="E85" s="42">
        <v>4</v>
      </c>
      <c r="F85" s="42" t="s">
        <v>168</v>
      </c>
      <c r="G85" s="43" t="s">
        <v>154</v>
      </c>
      <c r="H85" s="42" t="s">
        <v>155</v>
      </c>
      <c r="I85" s="43">
        <v>1</v>
      </c>
      <c r="J85" s="43">
        <v>1</v>
      </c>
      <c r="K85" s="25" t="str">
        <f>VLOOKUP(J85,Key!$E$2:$F$9,2,FALSE)</f>
        <v>Home</v>
      </c>
      <c r="L85" s="42" t="s">
        <v>146</v>
      </c>
      <c r="M85" s="43" t="s">
        <v>154</v>
      </c>
      <c r="N85" s="42" t="s">
        <v>155</v>
      </c>
      <c r="O85" s="43">
        <v>2</v>
      </c>
      <c r="P85" s="43">
        <v>2</v>
      </c>
      <c r="Q85" s="25" t="str">
        <f>VLOOKUP(P85,Key!$E$2:$F$9,2,FALSE)</f>
        <v>Work</v>
      </c>
      <c r="R85" s="25" t="str">
        <f t="shared" si="1"/>
        <v>Home-Work</v>
      </c>
      <c r="S85" s="58">
        <v>4</v>
      </c>
      <c r="T85" s="58">
        <v>0.2</v>
      </c>
      <c r="U85" s="43">
        <v>1</v>
      </c>
      <c r="V85" s="43"/>
      <c r="W85" s="58"/>
      <c r="X85" s="58"/>
      <c r="Y85" s="59" t="s">
        <v>156</v>
      </c>
      <c r="Z85" s="60">
        <v>0</v>
      </c>
      <c r="AA85" s="25">
        <f>VLOOKUP(F85,Zones!$A$2:$F$2186,6,FALSE)</f>
        <v>1393</v>
      </c>
      <c r="AB85" s="25">
        <f>VLOOKUP(L85,Zones!$A$2:$F$2186,6,FALSE)</f>
        <v>1393</v>
      </c>
    </row>
    <row r="86" spans="2:28">
      <c r="B86" s="40">
        <v>0.60625000000000007</v>
      </c>
      <c r="C86" s="40" t="s">
        <v>673</v>
      </c>
      <c r="D86" s="41">
        <v>8</v>
      </c>
      <c r="E86" s="42">
        <v>2</v>
      </c>
      <c r="F86" s="42" t="s">
        <v>639</v>
      </c>
      <c r="G86" s="43" t="s">
        <v>154</v>
      </c>
      <c r="H86" s="42" t="s">
        <v>155</v>
      </c>
      <c r="I86" s="43">
        <v>1</v>
      </c>
      <c r="J86" s="43">
        <v>1</v>
      </c>
      <c r="K86" s="25" t="str">
        <f>VLOOKUP(J86,Key!$E$2:$F$9,2,FALSE)</f>
        <v>Home</v>
      </c>
      <c r="L86" s="42" t="s">
        <v>295</v>
      </c>
      <c r="M86" s="43" t="s">
        <v>154</v>
      </c>
      <c r="N86" s="42" t="s">
        <v>155</v>
      </c>
      <c r="O86" s="43">
        <v>1</v>
      </c>
      <c r="P86" s="43">
        <v>1</v>
      </c>
      <c r="Q86" s="25" t="str">
        <f>VLOOKUP(P86,Key!$E$2:$F$9,2,FALSE)</f>
        <v>Home</v>
      </c>
      <c r="R86" s="25" t="str">
        <f t="shared" si="1"/>
        <v>Home-Home</v>
      </c>
      <c r="S86" s="58">
        <v>78</v>
      </c>
      <c r="T86" s="58">
        <v>2</v>
      </c>
      <c r="U86" s="43">
        <v>6</v>
      </c>
      <c r="V86" s="43"/>
      <c r="W86" s="58"/>
      <c r="X86" s="58"/>
      <c r="Y86" s="59" t="s">
        <v>156</v>
      </c>
      <c r="Z86" s="60">
        <v>2000</v>
      </c>
      <c r="AA86" s="25">
        <f>VLOOKUP(F86,Zones!$A$2:$F$2186,6,FALSE)</f>
        <v>887</v>
      </c>
      <c r="AB86" s="25">
        <f>VLOOKUP(L86,Zones!$A$2:$F$2186,6,FALSE)</f>
        <v>1405</v>
      </c>
    </row>
    <row r="87" spans="2:28">
      <c r="B87" s="40">
        <v>0.5708333333333333</v>
      </c>
      <c r="C87" s="40" t="s">
        <v>674</v>
      </c>
      <c r="D87" s="41">
        <v>1</v>
      </c>
      <c r="E87" s="42">
        <v>2</v>
      </c>
      <c r="F87" s="42" t="s">
        <v>376</v>
      </c>
      <c r="G87" s="43" t="s">
        <v>154</v>
      </c>
      <c r="H87" s="42" t="s">
        <v>155</v>
      </c>
      <c r="I87" s="43">
        <v>1</v>
      </c>
      <c r="J87" s="43">
        <v>1</v>
      </c>
      <c r="K87" s="25" t="str">
        <f>VLOOKUP(J87,Key!$E$2:$F$9,2,FALSE)</f>
        <v>Home</v>
      </c>
      <c r="L87" s="42" t="s">
        <v>159</v>
      </c>
      <c r="M87" s="43" t="s">
        <v>159</v>
      </c>
      <c r="N87" s="42" t="s">
        <v>155</v>
      </c>
      <c r="O87" s="43">
        <v>11</v>
      </c>
      <c r="P87" s="43">
        <v>4</v>
      </c>
      <c r="Q87" s="25" t="str">
        <f>VLOOKUP(P87,Key!$E$2:$F$9,2,FALSE)</f>
        <v>Commercial</v>
      </c>
      <c r="R87" s="25" t="str">
        <f t="shared" si="1"/>
        <v>Home-Commercial</v>
      </c>
      <c r="S87" s="58"/>
      <c r="T87" s="58">
        <v>0.7</v>
      </c>
      <c r="U87" s="43">
        <v>1</v>
      </c>
      <c r="V87" s="43"/>
      <c r="W87" s="58"/>
      <c r="X87" s="58"/>
      <c r="Y87" s="59" t="s">
        <v>156</v>
      </c>
      <c r="Z87" s="60">
        <v>2000</v>
      </c>
      <c r="AA87" s="25">
        <f>VLOOKUP(F87,Zones!$A$2:$F$2186,6,FALSE)</f>
        <v>1393</v>
      </c>
      <c r="AB87" s="25">
        <f>VLOOKUP(L87,Zones!$A$2:$F$2186,6,FALSE)</f>
        <v>521</v>
      </c>
    </row>
    <row r="88" spans="2:28">
      <c r="B88" s="40">
        <v>0.56527777777777777</v>
      </c>
      <c r="C88" s="40" t="s">
        <v>675</v>
      </c>
      <c r="D88" s="41">
        <v>1</v>
      </c>
      <c r="E88" s="42">
        <v>1</v>
      </c>
      <c r="F88" s="42" t="s">
        <v>564</v>
      </c>
      <c r="G88" s="43" t="s">
        <v>154</v>
      </c>
      <c r="H88" s="42" t="s">
        <v>155</v>
      </c>
      <c r="I88" s="43">
        <v>1</v>
      </c>
      <c r="J88" s="43">
        <v>1</v>
      </c>
      <c r="K88" s="25" t="str">
        <f>VLOOKUP(J88,Key!$E$2:$F$9,2,FALSE)</f>
        <v>Home</v>
      </c>
      <c r="L88" s="42" t="s">
        <v>177</v>
      </c>
      <c r="M88" s="43" t="s">
        <v>159</v>
      </c>
      <c r="N88" s="42" t="s">
        <v>155</v>
      </c>
      <c r="O88" s="43">
        <v>2</v>
      </c>
      <c r="P88" s="43">
        <v>2</v>
      </c>
      <c r="Q88" s="25" t="str">
        <f>VLOOKUP(P88,Key!$E$2:$F$9,2,FALSE)</f>
        <v>Work</v>
      </c>
      <c r="R88" s="25" t="str">
        <f t="shared" si="1"/>
        <v>Home-Work</v>
      </c>
      <c r="S88" s="58">
        <v>23</v>
      </c>
      <c r="T88" s="58">
        <v>0.7</v>
      </c>
      <c r="U88" s="43">
        <v>1</v>
      </c>
      <c r="V88" s="43"/>
      <c r="W88" s="58"/>
      <c r="X88" s="58"/>
      <c r="Y88" s="59" t="s">
        <v>156</v>
      </c>
      <c r="Z88" s="60">
        <v>3000</v>
      </c>
      <c r="AA88" s="25">
        <f>VLOOKUP(F88,Zones!$A$2:$F$2186,6,FALSE)</f>
        <v>1393</v>
      </c>
      <c r="AB88" s="25">
        <f>VLOOKUP(L88,Zones!$A$2:$F$2186,6,FALSE)</f>
        <v>567</v>
      </c>
    </row>
    <row r="89" spans="2:28">
      <c r="B89" s="40">
        <v>0.5493055555555556</v>
      </c>
      <c r="C89" s="40" t="s">
        <v>676</v>
      </c>
      <c r="D89" s="41">
        <v>7</v>
      </c>
      <c r="E89" s="42">
        <v>2</v>
      </c>
      <c r="F89" s="42" t="s">
        <v>168</v>
      </c>
      <c r="G89" s="43" t="s">
        <v>154</v>
      </c>
      <c r="H89" s="42" t="s">
        <v>155</v>
      </c>
      <c r="I89" s="43">
        <v>1</v>
      </c>
      <c r="J89" s="43">
        <v>1</v>
      </c>
      <c r="K89" s="25" t="str">
        <f>VLOOKUP(J89,Key!$E$2:$F$9,2,FALSE)</f>
        <v>Home</v>
      </c>
      <c r="L89" s="42" t="s">
        <v>564</v>
      </c>
      <c r="M89" s="43" t="s">
        <v>154</v>
      </c>
      <c r="N89" s="42" t="s">
        <v>155</v>
      </c>
      <c r="O89" s="43">
        <v>6</v>
      </c>
      <c r="P89" s="43">
        <v>2</v>
      </c>
      <c r="Q89" s="25" t="str">
        <f>VLOOKUP(P89,Key!$E$2:$F$9,2,FALSE)</f>
        <v>Work</v>
      </c>
      <c r="R89" s="25" t="str">
        <f t="shared" si="1"/>
        <v>Home-Work</v>
      </c>
      <c r="S89" s="58">
        <v>2</v>
      </c>
      <c r="T89" s="58">
        <v>0.1</v>
      </c>
      <c r="U89" s="43">
        <v>6</v>
      </c>
      <c r="V89" s="43">
        <v>5</v>
      </c>
      <c r="W89" s="58">
        <v>0.1</v>
      </c>
      <c r="X89" s="58"/>
      <c r="Y89" s="59" t="s">
        <v>156</v>
      </c>
      <c r="Z89" s="60">
        <v>300</v>
      </c>
      <c r="AA89" s="25">
        <f>VLOOKUP(F89,Zones!$A$2:$F$2186,6,FALSE)</f>
        <v>1393</v>
      </c>
      <c r="AB89" s="25">
        <f>VLOOKUP(L89,Zones!$A$2:$F$2186,6,FALSE)</f>
        <v>1393</v>
      </c>
    </row>
    <row r="90" spans="2:28">
      <c r="B90" s="40">
        <v>0.54999999999999993</v>
      </c>
      <c r="C90" s="40" t="s">
        <v>677</v>
      </c>
      <c r="D90" s="41">
        <v>1</v>
      </c>
      <c r="E90" s="42">
        <v>6</v>
      </c>
      <c r="F90" s="42" t="s">
        <v>376</v>
      </c>
      <c r="G90" s="43" t="s">
        <v>154</v>
      </c>
      <c r="H90" s="42" t="s">
        <v>155</v>
      </c>
      <c r="I90" s="43">
        <v>2</v>
      </c>
      <c r="J90" s="43">
        <v>2</v>
      </c>
      <c r="K90" s="25" t="str">
        <f>VLOOKUP(J90,Key!$E$2:$F$9,2,FALSE)</f>
        <v>Work</v>
      </c>
      <c r="L90" s="42" t="s">
        <v>159</v>
      </c>
      <c r="M90" s="43" t="s">
        <v>159</v>
      </c>
      <c r="N90" s="42" t="s">
        <v>155</v>
      </c>
      <c r="O90" s="43">
        <v>1</v>
      </c>
      <c r="P90" s="43">
        <v>1</v>
      </c>
      <c r="Q90" s="25" t="str">
        <f>VLOOKUP(P90,Key!$E$2:$F$9,2,FALSE)</f>
        <v>Home</v>
      </c>
      <c r="R90" s="25" t="str">
        <f t="shared" si="1"/>
        <v>Work-Home</v>
      </c>
      <c r="S90" s="58">
        <v>10</v>
      </c>
      <c r="T90" s="58">
        <v>2</v>
      </c>
      <c r="U90" s="43">
        <v>1</v>
      </c>
      <c r="V90" s="43"/>
      <c r="W90" s="58"/>
      <c r="X90" s="58"/>
      <c r="Y90" s="59" t="s">
        <v>156</v>
      </c>
      <c r="Z90" s="60">
        <v>0</v>
      </c>
      <c r="AA90" s="25">
        <f>VLOOKUP(F90,Zones!$A$2:$F$2186,6,FALSE)</f>
        <v>1393</v>
      </c>
      <c r="AB90" s="25">
        <f>VLOOKUP(L90,Zones!$A$2:$F$2186,6,FALSE)</f>
        <v>521</v>
      </c>
    </row>
    <row r="91" spans="2:28">
      <c r="B91" s="40">
        <v>0.5541666666666667</v>
      </c>
      <c r="C91" s="40" t="s">
        <v>678</v>
      </c>
      <c r="D91" s="41">
        <v>2</v>
      </c>
      <c r="E91" s="42">
        <v>1</v>
      </c>
      <c r="F91" s="42" t="s">
        <v>168</v>
      </c>
      <c r="G91" s="43" t="s">
        <v>154</v>
      </c>
      <c r="H91" s="42" t="s">
        <v>155</v>
      </c>
      <c r="I91" s="43">
        <v>1</v>
      </c>
      <c r="J91" s="43">
        <v>1</v>
      </c>
      <c r="K91" s="25" t="str">
        <f>VLOOKUP(J91,Key!$E$2:$F$9,2,FALSE)</f>
        <v>Home</v>
      </c>
      <c r="L91" s="42" t="s">
        <v>159</v>
      </c>
      <c r="M91" s="43" t="s">
        <v>159</v>
      </c>
      <c r="N91" s="42" t="s">
        <v>155</v>
      </c>
      <c r="O91" s="43">
        <v>2</v>
      </c>
      <c r="P91" s="43">
        <v>2</v>
      </c>
      <c r="Q91" s="25" t="str">
        <f>VLOOKUP(P91,Key!$E$2:$F$9,2,FALSE)</f>
        <v>Work</v>
      </c>
      <c r="R91" s="25" t="str">
        <f t="shared" si="1"/>
        <v>Home-Work</v>
      </c>
      <c r="S91" s="58">
        <v>11</v>
      </c>
      <c r="T91" s="58">
        <v>1</v>
      </c>
      <c r="U91" s="43">
        <v>1</v>
      </c>
      <c r="V91" s="43"/>
      <c r="W91" s="58"/>
      <c r="X91" s="58"/>
      <c r="Y91" s="59" t="s">
        <v>156</v>
      </c>
      <c r="Z91" s="60">
        <v>5000</v>
      </c>
      <c r="AA91" s="25">
        <f>VLOOKUP(F91,Zones!$A$2:$F$2186,6,FALSE)</f>
        <v>1393</v>
      </c>
      <c r="AB91" s="25">
        <f>VLOOKUP(L91,Zones!$A$2:$F$2186,6,FALSE)</f>
        <v>521</v>
      </c>
    </row>
    <row r="92" spans="2:28">
      <c r="B92" s="40">
        <v>0.55833333333333335</v>
      </c>
      <c r="C92" s="40" t="s">
        <v>679</v>
      </c>
      <c r="D92" s="41">
        <v>7</v>
      </c>
      <c r="E92" s="42">
        <v>5</v>
      </c>
      <c r="F92" s="42" t="s">
        <v>168</v>
      </c>
      <c r="G92" s="43" t="s">
        <v>154</v>
      </c>
      <c r="H92" s="42" t="s">
        <v>155</v>
      </c>
      <c r="I92" s="43">
        <v>2</v>
      </c>
      <c r="J92" s="43">
        <v>2</v>
      </c>
      <c r="K92" s="25" t="str">
        <f>VLOOKUP(J92,Key!$E$2:$F$9,2,FALSE)</f>
        <v>Work</v>
      </c>
      <c r="L92" s="42" t="s">
        <v>184</v>
      </c>
      <c r="M92" s="43" t="s">
        <v>154</v>
      </c>
      <c r="N92" s="42" t="s">
        <v>155</v>
      </c>
      <c r="O92" s="43">
        <v>6</v>
      </c>
      <c r="P92" s="43">
        <v>6</v>
      </c>
      <c r="Q92" s="25" t="str">
        <f>VLOOKUP(P92,Key!$E$2:$F$9,2,FALSE)</f>
        <v>Leisure/Social</v>
      </c>
      <c r="R92" s="25" t="str">
        <f t="shared" si="1"/>
        <v>Work-Leisure/Social</v>
      </c>
      <c r="S92" s="58">
        <v>2</v>
      </c>
      <c r="T92" s="58">
        <v>0.2</v>
      </c>
      <c r="U92" s="43">
        <v>1</v>
      </c>
      <c r="V92" s="43"/>
      <c r="W92" s="58"/>
      <c r="X92" s="58"/>
      <c r="Y92" s="59" t="s">
        <v>156</v>
      </c>
      <c r="Z92" s="60">
        <v>5000</v>
      </c>
      <c r="AA92" s="25">
        <f>VLOOKUP(F92,Zones!$A$2:$F$2186,6,FALSE)</f>
        <v>1393</v>
      </c>
      <c r="AB92" s="25">
        <f>VLOOKUP(L92,Zones!$A$2:$F$2186,6,FALSE)</f>
        <v>811</v>
      </c>
    </row>
    <row r="93" spans="2:28">
      <c r="B93" s="40">
        <v>0.5625</v>
      </c>
      <c r="C93" s="40" t="s">
        <v>680</v>
      </c>
      <c r="D93" s="41">
        <v>2</v>
      </c>
      <c r="E93" s="42">
        <v>1</v>
      </c>
      <c r="F93" s="42" t="s">
        <v>391</v>
      </c>
      <c r="G93" s="43" t="s">
        <v>154</v>
      </c>
      <c r="H93" s="42" t="s">
        <v>155</v>
      </c>
      <c r="I93" s="43">
        <v>1</v>
      </c>
      <c r="J93" s="43">
        <v>1</v>
      </c>
      <c r="K93" s="25" t="str">
        <f>VLOOKUP(J93,Key!$E$2:$F$9,2,FALSE)</f>
        <v>Home</v>
      </c>
      <c r="L93" s="42" t="s">
        <v>681</v>
      </c>
      <c r="M93" s="43" t="s">
        <v>154</v>
      </c>
      <c r="N93" s="42" t="s">
        <v>155</v>
      </c>
      <c r="O93" s="43">
        <v>7</v>
      </c>
      <c r="P93" s="43">
        <v>4</v>
      </c>
      <c r="Q93" s="25" t="str">
        <f>VLOOKUP(P93,Key!$E$2:$F$9,2,FALSE)</f>
        <v>Commercial</v>
      </c>
      <c r="R93" s="25" t="str">
        <f t="shared" si="1"/>
        <v>Home-Commercial</v>
      </c>
      <c r="S93" s="58">
        <v>5</v>
      </c>
      <c r="T93" s="58">
        <v>0.2</v>
      </c>
      <c r="U93" s="43">
        <v>1</v>
      </c>
      <c r="V93" s="43"/>
      <c r="W93" s="58"/>
      <c r="X93" s="58"/>
      <c r="Y93" s="59" t="s">
        <v>156</v>
      </c>
      <c r="Z93" s="60">
        <v>3000</v>
      </c>
      <c r="AA93" s="25">
        <f>VLOOKUP(F93,Zones!$A$2:$F$2186,6,FALSE)</f>
        <v>1408</v>
      </c>
      <c r="AB93" s="25">
        <f>VLOOKUP(L93,Zones!$A$2:$F$2186,6,FALSE)</f>
        <v>577</v>
      </c>
    </row>
    <row r="94" spans="2:28">
      <c r="B94" s="40">
        <v>0.56666666666666665</v>
      </c>
      <c r="C94" s="40" t="s">
        <v>682</v>
      </c>
      <c r="D94" s="41">
        <v>2</v>
      </c>
      <c r="E94" s="42">
        <v>2</v>
      </c>
      <c r="F94" s="42" t="s">
        <v>147</v>
      </c>
      <c r="G94" s="43" t="s">
        <v>154</v>
      </c>
      <c r="H94" s="42" t="s">
        <v>155</v>
      </c>
      <c r="I94" s="43">
        <v>4</v>
      </c>
      <c r="J94" s="43">
        <v>3</v>
      </c>
      <c r="K94" s="25" t="str">
        <f>VLOOKUP(J94,Key!$E$2:$F$9,2,FALSE)</f>
        <v>Study</v>
      </c>
      <c r="L94" s="42" t="s">
        <v>159</v>
      </c>
      <c r="M94" s="43" t="s">
        <v>159</v>
      </c>
      <c r="N94" s="42" t="s">
        <v>155</v>
      </c>
      <c r="O94" s="43">
        <v>7</v>
      </c>
      <c r="P94" s="43">
        <v>4</v>
      </c>
      <c r="Q94" s="25" t="str">
        <f>VLOOKUP(P94,Key!$E$2:$F$9,2,FALSE)</f>
        <v>Commercial</v>
      </c>
      <c r="R94" s="25" t="str">
        <f t="shared" si="1"/>
        <v>Study-Commercial</v>
      </c>
      <c r="S94" s="58">
        <v>6</v>
      </c>
      <c r="T94" s="58">
        <v>0.3</v>
      </c>
      <c r="U94" s="43">
        <v>6</v>
      </c>
      <c r="V94" s="43"/>
      <c r="W94" s="58"/>
      <c r="X94" s="58"/>
      <c r="Y94" s="59" t="s">
        <v>156</v>
      </c>
      <c r="Z94" s="60">
        <v>0</v>
      </c>
      <c r="AA94" s="25">
        <f>VLOOKUP(F94,Zones!$A$2:$F$2186,6,FALSE)</f>
        <v>1402</v>
      </c>
      <c r="AB94" s="25">
        <f>VLOOKUP(L94,Zones!$A$2:$F$2186,6,FALSE)</f>
        <v>521</v>
      </c>
    </row>
    <row r="95" spans="2:28">
      <c r="B95" s="40">
        <v>0.56944444444444442</v>
      </c>
      <c r="C95" s="40" t="s">
        <v>683</v>
      </c>
      <c r="D95" s="41">
        <v>1</v>
      </c>
      <c r="E95" s="42">
        <v>2</v>
      </c>
      <c r="F95" s="42" t="s">
        <v>3281</v>
      </c>
      <c r="G95" s="43" t="s">
        <v>154</v>
      </c>
      <c r="H95" s="42" t="s">
        <v>155</v>
      </c>
      <c r="I95" s="43">
        <v>1</v>
      </c>
      <c r="J95" s="43">
        <v>1</v>
      </c>
      <c r="K95" s="25" t="str">
        <f>VLOOKUP(J95,Key!$E$2:$F$9,2,FALSE)</f>
        <v>Home</v>
      </c>
      <c r="L95" s="42" t="s">
        <v>159</v>
      </c>
      <c r="M95" s="43" t="s">
        <v>159</v>
      </c>
      <c r="N95" s="42" t="s">
        <v>155</v>
      </c>
      <c r="O95" s="43">
        <v>7</v>
      </c>
      <c r="P95" s="43">
        <v>4</v>
      </c>
      <c r="Q95" s="25" t="str">
        <f>VLOOKUP(P95,Key!$E$2:$F$9,2,FALSE)</f>
        <v>Commercial</v>
      </c>
      <c r="R95" s="25" t="str">
        <f t="shared" si="1"/>
        <v>Home-Commercial</v>
      </c>
      <c r="S95" s="58">
        <v>40</v>
      </c>
      <c r="T95" s="58">
        <v>1</v>
      </c>
      <c r="U95" s="43">
        <v>1</v>
      </c>
      <c r="V95" s="43"/>
      <c r="W95" s="58"/>
      <c r="X95" s="58"/>
      <c r="Y95" s="59" t="s">
        <v>156</v>
      </c>
      <c r="Z95" s="60">
        <v>0</v>
      </c>
      <c r="AA95" s="25">
        <f>VLOOKUP(F95,Zones!$A$2:$F$2186,6,FALSE)</f>
        <v>1408</v>
      </c>
      <c r="AB95" s="25">
        <f>VLOOKUP(L95,Zones!$A$2:$F$2186,6,FALSE)</f>
        <v>521</v>
      </c>
    </row>
    <row r="96" spans="2:28">
      <c r="B96" s="40">
        <v>0.46666666666666662</v>
      </c>
      <c r="C96" s="40" t="s">
        <v>685</v>
      </c>
      <c r="D96" s="41">
        <v>2</v>
      </c>
      <c r="E96" s="42">
        <v>2</v>
      </c>
      <c r="F96" s="42" t="s">
        <v>3281</v>
      </c>
      <c r="G96" s="43" t="s">
        <v>154</v>
      </c>
      <c r="H96" s="42" t="s">
        <v>155</v>
      </c>
      <c r="I96" s="43">
        <v>1</v>
      </c>
      <c r="J96" s="43">
        <v>1</v>
      </c>
      <c r="K96" s="25" t="str">
        <f>VLOOKUP(J96,Key!$E$2:$F$9,2,FALSE)</f>
        <v>Home</v>
      </c>
      <c r="L96" s="42" t="s">
        <v>159</v>
      </c>
      <c r="M96" s="43" t="s">
        <v>159</v>
      </c>
      <c r="N96" s="42" t="s">
        <v>155</v>
      </c>
      <c r="O96" s="43">
        <v>2</v>
      </c>
      <c r="P96" s="43">
        <v>2</v>
      </c>
      <c r="Q96" s="25" t="str">
        <f>VLOOKUP(P96,Key!$E$2:$F$9,2,FALSE)</f>
        <v>Work</v>
      </c>
      <c r="R96" s="25" t="str">
        <f t="shared" si="1"/>
        <v>Home-Work</v>
      </c>
      <c r="S96" s="58">
        <v>15</v>
      </c>
      <c r="T96" s="58">
        <v>1</v>
      </c>
      <c r="U96" s="43">
        <v>1</v>
      </c>
      <c r="V96" s="43"/>
      <c r="W96" s="58"/>
      <c r="X96" s="58"/>
      <c r="Y96" s="59" t="s">
        <v>156</v>
      </c>
      <c r="Z96" s="60">
        <v>2000</v>
      </c>
      <c r="AA96" s="25">
        <f>VLOOKUP(F96,Zones!$A$2:$F$2186,6,FALSE)</f>
        <v>1408</v>
      </c>
      <c r="AB96" s="25">
        <f>VLOOKUP(L96,Zones!$A$2:$F$2186,6,FALSE)</f>
        <v>521</v>
      </c>
    </row>
    <row r="97" spans="2:28">
      <c r="B97" s="40">
        <v>0.46736111111111112</v>
      </c>
      <c r="C97" s="40" t="s">
        <v>687</v>
      </c>
      <c r="D97" s="41">
        <v>1</v>
      </c>
      <c r="E97" s="42">
        <v>2</v>
      </c>
      <c r="F97" s="42" t="s">
        <v>168</v>
      </c>
      <c r="G97" s="43" t="s">
        <v>154</v>
      </c>
      <c r="H97" s="42" t="s">
        <v>155</v>
      </c>
      <c r="I97" s="43">
        <v>1</v>
      </c>
      <c r="J97" s="43">
        <v>1</v>
      </c>
      <c r="K97" s="25" t="str">
        <f>VLOOKUP(J97,Key!$E$2:$F$9,2,FALSE)</f>
        <v>Home</v>
      </c>
      <c r="L97" s="42" t="s">
        <v>159</v>
      </c>
      <c r="M97" s="43" t="s">
        <v>159</v>
      </c>
      <c r="N97" s="42" t="s">
        <v>155</v>
      </c>
      <c r="O97" s="43">
        <v>2</v>
      </c>
      <c r="P97" s="43">
        <v>2</v>
      </c>
      <c r="Q97" s="25" t="str">
        <f>VLOOKUP(P97,Key!$E$2:$F$9,2,FALSE)</f>
        <v>Work</v>
      </c>
      <c r="R97" s="25" t="str">
        <f t="shared" si="1"/>
        <v>Home-Work</v>
      </c>
      <c r="S97" s="58">
        <v>17</v>
      </c>
      <c r="T97" s="58">
        <v>0.7</v>
      </c>
      <c r="U97" s="43">
        <v>2</v>
      </c>
      <c r="V97" s="43"/>
      <c r="W97" s="58"/>
      <c r="X97" s="58"/>
      <c r="Y97" s="59" t="s">
        <v>156</v>
      </c>
      <c r="Z97" s="60">
        <v>3000</v>
      </c>
      <c r="AA97" s="25">
        <f>VLOOKUP(F97,Zones!$A$2:$F$2186,6,FALSE)</f>
        <v>1393</v>
      </c>
      <c r="AB97" s="25">
        <f>VLOOKUP(L97,Zones!$A$2:$F$2186,6,FALSE)</f>
        <v>521</v>
      </c>
    </row>
    <row r="98" spans="2:28">
      <c r="B98" s="40">
        <v>0.42083333333333334</v>
      </c>
      <c r="C98" s="40" t="s">
        <v>688</v>
      </c>
      <c r="D98" s="41">
        <v>11</v>
      </c>
      <c r="E98" s="42">
        <v>2</v>
      </c>
      <c r="F98" s="42" t="s">
        <v>689</v>
      </c>
      <c r="G98" s="43" t="s">
        <v>154</v>
      </c>
      <c r="H98" s="42" t="s">
        <v>155</v>
      </c>
      <c r="I98" s="43">
        <v>1</v>
      </c>
      <c r="J98" s="43">
        <v>1</v>
      </c>
      <c r="K98" s="25" t="str">
        <f>VLOOKUP(J98,Key!$E$2:$F$9,2,FALSE)</f>
        <v>Home</v>
      </c>
      <c r="L98" s="42" t="s">
        <v>184</v>
      </c>
      <c r="M98" s="43" t="s">
        <v>154</v>
      </c>
      <c r="N98" s="42" t="s">
        <v>155</v>
      </c>
      <c r="O98" s="43">
        <v>4</v>
      </c>
      <c r="P98" s="43">
        <v>3</v>
      </c>
      <c r="Q98" s="25" t="str">
        <f>VLOOKUP(P98,Key!$E$2:$F$9,2,FALSE)</f>
        <v>Study</v>
      </c>
      <c r="R98" s="25" t="str">
        <f t="shared" si="1"/>
        <v>Home-Study</v>
      </c>
      <c r="S98" s="58">
        <v>16</v>
      </c>
      <c r="T98" s="58">
        <v>0.7</v>
      </c>
      <c r="U98" s="43">
        <v>1</v>
      </c>
      <c r="V98" s="43"/>
      <c r="W98" s="58"/>
      <c r="X98" s="58"/>
      <c r="Y98" s="59" t="s">
        <v>156</v>
      </c>
      <c r="Z98" s="60">
        <v>1000</v>
      </c>
      <c r="AA98" s="25">
        <f>VLOOKUP(F98,Zones!$A$2:$F$2186,6,FALSE)</f>
        <v>566</v>
      </c>
      <c r="AB98" s="25">
        <f>VLOOKUP(L98,Zones!$A$2:$F$2186,6,FALSE)</f>
        <v>811</v>
      </c>
    </row>
    <row r="99" spans="2:28">
      <c r="B99" s="40">
        <v>0.4236111111111111</v>
      </c>
      <c r="C99" s="40" t="s">
        <v>691</v>
      </c>
      <c r="D99" s="41">
        <v>2</v>
      </c>
      <c r="E99" s="42">
        <v>1</v>
      </c>
      <c r="F99" s="42" t="s">
        <v>376</v>
      </c>
      <c r="G99" s="43" t="s">
        <v>154</v>
      </c>
      <c r="H99" s="42" t="s">
        <v>155</v>
      </c>
      <c r="I99" s="43">
        <v>10</v>
      </c>
      <c r="J99" s="43">
        <v>2</v>
      </c>
      <c r="K99" s="25" t="str">
        <f>VLOOKUP(J99,Key!$E$2:$F$9,2,FALSE)</f>
        <v>Work</v>
      </c>
      <c r="L99" s="42" t="s">
        <v>241</v>
      </c>
      <c r="M99" s="43" t="s">
        <v>154</v>
      </c>
      <c r="N99" s="42" t="s">
        <v>155</v>
      </c>
      <c r="O99" s="43">
        <v>16</v>
      </c>
      <c r="P99" s="43">
        <v>8</v>
      </c>
      <c r="Q99" s="25" t="str">
        <f>VLOOKUP(P99,Key!$E$2:$F$9,2,FALSE)</f>
        <v>Others</v>
      </c>
      <c r="R99" s="25" t="str">
        <f t="shared" si="1"/>
        <v>Work-Others</v>
      </c>
      <c r="S99" s="58">
        <v>5</v>
      </c>
      <c r="T99" s="58">
        <v>0.5</v>
      </c>
      <c r="U99" s="43">
        <v>2</v>
      </c>
      <c r="V99" s="43"/>
      <c r="W99" s="58"/>
      <c r="X99" s="58"/>
      <c r="Y99" s="59" t="s">
        <v>156</v>
      </c>
      <c r="Z99" s="60">
        <v>0</v>
      </c>
      <c r="AA99" s="25">
        <f>VLOOKUP(F99,Zones!$A$2:$F$2186,6,FALSE)</f>
        <v>1393</v>
      </c>
      <c r="AB99" s="25">
        <f>VLOOKUP(L99,Zones!$A$2:$F$2186,6,FALSE)</f>
        <v>542</v>
      </c>
    </row>
    <row r="100" spans="2:28">
      <c r="B100" s="40">
        <v>0.4291666666666667</v>
      </c>
      <c r="C100" s="40" t="s">
        <v>692</v>
      </c>
      <c r="D100" s="41">
        <v>1</v>
      </c>
      <c r="E100" s="42">
        <v>1</v>
      </c>
      <c r="F100" s="42" t="s">
        <v>394</v>
      </c>
      <c r="G100" s="43" t="s">
        <v>154</v>
      </c>
      <c r="H100" s="42" t="s">
        <v>155</v>
      </c>
      <c r="I100" s="43">
        <v>1</v>
      </c>
      <c r="J100" s="43">
        <v>1</v>
      </c>
      <c r="K100" s="25" t="str">
        <f>VLOOKUP(J100,Key!$E$2:$F$9,2,FALSE)</f>
        <v>Home</v>
      </c>
      <c r="L100" s="42" t="s">
        <v>184</v>
      </c>
      <c r="M100" s="43" t="s">
        <v>154</v>
      </c>
      <c r="N100" s="42" t="s">
        <v>155</v>
      </c>
      <c r="O100" s="43">
        <v>2</v>
      </c>
      <c r="P100" s="43">
        <v>2</v>
      </c>
      <c r="Q100" s="25" t="str">
        <f>VLOOKUP(P100,Key!$E$2:$F$9,2,FALSE)</f>
        <v>Work</v>
      </c>
      <c r="R100" s="25" t="str">
        <f t="shared" si="1"/>
        <v>Home-Work</v>
      </c>
      <c r="S100" s="58">
        <v>2</v>
      </c>
      <c r="T100" s="58">
        <v>0.1</v>
      </c>
      <c r="U100" s="43">
        <v>2</v>
      </c>
      <c r="V100" s="43"/>
      <c r="W100" s="58"/>
      <c r="X100" s="58"/>
      <c r="Y100" s="59" t="s">
        <v>156</v>
      </c>
      <c r="Z100" s="60">
        <v>0</v>
      </c>
      <c r="AA100" s="25">
        <f>VLOOKUP(F100,Zones!$A$2:$F$2186,6,FALSE)</f>
        <v>542</v>
      </c>
      <c r="AB100" s="25">
        <f>VLOOKUP(L100,Zones!$A$2:$F$2186,6,FALSE)</f>
        <v>811</v>
      </c>
    </row>
    <row r="101" spans="2:28">
      <c r="B101" s="40">
        <v>0.42499999999999999</v>
      </c>
      <c r="C101" s="40" t="s">
        <v>693</v>
      </c>
      <c r="D101" s="41">
        <v>1</v>
      </c>
      <c r="E101" s="42">
        <v>1</v>
      </c>
      <c r="F101" s="42" t="s">
        <v>694</v>
      </c>
      <c r="G101" s="43" t="s">
        <v>159</v>
      </c>
      <c r="H101" s="42" t="s">
        <v>155</v>
      </c>
      <c r="I101" s="43">
        <v>9</v>
      </c>
      <c r="J101" s="43">
        <v>2</v>
      </c>
      <c r="K101" s="25" t="str">
        <f>VLOOKUP(J101,Key!$E$2:$F$9,2,FALSE)</f>
        <v>Work</v>
      </c>
      <c r="L101" s="42" t="s">
        <v>694</v>
      </c>
      <c r="M101" s="43" t="s">
        <v>159</v>
      </c>
      <c r="N101" s="42" t="s">
        <v>155</v>
      </c>
      <c r="O101" s="43">
        <v>1</v>
      </c>
      <c r="P101" s="43">
        <v>1</v>
      </c>
      <c r="Q101" s="25" t="str">
        <f>VLOOKUP(P101,Key!$E$2:$F$9,2,FALSE)</f>
        <v>Home</v>
      </c>
      <c r="R101" s="25" t="str">
        <f t="shared" si="1"/>
        <v>Work-Home</v>
      </c>
      <c r="S101" s="58">
        <v>4</v>
      </c>
      <c r="T101" s="58">
        <v>0.2</v>
      </c>
      <c r="U101" s="43">
        <v>1</v>
      </c>
      <c r="V101" s="43"/>
      <c r="W101" s="58"/>
      <c r="X101" s="58"/>
      <c r="Y101" s="59" t="s">
        <v>156</v>
      </c>
      <c r="Z101" s="60">
        <v>0</v>
      </c>
      <c r="AA101" s="25">
        <f>VLOOKUP(F101,Zones!$A$2:$F$2186,6,FALSE)</f>
        <v>577</v>
      </c>
      <c r="AB101" s="25">
        <f>VLOOKUP(L101,Zones!$A$2:$F$2186,6,FALSE)</f>
        <v>577</v>
      </c>
    </row>
    <row r="102" spans="2:28">
      <c r="B102" s="40">
        <v>0.47152777777777777</v>
      </c>
      <c r="C102" s="40" t="s">
        <v>695</v>
      </c>
      <c r="D102" s="41">
        <v>1</v>
      </c>
      <c r="E102" s="42">
        <v>2</v>
      </c>
      <c r="F102" s="42" t="s">
        <v>3281</v>
      </c>
      <c r="G102" s="43" t="s">
        <v>154</v>
      </c>
      <c r="H102" s="42" t="s">
        <v>155</v>
      </c>
      <c r="I102" s="43">
        <v>1</v>
      </c>
      <c r="J102" s="43">
        <v>1</v>
      </c>
      <c r="K102" s="25" t="str">
        <f>VLOOKUP(J102,Key!$E$2:$F$9,2,FALSE)</f>
        <v>Home</v>
      </c>
      <c r="L102" s="42" t="s">
        <v>564</v>
      </c>
      <c r="M102" s="43" t="s">
        <v>154</v>
      </c>
      <c r="N102" s="42" t="s">
        <v>155</v>
      </c>
      <c r="O102" s="43">
        <v>5</v>
      </c>
      <c r="P102" s="43">
        <v>7</v>
      </c>
      <c r="Q102" s="25" t="str">
        <f>VLOOKUP(P102,Key!$E$2:$F$9,2,FALSE)</f>
        <v>Hospital</v>
      </c>
      <c r="R102" s="25" t="str">
        <f t="shared" si="1"/>
        <v>Home-Hospital</v>
      </c>
      <c r="S102" s="58">
        <v>1</v>
      </c>
      <c r="T102" s="58">
        <v>0.1</v>
      </c>
      <c r="U102" s="43">
        <v>2</v>
      </c>
      <c r="V102" s="43"/>
      <c r="W102" s="58"/>
      <c r="X102" s="58"/>
      <c r="Y102" s="59" t="s">
        <v>156</v>
      </c>
      <c r="Z102" s="60">
        <v>1000</v>
      </c>
      <c r="AA102" s="25">
        <f>VLOOKUP(F102,Zones!$A$2:$F$2186,6,FALSE)</f>
        <v>1408</v>
      </c>
      <c r="AB102" s="25">
        <f>VLOOKUP(L102,Zones!$A$2:$F$2186,6,FALSE)</f>
        <v>1393</v>
      </c>
    </row>
    <row r="103" spans="2:28">
      <c r="B103" s="40">
        <v>0.47291666666666665</v>
      </c>
      <c r="C103" s="40" t="s">
        <v>697</v>
      </c>
      <c r="D103" s="41">
        <v>2</v>
      </c>
      <c r="E103" s="42">
        <v>2</v>
      </c>
      <c r="F103" s="42" t="s">
        <v>168</v>
      </c>
      <c r="G103" s="43" t="s">
        <v>154</v>
      </c>
      <c r="H103" s="42" t="s">
        <v>155</v>
      </c>
      <c r="I103" s="43">
        <v>16</v>
      </c>
      <c r="J103" s="43">
        <v>8</v>
      </c>
      <c r="K103" s="25" t="str">
        <f>VLOOKUP(J103,Key!$E$2:$F$9,2,FALSE)</f>
        <v>Others</v>
      </c>
      <c r="L103" s="42" t="s">
        <v>159</v>
      </c>
      <c r="M103" s="43" t="s">
        <v>159</v>
      </c>
      <c r="N103" s="42" t="s">
        <v>155</v>
      </c>
      <c r="O103" s="43">
        <v>5</v>
      </c>
      <c r="P103" s="43">
        <v>7</v>
      </c>
      <c r="Q103" s="25" t="str">
        <f>VLOOKUP(P103,Key!$E$2:$F$9,2,FALSE)</f>
        <v>Hospital</v>
      </c>
      <c r="R103" s="25" t="str">
        <f t="shared" si="1"/>
        <v>Others-Hospital</v>
      </c>
      <c r="S103" s="58">
        <v>20</v>
      </c>
      <c r="T103" s="58">
        <v>2</v>
      </c>
      <c r="U103" s="43">
        <v>2</v>
      </c>
      <c r="V103" s="43"/>
      <c r="W103" s="58"/>
      <c r="X103" s="58"/>
      <c r="Y103" s="59" t="s">
        <v>156</v>
      </c>
      <c r="Z103" s="60">
        <v>2000</v>
      </c>
      <c r="AA103" s="25">
        <f>VLOOKUP(F103,Zones!$A$2:$F$2186,6,FALSE)</f>
        <v>1393</v>
      </c>
      <c r="AB103" s="25">
        <f>VLOOKUP(L103,Zones!$A$2:$F$2186,6,FALSE)</f>
        <v>521</v>
      </c>
    </row>
    <row r="104" spans="2:28">
      <c r="B104" s="40">
        <v>0.4604166666666667</v>
      </c>
      <c r="C104" s="40" t="s">
        <v>698</v>
      </c>
      <c r="D104" s="41">
        <v>1</v>
      </c>
      <c r="E104" s="42">
        <v>1</v>
      </c>
      <c r="F104" s="42" t="s">
        <v>160</v>
      </c>
      <c r="G104" s="43" t="s">
        <v>154</v>
      </c>
      <c r="H104" s="42" t="s">
        <v>155</v>
      </c>
      <c r="I104" s="43">
        <v>1</v>
      </c>
      <c r="J104" s="43">
        <v>1</v>
      </c>
      <c r="K104" s="25" t="str">
        <f>VLOOKUP(J104,Key!$E$2:$F$9,2,FALSE)</f>
        <v>Home</v>
      </c>
      <c r="L104" s="42" t="s">
        <v>159</v>
      </c>
      <c r="M104" s="43" t="s">
        <v>159</v>
      </c>
      <c r="N104" s="42" t="s">
        <v>155</v>
      </c>
      <c r="O104" s="43">
        <v>2</v>
      </c>
      <c r="P104" s="43">
        <v>2</v>
      </c>
      <c r="Q104" s="25" t="str">
        <f>VLOOKUP(P104,Key!$E$2:$F$9,2,FALSE)</f>
        <v>Work</v>
      </c>
      <c r="R104" s="25" t="str">
        <f t="shared" si="1"/>
        <v>Home-Work</v>
      </c>
      <c r="S104" s="58">
        <v>10</v>
      </c>
      <c r="T104" s="58">
        <v>0.7</v>
      </c>
      <c r="U104" s="43">
        <v>2</v>
      </c>
      <c r="V104" s="43"/>
      <c r="W104" s="58"/>
      <c r="X104" s="58"/>
      <c r="Y104" s="59" t="s">
        <v>156</v>
      </c>
      <c r="Z104" s="60">
        <v>5000</v>
      </c>
      <c r="AA104" s="25">
        <f>VLOOKUP(F104,Zones!$A$2:$F$2186,6,FALSE)</f>
        <v>1393</v>
      </c>
      <c r="AB104" s="25">
        <f>VLOOKUP(L104,Zones!$A$2:$F$2186,6,FALSE)</f>
        <v>521</v>
      </c>
    </row>
    <row r="105" spans="2:28" ht="12" customHeight="1">
      <c r="B105" s="40">
        <v>0.45624999999999999</v>
      </c>
      <c r="C105" s="40" t="s">
        <v>699</v>
      </c>
      <c r="D105" s="41">
        <v>1</v>
      </c>
      <c r="E105" s="42">
        <v>2</v>
      </c>
      <c r="F105" s="42" t="s">
        <v>147</v>
      </c>
      <c r="G105" s="43" t="s">
        <v>154</v>
      </c>
      <c r="H105" s="42" t="s">
        <v>155</v>
      </c>
      <c r="I105" s="43">
        <v>1</v>
      </c>
      <c r="J105" s="43">
        <v>1</v>
      </c>
      <c r="K105" s="25" t="str">
        <f>VLOOKUP(J105,Key!$E$2:$F$9,2,FALSE)</f>
        <v>Home</v>
      </c>
      <c r="L105" s="42" t="s">
        <v>700</v>
      </c>
      <c r="M105" s="43" t="s">
        <v>202</v>
      </c>
      <c r="N105" s="42" t="s">
        <v>155</v>
      </c>
      <c r="O105" s="43">
        <v>16</v>
      </c>
      <c r="P105" s="43">
        <v>8</v>
      </c>
      <c r="Q105" s="25" t="str">
        <f>VLOOKUP(P105,Key!$E$2:$F$9,2,FALSE)</f>
        <v>Others</v>
      </c>
      <c r="R105" s="25" t="str">
        <f t="shared" si="1"/>
        <v>Home-Others</v>
      </c>
      <c r="S105" s="58">
        <v>40</v>
      </c>
      <c r="T105" s="58">
        <v>0.7</v>
      </c>
      <c r="U105" s="43">
        <v>1</v>
      </c>
      <c r="V105" s="43"/>
      <c r="W105" s="58"/>
      <c r="X105" s="58"/>
      <c r="Y105" s="59" t="s">
        <v>156</v>
      </c>
      <c r="Z105" s="60">
        <v>0</v>
      </c>
      <c r="AA105" s="25">
        <f>VLOOKUP(F105,Zones!$A$2:$F$2186,6,FALSE)</f>
        <v>1402</v>
      </c>
      <c r="AB105" s="25">
        <f>VLOOKUP(L105,Zones!$A$2:$F$2186,6,FALSE)</f>
        <v>892</v>
      </c>
    </row>
    <row r="106" spans="2:28">
      <c r="B106" s="40">
        <v>0.44930555555555557</v>
      </c>
      <c r="C106" s="40" t="s">
        <v>701</v>
      </c>
      <c r="D106" s="41">
        <v>2</v>
      </c>
      <c r="E106" s="42">
        <v>2</v>
      </c>
      <c r="F106" s="42" t="s">
        <v>160</v>
      </c>
      <c r="G106" s="43" t="s">
        <v>154</v>
      </c>
      <c r="H106" s="42" t="s">
        <v>155</v>
      </c>
      <c r="I106" s="43">
        <v>1</v>
      </c>
      <c r="J106" s="43">
        <v>1</v>
      </c>
      <c r="K106" s="25" t="str">
        <f>VLOOKUP(J106,Key!$E$2:$F$9,2,FALSE)</f>
        <v>Home</v>
      </c>
      <c r="L106" s="42" t="s">
        <v>159</v>
      </c>
      <c r="M106" s="43" t="s">
        <v>159</v>
      </c>
      <c r="N106" s="42" t="s">
        <v>155</v>
      </c>
      <c r="O106" s="43">
        <v>16</v>
      </c>
      <c r="P106" s="43">
        <v>8</v>
      </c>
      <c r="Q106" s="25" t="str">
        <f>VLOOKUP(P106,Key!$E$2:$F$9,2,FALSE)</f>
        <v>Others</v>
      </c>
      <c r="R106" s="25" t="str">
        <f t="shared" si="1"/>
        <v>Home-Others</v>
      </c>
      <c r="S106" s="58">
        <v>18</v>
      </c>
      <c r="T106" s="58">
        <v>1</v>
      </c>
      <c r="U106" s="43">
        <v>1</v>
      </c>
      <c r="V106" s="43"/>
      <c r="W106" s="58"/>
      <c r="X106" s="58"/>
      <c r="Y106" s="59" t="s">
        <v>156</v>
      </c>
      <c r="Z106" s="60">
        <v>2000</v>
      </c>
      <c r="AA106" s="25">
        <f>VLOOKUP(F106,Zones!$A$2:$F$2186,6,FALSE)</f>
        <v>1393</v>
      </c>
      <c r="AB106" s="25">
        <f>VLOOKUP(L106,Zones!$A$2:$F$2186,6,FALSE)</f>
        <v>521</v>
      </c>
    </row>
    <row r="107" spans="2:28">
      <c r="B107" s="40">
        <v>0.45347222222222222</v>
      </c>
      <c r="C107" s="40" t="s">
        <v>702</v>
      </c>
      <c r="D107" s="41">
        <v>1</v>
      </c>
      <c r="E107" s="42">
        <v>1</v>
      </c>
      <c r="F107" s="42" t="s">
        <v>168</v>
      </c>
      <c r="G107" s="43" t="s">
        <v>154</v>
      </c>
      <c r="H107" s="42" t="s">
        <v>155</v>
      </c>
      <c r="I107" s="43">
        <v>1</v>
      </c>
      <c r="J107" s="43">
        <v>1</v>
      </c>
      <c r="K107" s="25" t="str">
        <f>VLOOKUP(J107,Key!$E$2:$F$9,2,FALSE)</f>
        <v>Home</v>
      </c>
      <c r="L107" s="42" t="s">
        <v>564</v>
      </c>
      <c r="M107" s="43" t="s">
        <v>154</v>
      </c>
      <c r="N107" s="42" t="s">
        <v>155</v>
      </c>
      <c r="O107" s="43">
        <v>1</v>
      </c>
      <c r="P107" s="43">
        <v>8</v>
      </c>
      <c r="Q107" s="25" t="str">
        <f>VLOOKUP(P107,Key!$E$2:$F$9,2,FALSE)</f>
        <v>Others</v>
      </c>
      <c r="R107" s="25" t="str">
        <f t="shared" si="1"/>
        <v>Home-Others</v>
      </c>
      <c r="S107" s="58">
        <v>3</v>
      </c>
      <c r="T107" s="58">
        <v>0.1</v>
      </c>
      <c r="U107" s="43">
        <v>1</v>
      </c>
      <c r="V107" s="43"/>
      <c r="W107" s="58"/>
      <c r="X107" s="58"/>
      <c r="Y107" s="59" t="s">
        <v>156</v>
      </c>
      <c r="Z107" s="60">
        <v>2000</v>
      </c>
      <c r="AA107" s="25">
        <f>VLOOKUP(F107,Zones!$A$2:$F$2186,6,FALSE)</f>
        <v>1393</v>
      </c>
      <c r="AB107" s="25">
        <f>VLOOKUP(L107,Zones!$A$2:$F$2186,6,FALSE)</f>
        <v>1393</v>
      </c>
    </row>
    <row r="108" spans="2:28">
      <c r="B108" s="40">
        <v>0.4993055555555555</v>
      </c>
      <c r="C108" s="40" t="s">
        <v>703</v>
      </c>
      <c r="D108" s="41">
        <v>7</v>
      </c>
      <c r="E108" s="42">
        <v>2</v>
      </c>
      <c r="F108" s="42" t="s">
        <v>147</v>
      </c>
      <c r="G108" s="43" t="s">
        <v>154</v>
      </c>
      <c r="H108" s="42" t="s">
        <v>155</v>
      </c>
      <c r="I108" s="43">
        <v>9</v>
      </c>
      <c r="J108" s="43">
        <v>2</v>
      </c>
      <c r="K108" s="25" t="str">
        <f>VLOOKUP(J108,Key!$E$2:$F$9,2,FALSE)</f>
        <v>Work</v>
      </c>
      <c r="L108" s="42" t="s">
        <v>700</v>
      </c>
      <c r="M108" s="43" t="s">
        <v>154</v>
      </c>
      <c r="N108" s="42" t="s">
        <v>155</v>
      </c>
      <c r="O108" s="43">
        <v>2</v>
      </c>
      <c r="P108" s="43">
        <v>2</v>
      </c>
      <c r="Q108" s="25" t="str">
        <f>VLOOKUP(P108,Key!$E$2:$F$9,2,FALSE)</f>
        <v>Work</v>
      </c>
      <c r="R108" s="25" t="str">
        <f t="shared" si="1"/>
        <v>Work-Work</v>
      </c>
      <c r="S108" s="58">
        <v>44</v>
      </c>
      <c r="T108" s="58">
        <v>1</v>
      </c>
      <c r="U108" s="43">
        <v>6</v>
      </c>
      <c r="V108" s="43"/>
      <c r="W108" s="58"/>
      <c r="X108" s="58"/>
      <c r="Y108" s="59" t="s">
        <v>156</v>
      </c>
      <c r="Z108" s="60">
        <v>10000</v>
      </c>
      <c r="AA108" s="25">
        <f>VLOOKUP(F108,Zones!$A$2:$F$2186,6,FALSE)</f>
        <v>1402</v>
      </c>
      <c r="AB108" s="25">
        <f>VLOOKUP(L108,Zones!$A$2:$F$2186,6,FALSE)</f>
        <v>892</v>
      </c>
    </row>
    <row r="109" spans="2:28">
      <c r="B109" s="40">
        <v>0.49791666666666662</v>
      </c>
      <c r="C109" s="40" t="s">
        <v>705</v>
      </c>
      <c r="D109" s="41">
        <v>4</v>
      </c>
      <c r="E109" s="42">
        <v>14</v>
      </c>
      <c r="F109" s="42" t="s">
        <v>154</v>
      </c>
      <c r="G109" s="43" t="s">
        <v>154</v>
      </c>
      <c r="H109" s="42" t="s">
        <v>155</v>
      </c>
      <c r="I109" s="43">
        <v>6</v>
      </c>
      <c r="J109" s="43">
        <v>2</v>
      </c>
      <c r="K109" s="25" t="str">
        <f>VLOOKUP(J109,Key!$E$2:$F$9,2,FALSE)</f>
        <v>Work</v>
      </c>
      <c r="L109" s="42" t="s">
        <v>564</v>
      </c>
      <c r="M109" s="43" t="s">
        <v>154</v>
      </c>
      <c r="N109" s="42" t="s">
        <v>155</v>
      </c>
      <c r="O109" s="43">
        <v>3</v>
      </c>
      <c r="P109" s="43">
        <v>3</v>
      </c>
      <c r="Q109" s="25" t="str">
        <f>VLOOKUP(P109,Key!$E$2:$F$9,2,FALSE)</f>
        <v>Study</v>
      </c>
      <c r="R109" s="25" t="str">
        <f t="shared" si="1"/>
        <v>Work-Study</v>
      </c>
      <c r="S109" s="58">
        <v>20</v>
      </c>
      <c r="T109" s="58">
        <v>0.7</v>
      </c>
      <c r="U109" s="43">
        <v>1</v>
      </c>
      <c r="V109" s="43"/>
      <c r="W109" s="58"/>
      <c r="X109" s="58"/>
      <c r="Y109" s="59" t="s">
        <v>156</v>
      </c>
      <c r="Z109" s="60">
        <v>500</v>
      </c>
      <c r="AA109" s="25">
        <f>VLOOKUP(F109,Zones!$A$2:$F$2186,6,FALSE)</f>
        <v>1408</v>
      </c>
      <c r="AB109" s="25">
        <f>VLOOKUP(L109,Zones!$A$2:$F$2186,6,FALSE)</f>
        <v>1393</v>
      </c>
    </row>
    <row r="110" spans="2:28">
      <c r="B110" s="40">
        <v>0.4909722222222222</v>
      </c>
      <c r="C110" s="40" t="s">
        <v>706</v>
      </c>
      <c r="D110" s="41">
        <v>4</v>
      </c>
      <c r="E110" s="42">
        <v>12</v>
      </c>
      <c r="F110" s="42" t="s">
        <v>147</v>
      </c>
      <c r="G110" s="43" t="s">
        <v>154</v>
      </c>
      <c r="H110" s="42" t="s">
        <v>155</v>
      </c>
      <c r="I110" s="43">
        <v>6</v>
      </c>
      <c r="J110" s="43">
        <v>2</v>
      </c>
      <c r="K110" s="25" t="str">
        <f>VLOOKUP(J110,Key!$E$2:$F$9,2,FALSE)</f>
        <v>Work</v>
      </c>
      <c r="L110" s="42" t="s">
        <v>268</v>
      </c>
      <c r="M110" s="43" t="s">
        <v>154</v>
      </c>
      <c r="N110" s="42" t="s">
        <v>155</v>
      </c>
      <c r="O110" s="43">
        <v>6</v>
      </c>
      <c r="P110" s="43">
        <v>3</v>
      </c>
      <c r="Q110" s="25" t="str">
        <f>VLOOKUP(P110,Key!$E$2:$F$9,2,FALSE)</f>
        <v>Study</v>
      </c>
      <c r="R110" s="25" t="str">
        <f t="shared" si="1"/>
        <v>Work-Study</v>
      </c>
      <c r="S110" s="58">
        <v>15</v>
      </c>
      <c r="T110" s="58">
        <v>0.5</v>
      </c>
      <c r="U110" s="43">
        <v>1</v>
      </c>
      <c r="V110" s="43"/>
      <c r="W110" s="58"/>
      <c r="X110" s="58"/>
      <c r="Y110" s="59" t="s">
        <v>156</v>
      </c>
      <c r="Z110" s="60">
        <v>0</v>
      </c>
      <c r="AA110" s="25">
        <f>VLOOKUP(F110,Zones!$A$2:$F$2186,6,FALSE)</f>
        <v>1402</v>
      </c>
      <c r="AB110" s="25">
        <f>VLOOKUP(L110,Zones!$A$2:$F$2186,6,FALSE)</f>
        <v>1396</v>
      </c>
    </row>
    <row r="111" spans="2:28">
      <c r="B111" s="40">
        <v>0.49374999999999997</v>
      </c>
      <c r="C111" s="40" t="s">
        <v>707</v>
      </c>
      <c r="D111" s="41">
        <v>1</v>
      </c>
      <c r="E111" s="42">
        <v>3</v>
      </c>
      <c r="F111" s="42" t="s">
        <v>2990</v>
      </c>
      <c r="G111" s="43" t="s">
        <v>154</v>
      </c>
      <c r="H111" s="42" t="s">
        <v>155</v>
      </c>
      <c r="I111" s="43">
        <v>1</v>
      </c>
      <c r="J111" s="43">
        <v>1</v>
      </c>
      <c r="K111" s="25" t="str">
        <f>VLOOKUP(J111,Key!$E$2:$F$9,2,FALSE)</f>
        <v>Home</v>
      </c>
      <c r="L111" s="42" t="s">
        <v>564</v>
      </c>
      <c r="M111" s="43" t="s">
        <v>154</v>
      </c>
      <c r="N111" s="42" t="s">
        <v>155</v>
      </c>
      <c r="O111" s="43">
        <v>11</v>
      </c>
      <c r="P111" s="43">
        <v>4</v>
      </c>
      <c r="Q111" s="25" t="str">
        <f>VLOOKUP(P111,Key!$E$2:$F$9,2,FALSE)</f>
        <v>Commercial</v>
      </c>
      <c r="R111" s="25" t="str">
        <f t="shared" si="1"/>
        <v>Home-Commercial</v>
      </c>
      <c r="S111" s="58">
        <v>6</v>
      </c>
      <c r="T111" s="58">
        <v>0.2</v>
      </c>
      <c r="U111" s="43">
        <v>1</v>
      </c>
      <c r="V111" s="43"/>
      <c r="W111" s="58"/>
      <c r="X111" s="58"/>
      <c r="Y111" s="59" t="s">
        <v>156</v>
      </c>
      <c r="Z111" s="60">
        <v>3000</v>
      </c>
      <c r="AA111" s="25">
        <f>VLOOKUP(F111,Zones!$A$2:$F$2186,6,FALSE)</f>
        <v>1402</v>
      </c>
      <c r="AB111" s="25">
        <f>VLOOKUP(L111,Zones!$A$2:$F$2186,6,FALSE)</f>
        <v>1393</v>
      </c>
    </row>
    <row r="112" spans="2:28">
      <c r="B112" s="40">
        <v>0.44027777777777777</v>
      </c>
      <c r="C112" s="40" t="s">
        <v>708</v>
      </c>
      <c r="D112" s="41">
        <v>1</v>
      </c>
      <c r="E112" s="42">
        <v>2</v>
      </c>
      <c r="F112" s="42" t="s">
        <v>168</v>
      </c>
      <c r="G112" s="43" t="s">
        <v>154</v>
      </c>
      <c r="H112" s="42" t="s">
        <v>155</v>
      </c>
      <c r="I112" s="43">
        <v>1</v>
      </c>
      <c r="J112" s="43">
        <v>1</v>
      </c>
      <c r="K112" s="25" t="str">
        <f>VLOOKUP(J112,Key!$E$2:$F$9,2,FALSE)</f>
        <v>Home</v>
      </c>
      <c r="L112" s="42" t="s">
        <v>159</v>
      </c>
      <c r="M112" s="43" t="s">
        <v>159</v>
      </c>
      <c r="N112" s="42" t="s">
        <v>155</v>
      </c>
      <c r="O112" s="43">
        <v>2</v>
      </c>
      <c r="P112" s="43">
        <v>2</v>
      </c>
      <c r="Q112" s="25" t="str">
        <f>VLOOKUP(P112,Key!$E$2:$F$9,2,FALSE)</f>
        <v>Work</v>
      </c>
      <c r="R112" s="25" t="str">
        <f t="shared" si="1"/>
        <v>Home-Work</v>
      </c>
      <c r="S112" s="58">
        <v>30</v>
      </c>
      <c r="T112" s="58">
        <v>2</v>
      </c>
      <c r="U112" s="43">
        <v>1</v>
      </c>
      <c r="V112" s="43"/>
      <c r="W112" s="58"/>
      <c r="X112" s="58"/>
      <c r="Y112" s="59" t="s">
        <v>156</v>
      </c>
      <c r="Z112" s="60">
        <v>0</v>
      </c>
      <c r="AA112" s="25">
        <f>VLOOKUP(F112,Zones!$A$2:$F$2186,6,FALSE)</f>
        <v>1393</v>
      </c>
      <c r="AB112" s="25">
        <f>VLOOKUP(L112,Zones!$A$2:$F$2186,6,FALSE)</f>
        <v>521</v>
      </c>
    </row>
    <row r="113" spans="2:28">
      <c r="B113" s="40">
        <v>0.43472222222222223</v>
      </c>
      <c r="C113" s="40" t="s">
        <v>709</v>
      </c>
      <c r="D113" s="41">
        <v>2</v>
      </c>
      <c r="E113" s="42">
        <v>1</v>
      </c>
      <c r="F113" s="42" t="s">
        <v>2990</v>
      </c>
      <c r="G113" s="43" t="s">
        <v>154</v>
      </c>
      <c r="H113" s="42" t="s">
        <v>155</v>
      </c>
      <c r="I113" s="43">
        <v>1</v>
      </c>
      <c r="J113" s="43">
        <v>1</v>
      </c>
      <c r="K113" s="25" t="str">
        <f>VLOOKUP(J113,Key!$E$2:$F$9,2,FALSE)</f>
        <v>Home</v>
      </c>
      <c r="L113" s="42" t="s">
        <v>159</v>
      </c>
      <c r="M113" s="43" t="s">
        <v>159</v>
      </c>
      <c r="N113" s="42" t="s">
        <v>155</v>
      </c>
      <c r="O113" s="43">
        <v>2</v>
      </c>
      <c r="P113" s="43">
        <v>2</v>
      </c>
      <c r="Q113" s="25" t="str">
        <f>VLOOKUP(P113,Key!$E$2:$F$9,2,FALSE)</f>
        <v>Work</v>
      </c>
      <c r="R113" s="25" t="str">
        <f t="shared" si="1"/>
        <v>Home-Work</v>
      </c>
      <c r="S113" s="58">
        <v>23</v>
      </c>
      <c r="T113" s="58">
        <v>1.5</v>
      </c>
      <c r="U113" s="43">
        <v>2</v>
      </c>
      <c r="V113" s="43"/>
      <c r="W113" s="58"/>
      <c r="X113" s="58"/>
      <c r="Y113" s="59" t="s">
        <v>156</v>
      </c>
      <c r="Z113" s="60">
        <v>10000</v>
      </c>
      <c r="AA113" s="25">
        <f>VLOOKUP(F113,Zones!$A$2:$F$2186,6,FALSE)</f>
        <v>1402</v>
      </c>
      <c r="AB113" s="25">
        <f>VLOOKUP(L113,Zones!$A$2:$F$2186,6,FALSE)</f>
        <v>521</v>
      </c>
    </row>
    <row r="114" spans="2:28">
      <c r="B114" s="40">
        <v>0.4458333333333333</v>
      </c>
      <c r="C114" s="40" t="s">
        <v>710</v>
      </c>
      <c r="D114" s="41">
        <v>7</v>
      </c>
      <c r="E114" s="42">
        <v>1</v>
      </c>
      <c r="F114" s="42" t="s">
        <v>147</v>
      </c>
      <c r="G114" s="43" t="s">
        <v>154</v>
      </c>
      <c r="H114" s="42" t="s">
        <v>155</v>
      </c>
      <c r="I114" s="43">
        <v>1</v>
      </c>
      <c r="J114" s="43">
        <v>1</v>
      </c>
      <c r="K114" s="25" t="str">
        <f>VLOOKUP(J114,Key!$E$2:$F$9,2,FALSE)</f>
        <v>Home</v>
      </c>
      <c r="L114" s="42" t="s">
        <v>711</v>
      </c>
      <c r="M114" s="43" t="s">
        <v>712</v>
      </c>
      <c r="N114" s="42" t="s">
        <v>155</v>
      </c>
      <c r="O114" s="43">
        <v>4</v>
      </c>
      <c r="P114" s="43">
        <v>4</v>
      </c>
      <c r="Q114" s="25" t="str">
        <f>VLOOKUP(P114,Key!$E$2:$F$9,2,FALSE)</f>
        <v>Commercial</v>
      </c>
      <c r="R114" s="25" t="str">
        <f t="shared" si="1"/>
        <v>Home-Commercial</v>
      </c>
      <c r="S114" s="58">
        <v>86</v>
      </c>
      <c r="T114" s="58">
        <v>2.5</v>
      </c>
      <c r="U114" s="43">
        <v>1</v>
      </c>
      <c r="V114" s="43">
        <v>11</v>
      </c>
      <c r="W114" s="58"/>
      <c r="X114" s="58"/>
      <c r="Y114" s="59" t="s">
        <v>156</v>
      </c>
      <c r="Z114" s="60">
        <v>2000</v>
      </c>
      <c r="AA114" s="25">
        <f>VLOOKUP(F114,Zones!$A$2:$F$2186,6,FALSE)</f>
        <v>1402</v>
      </c>
      <c r="AB114" s="25">
        <f>VLOOKUP(L114,Zones!$A$2:$F$2186,6,FALSE)</f>
        <v>559</v>
      </c>
    </row>
    <row r="115" spans="2:28">
      <c r="B115" s="40">
        <v>0.44375000000000003</v>
      </c>
      <c r="C115" s="40" t="s">
        <v>713</v>
      </c>
      <c r="D115" s="41">
        <v>1</v>
      </c>
      <c r="E115" s="42">
        <v>2</v>
      </c>
      <c r="F115" s="42" t="s">
        <v>2990</v>
      </c>
      <c r="G115" s="43" t="s">
        <v>154</v>
      </c>
      <c r="H115" s="42" t="s">
        <v>155</v>
      </c>
      <c r="I115" s="43">
        <v>1</v>
      </c>
      <c r="J115" s="43">
        <v>2</v>
      </c>
      <c r="K115" s="25" t="str">
        <f>VLOOKUP(J115,Key!$E$2:$F$9,2,FALSE)</f>
        <v>Work</v>
      </c>
      <c r="L115" s="42" t="s">
        <v>159</v>
      </c>
      <c r="M115" s="43" t="s">
        <v>159</v>
      </c>
      <c r="N115" s="42" t="s">
        <v>155</v>
      </c>
      <c r="O115" s="43">
        <v>11</v>
      </c>
      <c r="P115" s="43">
        <v>4</v>
      </c>
      <c r="Q115" s="25" t="str">
        <f>VLOOKUP(P115,Key!$E$2:$F$9,2,FALSE)</f>
        <v>Commercial</v>
      </c>
      <c r="R115" s="25" t="str">
        <f t="shared" si="1"/>
        <v>Work-Commercial</v>
      </c>
      <c r="S115" s="58">
        <v>20</v>
      </c>
      <c r="T115" s="58">
        <v>1.5</v>
      </c>
      <c r="U115" s="43">
        <v>2</v>
      </c>
      <c r="V115" s="43"/>
      <c r="W115" s="58"/>
      <c r="X115" s="58"/>
      <c r="Y115" s="59" t="s">
        <v>156</v>
      </c>
      <c r="Z115" s="60">
        <v>0</v>
      </c>
      <c r="AA115" s="25">
        <f>VLOOKUP(F115,Zones!$A$2:$F$2186,6,FALSE)</f>
        <v>1402</v>
      </c>
      <c r="AB115" s="25">
        <f>VLOOKUP(L115,Zones!$A$2:$F$2186,6,FALSE)</f>
        <v>521</v>
      </c>
    </row>
    <row r="116" spans="2:28">
      <c r="B116" s="40">
        <v>0.57638888888888895</v>
      </c>
      <c r="C116" s="40" t="s">
        <v>714</v>
      </c>
      <c r="D116" s="41">
        <v>1</v>
      </c>
      <c r="E116" s="42">
        <v>4</v>
      </c>
      <c r="F116" s="42" t="s">
        <v>715</v>
      </c>
      <c r="G116" s="43" t="s">
        <v>159</v>
      </c>
      <c r="H116" s="42" t="s">
        <v>155</v>
      </c>
      <c r="I116" s="43">
        <v>1</v>
      </c>
      <c r="J116" s="43">
        <v>2</v>
      </c>
      <c r="K116" s="25" t="str">
        <f>VLOOKUP(J116,Key!$E$2:$F$9,2,FALSE)</f>
        <v>Work</v>
      </c>
      <c r="L116" s="42" t="s">
        <v>173</v>
      </c>
      <c r="M116" s="43" t="s">
        <v>154</v>
      </c>
      <c r="N116" s="42" t="s">
        <v>155</v>
      </c>
      <c r="O116" s="43">
        <v>16</v>
      </c>
      <c r="P116" s="43">
        <v>8</v>
      </c>
      <c r="Q116" s="25" t="str">
        <f>VLOOKUP(P116,Key!$E$2:$F$9,2,FALSE)</f>
        <v>Others</v>
      </c>
      <c r="R116" s="25" t="str">
        <f>K116&amp;"-"&amp;Q116</f>
        <v>Work-Others</v>
      </c>
      <c r="S116" s="58"/>
      <c r="T116" s="58">
        <v>1</v>
      </c>
      <c r="U116" s="43">
        <v>6</v>
      </c>
      <c r="V116" s="43"/>
      <c r="W116" s="58"/>
      <c r="X116" s="58"/>
      <c r="Y116" s="59" t="s">
        <v>156</v>
      </c>
      <c r="Z116" s="60">
        <v>1000</v>
      </c>
      <c r="AA116" s="25">
        <f>VLOOKUP(F116,Zones!$A$2:$F$2186,6,FALSE)</f>
        <v>562</v>
      </c>
      <c r="AB116" s="25">
        <f>VLOOKUP(L116,Zones!$A$2:$F$2186,6,FALSE)</f>
        <v>1408</v>
      </c>
    </row>
    <row r="117" spans="2:28">
      <c r="B117" s="40">
        <v>0.5805555555555556</v>
      </c>
      <c r="C117" s="40" t="s">
        <v>716</v>
      </c>
      <c r="D117" s="41">
        <v>1</v>
      </c>
      <c r="E117" s="42">
        <v>1</v>
      </c>
      <c r="F117" s="42" t="s">
        <v>564</v>
      </c>
      <c r="G117" s="43" t="s">
        <v>154</v>
      </c>
      <c r="H117" s="42" t="s">
        <v>155</v>
      </c>
      <c r="I117" s="43">
        <v>16</v>
      </c>
      <c r="J117" s="43">
        <v>8</v>
      </c>
      <c r="K117" s="25" t="str">
        <f>VLOOKUP(J117,Key!$E$2:$F$9,2,FALSE)</f>
        <v>Others</v>
      </c>
      <c r="L117" s="42" t="s">
        <v>2990</v>
      </c>
      <c r="M117" s="43" t="s">
        <v>154</v>
      </c>
      <c r="N117" s="42" t="s">
        <v>155</v>
      </c>
      <c r="O117" s="43">
        <v>2</v>
      </c>
      <c r="P117" s="43">
        <v>2</v>
      </c>
      <c r="Q117" s="25" t="str">
        <f>VLOOKUP(P117,Key!$E$2:$F$9,2,FALSE)</f>
        <v>Work</v>
      </c>
      <c r="R117" s="25" t="str">
        <f t="shared" ref="R117:R180" si="2">K117&amp;"-"&amp;Q117</f>
        <v>Others-Work</v>
      </c>
      <c r="S117" s="58">
        <v>4</v>
      </c>
      <c r="T117" s="58">
        <v>0.1</v>
      </c>
      <c r="U117" s="43">
        <v>1</v>
      </c>
      <c r="V117" s="43"/>
      <c r="W117" s="58"/>
      <c r="X117" s="58"/>
      <c r="Y117" s="59" t="s">
        <v>156</v>
      </c>
      <c r="Z117" s="60">
        <v>1000</v>
      </c>
      <c r="AA117" s="25">
        <f>VLOOKUP(F117,Zones!$A$2:$F$2186,6,FALSE)</f>
        <v>1393</v>
      </c>
      <c r="AB117" s="25">
        <f>VLOOKUP(L117,Zones!$A$2:$F$2186,6,FALSE)</f>
        <v>1402</v>
      </c>
    </row>
    <row r="118" spans="2:28">
      <c r="B118" s="40">
        <v>0.55902777777777779</v>
      </c>
      <c r="C118" s="40" t="s">
        <v>718</v>
      </c>
      <c r="D118" s="41">
        <v>2</v>
      </c>
      <c r="E118" s="42">
        <v>2</v>
      </c>
      <c r="F118" s="42" t="s">
        <v>268</v>
      </c>
      <c r="G118" s="43" t="s">
        <v>154</v>
      </c>
      <c r="H118" s="42" t="s">
        <v>155</v>
      </c>
      <c r="I118" s="43">
        <v>2</v>
      </c>
      <c r="J118" s="43">
        <v>2</v>
      </c>
      <c r="K118" s="25" t="str">
        <f>VLOOKUP(J118,Key!$E$2:$F$9,2,FALSE)</f>
        <v>Work</v>
      </c>
      <c r="L118" s="42" t="s">
        <v>175</v>
      </c>
      <c r="M118" s="43" t="s">
        <v>154</v>
      </c>
      <c r="N118" s="42" t="s">
        <v>155</v>
      </c>
      <c r="O118" s="43">
        <v>1</v>
      </c>
      <c r="P118" s="43">
        <v>1</v>
      </c>
      <c r="Q118" s="25" t="str">
        <f>VLOOKUP(P118,Key!$E$2:$F$9,2,FALSE)</f>
        <v>Home</v>
      </c>
      <c r="R118" s="25" t="str">
        <f t="shared" si="2"/>
        <v>Work-Home</v>
      </c>
      <c r="S118" s="58">
        <v>20</v>
      </c>
      <c r="T118" s="58">
        <v>0.6</v>
      </c>
      <c r="U118" s="43">
        <v>1</v>
      </c>
      <c r="V118" s="43"/>
      <c r="W118" s="58"/>
      <c r="X118" s="58"/>
      <c r="Y118" s="59" t="s">
        <v>156</v>
      </c>
      <c r="Z118" s="60">
        <v>1000</v>
      </c>
      <c r="AA118" s="25">
        <f>VLOOKUP(F118,Zones!$A$2:$F$2186,6,FALSE)</f>
        <v>1396</v>
      </c>
      <c r="AB118" s="25">
        <f>VLOOKUP(L118,Zones!$A$2:$F$2186,6,FALSE)</f>
        <v>1402</v>
      </c>
    </row>
    <row r="119" spans="2:28">
      <c r="B119" s="40">
        <v>0.55555555555555558</v>
      </c>
      <c r="C119" s="40" t="s">
        <v>719</v>
      </c>
      <c r="D119" s="41">
        <v>1</v>
      </c>
      <c r="E119" s="42">
        <v>3</v>
      </c>
      <c r="F119" s="42" t="s">
        <v>184</v>
      </c>
      <c r="G119" s="43" t="s">
        <v>154</v>
      </c>
      <c r="H119" s="42" t="s">
        <v>155</v>
      </c>
      <c r="I119" s="43">
        <v>5</v>
      </c>
      <c r="J119" s="43">
        <v>7</v>
      </c>
      <c r="K119" s="25" t="str">
        <f>VLOOKUP(J119,Key!$E$2:$F$9,2,FALSE)</f>
        <v>Hospital</v>
      </c>
      <c r="L119" s="42" t="s">
        <v>168</v>
      </c>
      <c r="M119" s="43" t="s">
        <v>154</v>
      </c>
      <c r="N119" s="42" t="s">
        <v>155</v>
      </c>
      <c r="O119" s="43">
        <v>1</v>
      </c>
      <c r="P119" s="43">
        <v>1</v>
      </c>
      <c r="Q119" s="25" t="str">
        <f>VLOOKUP(P119,Key!$E$2:$F$9,2,FALSE)</f>
        <v>Home</v>
      </c>
      <c r="R119" s="25" t="str">
        <f t="shared" si="2"/>
        <v>Hospital-Home</v>
      </c>
      <c r="S119" s="58">
        <v>12</v>
      </c>
      <c r="T119" s="58">
        <v>0.6</v>
      </c>
      <c r="U119" s="43">
        <v>1</v>
      </c>
      <c r="V119" s="43"/>
      <c r="W119" s="58"/>
      <c r="X119" s="58"/>
      <c r="Y119" s="59" t="s">
        <v>156</v>
      </c>
      <c r="Z119" s="60">
        <v>0</v>
      </c>
      <c r="AA119" s="25">
        <f>VLOOKUP(F119,Zones!$A$2:$F$2186,6,FALSE)</f>
        <v>811</v>
      </c>
      <c r="AB119" s="25">
        <f>VLOOKUP(L119,Zones!$A$2:$F$2186,6,FALSE)</f>
        <v>1393</v>
      </c>
    </row>
    <row r="120" spans="2:28">
      <c r="B120" s="40">
        <v>0.56736111111111109</v>
      </c>
      <c r="C120" s="40" t="s">
        <v>720</v>
      </c>
      <c r="D120" s="41">
        <v>2</v>
      </c>
      <c r="E120" s="42">
        <v>2</v>
      </c>
      <c r="F120" s="42" t="s">
        <v>712</v>
      </c>
      <c r="G120" s="43" t="s">
        <v>712</v>
      </c>
      <c r="H120" s="42" t="s">
        <v>155</v>
      </c>
      <c r="I120" s="43">
        <v>1</v>
      </c>
      <c r="J120" s="43">
        <v>1</v>
      </c>
      <c r="K120" s="25" t="str">
        <f>VLOOKUP(J120,Key!$E$2:$F$9,2,FALSE)</f>
        <v>Home</v>
      </c>
      <c r="L120" s="42" t="s">
        <v>2990</v>
      </c>
      <c r="M120" s="43" t="s">
        <v>154</v>
      </c>
      <c r="N120" s="42" t="s">
        <v>155</v>
      </c>
      <c r="O120" s="43">
        <v>1</v>
      </c>
      <c r="P120" s="43">
        <v>1</v>
      </c>
      <c r="Q120" s="25" t="str">
        <f>VLOOKUP(P120,Key!$E$2:$F$9,2,FALSE)</f>
        <v>Home</v>
      </c>
      <c r="R120" s="25" t="str">
        <f t="shared" si="2"/>
        <v>Home-Home</v>
      </c>
      <c r="S120" s="58"/>
      <c r="T120" s="58">
        <v>1.5</v>
      </c>
      <c r="U120" s="43">
        <v>3</v>
      </c>
      <c r="V120" s="43"/>
      <c r="W120" s="58"/>
      <c r="X120" s="58"/>
      <c r="Y120" s="59" t="s">
        <v>156</v>
      </c>
      <c r="Z120" s="60">
        <v>0</v>
      </c>
      <c r="AA120" s="25">
        <f>VLOOKUP(F120,Zones!$A$2:$F$2186,6,FALSE)</f>
        <v>685</v>
      </c>
      <c r="AB120" s="25">
        <f>VLOOKUP(L120,Zones!$A$2:$F$2186,6,FALSE)</f>
        <v>1402</v>
      </c>
    </row>
    <row r="121" spans="2:28">
      <c r="B121" s="40">
        <v>0.56458333333333333</v>
      </c>
      <c r="C121" s="40" t="s">
        <v>722</v>
      </c>
      <c r="D121" s="41">
        <v>1</v>
      </c>
      <c r="E121" s="42">
        <v>2</v>
      </c>
      <c r="F121" s="42" t="s">
        <v>723</v>
      </c>
      <c r="G121" s="43" t="s">
        <v>163</v>
      </c>
      <c r="H121" s="42" t="s">
        <v>155</v>
      </c>
      <c r="I121" s="43">
        <v>1</v>
      </c>
      <c r="J121" s="43">
        <v>1</v>
      </c>
      <c r="K121" s="25" t="str">
        <f>VLOOKUP(J121,Key!$E$2:$F$9,2,FALSE)</f>
        <v>Home</v>
      </c>
      <c r="L121" s="42" t="s">
        <v>192</v>
      </c>
      <c r="M121" s="43" t="s">
        <v>154</v>
      </c>
      <c r="N121" s="42" t="s">
        <v>155</v>
      </c>
      <c r="O121" s="43">
        <v>9</v>
      </c>
      <c r="P121" s="43">
        <v>2</v>
      </c>
      <c r="Q121" s="25" t="str">
        <f>VLOOKUP(P121,Key!$E$2:$F$9,2,FALSE)</f>
        <v>Work</v>
      </c>
      <c r="R121" s="25" t="str">
        <f t="shared" si="2"/>
        <v>Home-Work</v>
      </c>
      <c r="S121" s="58">
        <v>80</v>
      </c>
      <c r="T121" s="58">
        <v>1.5</v>
      </c>
      <c r="U121" s="43">
        <v>3</v>
      </c>
      <c r="V121" s="43"/>
      <c r="W121" s="58"/>
      <c r="X121" s="58"/>
      <c r="Y121" s="59" t="s">
        <v>156</v>
      </c>
      <c r="Z121" s="60">
        <v>5000</v>
      </c>
      <c r="AA121" s="25">
        <f>VLOOKUP(F121,Zones!$A$2:$F$2186,6,FALSE)</f>
        <v>1071</v>
      </c>
      <c r="AB121" s="25">
        <f>VLOOKUP(L121,Zones!$A$2:$F$2186,6,FALSE)</f>
        <v>881</v>
      </c>
    </row>
    <row r="122" spans="2:28">
      <c r="B122" s="40">
        <v>0.50694444444444442</v>
      </c>
      <c r="C122" s="40" t="s">
        <v>724</v>
      </c>
      <c r="D122" s="41">
        <v>2</v>
      </c>
      <c r="E122" s="42">
        <v>1</v>
      </c>
      <c r="F122" s="42" t="s">
        <v>184</v>
      </c>
      <c r="G122" s="43" t="s">
        <v>154</v>
      </c>
      <c r="H122" s="42" t="s">
        <v>155</v>
      </c>
      <c r="I122" s="43">
        <v>11</v>
      </c>
      <c r="J122" s="43">
        <v>4</v>
      </c>
      <c r="K122" s="25" t="str">
        <f>VLOOKUP(J122,Key!$E$2:$F$9,2,FALSE)</f>
        <v>Commercial</v>
      </c>
      <c r="L122" s="42" t="s">
        <v>168</v>
      </c>
      <c r="M122" s="43" t="s">
        <v>154</v>
      </c>
      <c r="N122" s="42" t="s">
        <v>155</v>
      </c>
      <c r="O122" s="43">
        <v>1</v>
      </c>
      <c r="P122" s="43">
        <v>1</v>
      </c>
      <c r="Q122" s="25" t="str">
        <f>VLOOKUP(P122,Key!$E$2:$F$9,2,FALSE)</f>
        <v>Home</v>
      </c>
      <c r="R122" s="25" t="str">
        <f t="shared" si="2"/>
        <v>Commercial-Home</v>
      </c>
      <c r="S122" s="58">
        <v>2</v>
      </c>
      <c r="T122" s="58">
        <v>0.5</v>
      </c>
      <c r="U122" s="43">
        <v>1</v>
      </c>
      <c r="V122" s="43"/>
      <c r="W122" s="58"/>
      <c r="X122" s="58"/>
      <c r="Y122" s="59" t="s">
        <v>156</v>
      </c>
      <c r="Z122" s="60">
        <v>6000</v>
      </c>
      <c r="AA122" s="25">
        <f>VLOOKUP(F122,Zones!$A$2:$F$2186,6,FALSE)</f>
        <v>811</v>
      </c>
      <c r="AB122" s="25">
        <f>VLOOKUP(L122,Zones!$A$2:$F$2186,6,FALSE)</f>
        <v>1393</v>
      </c>
    </row>
    <row r="123" spans="2:28">
      <c r="B123" s="40">
        <v>0.50208333333333333</v>
      </c>
      <c r="C123" s="40" t="s">
        <v>725</v>
      </c>
      <c r="D123" s="41">
        <v>1</v>
      </c>
      <c r="E123" s="42">
        <v>2</v>
      </c>
      <c r="F123" s="42" t="s">
        <v>726</v>
      </c>
      <c r="G123" s="43" t="s">
        <v>154</v>
      </c>
      <c r="H123" s="42" t="s">
        <v>155</v>
      </c>
      <c r="I123" s="43">
        <v>1</v>
      </c>
      <c r="J123" s="43">
        <v>1</v>
      </c>
      <c r="K123" s="25" t="str">
        <f>VLOOKUP(J123,Key!$E$2:$F$9,2,FALSE)</f>
        <v>Home</v>
      </c>
      <c r="L123" s="42" t="s">
        <v>564</v>
      </c>
      <c r="M123" s="43" t="s">
        <v>154</v>
      </c>
      <c r="N123" s="42" t="s">
        <v>155</v>
      </c>
      <c r="O123" s="43">
        <v>16</v>
      </c>
      <c r="P123" s="43">
        <v>8</v>
      </c>
      <c r="Q123" s="25" t="str">
        <f>VLOOKUP(P123,Key!$E$2:$F$9,2,FALSE)</f>
        <v>Others</v>
      </c>
      <c r="R123" s="25" t="str">
        <f t="shared" si="2"/>
        <v>Home-Others</v>
      </c>
      <c r="S123" s="58"/>
      <c r="T123" s="58">
        <v>0.5</v>
      </c>
      <c r="U123" s="43">
        <v>6</v>
      </c>
      <c r="V123" s="43"/>
      <c r="W123" s="58"/>
      <c r="X123" s="58"/>
      <c r="Y123" s="59" t="s">
        <v>156</v>
      </c>
      <c r="Z123" s="60">
        <v>2000</v>
      </c>
      <c r="AA123" s="25">
        <f>VLOOKUP(F123,Zones!$A$2:$F$2186,6,FALSE)</f>
        <v>1402</v>
      </c>
      <c r="AB123" s="25">
        <f>VLOOKUP(L123,Zones!$A$2:$F$2186,6,FALSE)</f>
        <v>1393</v>
      </c>
    </row>
    <row r="124" spans="2:28">
      <c r="B124" s="40">
        <v>0.49791666666666662</v>
      </c>
      <c r="C124" s="40" t="s">
        <v>727</v>
      </c>
      <c r="D124" s="41">
        <v>1</v>
      </c>
      <c r="E124" s="42">
        <v>1</v>
      </c>
      <c r="F124" s="42" t="s">
        <v>564</v>
      </c>
      <c r="G124" s="43" t="s">
        <v>154</v>
      </c>
      <c r="H124" s="42" t="s">
        <v>155</v>
      </c>
      <c r="I124" s="43">
        <v>16</v>
      </c>
      <c r="J124" s="43">
        <v>2</v>
      </c>
      <c r="K124" s="25" t="str">
        <f>VLOOKUP(J124,Key!$E$2:$F$9,2,FALSE)</f>
        <v>Work</v>
      </c>
      <c r="L124" s="42" t="s">
        <v>168</v>
      </c>
      <c r="M124" s="43" t="s">
        <v>154</v>
      </c>
      <c r="N124" s="42" t="s">
        <v>155</v>
      </c>
      <c r="O124" s="43">
        <v>2</v>
      </c>
      <c r="P124" s="43">
        <v>2</v>
      </c>
      <c r="Q124" s="25" t="str">
        <f>VLOOKUP(P124,Key!$E$2:$F$9,2,FALSE)</f>
        <v>Work</v>
      </c>
      <c r="R124" s="25" t="str">
        <f t="shared" si="2"/>
        <v>Work-Work</v>
      </c>
      <c r="S124" s="58">
        <v>2</v>
      </c>
      <c r="T124" s="58">
        <v>0.1</v>
      </c>
      <c r="U124" s="43">
        <v>1</v>
      </c>
      <c r="V124" s="43"/>
      <c r="W124" s="58"/>
      <c r="X124" s="58"/>
      <c r="Y124" s="59" t="s">
        <v>156</v>
      </c>
      <c r="Z124" s="60">
        <v>2000</v>
      </c>
      <c r="AA124" s="25">
        <f>VLOOKUP(F124,Zones!$A$2:$F$2186,6,FALSE)</f>
        <v>1393</v>
      </c>
      <c r="AB124" s="25">
        <f>VLOOKUP(L124,Zones!$A$2:$F$2186,6,FALSE)</f>
        <v>1393</v>
      </c>
    </row>
    <row r="125" spans="2:28">
      <c r="B125" s="40">
        <v>0.49444444444444446</v>
      </c>
      <c r="C125" s="40" t="s">
        <v>728</v>
      </c>
      <c r="D125" s="41">
        <v>1</v>
      </c>
      <c r="E125" s="42">
        <v>1</v>
      </c>
      <c r="F125" s="42" t="s">
        <v>729</v>
      </c>
      <c r="G125" s="43" t="s">
        <v>154</v>
      </c>
      <c r="H125" s="42" t="s">
        <v>155</v>
      </c>
      <c r="I125" s="43">
        <v>1</v>
      </c>
      <c r="J125" s="43">
        <v>1</v>
      </c>
      <c r="K125" s="25" t="str">
        <f>VLOOKUP(J125,Key!$E$2:$F$9,2,FALSE)</f>
        <v>Home</v>
      </c>
      <c r="L125" s="42" t="s">
        <v>245</v>
      </c>
      <c r="M125" s="43" t="s">
        <v>154</v>
      </c>
      <c r="N125" s="42" t="s">
        <v>155</v>
      </c>
      <c r="O125" s="43">
        <v>1</v>
      </c>
      <c r="P125" s="43">
        <v>1</v>
      </c>
      <c r="Q125" s="25" t="str">
        <f>VLOOKUP(P125,Key!$E$2:$F$9,2,FALSE)</f>
        <v>Home</v>
      </c>
      <c r="R125" s="25" t="str">
        <f t="shared" si="2"/>
        <v>Home-Home</v>
      </c>
      <c r="S125" s="58">
        <v>15</v>
      </c>
      <c r="T125" s="58">
        <v>0.2</v>
      </c>
      <c r="U125" s="43">
        <v>4</v>
      </c>
      <c r="V125" s="43"/>
      <c r="W125" s="58"/>
      <c r="X125" s="58"/>
      <c r="Y125" s="59" t="s">
        <v>156</v>
      </c>
      <c r="Z125" s="60">
        <v>1000</v>
      </c>
      <c r="AA125" s="25">
        <f>VLOOKUP(F125,Zones!$A$2:$F$2186,6,FALSE)</f>
        <v>543</v>
      </c>
      <c r="AB125" s="25">
        <f>VLOOKUP(L125,Zones!$A$2:$F$2186,6,FALSE)</f>
        <v>1402</v>
      </c>
    </row>
    <row r="126" spans="2:28">
      <c r="B126" s="40">
        <v>0.46666666666666662</v>
      </c>
      <c r="C126" s="40" t="s">
        <v>730</v>
      </c>
      <c r="D126" s="41">
        <v>1</v>
      </c>
      <c r="E126" s="42">
        <v>3</v>
      </c>
      <c r="F126" s="42" t="s">
        <v>3281</v>
      </c>
      <c r="G126" s="43" t="s">
        <v>154</v>
      </c>
      <c r="H126" s="42" t="s">
        <v>155</v>
      </c>
      <c r="I126" s="43">
        <v>1</v>
      </c>
      <c r="J126" s="43">
        <v>1</v>
      </c>
      <c r="K126" s="25" t="str">
        <f>VLOOKUP(J126,Key!$E$2:$F$9,2,FALSE)</f>
        <v>Home</v>
      </c>
      <c r="L126" s="42" t="s">
        <v>173</v>
      </c>
      <c r="M126" s="43" t="s">
        <v>154</v>
      </c>
      <c r="N126" s="42" t="s">
        <v>155</v>
      </c>
      <c r="O126" s="43">
        <v>3</v>
      </c>
      <c r="P126" s="43">
        <v>2</v>
      </c>
      <c r="Q126" s="25" t="str">
        <f>VLOOKUP(P126,Key!$E$2:$F$9,2,FALSE)</f>
        <v>Work</v>
      </c>
      <c r="R126" s="25" t="str">
        <f t="shared" si="2"/>
        <v>Home-Work</v>
      </c>
      <c r="S126" s="58">
        <v>2</v>
      </c>
      <c r="T126" s="58">
        <v>0.3</v>
      </c>
      <c r="U126" s="43">
        <v>1</v>
      </c>
      <c r="V126" s="43"/>
      <c r="W126" s="58"/>
      <c r="X126" s="58"/>
      <c r="Y126" s="59" t="s">
        <v>156</v>
      </c>
      <c r="Z126" s="60">
        <v>2000</v>
      </c>
      <c r="AA126" s="25">
        <f>VLOOKUP(F126,Zones!$A$2:$F$2186,6,FALSE)</f>
        <v>1408</v>
      </c>
      <c r="AB126" s="25">
        <f>VLOOKUP(L126,Zones!$A$2:$F$2186,6,FALSE)</f>
        <v>1408</v>
      </c>
    </row>
    <row r="127" spans="2:28" ht="15">
      <c r="B127" s="40">
        <v>0.47222222222222227</v>
      </c>
      <c r="C127" s="40" t="s">
        <v>732</v>
      </c>
      <c r="D127" s="41">
        <v>2</v>
      </c>
      <c r="E127" s="42">
        <v>2</v>
      </c>
      <c r="F127" s="42" t="s">
        <v>3281</v>
      </c>
      <c r="G127" s="43" t="s">
        <v>154</v>
      </c>
      <c r="H127" s="42" t="s">
        <v>155</v>
      </c>
      <c r="I127" s="43">
        <v>10</v>
      </c>
      <c r="J127" s="43">
        <v>2</v>
      </c>
      <c r="K127" s="25" t="str">
        <f>VLOOKUP(J127,Key!$E$2:$F$9,2,FALSE)</f>
        <v>Work</v>
      </c>
      <c r="L127" s="100" t="s">
        <v>3032</v>
      </c>
      <c r="M127" s="43" t="s">
        <v>154</v>
      </c>
      <c r="N127" s="42" t="s">
        <v>155</v>
      </c>
      <c r="O127" s="43">
        <v>2</v>
      </c>
      <c r="P127" s="43">
        <v>2</v>
      </c>
      <c r="Q127" s="25" t="str">
        <f>VLOOKUP(P127,Key!$E$2:$F$9,2,FALSE)</f>
        <v>Work</v>
      </c>
      <c r="R127" s="25" t="str">
        <f t="shared" si="2"/>
        <v>Work-Work</v>
      </c>
      <c r="S127" s="58">
        <v>3</v>
      </c>
      <c r="T127" s="58">
        <v>0.1</v>
      </c>
      <c r="U127" s="43">
        <v>1</v>
      </c>
      <c r="V127" s="43"/>
      <c r="W127" s="58"/>
      <c r="X127" s="58"/>
      <c r="Y127" s="59" t="s">
        <v>156</v>
      </c>
      <c r="Z127" s="60">
        <v>1000</v>
      </c>
      <c r="AA127" s="25">
        <f>VLOOKUP(F127,Zones!$A$2:$F$2186,6,FALSE)</f>
        <v>1408</v>
      </c>
      <c r="AB127" s="25">
        <f>VLOOKUP(L127,Zones!$A$2:$F$2186,6,FALSE)</f>
        <v>1406</v>
      </c>
    </row>
    <row r="128" spans="2:28">
      <c r="B128" s="40">
        <v>0.46180555555555558</v>
      </c>
      <c r="C128" s="40" t="s">
        <v>735</v>
      </c>
      <c r="D128" s="41">
        <v>7</v>
      </c>
      <c r="E128" s="42">
        <v>1</v>
      </c>
      <c r="F128" s="42" t="s">
        <v>564</v>
      </c>
      <c r="G128" s="43" t="s">
        <v>154</v>
      </c>
      <c r="H128" s="42" t="s">
        <v>155</v>
      </c>
      <c r="I128" s="43">
        <v>3</v>
      </c>
      <c r="J128" s="43">
        <v>2</v>
      </c>
      <c r="K128" s="25" t="str">
        <f>VLOOKUP(J128,Key!$E$2:$F$9,2,FALSE)</f>
        <v>Work</v>
      </c>
      <c r="L128" s="42" t="s">
        <v>300</v>
      </c>
      <c r="M128" s="43" t="s">
        <v>202</v>
      </c>
      <c r="N128" s="42" t="s">
        <v>155</v>
      </c>
      <c r="O128" s="43">
        <v>3</v>
      </c>
      <c r="P128" s="43">
        <v>2</v>
      </c>
      <c r="Q128" s="25" t="str">
        <f>VLOOKUP(P128,Key!$E$2:$F$9,2,FALSE)</f>
        <v>Work</v>
      </c>
      <c r="R128" s="25" t="str">
        <f t="shared" si="2"/>
        <v>Work-Work</v>
      </c>
      <c r="S128" s="58">
        <v>55</v>
      </c>
      <c r="T128" s="58">
        <v>1.2</v>
      </c>
      <c r="U128" s="43">
        <v>4</v>
      </c>
      <c r="V128" s="43">
        <v>11</v>
      </c>
      <c r="W128" s="58"/>
      <c r="X128" s="58"/>
      <c r="Y128" s="59" t="s">
        <v>156</v>
      </c>
      <c r="Z128" s="60">
        <v>1000</v>
      </c>
      <c r="AA128" s="25">
        <f>VLOOKUP(F128,Zones!$A$2:$F$2186,6,FALSE)</f>
        <v>1393</v>
      </c>
      <c r="AB128" s="25">
        <f>VLOOKUP(L128,Zones!$A$2:$F$2186,6,FALSE)</f>
        <v>1081</v>
      </c>
    </row>
    <row r="129" spans="1:28">
      <c r="B129" s="40">
        <v>0.45624999999999999</v>
      </c>
      <c r="C129" s="40" t="s">
        <v>736</v>
      </c>
      <c r="D129" s="41">
        <v>8</v>
      </c>
      <c r="E129" s="42">
        <v>2</v>
      </c>
      <c r="F129" s="42" t="s">
        <v>241</v>
      </c>
      <c r="G129" s="43" t="s">
        <v>154</v>
      </c>
      <c r="H129" s="42" t="s">
        <v>155</v>
      </c>
      <c r="I129" s="43">
        <v>6</v>
      </c>
      <c r="J129" s="43">
        <v>2</v>
      </c>
      <c r="K129" s="25" t="str">
        <f>VLOOKUP(J129,Key!$E$2:$F$9,2,FALSE)</f>
        <v>Work</v>
      </c>
      <c r="L129" s="42" t="s">
        <v>2990</v>
      </c>
      <c r="M129" s="43" t="s">
        <v>154</v>
      </c>
      <c r="N129" s="42" t="s">
        <v>155</v>
      </c>
      <c r="O129" s="43">
        <v>1</v>
      </c>
      <c r="P129" s="43">
        <v>1</v>
      </c>
      <c r="Q129" s="25" t="str">
        <f>VLOOKUP(P129,Key!$E$2:$F$9,2,FALSE)</f>
        <v>Home</v>
      </c>
      <c r="R129" s="25" t="str">
        <f t="shared" si="2"/>
        <v>Work-Home</v>
      </c>
      <c r="S129" s="58">
        <v>2</v>
      </c>
      <c r="T129" s="58">
        <v>0.3</v>
      </c>
      <c r="U129" s="43">
        <v>6</v>
      </c>
      <c r="V129" s="43"/>
      <c r="W129" s="58"/>
      <c r="X129" s="58"/>
      <c r="Y129" s="59" t="s">
        <v>156</v>
      </c>
      <c r="Z129" s="60">
        <v>2000</v>
      </c>
      <c r="AA129" s="25">
        <f>VLOOKUP(F129,Zones!$A$2:$F$2186,6,FALSE)</f>
        <v>542</v>
      </c>
      <c r="AB129" s="25">
        <f>VLOOKUP(L129,Zones!$A$2:$F$2186,6,FALSE)</f>
        <v>1402</v>
      </c>
    </row>
    <row r="130" spans="1:28">
      <c r="B130" s="40">
        <v>0.45208333333333334</v>
      </c>
      <c r="C130" s="40" t="s">
        <v>738</v>
      </c>
      <c r="D130" s="41">
        <v>1</v>
      </c>
      <c r="E130" s="42">
        <v>1</v>
      </c>
      <c r="F130" s="42" t="s">
        <v>564</v>
      </c>
      <c r="G130" s="43" t="s">
        <v>154</v>
      </c>
      <c r="H130" s="42" t="s">
        <v>155</v>
      </c>
      <c r="I130" s="43">
        <v>1</v>
      </c>
      <c r="J130" s="43">
        <v>1</v>
      </c>
      <c r="K130" s="25" t="str">
        <f>VLOOKUP(J130,Key!$E$2:$F$9,2,FALSE)</f>
        <v>Home</v>
      </c>
      <c r="L130" s="42" t="s">
        <v>160</v>
      </c>
      <c r="M130" s="43" t="s">
        <v>154</v>
      </c>
      <c r="N130" s="42" t="s">
        <v>155</v>
      </c>
      <c r="O130" s="43">
        <v>9</v>
      </c>
      <c r="P130" s="43">
        <v>2</v>
      </c>
      <c r="Q130" s="25" t="str">
        <f>VLOOKUP(P130,Key!$E$2:$F$9,2,FALSE)</f>
        <v>Work</v>
      </c>
      <c r="R130" s="25" t="str">
        <f t="shared" si="2"/>
        <v>Home-Work</v>
      </c>
      <c r="S130" s="58">
        <v>3</v>
      </c>
      <c r="T130" s="58">
        <v>0.5</v>
      </c>
      <c r="U130" s="43">
        <v>4</v>
      </c>
      <c r="V130" s="43"/>
      <c r="W130" s="58"/>
      <c r="X130" s="58"/>
      <c r="Y130" s="59" t="s">
        <v>156</v>
      </c>
      <c r="Z130" s="60">
        <v>2000</v>
      </c>
      <c r="AA130" s="25">
        <f>VLOOKUP(F130,Zones!$A$2:$F$2186,6,FALSE)</f>
        <v>1393</v>
      </c>
      <c r="AB130" s="25">
        <f>VLOOKUP(L130,Zones!$A$2:$F$2186,6,FALSE)</f>
        <v>1393</v>
      </c>
    </row>
    <row r="131" spans="1:28">
      <c r="B131" s="40">
        <v>0.44513888888888892</v>
      </c>
      <c r="C131" s="40" t="s">
        <v>739</v>
      </c>
      <c r="D131" s="41">
        <v>4</v>
      </c>
      <c r="E131" s="42">
        <v>14</v>
      </c>
      <c r="F131" s="42" t="s">
        <v>740</v>
      </c>
      <c r="G131" s="43" t="s">
        <v>154</v>
      </c>
      <c r="H131" s="42" t="s">
        <v>155</v>
      </c>
      <c r="I131" s="43">
        <v>6</v>
      </c>
      <c r="J131" s="43">
        <v>2</v>
      </c>
      <c r="K131" s="25" t="str">
        <f>VLOOKUP(J131,Key!$E$2:$F$9,2,FALSE)</f>
        <v>Work</v>
      </c>
      <c r="L131" s="42" t="s">
        <v>147</v>
      </c>
      <c r="M131" s="43" t="s">
        <v>154</v>
      </c>
      <c r="N131" s="42" t="s">
        <v>155</v>
      </c>
      <c r="O131" s="43">
        <v>6</v>
      </c>
      <c r="P131" s="43">
        <v>1</v>
      </c>
      <c r="Q131" s="25" t="str">
        <f>VLOOKUP(P131,Key!$E$2:$F$9,2,FALSE)</f>
        <v>Home</v>
      </c>
      <c r="R131" s="25" t="str">
        <f t="shared" si="2"/>
        <v>Work-Home</v>
      </c>
      <c r="S131" s="58"/>
      <c r="T131" s="58">
        <v>0.3</v>
      </c>
      <c r="U131" s="43">
        <v>2</v>
      </c>
      <c r="V131" s="43"/>
      <c r="W131" s="58"/>
      <c r="X131" s="58"/>
      <c r="Y131" s="59" t="s">
        <v>741</v>
      </c>
      <c r="Z131" s="60">
        <v>0</v>
      </c>
      <c r="AA131" s="25">
        <f>VLOOKUP(F131,Zones!$A$2:$F$2186,6,FALSE)</f>
        <v>529</v>
      </c>
      <c r="AB131" s="25">
        <f>VLOOKUP(L131,Zones!$A$2:$F$2186,6,FALSE)</f>
        <v>1402</v>
      </c>
    </row>
    <row r="132" spans="1:28">
      <c r="B132" s="40">
        <v>0.42777777777777781</v>
      </c>
      <c r="C132" s="40" t="s">
        <v>742</v>
      </c>
      <c r="D132" s="41">
        <v>4</v>
      </c>
      <c r="E132" s="42">
        <v>13</v>
      </c>
      <c r="F132" s="42" t="s">
        <v>564</v>
      </c>
      <c r="G132" s="43" t="s">
        <v>154</v>
      </c>
      <c r="H132" s="42" t="s">
        <v>155</v>
      </c>
      <c r="I132" s="43">
        <v>6</v>
      </c>
      <c r="J132" s="43">
        <v>2</v>
      </c>
      <c r="K132" s="25" t="str">
        <f>VLOOKUP(J132,Key!$E$2:$F$9,2,FALSE)</f>
        <v>Work</v>
      </c>
      <c r="L132" s="42" t="s">
        <v>147</v>
      </c>
      <c r="M132" s="43" t="s">
        <v>154</v>
      </c>
      <c r="N132" s="42" t="s">
        <v>155</v>
      </c>
      <c r="O132" s="43">
        <v>6</v>
      </c>
      <c r="P132" s="43">
        <v>2</v>
      </c>
      <c r="Q132" s="25" t="str">
        <f>VLOOKUP(P132,Key!$E$2:$F$9,2,FALSE)</f>
        <v>Work</v>
      </c>
      <c r="R132" s="25" t="str">
        <f t="shared" si="2"/>
        <v>Work-Work</v>
      </c>
      <c r="S132" s="58">
        <v>9.5</v>
      </c>
      <c r="T132" s="58">
        <v>0.2</v>
      </c>
      <c r="U132" s="43">
        <v>1</v>
      </c>
      <c r="V132" s="43"/>
      <c r="W132" s="58"/>
      <c r="X132" s="58"/>
      <c r="Y132" s="59" t="s">
        <v>156</v>
      </c>
      <c r="Z132" s="60">
        <v>10000</v>
      </c>
      <c r="AA132" s="25">
        <f>VLOOKUP(F132,Zones!$A$2:$F$2186,6,FALSE)</f>
        <v>1393</v>
      </c>
      <c r="AB132" s="25">
        <f>VLOOKUP(L132,Zones!$A$2:$F$2186,6,FALSE)</f>
        <v>1402</v>
      </c>
    </row>
    <row r="133" spans="1:28">
      <c r="B133" s="40">
        <v>0.4236111111111111</v>
      </c>
      <c r="C133" s="40" t="s">
        <v>743</v>
      </c>
      <c r="D133" s="41">
        <v>6</v>
      </c>
      <c r="E133" s="42">
        <v>2</v>
      </c>
      <c r="F133" s="42" t="s">
        <v>268</v>
      </c>
      <c r="G133" s="43" t="s">
        <v>154</v>
      </c>
      <c r="H133" s="42" t="s">
        <v>155</v>
      </c>
      <c r="I133" s="43">
        <v>16</v>
      </c>
      <c r="J133" s="43">
        <v>2</v>
      </c>
      <c r="K133" s="25" t="str">
        <f>VLOOKUP(J133,Key!$E$2:$F$9,2,FALSE)</f>
        <v>Work</v>
      </c>
      <c r="L133" s="42" t="s">
        <v>379</v>
      </c>
      <c r="M133" s="43" t="s">
        <v>202</v>
      </c>
      <c r="N133" s="42" t="s">
        <v>155</v>
      </c>
      <c r="O133" s="43">
        <v>16</v>
      </c>
      <c r="P133" s="43">
        <v>2</v>
      </c>
      <c r="Q133" s="25" t="str">
        <f>VLOOKUP(P133,Key!$E$2:$F$9,2,FALSE)</f>
        <v>Work</v>
      </c>
      <c r="R133" s="25" t="str">
        <f t="shared" si="2"/>
        <v>Work-Work</v>
      </c>
      <c r="S133" s="58"/>
      <c r="T133" s="58">
        <v>1</v>
      </c>
      <c r="U133" s="43">
        <v>6</v>
      </c>
      <c r="V133" s="43"/>
      <c r="W133" s="58"/>
      <c r="X133" s="58"/>
      <c r="Y133" s="59" t="s">
        <v>156</v>
      </c>
      <c r="Z133" s="60">
        <v>0</v>
      </c>
      <c r="AA133" s="25">
        <f>VLOOKUP(F133,Zones!$A$2:$F$2186,6,FALSE)</f>
        <v>1396</v>
      </c>
      <c r="AB133" s="25">
        <f>VLOOKUP(L133,Zones!$A$2:$F$2186,6,FALSE)</f>
        <v>1390</v>
      </c>
    </row>
    <row r="134" spans="1:28">
      <c r="B134" s="40">
        <v>0.57361111111111118</v>
      </c>
      <c r="C134" s="40" t="s">
        <v>744</v>
      </c>
      <c r="D134" s="41">
        <v>1</v>
      </c>
      <c r="E134" s="42">
        <v>2</v>
      </c>
      <c r="F134" s="42" t="s">
        <v>165</v>
      </c>
      <c r="G134" s="43" t="s">
        <v>159</v>
      </c>
      <c r="H134" s="42" t="s">
        <v>155</v>
      </c>
      <c r="I134" s="43">
        <v>16</v>
      </c>
      <c r="J134" s="43">
        <v>2</v>
      </c>
      <c r="K134" s="25" t="str">
        <f>VLOOKUP(J134,Key!$E$2:$F$9,2,FALSE)</f>
        <v>Work</v>
      </c>
      <c r="L134" s="42" t="s">
        <v>173</v>
      </c>
      <c r="M134" s="43" t="s">
        <v>154</v>
      </c>
      <c r="N134" s="42" t="s">
        <v>155</v>
      </c>
      <c r="O134" s="43">
        <v>1</v>
      </c>
      <c r="P134" s="43">
        <v>1</v>
      </c>
      <c r="Q134" s="25" t="str">
        <f>VLOOKUP(P134,Key!$E$2:$F$9,2,FALSE)</f>
        <v>Home</v>
      </c>
      <c r="R134" s="25" t="str">
        <f t="shared" si="2"/>
        <v>Work-Home</v>
      </c>
      <c r="S134" s="58"/>
      <c r="T134" s="58">
        <v>1</v>
      </c>
      <c r="U134" s="43">
        <v>3</v>
      </c>
      <c r="V134" s="43"/>
      <c r="W134" s="58"/>
      <c r="X134" s="58"/>
      <c r="Y134" s="59" t="s">
        <v>156</v>
      </c>
      <c r="Z134" s="60">
        <v>0</v>
      </c>
      <c r="AA134" s="25">
        <f>VLOOKUP(F134,Zones!$A$2:$F$2186,6,FALSE)</f>
        <v>542</v>
      </c>
      <c r="AB134" s="25">
        <f>VLOOKUP(L134,Zones!$A$2:$F$2186,6,FALSE)</f>
        <v>1408</v>
      </c>
    </row>
    <row r="135" spans="1:28">
      <c r="B135" s="40">
        <v>0.5708333333333333</v>
      </c>
      <c r="C135" s="40" t="s">
        <v>745</v>
      </c>
      <c r="D135" s="41">
        <v>7</v>
      </c>
      <c r="E135" s="42">
        <v>5</v>
      </c>
      <c r="F135" s="42" t="s">
        <v>268</v>
      </c>
      <c r="G135" s="43" t="s">
        <v>154</v>
      </c>
      <c r="H135" s="42" t="s">
        <v>155</v>
      </c>
      <c r="I135" s="43">
        <v>3</v>
      </c>
      <c r="J135" s="43">
        <v>2</v>
      </c>
      <c r="K135" s="25" t="str">
        <f>VLOOKUP(J135,Key!$E$2:$F$9,2,FALSE)</f>
        <v>Work</v>
      </c>
      <c r="L135" s="42" t="s">
        <v>147</v>
      </c>
      <c r="M135" s="43" t="s">
        <v>154</v>
      </c>
      <c r="N135" s="42" t="s">
        <v>155</v>
      </c>
      <c r="O135" s="43">
        <v>3</v>
      </c>
      <c r="P135" s="43">
        <v>2</v>
      </c>
      <c r="Q135" s="25" t="str">
        <f>VLOOKUP(P135,Key!$E$2:$F$9,2,FALSE)</f>
        <v>Work</v>
      </c>
      <c r="R135" s="25" t="str">
        <f t="shared" si="2"/>
        <v>Work-Work</v>
      </c>
      <c r="S135" s="58">
        <v>8</v>
      </c>
      <c r="T135" s="58">
        <v>0.5</v>
      </c>
      <c r="U135" s="43">
        <v>3</v>
      </c>
      <c r="V135" s="43">
        <v>11</v>
      </c>
      <c r="W135" s="58"/>
      <c r="X135" s="58"/>
      <c r="Y135" s="59" t="s">
        <v>156</v>
      </c>
      <c r="Z135" s="60">
        <v>2000</v>
      </c>
      <c r="AA135" s="25">
        <f>VLOOKUP(F135,Zones!$A$2:$F$2186,6,FALSE)</f>
        <v>1396</v>
      </c>
      <c r="AB135" s="25">
        <f>VLOOKUP(L135,Zones!$A$2:$F$2186,6,FALSE)</f>
        <v>1402</v>
      </c>
    </row>
    <row r="136" spans="1:28">
      <c r="B136" s="40">
        <v>0.44305555555555554</v>
      </c>
      <c r="C136" s="40" t="s">
        <v>746</v>
      </c>
      <c r="D136" s="41">
        <v>7</v>
      </c>
      <c r="E136" s="42">
        <v>1</v>
      </c>
      <c r="F136" s="42" t="s">
        <v>371</v>
      </c>
      <c r="G136" s="43" t="s">
        <v>154</v>
      </c>
      <c r="H136" s="42" t="s">
        <v>155</v>
      </c>
      <c r="I136" s="43">
        <v>3</v>
      </c>
      <c r="J136" s="43">
        <v>1</v>
      </c>
      <c r="K136" s="25" t="str">
        <f>VLOOKUP(J136,Key!$E$2:$F$9,2,FALSE)</f>
        <v>Home</v>
      </c>
      <c r="L136" s="42" t="s">
        <v>175</v>
      </c>
      <c r="M136" s="43" t="s">
        <v>154</v>
      </c>
      <c r="N136" s="42" t="s">
        <v>155</v>
      </c>
      <c r="O136" s="43">
        <v>11</v>
      </c>
      <c r="P136" s="43">
        <v>4</v>
      </c>
      <c r="Q136" s="25" t="str">
        <f>VLOOKUP(P136,Key!$E$2:$F$9,2,FALSE)</f>
        <v>Commercial</v>
      </c>
      <c r="R136" s="25" t="str">
        <f t="shared" si="2"/>
        <v>Home-Commercial</v>
      </c>
      <c r="S136" s="58">
        <v>1</v>
      </c>
      <c r="T136" s="58">
        <v>0.8</v>
      </c>
      <c r="U136" s="43">
        <v>4</v>
      </c>
      <c r="V136" s="43"/>
      <c r="W136" s="58"/>
      <c r="X136" s="58">
        <v>1.05</v>
      </c>
      <c r="Y136" s="59" t="s">
        <v>156</v>
      </c>
      <c r="Z136" s="60">
        <v>1000</v>
      </c>
      <c r="AA136" s="25">
        <f>VLOOKUP(F136,Zones!$A$2:$F$2186,6,FALSE)</f>
        <v>577</v>
      </c>
      <c r="AB136" s="25">
        <f>VLOOKUP(L136,Zones!$A$2:$F$2186,6,FALSE)</f>
        <v>1402</v>
      </c>
    </row>
    <row r="137" spans="1:28">
      <c r="B137" s="40">
        <v>0.4381944444444445</v>
      </c>
      <c r="C137" s="40" t="s">
        <v>747</v>
      </c>
      <c r="D137" s="41">
        <v>4</v>
      </c>
      <c r="E137" s="42">
        <v>11</v>
      </c>
      <c r="F137" s="42" t="s">
        <v>259</v>
      </c>
      <c r="G137" s="43" t="s">
        <v>159</v>
      </c>
      <c r="H137" s="42" t="s">
        <v>155</v>
      </c>
      <c r="I137" s="43">
        <v>6</v>
      </c>
      <c r="J137" s="43">
        <v>2</v>
      </c>
      <c r="K137" s="25" t="str">
        <f>VLOOKUP(J137,Key!$E$2:$F$9,2,FALSE)</f>
        <v>Work</v>
      </c>
      <c r="L137" s="42" t="s">
        <v>173</v>
      </c>
      <c r="M137" s="43" t="s">
        <v>154</v>
      </c>
      <c r="N137" s="42" t="s">
        <v>155</v>
      </c>
      <c r="O137" s="43">
        <v>16</v>
      </c>
      <c r="P137" s="43">
        <v>8</v>
      </c>
      <c r="Q137" s="25" t="str">
        <f>VLOOKUP(P137,Key!$E$2:$F$9,2,FALSE)</f>
        <v>Others</v>
      </c>
      <c r="R137" s="25" t="str">
        <f t="shared" si="2"/>
        <v>Work-Others</v>
      </c>
      <c r="S137" s="58"/>
      <c r="T137" s="58">
        <v>0.5</v>
      </c>
      <c r="U137" s="43">
        <v>6</v>
      </c>
      <c r="V137" s="43"/>
      <c r="W137" s="58"/>
      <c r="X137" s="58"/>
      <c r="Y137" s="59" t="s">
        <v>741</v>
      </c>
      <c r="Z137" s="60">
        <v>0</v>
      </c>
      <c r="AA137" s="25">
        <f>VLOOKUP(F137,Zones!$A$2:$F$2186,6,FALSE)</f>
        <v>546</v>
      </c>
      <c r="AB137" s="25">
        <f>VLOOKUP(L137,Zones!$A$2:$F$2186,6,FALSE)</f>
        <v>1408</v>
      </c>
    </row>
    <row r="138" spans="1:28">
      <c r="B138" s="40">
        <v>0.43124999999999997</v>
      </c>
      <c r="C138" s="40" t="s">
        <v>748</v>
      </c>
      <c r="D138" s="41">
        <v>7</v>
      </c>
      <c r="E138" s="42">
        <v>2</v>
      </c>
      <c r="F138" s="42" t="s">
        <v>189</v>
      </c>
      <c r="G138" s="43" t="s">
        <v>154</v>
      </c>
      <c r="H138" s="42" t="s">
        <v>155</v>
      </c>
      <c r="I138" s="43">
        <v>2</v>
      </c>
      <c r="J138" s="43">
        <v>2</v>
      </c>
      <c r="K138" s="25" t="str">
        <f>VLOOKUP(J138,Key!$E$2:$F$9,2,FALSE)</f>
        <v>Work</v>
      </c>
      <c r="L138" s="42" t="s">
        <v>303</v>
      </c>
      <c r="M138" s="43" t="s">
        <v>202</v>
      </c>
      <c r="N138" s="42" t="s">
        <v>155</v>
      </c>
      <c r="O138" s="43">
        <v>1</v>
      </c>
      <c r="P138" s="43">
        <v>1</v>
      </c>
      <c r="Q138" s="25" t="str">
        <f>VLOOKUP(P138,Key!$E$2:$F$9,2,FALSE)</f>
        <v>Home</v>
      </c>
      <c r="R138" s="25" t="str">
        <f t="shared" si="2"/>
        <v>Work-Home</v>
      </c>
      <c r="S138" s="58"/>
      <c r="T138" s="58">
        <v>1</v>
      </c>
      <c r="U138" s="43">
        <v>3</v>
      </c>
      <c r="V138" s="43"/>
      <c r="W138" s="58"/>
      <c r="X138" s="58"/>
      <c r="Y138" s="59" t="s">
        <v>156</v>
      </c>
      <c r="Z138" s="60">
        <v>1000</v>
      </c>
      <c r="AA138" s="25">
        <f>VLOOKUP(F138,Zones!$A$2:$F$2186,6,FALSE)</f>
        <v>1386</v>
      </c>
      <c r="AB138" s="25">
        <f>VLOOKUP(L138,Zones!$A$2:$F$2186,6,FALSE)</f>
        <v>891</v>
      </c>
    </row>
    <row r="139" spans="1:28">
      <c r="B139" s="40">
        <v>0.43472222222222223</v>
      </c>
      <c r="C139" s="40" t="s">
        <v>183</v>
      </c>
      <c r="D139" s="41">
        <v>8</v>
      </c>
      <c r="E139" s="42">
        <v>1</v>
      </c>
      <c r="F139" s="42" t="s">
        <v>184</v>
      </c>
      <c r="G139" s="43" t="s">
        <v>154</v>
      </c>
      <c r="H139" s="42" t="s">
        <v>155</v>
      </c>
      <c r="I139" s="43">
        <v>14</v>
      </c>
      <c r="J139" s="43">
        <v>2</v>
      </c>
      <c r="K139" s="25" t="str">
        <f>VLOOKUP(J139,Key!$E$2:$F$9,2,FALSE)</f>
        <v>Work</v>
      </c>
      <c r="L139" s="42" t="s">
        <v>168</v>
      </c>
      <c r="M139" s="43" t="s">
        <v>154</v>
      </c>
      <c r="N139" s="42" t="s">
        <v>155</v>
      </c>
      <c r="O139" s="43">
        <v>16</v>
      </c>
      <c r="P139" s="43">
        <v>6</v>
      </c>
      <c r="Q139" s="25" t="str">
        <f>VLOOKUP(P139,Key!$E$2:$F$9,2,FALSE)</f>
        <v>Leisure/Social</v>
      </c>
      <c r="R139" s="25" t="str">
        <f t="shared" si="2"/>
        <v>Work-Leisure/Social</v>
      </c>
      <c r="S139" s="58">
        <v>1</v>
      </c>
      <c r="T139" s="58">
        <v>0.1</v>
      </c>
      <c r="U139" s="43">
        <v>4</v>
      </c>
      <c r="V139" s="43"/>
      <c r="W139" s="58"/>
      <c r="X139" s="58"/>
      <c r="Y139" s="59" t="s">
        <v>156</v>
      </c>
      <c r="Z139" s="60">
        <v>0</v>
      </c>
      <c r="AA139" s="25">
        <f>VLOOKUP(F139,Zones!$A$2:$F$2186,6,FALSE)</f>
        <v>811</v>
      </c>
      <c r="AB139" s="25">
        <f>VLOOKUP(L139,Zones!$A$2:$F$2186,6,FALSE)</f>
        <v>1393</v>
      </c>
    </row>
    <row r="140" spans="1:28">
      <c r="B140" s="40">
        <v>0.70416666666666661</v>
      </c>
      <c r="C140" s="40" t="s">
        <v>749</v>
      </c>
      <c r="D140" s="41">
        <v>1</v>
      </c>
      <c r="E140" s="42">
        <v>2</v>
      </c>
      <c r="F140" s="42" t="s">
        <v>750</v>
      </c>
      <c r="G140" s="43" t="s">
        <v>159</v>
      </c>
      <c r="H140" s="42" t="s">
        <v>155</v>
      </c>
      <c r="I140" s="43">
        <v>1</v>
      </c>
      <c r="J140" s="43">
        <v>1</v>
      </c>
      <c r="K140" s="25" t="str">
        <f>VLOOKUP(J140,Key!$E$2:$F$9,2,FALSE)</f>
        <v>Home</v>
      </c>
      <c r="L140" s="42" t="s">
        <v>147</v>
      </c>
      <c r="M140" s="43" t="s">
        <v>154</v>
      </c>
      <c r="N140" s="42" t="s">
        <v>155</v>
      </c>
      <c r="O140" s="43">
        <v>16</v>
      </c>
      <c r="P140" s="43">
        <v>8</v>
      </c>
      <c r="Q140" s="25" t="str">
        <f>VLOOKUP(P140,Key!$E$2:$F$9,2,FALSE)</f>
        <v>Others</v>
      </c>
      <c r="R140" s="25" t="str">
        <f t="shared" si="2"/>
        <v>Home-Others</v>
      </c>
      <c r="S140" s="58">
        <v>25</v>
      </c>
      <c r="T140" s="58">
        <v>2</v>
      </c>
      <c r="U140" s="43">
        <v>4</v>
      </c>
      <c r="V140" s="43"/>
      <c r="W140" s="58"/>
      <c r="X140" s="58"/>
      <c r="Y140" s="59" t="s">
        <v>156</v>
      </c>
      <c r="Z140" s="60">
        <v>2000</v>
      </c>
      <c r="AA140" s="25">
        <f>VLOOKUP(F140,Zones!$A$2:$F$2186,6,FALSE)</f>
        <v>552</v>
      </c>
      <c r="AB140" s="25">
        <f>VLOOKUP(L140,Zones!$A$2:$F$2186,6,FALSE)</f>
        <v>1402</v>
      </c>
    </row>
    <row r="141" spans="1:28">
      <c r="B141" s="40">
        <v>0.70763888888888893</v>
      </c>
      <c r="C141" s="40" t="s">
        <v>751</v>
      </c>
      <c r="D141" s="41">
        <v>7</v>
      </c>
      <c r="E141" s="42">
        <v>5</v>
      </c>
      <c r="F141" s="42" t="s">
        <v>752</v>
      </c>
      <c r="G141" s="43" t="s">
        <v>154</v>
      </c>
      <c r="H141" s="42" t="s">
        <v>155</v>
      </c>
      <c r="I141" s="43">
        <v>2</v>
      </c>
      <c r="J141" s="43">
        <v>2</v>
      </c>
      <c r="K141" s="25" t="str">
        <f>VLOOKUP(J141,Key!$E$2:$F$9,2,FALSE)</f>
        <v>Work</v>
      </c>
      <c r="L141" s="42" t="s">
        <v>147</v>
      </c>
      <c r="M141" s="43" t="s">
        <v>154</v>
      </c>
      <c r="N141" s="42" t="s">
        <v>155</v>
      </c>
      <c r="O141" s="43">
        <v>1</v>
      </c>
      <c r="P141" s="43">
        <v>1</v>
      </c>
      <c r="Q141" s="25" t="str">
        <f>VLOOKUP(P141,Key!$E$2:$F$9,2,FALSE)</f>
        <v>Home</v>
      </c>
      <c r="R141" s="25" t="str">
        <f t="shared" si="2"/>
        <v>Work-Home</v>
      </c>
      <c r="S141" s="58"/>
      <c r="T141" s="58">
        <v>3</v>
      </c>
      <c r="U141" s="43">
        <v>3</v>
      </c>
      <c r="V141" s="43">
        <v>10</v>
      </c>
      <c r="W141" s="58"/>
      <c r="X141" s="58"/>
      <c r="Y141" s="59" t="s">
        <v>156</v>
      </c>
      <c r="Z141" s="60">
        <v>1000</v>
      </c>
      <c r="AA141" s="25">
        <f>VLOOKUP(F141,Zones!$A$2:$F$2186,6,FALSE)</f>
        <v>1405</v>
      </c>
      <c r="AB141" s="25">
        <f>VLOOKUP(L141,Zones!$A$2:$F$2186,6,FALSE)</f>
        <v>1402</v>
      </c>
    </row>
    <row r="142" spans="1:28">
      <c r="A142" s="14"/>
      <c r="B142" s="40">
        <v>0.69930555555555562</v>
      </c>
      <c r="C142" s="40" t="s">
        <v>753</v>
      </c>
      <c r="D142" s="41">
        <v>1</v>
      </c>
      <c r="E142" s="42">
        <v>5</v>
      </c>
      <c r="F142" s="42" t="s">
        <v>363</v>
      </c>
      <c r="G142" s="43" t="s">
        <v>159</v>
      </c>
      <c r="H142" s="42" t="s">
        <v>155</v>
      </c>
      <c r="I142" s="43">
        <v>2</v>
      </c>
      <c r="J142" s="43">
        <v>2</v>
      </c>
      <c r="K142" s="25" t="str">
        <f>VLOOKUP(J142,Key!$E$2:$F$9,2,FALSE)</f>
        <v>Work</v>
      </c>
      <c r="L142" s="42" t="s">
        <v>754</v>
      </c>
      <c r="M142" s="43" t="s">
        <v>154</v>
      </c>
      <c r="N142" s="42" t="s">
        <v>155</v>
      </c>
      <c r="O142" s="43">
        <v>16</v>
      </c>
      <c r="P142" s="43">
        <v>8</v>
      </c>
      <c r="Q142" s="25" t="str">
        <f>VLOOKUP(P142,Key!$E$2:$F$9,2,FALSE)</f>
        <v>Others</v>
      </c>
      <c r="R142" s="25" t="str">
        <f t="shared" si="2"/>
        <v>Work-Others</v>
      </c>
      <c r="S142" s="58">
        <v>22</v>
      </c>
      <c r="T142" s="58">
        <v>1</v>
      </c>
      <c r="U142" s="43">
        <v>3</v>
      </c>
      <c r="V142" s="43"/>
      <c r="W142" s="58"/>
      <c r="X142" s="58"/>
      <c r="Y142" s="59" t="s">
        <v>156</v>
      </c>
      <c r="Z142" s="60">
        <v>0</v>
      </c>
      <c r="AA142" s="25">
        <f>VLOOKUP(F142,Zones!$A$2:$F$2186,6,FALSE)</f>
        <v>583</v>
      </c>
      <c r="AB142" s="25">
        <f>VLOOKUP(L142,Zones!$A$2:$F$2186,6,FALSE)</f>
        <v>885</v>
      </c>
    </row>
    <row r="143" spans="1:28">
      <c r="A143" s="14"/>
      <c r="B143" s="40">
        <v>0.70138888888888884</v>
      </c>
      <c r="C143" s="40" t="s">
        <v>755</v>
      </c>
      <c r="D143" s="41">
        <v>7</v>
      </c>
      <c r="E143" s="42">
        <v>2</v>
      </c>
      <c r="F143" s="42" t="s">
        <v>268</v>
      </c>
      <c r="G143" s="43" t="s">
        <v>154</v>
      </c>
      <c r="H143" s="42" t="s">
        <v>155</v>
      </c>
      <c r="I143" s="43">
        <v>14</v>
      </c>
      <c r="J143" s="43">
        <v>2</v>
      </c>
      <c r="K143" s="25" t="str">
        <f>VLOOKUP(J143,Key!$E$2:$F$9,2,FALSE)</f>
        <v>Work</v>
      </c>
      <c r="L143" s="42" t="s">
        <v>168</v>
      </c>
      <c r="M143" s="43" t="s">
        <v>154</v>
      </c>
      <c r="N143" s="42" t="s">
        <v>155</v>
      </c>
      <c r="O143" s="43">
        <v>1</v>
      </c>
      <c r="P143" s="43">
        <v>1</v>
      </c>
      <c r="Q143" s="25" t="str">
        <f>VLOOKUP(P143,Key!$E$2:$F$9,2,FALSE)</f>
        <v>Home</v>
      </c>
      <c r="R143" s="25" t="str">
        <f t="shared" si="2"/>
        <v>Work-Home</v>
      </c>
      <c r="S143" s="58">
        <v>5</v>
      </c>
      <c r="T143" s="58">
        <v>0.5</v>
      </c>
      <c r="U143" s="43">
        <v>6</v>
      </c>
      <c r="V143" s="43"/>
      <c r="W143" s="58"/>
      <c r="X143" s="58"/>
      <c r="Y143" s="59" t="s">
        <v>156</v>
      </c>
      <c r="Z143" s="60">
        <v>0</v>
      </c>
      <c r="AA143" s="25">
        <f>VLOOKUP(F143,Zones!$A$2:$F$2186,6,FALSE)</f>
        <v>1396</v>
      </c>
      <c r="AB143" s="25">
        <f>VLOOKUP(L143,Zones!$A$2:$F$2186,6,FALSE)</f>
        <v>1393</v>
      </c>
    </row>
    <row r="144" spans="1:28">
      <c r="A144" s="14"/>
      <c r="B144" s="40">
        <v>0.63541666666666663</v>
      </c>
      <c r="C144" s="40" t="s">
        <v>756</v>
      </c>
      <c r="D144" s="41">
        <v>1</v>
      </c>
      <c r="E144" s="42">
        <v>2</v>
      </c>
      <c r="F144" s="42" t="s">
        <v>184</v>
      </c>
      <c r="G144" s="43" t="s">
        <v>154</v>
      </c>
      <c r="H144" s="42" t="s">
        <v>155</v>
      </c>
      <c r="I144" s="43">
        <v>10</v>
      </c>
      <c r="J144" s="43">
        <v>2</v>
      </c>
      <c r="K144" s="25" t="str">
        <f>VLOOKUP(J144,Key!$E$2:$F$9,2,FALSE)</f>
        <v>Work</v>
      </c>
      <c r="L144" s="42" t="s">
        <v>2990</v>
      </c>
      <c r="M144" s="43" t="s">
        <v>154</v>
      </c>
      <c r="N144" s="42" t="s">
        <v>155</v>
      </c>
      <c r="O144" s="43">
        <v>16</v>
      </c>
      <c r="P144" s="43">
        <v>8</v>
      </c>
      <c r="Q144" s="25" t="str">
        <f>VLOOKUP(P144,Key!$E$2:$F$9,2,FALSE)</f>
        <v>Others</v>
      </c>
      <c r="R144" s="25" t="str">
        <f t="shared" si="2"/>
        <v>Work-Others</v>
      </c>
      <c r="S144" s="58"/>
      <c r="T144" s="58">
        <v>0.5</v>
      </c>
      <c r="U144" s="43">
        <v>2</v>
      </c>
      <c r="V144" s="43"/>
      <c r="W144" s="58"/>
      <c r="X144" s="58"/>
      <c r="Y144" s="59" t="s">
        <v>156</v>
      </c>
      <c r="Z144" s="60">
        <v>0</v>
      </c>
      <c r="AA144" s="25">
        <f>VLOOKUP(F144,Zones!$A$2:$F$2186,6,FALSE)</f>
        <v>811</v>
      </c>
      <c r="AB144" s="25">
        <f>VLOOKUP(L144,Zones!$A$2:$F$2186,6,FALSE)</f>
        <v>1402</v>
      </c>
    </row>
    <row r="145" spans="2:28">
      <c r="B145" s="40">
        <v>0.62916666666666665</v>
      </c>
      <c r="C145" s="40" t="s">
        <v>280</v>
      </c>
      <c r="D145" s="41">
        <v>7</v>
      </c>
      <c r="E145" s="42">
        <v>1</v>
      </c>
      <c r="F145" s="42" t="s">
        <v>564</v>
      </c>
      <c r="G145" s="43" t="s">
        <v>154</v>
      </c>
      <c r="H145" s="42" t="s">
        <v>155</v>
      </c>
      <c r="I145" s="43">
        <v>16</v>
      </c>
      <c r="J145" s="43">
        <v>2</v>
      </c>
      <c r="K145" s="25" t="str">
        <f>VLOOKUP(J145,Key!$E$2:$F$9,2,FALSE)</f>
        <v>Work</v>
      </c>
      <c r="L145" s="42" t="s">
        <v>173</v>
      </c>
      <c r="M145" s="43" t="s">
        <v>154</v>
      </c>
      <c r="N145" s="42" t="s">
        <v>155</v>
      </c>
      <c r="O145" s="43">
        <v>1</v>
      </c>
      <c r="P145" s="43">
        <v>1</v>
      </c>
      <c r="Q145" s="25" t="str">
        <f>VLOOKUP(P145,Key!$E$2:$F$9,2,FALSE)</f>
        <v>Home</v>
      </c>
      <c r="R145" s="25" t="str">
        <f t="shared" si="2"/>
        <v>Work-Home</v>
      </c>
      <c r="S145" s="58">
        <v>2</v>
      </c>
      <c r="T145" s="58">
        <v>0.1</v>
      </c>
      <c r="U145" s="43">
        <v>2</v>
      </c>
      <c r="V145" s="43"/>
      <c r="W145" s="58"/>
      <c r="X145" s="58"/>
      <c r="Y145" s="59" t="s">
        <v>156</v>
      </c>
      <c r="Z145" s="60">
        <v>1000</v>
      </c>
      <c r="AA145" s="25">
        <f>VLOOKUP(F145,Zones!$A$2:$F$2186,6,FALSE)</f>
        <v>1393</v>
      </c>
      <c r="AB145" s="25">
        <f>VLOOKUP(L145,Zones!$A$2:$F$2186,6,FALSE)</f>
        <v>1408</v>
      </c>
    </row>
    <row r="146" spans="2:28">
      <c r="B146" s="40">
        <v>0.67986111111111114</v>
      </c>
      <c r="C146" s="40" t="s">
        <v>758</v>
      </c>
      <c r="D146" s="41">
        <v>2</v>
      </c>
      <c r="E146" s="42">
        <v>2</v>
      </c>
      <c r="F146" s="42" t="s">
        <v>615</v>
      </c>
      <c r="G146" s="43" t="s">
        <v>154</v>
      </c>
      <c r="H146" s="42" t="s">
        <v>155</v>
      </c>
      <c r="I146" s="43">
        <v>1</v>
      </c>
      <c r="J146" s="43">
        <v>1</v>
      </c>
      <c r="K146" s="25" t="str">
        <f>VLOOKUP(J146,Key!$E$2:$F$9,2,FALSE)</f>
        <v>Home</v>
      </c>
      <c r="L146" s="42" t="s">
        <v>760</v>
      </c>
      <c r="M146" s="43" t="s">
        <v>154</v>
      </c>
      <c r="N146" s="42" t="s">
        <v>155</v>
      </c>
      <c r="O146" s="43">
        <v>10</v>
      </c>
      <c r="P146" s="43">
        <v>2</v>
      </c>
      <c r="Q146" s="25" t="str">
        <f>VLOOKUP(P146,Key!$E$2:$F$9,2,FALSE)</f>
        <v>Work</v>
      </c>
      <c r="R146" s="25" t="str">
        <f t="shared" si="2"/>
        <v>Home-Work</v>
      </c>
      <c r="S146" s="58">
        <v>21</v>
      </c>
      <c r="T146" s="58">
        <v>0.5</v>
      </c>
      <c r="U146" s="43">
        <v>6</v>
      </c>
      <c r="V146" s="43"/>
      <c r="W146" s="58"/>
      <c r="X146" s="58"/>
      <c r="Y146" s="59" t="s">
        <v>156</v>
      </c>
      <c r="Z146" s="60">
        <v>1000</v>
      </c>
      <c r="AA146" s="25">
        <f>VLOOKUP(F146,Zones!$A$2:$F$2186,6,FALSE)</f>
        <v>1071</v>
      </c>
      <c r="AB146" s="25">
        <f>VLOOKUP(L146,Zones!$A$2:$F$2186,6,FALSE)</f>
        <v>1391</v>
      </c>
    </row>
    <row r="147" spans="2:28">
      <c r="B147" s="40">
        <v>0.69374999999999998</v>
      </c>
      <c r="C147" s="40" t="s">
        <v>761</v>
      </c>
      <c r="D147" s="41">
        <v>7</v>
      </c>
      <c r="E147" s="42">
        <v>2</v>
      </c>
      <c r="F147" s="42" t="s">
        <v>564</v>
      </c>
      <c r="G147" s="43" t="s">
        <v>154</v>
      </c>
      <c r="H147" s="42" t="s">
        <v>155</v>
      </c>
      <c r="I147" s="43">
        <v>3</v>
      </c>
      <c r="J147" s="43">
        <v>2</v>
      </c>
      <c r="K147" s="25" t="str">
        <f>VLOOKUP(J147,Key!$E$2:$F$9,2,FALSE)</f>
        <v>Work</v>
      </c>
      <c r="L147" s="42" t="s">
        <v>168</v>
      </c>
      <c r="M147" s="43" t="s">
        <v>154</v>
      </c>
      <c r="N147" s="42" t="s">
        <v>155</v>
      </c>
      <c r="O147" s="43">
        <v>11</v>
      </c>
      <c r="P147" s="43">
        <v>2</v>
      </c>
      <c r="Q147" s="25" t="str">
        <f>VLOOKUP(P147,Key!$E$2:$F$9,2,FALSE)</f>
        <v>Work</v>
      </c>
      <c r="R147" s="25" t="str">
        <f t="shared" si="2"/>
        <v>Work-Work</v>
      </c>
      <c r="S147" s="58"/>
      <c r="T147" s="58">
        <v>0.5</v>
      </c>
      <c r="U147" s="43">
        <v>3</v>
      </c>
      <c r="V147" s="43"/>
      <c r="W147" s="58"/>
      <c r="X147" s="58"/>
      <c r="Y147" s="59" t="s">
        <v>156</v>
      </c>
      <c r="Z147" s="60">
        <v>1000</v>
      </c>
      <c r="AA147" s="25">
        <f>VLOOKUP(F147,Zones!$A$2:$F$2186,6,FALSE)</f>
        <v>1393</v>
      </c>
      <c r="AB147" s="25">
        <f>VLOOKUP(L147,Zones!$A$2:$F$2186,6,FALSE)</f>
        <v>1393</v>
      </c>
    </row>
    <row r="148" spans="2:28">
      <c r="B148" s="40">
        <v>0.62013888888888891</v>
      </c>
      <c r="C148" s="40" t="s">
        <v>762</v>
      </c>
      <c r="D148" s="41">
        <v>1</v>
      </c>
      <c r="E148" s="42">
        <v>2</v>
      </c>
      <c r="F148" s="42" t="s">
        <v>763</v>
      </c>
      <c r="G148" s="43" t="s">
        <v>159</v>
      </c>
      <c r="H148" s="42" t="s">
        <v>155</v>
      </c>
      <c r="I148" s="43">
        <v>1</v>
      </c>
      <c r="J148" s="43">
        <v>1</v>
      </c>
      <c r="K148" s="25" t="str">
        <f>VLOOKUP(J148,Key!$E$2:$F$9,2,FALSE)</f>
        <v>Home</v>
      </c>
      <c r="L148" s="42" t="s">
        <v>564</v>
      </c>
      <c r="M148" s="43" t="s">
        <v>154</v>
      </c>
      <c r="N148" s="42" t="s">
        <v>155</v>
      </c>
      <c r="O148" s="43">
        <v>16</v>
      </c>
      <c r="P148" s="43">
        <v>8</v>
      </c>
      <c r="Q148" s="25" t="str">
        <f>VLOOKUP(P148,Key!$E$2:$F$9,2,FALSE)</f>
        <v>Others</v>
      </c>
      <c r="R148" s="25" t="str">
        <f t="shared" si="2"/>
        <v>Home-Others</v>
      </c>
      <c r="S148" s="58"/>
      <c r="T148" s="58">
        <v>1</v>
      </c>
      <c r="U148" s="43">
        <v>6</v>
      </c>
      <c r="V148" s="43"/>
      <c r="W148" s="58"/>
      <c r="X148" s="58"/>
      <c r="Y148" s="59" t="s">
        <v>156</v>
      </c>
      <c r="Z148" s="60">
        <v>0</v>
      </c>
      <c r="AA148" s="25">
        <f>VLOOKUP(F148,Zones!$A$2:$F$2186,6,FALSE)</f>
        <v>522</v>
      </c>
      <c r="AB148" s="25">
        <f>VLOOKUP(L148,Zones!$A$2:$F$2186,6,FALSE)</f>
        <v>1393</v>
      </c>
    </row>
    <row r="149" spans="2:28">
      <c r="B149" s="40">
        <v>0.65486111111111112</v>
      </c>
      <c r="C149" s="40" t="s">
        <v>764</v>
      </c>
      <c r="D149" s="41">
        <v>8</v>
      </c>
      <c r="E149" s="42">
        <v>2</v>
      </c>
      <c r="F149" s="42" t="s">
        <v>564</v>
      </c>
      <c r="G149" s="43" t="s">
        <v>154</v>
      </c>
      <c r="H149" s="42" t="s">
        <v>155</v>
      </c>
      <c r="I149" s="43">
        <v>15</v>
      </c>
      <c r="J149" s="43">
        <v>2</v>
      </c>
      <c r="K149" s="25" t="str">
        <f>VLOOKUP(J149,Key!$E$2:$F$9,2,FALSE)</f>
        <v>Work</v>
      </c>
      <c r="L149" s="42" t="s">
        <v>765</v>
      </c>
      <c r="M149" s="43" t="s">
        <v>154</v>
      </c>
      <c r="N149" s="42" t="s">
        <v>155</v>
      </c>
      <c r="O149" s="43">
        <v>10</v>
      </c>
      <c r="P149" s="43">
        <v>2</v>
      </c>
      <c r="Q149" s="25" t="str">
        <f>VLOOKUP(P149,Key!$E$2:$F$9,2,FALSE)</f>
        <v>Work</v>
      </c>
      <c r="R149" s="25" t="str">
        <f t="shared" si="2"/>
        <v>Work-Work</v>
      </c>
      <c r="S149" s="58">
        <v>15</v>
      </c>
      <c r="T149" s="58">
        <v>0.5</v>
      </c>
      <c r="U149" s="43">
        <v>2</v>
      </c>
      <c r="V149" s="43"/>
      <c r="W149" s="58"/>
      <c r="X149" s="58"/>
      <c r="Y149" s="59" t="s">
        <v>156</v>
      </c>
      <c r="Z149" s="60">
        <v>1000</v>
      </c>
      <c r="AA149" s="25">
        <f>VLOOKUP(F149,Zones!$A$2:$F$2186,6,FALSE)</f>
        <v>1393</v>
      </c>
      <c r="AB149" s="25">
        <f>VLOOKUP(L149,Zones!$A$2:$F$2186,6,FALSE)</f>
        <v>529</v>
      </c>
    </row>
    <row r="150" spans="2:28">
      <c r="B150" s="40">
        <v>0.65069444444444446</v>
      </c>
      <c r="C150" s="40" t="s">
        <v>766</v>
      </c>
      <c r="D150" s="41">
        <v>7</v>
      </c>
      <c r="E150" s="42">
        <v>1</v>
      </c>
      <c r="F150" s="42" t="s">
        <v>3279</v>
      </c>
      <c r="G150" s="43" t="s">
        <v>154</v>
      </c>
      <c r="H150" s="42" t="s">
        <v>155</v>
      </c>
      <c r="I150" s="43">
        <v>3</v>
      </c>
      <c r="J150" s="43">
        <v>1</v>
      </c>
      <c r="K150" s="25" t="str">
        <f>VLOOKUP(J150,Key!$E$2:$F$9,2,FALSE)</f>
        <v>Home</v>
      </c>
      <c r="L150" s="42" t="s">
        <v>192</v>
      </c>
      <c r="M150" s="43" t="s">
        <v>192</v>
      </c>
      <c r="N150" s="42" t="s">
        <v>155</v>
      </c>
      <c r="O150" s="43">
        <v>11</v>
      </c>
      <c r="P150" s="43">
        <v>4</v>
      </c>
      <c r="Q150" s="25" t="str">
        <f>VLOOKUP(P150,Key!$E$2:$F$9,2,FALSE)</f>
        <v>Commercial</v>
      </c>
      <c r="R150" s="25" t="str">
        <f t="shared" si="2"/>
        <v>Home-Commercial</v>
      </c>
      <c r="S150" s="58"/>
      <c r="T150" s="58">
        <v>0.5</v>
      </c>
      <c r="U150" s="43">
        <v>2</v>
      </c>
      <c r="V150" s="43">
        <v>11</v>
      </c>
      <c r="W150" s="58"/>
      <c r="X150" s="58"/>
      <c r="Y150" s="59" t="s">
        <v>156</v>
      </c>
      <c r="Z150" s="60">
        <v>0</v>
      </c>
      <c r="AA150" s="25">
        <f>VLOOKUP(F150,Zones!$A$2:$F$2186,6,FALSE)</f>
        <v>1397</v>
      </c>
      <c r="AB150" s="25">
        <f>VLOOKUP(L150,Zones!$A$2:$F$2186,6,FALSE)</f>
        <v>881</v>
      </c>
    </row>
    <row r="151" spans="2:28">
      <c r="B151" s="40">
        <v>0.64236111111111105</v>
      </c>
      <c r="C151" s="40" t="s">
        <v>768</v>
      </c>
      <c r="D151" s="41">
        <v>1</v>
      </c>
      <c r="E151" s="42">
        <v>1</v>
      </c>
      <c r="F151" s="42" t="s">
        <v>711</v>
      </c>
      <c r="G151" s="43" t="s">
        <v>712</v>
      </c>
      <c r="H151" s="42" t="s">
        <v>155</v>
      </c>
      <c r="I151" s="43">
        <v>16</v>
      </c>
      <c r="J151" s="43">
        <v>8</v>
      </c>
      <c r="K151" s="25" t="str">
        <f>VLOOKUP(J151,Key!$E$2:$F$9,2,FALSE)</f>
        <v>Others</v>
      </c>
      <c r="L151" s="42" t="s">
        <v>3286</v>
      </c>
      <c r="M151" s="43" t="s">
        <v>154</v>
      </c>
      <c r="N151" s="42" t="s">
        <v>155</v>
      </c>
      <c r="O151" s="43">
        <v>1</v>
      </c>
      <c r="P151" s="43">
        <v>1</v>
      </c>
      <c r="Q151" s="25" t="str">
        <f>VLOOKUP(P151,Key!$E$2:$F$9,2,FALSE)</f>
        <v>Home</v>
      </c>
      <c r="R151" s="25" t="str">
        <f t="shared" si="2"/>
        <v>Others-Home</v>
      </c>
      <c r="S151" s="58">
        <v>50</v>
      </c>
      <c r="T151" s="58">
        <v>1.5</v>
      </c>
      <c r="U151" s="43">
        <v>6</v>
      </c>
      <c r="V151" s="43"/>
      <c r="W151" s="58"/>
      <c r="X151" s="58"/>
      <c r="Y151" s="59" t="s">
        <v>156</v>
      </c>
      <c r="Z151" s="60">
        <v>0</v>
      </c>
      <c r="AA151" s="25">
        <f>VLOOKUP(F151,Zones!$A$2:$F$2186,6,FALSE)</f>
        <v>559</v>
      </c>
      <c r="AB151" s="25">
        <f>VLOOKUP(L151,Zones!$A$2:$F$2186,6,FALSE)</f>
        <v>556</v>
      </c>
    </row>
    <row r="152" spans="2:28">
      <c r="B152" s="40">
        <v>0.64583333333333337</v>
      </c>
      <c r="C152" s="40" t="s">
        <v>770</v>
      </c>
      <c r="D152" s="41">
        <v>7</v>
      </c>
      <c r="E152" s="42">
        <v>4</v>
      </c>
      <c r="F152" s="42" t="s">
        <v>268</v>
      </c>
      <c r="G152" s="43" t="s">
        <v>154</v>
      </c>
      <c r="H152" s="42" t="s">
        <v>155</v>
      </c>
      <c r="I152" s="43">
        <v>1</v>
      </c>
      <c r="J152" s="43">
        <v>1</v>
      </c>
      <c r="K152" s="25" t="str">
        <f>VLOOKUP(J152,Key!$E$2:$F$9,2,FALSE)</f>
        <v>Home</v>
      </c>
      <c r="L152" s="42" t="s">
        <v>147</v>
      </c>
      <c r="M152" s="43" t="s">
        <v>154</v>
      </c>
      <c r="N152" s="42" t="s">
        <v>155</v>
      </c>
      <c r="O152" s="43">
        <v>1</v>
      </c>
      <c r="P152" s="43">
        <v>1</v>
      </c>
      <c r="Q152" s="25" t="str">
        <f>VLOOKUP(P152,Key!$E$2:$F$9,2,FALSE)</f>
        <v>Home</v>
      </c>
      <c r="R152" s="25" t="str">
        <f t="shared" si="2"/>
        <v>Home-Home</v>
      </c>
      <c r="S152" s="58">
        <v>4</v>
      </c>
      <c r="T152" s="58">
        <v>0.1</v>
      </c>
      <c r="U152" s="43">
        <v>2</v>
      </c>
      <c r="V152" s="43">
        <v>11</v>
      </c>
      <c r="W152" s="58"/>
      <c r="X152" s="58"/>
      <c r="Y152" s="59" t="s">
        <v>156</v>
      </c>
      <c r="Z152" s="60">
        <v>2000</v>
      </c>
      <c r="AA152" s="25">
        <f>VLOOKUP(F152,Zones!$A$2:$F$2186,6,FALSE)</f>
        <v>1396</v>
      </c>
      <c r="AB152" s="25">
        <f>VLOOKUP(L152,Zones!$A$2:$F$2186,6,FALSE)</f>
        <v>1402</v>
      </c>
    </row>
    <row r="153" spans="2:28">
      <c r="B153" s="40">
        <v>0.64166666666666672</v>
      </c>
      <c r="C153" s="40" t="s">
        <v>772</v>
      </c>
      <c r="D153" s="41">
        <v>11</v>
      </c>
      <c r="E153" s="42">
        <v>1</v>
      </c>
      <c r="F153" s="42" t="s">
        <v>564</v>
      </c>
      <c r="G153" s="43" t="s">
        <v>154</v>
      </c>
      <c r="H153" s="42" t="s">
        <v>155</v>
      </c>
      <c r="I153" s="43">
        <v>11</v>
      </c>
      <c r="J153" s="43">
        <v>4</v>
      </c>
      <c r="K153" s="25" t="str">
        <f>VLOOKUP(J153,Key!$E$2:$F$9,2,FALSE)</f>
        <v>Commercial</v>
      </c>
      <c r="L153" s="42" t="s">
        <v>168</v>
      </c>
      <c r="M153" s="43" t="s">
        <v>154</v>
      </c>
      <c r="N153" s="42" t="s">
        <v>155</v>
      </c>
      <c r="O153" s="43">
        <v>11</v>
      </c>
      <c r="P153" s="43">
        <v>4</v>
      </c>
      <c r="Q153" s="25" t="str">
        <f>VLOOKUP(P153,Key!$E$2:$F$9,2,FALSE)</f>
        <v>Commercial</v>
      </c>
      <c r="R153" s="25" t="str">
        <f t="shared" si="2"/>
        <v>Commercial-Commercial</v>
      </c>
      <c r="S153" s="58">
        <v>1.3</v>
      </c>
      <c r="T153" s="58">
        <v>0.4</v>
      </c>
      <c r="U153" s="43">
        <v>2</v>
      </c>
      <c r="V153" s="43"/>
      <c r="W153" s="58"/>
      <c r="X153" s="58"/>
      <c r="Y153" s="59" t="s">
        <v>156</v>
      </c>
      <c r="Z153" s="60">
        <v>5000</v>
      </c>
      <c r="AA153" s="25">
        <f>VLOOKUP(F153,Zones!$A$2:$F$2186,6,FALSE)</f>
        <v>1393</v>
      </c>
      <c r="AB153" s="25">
        <f>VLOOKUP(L153,Zones!$A$2:$F$2186,6,FALSE)</f>
        <v>1393</v>
      </c>
    </row>
    <row r="154" spans="2:28">
      <c r="B154" s="40">
        <v>0.62430555555555556</v>
      </c>
      <c r="C154" s="40" t="s">
        <v>773</v>
      </c>
      <c r="D154" s="41">
        <v>1</v>
      </c>
      <c r="E154" s="42">
        <v>1</v>
      </c>
      <c r="F154" s="42" t="s">
        <v>774</v>
      </c>
      <c r="G154" s="43" t="s">
        <v>159</v>
      </c>
      <c r="H154" s="42" t="s">
        <v>155</v>
      </c>
      <c r="I154" s="43">
        <v>1</v>
      </c>
      <c r="J154" s="43">
        <v>1</v>
      </c>
      <c r="K154" s="25" t="str">
        <f>VLOOKUP(J154,Key!$E$2:$F$9,2,FALSE)</f>
        <v>Home</v>
      </c>
      <c r="L154" s="42" t="s">
        <v>394</v>
      </c>
      <c r="M154" s="43" t="s">
        <v>154</v>
      </c>
      <c r="N154" s="42" t="s">
        <v>155</v>
      </c>
      <c r="O154" s="43">
        <v>16</v>
      </c>
      <c r="P154" s="43">
        <v>8</v>
      </c>
      <c r="Q154" s="25" t="str">
        <f>VLOOKUP(P154,Key!$E$2:$F$9,2,FALSE)</f>
        <v>Others</v>
      </c>
      <c r="R154" s="25" t="str">
        <f t="shared" si="2"/>
        <v>Home-Others</v>
      </c>
      <c r="S154" s="58"/>
      <c r="T154" s="58">
        <v>2</v>
      </c>
      <c r="U154" s="43">
        <v>6</v>
      </c>
      <c r="V154" s="43"/>
      <c r="W154" s="58"/>
      <c r="X154" s="58"/>
      <c r="Y154" s="59" t="s">
        <v>741</v>
      </c>
      <c r="Z154" s="60">
        <v>0</v>
      </c>
      <c r="AA154" s="25">
        <f>VLOOKUP(F154,Zones!$A$2:$F$2186,6,FALSE)</f>
        <v>547</v>
      </c>
      <c r="AB154" s="25">
        <f>VLOOKUP(L154,Zones!$A$2:$F$2186,6,FALSE)</f>
        <v>542</v>
      </c>
    </row>
    <row r="155" spans="2:28">
      <c r="B155" s="40">
        <v>0.6166666666666667</v>
      </c>
      <c r="C155" s="40" t="s">
        <v>775</v>
      </c>
      <c r="D155" s="41">
        <v>1</v>
      </c>
      <c r="E155" s="42">
        <v>2</v>
      </c>
      <c r="F155" s="42" t="s">
        <v>564</v>
      </c>
      <c r="G155" s="43" t="s">
        <v>154</v>
      </c>
      <c r="H155" s="42" t="s">
        <v>155</v>
      </c>
      <c r="I155" s="43">
        <v>2</v>
      </c>
      <c r="J155" s="43">
        <v>2</v>
      </c>
      <c r="K155" s="25" t="str">
        <f>VLOOKUP(J155,Key!$E$2:$F$9,2,FALSE)</f>
        <v>Work</v>
      </c>
      <c r="L155" s="42" t="s">
        <v>168</v>
      </c>
      <c r="M155" s="43" t="s">
        <v>154</v>
      </c>
      <c r="N155" s="42" t="s">
        <v>155</v>
      </c>
      <c r="O155" s="43">
        <v>1</v>
      </c>
      <c r="P155" s="43">
        <v>1</v>
      </c>
      <c r="Q155" s="25" t="str">
        <f>VLOOKUP(P155,Key!$E$2:$F$9,2,FALSE)</f>
        <v>Home</v>
      </c>
      <c r="R155" s="25" t="str">
        <f t="shared" si="2"/>
        <v>Work-Home</v>
      </c>
      <c r="S155" s="58">
        <v>3</v>
      </c>
      <c r="T155" s="58">
        <v>0.5</v>
      </c>
      <c r="U155" s="43">
        <v>2</v>
      </c>
      <c r="V155" s="43"/>
      <c r="W155" s="58"/>
      <c r="X155" s="58"/>
      <c r="Y155" s="59" t="s">
        <v>156</v>
      </c>
      <c r="Z155" s="60">
        <v>0</v>
      </c>
      <c r="AA155" s="25">
        <f>VLOOKUP(F155,Zones!$A$2:$F$2186,6,FALSE)</f>
        <v>1393</v>
      </c>
      <c r="AB155" s="25">
        <f>VLOOKUP(L155,Zones!$A$2:$F$2186,6,FALSE)</f>
        <v>1393</v>
      </c>
    </row>
    <row r="156" spans="2:28">
      <c r="B156" s="40">
        <v>0.61111111111111105</v>
      </c>
      <c r="C156" s="40" t="s">
        <v>776</v>
      </c>
      <c r="D156" s="41">
        <v>1</v>
      </c>
      <c r="E156" s="42">
        <v>3</v>
      </c>
      <c r="F156" s="42" t="s">
        <v>207</v>
      </c>
      <c r="G156" s="43" t="s">
        <v>159</v>
      </c>
      <c r="H156" s="42" t="s">
        <v>155</v>
      </c>
      <c r="I156" s="43">
        <v>1</v>
      </c>
      <c r="J156" s="43">
        <v>1</v>
      </c>
      <c r="K156" s="25" t="str">
        <f>VLOOKUP(J156,Key!$E$2:$F$9,2,FALSE)</f>
        <v>Home</v>
      </c>
      <c r="L156" s="42" t="s">
        <v>173</v>
      </c>
      <c r="M156" s="43" t="s">
        <v>154</v>
      </c>
      <c r="N156" s="42" t="s">
        <v>155</v>
      </c>
      <c r="O156" s="43">
        <v>16</v>
      </c>
      <c r="P156" s="43">
        <v>2</v>
      </c>
      <c r="Q156" s="25" t="str">
        <f>VLOOKUP(P156,Key!$E$2:$F$9,2,FALSE)</f>
        <v>Work</v>
      </c>
      <c r="R156" s="25" t="str">
        <f t="shared" si="2"/>
        <v>Home-Work</v>
      </c>
      <c r="S156" s="58">
        <v>20</v>
      </c>
      <c r="T156" s="58">
        <v>1</v>
      </c>
      <c r="U156" s="43">
        <v>5</v>
      </c>
      <c r="V156" s="43"/>
      <c r="W156" s="58"/>
      <c r="X156" s="58"/>
      <c r="Y156" s="59" t="s">
        <v>156</v>
      </c>
      <c r="Z156" s="60">
        <v>2000</v>
      </c>
      <c r="AA156" s="25">
        <f>VLOOKUP(F156,Zones!$A$2:$F$2186,6,FALSE)</f>
        <v>1406</v>
      </c>
      <c r="AB156" s="25">
        <f>VLOOKUP(L156,Zones!$A$2:$F$2186,6,FALSE)</f>
        <v>1408</v>
      </c>
    </row>
    <row r="157" spans="2:28">
      <c r="B157" s="40">
        <v>0.60486111111111118</v>
      </c>
      <c r="C157" s="40" t="s">
        <v>777</v>
      </c>
      <c r="D157" s="41">
        <v>1</v>
      </c>
      <c r="E157" s="42">
        <v>1</v>
      </c>
      <c r="F157" s="42" t="s">
        <v>180</v>
      </c>
      <c r="G157" s="43" t="s">
        <v>154</v>
      </c>
      <c r="H157" s="42" t="s">
        <v>155</v>
      </c>
      <c r="I157" s="43">
        <v>16</v>
      </c>
      <c r="J157" s="43">
        <v>2</v>
      </c>
      <c r="K157" s="25" t="str">
        <f>VLOOKUP(J157,Key!$E$2:$F$9,2,FALSE)</f>
        <v>Work</v>
      </c>
      <c r="L157" s="42" t="s">
        <v>160</v>
      </c>
      <c r="M157" s="43" t="s">
        <v>154</v>
      </c>
      <c r="N157" s="42" t="s">
        <v>155</v>
      </c>
      <c r="O157" s="43">
        <v>1</v>
      </c>
      <c r="P157" s="43">
        <v>1</v>
      </c>
      <c r="Q157" s="25" t="str">
        <f>VLOOKUP(P157,Key!$E$2:$F$9,2,FALSE)</f>
        <v>Home</v>
      </c>
      <c r="R157" s="25" t="str">
        <f t="shared" si="2"/>
        <v>Work-Home</v>
      </c>
      <c r="S157" s="58">
        <v>5</v>
      </c>
      <c r="T157" s="58">
        <v>0.5</v>
      </c>
      <c r="U157" s="43">
        <v>2</v>
      </c>
      <c r="V157" s="43"/>
      <c r="W157" s="58"/>
      <c r="X157" s="58"/>
      <c r="Y157" s="59" t="s">
        <v>156</v>
      </c>
      <c r="Z157" s="60">
        <v>0</v>
      </c>
      <c r="AA157" s="25">
        <f>VLOOKUP(F157,Zones!$A$2:$F$2186,6,FALSE)</f>
        <v>542</v>
      </c>
      <c r="AB157" s="25">
        <f>VLOOKUP(L157,Zones!$A$2:$F$2186,6,FALSE)</f>
        <v>1393</v>
      </c>
    </row>
    <row r="158" spans="2:28">
      <c r="B158" s="40">
        <v>0.71319444444444446</v>
      </c>
      <c r="C158" s="40" t="s">
        <v>778</v>
      </c>
      <c r="D158" s="41">
        <v>2</v>
      </c>
      <c r="E158" s="42">
        <v>2</v>
      </c>
      <c r="F158" s="42" t="s">
        <v>615</v>
      </c>
      <c r="G158" s="43" t="s">
        <v>780</v>
      </c>
      <c r="H158" s="42" t="s">
        <v>155</v>
      </c>
      <c r="I158" s="43">
        <v>16</v>
      </c>
      <c r="J158" s="43">
        <v>8</v>
      </c>
      <c r="K158" s="25" t="str">
        <f>VLOOKUP(J158,Key!$E$2:$F$9,2,FALSE)</f>
        <v>Others</v>
      </c>
      <c r="L158" s="42" t="s">
        <v>168</v>
      </c>
      <c r="M158" s="43" t="s">
        <v>154</v>
      </c>
      <c r="N158" s="42" t="s">
        <v>155</v>
      </c>
      <c r="O158" s="43">
        <v>1</v>
      </c>
      <c r="P158" s="43">
        <v>1</v>
      </c>
      <c r="Q158" s="25" t="str">
        <f>VLOOKUP(P158,Key!$E$2:$F$9,2,FALSE)</f>
        <v>Home</v>
      </c>
      <c r="R158" s="25" t="str">
        <f t="shared" si="2"/>
        <v>Others-Home</v>
      </c>
      <c r="S158" s="58">
        <v>60</v>
      </c>
      <c r="T158" s="58">
        <v>0.8</v>
      </c>
      <c r="U158" s="43">
        <v>2</v>
      </c>
      <c r="V158" s="43"/>
      <c r="W158" s="58"/>
      <c r="X158" s="58"/>
      <c r="Y158" s="59" t="s">
        <v>156</v>
      </c>
      <c r="Z158" s="60">
        <v>2000</v>
      </c>
      <c r="AA158" s="25">
        <f>VLOOKUP(F158,Zones!$A$2:$F$2186,6,FALSE)</f>
        <v>1071</v>
      </c>
      <c r="AB158" s="25">
        <f>VLOOKUP(L158,Zones!$A$2:$F$2186,6,FALSE)</f>
        <v>1393</v>
      </c>
    </row>
    <row r="159" spans="2:28">
      <c r="B159" s="40">
        <v>0.4375</v>
      </c>
      <c r="C159" s="40" t="s">
        <v>781</v>
      </c>
      <c r="D159" s="41">
        <v>1</v>
      </c>
      <c r="E159" s="42">
        <v>4</v>
      </c>
      <c r="F159" s="42" t="s">
        <v>168</v>
      </c>
      <c r="G159" s="43" t="s">
        <v>154</v>
      </c>
      <c r="H159" s="42" t="s">
        <v>155</v>
      </c>
      <c r="I159" s="43">
        <v>1</v>
      </c>
      <c r="J159" s="43">
        <v>1</v>
      </c>
      <c r="K159" s="25" t="str">
        <f>VLOOKUP(J159,Key!$E$2:$F$9,2,FALSE)</f>
        <v>Home</v>
      </c>
      <c r="L159" s="42" t="s">
        <v>168</v>
      </c>
      <c r="M159" s="43" t="s">
        <v>154</v>
      </c>
      <c r="N159" s="42" t="s">
        <v>155</v>
      </c>
      <c r="O159" s="43">
        <v>11</v>
      </c>
      <c r="P159" s="43">
        <v>4</v>
      </c>
      <c r="Q159" s="25" t="str">
        <f>VLOOKUP(P159,Key!$E$2:$F$9,2,FALSE)</f>
        <v>Commercial</v>
      </c>
      <c r="R159" s="25" t="str">
        <f t="shared" si="2"/>
        <v>Home-Commercial</v>
      </c>
      <c r="S159" s="58">
        <v>10</v>
      </c>
      <c r="T159" s="58">
        <v>0.5</v>
      </c>
      <c r="U159" s="43">
        <v>2</v>
      </c>
      <c r="V159" s="43"/>
      <c r="W159" s="58"/>
      <c r="X159" s="58"/>
      <c r="Y159" s="59" t="s">
        <v>156</v>
      </c>
      <c r="Z159" s="60">
        <v>1000</v>
      </c>
      <c r="AA159" s="25">
        <f>VLOOKUP(F159,Zones!$A$2:$F$2186,6,FALSE)</f>
        <v>1393</v>
      </c>
      <c r="AB159" s="25">
        <f>VLOOKUP(L159,Zones!$A$2:$F$2186,6,FALSE)</f>
        <v>1393</v>
      </c>
    </row>
    <row r="160" spans="2:28">
      <c r="B160" s="40">
        <v>0.50277777777777777</v>
      </c>
      <c r="C160" s="40" t="s">
        <v>783</v>
      </c>
      <c r="D160" s="41">
        <v>1</v>
      </c>
      <c r="E160" s="42">
        <v>4</v>
      </c>
      <c r="F160" s="42" t="s">
        <v>177</v>
      </c>
      <c r="G160" s="43" t="s">
        <v>159</v>
      </c>
      <c r="H160" s="42" t="s">
        <v>155</v>
      </c>
      <c r="I160" s="43">
        <v>1</v>
      </c>
      <c r="J160" s="43">
        <v>1</v>
      </c>
      <c r="K160" s="25" t="str">
        <f>VLOOKUP(J160,Key!$E$2:$F$9,2,FALSE)</f>
        <v>Home</v>
      </c>
      <c r="L160" s="42" t="s">
        <v>168</v>
      </c>
      <c r="M160" s="43" t="s">
        <v>154</v>
      </c>
      <c r="N160" s="42" t="s">
        <v>155</v>
      </c>
      <c r="O160" s="43">
        <v>1</v>
      </c>
      <c r="P160" s="43">
        <v>1</v>
      </c>
      <c r="Q160" s="25" t="str">
        <f>VLOOKUP(P160,Key!$E$2:$F$9,2,FALSE)</f>
        <v>Home</v>
      </c>
      <c r="R160" s="25" t="str">
        <f t="shared" si="2"/>
        <v>Home-Home</v>
      </c>
      <c r="S160" s="58"/>
      <c r="T160" s="58">
        <v>1</v>
      </c>
      <c r="U160" s="43">
        <v>6</v>
      </c>
      <c r="V160" s="43"/>
      <c r="W160" s="58"/>
      <c r="X160" s="58"/>
      <c r="Y160" s="59" t="s">
        <v>156</v>
      </c>
      <c r="Z160" s="60">
        <v>1000</v>
      </c>
      <c r="AA160" s="25">
        <f>VLOOKUP(F160,Zones!$A$2:$F$2186,6,FALSE)</f>
        <v>567</v>
      </c>
      <c r="AB160" s="25">
        <f>VLOOKUP(L160,Zones!$A$2:$F$2186,6,FALSE)</f>
        <v>1393</v>
      </c>
    </row>
    <row r="161" spans="2:28">
      <c r="B161" s="40">
        <v>0.68194444444444446</v>
      </c>
      <c r="C161" s="40" t="s">
        <v>784</v>
      </c>
      <c r="D161" s="41">
        <v>8</v>
      </c>
      <c r="E161" s="42">
        <v>3</v>
      </c>
      <c r="F161" s="42" t="s">
        <v>163</v>
      </c>
      <c r="G161" s="43" t="s">
        <v>163</v>
      </c>
      <c r="H161" s="42" t="s">
        <v>155</v>
      </c>
      <c r="I161" s="43">
        <v>1</v>
      </c>
      <c r="J161" s="43">
        <v>1</v>
      </c>
      <c r="K161" s="25" t="str">
        <f>VLOOKUP(J161,Key!$E$2:$F$9,2,FALSE)</f>
        <v>Home</v>
      </c>
      <c r="L161" s="42" t="s">
        <v>147</v>
      </c>
      <c r="M161" s="43" t="s">
        <v>154</v>
      </c>
      <c r="N161" s="42" t="s">
        <v>155</v>
      </c>
      <c r="O161" s="43">
        <v>2</v>
      </c>
      <c r="P161" s="43">
        <v>2</v>
      </c>
      <c r="Q161" s="25" t="str">
        <f>VLOOKUP(P161,Key!$E$2:$F$9,2,FALSE)</f>
        <v>Work</v>
      </c>
      <c r="R161" s="25" t="str">
        <f t="shared" si="2"/>
        <v>Home-Work</v>
      </c>
      <c r="S161" s="58"/>
      <c r="T161" s="58">
        <v>3</v>
      </c>
      <c r="U161" s="43">
        <v>3</v>
      </c>
      <c r="V161" s="43">
        <v>6</v>
      </c>
      <c r="W161" s="58">
        <v>1</v>
      </c>
      <c r="X161" s="58"/>
      <c r="Y161" s="59" t="s">
        <v>156</v>
      </c>
      <c r="Z161" s="60">
        <v>3000</v>
      </c>
      <c r="AA161" s="25">
        <f>VLOOKUP(F161,Zones!$A$2:$F$2186,6,FALSE)</f>
        <v>1064</v>
      </c>
      <c r="AB161" s="25">
        <f>VLOOKUP(L161,Zones!$A$2:$F$2186,6,FALSE)</f>
        <v>1402</v>
      </c>
    </row>
    <row r="162" spans="2:28">
      <c r="B162" s="40">
        <v>0.63541666666666663</v>
      </c>
      <c r="C162" s="40" t="s">
        <v>785</v>
      </c>
      <c r="D162" s="41">
        <v>1</v>
      </c>
      <c r="E162" s="42">
        <v>5</v>
      </c>
      <c r="F162" s="42" t="s">
        <v>177</v>
      </c>
      <c r="G162" s="43" t="s">
        <v>159</v>
      </c>
      <c r="H162" s="42" t="s">
        <v>155</v>
      </c>
      <c r="I162" s="43">
        <v>1</v>
      </c>
      <c r="J162" s="43">
        <v>1</v>
      </c>
      <c r="K162" s="25" t="str">
        <f>VLOOKUP(J162,Key!$E$2:$F$9,2,FALSE)</f>
        <v>Home</v>
      </c>
      <c r="L162" s="42" t="s">
        <v>245</v>
      </c>
      <c r="M162" s="43" t="s">
        <v>154</v>
      </c>
      <c r="N162" s="42" t="s">
        <v>155</v>
      </c>
      <c r="O162" s="43">
        <v>4</v>
      </c>
      <c r="P162" s="43">
        <v>3</v>
      </c>
      <c r="Q162" s="25" t="str">
        <f>VLOOKUP(P162,Key!$E$2:$F$9,2,FALSE)</f>
        <v>Study</v>
      </c>
      <c r="R162" s="25" t="str">
        <f t="shared" si="2"/>
        <v>Home-Study</v>
      </c>
      <c r="S162" s="58">
        <v>11</v>
      </c>
      <c r="T162" s="58">
        <v>0.5</v>
      </c>
      <c r="U162" s="43">
        <v>6</v>
      </c>
      <c r="V162" s="43"/>
      <c r="W162" s="58"/>
      <c r="X162" s="58"/>
      <c r="Y162" s="59" t="s">
        <v>156</v>
      </c>
      <c r="Z162" s="60">
        <v>3000</v>
      </c>
      <c r="AA162" s="25">
        <f>VLOOKUP(F162,Zones!$A$2:$F$2186,6,FALSE)</f>
        <v>567</v>
      </c>
      <c r="AB162" s="25">
        <f>VLOOKUP(L162,Zones!$A$2:$F$2186,6,FALSE)</f>
        <v>1402</v>
      </c>
    </row>
    <row r="163" spans="2:28">
      <c r="B163" s="40">
        <v>0.57013888888888886</v>
      </c>
      <c r="C163" s="40" t="s">
        <v>786</v>
      </c>
      <c r="D163" s="41">
        <v>3</v>
      </c>
      <c r="E163" s="42">
        <v>1</v>
      </c>
      <c r="F163" s="42" t="s">
        <v>295</v>
      </c>
      <c r="G163" s="43" t="s">
        <v>154</v>
      </c>
      <c r="H163" s="42" t="s">
        <v>155</v>
      </c>
      <c r="I163" s="43">
        <v>1</v>
      </c>
      <c r="J163" s="43">
        <v>1</v>
      </c>
      <c r="K163" s="25" t="str">
        <f>VLOOKUP(J163,Key!$E$2:$F$9,2,FALSE)</f>
        <v>Home</v>
      </c>
      <c r="L163" s="42" t="s">
        <v>147</v>
      </c>
      <c r="M163" s="43" t="s">
        <v>154</v>
      </c>
      <c r="N163" s="42" t="s">
        <v>155</v>
      </c>
      <c r="O163" s="43">
        <v>16</v>
      </c>
      <c r="P163" s="43">
        <v>8</v>
      </c>
      <c r="Q163" s="25" t="str">
        <f>VLOOKUP(P163,Key!$E$2:$F$9,2,FALSE)</f>
        <v>Others</v>
      </c>
      <c r="R163" s="25" t="str">
        <f t="shared" si="2"/>
        <v>Home-Others</v>
      </c>
      <c r="S163" s="58">
        <v>15</v>
      </c>
      <c r="T163" s="58">
        <v>0.8</v>
      </c>
      <c r="U163" s="43">
        <v>5</v>
      </c>
      <c r="V163" s="43"/>
      <c r="W163" s="58"/>
      <c r="X163" s="58"/>
      <c r="Y163" s="59" t="s">
        <v>156</v>
      </c>
      <c r="Z163" s="60">
        <v>5000</v>
      </c>
      <c r="AA163" s="25">
        <f>VLOOKUP(F163,Zones!$A$2:$F$2186,6,FALSE)</f>
        <v>1405</v>
      </c>
      <c r="AB163" s="25">
        <f>VLOOKUP(L163,Zones!$A$2:$F$2186,6,FALSE)</f>
        <v>1402</v>
      </c>
    </row>
    <row r="164" spans="2:28">
      <c r="B164" s="40">
        <v>0.43055555555555558</v>
      </c>
      <c r="C164" s="40" t="s">
        <v>284</v>
      </c>
      <c r="D164" s="41">
        <v>1</v>
      </c>
      <c r="E164" s="42">
        <v>2</v>
      </c>
      <c r="F164" s="42" t="s">
        <v>564</v>
      </c>
      <c r="G164" s="43" t="s">
        <v>154</v>
      </c>
      <c r="H164" s="42" t="s">
        <v>155</v>
      </c>
      <c r="I164" s="43">
        <v>9</v>
      </c>
      <c r="J164" s="43">
        <v>4</v>
      </c>
      <c r="K164" s="25" t="str">
        <f>VLOOKUP(J164,Key!$E$2:$F$9,2,FALSE)</f>
        <v>Commercial</v>
      </c>
      <c r="L164" s="42" t="s">
        <v>147</v>
      </c>
      <c r="M164" s="43" t="s">
        <v>154</v>
      </c>
      <c r="N164" s="42" t="s">
        <v>155</v>
      </c>
      <c r="O164" s="43">
        <v>9</v>
      </c>
      <c r="P164" s="43">
        <v>2</v>
      </c>
      <c r="Q164" s="25" t="str">
        <f>VLOOKUP(P164,Key!$E$2:$F$9,2,FALSE)</f>
        <v>Work</v>
      </c>
      <c r="R164" s="25" t="str">
        <f t="shared" si="2"/>
        <v>Commercial-Work</v>
      </c>
      <c r="S164" s="58">
        <v>30</v>
      </c>
      <c r="T164" s="58">
        <v>0.5</v>
      </c>
      <c r="U164" s="43">
        <v>2</v>
      </c>
      <c r="V164" s="43"/>
      <c r="W164" s="58"/>
      <c r="X164" s="58"/>
      <c r="Y164" s="59" t="s">
        <v>156</v>
      </c>
      <c r="Z164" s="60">
        <v>1000</v>
      </c>
      <c r="AA164" s="25">
        <f>VLOOKUP(F164,Zones!$A$2:$F$2186,6,FALSE)</f>
        <v>1393</v>
      </c>
      <c r="AB164" s="25">
        <f>VLOOKUP(L164,Zones!$A$2:$F$2186,6,FALSE)</f>
        <v>1402</v>
      </c>
    </row>
    <row r="165" spans="2:28">
      <c r="B165" s="40">
        <v>0.44722222222222219</v>
      </c>
      <c r="C165" s="40" t="s">
        <v>787</v>
      </c>
      <c r="D165" s="41">
        <v>7</v>
      </c>
      <c r="E165" s="42">
        <v>2</v>
      </c>
      <c r="F165" s="42" t="s">
        <v>564</v>
      </c>
      <c r="G165" s="43" t="s">
        <v>154</v>
      </c>
      <c r="H165" s="42" t="s">
        <v>155</v>
      </c>
      <c r="I165" s="43">
        <v>16</v>
      </c>
      <c r="J165" s="43">
        <v>8</v>
      </c>
      <c r="K165" s="25" t="str">
        <f>VLOOKUP(J165,Key!$E$2:$F$9,2,FALSE)</f>
        <v>Others</v>
      </c>
      <c r="L165" s="42" t="s">
        <v>147</v>
      </c>
      <c r="M165" s="43" t="s">
        <v>154</v>
      </c>
      <c r="N165" s="42" t="s">
        <v>155</v>
      </c>
      <c r="O165" s="43">
        <v>10</v>
      </c>
      <c r="P165" s="43">
        <v>2</v>
      </c>
      <c r="Q165" s="25" t="str">
        <f>VLOOKUP(P165,Key!$E$2:$F$9,2,FALSE)</f>
        <v>Work</v>
      </c>
      <c r="R165" s="25" t="str">
        <f t="shared" si="2"/>
        <v>Others-Work</v>
      </c>
      <c r="S165" s="58">
        <v>5</v>
      </c>
      <c r="T165" s="58">
        <v>0.7</v>
      </c>
      <c r="U165" s="43">
        <v>2</v>
      </c>
      <c r="V165" s="43">
        <v>4</v>
      </c>
      <c r="W165" s="58">
        <v>5</v>
      </c>
      <c r="X165" s="58">
        <v>3</v>
      </c>
      <c r="Y165" s="59" t="s">
        <v>156</v>
      </c>
      <c r="Z165" s="60">
        <v>2000</v>
      </c>
      <c r="AA165" s="25">
        <f>VLOOKUP(F165,Zones!$A$2:$F$2186,6,FALSE)</f>
        <v>1393</v>
      </c>
      <c r="AB165" s="25">
        <f>VLOOKUP(L165,Zones!$A$2:$F$2186,6,FALSE)</f>
        <v>1402</v>
      </c>
    </row>
    <row r="166" spans="2:28">
      <c r="B166" s="40">
        <v>0.4375</v>
      </c>
      <c r="C166" s="40" t="s">
        <v>788</v>
      </c>
      <c r="D166" s="41">
        <v>1</v>
      </c>
      <c r="E166" s="42">
        <v>1</v>
      </c>
      <c r="F166" s="42" t="s">
        <v>184</v>
      </c>
      <c r="G166" s="43" t="s">
        <v>154</v>
      </c>
      <c r="H166" s="42" t="s">
        <v>155</v>
      </c>
      <c r="I166" s="43">
        <v>11</v>
      </c>
      <c r="J166" s="43">
        <v>4</v>
      </c>
      <c r="K166" s="25" t="str">
        <f>VLOOKUP(J166,Key!$E$2:$F$9,2,FALSE)</f>
        <v>Commercial</v>
      </c>
      <c r="L166" s="42" t="s">
        <v>207</v>
      </c>
      <c r="M166" s="43" t="s">
        <v>154</v>
      </c>
      <c r="N166" s="42" t="s">
        <v>155</v>
      </c>
      <c r="O166" s="43">
        <v>1</v>
      </c>
      <c r="P166" s="43">
        <v>1</v>
      </c>
      <c r="Q166" s="25" t="str">
        <f>VLOOKUP(P166,Key!$E$2:$F$9,2,FALSE)</f>
        <v>Home</v>
      </c>
      <c r="R166" s="25" t="str">
        <f t="shared" si="2"/>
        <v>Commercial-Home</v>
      </c>
      <c r="S166" s="58">
        <v>3</v>
      </c>
      <c r="T166" s="58">
        <v>0.5</v>
      </c>
      <c r="U166" s="43">
        <v>2</v>
      </c>
      <c r="V166" s="43"/>
      <c r="W166" s="58"/>
      <c r="X166" s="58"/>
      <c r="Y166" s="59" t="s">
        <v>156</v>
      </c>
      <c r="Z166" s="60">
        <v>3500</v>
      </c>
      <c r="AA166" s="25">
        <f>VLOOKUP(F166,Zones!$A$2:$F$2186,6,FALSE)</f>
        <v>811</v>
      </c>
      <c r="AB166" s="25">
        <f>VLOOKUP(L166,Zones!$A$2:$F$2186,6,FALSE)</f>
        <v>1406</v>
      </c>
    </row>
    <row r="167" spans="2:28">
      <c r="B167" s="40">
        <v>0.43333333333333335</v>
      </c>
      <c r="C167" s="40" t="s">
        <v>789</v>
      </c>
      <c r="D167" s="41">
        <v>1</v>
      </c>
      <c r="E167" s="42">
        <v>3</v>
      </c>
      <c r="F167" s="42" t="s">
        <v>564</v>
      </c>
      <c r="G167" s="43" t="s">
        <v>154</v>
      </c>
      <c r="H167" s="42" t="s">
        <v>155</v>
      </c>
      <c r="I167" s="43">
        <v>11</v>
      </c>
      <c r="J167" s="43">
        <v>4</v>
      </c>
      <c r="K167" s="25" t="str">
        <f>VLOOKUP(J167,Key!$E$2:$F$9,2,FALSE)</f>
        <v>Commercial</v>
      </c>
      <c r="L167" s="42" t="s">
        <v>168</v>
      </c>
      <c r="M167" s="43" t="s">
        <v>154</v>
      </c>
      <c r="N167" s="42" t="s">
        <v>155</v>
      </c>
      <c r="O167" s="43">
        <v>1</v>
      </c>
      <c r="P167" s="43">
        <v>1</v>
      </c>
      <c r="Q167" s="25" t="str">
        <f>VLOOKUP(P167,Key!$E$2:$F$9,2,FALSE)</f>
        <v>Home</v>
      </c>
      <c r="R167" s="25" t="str">
        <f t="shared" si="2"/>
        <v>Commercial-Home</v>
      </c>
      <c r="S167" s="58">
        <v>1.5</v>
      </c>
      <c r="T167" s="58">
        <v>0.3</v>
      </c>
      <c r="U167" s="43">
        <v>2</v>
      </c>
      <c r="V167" s="43"/>
      <c r="W167" s="58"/>
      <c r="X167" s="58"/>
      <c r="Y167" s="59" t="s">
        <v>156</v>
      </c>
      <c r="Z167" s="60">
        <v>4000</v>
      </c>
      <c r="AA167" s="25">
        <f>VLOOKUP(F167,Zones!$A$2:$F$2186,6,FALSE)</f>
        <v>1393</v>
      </c>
      <c r="AB167" s="25">
        <f>VLOOKUP(L167,Zones!$A$2:$F$2186,6,FALSE)</f>
        <v>1393</v>
      </c>
    </row>
    <row r="168" spans="2:28">
      <c r="B168" s="40">
        <v>0.43194444444444446</v>
      </c>
      <c r="C168" s="40" t="s">
        <v>790</v>
      </c>
      <c r="D168" s="41">
        <v>1</v>
      </c>
      <c r="E168" s="42">
        <v>2</v>
      </c>
      <c r="F168" s="42" t="s">
        <v>184</v>
      </c>
      <c r="G168" s="43" t="s">
        <v>154</v>
      </c>
      <c r="H168" s="42" t="s">
        <v>155</v>
      </c>
      <c r="I168" s="43">
        <v>11</v>
      </c>
      <c r="J168" s="43">
        <v>4</v>
      </c>
      <c r="K168" s="25" t="str">
        <f>VLOOKUP(J168,Key!$E$2:$F$9,2,FALSE)</f>
        <v>Commercial</v>
      </c>
      <c r="L168" s="42" t="s">
        <v>207</v>
      </c>
      <c r="M168" s="43" t="s">
        <v>154</v>
      </c>
      <c r="N168" s="42" t="s">
        <v>155</v>
      </c>
      <c r="O168" s="43">
        <v>1</v>
      </c>
      <c r="P168" s="43">
        <v>1</v>
      </c>
      <c r="Q168" s="25" t="str">
        <f>VLOOKUP(P168,Key!$E$2:$F$9,2,FALSE)</f>
        <v>Home</v>
      </c>
      <c r="R168" s="25" t="str">
        <f t="shared" si="2"/>
        <v>Commercial-Home</v>
      </c>
      <c r="S168" s="58">
        <v>5</v>
      </c>
      <c r="T168" s="58">
        <v>0.3</v>
      </c>
      <c r="U168" s="43">
        <v>2</v>
      </c>
      <c r="V168" s="43"/>
      <c r="W168" s="58">
        <v>0.1</v>
      </c>
      <c r="X168" s="58">
        <v>0.2</v>
      </c>
      <c r="Y168" s="59" t="s">
        <v>156</v>
      </c>
      <c r="Z168" s="60">
        <v>1000</v>
      </c>
      <c r="AA168" s="25">
        <f>VLOOKUP(F168,Zones!$A$2:$F$2186,6,FALSE)</f>
        <v>811</v>
      </c>
      <c r="AB168" s="25">
        <f>VLOOKUP(L168,Zones!$A$2:$F$2186,6,FALSE)</f>
        <v>1406</v>
      </c>
    </row>
    <row r="169" spans="2:28">
      <c r="B169" s="40">
        <v>0.4680555555555555</v>
      </c>
      <c r="C169" s="40" t="s">
        <v>791</v>
      </c>
      <c r="D169" s="41">
        <v>3</v>
      </c>
      <c r="E169" s="42">
        <v>1</v>
      </c>
      <c r="F169" s="42" t="s">
        <v>681</v>
      </c>
      <c r="G169" s="43" t="s">
        <v>159</v>
      </c>
      <c r="H169" s="42" t="s">
        <v>155</v>
      </c>
      <c r="I169" s="43">
        <v>1</v>
      </c>
      <c r="J169" s="43">
        <v>1</v>
      </c>
      <c r="K169" s="25" t="str">
        <f>VLOOKUP(J169,Key!$E$2:$F$9,2,FALSE)</f>
        <v>Home</v>
      </c>
      <c r="L169" s="42" t="s">
        <v>792</v>
      </c>
      <c r="M169" s="43" t="s">
        <v>792</v>
      </c>
      <c r="N169" s="42" t="s">
        <v>155</v>
      </c>
      <c r="O169" s="43">
        <v>2</v>
      </c>
      <c r="P169" s="43">
        <v>2</v>
      </c>
      <c r="Q169" s="25" t="str">
        <f>VLOOKUP(P169,Key!$E$2:$F$9,2,FALSE)</f>
        <v>Work</v>
      </c>
      <c r="R169" s="25" t="str">
        <f t="shared" si="2"/>
        <v>Home-Work</v>
      </c>
      <c r="S169" s="58">
        <v>400</v>
      </c>
      <c r="T169" s="58">
        <v>4</v>
      </c>
      <c r="U169" s="43">
        <v>6</v>
      </c>
      <c r="V169" s="43"/>
      <c r="W169" s="58">
        <v>0.1</v>
      </c>
      <c r="X169" s="58"/>
      <c r="Y169" s="59" t="s">
        <v>156</v>
      </c>
      <c r="Z169" s="60">
        <v>200</v>
      </c>
      <c r="AA169" s="25">
        <f>VLOOKUP(F169,Zones!$A$2:$F$2186,6,FALSE)</f>
        <v>577</v>
      </c>
      <c r="AB169" s="25">
        <f>VLOOKUP(L169,Zones!$A$2:$F$2186,6,FALSE)</f>
        <v>868</v>
      </c>
    </row>
    <row r="170" spans="2:28">
      <c r="B170" s="40">
        <v>0.47500000000000003</v>
      </c>
      <c r="C170" s="40" t="s">
        <v>258</v>
      </c>
      <c r="D170" s="41">
        <v>1</v>
      </c>
      <c r="E170" s="42">
        <v>2</v>
      </c>
      <c r="F170" s="42" t="s">
        <v>184</v>
      </c>
      <c r="G170" s="43" t="s">
        <v>154</v>
      </c>
      <c r="H170" s="42" t="s">
        <v>155</v>
      </c>
      <c r="I170" s="43">
        <v>11</v>
      </c>
      <c r="J170" s="43">
        <v>4</v>
      </c>
      <c r="K170" s="25" t="str">
        <f>VLOOKUP(J170,Key!$E$2:$F$9,2,FALSE)</f>
        <v>Commercial</v>
      </c>
      <c r="L170" s="42" t="s">
        <v>168</v>
      </c>
      <c r="M170" s="43" t="s">
        <v>154</v>
      </c>
      <c r="N170" s="42" t="s">
        <v>155</v>
      </c>
      <c r="O170" s="43">
        <v>1</v>
      </c>
      <c r="P170" s="43">
        <v>1</v>
      </c>
      <c r="Q170" s="25" t="str">
        <f>VLOOKUP(P170,Key!$E$2:$F$9,2,FALSE)</f>
        <v>Home</v>
      </c>
      <c r="R170" s="25" t="str">
        <f t="shared" si="2"/>
        <v>Commercial-Home</v>
      </c>
      <c r="S170" s="58">
        <v>2</v>
      </c>
      <c r="T170" s="58">
        <v>0.2</v>
      </c>
      <c r="U170" s="43">
        <v>2</v>
      </c>
      <c r="V170" s="43"/>
      <c r="W170" s="58"/>
      <c r="X170" s="58"/>
      <c r="Y170" s="59" t="s">
        <v>156</v>
      </c>
      <c r="Z170" s="60">
        <v>1000</v>
      </c>
      <c r="AA170" s="25">
        <f>VLOOKUP(F170,Zones!$A$2:$F$2186,6,FALSE)</f>
        <v>811</v>
      </c>
      <c r="AB170" s="25">
        <f>VLOOKUP(L170,Zones!$A$2:$F$2186,6,FALSE)</f>
        <v>1393</v>
      </c>
    </row>
    <row r="171" spans="2:28">
      <c r="B171" s="40">
        <v>0.46319444444444446</v>
      </c>
      <c r="C171" s="40" t="s">
        <v>793</v>
      </c>
      <c r="D171" s="41">
        <v>1</v>
      </c>
      <c r="E171" s="42">
        <v>2</v>
      </c>
      <c r="F171" s="42" t="s">
        <v>184</v>
      </c>
      <c r="G171" s="43" t="s">
        <v>154</v>
      </c>
      <c r="H171" s="42" t="s">
        <v>155</v>
      </c>
      <c r="I171" s="43">
        <v>11</v>
      </c>
      <c r="J171" s="43">
        <v>4</v>
      </c>
      <c r="K171" s="25" t="str">
        <f>VLOOKUP(J171,Key!$E$2:$F$9,2,FALSE)</f>
        <v>Commercial</v>
      </c>
      <c r="L171" s="42" t="s">
        <v>168</v>
      </c>
      <c r="M171" s="43" t="s">
        <v>154</v>
      </c>
      <c r="N171" s="42" t="s">
        <v>155</v>
      </c>
      <c r="O171" s="43">
        <v>1</v>
      </c>
      <c r="P171" s="43">
        <v>1</v>
      </c>
      <c r="Q171" s="25" t="str">
        <f>VLOOKUP(P171,Key!$E$2:$F$9,2,FALSE)</f>
        <v>Home</v>
      </c>
      <c r="R171" s="25" t="str">
        <f t="shared" si="2"/>
        <v>Commercial-Home</v>
      </c>
      <c r="S171" s="58">
        <v>5</v>
      </c>
      <c r="T171" s="58">
        <v>0.2</v>
      </c>
      <c r="U171" s="43">
        <v>2</v>
      </c>
      <c r="V171" s="43"/>
      <c r="W171" s="58"/>
      <c r="X171" s="58"/>
      <c r="Y171" s="59" t="s">
        <v>156</v>
      </c>
      <c r="Z171" s="60">
        <v>1000</v>
      </c>
      <c r="AA171" s="25">
        <f>VLOOKUP(F171,Zones!$A$2:$F$2186,6,FALSE)</f>
        <v>811</v>
      </c>
      <c r="AB171" s="25">
        <f>VLOOKUP(L171,Zones!$A$2:$F$2186,6,FALSE)</f>
        <v>1393</v>
      </c>
    </row>
    <row r="172" spans="2:28">
      <c r="B172" s="40">
        <v>0.42638888888888887</v>
      </c>
      <c r="C172" s="40" t="s">
        <v>794</v>
      </c>
      <c r="D172" s="41">
        <v>9</v>
      </c>
      <c r="E172" s="42">
        <v>2</v>
      </c>
      <c r="F172" s="42" t="s">
        <v>184</v>
      </c>
      <c r="G172" s="43" t="s">
        <v>154</v>
      </c>
      <c r="H172" s="42" t="s">
        <v>155</v>
      </c>
      <c r="I172" s="43">
        <v>3</v>
      </c>
      <c r="J172" s="43">
        <v>2</v>
      </c>
      <c r="K172" s="25" t="str">
        <f>VLOOKUP(J172,Key!$E$2:$F$9,2,FALSE)</f>
        <v>Work</v>
      </c>
      <c r="L172" s="42" t="s">
        <v>622</v>
      </c>
      <c r="M172" s="43" t="s">
        <v>154</v>
      </c>
      <c r="N172" s="42" t="s">
        <v>155</v>
      </c>
      <c r="O172" s="43">
        <v>12</v>
      </c>
      <c r="P172" s="43">
        <v>2</v>
      </c>
      <c r="Q172" s="25" t="str">
        <f>VLOOKUP(P172,Key!$E$2:$F$9,2,FALSE)</f>
        <v>Work</v>
      </c>
      <c r="R172" s="25" t="str">
        <f t="shared" si="2"/>
        <v>Work-Work</v>
      </c>
      <c r="S172" s="58">
        <v>48</v>
      </c>
      <c r="T172" s="58">
        <v>2</v>
      </c>
      <c r="U172" s="43">
        <v>2</v>
      </c>
      <c r="V172" s="43">
        <v>4</v>
      </c>
      <c r="W172" s="58">
        <v>2</v>
      </c>
      <c r="X172" s="58"/>
      <c r="Y172" s="59" t="s">
        <v>156</v>
      </c>
      <c r="Z172" s="60">
        <v>2000</v>
      </c>
      <c r="AA172" s="25">
        <f>VLOOKUP(F172,Zones!$A$2:$F$2186,6,FALSE)</f>
        <v>811</v>
      </c>
      <c r="AB172" s="25">
        <f>VLOOKUP(L172,Zones!$A$2:$F$2186,6,FALSE)</f>
        <v>1402</v>
      </c>
    </row>
    <row r="173" spans="2:28">
      <c r="B173" s="40">
        <v>0.45833333333333331</v>
      </c>
      <c r="C173" s="40" t="s">
        <v>795</v>
      </c>
      <c r="D173" s="41">
        <v>7</v>
      </c>
      <c r="E173" s="42">
        <v>1</v>
      </c>
      <c r="F173" s="42" t="s">
        <v>564</v>
      </c>
      <c r="G173" s="43" t="s">
        <v>154</v>
      </c>
      <c r="H173" s="42" t="s">
        <v>155</v>
      </c>
      <c r="I173" s="43">
        <v>15</v>
      </c>
      <c r="J173" s="43">
        <v>2</v>
      </c>
      <c r="K173" s="25" t="str">
        <f>VLOOKUP(J173,Key!$E$2:$F$9,2,FALSE)</f>
        <v>Work</v>
      </c>
      <c r="L173" s="42" t="s">
        <v>168</v>
      </c>
      <c r="M173" s="43" t="s">
        <v>154</v>
      </c>
      <c r="N173" s="42" t="s">
        <v>155</v>
      </c>
      <c r="O173" s="43">
        <v>10</v>
      </c>
      <c r="P173" s="43">
        <v>2</v>
      </c>
      <c r="Q173" s="25" t="str">
        <f>VLOOKUP(P173,Key!$E$2:$F$9,2,FALSE)</f>
        <v>Work</v>
      </c>
      <c r="R173" s="25" t="str">
        <f t="shared" si="2"/>
        <v>Work-Work</v>
      </c>
      <c r="S173" s="58">
        <v>1.4</v>
      </c>
      <c r="T173" s="58"/>
      <c r="U173" s="43">
        <v>2</v>
      </c>
      <c r="V173" s="43">
        <v>4</v>
      </c>
      <c r="W173" s="58">
        <v>3</v>
      </c>
      <c r="X173" s="58"/>
      <c r="Y173" s="59" t="s">
        <v>156</v>
      </c>
      <c r="Z173" s="60">
        <v>2000</v>
      </c>
      <c r="AA173" s="25">
        <f>VLOOKUP(F173,Zones!$A$2:$F$2186,6,FALSE)</f>
        <v>1393</v>
      </c>
      <c r="AB173" s="25">
        <f>VLOOKUP(L173,Zones!$A$2:$F$2186,6,FALSE)</f>
        <v>1393</v>
      </c>
    </row>
    <row r="174" spans="2:28">
      <c r="B174" s="40">
        <v>0.4597222222222222</v>
      </c>
      <c r="C174" s="40" t="s">
        <v>796</v>
      </c>
      <c r="D174" s="41">
        <v>2</v>
      </c>
      <c r="E174" s="42">
        <v>1</v>
      </c>
      <c r="F174" s="42" t="s">
        <v>248</v>
      </c>
      <c r="G174" s="43" t="s">
        <v>248</v>
      </c>
      <c r="H174" s="42" t="s">
        <v>155</v>
      </c>
      <c r="I174" s="43">
        <v>5</v>
      </c>
      <c r="J174" s="43">
        <v>7</v>
      </c>
      <c r="K174" s="25" t="str">
        <f>VLOOKUP(J174,Key!$E$2:$F$9,2,FALSE)</f>
        <v>Hospital</v>
      </c>
      <c r="L174" s="42" t="s">
        <v>159</v>
      </c>
      <c r="M174" s="43" t="s">
        <v>159</v>
      </c>
      <c r="N174" s="42" t="s">
        <v>155</v>
      </c>
      <c r="O174" s="43">
        <v>1</v>
      </c>
      <c r="P174" s="43">
        <v>1</v>
      </c>
      <c r="Q174" s="25" t="str">
        <f>VLOOKUP(P174,Key!$E$2:$F$9,2,FALSE)</f>
        <v>Home</v>
      </c>
      <c r="R174" s="25" t="str">
        <f t="shared" si="2"/>
        <v>Hospital-Home</v>
      </c>
      <c r="S174" s="58">
        <v>500</v>
      </c>
      <c r="T174" s="58">
        <v>8</v>
      </c>
      <c r="U174" s="43">
        <v>4</v>
      </c>
      <c r="V174" s="43"/>
      <c r="W174" s="58"/>
      <c r="X174" s="58"/>
      <c r="Y174" s="59" t="s">
        <v>156</v>
      </c>
      <c r="Z174" s="60">
        <v>1000</v>
      </c>
      <c r="AA174" s="25">
        <f>VLOOKUP(F174,Zones!$A$2:$F$2186,6,FALSE)</f>
        <v>94</v>
      </c>
      <c r="AB174" s="25">
        <f>VLOOKUP(L174,Zones!$A$2:$F$2186,6,FALSE)</f>
        <v>521</v>
      </c>
    </row>
    <row r="175" spans="2:28">
      <c r="B175" s="40">
        <v>0.44166666666666665</v>
      </c>
      <c r="C175" s="40" t="s">
        <v>797</v>
      </c>
      <c r="D175" s="41">
        <v>1</v>
      </c>
      <c r="E175" s="42">
        <v>2</v>
      </c>
      <c r="F175" s="42" t="s">
        <v>564</v>
      </c>
      <c r="G175" s="43" t="s">
        <v>154</v>
      </c>
      <c r="H175" s="42" t="s">
        <v>155</v>
      </c>
      <c r="I175" s="43">
        <v>11</v>
      </c>
      <c r="J175" s="43">
        <v>4</v>
      </c>
      <c r="K175" s="25" t="str">
        <f>VLOOKUP(J175,Key!$E$2:$F$9,2,FALSE)</f>
        <v>Commercial</v>
      </c>
      <c r="L175" s="42" t="s">
        <v>173</v>
      </c>
      <c r="M175" s="43" t="s">
        <v>154</v>
      </c>
      <c r="N175" s="42" t="s">
        <v>155</v>
      </c>
      <c r="O175" s="43">
        <v>1</v>
      </c>
      <c r="P175" s="43">
        <v>1</v>
      </c>
      <c r="Q175" s="25" t="str">
        <f>VLOOKUP(P175,Key!$E$2:$F$9,2,FALSE)</f>
        <v>Home</v>
      </c>
      <c r="R175" s="25" t="str">
        <f t="shared" si="2"/>
        <v>Commercial-Home</v>
      </c>
      <c r="S175" s="58">
        <v>3</v>
      </c>
      <c r="T175" s="58">
        <v>0.2</v>
      </c>
      <c r="U175" s="43">
        <v>3</v>
      </c>
      <c r="V175" s="43"/>
      <c r="W175" s="58"/>
      <c r="X175" s="58"/>
      <c r="Y175" s="59" t="s">
        <v>156</v>
      </c>
      <c r="Z175" s="60">
        <v>1500</v>
      </c>
      <c r="AA175" s="25">
        <f>VLOOKUP(F175,Zones!$A$2:$F$2186,6,FALSE)</f>
        <v>1393</v>
      </c>
      <c r="AB175" s="25">
        <f>VLOOKUP(L175,Zones!$A$2:$F$2186,6,FALSE)</f>
        <v>1408</v>
      </c>
    </row>
    <row r="176" spans="2:28">
      <c r="B176" s="40">
        <v>0.46319444444444446</v>
      </c>
      <c r="C176" s="40" t="s">
        <v>798</v>
      </c>
      <c r="D176" s="41">
        <v>7</v>
      </c>
      <c r="E176" s="42">
        <v>2</v>
      </c>
      <c r="F176" s="42" t="s">
        <v>799</v>
      </c>
      <c r="G176" s="43" t="s">
        <v>163</v>
      </c>
      <c r="H176" s="42" t="s">
        <v>155</v>
      </c>
      <c r="I176" s="43">
        <v>1</v>
      </c>
      <c r="J176" s="43">
        <v>1</v>
      </c>
      <c r="K176" s="25" t="str">
        <f>VLOOKUP(J176,Key!$E$2:$F$9,2,FALSE)</f>
        <v>Home</v>
      </c>
      <c r="L176" s="42" t="s">
        <v>147</v>
      </c>
      <c r="M176" s="43" t="s">
        <v>154</v>
      </c>
      <c r="N176" s="42" t="s">
        <v>155</v>
      </c>
      <c r="O176" s="43">
        <v>7</v>
      </c>
      <c r="P176" s="43">
        <v>4</v>
      </c>
      <c r="Q176" s="25" t="str">
        <f>VLOOKUP(P176,Key!$E$2:$F$9,2,FALSE)</f>
        <v>Commercial</v>
      </c>
      <c r="R176" s="25" t="str">
        <f t="shared" si="2"/>
        <v>Home-Commercial</v>
      </c>
      <c r="S176" s="58"/>
      <c r="T176" s="58">
        <v>1</v>
      </c>
      <c r="U176" s="43">
        <v>4</v>
      </c>
      <c r="V176" s="43">
        <v>1</v>
      </c>
      <c r="W176" s="58">
        <v>0.1</v>
      </c>
      <c r="X176" s="58">
        <v>0.15</v>
      </c>
      <c r="Y176" s="59" t="s">
        <v>156</v>
      </c>
      <c r="Z176" s="60"/>
      <c r="AA176" s="25">
        <f>VLOOKUP(F176,Zones!$A$2:$F$2186,6,FALSE)</f>
        <v>1405</v>
      </c>
      <c r="AB176" s="25">
        <f>VLOOKUP(L176,Zones!$A$2:$F$2186,6,FALSE)</f>
        <v>1402</v>
      </c>
    </row>
    <row r="177" spans="2:28">
      <c r="B177" s="40">
        <v>0.5</v>
      </c>
      <c r="C177" s="40" t="s">
        <v>800</v>
      </c>
      <c r="D177" s="41">
        <v>3</v>
      </c>
      <c r="E177" s="42">
        <v>2</v>
      </c>
      <c r="F177" s="42" t="s">
        <v>801</v>
      </c>
      <c r="G177" s="43" t="s">
        <v>159</v>
      </c>
      <c r="H177" s="42" t="s">
        <v>155</v>
      </c>
      <c r="I177" s="43">
        <v>9</v>
      </c>
      <c r="J177" s="43">
        <v>4</v>
      </c>
      <c r="K177" s="25" t="str">
        <f>VLOOKUP(J177,Key!$E$2:$F$9,2,FALSE)</f>
        <v>Commercial</v>
      </c>
      <c r="L177" s="42" t="s">
        <v>173</v>
      </c>
      <c r="M177" s="43" t="s">
        <v>154</v>
      </c>
      <c r="N177" s="42" t="s">
        <v>155</v>
      </c>
      <c r="O177" s="43">
        <v>1</v>
      </c>
      <c r="P177" s="43">
        <v>1</v>
      </c>
      <c r="Q177" s="25" t="str">
        <f>VLOOKUP(P177,Key!$E$2:$F$9,2,FALSE)</f>
        <v>Home</v>
      </c>
      <c r="R177" s="25" t="str">
        <f t="shared" si="2"/>
        <v>Commercial-Home</v>
      </c>
      <c r="S177" s="58">
        <v>20</v>
      </c>
      <c r="T177" s="58">
        <v>1</v>
      </c>
      <c r="U177" s="43">
        <v>3</v>
      </c>
      <c r="V177" s="43">
        <v>11</v>
      </c>
      <c r="W177" s="58"/>
      <c r="X177" s="58"/>
      <c r="Y177" s="59" t="s">
        <v>156</v>
      </c>
      <c r="Z177" s="60">
        <v>1000</v>
      </c>
      <c r="AA177" s="25">
        <f>VLOOKUP(F177,Zones!$A$2:$F$2186,6,FALSE)</f>
        <v>541</v>
      </c>
      <c r="AB177" s="25">
        <f>VLOOKUP(L177,Zones!$A$2:$F$2186,6,FALSE)</f>
        <v>1408</v>
      </c>
    </row>
    <row r="178" spans="2:28">
      <c r="B178" s="40">
        <v>0.55833333333333335</v>
      </c>
      <c r="C178" s="40" t="s">
        <v>802</v>
      </c>
      <c r="D178" s="41">
        <v>4</v>
      </c>
      <c r="E178" s="42">
        <v>14</v>
      </c>
      <c r="F178" s="42" t="s">
        <v>564</v>
      </c>
      <c r="G178" s="43" t="s">
        <v>154</v>
      </c>
      <c r="H178" s="42" t="s">
        <v>155</v>
      </c>
      <c r="I178" s="43">
        <v>6</v>
      </c>
      <c r="J178" s="43">
        <v>4</v>
      </c>
      <c r="K178" s="25" t="str">
        <f>VLOOKUP(J178,Key!$E$2:$F$9,2,FALSE)</f>
        <v>Commercial</v>
      </c>
      <c r="L178" s="42" t="s">
        <v>147</v>
      </c>
      <c r="M178" s="43" t="s">
        <v>154</v>
      </c>
      <c r="N178" s="42" t="s">
        <v>155</v>
      </c>
      <c r="O178" s="43">
        <v>6</v>
      </c>
      <c r="P178" s="43">
        <v>4</v>
      </c>
      <c r="Q178" s="25" t="str">
        <f>VLOOKUP(P178,Key!$E$2:$F$9,2,FALSE)</f>
        <v>Commercial</v>
      </c>
      <c r="R178" s="25" t="str">
        <f t="shared" si="2"/>
        <v>Commercial-Commercial</v>
      </c>
      <c r="S178" s="58">
        <v>1.5</v>
      </c>
      <c r="T178" s="58">
        <v>0.5</v>
      </c>
      <c r="U178" s="43">
        <v>2</v>
      </c>
      <c r="V178" s="43"/>
      <c r="W178" s="58"/>
      <c r="X178" s="58"/>
      <c r="Y178" s="59" t="s">
        <v>156</v>
      </c>
      <c r="Z178" s="60">
        <v>3000</v>
      </c>
      <c r="AA178" s="25">
        <f>VLOOKUP(F178,Zones!$A$2:$F$2186,6,FALSE)</f>
        <v>1393</v>
      </c>
      <c r="AB178" s="25">
        <f>VLOOKUP(L178,Zones!$A$2:$F$2186,6,FALSE)</f>
        <v>1402</v>
      </c>
    </row>
    <row r="179" spans="2:28">
      <c r="B179" s="40">
        <v>0.64722222222222225</v>
      </c>
      <c r="C179" s="40" t="s">
        <v>803</v>
      </c>
      <c r="D179" s="41">
        <v>1</v>
      </c>
      <c r="E179" s="42">
        <v>1</v>
      </c>
      <c r="F179" s="42" t="s">
        <v>184</v>
      </c>
      <c r="G179" s="43" t="s">
        <v>154</v>
      </c>
      <c r="H179" s="42" t="s">
        <v>155</v>
      </c>
      <c r="I179" s="43">
        <v>2</v>
      </c>
      <c r="J179" s="43">
        <v>2</v>
      </c>
      <c r="K179" s="25" t="str">
        <f>VLOOKUP(J179,Key!$E$2:$F$9,2,FALSE)</f>
        <v>Work</v>
      </c>
      <c r="L179" s="42" t="s">
        <v>168</v>
      </c>
      <c r="M179" s="43" t="s">
        <v>154</v>
      </c>
      <c r="N179" s="42" t="s">
        <v>155</v>
      </c>
      <c r="O179" s="43">
        <v>1</v>
      </c>
      <c r="P179" s="43">
        <v>1</v>
      </c>
      <c r="Q179" s="25" t="str">
        <f>VLOOKUP(P179,Key!$E$2:$F$9,2,FALSE)</f>
        <v>Home</v>
      </c>
      <c r="R179" s="25" t="str">
        <f t="shared" si="2"/>
        <v>Work-Home</v>
      </c>
      <c r="S179" s="58">
        <v>1.8</v>
      </c>
      <c r="T179" s="58">
        <v>0.3</v>
      </c>
      <c r="U179" s="43">
        <v>2</v>
      </c>
      <c r="V179" s="43"/>
      <c r="W179" s="58"/>
      <c r="X179" s="58"/>
      <c r="Y179" s="59" t="s">
        <v>156</v>
      </c>
      <c r="Z179" s="60">
        <v>2000</v>
      </c>
      <c r="AA179" s="25">
        <f>VLOOKUP(F179,Zones!$A$2:$F$2186,6,FALSE)</f>
        <v>811</v>
      </c>
      <c r="AB179" s="25">
        <f>VLOOKUP(L179,Zones!$A$2:$F$2186,6,FALSE)</f>
        <v>1393</v>
      </c>
    </row>
    <row r="180" spans="2:28">
      <c r="B180" s="40">
        <v>0.64236111111111105</v>
      </c>
      <c r="C180" s="40" t="s">
        <v>642</v>
      </c>
      <c r="D180" s="41">
        <v>1</v>
      </c>
      <c r="E180" s="42">
        <v>3</v>
      </c>
      <c r="F180" s="42" t="s">
        <v>241</v>
      </c>
      <c r="G180" s="43" t="s">
        <v>154</v>
      </c>
      <c r="H180" s="42" t="s">
        <v>155</v>
      </c>
      <c r="I180" s="43">
        <v>1</v>
      </c>
      <c r="J180" s="43">
        <v>1</v>
      </c>
      <c r="K180" s="25" t="str">
        <f>VLOOKUP(J180,Key!$E$2:$F$9,2,FALSE)</f>
        <v>Home</v>
      </c>
      <c r="L180" s="42" t="s">
        <v>168</v>
      </c>
      <c r="M180" s="43" t="s">
        <v>154</v>
      </c>
      <c r="N180" s="42" t="s">
        <v>155</v>
      </c>
      <c r="O180" s="43">
        <v>9</v>
      </c>
      <c r="P180" s="43">
        <v>8</v>
      </c>
      <c r="Q180" s="25" t="str">
        <f>VLOOKUP(P180,Key!$E$2:$F$9,2,FALSE)</f>
        <v>Others</v>
      </c>
      <c r="R180" s="25" t="str">
        <f t="shared" si="2"/>
        <v>Home-Others</v>
      </c>
      <c r="S180" s="58">
        <v>2.8</v>
      </c>
      <c r="T180" s="58">
        <v>0.5</v>
      </c>
      <c r="U180" s="43">
        <v>2</v>
      </c>
      <c r="V180" s="43"/>
      <c r="W180" s="58"/>
      <c r="X180" s="58"/>
      <c r="Y180" s="59" t="s">
        <v>156</v>
      </c>
      <c r="Z180" s="60">
        <v>2000</v>
      </c>
      <c r="AA180" s="25">
        <f>VLOOKUP(F180,Zones!$A$2:$F$2186,6,FALSE)</f>
        <v>542</v>
      </c>
      <c r="AB180" s="25">
        <f>VLOOKUP(L180,Zones!$A$2:$F$2186,6,FALSE)</f>
        <v>1393</v>
      </c>
    </row>
    <row r="181" spans="2:28">
      <c r="B181" s="40">
        <v>0.60555555555555551</v>
      </c>
      <c r="C181" s="40" t="s">
        <v>804</v>
      </c>
      <c r="D181" s="41">
        <v>1</v>
      </c>
      <c r="E181" s="42">
        <v>3</v>
      </c>
      <c r="F181" s="42" t="s">
        <v>221</v>
      </c>
      <c r="G181" s="43" t="s">
        <v>154</v>
      </c>
      <c r="H181" s="42" t="s">
        <v>155</v>
      </c>
      <c r="I181" s="43">
        <v>1</v>
      </c>
      <c r="J181" s="43">
        <v>1</v>
      </c>
      <c r="K181" s="25" t="str">
        <f>VLOOKUP(J181,Key!$E$2:$F$9,2,FALSE)</f>
        <v>Home</v>
      </c>
      <c r="L181" s="42" t="s">
        <v>805</v>
      </c>
      <c r="M181" s="43" t="s">
        <v>254</v>
      </c>
      <c r="N181" s="42" t="s">
        <v>155</v>
      </c>
      <c r="O181" s="43">
        <v>1</v>
      </c>
      <c r="P181" s="43">
        <v>1</v>
      </c>
      <c r="Q181" s="25" t="str">
        <f>VLOOKUP(P181,Key!$E$2:$F$9,2,FALSE)</f>
        <v>Home</v>
      </c>
      <c r="R181" s="25" t="str">
        <f t="shared" ref="R181:R199" si="3">K181&amp;"-"&amp;Q181</f>
        <v>Home-Home</v>
      </c>
      <c r="S181" s="58">
        <v>115</v>
      </c>
      <c r="T181" s="58">
        <v>3</v>
      </c>
      <c r="U181" s="43">
        <v>4</v>
      </c>
      <c r="V181" s="43"/>
      <c r="W181" s="58"/>
      <c r="X181" s="58"/>
      <c r="Y181" s="59" t="s">
        <v>156</v>
      </c>
      <c r="Z181" s="60">
        <v>5000</v>
      </c>
      <c r="AA181" s="25">
        <f>VLOOKUP(F181,Zones!$A$2:$F$2186,6,FALSE)</f>
        <v>1387</v>
      </c>
      <c r="AB181" s="25">
        <f>VLOOKUP(L181,Zones!$A$2:$F$2186,6,FALSE)</f>
        <v>882</v>
      </c>
    </row>
    <row r="182" spans="2:28">
      <c r="B182" s="40">
        <v>0.56111111111111112</v>
      </c>
      <c r="C182" s="40" t="s">
        <v>806</v>
      </c>
      <c r="D182" s="41">
        <v>1</v>
      </c>
      <c r="E182" s="42">
        <v>4</v>
      </c>
      <c r="F182" s="42" t="s">
        <v>807</v>
      </c>
      <c r="G182" s="43" t="s">
        <v>163</v>
      </c>
      <c r="H182" s="42" t="s">
        <v>155</v>
      </c>
      <c r="I182" s="43">
        <v>1</v>
      </c>
      <c r="J182" s="43">
        <v>1</v>
      </c>
      <c r="K182" s="25" t="str">
        <f>VLOOKUP(J182,Key!$E$2:$F$9,2,FALSE)</f>
        <v>Home</v>
      </c>
      <c r="L182" s="42" t="s">
        <v>309</v>
      </c>
      <c r="M182" s="43" t="s">
        <v>154</v>
      </c>
      <c r="N182" s="42" t="s">
        <v>155</v>
      </c>
      <c r="O182" s="43">
        <v>16</v>
      </c>
      <c r="P182" s="43">
        <v>1</v>
      </c>
      <c r="Q182" s="25" t="str">
        <f>VLOOKUP(P182,Key!$E$2:$F$9,2,FALSE)</f>
        <v>Home</v>
      </c>
      <c r="R182" s="25" t="str">
        <f t="shared" si="3"/>
        <v>Home-Home</v>
      </c>
      <c r="S182" s="58"/>
      <c r="T182" s="58">
        <v>1</v>
      </c>
      <c r="U182" s="43">
        <v>3</v>
      </c>
      <c r="V182" s="43"/>
      <c r="W182" s="58"/>
      <c r="X182" s="58"/>
      <c r="Y182" s="59" t="s">
        <v>156</v>
      </c>
      <c r="Z182" s="60">
        <v>3000</v>
      </c>
      <c r="AA182" s="25">
        <f>VLOOKUP(F182,Zones!$A$2:$F$2186,6,FALSE)</f>
        <v>1064</v>
      </c>
      <c r="AB182" s="25">
        <f>VLOOKUP(L182,Zones!$A$2:$F$2186,6,FALSE)</f>
        <v>1391</v>
      </c>
    </row>
    <row r="183" spans="2:28">
      <c r="B183" s="40">
        <v>0.55694444444444446</v>
      </c>
      <c r="C183" s="40" t="s">
        <v>808</v>
      </c>
      <c r="D183" s="41">
        <v>7</v>
      </c>
      <c r="E183" s="42">
        <v>4</v>
      </c>
      <c r="F183" s="42" t="s">
        <v>184</v>
      </c>
      <c r="G183" s="43" t="s">
        <v>154</v>
      </c>
      <c r="H183" s="42" t="s">
        <v>155</v>
      </c>
      <c r="I183" s="43">
        <v>11</v>
      </c>
      <c r="J183" s="43">
        <v>4</v>
      </c>
      <c r="K183" s="25" t="str">
        <f>VLOOKUP(J183,Key!$E$2:$F$9,2,FALSE)</f>
        <v>Commercial</v>
      </c>
      <c r="L183" s="42" t="s">
        <v>154</v>
      </c>
      <c r="M183" s="43" t="s">
        <v>154</v>
      </c>
      <c r="N183" s="42" t="s">
        <v>155</v>
      </c>
      <c r="O183" s="43">
        <v>11</v>
      </c>
      <c r="P183" s="43">
        <v>4</v>
      </c>
      <c r="Q183" s="25" t="str">
        <f>VLOOKUP(P183,Key!$E$2:$F$9,2,FALSE)</f>
        <v>Commercial</v>
      </c>
      <c r="R183" s="25" t="str">
        <f t="shared" si="3"/>
        <v>Commercial-Commercial</v>
      </c>
      <c r="S183" s="58"/>
      <c r="T183" s="58">
        <v>1</v>
      </c>
      <c r="U183" s="43">
        <v>1</v>
      </c>
      <c r="V183" s="43">
        <v>1</v>
      </c>
      <c r="W183" s="58">
        <v>5</v>
      </c>
      <c r="X183" s="58">
        <v>2</v>
      </c>
      <c r="Y183" s="59" t="s">
        <v>156</v>
      </c>
      <c r="Z183" s="60">
        <v>10000</v>
      </c>
      <c r="AA183" s="25">
        <f>VLOOKUP(F183,Zones!$A$2:$F$2186,6,FALSE)</f>
        <v>811</v>
      </c>
      <c r="AB183" s="25">
        <f>VLOOKUP(L183,Zones!$A$2:$F$2186,6,FALSE)</f>
        <v>1408</v>
      </c>
    </row>
    <row r="184" spans="2:28">
      <c r="B184" s="40">
        <v>0.5625</v>
      </c>
      <c r="C184" s="40" t="s">
        <v>809</v>
      </c>
      <c r="D184" s="41">
        <v>1</v>
      </c>
      <c r="E184" s="42">
        <v>1</v>
      </c>
      <c r="F184" s="42" t="s">
        <v>268</v>
      </c>
      <c r="G184" s="43" t="s">
        <v>154</v>
      </c>
      <c r="H184" s="42" t="s">
        <v>155</v>
      </c>
      <c r="I184" s="43">
        <v>1</v>
      </c>
      <c r="J184" s="43">
        <v>1</v>
      </c>
      <c r="K184" s="25" t="str">
        <f>VLOOKUP(J184,Key!$E$2:$F$9,2,FALSE)</f>
        <v>Home</v>
      </c>
      <c r="L184" s="42" t="s">
        <v>168</v>
      </c>
      <c r="M184" s="43" t="s">
        <v>154</v>
      </c>
      <c r="N184" s="42" t="s">
        <v>155</v>
      </c>
      <c r="O184" s="43">
        <v>1</v>
      </c>
      <c r="P184" s="43">
        <v>1</v>
      </c>
      <c r="Q184" s="25" t="str">
        <f>VLOOKUP(P184,Key!$E$2:$F$9,2,FALSE)</f>
        <v>Home</v>
      </c>
      <c r="R184" s="25" t="str">
        <f t="shared" si="3"/>
        <v>Home-Home</v>
      </c>
      <c r="S184" s="58">
        <v>5</v>
      </c>
      <c r="T184" s="58">
        <v>0.3</v>
      </c>
      <c r="U184" s="43">
        <v>1</v>
      </c>
      <c r="V184" s="43"/>
      <c r="W184" s="58"/>
      <c r="X184" s="58"/>
      <c r="Y184" s="59" t="s">
        <v>156</v>
      </c>
      <c r="Z184" s="60">
        <v>5000</v>
      </c>
      <c r="AA184" s="25">
        <f>VLOOKUP(F184,Zones!$A$2:$F$2186,6,FALSE)</f>
        <v>1396</v>
      </c>
      <c r="AB184" s="25">
        <f>VLOOKUP(L184,Zones!$A$2:$F$2186,6,FALSE)</f>
        <v>1393</v>
      </c>
    </row>
    <row r="185" spans="2:28">
      <c r="B185" s="40">
        <v>0.55277777777777781</v>
      </c>
      <c r="C185" s="40" t="s">
        <v>810</v>
      </c>
      <c r="D185" s="41">
        <v>2</v>
      </c>
      <c r="E185" s="42">
        <v>6</v>
      </c>
      <c r="F185" s="42" t="s">
        <v>221</v>
      </c>
      <c r="G185" s="43" t="s">
        <v>154</v>
      </c>
      <c r="H185" s="42" t="s">
        <v>155</v>
      </c>
      <c r="I185" s="43">
        <v>1</v>
      </c>
      <c r="J185" s="43">
        <v>1</v>
      </c>
      <c r="K185" s="25" t="str">
        <f>VLOOKUP(J185,Key!$E$2:$F$9,2,FALSE)</f>
        <v>Home</v>
      </c>
      <c r="L185" s="42" t="s">
        <v>168</v>
      </c>
      <c r="M185" s="43" t="s">
        <v>154</v>
      </c>
      <c r="N185" s="42" t="s">
        <v>155</v>
      </c>
      <c r="O185" s="43">
        <v>16</v>
      </c>
      <c r="P185" s="43">
        <v>8</v>
      </c>
      <c r="Q185" s="25" t="str">
        <f>VLOOKUP(P185,Key!$E$2:$F$9,2,FALSE)</f>
        <v>Others</v>
      </c>
      <c r="R185" s="25" t="str">
        <f t="shared" si="3"/>
        <v>Home-Others</v>
      </c>
      <c r="S185" s="58"/>
      <c r="T185" s="58"/>
      <c r="U185" s="43">
        <v>6</v>
      </c>
      <c r="V185" s="43"/>
      <c r="W185" s="58"/>
      <c r="X185" s="58"/>
      <c r="Y185" s="59" t="s">
        <v>156</v>
      </c>
      <c r="Z185" s="60">
        <v>0</v>
      </c>
      <c r="AA185" s="25">
        <f>VLOOKUP(F185,Zones!$A$2:$F$2186,6,FALSE)</f>
        <v>1387</v>
      </c>
      <c r="AB185" s="25">
        <f>VLOOKUP(L185,Zones!$A$2:$F$2186,6,FALSE)</f>
        <v>1393</v>
      </c>
    </row>
    <row r="186" spans="2:28">
      <c r="B186" s="40">
        <v>0.54999999999999993</v>
      </c>
      <c r="C186" s="40" t="s">
        <v>811</v>
      </c>
      <c r="D186" s="41">
        <v>1</v>
      </c>
      <c r="E186" s="42">
        <v>1</v>
      </c>
      <c r="F186" s="42" t="s">
        <v>564</v>
      </c>
      <c r="G186" s="43" t="s">
        <v>154</v>
      </c>
      <c r="H186" s="42" t="s">
        <v>155</v>
      </c>
      <c r="I186" s="43">
        <v>11</v>
      </c>
      <c r="J186" s="43">
        <v>4</v>
      </c>
      <c r="K186" s="25" t="str">
        <f>VLOOKUP(J186,Key!$E$2:$F$9,2,FALSE)</f>
        <v>Commercial</v>
      </c>
      <c r="L186" s="42" t="s">
        <v>391</v>
      </c>
      <c r="M186" s="43" t="s">
        <v>154</v>
      </c>
      <c r="N186" s="42" t="s">
        <v>155</v>
      </c>
      <c r="O186" s="43">
        <v>1</v>
      </c>
      <c r="P186" s="43">
        <v>1</v>
      </c>
      <c r="Q186" s="25" t="str">
        <f>VLOOKUP(P186,Key!$E$2:$F$9,2,FALSE)</f>
        <v>Home</v>
      </c>
      <c r="R186" s="25" t="str">
        <f t="shared" si="3"/>
        <v>Commercial-Home</v>
      </c>
      <c r="S186" s="58">
        <v>3</v>
      </c>
      <c r="T186" s="58">
        <v>0.1</v>
      </c>
      <c r="U186" s="43">
        <v>1</v>
      </c>
      <c r="V186" s="43"/>
      <c r="W186" s="58"/>
      <c r="X186" s="58"/>
      <c r="Y186" s="59" t="s">
        <v>156</v>
      </c>
      <c r="Z186" s="60">
        <v>1000</v>
      </c>
      <c r="AA186" s="25">
        <f>VLOOKUP(F186,Zones!$A$2:$F$2186,6,FALSE)</f>
        <v>1393</v>
      </c>
      <c r="AB186" s="25">
        <f>VLOOKUP(L186,Zones!$A$2:$F$2186,6,FALSE)</f>
        <v>1408</v>
      </c>
    </row>
    <row r="187" spans="2:28" ht="15">
      <c r="B187" s="40">
        <v>0.55763888888888891</v>
      </c>
      <c r="C187" s="40" t="s">
        <v>812</v>
      </c>
      <c r="D187" s="41">
        <v>1</v>
      </c>
      <c r="E187" s="42">
        <v>4</v>
      </c>
      <c r="F187" s="42" t="s">
        <v>564</v>
      </c>
      <c r="G187" s="43" t="s">
        <v>154</v>
      </c>
      <c r="H187" s="42" t="s">
        <v>155</v>
      </c>
      <c r="I187" s="43">
        <v>12</v>
      </c>
      <c r="J187" s="43">
        <v>4</v>
      </c>
      <c r="K187" s="25" t="str">
        <f>VLOOKUP(J187,Key!$E$2:$F$9,2,FALSE)</f>
        <v>Commercial</v>
      </c>
      <c r="L187" s="100" t="s">
        <v>168</v>
      </c>
      <c r="M187" s="43" t="s">
        <v>154</v>
      </c>
      <c r="N187" s="42" t="s">
        <v>155</v>
      </c>
      <c r="O187" s="43">
        <v>10</v>
      </c>
      <c r="P187" s="43">
        <v>2</v>
      </c>
      <c r="Q187" s="25" t="str">
        <f>VLOOKUP(P187,Key!$E$2:$F$9,2,FALSE)</f>
        <v>Work</v>
      </c>
      <c r="R187" s="25" t="str">
        <f t="shared" si="3"/>
        <v>Commercial-Work</v>
      </c>
      <c r="S187" s="58">
        <v>4</v>
      </c>
      <c r="T187" s="58">
        <v>0.1</v>
      </c>
      <c r="U187" s="43">
        <v>2</v>
      </c>
      <c r="V187" s="43">
        <v>4</v>
      </c>
      <c r="W187" s="58">
        <v>1</v>
      </c>
      <c r="X187" s="58">
        <v>2</v>
      </c>
      <c r="Y187" s="59" t="s">
        <v>156</v>
      </c>
      <c r="Z187" s="60">
        <v>10000</v>
      </c>
      <c r="AA187" s="25">
        <f>VLOOKUP(F187,Zones!$A$2:$F$2186,6,FALSE)</f>
        <v>1393</v>
      </c>
      <c r="AB187" s="25">
        <f>VLOOKUP(L187,Zones!$A$2:$F$2186,6,FALSE)</f>
        <v>1393</v>
      </c>
    </row>
    <row r="188" spans="2:28">
      <c r="B188" s="40">
        <v>0.4368055555555555</v>
      </c>
      <c r="C188" s="40" t="s">
        <v>814</v>
      </c>
      <c r="D188" s="41">
        <v>1</v>
      </c>
      <c r="E188" s="42">
        <v>2</v>
      </c>
      <c r="F188" s="42" t="s">
        <v>564</v>
      </c>
      <c r="G188" s="43" t="s">
        <v>154</v>
      </c>
      <c r="H188" s="42" t="s">
        <v>155</v>
      </c>
      <c r="I188" s="43">
        <v>11</v>
      </c>
      <c r="J188" s="43">
        <v>4</v>
      </c>
      <c r="K188" s="25" t="str">
        <f>VLOOKUP(J188,Key!$E$2:$F$9,2,FALSE)</f>
        <v>Commercial</v>
      </c>
      <c r="L188" s="42" t="s">
        <v>391</v>
      </c>
      <c r="M188" s="43" t="s">
        <v>154</v>
      </c>
      <c r="N188" s="42" t="s">
        <v>155</v>
      </c>
      <c r="O188" s="43">
        <v>1</v>
      </c>
      <c r="P188" s="43">
        <v>1</v>
      </c>
      <c r="Q188" s="25" t="str">
        <f>VLOOKUP(P188,Key!$E$2:$F$9,2,FALSE)</f>
        <v>Home</v>
      </c>
      <c r="R188" s="25" t="str">
        <f t="shared" si="3"/>
        <v>Commercial-Home</v>
      </c>
      <c r="S188" s="58">
        <v>5</v>
      </c>
      <c r="T188" s="58">
        <v>0.1</v>
      </c>
      <c r="U188" s="43">
        <v>1</v>
      </c>
      <c r="V188" s="43"/>
      <c r="W188" s="58"/>
      <c r="X188" s="58"/>
      <c r="Y188" s="59" t="s">
        <v>156</v>
      </c>
      <c r="Z188" s="60">
        <v>1000</v>
      </c>
      <c r="AA188" s="25">
        <f>VLOOKUP(F188,Zones!$A$2:$F$2186,6,FALSE)</f>
        <v>1393</v>
      </c>
      <c r="AB188" s="25">
        <f>VLOOKUP(L188,Zones!$A$2:$F$2186,6,FALSE)</f>
        <v>1408</v>
      </c>
    </row>
    <row r="189" spans="2:28">
      <c r="B189" s="40">
        <v>0.60277777777777775</v>
      </c>
      <c r="C189" s="40" t="s">
        <v>815</v>
      </c>
      <c r="D189" s="41">
        <v>7</v>
      </c>
      <c r="E189" s="42">
        <v>2</v>
      </c>
      <c r="F189" s="42" t="s">
        <v>564</v>
      </c>
      <c r="G189" s="43" t="s">
        <v>154</v>
      </c>
      <c r="H189" s="42" t="s">
        <v>155</v>
      </c>
      <c r="I189" s="43">
        <v>12</v>
      </c>
      <c r="J189" s="43">
        <v>2</v>
      </c>
      <c r="K189" s="25" t="str">
        <f>VLOOKUP(J189,Key!$E$2:$F$9,2,FALSE)</f>
        <v>Work</v>
      </c>
      <c r="L189" s="42" t="s">
        <v>254</v>
      </c>
      <c r="M189" s="43" t="s">
        <v>202</v>
      </c>
      <c r="N189" s="42" t="s">
        <v>155</v>
      </c>
      <c r="O189" s="43">
        <v>12</v>
      </c>
      <c r="P189" s="43">
        <v>2</v>
      </c>
      <c r="Q189" s="25" t="str">
        <f>VLOOKUP(P189,Key!$E$2:$F$9,2,FALSE)</f>
        <v>Work</v>
      </c>
      <c r="R189" s="25" t="str">
        <f t="shared" si="3"/>
        <v>Work-Work</v>
      </c>
      <c r="S189" s="58">
        <v>60</v>
      </c>
      <c r="T189" s="58">
        <v>2</v>
      </c>
      <c r="U189" s="43">
        <v>5</v>
      </c>
      <c r="V189" s="43">
        <v>1</v>
      </c>
      <c r="W189" s="58">
        <v>1.5</v>
      </c>
      <c r="X189" s="58">
        <v>2</v>
      </c>
      <c r="Y189" s="59" t="s">
        <v>156</v>
      </c>
      <c r="Z189" s="60">
        <v>2000</v>
      </c>
      <c r="AA189" s="25">
        <f>VLOOKUP(F189,Zones!$A$2:$F$2186,6,FALSE)</f>
        <v>1393</v>
      </c>
      <c r="AB189" s="25">
        <f>VLOOKUP(L189,Zones!$A$2:$F$2186,6,FALSE)</f>
        <v>1088</v>
      </c>
    </row>
    <row r="190" spans="2:28">
      <c r="B190" s="40">
        <v>0.60763888888888895</v>
      </c>
      <c r="C190" s="40" t="s">
        <v>816</v>
      </c>
      <c r="D190" s="41">
        <v>1</v>
      </c>
      <c r="E190" s="42">
        <v>2</v>
      </c>
      <c r="F190" s="42" t="s">
        <v>564</v>
      </c>
      <c r="G190" s="43" t="s">
        <v>154</v>
      </c>
      <c r="H190" s="42" t="s">
        <v>155</v>
      </c>
      <c r="I190" s="43">
        <v>1</v>
      </c>
      <c r="J190" s="43">
        <v>1</v>
      </c>
      <c r="K190" s="25" t="str">
        <f>VLOOKUP(J190,Key!$E$2:$F$9,2,FALSE)</f>
        <v>Home</v>
      </c>
      <c r="L190" s="42" t="s">
        <v>168</v>
      </c>
      <c r="M190" s="43" t="s">
        <v>154</v>
      </c>
      <c r="N190" s="42" t="s">
        <v>155</v>
      </c>
      <c r="O190" s="43">
        <v>2</v>
      </c>
      <c r="P190" s="43">
        <v>2</v>
      </c>
      <c r="Q190" s="25" t="str">
        <f>VLOOKUP(P190,Key!$E$2:$F$9,2,FALSE)</f>
        <v>Work</v>
      </c>
      <c r="R190" s="25" t="str">
        <f t="shared" si="3"/>
        <v>Home-Work</v>
      </c>
      <c r="S190" s="58">
        <v>3</v>
      </c>
      <c r="T190" s="58">
        <v>0.1</v>
      </c>
      <c r="U190" s="43">
        <v>1</v>
      </c>
      <c r="V190" s="43"/>
      <c r="W190" s="58"/>
      <c r="X190" s="58"/>
      <c r="Y190" s="59" t="s">
        <v>156</v>
      </c>
      <c r="Z190" s="60">
        <v>2000</v>
      </c>
      <c r="AA190" s="25">
        <f>VLOOKUP(F190,Zones!$A$2:$F$2186,6,FALSE)</f>
        <v>1393</v>
      </c>
      <c r="AB190" s="25">
        <f>VLOOKUP(L190,Zones!$A$2:$F$2186,6,FALSE)</f>
        <v>1393</v>
      </c>
    </row>
    <row r="191" spans="2:28">
      <c r="B191" s="40">
        <v>0.63194444444444442</v>
      </c>
      <c r="C191" s="40" t="s">
        <v>817</v>
      </c>
      <c r="D191" s="41">
        <v>2</v>
      </c>
      <c r="E191" s="42">
        <v>2</v>
      </c>
      <c r="F191" s="42" t="s">
        <v>159</v>
      </c>
      <c r="G191" s="43" t="s">
        <v>159</v>
      </c>
      <c r="H191" s="42" t="s">
        <v>155</v>
      </c>
      <c r="I191" s="43">
        <v>11</v>
      </c>
      <c r="J191" s="43">
        <v>4</v>
      </c>
      <c r="K191" s="25" t="str">
        <f>VLOOKUP(J191,Key!$E$2:$F$9,2,FALSE)</f>
        <v>Commercial</v>
      </c>
      <c r="L191" s="42" t="s">
        <v>564</v>
      </c>
      <c r="M191" s="43" t="s">
        <v>154</v>
      </c>
      <c r="N191" s="42" t="s">
        <v>155</v>
      </c>
      <c r="O191" s="43">
        <v>1</v>
      </c>
      <c r="P191" s="43">
        <v>1</v>
      </c>
      <c r="Q191" s="25" t="str">
        <f>VLOOKUP(P191,Key!$E$2:$F$9,2,FALSE)</f>
        <v>Home</v>
      </c>
      <c r="R191" s="25" t="str">
        <f t="shared" si="3"/>
        <v>Commercial-Home</v>
      </c>
      <c r="S191" s="58">
        <v>20</v>
      </c>
      <c r="T191" s="58">
        <v>1</v>
      </c>
      <c r="U191" s="43">
        <v>2</v>
      </c>
      <c r="V191" s="43"/>
      <c r="W191" s="58"/>
      <c r="X191" s="58"/>
      <c r="Y191" s="59" t="s">
        <v>156</v>
      </c>
      <c r="Z191" s="60">
        <v>1000</v>
      </c>
      <c r="AA191" s="25">
        <f>VLOOKUP(F191,Zones!$A$2:$F$2186,6,FALSE)</f>
        <v>521</v>
      </c>
      <c r="AB191" s="25">
        <f>VLOOKUP(L191,Zones!$A$2:$F$2186,6,FALSE)</f>
        <v>1393</v>
      </c>
    </row>
    <row r="192" spans="2:28">
      <c r="B192" s="40">
        <v>0.625</v>
      </c>
      <c r="C192" s="40" t="s">
        <v>818</v>
      </c>
      <c r="D192" s="41">
        <v>1</v>
      </c>
      <c r="E192" s="42">
        <v>4</v>
      </c>
      <c r="F192" s="42" t="s">
        <v>163</v>
      </c>
      <c r="G192" s="43" t="s">
        <v>163</v>
      </c>
      <c r="H192" s="42" t="s">
        <v>155</v>
      </c>
      <c r="I192" s="43">
        <v>1</v>
      </c>
      <c r="J192" s="43">
        <v>1</v>
      </c>
      <c r="K192" s="25" t="str">
        <f>VLOOKUP(J192,Key!$E$2:$F$9,2,FALSE)</f>
        <v>Home</v>
      </c>
      <c r="L192" s="42" t="s">
        <v>564</v>
      </c>
      <c r="M192" s="43" t="s">
        <v>154</v>
      </c>
      <c r="N192" s="42" t="s">
        <v>155</v>
      </c>
      <c r="O192" s="43">
        <v>1</v>
      </c>
      <c r="P192" s="43">
        <v>1</v>
      </c>
      <c r="Q192" s="25" t="str">
        <f>VLOOKUP(P192,Key!$E$2:$F$9,2,FALSE)</f>
        <v>Home</v>
      </c>
      <c r="R192" s="25" t="str">
        <f t="shared" si="3"/>
        <v>Home-Home</v>
      </c>
      <c r="S192" s="58"/>
      <c r="T192" s="58"/>
      <c r="U192" s="43">
        <v>6</v>
      </c>
      <c r="V192" s="43"/>
      <c r="W192" s="58"/>
      <c r="X192" s="58"/>
      <c r="Y192" s="59" t="s">
        <v>156</v>
      </c>
      <c r="Z192" s="60">
        <v>5000</v>
      </c>
      <c r="AA192" s="25">
        <f>VLOOKUP(F192,Zones!$A$2:$F$2186,6,FALSE)</f>
        <v>1064</v>
      </c>
      <c r="AB192" s="25">
        <f>VLOOKUP(L192,Zones!$A$2:$F$2186,6,FALSE)</f>
        <v>1393</v>
      </c>
    </row>
    <row r="193" spans="2:28">
      <c r="B193" s="40">
        <v>0.59722222222222221</v>
      </c>
      <c r="C193" s="40" t="s">
        <v>819</v>
      </c>
      <c r="D193" s="41">
        <v>1</v>
      </c>
      <c r="E193" s="42">
        <v>2</v>
      </c>
      <c r="F193" s="42" t="s">
        <v>159</v>
      </c>
      <c r="G193" s="43" t="s">
        <v>159</v>
      </c>
      <c r="H193" s="42" t="s">
        <v>155</v>
      </c>
      <c r="I193" s="43">
        <v>2</v>
      </c>
      <c r="J193" s="43">
        <v>2</v>
      </c>
      <c r="K193" s="25" t="str">
        <f>VLOOKUP(J193,Key!$E$2:$F$9,2,FALSE)</f>
        <v>Work</v>
      </c>
      <c r="L193" s="42" t="s">
        <v>168</v>
      </c>
      <c r="M193" s="43" t="s">
        <v>154</v>
      </c>
      <c r="N193" s="42" t="s">
        <v>155</v>
      </c>
      <c r="O193" s="43">
        <v>1</v>
      </c>
      <c r="P193" s="43">
        <v>1</v>
      </c>
      <c r="Q193" s="25" t="str">
        <f>VLOOKUP(P193,Key!$E$2:$F$9,2,FALSE)</f>
        <v>Home</v>
      </c>
      <c r="R193" s="25" t="str">
        <f t="shared" si="3"/>
        <v>Work-Home</v>
      </c>
      <c r="S193" s="58">
        <v>10</v>
      </c>
      <c r="T193" s="58">
        <v>0.7</v>
      </c>
      <c r="U193" s="43">
        <v>1</v>
      </c>
      <c r="V193" s="43"/>
      <c r="W193" s="58"/>
      <c r="X193" s="58"/>
      <c r="Y193" s="59" t="s">
        <v>156</v>
      </c>
      <c r="Z193" s="60">
        <v>2000</v>
      </c>
      <c r="AA193" s="25">
        <f>VLOOKUP(F193,Zones!$A$2:$F$2186,6,FALSE)</f>
        <v>521</v>
      </c>
      <c r="AB193" s="25">
        <f>VLOOKUP(L193,Zones!$A$2:$F$2186,6,FALSE)</f>
        <v>1393</v>
      </c>
    </row>
    <row r="194" spans="2:28">
      <c r="B194" s="40">
        <v>0.6166666666666667</v>
      </c>
      <c r="C194" s="40" t="s">
        <v>820</v>
      </c>
      <c r="D194" s="41">
        <v>2</v>
      </c>
      <c r="E194" s="42">
        <v>3</v>
      </c>
      <c r="F194" s="42" t="s">
        <v>436</v>
      </c>
      <c r="G194" s="43" t="s">
        <v>154</v>
      </c>
      <c r="H194" s="42" t="s">
        <v>155</v>
      </c>
      <c r="I194" s="43">
        <v>1</v>
      </c>
      <c r="J194" s="43">
        <v>1</v>
      </c>
      <c r="K194" s="25" t="str">
        <f>VLOOKUP(J194,Key!$E$2:$F$9,2,FALSE)</f>
        <v>Home</v>
      </c>
      <c r="L194" s="42" t="s">
        <v>248</v>
      </c>
      <c r="M194" s="43" t="s">
        <v>248</v>
      </c>
      <c r="N194" s="42" t="s">
        <v>155</v>
      </c>
      <c r="O194" s="43">
        <v>1</v>
      </c>
      <c r="P194" s="43">
        <v>1</v>
      </c>
      <c r="Q194" s="25" t="str">
        <f>VLOOKUP(P194,Key!$E$2:$F$9,2,FALSE)</f>
        <v>Home</v>
      </c>
      <c r="R194" s="25" t="str">
        <f t="shared" si="3"/>
        <v>Home-Home</v>
      </c>
      <c r="S194" s="58">
        <v>550</v>
      </c>
      <c r="T194" s="58">
        <v>8</v>
      </c>
      <c r="U194" s="43">
        <v>5</v>
      </c>
      <c r="V194" s="43"/>
      <c r="W194" s="58"/>
      <c r="X194" s="58"/>
      <c r="Y194" s="59" t="s">
        <v>156</v>
      </c>
      <c r="Z194" s="60">
        <v>3000</v>
      </c>
      <c r="AA194" s="25">
        <f>VLOOKUP(F194,Zones!$A$2:$F$2186,6,FALSE)</f>
        <v>1408</v>
      </c>
      <c r="AB194" s="25">
        <f>VLOOKUP(L194,Zones!$A$2:$F$2186,6,FALSE)</f>
        <v>94</v>
      </c>
    </row>
    <row r="195" spans="2:28">
      <c r="B195" s="40">
        <v>0.75138888888888899</v>
      </c>
      <c r="C195" s="40" t="s">
        <v>821</v>
      </c>
      <c r="D195" s="41">
        <v>1</v>
      </c>
      <c r="E195" s="42">
        <v>3</v>
      </c>
      <c r="F195" s="42" t="s">
        <v>147</v>
      </c>
      <c r="G195" s="43" t="s">
        <v>154</v>
      </c>
      <c r="H195" s="42" t="s">
        <v>155</v>
      </c>
      <c r="I195" s="43">
        <v>1</v>
      </c>
      <c r="J195" s="43">
        <v>1</v>
      </c>
      <c r="K195" s="25" t="str">
        <f>VLOOKUP(J195,Key!$E$2:$F$9,2,FALSE)</f>
        <v>Home</v>
      </c>
      <c r="L195" s="42" t="s">
        <v>147</v>
      </c>
      <c r="M195" s="43" t="s">
        <v>154</v>
      </c>
      <c r="N195" s="42" t="s">
        <v>155</v>
      </c>
      <c r="O195" s="43">
        <v>16</v>
      </c>
      <c r="P195" s="43">
        <v>6</v>
      </c>
      <c r="Q195" s="25" t="str">
        <f>VLOOKUP(P195,Key!$E$2:$F$9,2,FALSE)</f>
        <v>Leisure/Social</v>
      </c>
      <c r="R195" s="25" t="str">
        <f t="shared" si="3"/>
        <v>Home-Leisure/Social</v>
      </c>
      <c r="S195" s="58"/>
      <c r="T195" s="58"/>
      <c r="U195" s="43">
        <v>4</v>
      </c>
      <c r="V195" s="43"/>
      <c r="W195" s="58"/>
      <c r="X195" s="58"/>
      <c r="Y195" s="59" t="s">
        <v>156</v>
      </c>
      <c r="Z195" s="60">
        <v>1000</v>
      </c>
      <c r="AA195" s="25">
        <f>VLOOKUP(F195,Zones!$A$2:$F$2186,6,FALSE)</f>
        <v>1402</v>
      </c>
      <c r="AB195" s="25">
        <f>VLOOKUP(L195,Zones!$A$2:$F$2186,6,FALSE)</f>
        <v>1402</v>
      </c>
    </row>
    <row r="196" spans="2:28">
      <c r="B196" s="40">
        <v>0.1875</v>
      </c>
      <c r="C196" s="40" t="s">
        <v>824</v>
      </c>
      <c r="D196" s="41">
        <v>3</v>
      </c>
      <c r="E196" s="42">
        <v>1</v>
      </c>
      <c r="F196" s="42" t="s">
        <v>825</v>
      </c>
      <c r="G196" s="43" t="s">
        <v>154</v>
      </c>
      <c r="H196" s="42" t="s">
        <v>155</v>
      </c>
      <c r="I196" s="43">
        <v>1</v>
      </c>
      <c r="J196" s="43">
        <v>1</v>
      </c>
      <c r="K196" s="25" t="str">
        <f>VLOOKUP(J196,Key!$E$2:$F$9,2,FALSE)</f>
        <v>Home</v>
      </c>
      <c r="L196" s="42" t="s">
        <v>667</v>
      </c>
      <c r="M196" s="43" t="s">
        <v>154</v>
      </c>
      <c r="N196" s="42" t="s">
        <v>155</v>
      </c>
      <c r="O196" s="43">
        <v>1</v>
      </c>
      <c r="P196" s="43">
        <v>1</v>
      </c>
      <c r="Q196" s="25" t="str">
        <f>VLOOKUP(P196,Key!$E$2:$F$9,2,FALSE)</f>
        <v>Home</v>
      </c>
      <c r="R196" s="25" t="str">
        <f t="shared" si="3"/>
        <v>Home-Home</v>
      </c>
      <c r="S196" s="58">
        <v>14</v>
      </c>
      <c r="T196" s="58">
        <v>0.3</v>
      </c>
      <c r="U196" s="43">
        <v>0.1</v>
      </c>
      <c r="V196" s="43"/>
      <c r="W196" s="58"/>
      <c r="X196" s="58"/>
      <c r="Y196" s="59" t="s">
        <v>156</v>
      </c>
      <c r="Z196" s="60">
        <v>0</v>
      </c>
      <c r="AA196" s="25">
        <f>VLOOKUP(F196,Zones!$A$2:$F$2186,6,FALSE)</f>
        <v>1405</v>
      </c>
      <c r="AB196" s="25">
        <f>VLOOKUP(L196,Zones!$A$2:$F$2186,6,FALSE)</f>
        <v>583</v>
      </c>
    </row>
    <row r="197" spans="2:28">
      <c r="B197" s="40">
        <v>0.73611111111111116</v>
      </c>
      <c r="C197" s="40" t="s">
        <v>827</v>
      </c>
      <c r="D197" s="41">
        <v>1</v>
      </c>
      <c r="E197" s="42">
        <v>3</v>
      </c>
      <c r="F197" s="42" t="s">
        <v>828</v>
      </c>
      <c r="G197" s="43" t="s">
        <v>154</v>
      </c>
      <c r="H197" s="42" t="s">
        <v>155</v>
      </c>
      <c r="I197" s="43">
        <v>1</v>
      </c>
      <c r="J197" s="43">
        <v>1</v>
      </c>
      <c r="K197" s="25" t="str">
        <f>VLOOKUP(J197,Key!$E$2:$F$9,2,FALSE)</f>
        <v>Home</v>
      </c>
      <c r="L197" s="42" t="s">
        <v>168</v>
      </c>
      <c r="M197" s="43" t="s">
        <v>154</v>
      </c>
      <c r="N197" s="42" t="s">
        <v>155</v>
      </c>
      <c r="O197" s="43">
        <v>1</v>
      </c>
      <c r="P197" s="43">
        <v>6</v>
      </c>
      <c r="Q197" s="25" t="str">
        <f>VLOOKUP(P197,Key!$E$2:$F$9,2,FALSE)</f>
        <v>Leisure/Social</v>
      </c>
      <c r="R197" s="25" t="str">
        <f t="shared" si="3"/>
        <v>Home-Leisure/Social</v>
      </c>
      <c r="S197" s="58">
        <v>3</v>
      </c>
      <c r="T197" s="58">
        <v>0.1</v>
      </c>
      <c r="U197" s="43">
        <v>2</v>
      </c>
      <c r="V197" s="43"/>
      <c r="W197" s="58"/>
      <c r="X197" s="58"/>
      <c r="Y197" s="59" t="s">
        <v>156</v>
      </c>
      <c r="Z197" s="60">
        <v>3000</v>
      </c>
      <c r="AA197" s="25">
        <f>VLOOKUP(F197,Zones!$A$2:$F$2186,6,FALSE)</f>
        <v>522</v>
      </c>
      <c r="AB197" s="25">
        <f>VLOOKUP(L197,Zones!$A$2:$F$2186,6,FALSE)</f>
        <v>1393</v>
      </c>
    </row>
    <row r="198" spans="2:28">
      <c r="B198" s="40">
        <v>0.48958333333333331</v>
      </c>
      <c r="C198" s="40" t="s">
        <v>829</v>
      </c>
      <c r="D198" s="41">
        <v>1</v>
      </c>
      <c r="E198" s="42">
        <v>3</v>
      </c>
      <c r="F198" s="42" t="s">
        <v>209</v>
      </c>
      <c r="G198" s="43" t="s">
        <v>159</v>
      </c>
      <c r="H198" s="42" t="s">
        <v>155</v>
      </c>
      <c r="I198" s="43">
        <v>1</v>
      </c>
      <c r="J198" s="43">
        <v>1</v>
      </c>
      <c r="K198" s="25" t="str">
        <f>VLOOKUP(J198,Key!$E$2:$F$9,2,FALSE)</f>
        <v>Home</v>
      </c>
      <c r="L198" s="42" t="s">
        <v>303</v>
      </c>
      <c r="M198" s="43" t="s">
        <v>154</v>
      </c>
      <c r="N198" s="42" t="s">
        <v>155</v>
      </c>
      <c r="O198" s="43">
        <v>4</v>
      </c>
      <c r="P198" s="43">
        <v>1</v>
      </c>
      <c r="Q198" s="25" t="str">
        <f>VLOOKUP(P198,Key!$E$2:$F$9,2,FALSE)</f>
        <v>Home</v>
      </c>
      <c r="R198" s="25" t="str">
        <f t="shared" si="3"/>
        <v>Home-Home</v>
      </c>
      <c r="S198" s="58">
        <v>60</v>
      </c>
      <c r="T198" s="58">
        <v>1</v>
      </c>
      <c r="U198" s="43">
        <v>2</v>
      </c>
      <c r="V198" s="43"/>
      <c r="W198" s="58"/>
      <c r="X198" s="58"/>
      <c r="Y198" s="59" t="s">
        <v>156</v>
      </c>
      <c r="Z198" s="60">
        <v>1000</v>
      </c>
      <c r="AA198" s="25">
        <f>VLOOKUP(F198,Zones!$A$2:$F$2186,6,FALSE)</f>
        <v>1405</v>
      </c>
      <c r="AB198" s="25">
        <f>VLOOKUP(L198,Zones!$A$2:$F$2186,6,FALSE)</f>
        <v>891</v>
      </c>
    </row>
    <row r="199" spans="2:28">
      <c r="B199" s="40">
        <v>0.49305555555555558</v>
      </c>
      <c r="C199" s="40" t="s">
        <v>830</v>
      </c>
      <c r="D199" s="41">
        <v>7</v>
      </c>
      <c r="E199" s="42">
        <v>2</v>
      </c>
      <c r="F199" s="42" t="s">
        <v>159</v>
      </c>
      <c r="G199" s="43" t="s">
        <v>159</v>
      </c>
      <c r="H199" s="42" t="s">
        <v>155</v>
      </c>
      <c r="I199" s="43">
        <v>12</v>
      </c>
      <c r="J199" s="43">
        <v>4</v>
      </c>
      <c r="K199" s="25" t="str">
        <f>VLOOKUP(J199,Key!$E$2:$F$9,2,FALSE)</f>
        <v>Commercial</v>
      </c>
      <c r="L199" s="42" t="s">
        <v>667</v>
      </c>
      <c r="M199" s="43" t="s">
        <v>154</v>
      </c>
      <c r="N199" s="42" t="s">
        <v>155</v>
      </c>
      <c r="O199" s="43">
        <v>1</v>
      </c>
      <c r="P199" s="43">
        <v>1</v>
      </c>
      <c r="Q199" s="25" t="str">
        <f>VLOOKUP(P199,Key!$E$2:$F$9,2,FALSE)</f>
        <v>Home</v>
      </c>
      <c r="R199" s="25" t="str">
        <f t="shared" si="3"/>
        <v>Commercial-Home</v>
      </c>
      <c r="S199" s="58"/>
      <c r="T199" s="58"/>
      <c r="U199" s="43">
        <v>2</v>
      </c>
      <c r="V199" s="43"/>
      <c r="W199" s="58"/>
      <c r="X199" s="58"/>
      <c r="Y199" s="59" t="s">
        <v>156</v>
      </c>
      <c r="Z199" s="60">
        <v>1000</v>
      </c>
      <c r="AA199" s="25">
        <f>VLOOKUP(F199,Zones!$A$2:$F$2186,6,FALSE)</f>
        <v>521</v>
      </c>
      <c r="AB199" s="25">
        <f>VLOOKUP(L199,Zones!$A$2:$F$2186,6,FALSE)</f>
        <v>583</v>
      </c>
    </row>
    <row r="200" spans="2:28">
      <c r="B200" s="40">
        <v>0.3444444444444445</v>
      </c>
      <c r="C200" s="40" t="s">
        <v>390</v>
      </c>
      <c r="D200" s="41">
        <v>4</v>
      </c>
      <c r="E200" s="42">
        <v>6</v>
      </c>
      <c r="F200" s="42" t="s">
        <v>391</v>
      </c>
      <c r="G200" s="43" t="s">
        <v>154</v>
      </c>
      <c r="H200" s="42" t="s">
        <v>155</v>
      </c>
      <c r="I200" s="43">
        <v>1</v>
      </c>
      <c r="J200" s="43">
        <v>1</v>
      </c>
      <c r="K200" s="25" t="str">
        <f>VLOOKUP(J200,Key!$E$2:$F$9,2,FALSE)</f>
        <v>Home</v>
      </c>
      <c r="L200" s="42" t="s">
        <v>392</v>
      </c>
      <c r="M200" s="43" t="s">
        <v>154</v>
      </c>
      <c r="N200" s="42" t="s">
        <v>155</v>
      </c>
      <c r="O200" s="43">
        <v>2</v>
      </c>
      <c r="P200" s="43">
        <v>2</v>
      </c>
      <c r="Q200" s="25" t="str">
        <f>VLOOKUP(P200,Key!$E$2:$F$9,2,FALSE)</f>
        <v>Work</v>
      </c>
      <c r="R200" s="25" t="str">
        <f>K200&amp;"-"&amp;Q200</f>
        <v>Home-Work</v>
      </c>
      <c r="S200" s="58"/>
      <c r="T200" s="58">
        <v>0.5</v>
      </c>
      <c r="U200" s="43">
        <v>2</v>
      </c>
      <c r="V200" s="43"/>
      <c r="W200" s="58"/>
      <c r="X200" s="58"/>
      <c r="Y200" s="59" t="s">
        <v>156</v>
      </c>
      <c r="Z200" s="60">
        <v>3000</v>
      </c>
      <c r="AA200" s="25">
        <f>VLOOKUP(F200,Zones!$A$2:$F$2186,6,FALSE)</f>
        <v>1408</v>
      </c>
      <c r="AB200" s="25">
        <f>VLOOKUP(L200,Zones!$A$2:$F$2186,6,FALSE)</f>
        <v>559</v>
      </c>
    </row>
    <row r="201" spans="2:28">
      <c r="B201" s="40">
        <v>0.34583333333333338</v>
      </c>
      <c r="C201" s="40" t="s">
        <v>393</v>
      </c>
      <c r="D201" s="41">
        <v>1</v>
      </c>
      <c r="E201" s="42">
        <v>3</v>
      </c>
      <c r="F201" s="42" t="s">
        <v>394</v>
      </c>
      <c r="G201" s="43" t="s">
        <v>154</v>
      </c>
      <c r="H201" s="42" t="s">
        <v>155</v>
      </c>
      <c r="I201" s="43">
        <v>1</v>
      </c>
      <c r="J201" s="43">
        <v>1</v>
      </c>
      <c r="K201" s="25" t="str">
        <f>VLOOKUP(J201,Key!$E$2:$F$9,2,FALSE)</f>
        <v>Home</v>
      </c>
      <c r="L201" s="42" t="s">
        <v>146</v>
      </c>
      <c r="M201" s="43" t="s">
        <v>154</v>
      </c>
      <c r="N201" s="42" t="s">
        <v>155</v>
      </c>
      <c r="O201" s="43">
        <v>11</v>
      </c>
      <c r="P201" s="43">
        <v>2</v>
      </c>
      <c r="Q201" s="25" t="str">
        <f>VLOOKUP(P201,Key!$E$2:$F$9,2,FALSE)</f>
        <v>Work</v>
      </c>
      <c r="R201" s="25" t="str">
        <f t="shared" ref="R201:R264" si="4">K201&amp;"-"&amp;Q201</f>
        <v>Home-Work</v>
      </c>
      <c r="S201" s="58"/>
      <c r="T201" s="58">
        <v>0.3</v>
      </c>
      <c r="U201" s="43">
        <v>2</v>
      </c>
      <c r="V201" s="43"/>
      <c r="W201" s="58"/>
      <c r="X201" s="58"/>
      <c r="Y201" s="59" t="s">
        <v>156</v>
      </c>
      <c r="Z201" s="60">
        <v>0</v>
      </c>
      <c r="AA201" s="25">
        <f>VLOOKUP(F201,Zones!$A$2:$F$2186,6,FALSE)</f>
        <v>542</v>
      </c>
      <c r="AB201" s="25">
        <f>VLOOKUP(L201,Zones!$A$2:$F$2186,6,FALSE)</f>
        <v>1393</v>
      </c>
    </row>
    <row r="202" spans="2:28">
      <c r="B202" s="40">
        <v>0.34930555555555554</v>
      </c>
      <c r="C202" s="40" t="s">
        <v>395</v>
      </c>
      <c r="D202" s="41">
        <v>1</v>
      </c>
      <c r="E202" s="42">
        <v>1</v>
      </c>
      <c r="F202" s="42" t="s">
        <v>147</v>
      </c>
      <c r="G202" s="43" t="s">
        <v>154</v>
      </c>
      <c r="H202" s="42" t="s">
        <v>155</v>
      </c>
      <c r="I202" s="43">
        <v>1</v>
      </c>
      <c r="J202" s="43">
        <v>1</v>
      </c>
      <c r="K202" s="25" t="str">
        <f>VLOOKUP(J202,Key!$E$2:$F$9,2,FALSE)</f>
        <v>Home</v>
      </c>
      <c r="L202" s="42" t="s">
        <v>278</v>
      </c>
      <c r="M202" s="43" t="s">
        <v>154</v>
      </c>
      <c r="N202" s="42" t="s">
        <v>155</v>
      </c>
      <c r="O202" s="43">
        <v>4</v>
      </c>
      <c r="P202" s="43">
        <v>2</v>
      </c>
      <c r="Q202" s="25" t="str">
        <f>VLOOKUP(P202,Key!$E$2:$F$9,2,FALSE)</f>
        <v>Work</v>
      </c>
      <c r="R202" s="25" t="str">
        <f t="shared" si="4"/>
        <v>Home-Work</v>
      </c>
      <c r="S202" s="58"/>
      <c r="T202" s="58">
        <v>1</v>
      </c>
      <c r="U202" s="43">
        <v>2</v>
      </c>
      <c r="V202" s="43"/>
      <c r="W202" s="58"/>
      <c r="X202" s="58"/>
      <c r="Y202" s="59" t="s">
        <v>156</v>
      </c>
      <c r="Z202" s="60">
        <v>0</v>
      </c>
      <c r="AA202" s="25">
        <f>VLOOKUP(F202,Zones!$A$2:$F$2186,6,FALSE)</f>
        <v>1402</v>
      </c>
      <c r="AB202" s="25">
        <f>VLOOKUP(L202,Zones!$A$2:$F$2186,6,FALSE)</f>
        <v>1396</v>
      </c>
    </row>
    <row r="203" spans="2:28">
      <c r="B203" s="40">
        <v>0.3520833333333333</v>
      </c>
      <c r="C203" s="40" t="s">
        <v>396</v>
      </c>
      <c r="D203" s="41">
        <v>1</v>
      </c>
      <c r="E203" s="42">
        <v>2</v>
      </c>
      <c r="F203" s="42" t="s">
        <v>3282</v>
      </c>
      <c r="G203" s="43" t="s">
        <v>154</v>
      </c>
      <c r="H203" s="42" t="s">
        <v>155</v>
      </c>
      <c r="I203" s="43">
        <v>1</v>
      </c>
      <c r="J203" s="43">
        <v>1</v>
      </c>
      <c r="K203" s="25" t="str">
        <f>VLOOKUP(J203,Key!$E$2:$F$9,2,FALSE)</f>
        <v>Home</v>
      </c>
      <c r="L203" s="42" t="s">
        <v>199</v>
      </c>
      <c r="M203" s="43" t="s">
        <v>836</v>
      </c>
      <c r="N203" s="42" t="s">
        <v>155</v>
      </c>
      <c r="O203" s="43">
        <v>2</v>
      </c>
      <c r="P203" s="43">
        <v>2</v>
      </c>
      <c r="Q203" s="25" t="str">
        <f>VLOOKUP(P203,Key!$E$2:$F$9,2,FALSE)</f>
        <v>Work</v>
      </c>
      <c r="R203" s="25" t="str">
        <f t="shared" si="4"/>
        <v>Home-Work</v>
      </c>
      <c r="S203" s="58"/>
      <c r="T203" s="58">
        <v>1</v>
      </c>
      <c r="U203" s="43">
        <v>2</v>
      </c>
      <c r="V203" s="43"/>
      <c r="W203" s="58"/>
      <c r="X203" s="58"/>
      <c r="Y203" s="59" t="s">
        <v>156</v>
      </c>
      <c r="Z203" s="60">
        <v>0</v>
      </c>
      <c r="AA203" s="25">
        <f>VLOOKUP(F203,Zones!$A$2:$F$2186,6,FALSE)</f>
        <v>1394</v>
      </c>
      <c r="AB203" s="25">
        <f>VLOOKUP(L203,Zones!$A$2:$F$2186,6,FALSE)</f>
        <v>577</v>
      </c>
    </row>
    <row r="204" spans="2:28">
      <c r="B204" s="40">
        <v>0.35416666666666669</v>
      </c>
      <c r="C204" s="40" t="s">
        <v>397</v>
      </c>
      <c r="D204" s="41">
        <v>1</v>
      </c>
      <c r="E204" s="42">
        <v>2</v>
      </c>
      <c r="F204" s="42" t="s">
        <v>245</v>
      </c>
      <c r="G204" s="43" t="s">
        <v>154</v>
      </c>
      <c r="H204" s="42" t="s">
        <v>155</v>
      </c>
      <c r="I204" s="43">
        <v>1</v>
      </c>
      <c r="J204" s="43">
        <v>1</v>
      </c>
      <c r="K204" s="25" t="str">
        <f>VLOOKUP(J204,Key!$E$2:$F$9,2,FALSE)</f>
        <v>Home</v>
      </c>
      <c r="L204" s="42" t="s">
        <v>836</v>
      </c>
      <c r="M204" s="43" t="s">
        <v>836</v>
      </c>
      <c r="N204" s="42" t="s">
        <v>155</v>
      </c>
      <c r="O204" s="43">
        <v>2</v>
      </c>
      <c r="P204" s="43">
        <v>2</v>
      </c>
      <c r="Q204" s="25" t="str">
        <f>VLOOKUP(P204,Key!$E$2:$F$9,2,FALSE)</f>
        <v>Work</v>
      </c>
      <c r="R204" s="25" t="str">
        <f t="shared" si="4"/>
        <v>Home-Work</v>
      </c>
      <c r="S204" s="58"/>
      <c r="T204" s="58"/>
      <c r="U204" s="43"/>
      <c r="V204" s="43"/>
      <c r="W204" s="58"/>
      <c r="X204" s="58"/>
      <c r="Y204" s="59" t="s">
        <v>156</v>
      </c>
      <c r="Z204" s="60"/>
      <c r="AA204" s="25">
        <f>VLOOKUP(F204,Zones!$A$2:$F$2186,6,FALSE)</f>
        <v>1402</v>
      </c>
      <c r="AB204" s="25">
        <f>VLOOKUP(L204,Zones!$A$2:$F$2186,6,FALSE)</f>
        <v>521</v>
      </c>
    </row>
    <row r="205" spans="2:28">
      <c r="B205" s="40">
        <v>0.35833333333333334</v>
      </c>
      <c r="C205" s="40" t="s">
        <v>398</v>
      </c>
      <c r="D205" s="41">
        <v>1</v>
      </c>
      <c r="E205" s="42">
        <v>1</v>
      </c>
      <c r="F205" s="42" t="s">
        <v>399</v>
      </c>
      <c r="G205" s="43" t="s">
        <v>154</v>
      </c>
      <c r="H205" s="42" t="s">
        <v>155</v>
      </c>
      <c r="I205" s="43">
        <v>4</v>
      </c>
      <c r="J205" s="43">
        <v>2</v>
      </c>
      <c r="K205" s="25" t="str">
        <f>VLOOKUP(J205,Key!$E$2:$F$9,2,FALSE)</f>
        <v>Work</v>
      </c>
      <c r="L205" s="42" t="s">
        <v>146</v>
      </c>
      <c r="M205" s="43" t="s">
        <v>154</v>
      </c>
      <c r="N205" s="42" t="s">
        <v>155</v>
      </c>
      <c r="O205" s="43">
        <v>11</v>
      </c>
      <c r="P205" s="43">
        <v>2</v>
      </c>
      <c r="Q205" s="25" t="str">
        <f>VLOOKUP(P205,Key!$E$2:$F$9,2,FALSE)</f>
        <v>Work</v>
      </c>
      <c r="R205" s="25" t="str">
        <f t="shared" si="4"/>
        <v>Work-Work</v>
      </c>
      <c r="S205" s="58">
        <v>1</v>
      </c>
      <c r="T205" s="58">
        <v>0.1</v>
      </c>
      <c r="U205" s="43">
        <v>2</v>
      </c>
      <c r="V205" s="43"/>
      <c r="W205" s="58"/>
      <c r="X205" s="58"/>
      <c r="Y205" s="59" t="s">
        <v>156</v>
      </c>
      <c r="Z205" s="60">
        <v>1000</v>
      </c>
      <c r="AA205" s="25">
        <f>VLOOKUP(F205,Zones!$A$2:$F$2186,6,FALSE)</f>
        <v>1383</v>
      </c>
      <c r="AB205" s="25">
        <f>VLOOKUP(L205,Zones!$A$2:$F$2186,6,FALSE)</f>
        <v>1393</v>
      </c>
    </row>
    <row r="206" spans="2:28">
      <c r="B206" s="40">
        <v>0.36249999999999999</v>
      </c>
      <c r="C206" s="40" t="s">
        <v>400</v>
      </c>
      <c r="D206" s="41">
        <v>7</v>
      </c>
      <c r="E206" s="42">
        <v>1</v>
      </c>
      <c r="F206" s="42" t="s">
        <v>168</v>
      </c>
      <c r="G206" s="43" t="s">
        <v>154</v>
      </c>
      <c r="H206" s="42" t="s">
        <v>155</v>
      </c>
      <c r="I206" s="43">
        <v>1</v>
      </c>
      <c r="J206" s="43">
        <v>1</v>
      </c>
      <c r="K206" s="25" t="str">
        <f>VLOOKUP(J206,Key!$E$2:$F$9,2,FALSE)</f>
        <v>Home</v>
      </c>
      <c r="L206" s="42" t="s">
        <v>146</v>
      </c>
      <c r="M206" s="43" t="s">
        <v>154</v>
      </c>
      <c r="N206" s="42" t="s">
        <v>155</v>
      </c>
      <c r="O206" s="43">
        <v>6</v>
      </c>
      <c r="P206" s="43">
        <v>2</v>
      </c>
      <c r="Q206" s="25" t="str">
        <f>VLOOKUP(P206,Key!$E$2:$F$9,2,FALSE)</f>
        <v>Work</v>
      </c>
      <c r="R206" s="25" t="str">
        <f t="shared" si="4"/>
        <v>Home-Work</v>
      </c>
      <c r="S206" s="58"/>
      <c r="T206" s="58">
        <v>0.1</v>
      </c>
      <c r="U206" s="43">
        <v>6</v>
      </c>
      <c r="V206" s="43"/>
      <c r="W206" s="58"/>
      <c r="X206" s="58"/>
      <c r="Y206" s="59" t="s">
        <v>156</v>
      </c>
      <c r="Z206" s="60">
        <v>300</v>
      </c>
      <c r="AA206" s="25">
        <f>VLOOKUP(F206,Zones!$A$2:$F$2186,6,FALSE)</f>
        <v>1393</v>
      </c>
      <c r="AB206" s="25">
        <f>VLOOKUP(L206,Zones!$A$2:$F$2186,6,FALSE)</f>
        <v>1393</v>
      </c>
    </row>
    <row r="207" spans="2:28">
      <c r="B207" s="40">
        <v>0.36458333333333331</v>
      </c>
      <c r="C207" s="40" t="s">
        <v>401</v>
      </c>
      <c r="D207" s="41">
        <v>4</v>
      </c>
      <c r="E207" s="42">
        <v>16</v>
      </c>
      <c r="F207" s="42" t="s">
        <v>147</v>
      </c>
      <c r="G207" s="43" t="s">
        <v>154</v>
      </c>
      <c r="H207" s="42" t="s">
        <v>155</v>
      </c>
      <c r="I207" s="43">
        <v>6</v>
      </c>
      <c r="J207" s="43">
        <v>2</v>
      </c>
      <c r="K207" s="25" t="str">
        <f>VLOOKUP(J207,Key!$E$2:$F$9,2,FALSE)</f>
        <v>Work</v>
      </c>
      <c r="L207" s="42" t="s">
        <v>146</v>
      </c>
      <c r="M207" s="43" t="s">
        <v>154</v>
      </c>
      <c r="N207" s="42" t="s">
        <v>155</v>
      </c>
      <c r="O207" s="43">
        <v>6</v>
      </c>
      <c r="P207" s="43">
        <v>2</v>
      </c>
      <c r="Q207" s="25" t="str">
        <f>VLOOKUP(P207,Key!$E$2:$F$9,2,FALSE)</f>
        <v>Work</v>
      </c>
      <c r="R207" s="25" t="str">
        <f t="shared" si="4"/>
        <v>Work-Work</v>
      </c>
      <c r="S207" s="58"/>
      <c r="T207" s="58">
        <v>0.1</v>
      </c>
      <c r="U207" s="43">
        <v>1</v>
      </c>
      <c r="V207" s="43"/>
      <c r="W207" s="58"/>
      <c r="X207" s="58"/>
      <c r="Y207" s="59" t="s">
        <v>156</v>
      </c>
      <c r="Z207" s="60">
        <v>0</v>
      </c>
      <c r="AA207" s="25">
        <f>VLOOKUP(F207,Zones!$A$2:$F$2186,6,FALSE)</f>
        <v>1402</v>
      </c>
      <c r="AB207" s="25">
        <f>VLOOKUP(L207,Zones!$A$2:$F$2186,6,FALSE)</f>
        <v>1393</v>
      </c>
    </row>
    <row r="208" spans="2:28">
      <c r="B208" s="40">
        <v>0.36805555555555558</v>
      </c>
      <c r="C208" s="40" t="s">
        <v>402</v>
      </c>
      <c r="D208" s="41">
        <v>1</v>
      </c>
      <c r="E208" s="42">
        <v>2</v>
      </c>
      <c r="F208" s="42" t="s">
        <v>394</v>
      </c>
      <c r="G208" s="43" t="s">
        <v>154</v>
      </c>
      <c r="H208" s="42" t="s">
        <v>155</v>
      </c>
      <c r="I208" s="43">
        <v>1</v>
      </c>
      <c r="J208" s="43">
        <v>1</v>
      </c>
      <c r="K208" s="25" t="str">
        <f>VLOOKUP(J208,Key!$E$2:$F$9,2,FALSE)</f>
        <v>Home</v>
      </c>
      <c r="L208" s="42" t="s">
        <v>146</v>
      </c>
      <c r="M208" s="43" t="s">
        <v>154</v>
      </c>
      <c r="N208" s="42" t="s">
        <v>155</v>
      </c>
      <c r="O208" s="43">
        <v>2</v>
      </c>
      <c r="P208" s="43">
        <v>4</v>
      </c>
      <c r="Q208" s="25" t="str">
        <f>VLOOKUP(P208,Key!$E$2:$F$9,2,FALSE)</f>
        <v>Commercial</v>
      </c>
      <c r="R208" s="25" t="str">
        <f t="shared" si="4"/>
        <v>Home-Commercial</v>
      </c>
      <c r="S208" s="58"/>
      <c r="T208" s="58">
        <v>0.1</v>
      </c>
      <c r="U208" s="43">
        <v>2</v>
      </c>
      <c r="V208" s="43"/>
      <c r="W208" s="58"/>
      <c r="X208" s="58"/>
      <c r="Y208" s="59" t="s">
        <v>156</v>
      </c>
      <c r="Z208" s="60">
        <v>0</v>
      </c>
      <c r="AA208" s="25">
        <f>VLOOKUP(F208,Zones!$A$2:$F$2186,6,FALSE)</f>
        <v>542</v>
      </c>
      <c r="AB208" s="25">
        <f>VLOOKUP(L208,Zones!$A$2:$F$2186,6,FALSE)</f>
        <v>1393</v>
      </c>
    </row>
    <row r="209" spans="2:28">
      <c r="B209" s="40">
        <v>0.37291666666666662</v>
      </c>
      <c r="C209" s="40" t="s">
        <v>403</v>
      </c>
      <c r="D209" s="41">
        <v>2</v>
      </c>
      <c r="E209" s="42">
        <v>4</v>
      </c>
      <c r="F209" s="42" t="s">
        <v>404</v>
      </c>
      <c r="G209" s="43" t="s">
        <v>154</v>
      </c>
      <c r="H209" s="42" t="s">
        <v>155</v>
      </c>
      <c r="I209" s="43">
        <v>1</v>
      </c>
      <c r="J209" s="43">
        <v>1</v>
      </c>
      <c r="K209" s="25" t="str">
        <f>VLOOKUP(J209,Key!$E$2:$F$9,2,FALSE)</f>
        <v>Home</v>
      </c>
      <c r="L209" s="42" t="s">
        <v>199</v>
      </c>
      <c r="M209" s="43" t="s">
        <v>836</v>
      </c>
      <c r="N209" s="42" t="s">
        <v>155</v>
      </c>
      <c r="O209" s="43">
        <v>10</v>
      </c>
      <c r="P209" s="43">
        <v>2</v>
      </c>
      <c r="Q209" s="25" t="str">
        <f>VLOOKUP(P209,Key!$E$2:$F$9,2,FALSE)</f>
        <v>Work</v>
      </c>
      <c r="R209" s="25" t="str">
        <f t="shared" si="4"/>
        <v>Home-Work</v>
      </c>
      <c r="S209" s="58"/>
      <c r="T209" s="58">
        <v>0.7</v>
      </c>
      <c r="U209" s="43">
        <v>2</v>
      </c>
      <c r="V209" s="43"/>
      <c r="W209" s="58"/>
      <c r="X209" s="58"/>
      <c r="Y209" s="59" t="s">
        <v>156</v>
      </c>
      <c r="Z209" s="60">
        <v>3000</v>
      </c>
      <c r="AA209" s="25">
        <f>VLOOKUP(F209,Zones!$A$2:$F$2186,6,FALSE)</f>
        <v>1393</v>
      </c>
      <c r="AB209" s="25">
        <f>VLOOKUP(L209,Zones!$A$2:$F$2186,6,FALSE)</f>
        <v>577</v>
      </c>
    </row>
    <row r="210" spans="2:28">
      <c r="B210" s="40">
        <v>0.3888888888888889</v>
      </c>
      <c r="C210" s="40" t="s">
        <v>405</v>
      </c>
      <c r="D210" s="41">
        <v>1</v>
      </c>
      <c r="E210" s="42">
        <v>1</v>
      </c>
      <c r="F210" s="42" t="s">
        <v>404</v>
      </c>
      <c r="G210" s="43" t="s">
        <v>154</v>
      </c>
      <c r="H210" s="42" t="s">
        <v>155</v>
      </c>
      <c r="I210" s="43">
        <v>1</v>
      </c>
      <c r="J210" s="43">
        <v>1</v>
      </c>
      <c r="K210" s="25" t="str">
        <f>VLOOKUP(J210,Key!$E$2:$F$9,2,FALSE)</f>
        <v>Home</v>
      </c>
      <c r="L210" s="42" t="s">
        <v>371</v>
      </c>
      <c r="M210" s="43" t="s">
        <v>836</v>
      </c>
      <c r="N210" s="42" t="s">
        <v>155</v>
      </c>
      <c r="O210" s="43">
        <v>11</v>
      </c>
      <c r="P210" s="43">
        <v>2</v>
      </c>
      <c r="Q210" s="25" t="str">
        <f>VLOOKUP(P210,Key!$E$2:$F$9,2,FALSE)</f>
        <v>Work</v>
      </c>
      <c r="R210" s="25" t="str">
        <f t="shared" si="4"/>
        <v>Home-Work</v>
      </c>
      <c r="S210" s="58"/>
      <c r="T210" s="58">
        <v>0.7</v>
      </c>
      <c r="U210" s="43">
        <v>2</v>
      </c>
      <c r="V210" s="43"/>
      <c r="W210" s="58"/>
      <c r="X210" s="58"/>
      <c r="Y210" s="59" t="s">
        <v>156</v>
      </c>
      <c r="Z210" s="60">
        <v>1000</v>
      </c>
      <c r="AA210" s="25">
        <f>VLOOKUP(F210,Zones!$A$2:$F$2186,6,FALSE)</f>
        <v>1393</v>
      </c>
      <c r="AB210" s="25">
        <f>VLOOKUP(L210,Zones!$A$2:$F$2186,6,FALSE)</f>
        <v>577</v>
      </c>
    </row>
    <row r="211" spans="2:28">
      <c r="B211" s="40">
        <v>0.38055555555555554</v>
      </c>
      <c r="C211" s="40" t="s">
        <v>406</v>
      </c>
      <c r="D211" s="41">
        <v>1</v>
      </c>
      <c r="E211" s="42">
        <v>1</v>
      </c>
      <c r="F211" s="42" t="s">
        <v>168</v>
      </c>
      <c r="G211" s="43" t="s">
        <v>154</v>
      </c>
      <c r="H211" s="42" t="s">
        <v>155</v>
      </c>
      <c r="I211" s="43">
        <v>1</v>
      </c>
      <c r="J211" s="43">
        <v>1</v>
      </c>
      <c r="K211" s="25" t="str">
        <f>VLOOKUP(J211,Key!$E$2:$F$9,2,FALSE)</f>
        <v>Home</v>
      </c>
      <c r="L211" s="42" t="s">
        <v>836</v>
      </c>
      <c r="M211" s="43" t="s">
        <v>836</v>
      </c>
      <c r="N211" s="42" t="s">
        <v>155</v>
      </c>
      <c r="O211" s="43">
        <v>2</v>
      </c>
      <c r="P211" s="43">
        <v>2</v>
      </c>
      <c r="Q211" s="25" t="str">
        <f>VLOOKUP(P211,Key!$E$2:$F$9,2,FALSE)</f>
        <v>Work</v>
      </c>
      <c r="R211" s="25" t="str">
        <f t="shared" si="4"/>
        <v>Home-Work</v>
      </c>
      <c r="S211" s="58">
        <v>16</v>
      </c>
      <c r="T211" s="58">
        <v>1</v>
      </c>
      <c r="U211" s="43">
        <v>2</v>
      </c>
      <c r="V211" s="43"/>
      <c r="W211" s="58"/>
      <c r="X211" s="58"/>
      <c r="Y211" s="59" t="s">
        <v>156</v>
      </c>
      <c r="Z211" s="60">
        <v>1000</v>
      </c>
      <c r="AA211" s="25">
        <f>VLOOKUP(F211,Zones!$A$2:$F$2186,6,FALSE)</f>
        <v>1393</v>
      </c>
      <c r="AB211" s="25">
        <f>VLOOKUP(L211,Zones!$A$2:$F$2186,6,FALSE)</f>
        <v>521</v>
      </c>
    </row>
    <row r="212" spans="2:28">
      <c r="B212" s="40">
        <v>0.38263888888888892</v>
      </c>
      <c r="C212" s="40" t="s">
        <v>407</v>
      </c>
      <c r="D212" s="41">
        <v>7</v>
      </c>
      <c r="E212" s="42">
        <v>2</v>
      </c>
      <c r="F212" s="42" t="s">
        <v>168</v>
      </c>
      <c r="G212" s="43" t="s">
        <v>154</v>
      </c>
      <c r="H212" s="42" t="s">
        <v>155</v>
      </c>
      <c r="I212" s="43">
        <v>11</v>
      </c>
      <c r="J212" s="43">
        <v>4</v>
      </c>
      <c r="K212" s="25" t="str">
        <f>VLOOKUP(J212,Key!$E$2:$F$9,2,FALSE)</f>
        <v>Commercial</v>
      </c>
      <c r="L212" s="42" t="s">
        <v>184</v>
      </c>
      <c r="M212" s="43" t="s">
        <v>154</v>
      </c>
      <c r="N212" s="42" t="s">
        <v>155</v>
      </c>
      <c r="O212" s="43">
        <v>11</v>
      </c>
      <c r="P212" s="43">
        <v>4</v>
      </c>
      <c r="Q212" s="25" t="str">
        <f>VLOOKUP(P212,Key!$E$2:$F$9,2,FALSE)</f>
        <v>Commercial</v>
      </c>
      <c r="R212" s="25" t="str">
        <f t="shared" si="4"/>
        <v>Commercial-Commercial</v>
      </c>
      <c r="S212" s="58"/>
      <c r="T212" s="58">
        <v>0.1</v>
      </c>
      <c r="U212" s="43"/>
      <c r="V212" s="43"/>
      <c r="W212" s="58"/>
      <c r="X212" s="58"/>
      <c r="Y212" s="59" t="s">
        <v>156</v>
      </c>
      <c r="Z212" s="60">
        <v>0</v>
      </c>
      <c r="AA212" s="25">
        <f>VLOOKUP(F212,Zones!$A$2:$F$2186,6,FALSE)</f>
        <v>1393</v>
      </c>
      <c r="AB212" s="25">
        <f>VLOOKUP(L212,Zones!$A$2:$F$2186,6,FALSE)</f>
        <v>811</v>
      </c>
    </row>
    <row r="213" spans="2:28">
      <c r="B213" s="40">
        <v>0.38472222222222219</v>
      </c>
      <c r="C213" s="40" t="s">
        <v>408</v>
      </c>
      <c r="D213" s="41">
        <v>2</v>
      </c>
      <c r="E213" s="42">
        <v>2</v>
      </c>
      <c r="F213" s="42" t="s">
        <v>394</v>
      </c>
      <c r="G213" s="43" t="s">
        <v>154</v>
      </c>
      <c r="H213" s="42" t="s">
        <v>155</v>
      </c>
      <c r="I213" s="43">
        <v>1</v>
      </c>
      <c r="J213" s="43">
        <v>1</v>
      </c>
      <c r="K213" s="25" t="str">
        <f>VLOOKUP(J213,Key!$E$2:$F$9,2,FALSE)</f>
        <v>Home</v>
      </c>
      <c r="L213" s="42" t="s">
        <v>146</v>
      </c>
      <c r="M213" s="43" t="s">
        <v>154</v>
      </c>
      <c r="N213" s="42" t="s">
        <v>155</v>
      </c>
      <c r="O213" s="43">
        <v>11</v>
      </c>
      <c r="P213" s="43">
        <v>2</v>
      </c>
      <c r="Q213" s="25" t="str">
        <f>VLOOKUP(P213,Key!$E$2:$F$9,2,FALSE)</f>
        <v>Work</v>
      </c>
      <c r="R213" s="25" t="str">
        <f t="shared" si="4"/>
        <v>Home-Work</v>
      </c>
      <c r="S213" s="58"/>
      <c r="T213" s="58">
        <v>0.1</v>
      </c>
      <c r="U213" s="43"/>
      <c r="V213" s="43"/>
      <c r="W213" s="58"/>
      <c r="X213" s="58"/>
      <c r="Y213" s="59" t="s">
        <v>156</v>
      </c>
      <c r="Z213" s="60">
        <v>0</v>
      </c>
      <c r="AA213" s="25">
        <f>VLOOKUP(F213,Zones!$A$2:$F$2186,6,FALSE)</f>
        <v>542</v>
      </c>
      <c r="AB213" s="25">
        <f>VLOOKUP(L213,Zones!$A$2:$F$2186,6,FALSE)</f>
        <v>1393</v>
      </c>
    </row>
    <row r="214" spans="2:28">
      <c r="B214" s="40">
        <v>0.38750000000000001</v>
      </c>
      <c r="C214" s="40" t="s">
        <v>409</v>
      </c>
      <c r="D214" s="41">
        <v>1</v>
      </c>
      <c r="E214" s="42">
        <v>2</v>
      </c>
      <c r="F214" s="42" t="s">
        <v>168</v>
      </c>
      <c r="G214" s="43" t="s">
        <v>154</v>
      </c>
      <c r="H214" s="42" t="s">
        <v>155</v>
      </c>
      <c r="I214" s="43">
        <v>1</v>
      </c>
      <c r="J214" s="43">
        <v>1</v>
      </c>
      <c r="K214" s="25" t="str">
        <f>VLOOKUP(J214,Key!$E$2:$F$9,2,FALSE)</f>
        <v>Home</v>
      </c>
      <c r="L214" s="42" t="s">
        <v>146</v>
      </c>
      <c r="M214" s="43" t="s">
        <v>154</v>
      </c>
      <c r="N214" s="42" t="s">
        <v>155</v>
      </c>
      <c r="O214" s="43">
        <v>4</v>
      </c>
      <c r="P214" s="43">
        <v>2</v>
      </c>
      <c r="Q214" s="25" t="str">
        <f>VLOOKUP(P214,Key!$E$2:$F$9,2,FALSE)</f>
        <v>Work</v>
      </c>
      <c r="R214" s="25" t="str">
        <f t="shared" si="4"/>
        <v>Home-Work</v>
      </c>
      <c r="S214" s="58"/>
      <c r="T214" s="58">
        <v>0.1</v>
      </c>
      <c r="U214" s="43">
        <v>2</v>
      </c>
      <c r="V214" s="43"/>
      <c r="W214" s="58"/>
      <c r="X214" s="58"/>
      <c r="Y214" s="59" t="s">
        <v>156</v>
      </c>
      <c r="Z214" s="60">
        <v>2000</v>
      </c>
      <c r="AA214" s="25">
        <f>VLOOKUP(F214,Zones!$A$2:$F$2186,6,FALSE)</f>
        <v>1393</v>
      </c>
      <c r="AB214" s="25">
        <f>VLOOKUP(L214,Zones!$A$2:$F$2186,6,FALSE)</f>
        <v>1393</v>
      </c>
    </row>
    <row r="215" spans="2:28">
      <c r="B215" s="40">
        <v>0.38958333333333334</v>
      </c>
      <c r="C215" s="40" t="s">
        <v>410</v>
      </c>
      <c r="D215" s="41">
        <v>1</v>
      </c>
      <c r="E215" s="42">
        <v>2</v>
      </c>
      <c r="F215" s="42" t="s">
        <v>168</v>
      </c>
      <c r="G215" s="43" t="s">
        <v>154</v>
      </c>
      <c r="H215" s="42" t="s">
        <v>155</v>
      </c>
      <c r="I215" s="43">
        <v>1</v>
      </c>
      <c r="J215" s="43">
        <v>1</v>
      </c>
      <c r="K215" s="25" t="str">
        <f>VLOOKUP(J215,Key!$E$2:$F$9,2,FALSE)</f>
        <v>Home</v>
      </c>
      <c r="L215" s="42" t="s">
        <v>146</v>
      </c>
      <c r="M215" s="43" t="s">
        <v>154</v>
      </c>
      <c r="N215" s="42" t="s">
        <v>155</v>
      </c>
      <c r="O215" s="43">
        <v>11</v>
      </c>
      <c r="P215" s="43">
        <v>6</v>
      </c>
      <c r="Q215" s="25" t="str">
        <f>VLOOKUP(P215,Key!$E$2:$F$9,2,FALSE)</f>
        <v>Leisure/Social</v>
      </c>
      <c r="R215" s="25" t="str">
        <f t="shared" si="4"/>
        <v>Home-Leisure/Social</v>
      </c>
      <c r="S215" s="58"/>
      <c r="T215" s="58">
        <v>0.1</v>
      </c>
      <c r="U215" s="43">
        <v>6</v>
      </c>
      <c r="V215" s="43"/>
      <c r="W215" s="58"/>
      <c r="X215" s="58"/>
      <c r="Y215" s="59" t="s">
        <v>156</v>
      </c>
      <c r="Z215" s="60">
        <v>0</v>
      </c>
      <c r="AA215" s="25">
        <f>VLOOKUP(F215,Zones!$A$2:$F$2186,6,FALSE)</f>
        <v>1393</v>
      </c>
      <c r="AB215" s="25">
        <f>VLOOKUP(L215,Zones!$A$2:$F$2186,6,FALSE)</f>
        <v>1393</v>
      </c>
    </row>
    <row r="216" spans="2:28">
      <c r="B216" s="40">
        <v>0.3923611111111111</v>
      </c>
      <c r="C216" s="40" t="s">
        <v>411</v>
      </c>
      <c r="D216" s="41">
        <v>1</v>
      </c>
      <c r="E216" s="42">
        <v>1</v>
      </c>
      <c r="F216" s="42" t="s">
        <v>245</v>
      </c>
      <c r="G216" s="43" t="s">
        <v>154</v>
      </c>
      <c r="H216" s="42" t="s">
        <v>155</v>
      </c>
      <c r="I216" s="43">
        <v>1</v>
      </c>
      <c r="J216" s="43">
        <v>1</v>
      </c>
      <c r="K216" s="25" t="str">
        <f>VLOOKUP(J216,Key!$E$2:$F$9,2,FALSE)</f>
        <v>Home</v>
      </c>
      <c r="L216" s="42" t="s">
        <v>836</v>
      </c>
      <c r="M216" s="43" t="s">
        <v>836</v>
      </c>
      <c r="N216" s="42" t="s">
        <v>155</v>
      </c>
      <c r="O216" s="43">
        <v>2</v>
      </c>
      <c r="P216" s="43">
        <v>2</v>
      </c>
      <c r="Q216" s="25" t="str">
        <f>VLOOKUP(P216,Key!$E$2:$F$9,2,FALSE)</f>
        <v>Work</v>
      </c>
      <c r="R216" s="25" t="str">
        <f t="shared" si="4"/>
        <v>Home-Work</v>
      </c>
      <c r="S216" s="58">
        <v>18</v>
      </c>
      <c r="T216" s="58">
        <v>1</v>
      </c>
      <c r="U216" s="43">
        <v>2</v>
      </c>
      <c r="V216" s="43"/>
      <c r="W216" s="58"/>
      <c r="X216" s="58"/>
      <c r="Y216" s="59" t="s">
        <v>156</v>
      </c>
      <c r="Z216" s="60">
        <v>0</v>
      </c>
      <c r="AA216" s="25">
        <f>VLOOKUP(F216,Zones!$A$2:$F$2186,6,FALSE)</f>
        <v>1402</v>
      </c>
      <c r="AB216" s="25">
        <f>VLOOKUP(L216,Zones!$A$2:$F$2186,6,FALSE)</f>
        <v>521</v>
      </c>
    </row>
    <row r="217" spans="2:28">
      <c r="B217" s="40">
        <v>0.39444444444444443</v>
      </c>
      <c r="C217" s="40" t="s">
        <v>412</v>
      </c>
      <c r="D217" s="41">
        <v>1</v>
      </c>
      <c r="E217" s="42">
        <v>1</v>
      </c>
      <c r="F217" s="42" t="s">
        <v>168</v>
      </c>
      <c r="G217" s="43" t="s">
        <v>154</v>
      </c>
      <c r="H217" s="42" t="s">
        <v>155</v>
      </c>
      <c r="I217" s="43">
        <v>4</v>
      </c>
      <c r="J217" s="43">
        <v>6</v>
      </c>
      <c r="K217" s="25" t="str">
        <f>VLOOKUP(J217,Key!$E$2:$F$9,2,FALSE)</f>
        <v>Leisure/Social</v>
      </c>
      <c r="L217" s="42" t="s">
        <v>413</v>
      </c>
      <c r="M217" s="43" t="s">
        <v>836</v>
      </c>
      <c r="N217" s="42" t="s">
        <v>155</v>
      </c>
      <c r="O217" s="43">
        <v>11</v>
      </c>
      <c r="P217" s="43">
        <v>4</v>
      </c>
      <c r="Q217" s="25" t="str">
        <f>VLOOKUP(P217,Key!$E$2:$F$9,2,FALSE)</f>
        <v>Commercial</v>
      </c>
      <c r="R217" s="25" t="str">
        <f t="shared" si="4"/>
        <v>Leisure/Social-Commercial</v>
      </c>
      <c r="S217" s="58"/>
      <c r="T217" s="58">
        <v>0.5</v>
      </c>
      <c r="U217" s="43">
        <v>6</v>
      </c>
      <c r="V217" s="43"/>
      <c r="W217" s="58"/>
      <c r="X217" s="58"/>
      <c r="Y217" s="59" t="s">
        <v>156</v>
      </c>
      <c r="Z217" s="60">
        <v>2000</v>
      </c>
      <c r="AA217" s="25">
        <f>VLOOKUP(F217,Zones!$A$2:$F$2186,6,FALSE)</f>
        <v>1393</v>
      </c>
      <c r="AB217" s="25">
        <f>VLOOKUP(L217,Zones!$A$2:$F$2186,6,FALSE)</f>
        <v>520</v>
      </c>
    </row>
    <row r="218" spans="2:28">
      <c r="B218" s="40">
        <v>0.3972222222222222</v>
      </c>
      <c r="C218" s="40" t="s">
        <v>414</v>
      </c>
      <c r="D218" s="41">
        <v>1</v>
      </c>
      <c r="E218" s="42">
        <v>4</v>
      </c>
      <c r="F218" s="42" t="s">
        <v>168</v>
      </c>
      <c r="G218" s="43" t="s">
        <v>154</v>
      </c>
      <c r="H218" s="42" t="s">
        <v>155</v>
      </c>
      <c r="I218" s="43">
        <v>1</v>
      </c>
      <c r="J218" s="43">
        <v>1</v>
      </c>
      <c r="K218" s="25" t="str">
        <f>VLOOKUP(J218,Key!$E$2:$F$9,2,FALSE)</f>
        <v>Home</v>
      </c>
      <c r="L218" s="42" t="s">
        <v>836</v>
      </c>
      <c r="M218" s="43" t="s">
        <v>836</v>
      </c>
      <c r="N218" s="42" t="s">
        <v>155</v>
      </c>
      <c r="O218" s="43">
        <v>11</v>
      </c>
      <c r="P218" s="43">
        <v>2</v>
      </c>
      <c r="Q218" s="25" t="str">
        <f>VLOOKUP(P218,Key!$E$2:$F$9,2,FALSE)</f>
        <v>Work</v>
      </c>
      <c r="R218" s="25" t="str">
        <f t="shared" si="4"/>
        <v>Home-Work</v>
      </c>
      <c r="S218" s="58">
        <v>16</v>
      </c>
      <c r="T218" s="58">
        <v>1</v>
      </c>
      <c r="U218" s="43">
        <v>2</v>
      </c>
      <c r="V218" s="43"/>
      <c r="W218" s="58"/>
      <c r="X218" s="58"/>
      <c r="Y218" s="59" t="s">
        <v>156</v>
      </c>
      <c r="Z218" s="60">
        <v>2000</v>
      </c>
      <c r="AA218" s="25">
        <f>VLOOKUP(F218,Zones!$A$2:$F$2186,6,FALSE)</f>
        <v>1393</v>
      </c>
      <c r="AB218" s="25">
        <f>VLOOKUP(L218,Zones!$A$2:$F$2186,6,FALSE)</f>
        <v>521</v>
      </c>
    </row>
    <row r="219" spans="2:28">
      <c r="B219" s="40">
        <v>0.39999999999999997</v>
      </c>
      <c r="C219" s="40" t="s">
        <v>415</v>
      </c>
      <c r="D219" s="41">
        <v>1</v>
      </c>
      <c r="E219" s="42">
        <v>1</v>
      </c>
      <c r="F219" s="42" t="s">
        <v>168</v>
      </c>
      <c r="G219" s="43" t="s">
        <v>154</v>
      </c>
      <c r="H219" s="42" t="s">
        <v>155</v>
      </c>
      <c r="I219" s="43">
        <v>4</v>
      </c>
      <c r="J219" s="43">
        <v>2</v>
      </c>
      <c r="K219" s="25" t="str">
        <f>VLOOKUP(J219,Key!$E$2:$F$9,2,FALSE)</f>
        <v>Work</v>
      </c>
      <c r="L219" s="42" t="s">
        <v>146</v>
      </c>
      <c r="M219" s="43" t="s">
        <v>154</v>
      </c>
      <c r="N219" s="42" t="s">
        <v>155</v>
      </c>
      <c r="O219" s="43">
        <v>11</v>
      </c>
      <c r="P219" s="43">
        <v>6</v>
      </c>
      <c r="Q219" s="25" t="str">
        <f>VLOOKUP(P219,Key!$E$2:$F$9,2,FALSE)</f>
        <v>Leisure/Social</v>
      </c>
      <c r="R219" s="25" t="str">
        <f t="shared" si="4"/>
        <v>Work-Leisure/Social</v>
      </c>
      <c r="S219" s="58"/>
      <c r="T219" s="58">
        <v>0.1</v>
      </c>
      <c r="U219" s="43">
        <v>6</v>
      </c>
      <c r="V219" s="43"/>
      <c r="W219" s="58"/>
      <c r="X219" s="58"/>
      <c r="Y219" s="59" t="s">
        <v>156</v>
      </c>
      <c r="Z219" s="60">
        <v>0</v>
      </c>
      <c r="AA219" s="25">
        <f>VLOOKUP(F219,Zones!$A$2:$F$2186,6,FALSE)</f>
        <v>1393</v>
      </c>
      <c r="AB219" s="25">
        <f>VLOOKUP(L219,Zones!$A$2:$F$2186,6,FALSE)</f>
        <v>1393</v>
      </c>
    </row>
    <row r="220" spans="2:28">
      <c r="B220" s="40">
        <v>0.40208333333333335</v>
      </c>
      <c r="C220" s="40" t="s">
        <v>416</v>
      </c>
      <c r="D220" s="41">
        <v>1</v>
      </c>
      <c r="E220" s="42">
        <v>1</v>
      </c>
      <c r="F220" s="42" t="s">
        <v>404</v>
      </c>
      <c r="G220" s="43" t="s">
        <v>154</v>
      </c>
      <c r="H220" s="42" t="s">
        <v>155</v>
      </c>
      <c r="I220" s="43">
        <v>1</v>
      </c>
      <c r="J220" s="43">
        <v>1</v>
      </c>
      <c r="K220" s="25" t="str">
        <f>VLOOKUP(J220,Key!$E$2:$F$9,2,FALSE)</f>
        <v>Home</v>
      </c>
      <c r="L220" s="42" t="s">
        <v>417</v>
      </c>
      <c r="M220" s="43" t="s">
        <v>836</v>
      </c>
      <c r="N220" s="42" t="s">
        <v>155</v>
      </c>
      <c r="O220" s="43">
        <v>16</v>
      </c>
      <c r="P220" s="43">
        <v>6</v>
      </c>
      <c r="Q220" s="25" t="str">
        <f>VLOOKUP(P220,Key!$E$2:$F$9,2,FALSE)</f>
        <v>Leisure/Social</v>
      </c>
      <c r="R220" s="25" t="str">
        <f t="shared" si="4"/>
        <v>Home-Leisure/Social</v>
      </c>
      <c r="S220" s="58"/>
      <c r="T220" s="58">
        <v>1</v>
      </c>
      <c r="U220" s="43">
        <v>6</v>
      </c>
      <c r="V220" s="43"/>
      <c r="W220" s="58"/>
      <c r="X220" s="58"/>
      <c r="Y220" s="59" t="s">
        <v>156</v>
      </c>
      <c r="Z220" s="60">
        <v>5000</v>
      </c>
      <c r="AA220" s="25">
        <f>VLOOKUP(F220,Zones!$A$2:$F$2186,6,FALSE)</f>
        <v>1393</v>
      </c>
      <c r="AB220" s="25">
        <f>VLOOKUP(L220,Zones!$A$2:$F$2186,6,FALSE)</f>
        <v>522</v>
      </c>
    </row>
    <row r="221" spans="2:28">
      <c r="B221" s="40">
        <v>0.4055555555555555</v>
      </c>
      <c r="C221" s="40" t="s">
        <v>418</v>
      </c>
      <c r="D221" s="41">
        <v>1</v>
      </c>
      <c r="E221" s="42">
        <v>1</v>
      </c>
      <c r="F221" s="42" t="s">
        <v>419</v>
      </c>
      <c r="G221" s="43" t="s">
        <v>154</v>
      </c>
      <c r="H221" s="42" t="s">
        <v>155</v>
      </c>
      <c r="I221" s="43">
        <v>1</v>
      </c>
      <c r="J221" s="43">
        <v>1</v>
      </c>
      <c r="K221" s="25" t="str">
        <f>VLOOKUP(J221,Key!$E$2:$F$9,2,FALSE)</f>
        <v>Home</v>
      </c>
      <c r="L221" s="42" t="s">
        <v>420</v>
      </c>
      <c r="M221" s="43" t="s">
        <v>836</v>
      </c>
      <c r="N221" s="42" t="s">
        <v>155</v>
      </c>
      <c r="O221" s="43">
        <v>5</v>
      </c>
      <c r="P221" s="43">
        <v>2</v>
      </c>
      <c r="Q221" s="25" t="str">
        <f>VLOOKUP(P221,Key!$E$2:$F$9,2,FALSE)</f>
        <v>Work</v>
      </c>
      <c r="R221" s="25" t="str">
        <f t="shared" si="4"/>
        <v>Home-Work</v>
      </c>
      <c r="S221" s="58"/>
      <c r="T221" s="58">
        <v>1</v>
      </c>
      <c r="U221" s="43">
        <v>2</v>
      </c>
      <c r="V221" s="43"/>
      <c r="W221" s="58"/>
      <c r="X221" s="58"/>
      <c r="Y221" s="59" t="s">
        <v>156</v>
      </c>
      <c r="Z221" s="60">
        <v>2000</v>
      </c>
      <c r="AA221" s="25">
        <f>VLOOKUP(F221,Zones!$A$2:$F$2186,6,FALSE)</f>
        <v>1402</v>
      </c>
      <c r="AB221" s="25">
        <f>VLOOKUP(L221,Zones!$A$2:$F$2186,6,FALSE)</f>
        <v>560</v>
      </c>
    </row>
    <row r="222" spans="2:28">
      <c r="B222" s="40">
        <v>0.41041666666666665</v>
      </c>
      <c r="C222" s="40" t="s">
        <v>421</v>
      </c>
      <c r="D222" s="41">
        <v>1</v>
      </c>
      <c r="E222" s="42">
        <v>3</v>
      </c>
      <c r="F222" s="42" t="s">
        <v>168</v>
      </c>
      <c r="G222" s="43" t="s">
        <v>154</v>
      </c>
      <c r="H222" s="42" t="s">
        <v>155</v>
      </c>
      <c r="I222" s="43">
        <v>4</v>
      </c>
      <c r="J222" s="43">
        <v>2</v>
      </c>
      <c r="K222" s="25" t="str">
        <f>VLOOKUP(J222,Key!$E$2:$F$9,2,FALSE)</f>
        <v>Work</v>
      </c>
      <c r="L222" s="42" t="s">
        <v>146</v>
      </c>
      <c r="M222" s="43" t="s">
        <v>154</v>
      </c>
      <c r="N222" s="42" t="s">
        <v>155</v>
      </c>
      <c r="O222" s="43">
        <v>11</v>
      </c>
      <c r="P222" s="43">
        <v>6</v>
      </c>
      <c r="Q222" s="25" t="str">
        <f>VLOOKUP(P222,Key!$E$2:$F$9,2,FALSE)</f>
        <v>Leisure/Social</v>
      </c>
      <c r="R222" s="25" t="str">
        <f t="shared" si="4"/>
        <v>Work-Leisure/Social</v>
      </c>
      <c r="S222" s="58"/>
      <c r="T222" s="58">
        <v>0.1</v>
      </c>
      <c r="U222" s="43">
        <v>3</v>
      </c>
      <c r="V222" s="43"/>
      <c r="W222" s="58"/>
      <c r="X222" s="58"/>
      <c r="Y222" s="59" t="s">
        <v>156</v>
      </c>
      <c r="Z222" s="60">
        <v>10000</v>
      </c>
      <c r="AA222" s="25">
        <f>VLOOKUP(F222,Zones!$A$2:$F$2186,6,FALSE)</f>
        <v>1393</v>
      </c>
      <c r="AB222" s="25">
        <f>VLOOKUP(L222,Zones!$A$2:$F$2186,6,FALSE)</f>
        <v>1393</v>
      </c>
    </row>
    <row r="223" spans="2:28">
      <c r="B223" s="40">
        <v>0.41319444444444442</v>
      </c>
      <c r="C223" s="40" t="s">
        <v>422</v>
      </c>
      <c r="D223" s="41">
        <v>3</v>
      </c>
      <c r="E223" s="42">
        <v>1</v>
      </c>
      <c r="F223" s="42" t="s">
        <v>168</v>
      </c>
      <c r="G223" s="43" t="s">
        <v>154</v>
      </c>
      <c r="H223" s="42" t="s">
        <v>155</v>
      </c>
      <c r="I223" s="43">
        <v>9</v>
      </c>
      <c r="J223" s="43">
        <v>1</v>
      </c>
      <c r="K223" s="25" t="str">
        <f>VLOOKUP(J223,Key!$E$2:$F$9,2,FALSE)</f>
        <v>Home</v>
      </c>
      <c r="L223" s="42" t="s">
        <v>146</v>
      </c>
      <c r="M223" s="43" t="s">
        <v>154</v>
      </c>
      <c r="N223" s="42" t="s">
        <v>155</v>
      </c>
      <c r="O223" s="43">
        <v>9</v>
      </c>
      <c r="P223" s="43">
        <v>4</v>
      </c>
      <c r="Q223" s="25" t="str">
        <f>VLOOKUP(P223,Key!$E$2:$F$9,2,FALSE)</f>
        <v>Commercial</v>
      </c>
      <c r="R223" s="25" t="str">
        <f t="shared" si="4"/>
        <v>Home-Commercial</v>
      </c>
      <c r="S223" s="58">
        <v>1</v>
      </c>
      <c r="T223" s="58">
        <v>0.5</v>
      </c>
      <c r="U223" s="43">
        <v>2</v>
      </c>
      <c r="V223" s="43"/>
      <c r="W223" s="58"/>
      <c r="X223" s="58"/>
      <c r="Y223" s="59" t="s">
        <v>156</v>
      </c>
      <c r="Z223" s="60">
        <v>4000</v>
      </c>
      <c r="AA223" s="25">
        <f>VLOOKUP(F223,Zones!$A$2:$F$2186,6,FALSE)</f>
        <v>1393</v>
      </c>
      <c r="AB223" s="25">
        <f>VLOOKUP(L223,Zones!$A$2:$F$2186,6,FALSE)</f>
        <v>1393</v>
      </c>
    </row>
    <row r="224" spans="2:28">
      <c r="B224" s="40">
        <v>0.41944444444444445</v>
      </c>
      <c r="C224" s="40" t="s">
        <v>423</v>
      </c>
      <c r="D224" s="41">
        <v>1</v>
      </c>
      <c r="E224" s="42">
        <v>2</v>
      </c>
      <c r="F224" s="42" t="s">
        <v>147</v>
      </c>
      <c r="G224" s="43" t="s">
        <v>154</v>
      </c>
      <c r="H224" s="42" t="s">
        <v>155</v>
      </c>
      <c r="I224" s="43">
        <v>1</v>
      </c>
      <c r="J224" s="43">
        <v>1</v>
      </c>
      <c r="K224" s="25" t="str">
        <f>VLOOKUP(J224,Key!$E$2:$F$9,2,FALSE)</f>
        <v>Home</v>
      </c>
      <c r="L224" s="42" t="s">
        <v>146</v>
      </c>
      <c r="M224" s="43" t="s">
        <v>154</v>
      </c>
      <c r="N224" s="42" t="s">
        <v>155</v>
      </c>
      <c r="O224" s="43">
        <v>16</v>
      </c>
      <c r="P224" s="43">
        <v>3</v>
      </c>
      <c r="Q224" s="25" t="str">
        <f>VLOOKUP(P224,Key!$E$2:$F$9,2,FALSE)</f>
        <v>Study</v>
      </c>
      <c r="R224" s="25" t="str">
        <f t="shared" si="4"/>
        <v>Home-Study</v>
      </c>
      <c r="S224" s="58"/>
      <c r="T224" s="58">
        <v>0.4</v>
      </c>
      <c r="U224" s="43">
        <v>3</v>
      </c>
      <c r="V224" s="43"/>
      <c r="W224" s="58"/>
      <c r="X224" s="58"/>
      <c r="Y224" s="59" t="s">
        <v>156</v>
      </c>
      <c r="Z224" s="60">
        <v>2000</v>
      </c>
      <c r="AA224" s="25">
        <f>VLOOKUP(F224,Zones!$A$2:$F$2186,6,FALSE)</f>
        <v>1402</v>
      </c>
      <c r="AB224" s="25">
        <f>VLOOKUP(L224,Zones!$A$2:$F$2186,6,FALSE)</f>
        <v>1393</v>
      </c>
    </row>
    <row r="225" spans="2:28">
      <c r="B225" s="40">
        <v>0.42291666666666666</v>
      </c>
      <c r="C225" s="40" t="s">
        <v>424</v>
      </c>
      <c r="D225" s="41">
        <v>1</v>
      </c>
      <c r="E225" s="42">
        <v>3</v>
      </c>
      <c r="F225" s="42" t="s">
        <v>168</v>
      </c>
      <c r="G225" s="43" t="s">
        <v>154</v>
      </c>
      <c r="H225" s="42" t="s">
        <v>155</v>
      </c>
      <c r="I225" s="43">
        <v>1</v>
      </c>
      <c r="J225" s="43">
        <v>1</v>
      </c>
      <c r="K225" s="25" t="str">
        <f>VLOOKUP(J225,Key!$E$2:$F$9,2,FALSE)</f>
        <v>Home</v>
      </c>
      <c r="L225" s="42" t="s">
        <v>262</v>
      </c>
      <c r="M225" s="43" t="s">
        <v>262</v>
      </c>
      <c r="N225" s="42" t="s">
        <v>155</v>
      </c>
      <c r="O225" s="43">
        <v>16</v>
      </c>
      <c r="P225" s="43">
        <v>6</v>
      </c>
      <c r="Q225" s="25" t="str">
        <f>VLOOKUP(P225,Key!$E$2:$F$9,2,FALSE)</f>
        <v>Leisure/Social</v>
      </c>
      <c r="R225" s="25" t="str">
        <f t="shared" si="4"/>
        <v>Home-Leisure/Social</v>
      </c>
      <c r="S225" s="58"/>
      <c r="T225" s="58">
        <v>3</v>
      </c>
      <c r="U225" s="43">
        <v>6</v>
      </c>
      <c r="V225" s="43"/>
      <c r="W225" s="58"/>
      <c r="X225" s="58"/>
      <c r="Y225" s="59" t="s">
        <v>156</v>
      </c>
      <c r="Z225" s="60">
        <v>3000</v>
      </c>
      <c r="AA225" s="25">
        <f>VLOOKUP(F225,Zones!$A$2:$F$2186,6,FALSE)</f>
        <v>1393</v>
      </c>
      <c r="AB225" s="25">
        <f>VLOOKUP(L225,Zones!$A$2:$F$2186,6,FALSE)</f>
        <v>403</v>
      </c>
    </row>
    <row r="226" spans="2:28">
      <c r="B226" s="40">
        <v>0.42638888888888887</v>
      </c>
      <c r="C226" s="40" t="s">
        <v>425</v>
      </c>
      <c r="D226" s="41">
        <v>1</v>
      </c>
      <c r="E226" s="42">
        <v>1</v>
      </c>
      <c r="F226" s="42" t="s">
        <v>394</v>
      </c>
      <c r="G226" s="43" t="s">
        <v>154</v>
      </c>
      <c r="H226" s="42" t="s">
        <v>155</v>
      </c>
      <c r="I226" s="43">
        <v>1</v>
      </c>
      <c r="J226" s="43">
        <v>1</v>
      </c>
      <c r="K226" s="25" t="str">
        <f>VLOOKUP(J226,Key!$E$2:$F$9,2,FALSE)</f>
        <v>Home</v>
      </c>
      <c r="L226" s="42" t="s">
        <v>394</v>
      </c>
      <c r="M226" s="43" t="s">
        <v>154</v>
      </c>
      <c r="N226" s="42" t="s">
        <v>155</v>
      </c>
      <c r="O226" s="43">
        <v>2</v>
      </c>
      <c r="P226" s="43">
        <v>2</v>
      </c>
      <c r="Q226" s="25" t="str">
        <f>VLOOKUP(P226,Key!$E$2:$F$9,2,FALSE)</f>
        <v>Work</v>
      </c>
      <c r="R226" s="25" t="str">
        <f t="shared" si="4"/>
        <v>Home-Work</v>
      </c>
      <c r="S226" s="58"/>
      <c r="T226" s="58">
        <v>0.1</v>
      </c>
      <c r="U226" s="43">
        <v>2</v>
      </c>
      <c r="V226" s="43"/>
      <c r="W226" s="58"/>
      <c r="X226" s="58"/>
      <c r="Y226" s="59" t="s">
        <v>156</v>
      </c>
      <c r="Z226" s="60">
        <v>3000</v>
      </c>
      <c r="AA226" s="25">
        <f>VLOOKUP(F226,Zones!$A$2:$F$2186,6,FALSE)</f>
        <v>542</v>
      </c>
      <c r="AB226" s="25">
        <f>VLOOKUP(L226,Zones!$A$2:$F$2186,6,FALSE)</f>
        <v>542</v>
      </c>
    </row>
    <row r="227" spans="2:28">
      <c r="B227" s="40">
        <v>0.4291666666666667</v>
      </c>
      <c r="C227" s="40" t="s">
        <v>426</v>
      </c>
      <c r="D227" s="41">
        <v>1</v>
      </c>
      <c r="E227" s="42">
        <v>2</v>
      </c>
      <c r="F227" s="42" t="s">
        <v>404</v>
      </c>
      <c r="G227" s="43" t="s">
        <v>154</v>
      </c>
      <c r="H227" s="42" t="s">
        <v>155</v>
      </c>
      <c r="I227" s="43">
        <v>1</v>
      </c>
      <c r="J227" s="43">
        <v>1</v>
      </c>
      <c r="K227" s="25" t="str">
        <f>VLOOKUP(J227,Key!$E$2:$F$9,2,FALSE)</f>
        <v>Home</v>
      </c>
      <c r="L227" s="42" t="s">
        <v>217</v>
      </c>
      <c r="M227" s="43" t="s">
        <v>836</v>
      </c>
      <c r="N227" s="42" t="s">
        <v>155</v>
      </c>
      <c r="O227" s="43">
        <v>4</v>
      </c>
      <c r="P227" s="43">
        <v>2</v>
      </c>
      <c r="Q227" s="25" t="str">
        <f>VLOOKUP(P227,Key!$E$2:$F$9,2,FALSE)</f>
        <v>Work</v>
      </c>
      <c r="R227" s="25" t="str">
        <f t="shared" si="4"/>
        <v>Home-Work</v>
      </c>
      <c r="S227" s="58">
        <v>25</v>
      </c>
      <c r="T227" s="58">
        <v>0.7</v>
      </c>
      <c r="U227" s="43">
        <v>2</v>
      </c>
      <c r="V227" s="43"/>
      <c r="W227" s="58"/>
      <c r="X227" s="58"/>
      <c r="Y227" s="59" t="s">
        <v>156</v>
      </c>
      <c r="Z227" s="60">
        <v>1000</v>
      </c>
      <c r="AA227" s="25">
        <f>VLOOKUP(F227,Zones!$A$2:$F$2186,6,FALSE)</f>
        <v>1393</v>
      </c>
      <c r="AB227" s="25">
        <f>VLOOKUP(L227,Zones!$A$2:$F$2186,6,FALSE)</f>
        <v>554</v>
      </c>
    </row>
    <row r="228" spans="2:28" ht="15">
      <c r="B228" s="40">
        <v>0.43888888888888888</v>
      </c>
      <c r="C228" s="40" t="s">
        <v>427</v>
      </c>
      <c r="D228" s="41">
        <v>7</v>
      </c>
      <c r="E228" s="42">
        <v>1</v>
      </c>
      <c r="F228" s="42" t="s">
        <v>404</v>
      </c>
      <c r="G228" s="43" t="s">
        <v>154</v>
      </c>
      <c r="H228" s="42" t="s">
        <v>155</v>
      </c>
      <c r="I228" s="43">
        <v>9</v>
      </c>
      <c r="J228" s="43">
        <v>1</v>
      </c>
      <c r="K228" s="25" t="str">
        <f>VLOOKUP(J228,Key!$E$2:$F$9,2,FALSE)</f>
        <v>Home</v>
      </c>
      <c r="L228" s="100" t="s">
        <v>2979</v>
      </c>
      <c r="M228" s="43" t="s">
        <v>154</v>
      </c>
      <c r="N228" s="42" t="s">
        <v>155</v>
      </c>
      <c r="O228" s="43">
        <v>6</v>
      </c>
      <c r="P228" s="43">
        <v>2</v>
      </c>
      <c r="Q228" s="25" t="str">
        <f>VLOOKUP(P228,Key!$E$2:$F$9,2,FALSE)</f>
        <v>Work</v>
      </c>
      <c r="R228" s="25" t="str">
        <f t="shared" si="4"/>
        <v>Home-Work</v>
      </c>
      <c r="S228" s="58">
        <v>8</v>
      </c>
      <c r="T228" s="58">
        <v>0.2</v>
      </c>
      <c r="U228" s="58">
        <v>6</v>
      </c>
      <c r="V228" s="43"/>
      <c r="W228" s="58"/>
      <c r="X228" s="58"/>
      <c r="Y228" s="59" t="s">
        <v>156</v>
      </c>
      <c r="Z228" s="60">
        <v>3000</v>
      </c>
      <c r="AA228" s="25">
        <f>VLOOKUP(F228,Zones!$A$2:$F$2186,6,FALSE)</f>
        <v>1393</v>
      </c>
      <c r="AB228" s="25">
        <f>VLOOKUP(L228,Zones!$A$2:$F$2186,6,FALSE)</f>
        <v>1402</v>
      </c>
    </row>
    <row r="229" spans="2:28">
      <c r="B229" s="40">
        <v>0.43472222222222223</v>
      </c>
      <c r="C229" s="40" t="s">
        <v>428</v>
      </c>
      <c r="D229" s="44">
        <v>4</v>
      </c>
      <c r="E229" s="42">
        <v>10</v>
      </c>
      <c r="F229" s="42" t="s">
        <v>154</v>
      </c>
      <c r="G229" s="43" t="s">
        <v>154</v>
      </c>
      <c r="H229" s="42" t="s">
        <v>155</v>
      </c>
      <c r="I229" s="43">
        <v>6</v>
      </c>
      <c r="J229" s="43">
        <v>2</v>
      </c>
      <c r="K229" s="25" t="str">
        <f>VLOOKUP(J229,Key!$E$2:$F$9,2,FALSE)</f>
        <v>Work</v>
      </c>
      <c r="L229" s="42" t="s">
        <v>146</v>
      </c>
      <c r="M229" s="43" t="s">
        <v>154</v>
      </c>
      <c r="N229" s="42" t="s">
        <v>155</v>
      </c>
      <c r="O229" s="43">
        <v>6</v>
      </c>
      <c r="P229" s="43">
        <v>2</v>
      </c>
      <c r="Q229" s="25" t="str">
        <f>VLOOKUP(P229,Key!$E$2:$F$9,2,FALSE)</f>
        <v>Work</v>
      </c>
      <c r="R229" s="25" t="str">
        <f t="shared" si="4"/>
        <v>Work-Work</v>
      </c>
      <c r="S229" s="58"/>
      <c r="T229" s="58">
        <v>0.5</v>
      </c>
      <c r="U229" s="58">
        <v>1</v>
      </c>
      <c r="V229" s="56"/>
      <c r="W229" s="56"/>
      <c r="X229" s="56"/>
      <c r="Y229" s="59" t="s">
        <v>156</v>
      </c>
      <c r="Z229" s="60">
        <v>0</v>
      </c>
      <c r="AA229" s="25">
        <f>VLOOKUP(F229,Zones!$A$2:$F$2186,6,FALSE)</f>
        <v>1408</v>
      </c>
      <c r="AB229" s="25">
        <f>VLOOKUP(L229,Zones!$A$2:$F$2186,6,FALSE)</f>
        <v>1393</v>
      </c>
    </row>
    <row r="230" spans="2:28" ht="15">
      <c r="B230" s="40">
        <v>0.43263888888888885</v>
      </c>
      <c r="C230" s="40" t="s">
        <v>427</v>
      </c>
      <c r="D230" s="45">
        <v>7</v>
      </c>
      <c r="E230" s="42">
        <v>1</v>
      </c>
      <c r="F230" s="42" t="s">
        <v>404</v>
      </c>
      <c r="G230" s="43" t="s">
        <v>154</v>
      </c>
      <c r="H230" s="42" t="s">
        <v>155</v>
      </c>
      <c r="I230" s="43">
        <v>9</v>
      </c>
      <c r="J230" s="43">
        <v>1</v>
      </c>
      <c r="K230" s="25" t="str">
        <f>VLOOKUP(J230,Key!$E$2:$F$9,2,FALSE)</f>
        <v>Home</v>
      </c>
      <c r="L230" s="100" t="s">
        <v>2979</v>
      </c>
      <c r="M230" s="43" t="s">
        <v>154</v>
      </c>
      <c r="N230" s="42" t="s">
        <v>155</v>
      </c>
      <c r="O230" s="43">
        <v>6</v>
      </c>
      <c r="P230" s="43">
        <v>2</v>
      </c>
      <c r="Q230" s="25" t="str">
        <f>VLOOKUP(P230,Key!$E$2:$F$9,2,FALSE)</f>
        <v>Work</v>
      </c>
      <c r="R230" s="25" t="str">
        <f t="shared" si="4"/>
        <v>Home-Work</v>
      </c>
      <c r="S230" s="58">
        <v>8</v>
      </c>
      <c r="T230" s="58">
        <v>0.2</v>
      </c>
      <c r="U230" s="58">
        <v>6</v>
      </c>
      <c r="V230" s="56"/>
      <c r="W230" s="56"/>
      <c r="X230" s="56"/>
      <c r="Y230" s="59" t="s">
        <v>156</v>
      </c>
      <c r="Z230" s="60">
        <v>3000</v>
      </c>
      <c r="AA230" s="25">
        <f>VLOOKUP(F230,Zones!$A$2:$F$2186,6,FALSE)</f>
        <v>1393</v>
      </c>
      <c r="AB230" s="25">
        <f>VLOOKUP(L230,Zones!$A$2:$F$2186,6,FALSE)</f>
        <v>1402</v>
      </c>
    </row>
    <row r="231" spans="2:28" ht="15">
      <c r="B231" s="40">
        <v>0.43958333333333338</v>
      </c>
      <c r="C231" s="40" t="s">
        <v>429</v>
      </c>
      <c r="D231" s="45">
        <v>2</v>
      </c>
      <c r="E231" s="42">
        <v>1</v>
      </c>
      <c r="F231" s="42" t="s">
        <v>147</v>
      </c>
      <c r="G231" s="43" t="s">
        <v>154</v>
      </c>
      <c r="H231" s="42" t="s">
        <v>155</v>
      </c>
      <c r="I231" s="43">
        <v>1</v>
      </c>
      <c r="J231" s="43">
        <v>1</v>
      </c>
      <c r="K231" s="25" t="str">
        <f>VLOOKUP(J231,Key!$E$2:$F$9,2,FALSE)</f>
        <v>Home</v>
      </c>
      <c r="L231" s="100" t="s">
        <v>376</v>
      </c>
      <c r="M231" s="43" t="s">
        <v>163</v>
      </c>
      <c r="N231" s="42" t="s">
        <v>155</v>
      </c>
      <c r="O231" s="43">
        <v>9</v>
      </c>
      <c r="P231" s="43">
        <v>2</v>
      </c>
      <c r="Q231" s="25" t="str">
        <f>VLOOKUP(P231,Key!$E$2:$F$9,2,FALSE)</f>
        <v>Work</v>
      </c>
      <c r="R231" s="25" t="str">
        <f t="shared" si="4"/>
        <v>Home-Work</v>
      </c>
      <c r="S231" s="58"/>
      <c r="T231" s="58">
        <v>2</v>
      </c>
      <c r="U231" s="58">
        <v>3</v>
      </c>
      <c r="V231" s="56"/>
      <c r="W231" s="56"/>
      <c r="X231" s="56"/>
      <c r="Y231" s="59" t="s">
        <v>156</v>
      </c>
      <c r="Z231" s="60">
        <v>0</v>
      </c>
      <c r="AA231" s="25">
        <f>VLOOKUP(F231,Zones!$A$2:$F$2186,6,FALSE)</f>
        <v>1402</v>
      </c>
      <c r="AB231" s="25">
        <f>VLOOKUP(L231,Zones!$A$2:$F$2186,6,FALSE)</f>
        <v>1393</v>
      </c>
    </row>
    <row r="232" spans="2:28">
      <c r="B232" s="40">
        <v>0.44444444444444442</v>
      </c>
      <c r="C232" s="40" t="s">
        <v>431</v>
      </c>
      <c r="D232" s="44">
        <v>7</v>
      </c>
      <c r="E232" s="45">
        <v>3</v>
      </c>
      <c r="F232" s="42" t="s">
        <v>391</v>
      </c>
      <c r="G232" s="43" t="s">
        <v>154</v>
      </c>
      <c r="H232" s="42" t="s">
        <v>155</v>
      </c>
      <c r="I232" s="43">
        <v>11</v>
      </c>
      <c r="J232" s="43">
        <v>4</v>
      </c>
      <c r="K232" s="25" t="str">
        <f>VLOOKUP(J232,Key!$E$2:$F$9,2,FALSE)</f>
        <v>Commercial</v>
      </c>
      <c r="L232" s="42" t="s">
        <v>184</v>
      </c>
      <c r="M232" s="43" t="s">
        <v>154</v>
      </c>
      <c r="N232" s="42" t="s">
        <v>155</v>
      </c>
      <c r="O232" s="43">
        <v>11</v>
      </c>
      <c r="P232" s="43">
        <v>4</v>
      </c>
      <c r="Q232" s="25" t="str">
        <f>VLOOKUP(P232,Key!$E$2:$F$9,2,FALSE)</f>
        <v>Commercial</v>
      </c>
      <c r="R232" s="25" t="str">
        <f t="shared" si="4"/>
        <v>Commercial-Commercial</v>
      </c>
      <c r="S232" s="58"/>
      <c r="T232" s="58">
        <v>0.5</v>
      </c>
      <c r="U232" s="58">
        <v>1</v>
      </c>
      <c r="V232" s="56">
        <v>10</v>
      </c>
      <c r="W232" s="56"/>
      <c r="X232" s="56"/>
      <c r="Y232" s="59" t="s">
        <v>156</v>
      </c>
      <c r="Z232" s="60">
        <v>500</v>
      </c>
      <c r="AA232" s="25">
        <f>VLOOKUP(F232,Zones!$A$2:$F$2186,6,FALSE)</f>
        <v>1408</v>
      </c>
      <c r="AB232" s="25">
        <f>VLOOKUP(L232,Zones!$A$2:$F$2186,6,FALSE)</f>
        <v>811</v>
      </c>
    </row>
    <row r="233" spans="2:28">
      <c r="B233" s="40">
        <v>0.44861111111111113</v>
      </c>
      <c r="C233" s="40" t="s">
        <v>432</v>
      </c>
      <c r="D233" s="44">
        <v>7</v>
      </c>
      <c r="E233" s="45">
        <v>2</v>
      </c>
      <c r="F233" s="42" t="s">
        <v>168</v>
      </c>
      <c r="G233" s="43" t="s">
        <v>154</v>
      </c>
      <c r="H233" s="42" t="s">
        <v>155</v>
      </c>
      <c r="I233" s="43">
        <v>1</v>
      </c>
      <c r="J233" s="43">
        <v>1</v>
      </c>
      <c r="K233" s="25" t="str">
        <f>VLOOKUP(J233,Key!$E$2:$F$9,2,FALSE)</f>
        <v>Home</v>
      </c>
      <c r="L233" s="42" t="s">
        <v>146</v>
      </c>
      <c r="M233" s="43" t="s">
        <v>154</v>
      </c>
      <c r="N233" s="42" t="s">
        <v>155</v>
      </c>
      <c r="O233" s="43">
        <v>6</v>
      </c>
      <c r="P233" s="43">
        <v>2</v>
      </c>
      <c r="Q233" s="25" t="str">
        <f>VLOOKUP(P233,Key!$E$2:$F$9,2,FALSE)</f>
        <v>Work</v>
      </c>
      <c r="R233" s="25" t="str">
        <f t="shared" si="4"/>
        <v>Home-Work</v>
      </c>
      <c r="S233" s="58"/>
      <c r="T233" s="58">
        <v>0.1</v>
      </c>
      <c r="U233" s="58">
        <v>2</v>
      </c>
      <c r="V233" s="56"/>
      <c r="W233" s="56"/>
      <c r="X233" s="56"/>
      <c r="Y233" s="59" t="s">
        <v>156</v>
      </c>
      <c r="Z233" s="60">
        <v>0</v>
      </c>
      <c r="AA233" s="25">
        <f>VLOOKUP(F233,Zones!$A$2:$F$2186,6,FALSE)</f>
        <v>1393</v>
      </c>
      <c r="AB233" s="25">
        <f>VLOOKUP(L233,Zones!$A$2:$F$2186,6,FALSE)</f>
        <v>1393</v>
      </c>
    </row>
    <row r="234" spans="2:28">
      <c r="B234" s="40">
        <v>0.45</v>
      </c>
      <c r="C234" s="40" t="s">
        <v>433</v>
      </c>
      <c r="D234" s="45">
        <v>1</v>
      </c>
      <c r="E234" s="45">
        <v>1</v>
      </c>
      <c r="F234" s="42" t="s">
        <v>154</v>
      </c>
      <c r="G234" s="43" t="s">
        <v>154</v>
      </c>
      <c r="H234" s="42" t="s">
        <v>155</v>
      </c>
      <c r="I234" s="43">
        <v>16</v>
      </c>
      <c r="J234" s="43">
        <v>1</v>
      </c>
      <c r="K234" s="25" t="str">
        <f>VLOOKUP(J234,Key!$E$2:$F$9,2,FALSE)</f>
        <v>Home</v>
      </c>
      <c r="L234" s="42" t="s">
        <v>268</v>
      </c>
      <c r="M234" s="43" t="s">
        <v>154</v>
      </c>
      <c r="N234" s="42" t="s">
        <v>155</v>
      </c>
      <c r="O234" s="43">
        <v>2</v>
      </c>
      <c r="P234" s="43">
        <v>2</v>
      </c>
      <c r="Q234" s="25" t="str">
        <f>VLOOKUP(P234,Key!$E$2:$F$9,2,FALSE)</f>
        <v>Work</v>
      </c>
      <c r="R234" s="25" t="str">
        <f t="shared" si="4"/>
        <v>Home-Work</v>
      </c>
      <c r="S234" s="58"/>
      <c r="T234" s="58">
        <v>0.5</v>
      </c>
      <c r="U234" s="58">
        <v>6</v>
      </c>
      <c r="V234" s="56"/>
      <c r="W234" s="56"/>
      <c r="X234" s="56"/>
      <c r="Y234" s="59" t="s">
        <v>156</v>
      </c>
      <c r="Z234" s="60" t="s">
        <v>434</v>
      </c>
      <c r="AA234" s="25">
        <f>VLOOKUP(F234,Zones!$A$2:$F$2186,6,FALSE)</f>
        <v>1408</v>
      </c>
      <c r="AB234" s="25">
        <f>VLOOKUP(L234,Zones!$A$2:$F$2186,6,FALSE)</f>
        <v>1396</v>
      </c>
    </row>
    <row r="235" spans="2:28">
      <c r="B235" s="40">
        <v>0.4548611111111111</v>
      </c>
      <c r="C235" s="40" t="s">
        <v>435</v>
      </c>
      <c r="D235" s="44">
        <v>3</v>
      </c>
      <c r="E235" s="45">
        <v>1</v>
      </c>
      <c r="F235" s="42" t="s">
        <v>436</v>
      </c>
      <c r="G235" s="43" t="s">
        <v>154</v>
      </c>
      <c r="H235" s="42" t="s">
        <v>155</v>
      </c>
      <c r="I235" s="43">
        <v>1</v>
      </c>
      <c r="J235" s="43">
        <v>1</v>
      </c>
      <c r="K235" s="25" t="str">
        <f>VLOOKUP(J235,Key!$E$2:$F$9,2,FALSE)</f>
        <v>Home</v>
      </c>
      <c r="L235" s="42" t="s">
        <v>146</v>
      </c>
      <c r="M235" s="43" t="s">
        <v>154</v>
      </c>
      <c r="N235" s="42" t="s">
        <v>155</v>
      </c>
      <c r="O235" s="43">
        <v>16</v>
      </c>
      <c r="P235" s="43">
        <v>6</v>
      </c>
      <c r="Q235" s="25" t="str">
        <f>VLOOKUP(P235,Key!$E$2:$F$9,2,FALSE)</f>
        <v>Leisure/Social</v>
      </c>
      <c r="R235" s="25" t="str">
        <f t="shared" si="4"/>
        <v>Home-Leisure/Social</v>
      </c>
      <c r="S235" s="58"/>
      <c r="T235" s="58">
        <v>0.7</v>
      </c>
      <c r="U235" s="58">
        <v>6</v>
      </c>
      <c r="V235" s="56"/>
      <c r="W235" s="56"/>
      <c r="X235" s="56"/>
      <c r="Y235" s="59" t="s">
        <v>156</v>
      </c>
      <c r="Z235" s="60">
        <v>1000</v>
      </c>
      <c r="AA235" s="25">
        <f>VLOOKUP(F235,Zones!$A$2:$F$2186,6,FALSE)</f>
        <v>1408</v>
      </c>
      <c r="AB235" s="25">
        <f>VLOOKUP(L235,Zones!$A$2:$F$2186,6,FALSE)</f>
        <v>1393</v>
      </c>
    </row>
    <row r="236" spans="2:28">
      <c r="B236" s="40">
        <v>0.45833333333333331</v>
      </c>
      <c r="C236" s="40" t="s">
        <v>437</v>
      </c>
      <c r="D236" s="45">
        <v>1</v>
      </c>
      <c r="E236" s="42">
        <v>1</v>
      </c>
      <c r="F236" s="42" t="s">
        <v>168</v>
      </c>
      <c r="G236" s="43" t="s">
        <v>154</v>
      </c>
      <c r="H236" s="42" t="s">
        <v>155</v>
      </c>
      <c r="I236" s="43">
        <v>1</v>
      </c>
      <c r="J236" s="43">
        <v>1</v>
      </c>
      <c r="K236" s="25" t="str">
        <f>VLOOKUP(J236,Key!$E$2:$F$9,2,FALSE)</f>
        <v>Home</v>
      </c>
      <c r="L236" s="41" t="s">
        <v>836</v>
      </c>
      <c r="M236" s="43" t="s">
        <v>836</v>
      </c>
      <c r="N236" s="42" t="s">
        <v>155</v>
      </c>
      <c r="O236" s="43">
        <v>11</v>
      </c>
      <c r="P236" s="43">
        <v>2</v>
      </c>
      <c r="Q236" s="25" t="str">
        <f>VLOOKUP(P236,Key!$E$2:$F$9,2,FALSE)</f>
        <v>Work</v>
      </c>
      <c r="R236" s="25" t="str">
        <f t="shared" si="4"/>
        <v>Home-Work</v>
      </c>
      <c r="S236" s="58">
        <v>17</v>
      </c>
      <c r="T236" s="58">
        <v>0.5</v>
      </c>
      <c r="U236" s="58">
        <v>2</v>
      </c>
      <c r="V236" s="56"/>
      <c r="W236" s="56"/>
      <c r="X236" s="56"/>
      <c r="Y236" s="59" t="s">
        <v>156</v>
      </c>
      <c r="Z236" s="60">
        <v>0</v>
      </c>
      <c r="AA236" s="25">
        <f>VLOOKUP(F236,Zones!$A$2:$F$2186,6,FALSE)</f>
        <v>1393</v>
      </c>
      <c r="AB236" s="25">
        <f>VLOOKUP(L236,Zones!$A$2:$F$2186,6,FALSE)</f>
        <v>521</v>
      </c>
    </row>
    <row r="237" spans="2:28">
      <c r="B237" s="40">
        <v>0.46180555555555558</v>
      </c>
      <c r="C237" s="40" t="s">
        <v>438</v>
      </c>
      <c r="D237" s="44">
        <v>7</v>
      </c>
      <c r="E237" s="45">
        <v>2</v>
      </c>
      <c r="F237" s="42" t="s">
        <v>168</v>
      </c>
      <c r="G237" s="43" t="s">
        <v>154</v>
      </c>
      <c r="H237" s="42" t="s">
        <v>155</v>
      </c>
      <c r="I237" s="43">
        <v>4</v>
      </c>
      <c r="J237" s="43">
        <v>2</v>
      </c>
      <c r="K237" s="25" t="str">
        <f>VLOOKUP(J237,Key!$E$2:$F$9,2,FALSE)</f>
        <v>Work</v>
      </c>
      <c r="L237" s="42" t="s">
        <v>146</v>
      </c>
      <c r="M237" s="43" t="s">
        <v>154</v>
      </c>
      <c r="N237" s="42" t="s">
        <v>155</v>
      </c>
      <c r="O237" s="43">
        <v>11</v>
      </c>
      <c r="P237" s="43">
        <v>6</v>
      </c>
      <c r="Q237" s="25" t="str">
        <f>VLOOKUP(P237,Key!$E$2:$F$9,2,FALSE)</f>
        <v>Leisure/Social</v>
      </c>
      <c r="R237" s="25" t="str">
        <f t="shared" si="4"/>
        <v>Work-Leisure/Social</v>
      </c>
      <c r="S237" s="58">
        <v>1</v>
      </c>
      <c r="T237" s="58">
        <v>0.1</v>
      </c>
      <c r="U237" s="58">
        <v>2</v>
      </c>
      <c r="V237" s="56"/>
      <c r="W237" s="56"/>
      <c r="X237" s="56"/>
      <c r="Y237" s="59" t="s">
        <v>156</v>
      </c>
      <c r="Z237" s="60">
        <v>3000</v>
      </c>
      <c r="AA237" s="25">
        <f>VLOOKUP(F237,Zones!$A$2:$F$2186,6,FALSE)</f>
        <v>1393</v>
      </c>
      <c r="AB237" s="25">
        <f>VLOOKUP(L237,Zones!$A$2:$F$2186,6,FALSE)</f>
        <v>1393</v>
      </c>
    </row>
    <row r="238" spans="2:28">
      <c r="B238" s="40">
        <v>0.4680555555555555</v>
      </c>
      <c r="C238" s="40" t="s">
        <v>439</v>
      </c>
      <c r="D238" s="45">
        <v>7</v>
      </c>
      <c r="E238" s="45">
        <v>1</v>
      </c>
      <c r="F238" s="42" t="s">
        <v>154</v>
      </c>
      <c r="G238" s="43" t="s">
        <v>154</v>
      </c>
      <c r="H238" s="42" t="s">
        <v>155</v>
      </c>
      <c r="I238" s="43">
        <v>1</v>
      </c>
      <c r="J238" s="43">
        <v>1</v>
      </c>
      <c r="K238" s="25" t="str">
        <f>VLOOKUP(J238,Key!$E$2:$F$9,2,FALSE)</f>
        <v>Home</v>
      </c>
      <c r="L238" s="42" t="s">
        <v>147</v>
      </c>
      <c r="M238" s="43" t="s">
        <v>154</v>
      </c>
      <c r="N238" s="42" t="s">
        <v>155</v>
      </c>
      <c r="O238" s="43">
        <v>3</v>
      </c>
      <c r="P238" s="43">
        <v>2</v>
      </c>
      <c r="Q238" s="25" t="str">
        <f>VLOOKUP(P238,Key!$E$2:$F$9,2,FALSE)</f>
        <v>Work</v>
      </c>
      <c r="R238" s="25" t="str">
        <f t="shared" si="4"/>
        <v>Home-Work</v>
      </c>
      <c r="S238" s="58"/>
      <c r="T238" s="58">
        <v>1</v>
      </c>
      <c r="U238" s="58">
        <v>6</v>
      </c>
      <c r="V238" s="56"/>
      <c r="W238" s="56"/>
      <c r="X238" s="56"/>
      <c r="Y238" s="59" t="s">
        <v>156</v>
      </c>
      <c r="Z238" s="60">
        <v>0</v>
      </c>
      <c r="AA238" s="25">
        <f>VLOOKUP(F238,Zones!$A$2:$F$2186,6,FALSE)</f>
        <v>1408</v>
      </c>
      <c r="AB238" s="25">
        <f>VLOOKUP(L238,Zones!$A$2:$F$2186,6,FALSE)</f>
        <v>1402</v>
      </c>
    </row>
    <row r="239" spans="2:28">
      <c r="B239" s="40">
        <v>0.47361111111111115</v>
      </c>
      <c r="C239" s="40" t="s">
        <v>441</v>
      </c>
      <c r="D239" s="44">
        <v>1</v>
      </c>
      <c r="E239" s="42">
        <v>1</v>
      </c>
      <c r="F239" s="42" t="s">
        <v>667</v>
      </c>
      <c r="G239" s="43" t="s">
        <v>154</v>
      </c>
      <c r="H239" s="42" t="s">
        <v>155</v>
      </c>
      <c r="I239" s="43">
        <v>1</v>
      </c>
      <c r="J239" s="43">
        <v>1</v>
      </c>
      <c r="K239" s="25" t="str">
        <f>VLOOKUP(J239,Key!$E$2:$F$9,2,FALSE)</f>
        <v>Home</v>
      </c>
      <c r="L239" s="42" t="s">
        <v>836</v>
      </c>
      <c r="M239" s="43" t="s">
        <v>836</v>
      </c>
      <c r="N239" s="42" t="s">
        <v>155</v>
      </c>
      <c r="O239" s="43">
        <v>11</v>
      </c>
      <c r="P239" s="43">
        <v>2</v>
      </c>
      <c r="Q239" s="25" t="str">
        <f>VLOOKUP(P239,Key!$E$2:$F$9,2,FALSE)</f>
        <v>Work</v>
      </c>
      <c r="R239" s="25" t="str">
        <f t="shared" si="4"/>
        <v>Home-Work</v>
      </c>
      <c r="S239" s="58">
        <v>20</v>
      </c>
      <c r="T239" s="58">
        <v>0.7</v>
      </c>
      <c r="U239" s="58">
        <v>2</v>
      </c>
      <c r="V239" s="56"/>
      <c r="W239" s="56"/>
      <c r="X239" s="56"/>
      <c r="Y239" s="59" t="s">
        <v>156</v>
      </c>
      <c r="Z239" s="60">
        <v>1000</v>
      </c>
      <c r="AA239" s="25">
        <f>VLOOKUP(F239,Zones!$A$2:$F$2186,6,FALSE)</f>
        <v>583</v>
      </c>
      <c r="AB239" s="25">
        <f>VLOOKUP(L239,Zones!$A$2:$F$2186,6,FALSE)</f>
        <v>521</v>
      </c>
    </row>
    <row r="240" spans="2:28">
      <c r="B240" s="40">
        <v>0.4777777777777778</v>
      </c>
      <c r="C240" s="40" t="s">
        <v>443</v>
      </c>
      <c r="D240" s="45">
        <v>1</v>
      </c>
      <c r="E240" s="45">
        <v>1</v>
      </c>
      <c r="F240" s="42" t="s">
        <v>168</v>
      </c>
      <c r="G240" s="43" t="s">
        <v>154</v>
      </c>
      <c r="H240" s="42" t="s">
        <v>155</v>
      </c>
      <c r="I240" s="43">
        <v>1</v>
      </c>
      <c r="J240" s="43">
        <v>1</v>
      </c>
      <c r="K240" s="25" t="str">
        <f>VLOOKUP(J240,Key!$E$2:$F$9,2,FALSE)</f>
        <v>Home</v>
      </c>
      <c r="L240" s="42" t="s">
        <v>184</v>
      </c>
      <c r="M240" s="43" t="s">
        <v>154</v>
      </c>
      <c r="N240" s="42" t="s">
        <v>155</v>
      </c>
      <c r="O240" s="43">
        <v>11</v>
      </c>
      <c r="P240" s="43">
        <v>6</v>
      </c>
      <c r="Q240" s="25" t="str">
        <f>VLOOKUP(P240,Key!$E$2:$F$9,2,FALSE)</f>
        <v>Leisure/Social</v>
      </c>
      <c r="R240" s="25" t="str">
        <f t="shared" si="4"/>
        <v>Home-Leisure/Social</v>
      </c>
      <c r="S240" s="58"/>
      <c r="T240" s="58">
        <v>0.2</v>
      </c>
      <c r="U240" s="58">
        <v>3</v>
      </c>
      <c r="V240" s="56"/>
      <c r="W240" s="56"/>
      <c r="X240" s="56"/>
      <c r="Y240" s="59" t="s">
        <v>156</v>
      </c>
      <c r="Z240" s="60">
        <v>5000</v>
      </c>
      <c r="AA240" s="25">
        <f>VLOOKUP(F240,Zones!$A$2:$F$2186,6,FALSE)</f>
        <v>1393</v>
      </c>
      <c r="AB240" s="25">
        <f>VLOOKUP(L240,Zones!$A$2:$F$2186,6,FALSE)</f>
        <v>811</v>
      </c>
    </row>
    <row r="241" spans="2:28">
      <c r="B241" s="40">
        <v>0.4826388888888889</v>
      </c>
      <c r="C241" s="40" t="s">
        <v>444</v>
      </c>
      <c r="D241" s="44">
        <v>1</v>
      </c>
      <c r="E241" s="45">
        <v>1</v>
      </c>
      <c r="F241" s="42" t="s">
        <v>245</v>
      </c>
      <c r="G241" s="43" t="s">
        <v>154</v>
      </c>
      <c r="H241" s="42" t="s">
        <v>155</v>
      </c>
      <c r="I241" s="43">
        <v>1</v>
      </c>
      <c r="J241" s="43">
        <v>1</v>
      </c>
      <c r="K241" s="25" t="str">
        <f>VLOOKUP(J241,Key!$E$2:$F$9,2,FALSE)</f>
        <v>Home</v>
      </c>
      <c r="L241" s="42" t="s">
        <v>184</v>
      </c>
      <c r="M241" s="43" t="s">
        <v>154</v>
      </c>
      <c r="N241" s="42" t="s">
        <v>155</v>
      </c>
      <c r="O241" s="43">
        <v>11</v>
      </c>
      <c r="P241" s="43">
        <v>6</v>
      </c>
      <c r="Q241" s="25" t="str">
        <f>VLOOKUP(P241,Key!$E$2:$F$9,2,FALSE)</f>
        <v>Leisure/Social</v>
      </c>
      <c r="R241" s="25" t="str">
        <f t="shared" si="4"/>
        <v>Home-Leisure/Social</v>
      </c>
      <c r="S241" s="58"/>
      <c r="T241" s="58">
        <v>0.2</v>
      </c>
      <c r="U241" s="58">
        <v>6</v>
      </c>
      <c r="V241" s="56"/>
      <c r="W241" s="56"/>
      <c r="X241" s="56"/>
      <c r="Y241" s="59" t="s">
        <v>156</v>
      </c>
      <c r="Z241" s="60">
        <v>0</v>
      </c>
      <c r="AA241" s="25">
        <f>VLOOKUP(F241,Zones!$A$2:$F$2186,6,FALSE)</f>
        <v>1402</v>
      </c>
      <c r="AB241" s="25">
        <f>VLOOKUP(L241,Zones!$A$2:$F$2186,6,FALSE)</f>
        <v>811</v>
      </c>
    </row>
    <row r="242" spans="2:28">
      <c r="B242" s="40">
        <v>0.49305555555555558</v>
      </c>
      <c r="C242" s="40" t="s">
        <v>445</v>
      </c>
      <c r="D242" s="45">
        <v>1</v>
      </c>
      <c r="E242" s="45">
        <v>1</v>
      </c>
      <c r="F242" s="42" t="s">
        <v>446</v>
      </c>
      <c r="G242" s="43" t="s">
        <v>154</v>
      </c>
      <c r="H242" s="42" t="s">
        <v>155</v>
      </c>
      <c r="I242" s="43">
        <v>1</v>
      </c>
      <c r="J242" s="43">
        <v>1</v>
      </c>
      <c r="K242" s="25" t="str">
        <f>VLOOKUP(J242,Key!$E$2:$F$9,2,FALSE)</f>
        <v>Home</v>
      </c>
      <c r="L242" s="42" t="s">
        <v>836</v>
      </c>
      <c r="M242" s="43" t="s">
        <v>836</v>
      </c>
      <c r="N242" s="42" t="s">
        <v>155</v>
      </c>
      <c r="O242" s="43">
        <v>11</v>
      </c>
      <c r="P242" s="43">
        <v>2</v>
      </c>
      <c r="Q242" s="25" t="str">
        <f>VLOOKUP(P242,Key!$E$2:$F$9,2,FALSE)</f>
        <v>Work</v>
      </c>
      <c r="R242" s="25" t="str">
        <f t="shared" si="4"/>
        <v>Home-Work</v>
      </c>
      <c r="S242" s="58">
        <v>20</v>
      </c>
      <c r="T242" s="58">
        <v>0.3</v>
      </c>
      <c r="U242" s="58">
        <v>2</v>
      </c>
      <c r="V242" s="56"/>
      <c r="W242" s="56"/>
      <c r="X242" s="56"/>
      <c r="Y242" s="59" t="s">
        <v>156</v>
      </c>
      <c r="Z242" s="60">
        <v>1000</v>
      </c>
      <c r="AA242" s="25">
        <f>VLOOKUP(F242,Zones!$A$2:$F$2186,6,FALSE)</f>
        <v>578</v>
      </c>
      <c r="AB242" s="25">
        <f>VLOOKUP(L242,Zones!$A$2:$F$2186,6,FALSE)</f>
        <v>521</v>
      </c>
    </row>
    <row r="243" spans="2:28">
      <c r="B243" s="40">
        <v>0.50277777777777777</v>
      </c>
      <c r="C243" s="40" t="s">
        <v>447</v>
      </c>
      <c r="D243" s="45">
        <v>7</v>
      </c>
      <c r="E243" s="45">
        <v>2</v>
      </c>
      <c r="F243" s="42" t="s">
        <v>154</v>
      </c>
      <c r="G243" s="43" t="s">
        <v>154</v>
      </c>
      <c r="H243" s="42" t="s">
        <v>155</v>
      </c>
      <c r="I243" s="43">
        <v>14</v>
      </c>
      <c r="J243" s="43">
        <v>4</v>
      </c>
      <c r="K243" s="25" t="str">
        <f>VLOOKUP(J243,Key!$E$2:$F$9,2,FALSE)</f>
        <v>Commercial</v>
      </c>
      <c r="L243" s="42" t="s">
        <v>146</v>
      </c>
      <c r="M243" s="43" t="s">
        <v>154</v>
      </c>
      <c r="N243" s="42" t="s">
        <v>155</v>
      </c>
      <c r="O243" s="43">
        <v>14</v>
      </c>
      <c r="P243" s="43">
        <v>4</v>
      </c>
      <c r="Q243" s="25" t="str">
        <f>VLOOKUP(P243,Key!$E$2:$F$9,2,FALSE)</f>
        <v>Commercial</v>
      </c>
      <c r="R243" s="25" t="str">
        <f t="shared" si="4"/>
        <v>Commercial-Commercial</v>
      </c>
      <c r="S243" s="58"/>
      <c r="T243" s="58">
        <v>1</v>
      </c>
      <c r="U243" s="58">
        <v>6</v>
      </c>
      <c r="V243" s="56">
        <v>6</v>
      </c>
      <c r="W243" s="56">
        <v>1.5</v>
      </c>
      <c r="X243" s="56"/>
      <c r="Y243" s="59" t="s">
        <v>156</v>
      </c>
      <c r="Z243" s="60">
        <v>0</v>
      </c>
      <c r="AA243" s="25">
        <f>VLOOKUP(F243,Zones!$A$2:$F$2186,6,FALSE)</f>
        <v>1408</v>
      </c>
      <c r="AB243" s="25">
        <f>VLOOKUP(L243,Zones!$A$2:$F$2186,6,FALSE)</f>
        <v>1393</v>
      </c>
    </row>
    <row r="244" spans="2:28">
      <c r="B244" s="40">
        <v>0.50972222222222219</v>
      </c>
      <c r="C244" s="40" t="s">
        <v>448</v>
      </c>
      <c r="D244" s="45">
        <v>1</v>
      </c>
      <c r="E244" s="45">
        <v>1</v>
      </c>
      <c r="F244" s="42" t="s">
        <v>245</v>
      </c>
      <c r="G244" s="43" t="s">
        <v>154</v>
      </c>
      <c r="H244" s="42" t="s">
        <v>155</v>
      </c>
      <c r="I244" s="43">
        <v>1</v>
      </c>
      <c r="J244" s="43">
        <v>1</v>
      </c>
      <c r="K244" s="25" t="str">
        <f>VLOOKUP(J244,Key!$E$2:$F$9,2,FALSE)</f>
        <v>Home</v>
      </c>
      <c r="L244" s="42" t="s">
        <v>268</v>
      </c>
      <c r="M244" s="43" t="s">
        <v>154</v>
      </c>
      <c r="N244" s="42" t="s">
        <v>155</v>
      </c>
      <c r="O244" s="43">
        <v>4</v>
      </c>
      <c r="P244" s="43">
        <v>2</v>
      </c>
      <c r="Q244" s="25" t="str">
        <f>VLOOKUP(P244,Key!$E$2:$F$9,2,FALSE)</f>
        <v>Work</v>
      </c>
      <c r="R244" s="25" t="str">
        <f t="shared" si="4"/>
        <v>Home-Work</v>
      </c>
      <c r="S244" s="58"/>
      <c r="T244" s="58">
        <v>0.5</v>
      </c>
      <c r="U244" s="58">
        <v>2</v>
      </c>
      <c r="V244" s="56"/>
      <c r="W244" s="56"/>
      <c r="X244" s="56"/>
      <c r="Y244" s="59" t="s">
        <v>156</v>
      </c>
      <c r="Z244" s="60">
        <v>0</v>
      </c>
      <c r="AA244" s="25">
        <f>VLOOKUP(F244,Zones!$A$2:$F$2186,6,FALSE)</f>
        <v>1402</v>
      </c>
      <c r="AB244" s="25">
        <f>VLOOKUP(L244,Zones!$A$2:$F$2186,6,FALSE)</f>
        <v>1396</v>
      </c>
    </row>
    <row r="245" spans="2:28">
      <c r="B245" s="40">
        <v>0.51250000000000007</v>
      </c>
      <c r="C245" s="40" t="s">
        <v>449</v>
      </c>
      <c r="D245" s="44">
        <v>1</v>
      </c>
      <c r="E245" s="45">
        <v>2</v>
      </c>
      <c r="F245" s="42" t="s">
        <v>168</v>
      </c>
      <c r="G245" s="43" t="s">
        <v>154</v>
      </c>
      <c r="H245" s="42" t="s">
        <v>155</v>
      </c>
      <c r="I245" s="43">
        <v>16</v>
      </c>
      <c r="J245" s="43">
        <v>6</v>
      </c>
      <c r="K245" s="25" t="str">
        <f>VLOOKUP(J245,Key!$E$2:$F$9,2,FALSE)</f>
        <v>Leisure/Social</v>
      </c>
      <c r="L245" s="42" t="s">
        <v>268</v>
      </c>
      <c r="M245" s="43" t="s">
        <v>154</v>
      </c>
      <c r="N245" s="42" t="s">
        <v>155</v>
      </c>
      <c r="O245" s="43">
        <v>3</v>
      </c>
      <c r="P245" s="43">
        <v>2</v>
      </c>
      <c r="Q245" s="25" t="str">
        <f>VLOOKUP(P245,Key!$E$2:$F$9,2,FALSE)</f>
        <v>Work</v>
      </c>
      <c r="R245" s="25" t="str">
        <f t="shared" si="4"/>
        <v>Leisure/Social-Work</v>
      </c>
      <c r="S245" s="58">
        <v>2</v>
      </c>
      <c r="T245" s="58">
        <v>0.1</v>
      </c>
      <c r="U245" s="58">
        <v>6</v>
      </c>
      <c r="V245" s="56"/>
      <c r="W245" s="56"/>
      <c r="X245" s="56"/>
      <c r="Y245" s="59" t="s">
        <v>156</v>
      </c>
      <c r="Z245" s="60">
        <v>1000</v>
      </c>
      <c r="AA245" s="25">
        <f>VLOOKUP(F245,Zones!$A$2:$F$2186,6,FALSE)</f>
        <v>1393</v>
      </c>
      <c r="AB245" s="25">
        <f>VLOOKUP(L245,Zones!$A$2:$F$2186,6,FALSE)</f>
        <v>1396</v>
      </c>
    </row>
    <row r="246" spans="2:28">
      <c r="B246" s="40">
        <v>0.52638888888888891</v>
      </c>
      <c r="C246" s="40" t="s">
        <v>450</v>
      </c>
      <c r="D246" s="45">
        <v>1</v>
      </c>
      <c r="E246" s="45">
        <v>2</v>
      </c>
      <c r="F246" s="42" t="s">
        <v>168</v>
      </c>
      <c r="G246" s="43" t="s">
        <v>154</v>
      </c>
      <c r="H246" s="42" t="s">
        <v>155</v>
      </c>
      <c r="I246" s="43">
        <v>1</v>
      </c>
      <c r="J246" s="43">
        <v>1</v>
      </c>
      <c r="K246" s="25" t="str">
        <f>VLOOKUP(J246,Key!$E$2:$F$9,2,FALSE)</f>
        <v>Home</v>
      </c>
      <c r="L246" s="42" t="s">
        <v>836</v>
      </c>
      <c r="M246" s="43" t="s">
        <v>836</v>
      </c>
      <c r="N246" s="42" t="s">
        <v>155</v>
      </c>
      <c r="O246" s="43">
        <v>11</v>
      </c>
      <c r="P246" s="43">
        <v>2</v>
      </c>
      <c r="Q246" s="25" t="str">
        <f>VLOOKUP(P246,Key!$E$2:$F$9,2,FALSE)</f>
        <v>Work</v>
      </c>
      <c r="R246" s="25" t="str">
        <f t="shared" si="4"/>
        <v>Home-Work</v>
      </c>
      <c r="S246" s="58">
        <v>1</v>
      </c>
      <c r="T246" s="58">
        <v>0.5</v>
      </c>
      <c r="U246" s="58"/>
      <c r="V246" s="56"/>
      <c r="W246" s="56"/>
      <c r="X246" s="56"/>
      <c r="Y246" s="59" t="s">
        <v>156</v>
      </c>
      <c r="Z246" s="60">
        <v>5000</v>
      </c>
      <c r="AA246" s="25">
        <f>VLOOKUP(F246,Zones!$A$2:$F$2186,6,FALSE)</f>
        <v>1393</v>
      </c>
      <c r="AB246" s="25">
        <f>VLOOKUP(L246,Zones!$A$2:$F$2186,6,FALSE)</f>
        <v>521</v>
      </c>
    </row>
    <row r="247" spans="2:28">
      <c r="B247" s="40">
        <v>0.52777777777777779</v>
      </c>
      <c r="C247" s="40" t="s">
        <v>451</v>
      </c>
      <c r="D247" s="45">
        <v>7</v>
      </c>
      <c r="E247" s="45">
        <v>2</v>
      </c>
      <c r="F247" s="42" t="s">
        <v>303</v>
      </c>
      <c r="G247" s="43" t="s">
        <v>154</v>
      </c>
      <c r="H247" s="42" t="s">
        <v>155</v>
      </c>
      <c r="I247" s="43">
        <v>9</v>
      </c>
      <c r="J247" s="43">
        <v>4</v>
      </c>
      <c r="K247" s="25" t="str">
        <f>VLOOKUP(J247,Key!$E$2:$F$9,2,FALSE)</f>
        <v>Commercial</v>
      </c>
      <c r="L247" s="42" t="s">
        <v>452</v>
      </c>
      <c r="M247" s="43" t="s">
        <v>836</v>
      </c>
      <c r="N247" s="42" t="s">
        <v>155</v>
      </c>
      <c r="O247" s="43">
        <v>11</v>
      </c>
      <c r="P247" s="43">
        <v>4</v>
      </c>
      <c r="Q247" s="25" t="str">
        <f>VLOOKUP(P247,Key!$E$2:$F$9,2,FALSE)</f>
        <v>Commercial</v>
      </c>
      <c r="R247" s="25" t="str">
        <f t="shared" si="4"/>
        <v>Commercial-Commercial</v>
      </c>
      <c r="S247" s="58"/>
      <c r="T247" s="58">
        <v>1</v>
      </c>
      <c r="U247" s="58">
        <v>4</v>
      </c>
      <c r="V247" s="56"/>
      <c r="W247" s="56"/>
      <c r="X247" s="56"/>
      <c r="Y247" s="59" t="s">
        <v>156</v>
      </c>
      <c r="Z247" s="60">
        <v>3000</v>
      </c>
      <c r="AA247" s="25">
        <f>VLOOKUP(F247,Zones!$A$2:$F$2186,6,FALSE)</f>
        <v>891</v>
      </c>
      <c r="AB247" s="25">
        <f>VLOOKUP(L247,Zones!$A$2:$F$2186,6,FALSE)</f>
        <v>538</v>
      </c>
    </row>
    <row r="248" spans="2:28">
      <c r="B248" s="40">
        <v>0.53819444444444442</v>
      </c>
      <c r="C248" s="40" t="s">
        <v>453</v>
      </c>
      <c r="D248" s="45">
        <v>7</v>
      </c>
      <c r="E248" s="45">
        <v>2</v>
      </c>
      <c r="F248" s="42" t="s">
        <v>147</v>
      </c>
      <c r="G248" s="43" t="s">
        <v>154</v>
      </c>
      <c r="H248" s="42" t="s">
        <v>155</v>
      </c>
      <c r="I248" s="43">
        <v>11</v>
      </c>
      <c r="J248" s="43">
        <v>4</v>
      </c>
      <c r="K248" s="25" t="str">
        <f>VLOOKUP(J248,Key!$E$2:$F$9,2,FALSE)</f>
        <v>Commercial</v>
      </c>
      <c r="L248" s="42" t="s">
        <v>454</v>
      </c>
      <c r="M248" s="43" t="s">
        <v>455</v>
      </c>
      <c r="N248" s="42" t="s">
        <v>155</v>
      </c>
      <c r="O248" s="43">
        <v>3</v>
      </c>
      <c r="P248" s="43">
        <v>4</v>
      </c>
      <c r="Q248" s="25" t="str">
        <f>VLOOKUP(P248,Key!$E$2:$F$9,2,FALSE)</f>
        <v>Commercial</v>
      </c>
      <c r="R248" s="25" t="str">
        <f t="shared" si="4"/>
        <v>Commercial-Commercial</v>
      </c>
      <c r="S248" s="58"/>
      <c r="T248" s="58">
        <v>1.5</v>
      </c>
      <c r="U248" s="58">
        <v>4</v>
      </c>
      <c r="V248" s="56">
        <v>5</v>
      </c>
      <c r="W248" s="56">
        <v>4</v>
      </c>
      <c r="X248" s="56"/>
      <c r="Y248" s="59" t="s">
        <v>156</v>
      </c>
      <c r="Z248" s="60">
        <v>5000</v>
      </c>
      <c r="AA248" s="25">
        <f>VLOOKUP(F248,Zones!$A$2:$F$2186,6,FALSE)</f>
        <v>1402</v>
      </c>
      <c r="AB248" s="25">
        <f>VLOOKUP(L248,Zones!$A$2:$F$2186,6,FALSE)</f>
        <v>165</v>
      </c>
    </row>
    <row r="249" spans="2:28">
      <c r="B249" s="40">
        <v>0.54722222222222217</v>
      </c>
      <c r="C249" s="40" t="s">
        <v>456</v>
      </c>
      <c r="D249" s="45">
        <v>3</v>
      </c>
      <c r="E249" s="45">
        <v>5</v>
      </c>
      <c r="F249" s="42" t="s">
        <v>147</v>
      </c>
      <c r="G249" s="43" t="s">
        <v>154</v>
      </c>
      <c r="H249" s="42" t="s">
        <v>155</v>
      </c>
      <c r="I249" s="43">
        <v>3</v>
      </c>
      <c r="J249" s="43">
        <v>2</v>
      </c>
      <c r="K249" s="25" t="str">
        <f>VLOOKUP(J249,Key!$E$2:$F$9,2,FALSE)</f>
        <v>Work</v>
      </c>
      <c r="L249" s="42" t="s">
        <v>146</v>
      </c>
      <c r="M249" s="43" t="s">
        <v>154</v>
      </c>
      <c r="N249" s="42" t="s">
        <v>155</v>
      </c>
      <c r="O249" s="43">
        <v>4</v>
      </c>
      <c r="P249" s="43">
        <v>2</v>
      </c>
      <c r="Q249" s="25" t="str">
        <f>VLOOKUP(P249,Key!$E$2:$F$9,2,FALSE)</f>
        <v>Work</v>
      </c>
      <c r="R249" s="25" t="str">
        <f t="shared" si="4"/>
        <v>Work-Work</v>
      </c>
      <c r="S249" s="58"/>
      <c r="T249" s="58">
        <v>0.7</v>
      </c>
      <c r="U249" s="58">
        <v>6</v>
      </c>
      <c r="V249" s="56">
        <v>1</v>
      </c>
      <c r="W249" s="56">
        <v>1</v>
      </c>
      <c r="X249" s="56"/>
      <c r="Y249" s="59" t="s">
        <v>156</v>
      </c>
      <c r="Z249" s="60">
        <v>1000</v>
      </c>
      <c r="AA249" s="25">
        <f>VLOOKUP(F249,Zones!$A$2:$F$2186,6,FALSE)</f>
        <v>1402</v>
      </c>
      <c r="AB249" s="25">
        <f>VLOOKUP(L249,Zones!$A$2:$F$2186,6,FALSE)</f>
        <v>1393</v>
      </c>
    </row>
    <row r="250" spans="2:28">
      <c r="B250" s="40">
        <v>0.55555555555555558</v>
      </c>
      <c r="C250" s="40" t="s">
        <v>457</v>
      </c>
      <c r="D250" s="44">
        <v>1</v>
      </c>
      <c r="E250" s="45">
        <v>2</v>
      </c>
      <c r="F250" s="42" t="s">
        <v>245</v>
      </c>
      <c r="G250" s="43" t="s">
        <v>154</v>
      </c>
      <c r="H250" s="42" t="s">
        <v>155</v>
      </c>
      <c r="I250" s="43">
        <v>1</v>
      </c>
      <c r="J250" s="43">
        <v>1</v>
      </c>
      <c r="K250" s="25" t="str">
        <f>VLOOKUP(J250,Key!$E$2:$F$9,2,FALSE)</f>
        <v>Home</v>
      </c>
      <c r="L250" s="42" t="s">
        <v>836</v>
      </c>
      <c r="M250" s="43" t="s">
        <v>836</v>
      </c>
      <c r="N250" s="42" t="s">
        <v>155</v>
      </c>
      <c r="O250" s="43">
        <v>2</v>
      </c>
      <c r="P250" s="43">
        <v>8</v>
      </c>
      <c r="Q250" s="25" t="str">
        <f>VLOOKUP(P250,Key!$E$2:$F$9,2,FALSE)</f>
        <v>Others</v>
      </c>
      <c r="R250" s="25" t="str">
        <f t="shared" si="4"/>
        <v>Home-Others</v>
      </c>
      <c r="S250" s="58"/>
      <c r="T250" s="58">
        <v>1</v>
      </c>
      <c r="U250" s="58">
        <v>6</v>
      </c>
      <c r="V250" s="56"/>
      <c r="W250" s="56"/>
      <c r="X250" s="56"/>
      <c r="Y250" s="59" t="s">
        <v>156</v>
      </c>
      <c r="Z250" s="60">
        <v>1000</v>
      </c>
      <c r="AA250" s="25">
        <f>VLOOKUP(F250,Zones!$A$2:$F$2186,6,FALSE)</f>
        <v>1402</v>
      </c>
      <c r="AB250" s="25">
        <f>VLOOKUP(L250,Zones!$A$2:$F$2186,6,FALSE)</f>
        <v>521</v>
      </c>
    </row>
    <row r="251" spans="2:28">
      <c r="B251" s="40">
        <v>5.9027777777777783E-2</v>
      </c>
      <c r="C251" s="40" t="s">
        <v>458</v>
      </c>
      <c r="D251" s="44">
        <v>1</v>
      </c>
      <c r="E251" s="45">
        <v>1</v>
      </c>
      <c r="F251" s="42" t="s">
        <v>168</v>
      </c>
      <c r="G251" s="43" t="s">
        <v>154</v>
      </c>
      <c r="H251" s="42" t="s">
        <v>155</v>
      </c>
      <c r="I251" s="43">
        <v>2</v>
      </c>
      <c r="J251" s="43">
        <v>2</v>
      </c>
      <c r="K251" s="25" t="str">
        <f>VLOOKUP(J251,Key!$E$2:$F$9,2,FALSE)</f>
        <v>Work</v>
      </c>
      <c r="L251" s="42" t="s">
        <v>146</v>
      </c>
      <c r="M251" s="43" t="s">
        <v>154</v>
      </c>
      <c r="N251" s="42" t="s">
        <v>155</v>
      </c>
      <c r="O251" s="43">
        <v>11</v>
      </c>
      <c r="P251" s="43">
        <v>6</v>
      </c>
      <c r="Q251" s="25" t="str">
        <f>VLOOKUP(P251,Key!$E$2:$F$9,2,FALSE)</f>
        <v>Leisure/Social</v>
      </c>
      <c r="R251" s="25" t="str">
        <f t="shared" si="4"/>
        <v>Work-Leisure/Social</v>
      </c>
      <c r="S251" s="58"/>
      <c r="T251" s="58">
        <v>0.1</v>
      </c>
      <c r="U251" s="58">
        <v>2</v>
      </c>
      <c r="V251" s="56"/>
      <c r="W251" s="56"/>
      <c r="X251" s="56"/>
      <c r="Y251" s="59" t="s">
        <v>156</v>
      </c>
      <c r="Z251" s="60">
        <v>0</v>
      </c>
      <c r="AA251" s="25">
        <f>VLOOKUP(F251,Zones!$A$2:$F$2186,6,FALSE)</f>
        <v>1393</v>
      </c>
      <c r="AB251" s="25">
        <f>VLOOKUP(L251,Zones!$A$2:$F$2186,6,FALSE)</f>
        <v>1393</v>
      </c>
    </row>
    <row r="252" spans="2:28">
      <c r="B252" s="40">
        <v>0.56388888888888888</v>
      </c>
      <c r="C252" s="40" t="s">
        <v>459</v>
      </c>
      <c r="D252" s="44">
        <v>1</v>
      </c>
      <c r="E252" s="45">
        <v>2</v>
      </c>
      <c r="F252" s="42" t="s">
        <v>160</v>
      </c>
      <c r="G252" s="43" t="s">
        <v>154</v>
      </c>
      <c r="H252" s="42" t="s">
        <v>155</v>
      </c>
      <c r="I252" s="43">
        <v>16</v>
      </c>
      <c r="J252" s="43">
        <v>2</v>
      </c>
      <c r="K252" s="25" t="str">
        <f>VLOOKUP(J252,Key!$E$2:$F$9,2,FALSE)</f>
        <v>Work</v>
      </c>
      <c r="L252" s="42" t="s">
        <v>146</v>
      </c>
      <c r="M252" s="43" t="s">
        <v>154</v>
      </c>
      <c r="N252" s="42" t="s">
        <v>155</v>
      </c>
      <c r="O252" s="43">
        <v>1</v>
      </c>
      <c r="P252" s="43">
        <v>1</v>
      </c>
      <c r="Q252" s="25" t="str">
        <f>VLOOKUP(P252,Key!$E$2:$F$9,2,FALSE)</f>
        <v>Home</v>
      </c>
      <c r="R252" s="25" t="str">
        <f t="shared" si="4"/>
        <v>Work-Home</v>
      </c>
      <c r="S252" s="58"/>
      <c r="T252" s="58">
        <v>0.2</v>
      </c>
      <c r="U252" s="58">
        <v>6</v>
      </c>
      <c r="V252" s="56"/>
      <c r="W252" s="56"/>
      <c r="X252" s="56"/>
      <c r="Y252" s="59" t="s">
        <v>156</v>
      </c>
      <c r="Z252" s="60">
        <v>500</v>
      </c>
      <c r="AA252" s="25">
        <f>VLOOKUP(F252,Zones!$A$2:$F$2186,6,FALSE)</f>
        <v>1393</v>
      </c>
      <c r="AB252" s="25">
        <f>VLOOKUP(L252,Zones!$A$2:$F$2186,6,FALSE)</f>
        <v>1393</v>
      </c>
    </row>
    <row r="253" spans="2:28">
      <c r="B253" s="40">
        <v>0.56944444444444442</v>
      </c>
      <c r="C253" s="40" t="s">
        <v>460</v>
      </c>
      <c r="D253" s="44">
        <v>1</v>
      </c>
      <c r="E253" s="45">
        <v>1</v>
      </c>
      <c r="F253" s="42" t="s">
        <v>168</v>
      </c>
      <c r="G253" s="43" t="s">
        <v>154</v>
      </c>
      <c r="H253" s="42" t="s">
        <v>155</v>
      </c>
      <c r="I253" s="43">
        <v>16</v>
      </c>
      <c r="J253" s="43">
        <v>6</v>
      </c>
      <c r="K253" s="25" t="str">
        <f>VLOOKUP(J253,Key!$E$2:$F$9,2,FALSE)</f>
        <v>Leisure/Social</v>
      </c>
      <c r="L253" s="42" t="s">
        <v>146</v>
      </c>
      <c r="M253" s="43" t="s">
        <v>154</v>
      </c>
      <c r="N253" s="42" t="s">
        <v>155</v>
      </c>
      <c r="O253" s="43">
        <v>11</v>
      </c>
      <c r="P253" s="43">
        <v>4</v>
      </c>
      <c r="Q253" s="25" t="str">
        <f>VLOOKUP(P253,Key!$E$2:$F$9,2,FALSE)</f>
        <v>Commercial</v>
      </c>
      <c r="R253" s="25" t="str">
        <f t="shared" si="4"/>
        <v>Leisure/Social-Commercial</v>
      </c>
      <c r="S253" s="58">
        <v>1</v>
      </c>
      <c r="T253" s="58">
        <v>0.1</v>
      </c>
      <c r="U253" s="58">
        <v>1</v>
      </c>
      <c r="V253" s="56"/>
      <c r="W253" s="56"/>
      <c r="X253" s="56"/>
      <c r="Y253" s="59" t="s">
        <v>156</v>
      </c>
      <c r="Z253" s="60">
        <v>5000</v>
      </c>
      <c r="AA253" s="25">
        <f>VLOOKUP(F253,Zones!$A$2:$F$2186,6,FALSE)</f>
        <v>1393</v>
      </c>
      <c r="AB253" s="25">
        <f>VLOOKUP(L253,Zones!$A$2:$F$2186,6,FALSE)</f>
        <v>1393</v>
      </c>
    </row>
    <row r="254" spans="2:28">
      <c r="B254" s="40">
        <v>0.61527777777777781</v>
      </c>
      <c r="C254" s="40" t="s">
        <v>461</v>
      </c>
      <c r="D254" s="44">
        <v>1</v>
      </c>
      <c r="E254" s="42">
        <v>2</v>
      </c>
      <c r="F254" s="42" t="s">
        <v>147</v>
      </c>
      <c r="G254" s="43" t="s">
        <v>154</v>
      </c>
      <c r="H254" s="42" t="s">
        <v>155</v>
      </c>
      <c r="I254" s="43">
        <v>1</v>
      </c>
      <c r="J254" s="43">
        <v>1</v>
      </c>
      <c r="K254" s="25" t="str">
        <f>VLOOKUP(J254,Key!$E$2:$F$9,2,FALSE)</f>
        <v>Home</v>
      </c>
      <c r="L254" s="42" t="s">
        <v>836</v>
      </c>
      <c r="M254" s="43" t="s">
        <v>836</v>
      </c>
      <c r="N254" s="42" t="s">
        <v>155</v>
      </c>
      <c r="O254" s="43">
        <v>11</v>
      </c>
      <c r="P254" s="43">
        <v>2</v>
      </c>
      <c r="Q254" s="25" t="str">
        <f>VLOOKUP(P254,Key!$E$2:$F$9,2,FALSE)</f>
        <v>Work</v>
      </c>
      <c r="R254" s="25" t="str">
        <f t="shared" si="4"/>
        <v>Home-Work</v>
      </c>
      <c r="S254" s="58">
        <v>30</v>
      </c>
      <c r="T254" s="58">
        <v>1</v>
      </c>
      <c r="U254" s="58">
        <v>2</v>
      </c>
      <c r="V254" s="56"/>
      <c r="W254" s="56"/>
      <c r="X254" s="56"/>
      <c r="Y254" s="59" t="s">
        <v>156</v>
      </c>
      <c r="Z254" s="60">
        <v>5000</v>
      </c>
      <c r="AA254" s="25">
        <f>VLOOKUP(F254,Zones!$A$2:$F$2186,6,FALSE)</f>
        <v>1402</v>
      </c>
      <c r="AB254" s="25">
        <f>VLOOKUP(L254,Zones!$A$2:$F$2186,6,FALSE)</f>
        <v>521</v>
      </c>
    </row>
    <row r="255" spans="2:28">
      <c r="B255" s="40">
        <v>0.57638888888888895</v>
      </c>
      <c r="C255" s="40" t="s">
        <v>462</v>
      </c>
      <c r="D255" s="44">
        <v>1</v>
      </c>
      <c r="E255" s="42">
        <v>1</v>
      </c>
      <c r="F255" s="42" t="s">
        <v>463</v>
      </c>
      <c r="G255" s="43" t="s">
        <v>154</v>
      </c>
      <c r="H255" s="42" t="s">
        <v>155</v>
      </c>
      <c r="I255" s="43">
        <v>1</v>
      </c>
      <c r="J255" s="43">
        <v>1</v>
      </c>
      <c r="K255" s="25" t="str">
        <f>VLOOKUP(J255,Key!$E$2:$F$9,2,FALSE)</f>
        <v>Home</v>
      </c>
      <c r="L255" s="42" t="s">
        <v>184</v>
      </c>
      <c r="M255" s="43" t="s">
        <v>154</v>
      </c>
      <c r="N255" s="42" t="s">
        <v>155</v>
      </c>
      <c r="O255" s="43">
        <v>11</v>
      </c>
      <c r="P255" s="43">
        <v>2</v>
      </c>
      <c r="Q255" s="25" t="str">
        <f>VLOOKUP(P255,Key!$E$2:$F$9,2,FALSE)</f>
        <v>Work</v>
      </c>
      <c r="R255" s="25" t="str">
        <f t="shared" si="4"/>
        <v>Home-Work</v>
      </c>
      <c r="S255" s="58"/>
      <c r="T255" s="58">
        <v>0.2</v>
      </c>
      <c r="U255" s="58">
        <v>2</v>
      </c>
      <c r="V255" s="56"/>
      <c r="W255" s="56"/>
      <c r="X255" s="56"/>
      <c r="Y255" s="59" t="s">
        <v>156</v>
      </c>
      <c r="Z255" s="60">
        <v>4000</v>
      </c>
      <c r="AA255" s="25">
        <f>VLOOKUP(F255,Zones!$A$2:$F$2186,6,FALSE)</f>
        <v>1408</v>
      </c>
      <c r="AB255" s="25">
        <f>VLOOKUP(L255,Zones!$A$2:$F$2186,6,FALSE)</f>
        <v>811</v>
      </c>
    </row>
    <row r="256" spans="2:28">
      <c r="B256" s="40">
        <v>0.58333333333333337</v>
      </c>
      <c r="C256" s="40" t="s">
        <v>464</v>
      </c>
      <c r="D256" s="45">
        <v>7</v>
      </c>
      <c r="E256" s="45">
        <v>3</v>
      </c>
      <c r="F256" s="42" t="s">
        <v>147</v>
      </c>
      <c r="G256" s="43" t="s">
        <v>154</v>
      </c>
      <c r="H256" s="42" t="s">
        <v>155</v>
      </c>
      <c r="I256" s="43">
        <v>11</v>
      </c>
      <c r="J256" s="43">
        <v>4</v>
      </c>
      <c r="K256" s="25" t="str">
        <f>VLOOKUP(J256,Key!$E$2:$F$9,2,FALSE)</f>
        <v>Commercial</v>
      </c>
      <c r="L256" s="42" t="s">
        <v>146</v>
      </c>
      <c r="M256" s="43" t="s">
        <v>154</v>
      </c>
      <c r="N256" s="42" t="s">
        <v>155</v>
      </c>
      <c r="O256" s="43">
        <v>11</v>
      </c>
      <c r="P256" s="43">
        <v>4</v>
      </c>
      <c r="Q256" s="25" t="str">
        <f>VLOOKUP(P256,Key!$E$2:$F$9,2,FALSE)</f>
        <v>Commercial</v>
      </c>
      <c r="R256" s="25" t="str">
        <f t="shared" si="4"/>
        <v>Commercial-Commercial</v>
      </c>
      <c r="S256" s="58"/>
      <c r="T256" s="58">
        <v>0.5</v>
      </c>
      <c r="U256" s="58">
        <v>2</v>
      </c>
      <c r="V256" s="56"/>
      <c r="W256" s="56"/>
      <c r="X256" s="56"/>
      <c r="Y256" s="59" t="s">
        <v>156</v>
      </c>
      <c r="Z256" s="60">
        <v>2000</v>
      </c>
      <c r="AA256" s="25">
        <f>VLOOKUP(F256,Zones!$A$2:$F$2186,6,FALSE)</f>
        <v>1402</v>
      </c>
      <c r="AB256" s="25">
        <f>VLOOKUP(L256,Zones!$A$2:$F$2186,6,FALSE)</f>
        <v>1393</v>
      </c>
    </row>
    <row r="257" spans="2:28">
      <c r="B257" s="40">
        <v>0.58611111111111114</v>
      </c>
      <c r="C257" s="40" t="s">
        <v>465</v>
      </c>
      <c r="D257" s="45">
        <v>1</v>
      </c>
      <c r="E257" s="45">
        <v>1</v>
      </c>
      <c r="F257" s="42" t="s">
        <v>168</v>
      </c>
      <c r="G257" s="43" t="s">
        <v>154</v>
      </c>
      <c r="H257" s="42" t="s">
        <v>155</v>
      </c>
      <c r="I257" s="43">
        <v>1</v>
      </c>
      <c r="J257" s="43">
        <v>1</v>
      </c>
      <c r="K257" s="25" t="str">
        <f>VLOOKUP(J257,Key!$E$2:$F$9,2,FALSE)</f>
        <v>Home</v>
      </c>
      <c r="L257" s="42" t="s">
        <v>146</v>
      </c>
      <c r="M257" s="43" t="s">
        <v>154</v>
      </c>
      <c r="N257" s="42" t="s">
        <v>155</v>
      </c>
      <c r="O257" s="43">
        <v>11</v>
      </c>
      <c r="P257" s="43">
        <v>6</v>
      </c>
      <c r="Q257" s="25" t="str">
        <f>VLOOKUP(P257,Key!$E$2:$F$9,2,FALSE)</f>
        <v>Leisure/Social</v>
      </c>
      <c r="R257" s="25" t="str">
        <f t="shared" si="4"/>
        <v>Home-Leisure/Social</v>
      </c>
      <c r="S257" s="58"/>
      <c r="T257" s="58"/>
      <c r="U257" s="58">
        <v>2</v>
      </c>
      <c r="V257" s="56"/>
      <c r="W257" s="56"/>
      <c r="X257" s="56"/>
      <c r="Y257" s="59" t="s">
        <v>156</v>
      </c>
      <c r="Z257" s="60">
        <v>1000</v>
      </c>
      <c r="AA257" s="25">
        <f>VLOOKUP(F257,Zones!$A$2:$F$2186,6,FALSE)</f>
        <v>1393</v>
      </c>
      <c r="AB257" s="25">
        <f>VLOOKUP(L257,Zones!$A$2:$F$2186,6,FALSE)</f>
        <v>1393</v>
      </c>
    </row>
    <row r="258" spans="2:28">
      <c r="B258" s="40">
        <v>0.58888888888888891</v>
      </c>
      <c r="C258" s="40" t="s">
        <v>466</v>
      </c>
      <c r="D258" s="45">
        <v>4</v>
      </c>
      <c r="E258" s="45">
        <v>2</v>
      </c>
      <c r="F258" s="42" t="s">
        <v>667</v>
      </c>
      <c r="G258" s="43" t="s">
        <v>154</v>
      </c>
      <c r="H258" s="42" t="s">
        <v>155</v>
      </c>
      <c r="I258" s="43">
        <v>11</v>
      </c>
      <c r="J258" s="43">
        <v>4</v>
      </c>
      <c r="K258" s="25" t="str">
        <f>VLOOKUP(J258,Key!$E$2:$F$9,2,FALSE)</f>
        <v>Commercial</v>
      </c>
      <c r="L258" s="42" t="s">
        <v>146</v>
      </c>
      <c r="M258" s="43" t="s">
        <v>154</v>
      </c>
      <c r="N258" s="42" t="s">
        <v>155</v>
      </c>
      <c r="O258" s="43">
        <v>11</v>
      </c>
      <c r="P258" s="43">
        <v>4</v>
      </c>
      <c r="Q258" s="25" t="str">
        <f>VLOOKUP(P258,Key!$E$2:$F$9,2,FALSE)</f>
        <v>Commercial</v>
      </c>
      <c r="R258" s="25" t="str">
        <f t="shared" si="4"/>
        <v>Commercial-Commercial</v>
      </c>
      <c r="S258" s="58"/>
      <c r="T258" s="58">
        <v>0.5</v>
      </c>
      <c r="U258" s="58">
        <v>3</v>
      </c>
      <c r="V258" s="56"/>
      <c r="W258" s="56"/>
      <c r="X258" s="56"/>
      <c r="Y258" s="59" t="s">
        <v>156</v>
      </c>
      <c r="Z258" s="60">
        <v>1000</v>
      </c>
      <c r="AA258" s="25">
        <f>VLOOKUP(F258,Zones!$A$2:$F$2186,6,FALSE)</f>
        <v>583</v>
      </c>
      <c r="AB258" s="25">
        <f>VLOOKUP(L258,Zones!$A$2:$F$2186,6,FALSE)</f>
        <v>1393</v>
      </c>
    </row>
    <row r="259" spans="2:28">
      <c r="B259" s="40">
        <v>0.59930555555555554</v>
      </c>
      <c r="C259" s="40" t="s">
        <v>839</v>
      </c>
      <c r="D259" s="44">
        <v>3</v>
      </c>
      <c r="E259" s="45">
        <v>2</v>
      </c>
      <c r="F259" s="42" t="s">
        <v>168</v>
      </c>
      <c r="G259" s="43" t="s">
        <v>154</v>
      </c>
      <c r="H259" s="42" t="s">
        <v>155</v>
      </c>
      <c r="I259" s="43">
        <v>9</v>
      </c>
      <c r="J259" s="43">
        <v>2</v>
      </c>
      <c r="K259" s="25" t="str">
        <f>VLOOKUP(J259,Key!$E$2:$F$9,2,FALSE)</f>
        <v>Work</v>
      </c>
      <c r="L259" s="42" t="s">
        <v>382</v>
      </c>
      <c r="M259" s="43" t="s">
        <v>836</v>
      </c>
      <c r="N259" s="42" t="s">
        <v>155</v>
      </c>
      <c r="O259" s="43">
        <v>11</v>
      </c>
      <c r="P259" s="43">
        <v>8</v>
      </c>
      <c r="Q259" s="25" t="str">
        <f>VLOOKUP(P259,Key!$E$2:$F$9,2,FALSE)</f>
        <v>Others</v>
      </c>
      <c r="R259" s="25" t="str">
        <f t="shared" si="4"/>
        <v>Work-Others</v>
      </c>
      <c r="S259" s="58">
        <v>8</v>
      </c>
      <c r="T259" s="58">
        <v>0.3</v>
      </c>
      <c r="U259" s="58">
        <v>6</v>
      </c>
      <c r="V259" s="56"/>
      <c r="W259" s="56"/>
      <c r="X259" s="56"/>
      <c r="Y259" s="59" t="s">
        <v>156</v>
      </c>
      <c r="Z259" s="60">
        <v>1000</v>
      </c>
      <c r="AA259" s="25">
        <f>VLOOKUP(F259,Zones!$A$2:$F$2186,6,FALSE)</f>
        <v>1393</v>
      </c>
      <c r="AB259" s="25">
        <f>VLOOKUP(L259,Zones!$A$2:$F$2186,6,FALSE)</f>
        <v>559</v>
      </c>
    </row>
    <row r="260" spans="2:28">
      <c r="B260" s="40">
        <v>0.60277777777777775</v>
      </c>
      <c r="C260" s="40" t="s">
        <v>467</v>
      </c>
      <c r="D260" s="44">
        <v>1</v>
      </c>
      <c r="E260" s="45">
        <v>1</v>
      </c>
      <c r="F260" s="42" t="s">
        <v>245</v>
      </c>
      <c r="G260" s="43" t="s">
        <v>154</v>
      </c>
      <c r="H260" s="42" t="s">
        <v>155</v>
      </c>
      <c r="I260" s="43">
        <v>1</v>
      </c>
      <c r="J260" s="43">
        <v>1</v>
      </c>
      <c r="K260" s="25" t="str">
        <f>VLOOKUP(J260,Key!$E$2:$F$9,2,FALSE)</f>
        <v>Home</v>
      </c>
      <c r="L260" s="42" t="s">
        <v>468</v>
      </c>
      <c r="M260" s="43" t="s">
        <v>836</v>
      </c>
      <c r="N260" s="42" t="s">
        <v>155</v>
      </c>
      <c r="O260" s="43">
        <v>2</v>
      </c>
      <c r="P260" s="43">
        <v>2</v>
      </c>
      <c r="Q260" s="25" t="str">
        <f>VLOOKUP(P260,Key!$E$2:$F$9,2,FALSE)</f>
        <v>Work</v>
      </c>
      <c r="R260" s="25" t="str">
        <f t="shared" si="4"/>
        <v>Home-Work</v>
      </c>
      <c r="S260" s="58"/>
      <c r="T260" s="58">
        <v>0.5</v>
      </c>
      <c r="U260" s="58">
        <v>2</v>
      </c>
      <c r="V260" s="56"/>
      <c r="W260" s="56"/>
      <c r="X260" s="56"/>
      <c r="Y260" s="59" t="s">
        <v>156</v>
      </c>
      <c r="Z260" s="60">
        <v>1000</v>
      </c>
      <c r="AA260" s="25">
        <f>VLOOKUP(F260,Zones!$A$2:$F$2186,6,FALSE)</f>
        <v>1402</v>
      </c>
      <c r="AB260" s="25">
        <f>VLOOKUP(L260,Zones!$A$2:$F$2186,6,FALSE)</f>
        <v>516</v>
      </c>
    </row>
    <row r="261" spans="2:28">
      <c r="B261" s="40">
        <v>0.6069444444444444</v>
      </c>
      <c r="C261" s="40" t="s">
        <v>469</v>
      </c>
      <c r="D261" s="45">
        <v>1</v>
      </c>
      <c r="E261" s="42">
        <v>3</v>
      </c>
      <c r="F261" s="42" t="s">
        <v>245</v>
      </c>
      <c r="G261" s="43" t="s">
        <v>154</v>
      </c>
      <c r="H261" s="42" t="s">
        <v>155</v>
      </c>
      <c r="I261" s="43">
        <v>1</v>
      </c>
      <c r="J261" s="43">
        <v>1</v>
      </c>
      <c r="K261" s="25" t="str">
        <f>VLOOKUP(J261,Key!$E$2:$F$9,2,FALSE)</f>
        <v>Home</v>
      </c>
      <c r="L261" s="42" t="s">
        <v>836</v>
      </c>
      <c r="M261" s="43" t="s">
        <v>836</v>
      </c>
      <c r="N261" s="42" t="s">
        <v>155</v>
      </c>
      <c r="O261" s="43">
        <v>2</v>
      </c>
      <c r="P261" s="43">
        <v>2</v>
      </c>
      <c r="Q261" s="25" t="str">
        <f>VLOOKUP(P261,Key!$E$2:$F$9,2,FALSE)</f>
        <v>Work</v>
      </c>
      <c r="R261" s="25" t="str">
        <f t="shared" si="4"/>
        <v>Home-Work</v>
      </c>
      <c r="S261" s="58"/>
      <c r="T261" s="58">
        <v>0.5</v>
      </c>
      <c r="U261" s="58"/>
      <c r="V261" s="56"/>
      <c r="W261" s="56"/>
      <c r="X261" s="56"/>
      <c r="Y261" s="59" t="s">
        <v>156</v>
      </c>
      <c r="Z261" s="60">
        <v>3000</v>
      </c>
      <c r="AA261" s="25">
        <f>VLOOKUP(F261,Zones!$A$2:$F$2186,6,FALSE)</f>
        <v>1402</v>
      </c>
      <c r="AB261" s="25">
        <f>VLOOKUP(L261,Zones!$A$2:$F$2186,6,FALSE)</f>
        <v>521</v>
      </c>
    </row>
    <row r="262" spans="2:28">
      <c r="B262" s="40">
        <v>0.68125000000000002</v>
      </c>
      <c r="C262" s="40" t="s">
        <v>470</v>
      </c>
      <c r="D262" s="45">
        <v>4</v>
      </c>
      <c r="E262" s="45">
        <v>10</v>
      </c>
      <c r="F262" s="42" t="s">
        <v>471</v>
      </c>
      <c r="G262" s="43" t="s">
        <v>154</v>
      </c>
      <c r="H262" s="42" t="s">
        <v>155</v>
      </c>
      <c r="I262" s="43">
        <v>4</v>
      </c>
      <c r="J262" s="43">
        <v>2</v>
      </c>
      <c r="K262" s="25" t="str">
        <f>VLOOKUP(J262,Key!$E$2:$F$9,2,FALSE)</f>
        <v>Work</v>
      </c>
      <c r="L262" s="42" t="s">
        <v>184</v>
      </c>
      <c r="M262" s="43" t="s">
        <v>154</v>
      </c>
      <c r="N262" s="42" t="s">
        <v>155</v>
      </c>
      <c r="O262" s="43">
        <v>16</v>
      </c>
      <c r="P262" s="43">
        <v>2</v>
      </c>
      <c r="Q262" s="25" t="str">
        <f>VLOOKUP(P262,Key!$E$2:$F$9,2,FALSE)</f>
        <v>Work</v>
      </c>
      <c r="R262" s="25" t="str">
        <f t="shared" si="4"/>
        <v>Work-Work</v>
      </c>
      <c r="S262" s="58"/>
      <c r="T262" s="58">
        <v>0.3</v>
      </c>
      <c r="U262" s="58">
        <v>2</v>
      </c>
      <c r="V262" s="56"/>
      <c r="W262" s="56"/>
      <c r="X262" s="56"/>
      <c r="Y262" s="59" t="s">
        <v>156</v>
      </c>
      <c r="Z262" s="60">
        <v>2000</v>
      </c>
      <c r="AA262" s="25">
        <f>VLOOKUP(F262,Zones!$A$2:$F$2186,6,FALSE)</f>
        <v>1402</v>
      </c>
      <c r="AB262" s="25">
        <f>VLOOKUP(L262,Zones!$A$2:$F$2186,6,FALSE)</f>
        <v>811</v>
      </c>
    </row>
    <row r="263" spans="2:28">
      <c r="B263" s="40">
        <v>0.68819444444444444</v>
      </c>
      <c r="C263" s="40" t="s">
        <v>472</v>
      </c>
      <c r="D263" s="45">
        <v>1</v>
      </c>
      <c r="E263" s="45">
        <v>1</v>
      </c>
      <c r="F263" s="42" t="s">
        <v>168</v>
      </c>
      <c r="G263" s="43" t="s">
        <v>154</v>
      </c>
      <c r="H263" s="42" t="s">
        <v>155</v>
      </c>
      <c r="I263" s="43">
        <v>4</v>
      </c>
      <c r="J263" s="43">
        <v>6</v>
      </c>
      <c r="K263" s="25" t="str">
        <f>VLOOKUP(J263,Key!$E$2:$F$9,2,FALSE)</f>
        <v>Leisure/Social</v>
      </c>
      <c r="L263" s="42" t="s">
        <v>473</v>
      </c>
      <c r="M263" s="43" t="s">
        <v>154</v>
      </c>
      <c r="N263" s="42" t="s">
        <v>155</v>
      </c>
      <c r="O263" s="43">
        <v>1</v>
      </c>
      <c r="P263" s="43">
        <v>1</v>
      </c>
      <c r="Q263" s="25" t="str">
        <f>VLOOKUP(P263,Key!$E$2:$F$9,2,FALSE)</f>
        <v>Home</v>
      </c>
      <c r="R263" s="25" t="str">
        <f t="shared" si="4"/>
        <v>Leisure/Social-Home</v>
      </c>
      <c r="S263" s="58"/>
      <c r="T263" s="58">
        <v>0.5</v>
      </c>
      <c r="U263" s="58">
        <v>2</v>
      </c>
      <c r="V263" s="56"/>
      <c r="W263" s="56"/>
      <c r="X263" s="56"/>
      <c r="Y263" s="59" t="s">
        <v>156</v>
      </c>
      <c r="Z263" s="60">
        <v>0</v>
      </c>
      <c r="AA263" s="25">
        <f>VLOOKUP(F263,Zones!$A$2:$F$2186,6,FALSE)</f>
        <v>1393</v>
      </c>
      <c r="AB263" s="25">
        <f>VLOOKUP(L263,Zones!$A$2:$F$2186,6,FALSE)</f>
        <v>1405</v>
      </c>
    </row>
    <row r="264" spans="2:28">
      <c r="B264" s="40">
        <v>0.70694444444444438</v>
      </c>
      <c r="C264" s="40" t="s">
        <v>343</v>
      </c>
      <c r="D264" s="45">
        <v>4</v>
      </c>
      <c r="E264" s="45">
        <v>2</v>
      </c>
      <c r="F264" s="42" t="s">
        <v>168</v>
      </c>
      <c r="G264" s="43" t="s">
        <v>154</v>
      </c>
      <c r="H264" s="42" t="s">
        <v>155</v>
      </c>
      <c r="I264" s="43">
        <v>4</v>
      </c>
      <c r="J264" s="43">
        <v>6</v>
      </c>
      <c r="K264" s="25" t="str">
        <f>VLOOKUP(J264,Key!$E$2:$F$9,2,FALSE)</f>
        <v>Leisure/Social</v>
      </c>
      <c r="L264" s="42" t="s">
        <v>146</v>
      </c>
      <c r="M264" s="43" t="s">
        <v>154</v>
      </c>
      <c r="N264" s="42" t="s">
        <v>155</v>
      </c>
      <c r="O264" s="43">
        <v>1</v>
      </c>
      <c r="P264" s="43">
        <v>1</v>
      </c>
      <c r="Q264" s="25" t="str">
        <f>VLOOKUP(P264,Key!$E$2:$F$9,2,FALSE)</f>
        <v>Home</v>
      </c>
      <c r="R264" s="25" t="str">
        <f t="shared" si="4"/>
        <v>Leisure/Social-Home</v>
      </c>
      <c r="S264" s="58">
        <v>1</v>
      </c>
      <c r="T264" s="58">
        <v>0.1</v>
      </c>
      <c r="U264" s="58">
        <v>2</v>
      </c>
      <c r="V264" s="56"/>
      <c r="W264" s="56"/>
      <c r="X264" s="56"/>
      <c r="Y264" s="59" t="s">
        <v>156</v>
      </c>
      <c r="Z264" s="60">
        <v>1000</v>
      </c>
      <c r="AA264" s="25">
        <f>VLOOKUP(F264,Zones!$A$2:$F$2186,6,FALSE)</f>
        <v>1393</v>
      </c>
      <c r="AB264" s="25">
        <f>VLOOKUP(L264,Zones!$A$2:$F$2186,6,FALSE)</f>
        <v>1393</v>
      </c>
    </row>
    <row r="265" spans="2:28">
      <c r="B265" s="40">
        <v>0.71458333333333324</v>
      </c>
      <c r="C265" s="40" t="s">
        <v>474</v>
      </c>
      <c r="D265" s="45">
        <v>4</v>
      </c>
      <c r="E265" s="45">
        <v>10</v>
      </c>
      <c r="F265" s="42" t="s">
        <v>168</v>
      </c>
      <c r="G265" s="43" t="s">
        <v>154</v>
      </c>
      <c r="H265" s="42" t="s">
        <v>155</v>
      </c>
      <c r="I265" s="43">
        <v>4</v>
      </c>
      <c r="J265" s="43">
        <v>2</v>
      </c>
      <c r="K265" s="25" t="str">
        <f>VLOOKUP(J265,Key!$E$2:$F$9,2,FALSE)</f>
        <v>Work</v>
      </c>
      <c r="L265" s="42" t="s">
        <v>146</v>
      </c>
      <c r="M265" s="43" t="s">
        <v>154</v>
      </c>
      <c r="N265" s="42" t="s">
        <v>155</v>
      </c>
      <c r="O265" s="43">
        <v>1</v>
      </c>
      <c r="P265" s="43">
        <v>1</v>
      </c>
      <c r="Q265" s="25" t="str">
        <f>VLOOKUP(P265,Key!$E$2:$F$9,2,FALSE)</f>
        <v>Home</v>
      </c>
      <c r="R265" s="25" t="str">
        <f t="shared" ref="R265:R328" si="5">K265&amp;"-"&amp;Q265</f>
        <v>Work-Home</v>
      </c>
      <c r="S265" s="58">
        <v>1</v>
      </c>
      <c r="T265" s="58">
        <v>0.3</v>
      </c>
      <c r="U265" s="58">
        <v>2</v>
      </c>
      <c r="V265" s="56"/>
      <c r="W265" s="56"/>
      <c r="X265" s="56"/>
      <c r="Y265" s="59" t="s">
        <v>156</v>
      </c>
      <c r="Z265" s="60">
        <v>1000</v>
      </c>
      <c r="AA265" s="25">
        <f>VLOOKUP(F265,Zones!$A$2:$F$2186,6,FALSE)</f>
        <v>1393</v>
      </c>
      <c r="AB265" s="25">
        <f>VLOOKUP(L265,Zones!$A$2:$F$2186,6,FALSE)</f>
        <v>1393</v>
      </c>
    </row>
    <row r="266" spans="2:28">
      <c r="B266" s="40">
        <v>0.7270833333333333</v>
      </c>
      <c r="C266" s="40" t="s">
        <v>475</v>
      </c>
      <c r="D266" s="45">
        <v>7</v>
      </c>
      <c r="E266" s="45">
        <v>1</v>
      </c>
      <c r="F266" s="42" t="s">
        <v>168</v>
      </c>
      <c r="G266" s="43" t="s">
        <v>154</v>
      </c>
      <c r="H266" s="42" t="s">
        <v>155</v>
      </c>
      <c r="I266" s="43">
        <v>2</v>
      </c>
      <c r="J266" s="43">
        <v>2</v>
      </c>
      <c r="K266" s="25" t="str">
        <f>VLOOKUP(J266,Key!$E$2:$F$9,2,FALSE)</f>
        <v>Work</v>
      </c>
      <c r="L266" s="42" t="s">
        <v>413</v>
      </c>
      <c r="M266" s="43" t="s">
        <v>836</v>
      </c>
      <c r="N266" s="42" t="s">
        <v>155</v>
      </c>
      <c r="O266" s="43">
        <v>1</v>
      </c>
      <c r="P266" s="43">
        <v>1</v>
      </c>
      <c r="Q266" s="25" t="str">
        <f>VLOOKUP(P266,Key!$E$2:$F$9,2,FALSE)</f>
        <v>Home</v>
      </c>
      <c r="R266" s="25" t="str">
        <f t="shared" si="5"/>
        <v>Work-Home</v>
      </c>
      <c r="S266" s="58">
        <v>10</v>
      </c>
      <c r="T266" s="58">
        <v>1</v>
      </c>
      <c r="U266" s="58">
        <v>6</v>
      </c>
      <c r="V266" s="56"/>
      <c r="W266" s="56"/>
      <c r="X266" s="56"/>
      <c r="Y266" s="59" t="s">
        <v>156</v>
      </c>
      <c r="Z266" s="60">
        <v>3000</v>
      </c>
      <c r="AA266" s="25">
        <f>VLOOKUP(F266,Zones!$A$2:$F$2186,6,FALSE)</f>
        <v>1393</v>
      </c>
      <c r="AB266" s="25">
        <f>VLOOKUP(L266,Zones!$A$2:$F$2186,6,FALSE)</f>
        <v>520</v>
      </c>
    </row>
    <row r="267" spans="2:28">
      <c r="B267" s="40">
        <v>0.73958333333333337</v>
      </c>
      <c r="C267" s="40" t="s">
        <v>476</v>
      </c>
      <c r="D267" s="44">
        <v>7</v>
      </c>
      <c r="E267" s="45">
        <v>2</v>
      </c>
      <c r="F267" s="42" t="s">
        <v>391</v>
      </c>
      <c r="G267" s="43" t="s">
        <v>154</v>
      </c>
      <c r="H267" s="42" t="s">
        <v>155</v>
      </c>
      <c r="I267" s="43">
        <v>1</v>
      </c>
      <c r="J267" s="43">
        <v>1</v>
      </c>
      <c r="K267" s="25" t="str">
        <f>VLOOKUP(J267,Key!$E$2:$F$9,2,FALSE)</f>
        <v>Home</v>
      </c>
      <c r="L267" s="42" t="s">
        <v>146</v>
      </c>
      <c r="M267" s="43" t="s">
        <v>154</v>
      </c>
      <c r="N267" s="42" t="s">
        <v>155</v>
      </c>
      <c r="O267" s="43">
        <v>3</v>
      </c>
      <c r="P267" s="43">
        <v>2</v>
      </c>
      <c r="Q267" s="25" t="str">
        <f>VLOOKUP(P267,Key!$E$2:$F$9,2,FALSE)</f>
        <v>Work</v>
      </c>
      <c r="R267" s="25" t="str">
        <f t="shared" si="5"/>
        <v>Home-Work</v>
      </c>
      <c r="S267" s="58"/>
      <c r="T267" s="58">
        <v>2</v>
      </c>
      <c r="U267" s="58">
        <v>3</v>
      </c>
      <c r="V267" s="56"/>
      <c r="W267" s="56"/>
      <c r="X267" s="56"/>
      <c r="Y267" s="59" t="s">
        <v>156</v>
      </c>
      <c r="Z267" s="60">
        <v>1000</v>
      </c>
      <c r="AA267" s="25">
        <f>VLOOKUP(F267,Zones!$A$2:$F$2186,6,FALSE)</f>
        <v>1408</v>
      </c>
      <c r="AB267" s="25">
        <f>VLOOKUP(L267,Zones!$A$2:$F$2186,6,FALSE)</f>
        <v>1393</v>
      </c>
    </row>
    <row r="268" spans="2:28">
      <c r="B268" s="40">
        <v>0.74375000000000002</v>
      </c>
      <c r="C268" s="40" t="s">
        <v>478</v>
      </c>
      <c r="D268" s="45">
        <v>1</v>
      </c>
      <c r="E268" s="42">
        <v>3</v>
      </c>
      <c r="F268" s="42" t="s">
        <v>479</v>
      </c>
      <c r="G268" s="43" t="s">
        <v>154</v>
      </c>
      <c r="H268" s="42" t="s">
        <v>155</v>
      </c>
      <c r="I268" s="43">
        <v>15</v>
      </c>
      <c r="J268" s="43">
        <v>2</v>
      </c>
      <c r="K268" s="25" t="str">
        <f>VLOOKUP(J268,Key!$E$2:$F$9,2,FALSE)</f>
        <v>Work</v>
      </c>
      <c r="L268" s="42" t="s">
        <v>199</v>
      </c>
      <c r="M268" s="43" t="s">
        <v>836</v>
      </c>
      <c r="N268" s="42" t="s">
        <v>155</v>
      </c>
      <c r="O268" s="43">
        <v>10</v>
      </c>
      <c r="P268" s="43">
        <v>2</v>
      </c>
      <c r="Q268" s="25" t="str">
        <f>VLOOKUP(P268,Key!$E$2:$F$9,2,FALSE)</f>
        <v>Work</v>
      </c>
      <c r="R268" s="25" t="str">
        <f t="shared" si="5"/>
        <v>Work-Work</v>
      </c>
      <c r="S268" s="58"/>
      <c r="T268" s="58">
        <v>0.7</v>
      </c>
      <c r="U268" s="58">
        <v>6</v>
      </c>
      <c r="V268" s="56">
        <v>4</v>
      </c>
      <c r="W268" s="56"/>
      <c r="X268" s="56"/>
      <c r="Y268" s="59" t="s">
        <v>156</v>
      </c>
      <c r="Z268" s="60">
        <v>2000</v>
      </c>
      <c r="AA268" s="25">
        <f>VLOOKUP(F268,Zones!$A$2:$F$2186,6,FALSE)</f>
        <v>1408</v>
      </c>
      <c r="AB268" s="25">
        <f>VLOOKUP(L268,Zones!$A$2:$F$2186,6,FALSE)</f>
        <v>577</v>
      </c>
    </row>
    <row r="269" spans="2:28">
      <c r="B269" s="40">
        <v>0.77916666666666667</v>
      </c>
      <c r="C269" s="40" t="s">
        <v>480</v>
      </c>
      <c r="D269" s="45">
        <v>1</v>
      </c>
      <c r="E269" s="45">
        <v>1</v>
      </c>
      <c r="F269" s="42" t="s">
        <v>168</v>
      </c>
      <c r="G269" s="43" t="s">
        <v>154</v>
      </c>
      <c r="H269" s="42" t="s">
        <v>155</v>
      </c>
      <c r="I269" s="43">
        <v>1</v>
      </c>
      <c r="J269" s="43">
        <v>1</v>
      </c>
      <c r="K269" s="25" t="str">
        <f>VLOOKUP(J269,Key!$E$2:$F$9,2,FALSE)</f>
        <v>Home</v>
      </c>
      <c r="L269" s="42" t="s">
        <v>184</v>
      </c>
      <c r="M269" s="43" t="s">
        <v>154</v>
      </c>
      <c r="N269" s="42" t="s">
        <v>155</v>
      </c>
      <c r="O269" s="43">
        <v>4</v>
      </c>
      <c r="P269" s="43">
        <v>2</v>
      </c>
      <c r="Q269" s="25" t="str">
        <f>VLOOKUP(P269,Key!$E$2:$F$9,2,FALSE)</f>
        <v>Work</v>
      </c>
      <c r="R269" s="25" t="str">
        <f t="shared" si="5"/>
        <v>Home-Work</v>
      </c>
      <c r="S269" s="58"/>
      <c r="T269" s="58">
        <v>0.2</v>
      </c>
      <c r="U269" s="58">
        <v>2</v>
      </c>
      <c r="V269" s="56"/>
      <c r="W269" s="56"/>
      <c r="X269" s="56"/>
      <c r="Y269" s="59" t="s">
        <v>156</v>
      </c>
      <c r="Z269" s="60">
        <v>2000</v>
      </c>
      <c r="AA269" s="25">
        <f>VLOOKUP(F269,Zones!$A$2:$F$2186,6,FALSE)</f>
        <v>1393</v>
      </c>
      <c r="AB269" s="25">
        <f>VLOOKUP(L269,Zones!$A$2:$F$2186,6,FALSE)</f>
        <v>811</v>
      </c>
    </row>
    <row r="270" spans="2:28">
      <c r="B270" s="40">
        <v>0.76458333333333339</v>
      </c>
      <c r="C270" s="40" t="s">
        <v>481</v>
      </c>
      <c r="D270" s="45">
        <v>1</v>
      </c>
      <c r="E270" s="45">
        <v>1</v>
      </c>
      <c r="F270" s="42" t="s">
        <v>168</v>
      </c>
      <c r="G270" s="43" t="s">
        <v>154</v>
      </c>
      <c r="H270" s="42" t="s">
        <v>155</v>
      </c>
      <c r="I270" s="43">
        <v>1</v>
      </c>
      <c r="J270" s="43">
        <v>1</v>
      </c>
      <c r="K270" s="25" t="str">
        <f>VLOOKUP(J270,Key!$E$2:$F$9,2,FALSE)</f>
        <v>Home</v>
      </c>
      <c r="L270" s="42" t="s">
        <v>146</v>
      </c>
      <c r="M270" s="43" t="s">
        <v>154</v>
      </c>
      <c r="N270" s="42" t="s">
        <v>155</v>
      </c>
      <c r="O270" s="43">
        <v>11</v>
      </c>
      <c r="P270" s="43">
        <v>4</v>
      </c>
      <c r="Q270" s="25" t="str">
        <f>VLOOKUP(P270,Key!$E$2:$F$9,2,FALSE)</f>
        <v>Commercial</v>
      </c>
      <c r="R270" s="25" t="str">
        <f t="shared" si="5"/>
        <v>Home-Commercial</v>
      </c>
      <c r="S270" s="58"/>
      <c r="T270" s="58">
        <v>0.1</v>
      </c>
      <c r="U270" s="58">
        <v>2</v>
      </c>
      <c r="V270" s="56"/>
      <c r="W270" s="56"/>
      <c r="X270" s="56"/>
      <c r="Y270" s="59" t="s">
        <v>156</v>
      </c>
      <c r="Z270" s="60">
        <v>4000</v>
      </c>
      <c r="AA270" s="25">
        <f>VLOOKUP(F270,Zones!$A$2:$F$2186,6,FALSE)</f>
        <v>1393</v>
      </c>
      <c r="AB270" s="25">
        <f>VLOOKUP(L270,Zones!$A$2:$F$2186,6,FALSE)</f>
        <v>1393</v>
      </c>
    </row>
    <row r="271" spans="2:28">
      <c r="B271" s="40">
        <v>0.71527777777777779</v>
      </c>
      <c r="C271" s="40" t="s">
        <v>482</v>
      </c>
      <c r="D271" s="45">
        <v>4</v>
      </c>
      <c r="E271" s="45">
        <v>14</v>
      </c>
      <c r="F271" s="42" t="s">
        <v>245</v>
      </c>
      <c r="G271" s="43" t="s">
        <v>154</v>
      </c>
      <c r="H271" s="42" t="s">
        <v>155</v>
      </c>
      <c r="I271" s="43">
        <v>4</v>
      </c>
      <c r="J271" s="43">
        <v>3</v>
      </c>
      <c r="K271" s="25" t="str">
        <f>VLOOKUP(J271,Key!$E$2:$F$9,2,FALSE)</f>
        <v>Study</v>
      </c>
      <c r="L271" s="42" t="s">
        <v>184</v>
      </c>
      <c r="M271" s="43" t="s">
        <v>154</v>
      </c>
      <c r="N271" s="42" t="s">
        <v>155</v>
      </c>
      <c r="O271" s="43">
        <v>3</v>
      </c>
      <c r="P271" s="43">
        <v>3</v>
      </c>
      <c r="Q271" s="25" t="str">
        <f>VLOOKUP(P271,Key!$E$2:$F$9,2,FALSE)</f>
        <v>Study</v>
      </c>
      <c r="R271" s="25" t="str">
        <f t="shared" si="5"/>
        <v>Study-Study</v>
      </c>
      <c r="S271" s="58">
        <v>6</v>
      </c>
      <c r="T271" s="58">
        <v>0.7</v>
      </c>
      <c r="U271" s="58">
        <v>2</v>
      </c>
      <c r="V271" s="56"/>
      <c r="W271" s="56"/>
      <c r="X271" s="56"/>
      <c r="Y271" s="59" t="s">
        <v>156</v>
      </c>
      <c r="Z271" s="60">
        <v>2000</v>
      </c>
      <c r="AA271" s="25">
        <f>VLOOKUP(F271,Zones!$A$2:$F$2186,6,FALSE)</f>
        <v>1402</v>
      </c>
      <c r="AB271" s="25">
        <f>VLOOKUP(L271,Zones!$A$2:$F$2186,6,FALSE)</f>
        <v>811</v>
      </c>
    </row>
    <row r="272" spans="2:28">
      <c r="B272" s="40">
        <v>0.70833333333333337</v>
      </c>
      <c r="C272" s="40" t="s">
        <v>483</v>
      </c>
      <c r="D272" s="45">
        <v>1</v>
      </c>
      <c r="E272" s="45">
        <v>1</v>
      </c>
      <c r="F272" s="42" t="s">
        <v>147</v>
      </c>
      <c r="G272" s="43" t="s">
        <v>154</v>
      </c>
      <c r="H272" s="42" t="s">
        <v>155</v>
      </c>
      <c r="I272" s="43">
        <v>1</v>
      </c>
      <c r="J272" s="43">
        <v>1</v>
      </c>
      <c r="K272" s="25" t="str">
        <f>VLOOKUP(J272,Key!$E$2:$F$9,2,FALSE)</f>
        <v>Home</v>
      </c>
      <c r="L272" s="42" t="s">
        <v>836</v>
      </c>
      <c r="M272" s="43" t="s">
        <v>836</v>
      </c>
      <c r="N272" s="42" t="s">
        <v>155</v>
      </c>
      <c r="O272" s="43">
        <v>2</v>
      </c>
      <c r="P272" s="43">
        <v>2</v>
      </c>
      <c r="Q272" s="25" t="str">
        <f>VLOOKUP(P272,Key!$E$2:$F$9,2,FALSE)</f>
        <v>Work</v>
      </c>
      <c r="R272" s="25" t="str">
        <f t="shared" si="5"/>
        <v>Home-Work</v>
      </c>
      <c r="S272" s="58">
        <v>12</v>
      </c>
      <c r="T272" s="58">
        <v>1.5</v>
      </c>
      <c r="U272" s="58">
        <v>2</v>
      </c>
      <c r="V272" s="56"/>
      <c r="W272" s="56"/>
      <c r="X272" s="56"/>
      <c r="Y272" s="59" t="s">
        <v>156</v>
      </c>
      <c r="Z272" s="60">
        <v>1000</v>
      </c>
      <c r="AA272" s="25">
        <f>VLOOKUP(F272,Zones!$A$2:$F$2186,6,FALSE)</f>
        <v>1402</v>
      </c>
      <c r="AB272" s="25">
        <f>VLOOKUP(L272,Zones!$A$2:$F$2186,6,FALSE)</f>
        <v>521</v>
      </c>
    </row>
    <row r="273" spans="2:28">
      <c r="B273" s="40">
        <v>0.73263888888888884</v>
      </c>
      <c r="C273" s="40" t="s">
        <v>484</v>
      </c>
      <c r="D273" s="45">
        <v>1</v>
      </c>
      <c r="E273" s="45">
        <v>3</v>
      </c>
      <c r="F273" s="42" t="s">
        <v>154</v>
      </c>
      <c r="G273" s="43" t="s">
        <v>154</v>
      </c>
      <c r="H273" s="42" t="s">
        <v>155</v>
      </c>
      <c r="I273" s="43">
        <v>2</v>
      </c>
      <c r="J273" s="43">
        <v>2</v>
      </c>
      <c r="K273" s="25" t="str">
        <f>VLOOKUP(J273,Key!$E$2:$F$9,2,FALSE)</f>
        <v>Work</v>
      </c>
      <c r="L273" s="42" t="s">
        <v>836</v>
      </c>
      <c r="M273" s="43" t="s">
        <v>836</v>
      </c>
      <c r="N273" s="42" t="s">
        <v>155</v>
      </c>
      <c r="O273" s="43">
        <v>1</v>
      </c>
      <c r="P273" s="43">
        <v>1</v>
      </c>
      <c r="Q273" s="25" t="str">
        <f>VLOOKUP(P273,Key!$E$2:$F$9,2,FALSE)</f>
        <v>Home</v>
      </c>
      <c r="R273" s="25" t="str">
        <f t="shared" si="5"/>
        <v>Work-Home</v>
      </c>
      <c r="S273" s="58">
        <v>14</v>
      </c>
      <c r="T273" s="58">
        <v>2</v>
      </c>
      <c r="U273" s="58">
        <v>2</v>
      </c>
      <c r="V273" s="56"/>
      <c r="W273" s="56"/>
      <c r="X273" s="56"/>
      <c r="Y273" s="59" t="s">
        <v>156</v>
      </c>
      <c r="Z273" s="60">
        <v>1000</v>
      </c>
      <c r="AA273" s="25">
        <f>VLOOKUP(F273,Zones!$A$2:$F$2186,6,FALSE)</f>
        <v>1408</v>
      </c>
      <c r="AB273" s="25">
        <f>VLOOKUP(L273,Zones!$A$2:$F$2186,6,FALSE)</f>
        <v>521</v>
      </c>
    </row>
    <row r="274" spans="2:28">
      <c r="B274" s="40">
        <v>0.7680555555555556</v>
      </c>
      <c r="C274" s="40" t="s">
        <v>485</v>
      </c>
      <c r="D274" s="45">
        <v>9</v>
      </c>
      <c r="E274" s="45">
        <v>2</v>
      </c>
      <c r="F274" s="42" t="s">
        <v>300</v>
      </c>
      <c r="G274" s="43" t="s">
        <v>154</v>
      </c>
      <c r="H274" s="42" t="s">
        <v>155</v>
      </c>
      <c r="I274" s="43">
        <v>10</v>
      </c>
      <c r="J274" s="43">
        <v>4</v>
      </c>
      <c r="K274" s="25" t="str">
        <f>VLOOKUP(J274,Key!$E$2:$F$9,2,FALSE)</f>
        <v>Commercial</v>
      </c>
      <c r="L274" s="42" t="s">
        <v>278</v>
      </c>
      <c r="M274" s="43" t="s">
        <v>154</v>
      </c>
      <c r="N274" s="42" t="s">
        <v>155</v>
      </c>
      <c r="O274" s="43">
        <v>10</v>
      </c>
      <c r="P274" s="43">
        <v>4</v>
      </c>
      <c r="Q274" s="25" t="str">
        <f>VLOOKUP(P274,Key!$E$2:$F$9,2,FALSE)</f>
        <v>Commercial</v>
      </c>
      <c r="R274" s="25" t="str">
        <f t="shared" si="5"/>
        <v>Commercial-Commercial</v>
      </c>
      <c r="S274" s="58">
        <v>60</v>
      </c>
      <c r="T274" s="58">
        <v>2.5</v>
      </c>
      <c r="U274" s="58"/>
      <c r="V274" s="56">
        <v>4</v>
      </c>
      <c r="W274" s="56">
        <v>25</v>
      </c>
      <c r="X274" s="56"/>
      <c r="Y274" s="59" t="s">
        <v>156</v>
      </c>
      <c r="Z274" s="60">
        <v>10000</v>
      </c>
      <c r="AA274" s="25">
        <f>VLOOKUP(F274,Zones!$A$2:$F$2186,6,FALSE)</f>
        <v>1081</v>
      </c>
      <c r="AB274" s="25">
        <f>VLOOKUP(L274,Zones!$A$2:$F$2186,6,FALSE)</f>
        <v>1396</v>
      </c>
    </row>
    <row r="275" spans="2:28">
      <c r="B275" s="40">
        <v>0.59861111111111109</v>
      </c>
      <c r="C275" s="40" t="s">
        <v>486</v>
      </c>
      <c r="D275" s="44">
        <v>1</v>
      </c>
      <c r="E275" s="42">
        <v>2</v>
      </c>
      <c r="F275" s="42" t="s">
        <v>163</v>
      </c>
      <c r="G275" s="43" t="s">
        <v>163</v>
      </c>
      <c r="H275" s="42" t="s">
        <v>155</v>
      </c>
      <c r="I275" s="43">
        <v>1</v>
      </c>
      <c r="J275" s="43">
        <v>1</v>
      </c>
      <c r="K275" s="25" t="str">
        <f>VLOOKUP(J275,Key!$E$2:$F$9,2,FALSE)</f>
        <v>Home</v>
      </c>
      <c r="L275" s="42" t="s">
        <v>487</v>
      </c>
      <c r="M275" s="43" t="s">
        <v>154</v>
      </c>
      <c r="N275" s="42" t="s">
        <v>155</v>
      </c>
      <c r="O275" s="43">
        <v>2</v>
      </c>
      <c r="P275" s="43">
        <v>2</v>
      </c>
      <c r="Q275" s="25" t="str">
        <f>VLOOKUP(P275,Key!$E$2:$F$9,2,FALSE)</f>
        <v>Work</v>
      </c>
      <c r="R275" s="25" t="str">
        <f t="shared" si="5"/>
        <v>Home-Work</v>
      </c>
      <c r="S275" s="58"/>
      <c r="T275" s="58"/>
      <c r="U275" s="58">
        <v>2</v>
      </c>
      <c r="V275" s="56"/>
      <c r="W275" s="56"/>
      <c r="X275" s="56"/>
      <c r="Y275" s="59" t="s">
        <v>156</v>
      </c>
      <c r="Z275" s="60">
        <v>1000</v>
      </c>
      <c r="AA275" s="25">
        <f>VLOOKUP(F275,Zones!$A$2:$F$2186,6,FALSE)</f>
        <v>1064</v>
      </c>
      <c r="AB275" s="25">
        <f>VLOOKUP(L275,Zones!$A$2:$F$2186,6,FALSE)</f>
        <v>1396</v>
      </c>
    </row>
    <row r="276" spans="2:28">
      <c r="B276" s="40">
        <v>0.59722222222222221</v>
      </c>
      <c r="C276" s="40" t="s">
        <v>488</v>
      </c>
      <c r="D276" s="45">
        <v>1</v>
      </c>
      <c r="E276" s="45">
        <v>2</v>
      </c>
      <c r="F276" s="42" t="s">
        <v>168</v>
      </c>
      <c r="G276" s="43" t="s">
        <v>154</v>
      </c>
      <c r="H276" s="42" t="s">
        <v>155</v>
      </c>
      <c r="I276" s="43">
        <v>1</v>
      </c>
      <c r="J276" s="43">
        <v>1</v>
      </c>
      <c r="K276" s="25" t="str">
        <f>VLOOKUP(J276,Key!$E$2:$F$9,2,FALSE)</f>
        <v>Home</v>
      </c>
      <c r="L276" s="42" t="s">
        <v>487</v>
      </c>
      <c r="M276" s="43" t="s">
        <v>154</v>
      </c>
      <c r="N276" s="42" t="s">
        <v>155</v>
      </c>
      <c r="O276" s="43">
        <v>4</v>
      </c>
      <c r="P276" s="43">
        <v>3</v>
      </c>
      <c r="Q276" s="25" t="str">
        <f>VLOOKUP(P276,Key!$E$2:$F$9,2,FALSE)</f>
        <v>Study</v>
      </c>
      <c r="R276" s="25" t="str">
        <f t="shared" si="5"/>
        <v>Home-Study</v>
      </c>
      <c r="S276" s="58"/>
      <c r="T276" s="58"/>
      <c r="U276" s="58">
        <v>2</v>
      </c>
      <c r="V276" s="56"/>
      <c r="W276" s="56"/>
      <c r="X276" s="56"/>
      <c r="Y276" s="59" t="s">
        <v>156</v>
      </c>
      <c r="Z276" s="60">
        <v>5000</v>
      </c>
      <c r="AA276" s="25">
        <f>VLOOKUP(F276,Zones!$A$2:$F$2186,6,FALSE)</f>
        <v>1393</v>
      </c>
      <c r="AB276" s="25">
        <f>VLOOKUP(L276,Zones!$A$2:$F$2186,6,FALSE)</f>
        <v>1396</v>
      </c>
    </row>
    <row r="277" spans="2:28">
      <c r="B277" s="40">
        <v>0.60277777777777775</v>
      </c>
      <c r="C277" s="40" t="s">
        <v>489</v>
      </c>
      <c r="D277" s="44">
        <v>1</v>
      </c>
      <c r="E277" s="45">
        <v>3</v>
      </c>
      <c r="F277" s="42" t="s">
        <v>382</v>
      </c>
      <c r="G277" s="43" t="s">
        <v>836</v>
      </c>
      <c r="H277" s="42" t="s">
        <v>155</v>
      </c>
      <c r="I277" s="43">
        <v>1</v>
      </c>
      <c r="J277" s="43">
        <v>1</v>
      </c>
      <c r="K277" s="25" t="str">
        <f>VLOOKUP(J277,Key!$E$2:$F$9,2,FALSE)</f>
        <v>Home</v>
      </c>
      <c r="L277" s="42" t="s">
        <v>490</v>
      </c>
      <c r="M277" s="43" t="s">
        <v>154</v>
      </c>
      <c r="N277" s="42" t="s">
        <v>155</v>
      </c>
      <c r="O277" s="43">
        <v>16</v>
      </c>
      <c r="P277" s="43">
        <v>1</v>
      </c>
      <c r="Q277" s="25" t="str">
        <f>VLOOKUP(P277,Key!$E$2:$F$9,2,FALSE)</f>
        <v>Home</v>
      </c>
      <c r="R277" s="25" t="str">
        <f t="shared" si="5"/>
        <v>Home-Home</v>
      </c>
      <c r="S277" s="58">
        <v>25</v>
      </c>
      <c r="T277" s="58">
        <v>1</v>
      </c>
      <c r="U277" s="58">
        <v>2</v>
      </c>
      <c r="V277" s="56"/>
      <c r="W277" s="56"/>
      <c r="X277" s="56"/>
      <c r="Y277" s="59" t="s">
        <v>156</v>
      </c>
      <c r="Z277" s="60">
        <v>0</v>
      </c>
      <c r="AA277" s="25">
        <f>VLOOKUP(F277,Zones!$A$2:$F$2186,6,FALSE)</f>
        <v>559</v>
      </c>
      <c r="AB277" s="25">
        <f>VLOOKUP(L277,Zones!$A$2:$F$2186,6,FALSE)</f>
        <v>1393</v>
      </c>
    </row>
    <row r="278" spans="2:28">
      <c r="B278" s="40">
        <v>0.6069444444444444</v>
      </c>
      <c r="C278" s="40" t="s">
        <v>491</v>
      </c>
      <c r="D278" s="45">
        <v>2</v>
      </c>
      <c r="E278" s="42">
        <v>1</v>
      </c>
      <c r="F278" s="42" t="s">
        <v>245</v>
      </c>
      <c r="G278" s="43" t="s">
        <v>154</v>
      </c>
      <c r="H278" s="42" t="s">
        <v>155</v>
      </c>
      <c r="I278" s="43">
        <v>1</v>
      </c>
      <c r="J278" s="43">
        <v>1</v>
      </c>
      <c r="K278" s="25" t="str">
        <f>VLOOKUP(J278,Key!$E$2:$F$9,2,FALSE)</f>
        <v>Home</v>
      </c>
      <c r="L278" s="42" t="s">
        <v>278</v>
      </c>
      <c r="M278" s="43" t="s">
        <v>154</v>
      </c>
      <c r="N278" s="42" t="s">
        <v>155</v>
      </c>
      <c r="O278" s="43">
        <v>2</v>
      </c>
      <c r="P278" s="43">
        <v>2</v>
      </c>
      <c r="Q278" s="25" t="str">
        <f>VLOOKUP(P278,Key!$E$2:$F$9,2,FALSE)</f>
        <v>Work</v>
      </c>
      <c r="R278" s="25" t="str">
        <f t="shared" si="5"/>
        <v>Home-Work</v>
      </c>
      <c r="S278" s="58">
        <v>15</v>
      </c>
      <c r="T278" s="58">
        <v>0.5</v>
      </c>
      <c r="U278" s="58">
        <v>3</v>
      </c>
      <c r="V278" s="56"/>
      <c r="W278" s="56"/>
      <c r="X278" s="56"/>
      <c r="Y278" s="59" t="s">
        <v>156</v>
      </c>
      <c r="Z278" s="60">
        <v>3000</v>
      </c>
      <c r="AA278" s="25">
        <f>VLOOKUP(F278,Zones!$A$2:$F$2186,6,FALSE)</f>
        <v>1402</v>
      </c>
      <c r="AB278" s="25">
        <f>VLOOKUP(L278,Zones!$A$2:$F$2186,6,FALSE)</f>
        <v>1396</v>
      </c>
    </row>
    <row r="279" spans="2:28">
      <c r="B279" s="40">
        <v>0.59166666666666667</v>
      </c>
      <c r="C279" s="40" t="s">
        <v>492</v>
      </c>
      <c r="D279" s="45">
        <v>1</v>
      </c>
      <c r="E279" s="45">
        <v>2</v>
      </c>
      <c r="F279" s="42" t="s">
        <v>147</v>
      </c>
      <c r="G279" s="43" t="s">
        <v>154</v>
      </c>
      <c r="H279" s="42" t="s">
        <v>155</v>
      </c>
      <c r="I279" s="43">
        <v>1</v>
      </c>
      <c r="J279" s="43">
        <v>1</v>
      </c>
      <c r="K279" s="25" t="str">
        <f>VLOOKUP(J279,Key!$E$2:$F$9,2,FALSE)</f>
        <v>Home</v>
      </c>
      <c r="L279" s="42" t="s">
        <v>836</v>
      </c>
      <c r="M279" s="43" t="s">
        <v>836</v>
      </c>
      <c r="N279" s="42" t="s">
        <v>155</v>
      </c>
      <c r="O279" s="43">
        <v>7</v>
      </c>
      <c r="P279" s="43">
        <v>6</v>
      </c>
      <c r="Q279" s="25" t="str">
        <f>VLOOKUP(P279,Key!$E$2:$F$9,2,FALSE)</f>
        <v>Leisure/Social</v>
      </c>
      <c r="R279" s="25" t="str">
        <f t="shared" si="5"/>
        <v>Home-Leisure/Social</v>
      </c>
      <c r="S279" s="58">
        <v>15</v>
      </c>
      <c r="T279" s="58">
        <v>1</v>
      </c>
      <c r="U279" s="58">
        <v>3</v>
      </c>
      <c r="V279" s="56"/>
      <c r="W279" s="56"/>
      <c r="X279" s="56"/>
      <c r="Y279" s="59" t="s">
        <v>156</v>
      </c>
      <c r="Z279" s="60">
        <v>5000</v>
      </c>
      <c r="AA279" s="25">
        <f>VLOOKUP(F279,Zones!$A$2:$F$2186,6,FALSE)</f>
        <v>1402</v>
      </c>
      <c r="AB279" s="25">
        <f>VLOOKUP(L279,Zones!$A$2:$F$2186,6,FALSE)</f>
        <v>521</v>
      </c>
    </row>
    <row r="280" spans="2:28">
      <c r="B280" s="40">
        <v>0.59444444444444444</v>
      </c>
      <c r="C280" s="40" t="s">
        <v>493</v>
      </c>
      <c r="D280" s="45">
        <v>3</v>
      </c>
      <c r="E280" s="45">
        <v>2</v>
      </c>
      <c r="F280" s="42" t="s">
        <v>147</v>
      </c>
      <c r="G280" s="43" t="s">
        <v>154</v>
      </c>
      <c r="H280" s="42" t="s">
        <v>155</v>
      </c>
      <c r="I280" s="43">
        <v>3</v>
      </c>
      <c r="J280" s="43">
        <v>4</v>
      </c>
      <c r="K280" s="25" t="str">
        <f>VLOOKUP(J280,Key!$E$2:$F$9,2,FALSE)</f>
        <v>Commercial</v>
      </c>
      <c r="L280" s="42" t="s">
        <v>836</v>
      </c>
      <c r="M280" s="43" t="s">
        <v>836</v>
      </c>
      <c r="N280" s="42" t="s">
        <v>155</v>
      </c>
      <c r="O280" s="43">
        <v>12</v>
      </c>
      <c r="P280" s="43">
        <v>4</v>
      </c>
      <c r="Q280" s="25" t="str">
        <f>VLOOKUP(P280,Key!$E$2:$F$9,2,FALSE)</f>
        <v>Commercial</v>
      </c>
      <c r="R280" s="25" t="str">
        <f t="shared" si="5"/>
        <v>Commercial-Commercial</v>
      </c>
      <c r="S280" s="58">
        <v>25</v>
      </c>
      <c r="T280" s="58">
        <v>1.5</v>
      </c>
      <c r="U280" s="58">
        <v>1</v>
      </c>
      <c r="V280" s="56"/>
      <c r="W280" s="56"/>
      <c r="X280" s="56"/>
      <c r="Y280" s="59" t="s">
        <v>156</v>
      </c>
      <c r="Z280" s="60">
        <v>1000</v>
      </c>
      <c r="AA280" s="25">
        <f>VLOOKUP(F280,Zones!$A$2:$F$2186,6,FALSE)</f>
        <v>1402</v>
      </c>
      <c r="AB280" s="25">
        <f>VLOOKUP(L280,Zones!$A$2:$F$2186,6,FALSE)</f>
        <v>521</v>
      </c>
    </row>
    <row r="281" spans="2:28">
      <c r="B281" s="40">
        <v>0.57291666666666663</v>
      </c>
      <c r="C281" s="40" t="s">
        <v>494</v>
      </c>
      <c r="D281" s="45">
        <v>1</v>
      </c>
      <c r="E281" s="45">
        <v>4</v>
      </c>
      <c r="F281" s="42" t="s">
        <v>836</v>
      </c>
      <c r="G281" s="43" t="s">
        <v>836</v>
      </c>
      <c r="H281" s="42" t="s">
        <v>155</v>
      </c>
      <c r="I281" s="43">
        <v>1</v>
      </c>
      <c r="J281" s="43">
        <v>1</v>
      </c>
      <c r="K281" s="25" t="str">
        <f>VLOOKUP(J281,Key!$E$2:$F$9,2,FALSE)</f>
        <v>Home</v>
      </c>
      <c r="L281" s="42" t="s">
        <v>184</v>
      </c>
      <c r="M281" s="43" t="s">
        <v>154</v>
      </c>
      <c r="N281" s="42" t="s">
        <v>155</v>
      </c>
      <c r="O281" s="43">
        <v>3</v>
      </c>
      <c r="P281" s="43">
        <v>2</v>
      </c>
      <c r="Q281" s="25" t="str">
        <f>VLOOKUP(P281,Key!$E$2:$F$9,2,FALSE)</f>
        <v>Work</v>
      </c>
      <c r="R281" s="25" t="str">
        <f t="shared" si="5"/>
        <v>Home-Work</v>
      </c>
      <c r="S281" s="58">
        <v>20</v>
      </c>
      <c r="T281" s="58">
        <v>0.7</v>
      </c>
      <c r="U281" s="58">
        <v>3</v>
      </c>
      <c r="V281" s="56">
        <v>9</v>
      </c>
      <c r="W281" s="56">
        <v>2</v>
      </c>
      <c r="X281" s="56"/>
      <c r="Y281" s="59" t="s">
        <v>156</v>
      </c>
      <c r="Z281" s="60">
        <v>5000</v>
      </c>
      <c r="AA281" s="25">
        <f>VLOOKUP(F281,Zones!$A$2:$F$2186,6,FALSE)</f>
        <v>521</v>
      </c>
      <c r="AB281" s="25">
        <f>VLOOKUP(L281,Zones!$A$2:$F$2186,6,FALSE)</f>
        <v>811</v>
      </c>
    </row>
    <row r="282" spans="2:28">
      <c r="B282" s="40">
        <v>0.58958333333333335</v>
      </c>
      <c r="C282" s="40" t="s">
        <v>495</v>
      </c>
      <c r="D282" s="44">
        <v>2</v>
      </c>
      <c r="E282" s="45">
        <v>3</v>
      </c>
      <c r="F282" s="42" t="s">
        <v>404</v>
      </c>
      <c r="G282" s="43" t="s">
        <v>154</v>
      </c>
      <c r="H282" s="42" t="s">
        <v>155</v>
      </c>
      <c r="I282" s="43">
        <v>1</v>
      </c>
      <c r="J282" s="43">
        <v>1</v>
      </c>
      <c r="K282" s="25" t="str">
        <f>VLOOKUP(J282,Key!$E$2:$F$9,2,FALSE)</f>
        <v>Home</v>
      </c>
      <c r="L282" s="42" t="s">
        <v>146</v>
      </c>
      <c r="M282" s="43" t="s">
        <v>154</v>
      </c>
      <c r="N282" s="42" t="s">
        <v>155</v>
      </c>
      <c r="O282" s="43">
        <v>16</v>
      </c>
      <c r="P282" s="43">
        <v>8</v>
      </c>
      <c r="Q282" s="25" t="str">
        <f>VLOOKUP(P282,Key!$E$2:$F$9,2,FALSE)</f>
        <v>Others</v>
      </c>
      <c r="R282" s="25" t="str">
        <f t="shared" si="5"/>
        <v>Home-Others</v>
      </c>
      <c r="S282" s="58">
        <v>2</v>
      </c>
      <c r="T282" s="58">
        <v>0.1</v>
      </c>
      <c r="U282" s="58">
        <v>2</v>
      </c>
      <c r="V282" s="56"/>
      <c r="W282" s="56"/>
      <c r="X282" s="56"/>
      <c r="Y282" s="59" t="s">
        <v>156</v>
      </c>
      <c r="Z282" s="60">
        <v>3000</v>
      </c>
      <c r="AA282" s="25">
        <f>VLOOKUP(F282,Zones!$A$2:$F$2186,6,FALSE)</f>
        <v>1393</v>
      </c>
      <c r="AB282" s="25">
        <f>VLOOKUP(L282,Zones!$A$2:$F$2186,6,FALSE)</f>
        <v>1393</v>
      </c>
    </row>
    <row r="283" spans="2:28">
      <c r="B283" s="40">
        <v>0.55555555555555558</v>
      </c>
      <c r="C283" s="40" t="s">
        <v>496</v>
      </c>
      <c r="D283" s="44">
        <v>1</v>
      </c>
      <c r="E283" s="45">
        <v>1</v>
      </c>
      <c r="F283" s="42" t="s">
        <v>404</v>
      </c>
      <c r="G283" s="43" t="s">
        <v>154</v>
      </c>
      <c r="H283" s="42" t="s">
        <v>155</v>
      </c>
      <c r="I283" s="43">
        <v>1</v>
      </c>
      <c r="J283" s="43">
        <v>1</v>
      </c>
      <c r="K283" s="25" t="str">
        <f>VLOOKUP(J283,Key!$E$2:$F$9,2,FALSE)</f>
        <v>Home</v>
      </c>
      <c r="L283" s="42" t="s">
        <v>184</v>
      </c>
      <c r="M283" s="43" t="s">
        <v>154</v>
      </c>
      <c r="N283" s="42" t="s">
        <v>155</v>
      </c>
      <c r="O283" s="43">
        <v>1</v>
      </c>
      <c r="P283" s="43">
        <v>1</v>
      </c>
      <c r="Q283" s="25" t="str">
        <f>VLOOKUP(P283,Key!$E$2:$F$9,2,FALSE)</f>
        <v>Home</v>
      </c>
      <c r="R283" s="25" t="str">
        <f t="shared" si="5"/>
        <v>Home-Home</v>
      </c>
      <c r="S283" s="58">
        <v>19</v>
      </c>
      <c r="T283" s="58">
        <v>0.7</v>
      </c>
      <c r="U283" s="58">
        <v>2</v>
      </c>
      <c r="V283" s="56"/>
      <c r="W283" s="56"/>
      <c r="X283" s="56"/>
      <c r="Y283" s="59" t="s">
        <v>156</v>
      </c>
      <c r="Z283" s="60">
        <v>2000</v>
      </c>
      <c r="AA283" s="25">
        <f>VLOOKUP(F283,Zones!$A$2:$F$2186,6,FALSE)</f>
        <v>1393</v>
      </c>
      <c r="AB283" s="25">
        <f>VLOOKUP(L283,Zones!$A$2:$F$2186,6,FALSE)</f>
        <v>811</v>
      </c>
    </row>
    <row r="284" spans="2:28">
      <c r="B284" s="40">
        <v>0.57013888888888886</v>
      </c>
      <c r="C284" s="40" t="s">
        <v>497</v>
      </c>
      <c r="D284" s="44">
        <v>3</v>
      </c>
      <c r="E284" s="42">
        <v>2</v>
      </c>
      <c r="F284" s="42" t="s">
        <v>404</v>
      </c>
      <c r="G284" s="43" t="s">
        <v>154</v>
      </c>
      <c r="H284" s="42" t="s">
        <v>155</v>
      </c>
      <c r="I284" s="43">
        <v>1</v>
      </c>
      <c r="J284" s="43">
        <v>1</v>
      </c>
      <c r="K284" s="25" t="str">
        <f>VLOOKUP(J284,Key!$E$2:$F$9,2,FALSE)</f>
        <v>Home</v>
      </c>
      <c r="L284" s="42" t="s">
        <v>146</v>
      </c>
      <c r="M284" s="43" t="s">
        <v>154</v>
      </c>
      <c r="N284" s="42" t="s">
        <v>155</v>
      </c>
      <c r="O284" s="43">
        <v>2</v>
      </c>
      <c r="P284" s="43">
        <v>2</v>
      </c>
      <c r="Q284" s="25" t="str">
        <f>VLOOKUP(P284,Key!$E$2:$F$9,2,FALSE)</f>
        <v>Work</v>
      </c>
      <c r="R284" s="25" t="str">
        <f t="shared" si="5"/>
        <v>Home-Work</v>
      </c>
      <c r="S284" s="58">
        <v>2</v>
      </c>
      <c r="T284" s="58"/>
      <c r="U284" s="58">
        <v>2</v>
      </c>
      <c r="V284" s="56"/>
      <c r="W284" s="56"/>
      <c r="X284" s="56"/>
      <c r="Y284" s="59" t="s">
        <v>156</v>
      </c>
      <c r="Z284" s="60">
        <v>1000</v>
      </c>
      <c r="AA284" s="25">
        <f>VLOOKUP(F284,Zones!$A$2:$F$2186,6,FALSE)</f>
        <v>1393</v>
      </c>
      <c r="AB284" s="25">
        <f>VLOOKUP(L284,Zones!$A$2:$F$2186,6,FALSE)</f>
        <v>1393</v>
      </c>
    </row>
    <row r="285" spans="2:28">
      <c r="B285" s="40">
        <v>0.5493055555555556</v>
      </c>
      <c r="C285" s="40" t="s">
        <v>498</v>
      </c>
      <c r="D285" s="44">
        <v>1</v>
      </c>
      <c r="E285" s="42">
        <v>2</v>
      </c>
      <c r="F285" s="42" t="s">
        <v>147</v>
      </c>
      <c r="G285" s="43" t="s">
        <v>154</v>
      </c>
      <c r="H285" s="42" t="s">
        <v>155</v>
      </c>
      <c r="I285" s="43">
        <v>1</v>
      </c>
      <c r="J285" s="43">
        <v>1</v>
      </c>
      <c r="K285" s="25" t="str">
        <f>VLOOKUP(J285,Key!$E$2:$F$9,2,FALSE)</f>
        <v>Home</v>
      </c>
      <c r="L285" s="42" t="s">
        <v>840</v>
      </c>
      <c r="M285" s="43" t="s">
        <v>154</v>
      </c>
      <c r="N285" s="42" t="s">
        <v>155</v>
      </c>
      <c r="O285" s="43">
        <v>16</v>
      </c>
      <c r="P285" s="43">
        <v>8</v>
      </c>
      <c r="Q285" s="25" t="str">
        <f>VLOOKUP(P285,Key!$E$2:$F$9,2,FALSE)</f>
        <v>Others</v>
      </c>
      <c r="R285" s="25" t="str">
        <f t="shared" si="5"/>
        <v>Home-Others</v>
      </c>
      <c r="S285" s="58"/>
      <c r="T285" s="58"/>
      <c r="U285" s="58"/>
      <c r="V285" s="56"/>
      <c r="W285" s="56"/>
      <c r="X285" s="56"/>
      <c r="Y285" s="59" t="s">
        <v>156</v>
      </c>
      <c r="Z285" s="60">
        <v>3000</v>
      </c>
      <c r="AA285" s="25">
        <f>VLOOKUP(F285,Zones!$A$2:$F$2186,6,FALSE)</f>
        <v>1402</v>
      </c>
      <c r="AB285" s="25">
        <f>VLOOKUP(L285,Zones!$A$2:$F$2186,6,FALSE)</f>
        <v>1405</v>
      </c>
    </row>
    <row r="286" spans="2:28">
      <c r="B286" s="40">
        <v>0.55277777777777781</v>
      </c>
      <c r="C286" s="40" t="s">
        <v>499</v>
      </c>
      <c r="D286" s="45">
        <v>2</v>
      </c>
      <c r="E286" s="45">
        <v>4</v>
      </c>
      <c r="F286" s="42" t="s">
        <v>667</v>
      </c>
      <c r="G286" s="43" t="s">
        <v>154</v>
      </c>
      <c r="H286" s="42" t="s">
        <v>155</v>
      </c>
      <c r="I286" s="43">
        <v>6</v>
      </c>
      <c r="J286" s="43">
        <v>1</v>
      </c>
      <c r="K286" s="25" t="str">
        <f>VLOOKUP(J286,Key!$E$2:$F$9,2,FALSE)</f>
        <v>Home</v>
      </c>
      <c r="L286" s="42" t="s">
        <v>163</v>
      </c>
      <c r="M286" s="43" t="s">
        <v>163</v>
      </c>
      <c r="N286" s="42" t="s">
        <v>155</v>
      </c>
      <c r="O286" s="43">
        <v>1</v>
      </c>
      <c r="P286" s="43">
        <v>1</v>
      </c>
      <c r="Q286" s="25" t="str">
        <f>VLOOKUP(P286,Key!$E$2:$F$9,2,FALSE)</f>
        <v>Home</v>
      </c>
      <c r="R286" s="25" t="str">
        <f t="shared" si="5"/>
        <v>Home-Home</v>
      </c>
      <c r="S286" s="58">
        <v>10</v>
      </c>
      <c r="T286" s="58">
        <v>1</v>
      </c>
      <c r="U286" s="58">
        <v>2</v>
      </c>
      <c r="V286" s="56"/>
      <c r="W286" s="56"/>
      <c r="X286" s="56"/>
      <c r="Y286" s="59" t="s">
        <v>156</v>
      </c>
      <c r="Z286" s="60">
        <v>2000</v>
      </c>
      <c r="AA286" s="25">
        <f>VLOOKUP(F286,Zones!$A$2:$F$2186,6,FALSE)</f>
        <v>583</v>
      </c>
      <c r="AB286" s="25">
        <f>VLOOKUP(L286,Zones!$A$2:$F$2186,6,FALSE)</f>
        <v>1064</v>
      </c>
    </row>
    <row r="287" spans="2:28">
      <c r="B287" s="40">
        <v>0.52638888888888891</v>
      </c>
      <c r="C287" s="40" t="s">
        <v>500</v>
      </c>
      <c r="D287" s="44">
        <v>1</v>
      </c>
      <c r="E287" s="45">
        <v>4</v>
      </c>
      <c r="F287" s="42" t="s">
        <v>404</v>
      </c>
      <c r="G287" s="43" t="s">
        <v>154</v>
      </c>
      <c r="H287" s="42" t="s">
        <v>155</v>
      </c>
      <c r="I287" s="43">
        <v>1</v>
      </c>
      <c r="J287" s="43">
        <v>1</v>
      </c>
      <c r="K287" s="25" t="str">
        <f>VLOOKUP(J287,Key!$E$2:$F$9,2,FALSE)</f>
        <v>Home</v>
      </c>
      <c r="L287" s="42" t="s">
        <v>146</v>
      </c>
      <c r="M287" s="43" t="s">
        <v>154</v>
      </c>
      <c r="N287" s="42" t="s">
        <v>155</v>
      </c>
      <c r="O287" s="43">
        <v>5</v>
      </c>
      <c r="P287" s="43">
        <v>2</v>
      </c>
      <c r="Q287" s="25" t="str">
        <f>VLOOKUP(P287,Key!$E$2:$F$9,2,FALSE)</f>
        <v>Work</v>
      </c>
      <c r="R287" s="25" t="str">
        <f t="shared" si="5"/>
        <v>Home-Work</v>
      </c>
      <c r="S287" s="58">
        <v>4</v>
      </c>
      <c r="T287" s="58">
        <v>0.1</v>
      </c>
      <c r="U287" s="58">
        <v>2</v>
      </c>
      <c r="V287" s="56"/>
      <c r="W287" s="56"/>
      <c r="X287" s="56"/>
      <c r="Y287" s="59" t="s">
        <v>156</v>
      </c>
      <c r="Z287" s="60">
        <v>10000</v>
      </c>
      <c r="AA287" s="25">
        <f>VLOOKUP(F287,Zones!$A$2:$F$2186,6,FALSE)</f>
        <v>1393</v>
      </c>
      <c r="AB287" s="25">
        <f>VLOOKUP(L287,Zones!$A$2:$F$2186,6,FALSE)</f>
        <v>1393</v>
      </c>
    </row>
    <row r="288" spans="2:28">
      <c r="B288" s="40">
        <v>0.54375000000000007</v>
      </c>
      <c r="C288" s="40" t="s">
        <v>501</v>
      </c>
      <c r="D288" s="45">
        <v>1</v>
      </c>
      <c r="E288" s="45">
        <v>3</v>
      </c>
      <c r="F288" s="42" t="s">
        <v>667</v>
      </c>
      <c r="G288" s="43" t="s">
        <v>154</v>
      </c>
      <c r="H288" s="42" t="s">
        <v>155</v>
      </c>
      <c r="I288" s="43">
        <v>1</v>
      </c>
      <c r="J288" s="43">
        <v>1</v>
      </c>
      <c r="K288" s="25" t="str">
        <f>VLOOKUP(J288,Key!$E$2:$F$9,2,FALSE)</f>
        <v>Home</v>
      </c>
      <c r="L288" s="42" t="s">
        <v>199</v>
      </c>
      <c r="M288" s="43" t="s">
        <v>836</v>
      </c>
      <c r="N288" s="42" t="s">
        <v>155</v>
      </c>
      <c r="O288" s="43">
        <v>16</v>
      </c>
      <c r="P288" s="43">
        <v>2</v>
      </c>
      <c r="Q288" s="25" t="str">
        <f>VLOOKUP(P288,Key!$E$2:$F$9,2,FALSE)</f>
        <v>Work</v>
      </c>
      <c r="R288" s="25" t="str">
        <f t="shared" si="5"/>
        <v>Home-Work</v>
      </c>
      <c r="S288" s="58">
        <v>19</v>
      </c>
      <c r="T288" s="58">
        <v>0.5</v>
      </c>
      <c r="U288" s="58">
        <v>6</v>
      </c>
      <c r="V288" s="56"/>
      <c r="W288" s="56"/>
      <c r="X288" s="56"/>
      <c r="Y288" s="59" t="s">
        <v>156</v>
      </c>
      <c r="Z288" s="60">
        <v>2000</v>
      </c>
      <c r="AA288" s="25">
        <f>VLOOKUP(F288,Zones!$A$2:$F$2186,6,FALSE)</f>
        <v>583</v>
      </c>
      <c r="AB288" s="25">
        <f>VLOOKUP(L288,Zones!$A$2:$F$2186,6,FALSE)</f>
        <v>577</v>
      </c>
    </row>
    <row r="289" spans="2:28">
      <c r="B289" s="40">
        <v>0.51666666666666672</v>
      </c>
      <c r="C289" s="40" t="s">
        <v>503</v>
      </c>
      <c r="D289" s="45">
        <v>8</v>
      </c>
      <c r="E289" s="45">
        <v>3</v>
      </c>
      <c r="F289" s="42" t="s">
        <v>2990</v>
      </c>
      <c r="G289" s="43" t="s">
        <v>154</v>
      </c>
      <c r="H289" s="42" t="s">
        <v>155</v>
      </c>
      <c r="I289" s="43">
        <v>11</v>
      </c>
      <c r="J289" s="43">
        <v>4</v>
      </c>
      <c r="K289" s="25" t="str">
        <f>VLOOKUP(J289,Key!$E$2:$F$9,2,FALSE)</f>
        <v>Commercial</v>
      </c>
      <c r="L289" s="42" t="s">
        <v>146</v>
      </c>
      <c r="M289" s="43" t="s">
        <v>154</v>
      </c>
      <c r="N289" s="42" t="s">
        <v>155</v>
      </c>
      <c r="O289" s="43">
        <v>3</v>
      </c>
      <c r="P289" s="43">
        <v>4</v>
      </c>
      <c r="Q289" s="25" t="str">
        <f>VLOOKUP(P289,Key!$E$2:$F$9,2,FALSE)</f>
        <v>Commercial</v>
      </c>
      <c r="R289" s="25" t="str">
        <f t="shared" si="5"/>
        <v>Commercial-Commercial</v>
      </c>
      <c r="S289" s="58">
        <v>2</v>
      </c>
      <c r="T289" s="58">
        <v>0.5</v>
      </c>
      <c r="U289" s="58">
        <v>6</v>
      </c>
      <c r="V289" s="56">
        <v>6</v>
      </c>
      <c r="W289" s="56">
        <v>4</v>
      </c>
      <c r="X289" s="56"/>
      <c r="Y289" s="59" t="s">
        <v>156</v>
      </c>
      <c r="Z289" s="60">
        <v>500</v>
      </c>
      <c r="AA289" s="25">
        <f>VLOOKUP(F289,Zones!$A$2:$F$2186,6,FALSE)</f>
        <v>1402</v>
      </c>
      <c r="AB289" s="25">
        <f>VLOOKUP(L289,Zones!$A$2:$F$2186,6,FALSE)</f>
        <v>1393</v>
      </c>
    </row>
    <row r="290" spans="2:28">
      <c r="B290" s="40">
        <v>0.52083333333333337</v>
      </c>
      <c r="C290" s="40" t="s">
        <v>505</v>
      </c>
      <c r="D290" s="44">
        <v>1</v>
      </c>
      <c r="E290" s="45">
        <v>1</v>
      </c>
      <c r="F290" s="42" t="s">
        <v>215</v>
      </c>
      <c r="G290" s="43" t="s">
        <v>215</v>
      </c>
      <c r="H290" s="42" t="s">
        <v>155</v>
      </c>
      <c r="I290" s="43">
        <v>16</v>
      </c>
      <c r="J290" s="43">
        <v>1</v>
      </c>
      <c r="K290" s="25" t="str">
        <f>VLOOKUP(J290,Key!$E$2:$F$9,2,FALSE)</f>
        <v>Home</v>
      </c>
      <c r="L290" s="42" t="s">
        <v>146</v>
      </c>
      <c r="M290" s="43" t="s">
        <v>154</v>
      </c>
      <c r="N290" s="42" t="s">
        <v>155</v>
      </c>
      <c r="O290" s="43">
        <v>1</v>
      </c>
      <c r="P290" s="43">
        <v>8</v>
      </c>
      <c r="Q290" s="25" t="str">
        <f>VLOOKUP(P290,Key!$E$2:$F$9,2,FALSE)</f>
        <v>Others</v>
      </c>
      <c r="R290" s="25" t="str">
        <f t="shared" si="5"/>
        <v>Home-Others</v>
      </c>
      <c r="S290" s="58">
        <v>260</v>
      </c>
      <c r="T290" s="58">
        <v>6</v>
      </c>
      <c r="U290" s="58">
        <v>3</v>
      </c>
      <c r="V290" s="56"/>
      <c r="W290" s="56"/>
      <c r="X290" s="56"/>
      <c r="Y290" s="59" t="s">
        <v>156</v>
      </c>
      <c r="Z290" s="60">
        <v>0</v>
      </c>
      <c r="AA290" s="25">
        <f>VLOOKUP(F290,Zones!$A$2:$F$2186,6,FALSE)</f>
        <v>335</v>
      </c>
      <c r="AB290" s="25">
        <f>VLOOKUP(L290,Zones!$A$2:$F$2186,6,FALSE)</f>
        <v>1393</v>
      </c>
    </row>
    <row r="291" spans="2:28">
      <c r="B291" s="40">
        <v>0.50416666666666665</v>
      </c>
      <c r="C291" s="40" t="s">
        <v>506</v>
      </c>
      <c r="D291" s="45">
        <v>2</v>
      </c>
      <c r="E291" s="45">
        <v>3</v>
      </c>
      <c r="F291" s="42" t="s">
        <v>394</v>
      </c>
      <c r="G291" s="43" t="s">
        <v>154</v>
      </c>
      <c r="H291" s="42" t="s">
        <v>155</v>
      </c>
      <c r="I291" s="43">
        <v>16</v>
      </c>
      <c r="J291" s="43">
        <v>1</v>
      </c>
      <c r="K291" s="25" t="str">
        <f>VLOOKUP(J291,Key!$E$2:$F$9,2,FALSE)</f>
        <v>Home</v>
      </c>
      <c r="L291" s="42" t="s">
        <v>146</v>
      </c>
      <c r="M291" s="43" t="s">
        <v>154</v>
      </c>
      <c r="N291" s="42" t="s">
        <v>155</v>
      </c>
      <c r="O291" s="43">
        <v>2</v>
      </c>
      <c r="P291" s="43">
        <v>2</v>
      </c>
      <c r="Q291" s="25" t="str">
        <f>VLOOKUP(P291,Key!$E$2:$F$9,2,FALSE)</f>
        <v>Work</v>
      </c>
      <c r="R291" s="25" t="str">
        <f t="shared" si="5"/>
        <v>Home-Work</v>
      </c>
      <c r="S291" s="58">
        <v>8</v>
      </c>
      <c r="T291" s="58">
        <v>0.2</v>
      </c>
      <c r="U291" s="58">
        <v>3</v>
      </c>
      <c r="V291" s="56"/>
      <c r="W291" s="56"/>
      <c r="X291" s="56"/>
      <c r="Y291" s="59" t="s">
        <v>156</v>
      </c>
      <c r="Z291" s="60">
        <v>0</v>
      </c>
      <c r="AA291" s="25">
        <f>VLOOKUP(F291,Zones!$A$2:$F$2186,6,FALSE)</f>
        <v>542</v>
      </c>
      <c r="AB291" s="25">
        <f>VLOOKUP(L291,Zones!$A$2:$F$2186,6,FALSE)</f>
        <v>1393</v>
      </c>
    </row>
    <row r="292" spans="2:28">
      <c r="B292" s="40">
        <v>0.50763888888888886</v>
      </c>
      <c r="C292" s="40" t="s">
        <v>507</v>
      </c>
      <c r="D292" s="45">
        <v>1</v>
      </c>
      <c r="E292" s="45">
        <v>2</v>
      </c>
      <c r="F292" s="42" t="s">
        <v>3281</v>
      </c>
      <c r="G292" s="43" t="s">
        <v>154</v>
      </c>
      <c r="H292" s="42" t="s">
        <v>155</v>
      </c>
      <c r="I292" s="43">
        <v>1</v>
      </c>
      <c r="J292" s="43">
        <v>1</v>
      </c>
      <c r="K292" s="25" t="str">
        <f>VLOOKUP(J292,Key!$E$2:$F$9,2,FALSE)</f>
        <v>Home</v>
      </c>
      <c r="L292" s="42" t="s">
        <v>184</v>
      </c>
      <c r="M292" s="43" t="s">
        <v>154</v>
      </c>
      <c r="N292" s="42" t="s">
        <v>155</v>
      </c>
      <c r="O292" s="43">
        <v>1</v>
      </c>
      <c r="P292" s="43">
        <v>1</v>
      </c>
      <c r="Q292" s="25" t="str">
        <f>VLOOKUP(P292,Key!$E$2:$F$9,2,FALSE)</f>
        <v>Home</v>
      </c>
      <c r="R292" s="25" t="str">
        <f t="shared" si="5"/>
        <v>Home-Home</v>
      </c>
      <c r="S292" s="58">
        <v>6</v>
      </c>
      <c r="T292" s="58">
        <v>0.3</v>
      </c>
      <c r="U292" s="58">
        <v>2</v>
      </c>
      <c r="V292" s="56"/>
      <c r="W292" s="56"/>
      <c r="X292" s="56"/>
      <c r="Y292" s="59" t="s">
        <v>156</v>
      </c>
      <c r="Z292" s="60">
        <v>2000</v>
      </c>
      <c r="AA292" s="25">
        <f>VLOOKUP(F292,Zones!$A$2:$F$2186,6,FALSE)</f>
        <v>1408</v>
      </c>
      <c r="AB292" s="25">
        <f>VLOOKUP(L292,Zones!$A$2:$F$2186,6,FALSE)</f>
        <v>811</v>
      </c>
    </row>
    <row r="293" spans="2:28">
      <c r="B293" s="40">
        <v>0.4909722222222222</v>
      </c>
      <c r="C293" s="40" t="s">
        <v>508</v>
      </c>
      <c r="D293" s="45">
        <v>2</v>
      </c>
      <c r="E293" s="45">
        <v>2</v>
      </c>
      <c r="F293" s="42" t="s">
        <v>659</v>
      </c>
      <c r="G293" s="43" t="s">
        <v>154</v>
      </c>
      <c r="H293" s="42" t="s">
        <v>155</v>
      </c>
      <c r="I293" s="43">
        <v>1</v>
      </c>
      <c r="J293" s="43">
        <v>1</v>
      </c>
      <c r="K293" s="25" t="str">
        <f>VLOOKUP(J293,Key!$E$2:$F$9,2,FALSE)</f>
        <v>Home</v>
      </c>
      <c r="L293" s="42" t="s">
        <v>836</v>
      </c>
      <c r="M293" s="43" t="s">
        <v>836</v>
      </c>
      <c r="N293" s="42" t="s">
        <v>155</v>
      </c>
      <c r="O293" s="43">
        <v>2</v>
      </c>
      <c r="P293" s="43">
        <v>2</v>
      </c>
      <c r="Q293" s="25" t="str">
        <f>VLOOKUP(P293,Key!$E$2:$F$9,2,FALSE)</f>
        <v>Work</v>
      </c>
      <c r="R293" s="25" t="str">
        <f t="shared" si="5"/>
        <v>Home-Work</v>
      </c>
      <c r="S293" s="58">
        <v>17</v>
      </c>
      <c r="T293" s="58">
        <v>1</v>
      </c>
      <c r="U293" s="58">
        <v>2</v>
      </c>
      <c r="V293" s="56"/>
      <c r="W293" s="56"/>
      <c r="X293" s="56"/>
      <c r="Y293" s="59" t="s">
        <v>156</v>
      </c>
      <c r="Z293" s="60">
        <v>2000</v>
      </c>
      <c r="AA293" s="25">
        <f>VLOOKUP(F293,Zones!$A$2:$F$2186,6,FALSE)</f>
        <v>542</v>
      </c>
      <c r="AB293" s="25">
        <f>VLOOKUP(L293,Zones!$A$2:$F$2186,6,FALSE)</f>
        <v>521</v>
      </c>
    </row>
    <row r="294" spans="2:28" ht="15">
      <c r="B294" s="40">
        <v>0.50208333333333333</v>
      </c>
      <c r="C294" s="40" t="s">
        <v>510</v>
      </c>
      <c r="D294" s="45">
        <v>7</v>
      </c>
      <c r="E294" s="45">
        <v>2</v>
      </c>
      <c r="F294" s="42" t="s">
        <v>842</v>
      </c>
      <c r="G294" s="43" t="s">
        <v>163</v>
      </c>
      <c r="H294" s="42" t="s">
        <v>155</v>
      </c>
      <c r="I294" s="43">
        <v>3</v>
      </c>
      <c r="J294" s="43">
        <v>4</v>
      </c>
      <c r="K294" s="25" t="str">
        <f>VLOOKUP(J294,Key!$E$2:$F$9,2,FALSE)</f>
        <v>Commercial</v>
      </c>
      <c r="L294" s="100" t="s">
        <v>2932</v>
      </c>
      <c r="M294" s="43" t="s">
        <v>154</v>
      </c>
      <c r="N294" s="42" t="s">
        <v>155</v>
      </c>
      <c r="O294" s="43">
        <v>11</v>
      </c>
      <c r="P294" s="43">
        <v>4</v>
      </c>
      <c r="Q294" s="25" t="str">
        <f>VLOOKUP(P294,Key!$E$2:$F$9,2,FALSE)</f>
        <v>Commercial</v>
      </c>
      <c r="R294" s="25" t="str">
        <f t="shared" si="5"/>
        <v>Commercial-Commercial</v>
      </c>
      <c r="S294" s="58">
        <v>35</v>
      </c>
      <c r="T294" s="58">
        <v>3</v>
      </c>
      <c r="U294" s="58">
        <v>3</v>
      </c>
      <c r="V294" s="56">
        <v>2</v>
      </c>
      <c r="W294" s="56">
        <v>2</v>
      </c>
      <c r="X294" s="56"/>
      <c r="Y294" s="59" t="s">
        <v>156</v>
      </c>
      <c r="Z294" s="60">
        <v>2500</v>
      </c>
      <c r="AA294" s="25">
        <f>VLOOKUP(F294,Zones!$A$2:$F$2186,6,FALSE)</f>
        <v>1064</v>
      </c>
      <c r="AB294" s="25">
        <f>VLOOKUP(L294,Zones!$A$2:$F$2186,6,FALSE)</f>
        <v>1392</v>
      </c>
    </row>
    <row r="295" spans="2:28">
      <c r="B295" s="40">
        <v>0.47986111111111113</v>
      </c>
      <c r="C295" s="40" t="s">
        <v>512</v>
      </c>
      <c r="D295" s="45">
        <v>2</v>
      </c>
      <c r="E295" s="45">
        <v>4</v>
      </c>
      <c r="F295" s="42" t="s">
        <v>146</v>
      </c>
      <c r="G295" s="43" t="s">
        <v>154</v>
      </c>
      <c r="H295" s="42" t="s">
        <v>155</v>
      </c>
      <c r="I295" s="43">
        <v>1</v>
      </c>
      <c r="J295" s="43">
        <v>1</v>
      </c>
      <c r="K295" s="25" t="str">
        <f>VLOOKUP(J295,Key!$E$2:$F$9,2,FALSE)</f>
        <v>Home</v>
      </c>
      <c r="L295" s="42" t="s">
        <v>836</v>
      </c>
      <c r="M295" s="43" t="s">
        <v>836</v>
      </c>
      <c r="N295" s="42" t="s">
        <v>155</v>
      </c>
      <c r="O295" s="43">
        <v>2</v>
      </c>
      <c r="P295" s="43">
        <v>2</v>
      </c>
      <c r="Q295" s="25" t="str">
        <f>VLOOKUP(P295,Key!$E$2:$F$9,2,FALSE)</f>
        <v>Work</v>
      </c>
      <c r="R295" s="25" t="str">
        <f t="shared" si="5"/>
        <v>Home-Work</v>
      </c>
      <c r="S295" s="58">
        <v>12</v>
      </c>
      <c r="T295" s="58">
        <v>0.7</v>
      </c>
      <c r="U295" s="58">
        <v>2</v>
      </c>
      <c r="V295" s="56"/>
      <c r="W295" s="56"/>
      <c r="X295" s="56"/>
      <c r="Y295" s="59" t="s">
        <v>156</v>
      </c>
      <c r="Z295" s="60">
        <v>500</v>
      </c>
      <c r="AA295" s="25">
        <f>VLOOKUP(F295,Zones!$A$2:$F$2186,6,FALSE)</f>
        <v>1393</v>
      </c>
      <c r="AB295" s="25">
        <f>VLOOKUP(L295,Zones!$A$2:$F$2186,6,FALSE)</f>
        <v>521</v>
      </c>
    </row>
    <row r="296" spans="2:28">
      <c r="B296" s="40">
        <v>0.48402777777777778</v>
      </c>
      <c r="C296" s="40" t="s">
        <v>513</v>
      </c>
      <c r="D296" s="44">
        <v>7</v>
      </c>
      <c r="E296" s="45">
        <v>2</v>
      </c>
      <c r="F296" s="42" t="s">
        <v>659</v>
      </c>
      <c r="G296" s="43" t="s">
        <v>154</v>
      </c>
      <c r="H296" s="42" t="s">
        <v>155</v>
      </c>
      <c r="I296" s="43">
        <v>1</v>
      </c>
      <c r="J296" s="43">
        <v>1</v>
      </c>
      <c r="K296" s="25" t="str">
        <f>VLOOKUP(J296,Key!$E$2:$F$9,2,FALSE)</f>
        <v>Home</v>
      </c>
      <c r="L296" s="42" t="s">
        <v>146</v>
      </c>
      <c r="M296" s="43" t="s">
        <v>154</v>
      </c>
      <c r="N296" s="42" t="s">
        <v>155</v>
      </c>
      <c r="O296" s="43">
        <v>2</v>
      </c>
      <c r="P296" s="43">
        <v>2</v>
      </c>
      <c r="Q296" s="25" t="str">
        <f>VLOOKUP(P296,Key!$E$2:$F$9,2,FALSE)</f>
        <v>Work</v>
      </c>
      <c r="R296" s="25" t="str">
        <f t="shared" si="5"/>
        <v>Home-Work</v>
      </c>
      <c r="S296" s="58">
        <v>3</v>
      </c>
      <c r="T296" s="58">
        <v>0.5</v>
      </c>
      <c r="U296" s="58">
        <v>2</v>
      </c>
      <c r="V296" s="56">
        <v>2</v>
      </c>
      <c r="W296" s="56">
        <v>1</v>
      </c>
      <c r="X296" s="56"/>
      <c r="Y296" s="59" t="s">
        <v>156</v>
      </c>
      <c r="Z296" s="60">
        <v>2000</v>
      </c>
      <c r="AA296" s="25">
        <f>VLOOKUP(F296,Zones!$A$2:$F$2186,6,FALSE)</f>
        <v>542</v>
      </c>
      <c r="AB296" s="25">
        <f>VLOOKUP(L296,Zones!$A$2:$F$2186,6,FALSE)</f>
        <v>1393</v>
      </c>
    </row>
    <row r="297" spans="2:28">
      <c r="B297" s="40">
        <v>0.4777777777777778</v>
      </c>
      <c r="C297" s="40" t="s">
        <v>514</v>
      </c>
      <c r="D297" s="44">
        <v>2</v>
      </c>
      <c r="E297" s="45">
        <v>4</v>
      </c>
      <c r="F297" s="42" t="s">
        <v>147</v>
      </c>
      <c r="G297" s="43" t="s">
        <v>154</v>
      </c>
      <c r="H297" s="42" t="s">
        <v>155</v>
      </c>
      <c r="I297" s="43">
        <v>3</v>
      </c>
      <c r="J297" s="43">
        <v>2</v>
      </c>
      <c r="K297" s="25" t="str">
        <f>VLOOKUP(J297,Key!$E$2:$F$9,2,FALSE)</f>
        <v>Work</v>
      </c>
      <c r="L297" s="42" t="s">
        <v>163</v>
      </c>
      <c r="M297" s="43" t="s">
        <v>163</v>
      </c>
      <c r="N297" s="42" t="s">
        <v>155</v>
      </c>
      <c r="O297" s="43">
        <v>11</v>
      </c>
      <c r="P297" s="43">
        <v>4</v>
      </c>
      <c r="Q297" s="25" t="str">
        <f>VLOOKUP(P297,Key!$E$2:$F$9,2,FALSE)</f>
        <v>Commercial</v>
      </c>
      <c r="R297" s="25" t="str">
        <f t="shared" si="5"/>
        <v>Work-Commercial</v>
      </c>
      <c r="S297" s="58">
        <v>25</v>
      </c>
      <c r="T297" s="58">
        <v>2</v>
      </c>
      <c r="U297" s="58">
        <v>3</v>
      </c>
      <c r="V297" s="42">
        <v>10</v>
      </c>
      <c r="W297" s="42">
        <v>4</v>
      </c>
      <c r="X297" s="42"/>
      <c r="Y297" s="59" t="s">
        <v>156</v>
      </c>
      <c r="Z297" s="60">
        <v>1000</v>
      </c>
      <c r="AA297" s="25">
        <f>VLOOKUP(F297,Zones!$A$2:$F$2186,6,FALSE)</f>
        <v>1402</v>
      </c>
      <c r="AB297" s="25">
        <f>VLOOKUP(L297,Zones!$A$2:$F$2186,6,FALSE)</f>
        <v>1064</v>
      </c>
    </row>
    <row r="298" spans="2:28">
      <c r="B298" s="40">
        <v>0.48055555555555557</v>
      </c>
      <c r="C298" s="40" t="s">
        <v>515</v>
      </c>
      <c r="D298" s="44">
        <v>2</v>
      </c>
      <c r="E298" s="45">
        <v>4</v>
      </c>
      <c r="F298" s="42" t="s">
        <v>245</v>
      </c>
      <c r="G298" s="43" t="s">
        <v>154</v>
      </c>
      <c r="H298" s="42" t="s">
        <v>155</v>
      </c>
      <c r="I298" s="43">
        <v>1</v>
      </c>
      <c r="J298" s="43">
        <v>1</v>
      </c>
      <c r="K298" s="25" t="str">
        <f>VLOOKUP(J298,Key!$E$2:$F$9,2,FALSE)</f>
        <v>Home</v>
      </c>
      <c r="L298" s="42" t="s">
        <v>163</v>
      </c>
      <c r="M298" s="43" t="s">
        <v>154</v>
      </c>
      <c r="N298" s="42" t="s">
        <v>155</v>
      </c>
      <c r="O298" s="43">
        <v>1</v>
      </c>
      <c r="P298" s="43">
        <v>1</v>
      </c>
      <c r="Q298" s="25" t="str">
        <f>VLOOKUP(P298,Key!$E$2:$F$9,2,FALSE)</f>
        <v>Home</v>
      </c>
      <c r="R298" s="25" t="str">
        <f t="shared" si="5"/>
        <v>Home-Home</v>
      </c>
      <c r="S298" s="58"/>
      <c r="T298" s="58"/>
      <c r="U298" s="58">
        <v>2</v>
      </c>
      <c r="V298" s="42"/>
      <c r="W298" s="42"/>
      <c r="X298" s="42"/>
      <c r="Y298" s="59" t="s">
        <v>156</v>
      </c>
      <c r="Z298" s="60">
        <v>0</v>
      </c>
      <c r="AA298" s="25">
        <f>VLOOKUP(F298,Zones!$A$2:$F$2186,6,FALSE)</f>
        <v>1402</v>
      </c>
      <c r="AB298" s="25">
        <f>VLOOKUP(L298,Zones!$A$2:$F$2186,6,FALSE)</f>
        <v>1064</v>
      </c>
    </row>
    <row r="299" spans="2:28">
      <c r="B299" s="40">
        <v>0.46180555555555558</v>
      </c>
      <c r="C299" s="40" t="s">
        <v>516</v>
      </c>
      <c r="D299" s="44">
        <v>1</v>
      </c>
      <c r="E299" s="45">
        <v>3</v>
      </c>
      <c r="F299" s="42" t="s">
        <v>517</v>
      </c>
      <c r="G299" s="43" t="s">
        <v>154</v>
      </c>
      <c r="H299" s="42" t="s">
        <v>155</v>
      </c>
      <c r="I299" s="43">
        <v>1</v>
      </c>
      <c r="J299" s="43">
        <v>1</v>
      </c>
      <c r="K299" s="25" t="str">
        <f>VLOOKUP(J299,Key!$E$2:$F$9,2,FALSE)</f>
        <v>Home</v>
      </c>
      <c r="L299" s="42" t="s">
        <v>836</v>
      </c>
      <c r="M299" s="43" t="s">
        <v>836</v>
      </c>
      <c r="N299" s="42" t="s">
        <v>155</v>
      </c>
      <c r="O299" s="43">
        <v>2</v>
      </c>
      <c r="P299" s="43">
        <v>2</v>
      </c>
      <c r="Q299" s="25" t="str">
        <f>VLOOKUP(P299,Key!$E$2:$F$9,2,FALSE)</f>
        <v>Work</v>
      </c>
      <c r="R299" s="25" t="str">
        <f t="shared" si="5"/>
        <v>Home-Work</v>
      </c>
      <c r="S299" s="58">
        <v>7</v>
      </c>
      <c r="T299" s="58">
        <v>0.5</v>
      </c>
      <c r="U299" s="58">
        <v>2</v>
      </c>
      <c r="V299" s="42"/>
      <c r="W299" s="42"/>
      <c r="X299" s="42"/>
      <c r="Y299" s="59" t="s">
        <v>156</v>
      </c>
      <c r="Z299" s="60">
        <v>2000</v>
      </c>
      <c r="AA299" s="25">
        <f>VLOOKUP(F299,Zones!$A$2:$F$2186,6,FALSE)</f>
        <v>1393</v>
      </c>
      <c r="AB299" s="25">
        <f>VLOOKUP(L299,Zones!$A$2:$F$2186,6,FALSE)</f>
        <v>521</v>
      </c>
    </row>
    <row r="300" spans="2:28">
      <c r="B300" s="40">
        <v>0.46527777777777773</v>
      </c>
      <c r="C300" s="40" t="s">
        <v>518</v>
      </c>
      <c r="D300" s="44">
        <v>1</v>
      </c>
      <c r="E300" s="45">
        <v>3</v>
      </c>
      <c r="F300" s="42" t="s">
        <v>404</v>
      </c>
      <c r="G300" s="43" t="s">
        <v>154</v>
      </c>
      <c r="H300" s="42" t="s">
        <v>155</v>
      </c>
      <c r="I300" s="43">
        <v>1</v>
      </c>
      <c r="J300" s="43">
        <v>1</v>
      </c>
      <c r="K300" s="25" t="str">
        <f>VLOOKUP(J300,Key!$E$2:$F$9,2,FALSE)</f>
        <v>Home</v>
      </c>
      <c r="L300" s="42" t="s">
        <v>146</v>
      </c>
      <c r="M300" s="43" t="s">
        <v>154</v>
      </c>
      <c r="N300" s="42" t="s">
        <v>155</v>
      </c>
      <c r="O300" s="43">
        <v>5</v>
      </c>
      <c r="P300" s="43">
        <v>2</v>
      </c>
      <c r="Q300" s="25" t="str">
        <f>VLOOKUP(P300,Key!$E$2:$F$9,2,FALSE)</f>
        <v>Work</v>
      </c>
      <c r="R300" s="25" t="str">
        <f t="shared" si="5"/>
        <v>Home-Work</v>
      </c>
      <c r="S300" s="58"/>
      <c r="T300" s="58">
        <v>1</v>
      </c>
      <c r="U300" s="58">
        <v>2</v>
      </c>
      <c r="V300" s="42"/>
      <c r="W300" s="42"/>
      <c r="X300" s="42"/>
      <c r="Y300" s="59" t="s">
        <v>156</v>
      </c>
      <c r="Z300" s="60">
        <v>1000</v>
      </c>
      <c r="AA300" s="25">
        <f>VLOOKUP(F300,Zones!$A$2:$F$2186,6,FALSE)</f>
        <v>1393</v>
      </c>
      <c r="AB300" s="25">
        <f>VLOOKUP(L300,Zones!$A$2:$F$2186,6,FALSE)</f>
        <v>1393</v>
      </c>
    </row>
    <row r="301" spans="2:28">
      <c r="B301" s="40">
        <v>0.45555555555555555</v>
      </c>
      <c r="C301" s="40" t="s">
        <v>519</v>
      </c>
      <c r="D301" s="44">
        <v>1</v>
      </c>
      <c r="E301" s="42">
        <v>4</v>
      </c>
      <c r="F301" s="42" t="s">
        <v>836</v>
      </c>
      <c r="G301" s="43" t="s">
        <v>836</v>
      </c>
      <c r="H301" s="42" t="s">
        <v>155</v>
      </c>
      <c r="I301" s="43">
        <v>1</v>
      </c>
      <c r="J301" s="43">
        <v>1</v>
      </c>
      <c r="K301" s="25" t="str">
        <f>VLOOKUP(J301,Key!$E$2:$F$9,2,FALSE)</f>
        <v>Home</v>
      </c>
      <c r="L301" s="42" t="s">
        <v>184</v>
      </c>
      <c r="M301" s="43" t="s">
        <v>154</v>
      </c>
      <c r="N301" s="42" t="s">
        <v>155</v>
      </c>
      <c r="O301" s="43">
        <v>9</v>
      </c>
      <c r="P301" s="43">
        <v>5</v>
      </c>
      <c r="Q301" s="25" t="str">
        <f>VLOOKUP(P301,Key!$E$2:$F$9,2,FALSE)</f>
        <v>Tourism</v>
      </c>
      <c r="R301" s="25" t="str">
        <f t="shared" si="5"/>
        <v>Home-Tourism</v>
      </c>
      <c r="S301" s="58">
        <v>12</v>
      </c>
      <c r="T301" s="58">
        <v>0.3</v>
      </c>
      <c r="U301" s="58">
        <v>5</v>
      </c>
      <c r="V301" s="42"/>
      <c r="W301" s="42"/>
      <c r="X301" s="42"/>
      <c r="Y301" s="59" t="s">
        <v>156</v>
      </c>
      <c r="Z301" s="60">
        <v>5000</v>
      </c>
      <c r="AA301" s="25">
        <f>VLOOKUP(F301,Zones!$A$2:$F$2186,6,FALSE)</f>
        <v>521</v>
      </c>
      <c r="AB301" s="25">
        <f>VLOOKUP(L301,Zones!$A$2:$F$2186,6,FALSE)</f>
        <v>811</v>
      </c>
    </row>
    <row r="302" spans="2:28">
      <c r="B302" s="40">
        <v>0.45763888888888887</v>
      </c>
      <c r="C302" s="40" t="s">
        <v>520</v>
      </c>
      <c r="D302" s="44">
        <v>1</v>
      </c>
      <c r="E302" s="45">
        <v>2</v>
      </c>
      <c r="F302" s="42" t="s">
        <v>147</v>
      </c>
      <c r="G302" s="43" t="s">
        <v>154</v>
      </c>
      <c r="H302" s="42" t="s">
        <v>155</v>
      </c>
      <c r="I302" s="43">
        <v>1</v>
      </c>
      <c r="J302" s="43">
        <v>1</v>
      </c>
      <c r="K302" s="25" t="str">
        <f>VLOOKUP(J302,Key!$E$2:$F$9,2,FALSE)</f>
        <v>Home</v>
      </c>
      <c r="L302" s="42" t="s">
        <v>146</v>
      </c>
      <c r="M302" s="43" t="s">
        <v>154</v>
      </c>
      <c r="N302" s="42" t="s">
        <v>155</v>
      </c>
      <c r="O302" s="43">
        <v>2</v>
      </c>
      <c r="P302" s="43">
        <v>2</v>
      </c>
      <c r="Q302" s="25" t="str">
        <f>VLOOKUP(P302,Key!$E$2:$F$9,2,FALSE)</f>
        <v>Work</v>
      </c>
      <c r="R302" s="25" t="str">
        <f t="shared" si="5"/>
        <v>Home-Work</v>
      </c>
      <c r="S302" s="58">
        <v>10</v>
      </c>
      <c r="T302" s="58">
        <v>0.2</v>
      </c>
      <c r="U302" s="58">
        <v>2</v>
      </c>
      <c r="V302" s="42"/>
      <c r="W302" s="42"/>
      <c r="X302" s="42"/>
      <c r="Y302" s="59" t="s">
        <v>156</v>
      </c>
      <c r="Z302" s="60">
        <v>0</v>
      </c>
      <c r="AA302" s="25">
        <f>VLOOKUP(F302,Zones!$A$2:$F$2186,6,FALSE)</f>
        <v>1402</v>
      </c>
      <c r="AB302" s="25">
        <f>VLOOKUP(L302,Zones!$A$2:$F$2186,6,FALSE)</f>
        <v>1393</v>
      </c>
    </row>
    <row r="303" spans="2:28">
      <c r="B303" s="40">
        <v>0.45069444444444445</v>
      </c>
      <c r="C303" s="40" t="s">
        <v>521</v>
      </c>
      <c r="D303" s="44">
        <v>1</v>
      </c>
      <c r="E303" s="45">
        <v>2</v>
      </c>
      <c r="F303" s="42" t="s">
        <v>394</v>
      </c>
      <c r="G303" s="43" t="s">
        <v>154</v>
      </c>
      <c r="H303" s="42" t="s">
        <v>155</v>
      </c>
      <c r="I303" s="43">
        <v>1</v>
      </c>
      <c r="J303" s="43">
        <v>1</v>
      </c>
      <c r="K303" s="25" t="str">
        <f>VLOOKUP(J303,Key!$E$2:$F$9,2,FALSE)</f>
        <v>Home</v>
      </c>
      <c r="L303" s="42" t="s">
        <v>836</v>
      </c>
      <c r="M303" s="43" t="s">
        <v>836</v>
      </c>
      <c r="N303" s="42" t="s">
        <v>155</v>
      </c>
      <c r="O303" s="43">
        <v>2</v>
      </c>
      <c r="P303" s="43">
        <v>2</v>
      </c>
      <c r="Q303" s="25" t="str">
        <f>VLOOKUP(P303,Key!$E$2:$F$9,2,FALSE)</f>
        <v>Work</v>
      </c>
      <c r="R303" s="25" t="str">
        <f t="shared" si="5"/>
        <v>Home-Work</v>
      </c>
      <c r="S303" s="58">
        <v>4</v>
      </c>
      <c r="T303" s="58">
        <v>1</v>
      </c>
      <c r="U303" s="58">
        <v>2</v>
      </c>
      <c r="V303" s="42"/>
      <c r="W303" s="42"/>
      <c r="X303" s="42"/>
      <c r="Y303" s="59" t="s">
        <v>156</v>
      </c>
      <c r="Z303" s="60">
        <v>1000</v>
      </c>
      <c r="AA303" s="25">
        <f>VLOOKUP(F303,Zones!$A$2:$F$2186,6,FALSE)</f>
        <v>542</v>
      </c>
      <c r="AB303" s="25">
        <f>VLOOKUP(L303,Zones!$A$2:$F$2186,6,FALSE)</f>
        <v>521</v>
      </c>
    </row>
    <row r="304" spans="2:28">
      <c r="B304" s="40">
        <v>0.44861111111111113</v>
      </c>
      <c r="C304" s="40" t="s">
        <v>522</v>
      </c>
      <c r="D304" s="44">
        <v>1</v>
      </c>
      <c r="E304" s="45">
        <v>1</v>
      </c>
      <c r="F304" s="42" t="s">
        <v>245</v>
      </c>
      <c r="G304" s="43" t="s">
        <v>154</v>
      </c>
      <c r="H304" s="42" t="s">
        <v>155</v>
      </c>
      <c r="I304" s="43">
        <v>1</v>
      </c>
      <c r="J304" s="43">
        <v>1</v>
      </c>
      <c r="K304" s="25" t="str">
        <f>VLOOKUP(J304,Key!$E$2:$F$9,2,FALSE)</f>
        <v>Home</v>
      </c>
      <c r="L304" s="42" t="s">
        <v>836</v>
      </c>
      <c r="M304" s="43" t="s">
        <v>836</v>
      </c>
      <c r="N304" s="42" t="s">
        <v>155</v>
      </c>
      <c r="O304" s="43">
        <v>2</v>
      </c>
      <c r="P304" s="43">
        <v>2</v>
      </c>
      <c r="Q304" s="25" t="str">
        <f>VLOOKUP(P304,Key!$E$2:$F$9,2,FALSE)</f>
        <v>Work</v>
      </c>
      <c r="R304" s="25" t="str">
        <f t="shared" si="5"/>
        <v>Home-Work</v>
      </c>
      <c r="S304" s="58">
        <v>19</v>
      </c>
      <c r="T304" s="58">
        <v>0.7</v>
      </c>
      <c r="U304" s="58">
        <v>2</v>
      </c>
      <c r="V304" s="42"/>
      <c r="W304" s="42"/>
      <c r="X304" s="42"/>
      <c r="Y304" s="59" t="s">
        <v>156</v>
      </c>
      <c r="Z304" s="60">
        <v>0</v>
      </c>
      <c r="AA304" s="25">
        <f>VLOOKUP(F304,Zones!$A$2:$F$2186,6,FALSE)</f>
        <v>1402</v>
      </c>
      <c r="AB304" s="25">
        <f>VLOOKUP(L304,Zones!$A$2:$F$2186,6,FALSE)</f>
        <v>521</v>
      </c>
    </row>
    <row r="305" spans="2:28">
      <c r="B305" s="40">
        <v>0.44097222222222227</v>
      </c>
      <c r="C305" s="40" t="s">
        <v>523</v>
      </c>
      <c r="D305" s="44">
        <v>1</v>
      </c>
      <c r="E305" s="45">
        <v>1</v>
      </c>
      <c r="F305" s="42" t="s">
        <v>836</v>
      </c>
      <c r="G305" s="43" t="s">
        <v>836</v>
      </c>
      <c r="H305" s="42" t="s">
        <v>155</v>
      </c>
      <c r="I305" s="43">
        <v>2</v>
      </c>
      <c r="J305" s="43">
        <v>1</v>
      </c>
      <c r="K305" s="25" t="str">
        <f>VLOOKUP(J305,Key!$E$2:$F$9,2,FALSE)</f>
        <v>Home</v>
      </c>
      <c r="L305" s="42" t="s">
        <v>836</v>
      </c>
      <c r="M305" s="43" t="s">
        <v>836</v>
      </c>
      <c r="N305" s="42" t="s">
        <v>155</v>
      </c>
      <c r="O305" s="43">
        <v>1</v>
      </c>
      <c r="P305" s="43">
        <v>2</v>
      </c>
      <c r="Q305" s="25" t="str">
        <f>VLOOKUP(P305,Key!$E$2:$F$9,2,FALSE)</f>
        <v>Work</v>
      </c>
      <c r="R305" s="25" t="str">
        <f t="shared" si="5"/>
        <v>Home-Work</v>
      </c>
      <c r="S305" s="58">
        <v>14</v>
      </c>
      <c r="T305" s="58">
        <v>0.5</v>
      </c>
      <c r="U305" s="58">
        <v>2</v>
      </c>
      <c r="V305" s="42"/>
      <c r="W305" s="42"/>
      <c r="X305" s="42"/>
      <c r="Y305" s="59" t="s">
        <v>156</v>
      </c>
      <c r="Z305" s="60"/>
      <c r="AA305" s="25">
        <f>VLOOKUP(F305,Zones!$A$2:$F$2186,6,FALSE)</f>
        <v>521</v>
      </c>
      <c r="AB305" s="25">
        <f>VLOOKUP(L305,Zones!$A$2:$F$2186,6,FALSE)</f>
        <v>521</v>
      </c>
    </row>
    <row r="306" spans="2:28">
      <c r="B306" s="40">
        <v>0.4381944444444445</v>
      </c>
      <c r="C306" s="40" t="s">
        <v>843</v>
      </c>
      <c r="D306" s="44">
        <v>2</v>
      </c>
      <c r="E306" s="45">
        <v>3</v>
      </c>
      <c r="F306" s="42" t="s">
        <v>192</v>
      </c>
      <c r="G306" s="43" t="s">
        <v>192</v>
      </c>
      <c r="H306" s="42" t="s">
        <v>155</v>
      </c>
      <c r="I306" s="43">
        <v>2</v>
      </c>
      <c r="J306" s="43">
        <v>2</v>
      </c>
      <c r="K306" s="25" t="str">
        <f>VLOOKUP(J306,Key!$E$2:$F$9,2,FALSE)</f>
        <v>Work</v>
      </c>
      <c r="L306" s="42" t="s">
        <v>836</v>
      </c>
      <c r="M306" s="43" t="s">
        <v>836</v>
      </c>
      <c r="N306" s="42" t="s">
        <v>155</v>
      </c>
      <c r="O306" s="43">
        <v>1</v>
      </c>
      <c r="P306" s="43">
        <v>1</v>
      </c>
      <c r="Q306" s="25" t="str">
        <f>VLOOKUP(P306,Key!$E$2:$F$9,2,FALSE)</f>
        <v>Home</v>
      </c>
      <c r="R306" s="25" t="str">
        <f t="shared" si="5"/>
        <v>Work-Home</v>
      </c>
      <c r="S306" s="58">
        <v>25</v>
      </c>
      <c r="T306" s="58">
        <v>1</v>
      </c>
      <c r="U306" s="58">
        <v>6</v>
      </c>
      <c r="V306" s="42"/>
      <c r="W306" s="42"/>
      <c r="X306" s="42"/>
      <c r="Y306" s="59" t="s">
        <v>156</v>
      </c>
      <c r="Z306" s="60">
        <v>1000</v>
      </c>
      <c r="AA306" s="25">
        <f>VLOOKUP(F306,Zones!$A$2:$F$2186,6,FALSE)</f>
        <v>881</v>
      </c>
      <c r="AB306" s="25">
        <f>VLOOKUP(L306,Zones!$A$2:$F$2186,6,FALSE)</f>
        <v>521</v>
      </c>
    </row>
    <row r="307" spans="2:28">
      <c r="B307" s="40">
        <v>0.43055555555555558</v>
      </c>
      <c r="C307" s="40" t="s">
        <v>524</v>
      </c>
      <c r="D307" s="44">
        <v>3</v>
      </c>
      <c r="E307" s="45">
        <v>3</v>
      </c>
      <c r="F307" s="42" t="s">
        <v>163</v>
      </c>
      <c r="G307" s="43" t="s">
        <v>163</v>
      </c>
      <c r="H307" s="42" t="s">
        <v>155</v>
      </c>
      <c r="I307" s="43">
        <v>1</v>
      </c>
      <c r="J307" s="43">
        <v>1</v>
      </c>
      <c r="K307" s="25" t="str">
        <f>VLOOKUP(J307,Key!$E$2:$F$9,2,FALSE)</f>
        <v>Home</v>
      </c>
      <c r="L307" s="42" t="s">
        <v>487</v>
      </c>
      <c r="M307" s="43" t="s">
        <v>154</v>
      </c>
      <c r="N307" s="42" t="s">
        <v>155</v>
      </c>
      <c r="O307" s="43">
        <v>16</v>
      </c>
      <c r="P307" s="43">
        <v>2</v>
      </c>
      <c r="Q307" s="25" t="str">
        <f>VLOOKUP(P307,Key!$E$2:$F$9,2,FALSE)</f>
        <v>Work</v>
      </c>
      <c r="R307" s="25" t="str">
        <f t="shared" si="5"/>
        <v>Home-Work</v>
      </c>
      <c r="S307" s="58"/>
      <c r="T307" s="58">
        <v>0.5</v>
      </c>
      <c r="U307" s="58">
        <v>2</v>
      </c>
      <c r="V307" s="42"/>
      <c r="W307" s="42"/>
      <c r="X307" s="42"/>
      <c r="Y307" s="59"/>
      <c r="Z307" s="60"/>
      <c r="AA307" s="25">
        <f>VLOOKUP(F307,Zones!$A$2:$F$2186,6,FALSE)</f>
        <v>1064</v>
      </c>
      <c r="AB307" s="25">
        <f>VLOOKUP(L307,Zones!$A$2:$F$2186,6,FALSE)</f>
        <v>1396</v>
      </c>
    </row>
    <row r="308" spans="2:28">
      <c r="B308" s="40">
        <v>0.42499999999999999</v>
      </c>
      <c r="C308" s="40" t="s">
        <v>525</v>
      </c>
      <c r="D308" s="44">
        <v>1</v>
      </c>
      <c r="E308" s="45">
        <v>4</v>
      </c>
      <c r="F308" s="42" t="s">
        <v>146</v>
      </c>
      <c r="G308" s="43" t="s">
        <v>154</v>
      </c>
      <c r="H308" s="42" t="s">
        <v>155</v>
      </c>
      <c r="I308" s="43">
        <v>1</v>
      </c>
      <c r="J308" s="43">
        <v>1</v>
      </c>
      <c r="K308" s="25" t="str">
        <f>VLOOKUP(J308,Key!$E$2:$F$9,2,FALSE)</f>
        <v>Home</v>
      </c>
      <c r="L308" s="42" t="s">
        <v>526</v>
      </c>
      <c r="M308" s="43" t="s">
        <v>836</v>
      </c>
      <c r="N308" s="42" t="s">
        <v>155</v>
      </c>
      <c r="O308" s="43">
        <v>2</v>
      </c>
      <c r="P308" s="43">
        <v>2</v>
      </c>
      <c r="Q308" s="25" t="str">
        <f>VLOOKUP(P308,Key!$E$2:$F$9,2,FALSE)</f>
        <v>Work</v>
      </c>
      <c r="R308" s="25" t="str">
        <f t="shared" si="5"/>
        <v>Home-Work</v>
      </c>
      <c r="S308" s="58">
        <v>4</v>
      </c>
      <c r="T308" s="58">
        <v>0.1</v>
      </c>
      <c r="U308" s="58">
        <v>2</v>
      </c>
      <c r="V308" s="42"/>
      <c r="W308" s="42"/>
      <c r="X308" s="42"/>
      <c r="Y308" s="59" t="s">
        <v>156</v>
      </c>
      <c r="Z308" s="60">
        <v>10000</v>
      </c>
      <c r="AA308" s="25">
        <f>VLOOKUP(F308,Zones!$A$2:$F$2186,6,FALSE)</f>
        <v>1393</v>
      </c>
      <c r="AB308" s="25">
        <f>VLOOKUP(L308,Zones!$A$2:$F$2186,6,FALSE)</f>
        <v>544</v>
      </c>
    </row>
    <row r="309" spans="2:28">
      <c r="B309" s="40">
        <v>0.4284722222222222</v>
      </c>
      <c r="C309" s="40" t="s">
        <v>527</v>
      </c>
      <c r="D309" s="44">
        <v>7</v>
      </c>
      <c r="E309" s="45">
        <v>4</v>
      </c>
      <c r="F309" s="42" t="s">
        <v>168</v>
      </c>
      <c r="G309" s="43" t="s">
        <v>154</v>
      </c>
      <c r="H309" s="42" t="s">
        <v>155</v>
      </c>
      <c r="I309" s="43">
        <v>1</v>
      </c>
      <c r="J309" s="43">
        <v>1</v>
      </c>
      <c r="K309" s="25" t="str">
        <f>VLOOKUP(J309,Key!$E$2:$F$9,2,FALSE)</f>
        <v>Home</v>
      </c>
      <c r="L309" s="42" t="s">
        <v>836</v>
      </c>
      <c r="M309" s="43" t="s">
        <v>836</v>
      </c>
      <c r="N309" s="42" t="s">
        <v>155</v>
      </c>
      <c r="O309" s="43">
        <v>2</v>
      </c>
      <c r="P309" s="43">
        <v>2</v>
      </c>
      <c r="Q309" s="25" t="str">
        <f>VLOOKUP(P309,Key!$E$2:$F$9,2,FALSE)</f>
        <v>Work</v>
      </c>
      <c r="R309" s="25" t="str">
        <f t="shared" si="5"/>
        <v>Home-Work</v>
      </c>
      <c r="S309" s="58">
        <v>12</v>
      </c>
      <c r="T309" s="58">
        <v>1</v>
      </c>
      <c r="U309" s="58">
        <v>2</v>
      </c>
      <c r="V309" s="42"/>
      <c r="W309" s="42">
        <v>1</v>
      </c>
      <c r="X309" s="42"/>
      <c r="Y309" s="59" t="s">
        <v>156</v>
      </c>
      <c r="Z309" s="60">
        <v>1000</v>
      </c>
      <c r="AA309" s="25">
        <f>VLOOKUP(F309,Zones!$A$2:$F$2186,6,FALSE)</f>
        <v>1393</v>
      </c>
      <c r="AB309" s="25">
        <f>VLOOKUP(L309,Zones!$A$2:$F$2186,6,FALSE)</f>
        <v>521</v>
      </c>
    </row>
    <row r="310" spans="2:28">
      <c r="B310" s="40">
        <v>0.4201388888888889</v>
      </c>
      <c r="C310" s="40" t="s">
        <v>528</v>
      </c>
      <c r="D310" s="44">
        <v>1</v>
      </c>
      <c r="E310" s="45">
        <v>2</v>
      </c>
      <c r="F310" s="42" t="s">
        <v>154</v>
      </c>
      <c r="G310" s="43" t="s">
        <v>154</v>
      </c>
      <c r="H310" s="42" t="s">
        <v>155</v>
      </c>
      <c r="I310" s="43">
        <v>1</v>
      </c>
      <c r="J310" s="43">
        <v>1</v>
      </c>
      <c r="K310" s="25" t="str">
        <f>VLOOKUP(J310,Key!$E$2:$F$9,2,FALSE)</f>
        <v>Home</v>
      </c>
      <c r="L310" s="42" t="s">
        <v>184</v>
      </c>
      <c r="M310" s="43" t="s">
        <v>154</v>
      </c>
      <c r="N310" s="42" t="s">
        <v>155</v>
      </c>
      <c r="O310" s="43">
        <v>2</v>
      </c>
      <c r="P310" s="43">
        <v>2</v>
      </c>
      <c r="Q310" s="25" t="str">
        <f>VLOOKUP(P310,Key!$E$2:$F$9,2,FALSE)</f>
        <v>Work</v>
      </c>
      <c r="R310" s="25" t="str">
        <f t="shared" si="5"/>
        <v>Home-Work</v>
      </c>
      <c r="S310" s="58">
        <v>25</v>
      </c>
      <c r="T310" s="58">
        <v>0.7</v>
      </c>
      <c r="U310" s="58">
        <v>6</v>
      </c>
      <c r="V310" s="42"/>
      <c r="W310" s="42"/>
      <c r="X310" s="42"/>
      <c r="Y310" s="59" t="s">
        <v>156</v>
      </c>
      <c r="Z310" s="60">
        <v>2000</v>
      </c>
      <c r="AA310" s="25">
        <f>VLOOKUP(F310,Zones!$A$2:$F$2186,6,FALSE)</f>
        <v>1408</v>
      </c>
      <c r="AB310" s="25">
        <f>VLOOKUP(L310,Zones!$A$2:$F$2186,6,FALSE)</f>
        <v>811</v>
      </c>
    </row>
    <row r="311" spans="2:28">
      <c r="B311" s="40">
        <v>0.42222222222222222</v>
      </c>
      <c r="C311" s="40" t="s">
        <v>529</v>
      </c>
      <c r="D311" s="44">
        <v>1</v>
      </c>
      <c r="E311" s="42">
        <v>2</v>
      </c>
      <c r="F311" s="42" t="s">
        <v>168</v>
      </c>
      <c r="G311" s="43" t="s">
        <v>154</v>
      </c>
      <c r="H311" s="42" t="s">
        <v>155</v>
      </c>
      <c r="I311" s="43">
        <v>1</v>
      </c>
      <c r="J311" s="43">
        <v>1</v>
      </c>
      <c r="K311" s="25" t="str">
        <f>VLOOKUP(J311,Key!$E$2:$F$9,2,FALSE)</f>
        <v>Home</v>
      </c>
      <c r="L311" s="42" t="s">
        <v>413</v>
      </c>
      <c r="M311" s="43" t="s">
        <v>836</v>
      </c>
      <c r="N311" s="42" t="s">
        <v>155</v>
      </c>
      <c r="O311" s="43">
        <v>16</v>
      </c>
      <c r="P311" s="43">
        <v>2</v>
      </c>
      <c r="Q311" s="25" t="str">
        <f>VLOOKUP(P311,Key!$E$2:$F$9,2,FALSE)</f>
        <v>Work</v>
      </c>
      <c r="R311" s="25" t="str">
        <f t="shared" si="5"/>
        <v>Home-Work</v>
      </c>
      <c r="S311" s="58">
        <v>5</v>
      </c>
      <c r="T311" s="58">
        <v>0.7</v>
      </c>
      <c r="U311" s="58">
        <v>2</v>
      </c>
      <c r="V311" s="42"/>
      <c r="W311" s="42"/>
      <c r="X311" s="42"/>
      <c r="Y311" s="59" t="s">
        <v>156</v>
      </c>
      <c r="Z311" s="60">
        <v>0</v>
      </c>
      <c r="AA311" s="25">
        <f>VLOOKUP(F311,Zones!$A$2:$F$2186,6,FALSE)</f>
        <v>1393</v>
      </c>
      <c r="AB311" s="25">
        <f>VLOOKUP(L311,Zones!$A$2:$F$2186,6,FALSE)</f>
        <v>520</v>
      </c>
    </row>
    <row r="312" spans="2:28">
      <c r="B312" s="40">
        <v>0.41111111111111115</v>
      </c>
      <c r="C312" s="40" t="s">
        <v>530</v>
      </c>
      <c r="D312" s="44">
        <v>2</v>
      </c>
      <c r="E312" s="45">
        <v>3</v>
      </c>
      <c r="F312" s="42" t="s">
        <v>146</v>
      </c>
      <c r="G312" s="43" t="s">
        <v>154</v>
      </c>
      <c r="H312" s="42" t="s">
        <v>155</v>
      </c>
      <c r="I312" s="43">
        <v>10</v>
      </c>
      <c r="J312" s="43">
        <v>4</v>
      </c>
      <c r="K312" s="25" t="str">
        <f>VLOOKUP(J312,Key!$E$2:$F$9,2,FALSE)</f>
        <v>Commercial</v>
      </c>
      <c r="L312" s="42" t="s">
        <v>146</v>
      </c>
      <c r="M312" s="43" t="s">
        <v>154</v>
      </c>
      <c r="N312" s="42" t="s">
        <v>155</v>
      </c>
      <c r="O312" s="43">
        <v>10</v>
      </c>
      <c r="P312" s="43">
        <v>4</v>
      </c>
      <c r="Q312" s="25" t="str">
        <f>VLOOKUP(P312,Key!$E$2:$F$9,2,FALSE)</f>
        <v>Commercial</v>
      </c>
      <c r="R312" s="25" t="str">
        <f t="shared" si="5"/>
        <v>Commercial-Commercial</v>
      </c>
      <c r="S312" s="58">
        <v>2</v>
      </c>
      <c r="T312" s="58">
        <v>0.1</v>
      </c>
      <c r="U312" s="58">
        <v>3</v>
      </c>
      <c r="V312" s="42">
        <v>4</v>
      </c>
      <c r="W312" s="42">
        <v>7</v>
      </c>
      <c r="X312" s="42"/>
      <c r="Y312" s="59" t="s">
        <v>156</v>
      </c>
      <c r="Z312" s="60">
        <v>1000</v>
      </c>
      <c r="AA312" s="25">
        <f>VLOOKUP(F312,Zones!$A$2:$F$2186,6,FALSE)</f>
        <v>1393</v>
      </c>
      <c r="AB312" s="25">
        <f>VLOOKUP(L312,Zones!$A$2:$F$2186,6,FALSE)</f>
        <v>1393</v>
      </c>
    </row>
    <row r="313" spans="2:28">
      <c r="B313" s="40">
        <v>0.4145833333333333</v>
      </c>
      <c r="C313" s="40" t="s">
        <v>844</v>
      </c>
      <c r="D313" s="44">
        <v>2</v>
      </c>
      <c r="E313" s="45">
        <v>3</v>
      </c>
      <c r="F313" s="42" t="s">
        <v>394</v>
      </c>
      <c r="G313" s="43" t="s">
        <v>154</v>
      </c>
      <c r="H313" s="42" t="s">
        <v>155</v>
      </c>
      <c r="I313" s="43">
        <v>1</v>
      </c>
      <c r="J313" s="43">
        <v>1</v>
      </c>
      <c r="K313" s="25" t="str">
        <f>VLOOKUP(J313,Key!$E$2:$F$9,2,FALSE)</f>
        <v>Home</v>
      </c>
      <c r="L313" s="42" t="s">
        <v>487</v>
      </c>
      <c r="M313" s="43" t="s">
        <v>154</v>
      </c>
      <c r="N313" s="42" t="s">
        <v>155</v>
      </c>
      <c r="O313" s="43">
        <v>2</v>
      </c>
      <c r="P313" s="43">
        <v>2</v>
      </c>
      <c r="Q313" s="25" t="str">
        <f>VLOOKUP(P313,Key!$E$2:$F$9,2,FALSE)</f>
        <v>Work</v>
      </c>
      <c r="R313" s="25" t="str">
        <f t="shared" si="5"/>
        <v>Home-Work</v>
      </c>
      <c r="S313" s="58">
        <v>7</v>
      </c>
      <c r="T313" s="58">
        <v>0.5</v>
      </c>
      <c r="U313" s="58">
        <v>2</v>
      </c>
      <c r="V313" s="42"/>
      <c r="W313" s="42"/>
      <c r="X313" s="42"/>
      <c r="Y313" s="59" t="s">
        <v>156</v>
      </c>
      <c r="Z313" s="60">
        <v>0</v>
      </c>
      <c r="AA313" s="25">
        <f>VLOOKUP(F313,Zones!$A$2:$F$2186,6,FALSE)</f>
        <v>542</v>
      </c>
      <c r="AB313" s="25">
        <f>VLOOKUP(L313,Zones!$A$2:$F$2186,6,FALSE)</f>
        <v>1396</v>
      </c>
    </row>
    <row r="314" spans="2:28">
      <c r="B314" s="40">
        <v>0.40347222222222223</v>
      </c>
      <c r="C314" s="40" t="s">
        <v>531</v>
      </c>
      <c r="D314" s="44">
        <v>2</v>
      </c>
      <c r="E314" s="45">
        <v>4</v>
      </c>
      <c r="F314" s="42" t="s">
        <v>168</v>
      </c>
      <c r="G314" s="43" t="s">
        <v>154</v>
      </c>
      <c r="H314" s="42" t="s">
        <v>155</v>
      </c>
      <c r="I314" s="43">
        <v>1</v>
      </c>
      <c r="J314" s="43">
        <v>1</v>
      </c>
      <c r="K314" s="25" t="str">
        <f>VLOOKUP(J314,Key!$E$2:$F$9,2,FALSE)</f>
        <v>Home</v>
      </c>
      <c r="L314" s="42" t="s">
        <v>836</v>
      </c>
      <c r="M314" s="43" t="s">
        <v>836</v>
      </c>
      <c r="N314" s="42" t="s">
        <v>155</v>
      </c>
      <c r="O314" s="43">
        <v>3</v>
      </c>
      <c r="P314" s="43">
        <v>3</v>
      </c>
      <c r="Q314" s="25" t="str">
        <f>VLOOKUP(P314,Key!$E$2:$F$9,2,FALSE)</f>
        <v>Study</v>
      </c>
      <c r="R314" s="25" t="str">
        <f t="shared" si="5"/>
        <v>Home-Study</v>
      </c>
      <c r="S314" s="58">
        <v>10</v>
      </c>
      <c r="T314" s="58">
        <v>2</v>
      </c>
      <c r="U314" s="58">
        <v>6</v>
      </c>
      <c r="V314" s="42"/>
      <c r="W314" s="42"/>
      <c r="X314" s="42"/>
      <c r="Y314" s="59" t="s">
        <v>156</v>
      </c>
      <c r="Z314" s="60">
        <v>8000</v>
      </c>
      <c r="AA314" s="25">
        <f>VLOOKUP(F314,Zones!$A$2:$F$2186,6,FALSE)</f>
        <v>1393</v>
      </c>
      <c r="AB314" s="25">
        <f>VLOOKUP(L314,Zones!$A$2:$F$2186,6,FALSE)</f>
        <v>521</v>
      </c>
    </row>
    <row r="315" spans="2:28">
      <c r="B315" s="40">
        <v>0.40902777777777777</v>
      </c>
      <c r="C315" s="40" t="s">
        <v>532</v>
      </c>
      <c r="D315" s="44">
        <v>1</v>
      </c>
      <c r="E315" s="45">
        <v>1</v>
      </c>
      <c r="F315" s="42" t="s">
        <v>394</v>
      </c>
      <c r="G315" s="43" t="s">
        <v>154</v>
      </c>
      <c r="H315" s="42" t="s">
        <v>155</v>
      </c>
      <c r="I315" s="43">
        <v>16</v>
      </c>
      <c r="J315" s="43">
        <v>1</v>
      </c>
      <c r="K315" s="25" t="str">
        <f>VLOOKUP(J315,Key!$E$2:$F$9,2,FALSE)</f>
        <v>Home</v>
      </c>
      <c r="L315" s="42" t="s">
        <v>147</v>
      </c>
      <c r="M315" s="43" t="s">
        <v>154</v>
      </c>
      <c r="N315" s="42" t="s">
        <v>155</v>
      </c>
      <c r="O315" s="43">
        <v>1</v>
      </c>
      <c r="P315" s="43">
        <v>3</v>
      </c>
      <c r="Q315" s="25" t="str">
        <f>VLOOKUP(P315,Key!$E$2:$F$9,2,FALSE)</f>
        <v>Study</v>
      </c>
      <c r="R315" s="25" t="str">
        <f t="shared" si="5"/>
        <v>Home-Study</v>
      </c>
      <c r="S315" s="58">
        <v>6</v>
      </c>
      <c r="T315" s="58">
        <v>0.7</v>
      </c>
      <c r="U315" s="58">
        <v>3</v>
      </c>
      <c r="V315" s="42"/>
      <c r="W315" s="42"/>
      <c r="X315" s="42"/>
      <c r="Y315" s="59" t="s">
        <v>156</v>
      </c>
      <c r="Z315" s="60">
        <v>0</v>
      </c>
      <c r="AA315" s="25">
        <f>VLOOKUP(F315,Zones!$A$2:$F$2186,6,FALSE)</f>
        <v>542</v>
      </c>
      <c r="AB315" s="25">
        <f>VLOOKUP(L315,Zones!$A$2:$F$2186,6,FALSE)</f>
        <v>1402</v>
      </c>
    </row>
    <row r="316" spans="2:28">
      <c r="B316" s="40">
        <v>0.3972222222222222</v>
      </c>
      <c r="C316" s="40" t="s">
        <v>533</v>
      </c>
      <c r="D316" s="44">
        <v>1</v>
      </c>
      <c r="E316" s="42">
        <v>2</v>
      </c>
      <c r="F316" s="42" t="s">
        <v>404</v>
      </c>
      <c r="G316" s="43" t="s">
        <v>154</v>
      </c>
      <c r="H316" s="42" t="s">
        <v>155</v>
      </c>
      <c r="I316" s="43">
        <v>1</v>
      </c>
      <c r="J316" s="43">
        <v>1</v>
      </c>
      <c r="K316" s="25" t="str">
        <f>VLOOKUP(J316,Key!$E$2:$F$9,2,FALSE)</f>
        <v>Home</v>
      </c>
      <c r="L316" s="42" t="s">
        <v>836</v>
      </c>
      <c r="M316" s="43" t="s">
        <v>836</v>
      </c>
      <c r="N316" s="42" t="s">
        <v>155</v>
      </c>
      <c r="O316" s="43">
        <v>2</v>
      </c>
      <c r="P316" s="43">
        <v>2</v>
      </c>
      <c r="Q316" s="25" t="str">
        <f>VLOOKUP(P316,Key!$E$2:$F$9,2,FALSE)</f>
        <v>Work</v>
      </c>
      <c r="R316" s="25" t="str">
        <f t="shared" si="5"/>
        <v>Home-Work</v>
      </c>
      <c r="S316" s="58">
        <v>16</v>
      </c>
      <c r="T316" s="58">
        <v>1</v>
      </c>
      <c r="U316" s="58">
        <v>2</v>
      </c>
      <c r="V316" s="42"/>
      <c r="W316" s="42"/>
      <c r="X316" s="42"/>
      <c r="Y316" s="59" t="s">
        <v>156</v>
      </c>
      <c r="Z316" s="60">
        <v>5000</v>
      </c>
      <c r="AA316" s="25">
        <f>VLOOKUP(F316,Zones!$A$2:$F$2186,6,FALSE)</f>
        <v>1393</v>
      </c>
      <c r="AB316" s="25">
        <f>VLOOKUP(L316,Zones!$A$2:$F$2186,6,FALSE)</f>
        <v>521</v>
      </c>
    </row>
    <row r="317" spans="2:28">
      <c r="B317" s="40">
        <v>0.39861111111111108</v>
      </c>
      <c r="C317" s="40" t="s">
        <v>534</v>
      </c>
      <c r="D317" s="44">
        <v>4</v>
      </c>
      <c r="E317" s="45">
        <v>14</v>
      </c>
      <c r="F317" s="42" t="s">
        <v>147</v>
      </c>
      <c r="G317" s="43" t="s">
        <v>154</v>
      </c>
      <c r="H317" s="42" t="s">
        <v>155</v>
      </c>
      <c r="I317" s="43">
        <v>6</v>
      </c>
      <c r="J317" s="43">
        <v>4</v>
      </c>
      <c r="K317" s="25" t="str">
        <f>VLOOKUP(J317,Key!$E$2:$F$9,2,FALSE)</f>
        <v>Commercial</v>
      </c>
      <c r="L317" s="42" t="s">
        <v>146</v>
      </c>
      <c r="M317" s="43" t="s">
        <v>154</v>
      </c>
      <c r="N317" s="42" t="s">
        <v>155</v>
      </c>
      <c r="O317" s="43">
        <v>6</v>
      </c>
      <c r="P317" s="43">
        <v>4</v>
      </c>
      <c r="Q317" s="25" t="str">
        <f>VLOOKUP(P317,Key!$E$2:$F$9,2,FALSE)</f>
        <v>Commercial</v>
      </c>
      <c r="R317" s="25" t="str">
        <f t="shared" si="5"/>
        <v>Commercial-Commercial</v>
      </c>
      <c r="S317" s="58">
        <v>9</v>
      </c>
      <c r="T317" s="58">
        <v>0.4</v>
      </c>
      <c r="U317" s="58">
        <v>2</v>
      </c>
      <c r="V317" s="42"/>
      <c r="W317" s="42"/>
      <c r="X317" s="42"/>
      <c r="Y317" s="59" t="s">
        <v>156</v>
      </c>
      <c r="Z317" s="60">
        <v>0</v>
      </c>
      <c r="AA317" s="25">
        <f>VLOOKUP(F317,Zones!$A$2:$F$2186,6,FALSE)</f>
        <v>1402</v>
      </c>
      <c r="AB317" s="25">
        <f>VLOOKUP(L317,Zones!$A$2:$F$2186,6,FALSE)</f>
        <v>1393</v>
      </c>
    </row>
    <row r="318" spans="2:28">
      <c r="B318" s="40">
        <v>0.39374999999999999</v>
      </c>
      <c r="C318" s="40" t="s">
        <v>535</v>
      </c>
      <c r="D318" s="44">
        <v>1</v>
      </c>
      <c r="E318" s="45">
        <v>1</v>
      </c>
      <c r="F318" s="42" t="s">
        <v>404</v>
      </c>
      <c r="G318" s="43" t="s">
        <v>154</v>
      </c>
      <c r="H318" s="42" t="s">
        <v>155</v>
      </c>
      <c r="I318" s="43">
        <v>1</v>
      </c>
      <c r="J318" s="43">
        <v>1</v>
      </c>
      <c r="K318" s="25" t="str">
        <f>VLOOKUP(J318,Key!$E$2:$F$9,2,FALSE)</f>
        <v>Home</v>
      </c>
      <c r="L318" s="42" t="s">
        <v>836</v>
      </c>
      <c r="M318" s="43" t="s">
        <v>836</v>
      </c>
      <c r="N318" s="42" t="s">
        <v>155</v>
      </c>
      <c r="O318" s="43">
        <v>2</v>
      </c>
      <c r="P318" s="43">
        <v>2</v>
      </c>
      <c r="Q318" s="25" t="str">
        <f>VLOOKUP(P318,Key!$E$2:$F$9,2,FALSE)</f>
        <v>Work</v>
      </c>
      <c r="R318" s="25" t="str">
        <f t="shared" si="5"/>
        <v>Home-Work</v>
      </c>
      <c r="S318" s="58">
        <v>10</v>
      </c>
      <c r="T318" s="58">
        <v>1</v>
      </c>
      <c r="U318" s="58">
        <v>2</v>
      </c>
      <c r="V318" s="42"/>
      <c r="W318" s="42"/>
      <c r="X318" s="42"/>
      <c r="Y318" s="59" t="s">
        <v>156</v>
      </c>
      <c r="Z318" s="60">
        <v>2000</v>
      </c>
      <c r="AA318" s="25">
        <f>VLOOKUP(F318,Zones!$A$2:$F$2186,6,FALSE)</f>
        <v>1393</v>
      </c>
      <c r="AB318" s="25">
        <f>VLOOKUP(L318,Zones!$A$2:$F$2186,6,FALSE)</f>
        <v>521</v>
      </c>
    </row>
    <row r="319" spans="2:28">
      <c r="B319" s="40">
        <v>0.39027777777777778</v>
      </c>
      <c r="C319" s="40" t="s">
        <v>536</v>
      </c>
      <c r="D319" s="44">
        <v>7</v>
      </c>
      <c r="E319" s="45">
        <v>3</v>
      </c>
      <c r="F319" s="42" t="s">
        <v>168</v>
      </c>
      <c r="G319" s="43" t="s">
        <v>154</v>
      </c>
      <c r="H319" s="42" t="s">
        <v>155</v>
      </c>
      <c r="I319" s="43">
        <v>10</v>
      </c>
      <c r="J319" s="43">
        <v>2</v>
      </c>
      <c r="K319" s="25" t="str">
        <f>VLOOKUP(J319,Key!$E$2:$F$9,2,FALSE)</f>
        <v>Work</v>
      </c>
      <c r="L319" s="42" t="s">
        <v>146</v>
      </c>
      <c r="M319" s="43" t="s">
        <v>154</v>
      </c>
      <c r="N319" s="42" t="s">
        <v>155</v>
      </c>
      <c r="O319" s="43">
        <v>10</v>
      </c>
      <c r="P319" s="43">
        <v>2</v>
      </c>
      <c r="Q319" s="25" t="str">
        <f>VLOOKUP(P319,Key!$E$2:$F$9,2,FALSE)</f>
        <v>Work</v>
      </c>
      <c r="R319" s="25" t="str">
        <f t="shared" si="5"/>
        <v>Work-Work</v>
      </c>
      <c r="S319" s="58">
        <v>15</v>
      </c>
      <c r="T319" s="58">
        <v>1</v>
      </c>
      <c r="U319" s="58">
        <v>2</v>
      </c>
      <c r="V319" s="42">
        <v>4</v>
      </c>
      <c r="W319" s="42">
        <v>6</v>
      </c>
      <c r="X319" s="42"/>
      <c r="Y319" s="59" t="s">
        <v>156</v>
      </c>
      <c r="Z319" s="60">
        <v>0</v>
      </c>
      <c r="AA319" s="25">
        <f>VLOOKUP(F319,Zones!$A$2:$F$2186,6,FALSE)</f>
        <v>1393</v>
      </c>
      <c r="AB319" s="25">
        <f>VLOOKUP(L319,Zones!$A$2:$F$2186,6,FALSE)</f>
        <v>1393</v>
      </c>
    </row>
    <row r="320" spans="2:28">
      <c r="B320" s="40">
        <v>0.3833333333333333</v>
      </c>
      <c r="C320" s="40" t="s">
        <v>537</v>
      </c>
      <c r="D320" s="44">
        <v>1</v>
      </c>
      <c r="E320" s="45">
        <v>3</v>
      </c>
      <c r="F320" s="42" t="s">
        <v>168</v>
      </c>
      <c r="G320" s="43" t="s">
        <v>154</v>
      </c>
      <c r="H320" s="42" t="s">
        <v>155</v>
      </c>
      <c r="I320" s="43">
        <v>1</v>
      </c>
      <c r="J320" s="43">
        <v>1</v>
      </c>
      <c r="K320" s="25" t="str">
        <f>VLOOKUP(J320,Key!$E$2:$F$9,2,FALSE)</f>
        <v>Home</v>
      </c>
      <c r="L320" s="42" t="s">
        <v>836</v>
      </c>
      <c r="M320" s="43" t="s">
        <v>836</v>
      </c>
      <c r="N320" s="42" t="s">
        <v>155</v>
      </c>
      <c r="O320" s="43">
        <v>2</v>
      </c>
      <c r="P320" s="43">
        <v>2</v>
      </c>
      <c r="Q320" s="25" t="str">
        <f>VLOOKUP(P320,Key!$E$2:$F$9,2,FALSE)</f>
        <v>Work</v>
      </c>
      <c r="R320" s="25" t="str">
        <f t="shared" si="5"/>
        <v>Home-Work</v>
      </c>
      <c r="S320" s="58">
        <v>11</v>
      </c>
      <c r="T320" s="58">
        <v>2</v>
      </c>
      <c r="U320" s="58">
        <v>2</v>
      </c>
      <c r="V320" s="42"/>
      <c r="W320" s="42"/>
      <c r="X320" s="42"/>
      <c r="Y320" s="59" t="s">
        <v>156</v>
      </c>
      <c r="Z320" s="60">
        <v>3000</v>
      </c>
      <c r="AA320" s="25">
        <f>VLOOKUP(F320,Zones!$A$2:$F$2186,6,FALSE)</f>
        <v>1393</v>
      </c>
      <c r="AB320" s="25">
        <f>VLOOKUP(L320,Zones!$A$2:$F$2186,6,FALSE)</f>
        <v>521</v>
      </c>
    </row>
    <row r="321" spans="2:28">
      <c r="B321" s="40">
        <v>0.38472222222222219</v>
      </c>
      <c r="C321" s="40" t="s">
        <v>538</v>
      </c>
      <c r="D321" s="44">
        <v>1</v>
      </c>
      <c r="E321" s="45">
        <v>1</v>
      </c>
      <c r="F321" s="42" t="s">
        <v>245</v>
      </c>
      <c r="G321" s="43" t="s">
        <v>154</v>
      </c>
      <c r="H321" s="42" t="s">
        <v>155</v>
      </c>
      <c r="I321" s="43">
        <v>1</v>
      </c>
      <c r="J321" s="43">
        <v>1</v>
      </c>
      <c r="K321" s="25" t="str">
        <f>VLOOKUP(J321,Key!$E$2:$F$9,2,FALSE)</f>
        <v>Home</v>
      </c>
      <c r="L321" s="42" t="s">
        <v>836</v>
      </c>
      <c r="M321" s="43" t="s">
        <v>836</v>
      </c>
      <c r="N321" s="42" t="s">
        <v>155</v>
      </c>
      <c r="O321" s="43">
        <v>2</v>
      </c>
      <c r="P321" s="43">
        <v>2</v>
      </c>
      <c r="Q321" s="25" t="str">
        <f>VLOOKUP(P321,Key!$E$2:$F$9,2,FALSE)</f>
        <v>Work</v>
      </c>
      <c r="R321" s="25" t="str">
        <f t="shared" si="5"/>
        <v>Home-Work</v>
      </c>
      <c r="S321" s="58">
        <v>25</v>
      </c>
      <c r="T321" s="58">
        <v>0.6</v>
      </c>
      <c r="U321" s="58">
        <v>2</v>
      </c>
      <c r="V321" s="42"/>
      <c r="W321" s="42"/>
      <c r="X321" s="42"/>
      <c r="Y321" s="59" t="s">
        <v>156</v>
      </c>
      <c r="Z321" s="60">
        <v>2000</v>
      </c>
      <c r="AA321" s="25">
        <f>VLOOKUP(F321,Zones!$A$2:$F$2186,6,FALSE)</f>
        <v>1402</v>
      </c>
      <c r="AB321" s="25">
        <f>VLOOKUP(L321,Zones!$A$2:$F$2186,6,FALSE)</f>
        <v>521</v>
      </c>
    </row>
    <row r="322" spans="2:28">
      <c r="B322" s="40">
        <v>0.37916666666666665</v>
      </c>
      <c r="C322" s="40" t="s">
        <v>539</v>
      </c>
      <c r="D322" s="44">
        <v>7</v>
      </c>
      <c r="E322" s="45">
        <v>3</v>
      </c>
      <c r="F322" s="42" t="s">
        <v>517</v>
      </c>
      <c r="G322" s="43" t="s">
        <v>154</v>
      </c>
      <c r="H322" s="42" t="s">
        <v>155</v>
      </c>
      <c r="I322" s="43">
        <v>10</v>
      </c>
      <c r="J322" s="43">
        <v>2</v>
      </c>
      <c r="K322" s="25" t="str">
        <f>VLOOKUP(J322,Key!$E$2:$F$9,2,FALSE)</f>
        <v>Work</v>
      </c>
      <c r="L322" s="42" t="s">
        <v>382</v>
      </c>
      <c r="M322" s="43" t="s">
        <v>836</v>
      </c>
      <c r="N322" s="42" t="s">
        <v>155</v>
      </c>
      <c r="O322" s="43">
        <v>10</v>
      </c>
      <c r="P322" s="43">
        <v>2</v>
      </c>
      <c r="Q322" s="25" t="str">
        <f>VLOOKUP(P322,Key!$E$2:$F$9,2,FALSE)</f>
        <v>Work</v>
      </c>
      <c r="R322" s="25" t="str">
        <f t="shared" si="5"/>
        <v>Work-Work</v>
      </c>
      <c r="S322" s="58">
        <v>5</v>
      </c>
      <c r="T322" s="58">
        <v>1.3</v>
      </c>
      <c r="U322" s="58">
        <v>3</v>
      </c>
      <c r="V322" s="42">
        <v>4</v>
      </c>
      <c r="W322" s="42">
        <v>4</v>
      </c>
      <c r="X322" s="42"/>
      <c r="Y322" s="59" t="s">
        <v>156</v>
      </c>
      <c r="Z322" s="60">
        <v>5000</v>
      </c>
      <c r="AA322" s="25">
        <f>VLOOKUP(F322,Zones!$A$2:$F$2186,6,FALSE)</f>
        <v>1393</v>
      </c>
      <c r="AB322" s="25">
        <f>VLOOKUP(L322,Zones!$A$2:$F$2186,6,FALSE)</f>
        <v>559</v>
      </c>
    </row>
    <row r="323" spans="2:28">
      <c r="B323" s="40">
        <v>0.38055555555555554</v>
      </c>
      <c r="C323" s="40" t="s">
        <v>540</v>
      </c>
      <c r="D323" s="44">
        <v>1</v>
      </c>
      <c r="E323" s="42">
        <v>4</v>
      </c>
      <c r="F323" s="42" t="s">
        <v>517</v>
      </c>
      <c r="G323" s="43" t="s">
        <v>154</v>
      </c>
      <c r="H323" s="42" t="s">
        <v>155</v>
      </c>
      <c r="I323" s="43">
        <v>1</v>
      </c>
      <c r="J323" s="43">
        <v>1</v>
      </c>
      <c r="K323" s="25" t="str">
        <f>VLOOKUP(J323,Key!$E$2:$F$9,2,FALSE)</f>
        <v>Home</v>
      </c>
      <c r="L323" s="42" t="s">
        <v>184</v>
      </c>
      <c r="M323" s="43" t="s">
        <v>154</v>
      </c>
      <c r="N323" s="42" t="s">
        <v>155</v>
      </c>
      <c r="O323" s="43">
        <v>4</v>
      </c>
      <c r="P323" s="43">
        <v>2</v>
      </c>
      <c r="Q323" s="25" t="str">
        <f>VLOOKUP(P323,Key!$E$2:$F$9,2,FALSE)</f>
        <v>Work</v>
      </c>
      <c r="R323" s="25" t="str">
        <f t="shared" si="5"/>
        <v>Home-Work</v>
      </c>
      <c r="S323" s="58"/>
      <c r="T323" s="58">
        <v>1</v>
      </c>
      <c r="U323" s="58">
        <v>2</v>
      </c>
      <c r="V323" s="42"/>
      <c r="W323" s="42"/>
      <c r="X323" s="42"/>
      <c r="Y323" s="59" t="s">
        <v>156</v>
      </c>
      <c r="Z323" s="60">
        <v>1000</v>
      </c>
      <c r="AA323" s="25">
        <f>VLOOKUP(F323,Zones!$A$2:$F$2186,6,FALSE)</f>
        <v>1393</v>
      </c>
      <c r="AB323" s="25">
        <f>VLOOKUP(L323,Zones!$A$2:$F$2186,6,FALSE)</f>
        <v>811</v>
      </c>
    </row>
    <row r="324" spans="2:28">
      <c r="B324" s="49">
        <v>0.36736111111111108</v>
      </c>
      <c r="C324" s="49" t="s">
        <v>541</v>
      </c>
      <c r="D324" s="44">
        <v>3</v>
      </c>
      <c r="E324" s="45">
        <v>3</v>
      </c>
      <c r="F324" s="42" t="s">
        <v>394</v>
      </c>
      <c r="G324" s="43" t="s">
        <v>154</v>
      </c>
      <c r="H324" s="42" t="s">
        <v>155</v>
      </c>
      <c r="I324" s="43">
        <v>1</v>
      </c>
      <c r="J324" s="43">
        <v>1</v>
      </c>
      <c r="K324" s="25" t="str">
        <f>VLOOKUP(J324,Key!$E$2:$F$9,2,FALSE)</f>
        <v>Home</v>
      </c>
      <c r="L324" s="42" t="s">
        <v>163</v>
      </c>
      <c r="M324" s="43" t="s">
        <v>163</v>
      </c>
      <c r="N324" s="42" t="s">
        <v>155</v>
      </c>
      <c r="O324" s="43">
        <v>2</v>
      </c>
      <c r="P324" s="43">
        <v>2</v>
      </c>
      <c r="Q324" s="25" t="str">
        <f>VLOOKUP(P324,Key!$E$2:$F$9,2,FALSE)</f>
        <v>Work</v>
      </c>
      <c r="R324" s="25" t="str">
        <f t="shared" si="5"/>
        <v>Home-Work</v>
      </c>
      <c r="S324" s="58">
        <v>25</v>
      </c>
      <c r="T324" s="58">
        <v>1</v>
      </c>
      <c r="U324" s="58">
        <v>2</v>
      </c>
      <c r="V324" s="42"/>
      <c r="W324" s="42"/>
      <c r="X324" s="42"/>
      <c r="Y324" s="59" t="s">
        <v>156</v>
      </c>
      <c r="Z324" s="60">
        <v>5000</v>
      </c>
      <c r="AA324" s="25">
        <f>VLOOKUP(F324,Zones!$A$2:$F$2186,6,FALSE)</f>
        <v>542</v>
      </c>
      <c r="AB324" s="25">
        <f>VLOOKUP(L324,Zones!$A$2:$F$2186,6,FALSE)</f>
        <v>1064</v>
      </c>
    </row>
    <row r="325" spans="2:28">
      <c r="B325" s="49">
        <v>0.37152777777777773</v>
      </c>
      <c r="C325" s="49" t="s">
        <v>343</v>
      </c>
      <c r="D325" s="44">
        <v>1</v>
      </c>
      <c r="E325" s="45">
        <v>2</v>
      </c>
      <c r="F325" s="42" t="s">
        <v>168</v>
      </c>
      <c r="G325" s="43" t="s">
        <v>154</v>
      </c>
      <c r="H325" s="42" t="s">
        <v>155</v>
      </c>
      <c r="I325" s="43">
        <v>2</v>
      </c>
      <c r="J325" s="43">
        <v>2</v>
      </c>
      <c r="K325" s="25" t="str">
        <f>VLOOKUP(J325,Key!$E$2:$F$9,2,FALSE)</f>
        <v>Work</v>
      </c>
      <c r="L325" s="42" t="s">
        <v>184</v>
      </c>
      <c r="M325" s="43" t="s">
        <v>154</v>
      </c>
      <c r="N325" s="42" t="s">
        <v>155</v>
      </c>
      <c r="O325" s="43">
        <v>1</v>
      </c>
      <c r="P325" s="43">
        <v>1</v>
      </c>
      <c r="Q325" s="25" t="str">
        <f>VLOOKUP(P325,Key!$E$2:$F$9,2,FALSE)</f>
        <v>Home</v>
      </c>
      <c r="R325" s="25" t="str">
        <f t="shared" si="5"/>
        <v>Work-Home</v>
      </c>
      <c r="S325" s="58">
        <v>10</v>
      </c>
      <c r="T325" s="58">
        <v>1</v>
      </c>
      <c r="U325" s="58">
        <v>2</v>
      </c>
      <c r="V325" s="42"/>
      <c r="W325" s="42"/>
      <c r="X325" s="42"/>
      <c r="Y325" s="59" t="s">
        <v>156</v>
      </c>
      <c r="Z325" s="60">
        <v>1000</v>
      </c>
      <c r="AA325" s="25">
        <f>VLOOKUP(F325,Zones!$A$2:$F$2186,6,FALSE)</f>
        <v>1393</v>
      </c>
      <c r="AB325" s="25">
        <f>VLOOKUP(L325,Zones!$A$2:$F$2186,6,FALSE)</f>
        <v>811</v>
      </c>
    </row>
    <row r="326" spans="2:28">
      <c r="B326" s="49">
        <v>0.35555555555555557</v>
      </c>
      <c r="C326" s="49" t="s">
        <v>542</v>
      </c>
      <c r="D326" s="44">
        <v>1</v>
      </c>
      <c r="E326" s="47">
        <v>3</v>
      </c>
      <c r="F326" s="42" t="s">
        <v>404</v>
      </c>
      <c r="G326" s="43" t="s">
        <v>154</v>
      </c>
      <c r="H326" s="42" t="s">
        <v>155</v>
      </c>
      <c r="I326" s="43">
        <v>1</v>
      </c>
      <c r="J326" s="43">
        <v>1</v>
      </c>
      <c r="K326" s="25" t="str">
        <f>VLOOKUP(J326,Key!$E$2:$F$9,2,FALSE)</f>
        <v>Home</v>
      </c>
      <c r="L326" s="42" t="s">
        <v>836</v>
      </c>
      <c r="M326" s="43" t="s">
        <v>836</v>
      </c>
      <c r="N326" s="42" t="s">
        <v>155</v>
      </c>
      <c r="O326" s="43">
        <v>2</v>
      </c>
      <c r="P326" s="43">
        <v>2</v>
      </c>
      <c r="Q326" s="25" t="str">
        <f>VLOOKUP(P326,Key!$E$2:$F$9,2,FALSE)</f>
        <v>Work</v>
      </c>
      <c r="R326" s="25" t="str">
        <f t="shared" si="5"/>
        <v>Home-Work</v>
      </c>
      <c r="S326" s="58">
        <v>3</v>
      </c>
      <c r="T326" s="58">
        <v>1</v>
      </c>
      <c r="U326" s="58">
        <v>2</v>
      </c>
      <c r="V326" s="42"/>
      <c r="W326" s="42"/>
      <c r="X326" s="42"/>
      <c r="Y326" s="59" t="s">
        <v>156</v>
      </c>
      <c r="Z326" s="60">
        <v>2000</v>
      </c>
      <c r="AA326" s="25">
        <f>VLOOKUP(F326,Zones!$A$2:$F$2186,6,FALSE)</f>
        <v>1393</v>
      </c>
      <c r="AB326" s="25">
        <f>VLOOKUP(L326,Zones!$A$2:$F$2186,6,FALSE)</f>
        <v>521</v>
      </c>
    </row>
    <row r="327" spans="2:28">
      <c r="B327" s="49">
        <v>0.36458333333333331</v>
      </c>
      <c r="C327" s="49" t="s">
        <v>543</v>
      </c>
      <c r="D327" s="44">
        <v>1</v>
      </c>
      <c r="E327" s="46">
        <v>2</v>
      </c>
      <c r="F327" s="42" t="s">
        <v>168</v>
      </c>
      <c r="G327" s="43" t="s">
        <v>154</v>
      </c>
      <c r="H327" s="42" t="s">
        <v>155</v>
      </c>
      <c r="I327" s="43">
        <v>1</v>
      </c>
      <c r="J327" s="43">
        <v>1</v>
      </c>
      <c r="K327" s="25" t="str">
        <f>VLOOKUP(J327,Key!$E$2:$F$9,2,FALSE)</f>
        <v>Home</v>
      </c>
      <c r="L327" s="42" t="s">
        <v>836</v>
      </c>
      <c r="M327" s="43" t="s">
        <v>836</v>
      </c>
      <c r="N327" s="42" t="s">
        <v>155</v>
      </c>
      <c r="O327" s="43">
        <v>2</v>
      </c>
      <c r="P327" s="43">
        <v>2</v>
      </c>
      <c r="Q327" s="25" t="str">
        <f>VLOOKUP(P327,Key!$E$2:$F$9,2,FALSE)</f>
        <v>Work</v>
      </c>
      <c r="R327" s="25" t="str">
        <f t="shared" si="5"/>
        <v>Home-Work</v>
      </c>
      <c r="S327" s="58">
        <v>10</v>
      </c>
      <c r="T327" s="58">
        <v>1</v>
      </c>
      <c r="U327" s="58">
        <v>2</v>
      </c>
      <c r="V327" s="42"/>
      <c r="W327" s="42"/>
      <c r="X327" s="42"/>
      <c r="Y327" s="59" t="s">
        <v>156</v>
      </c>
      <c r="Z327" s="60">
        <v>1000</v>
      </c>
      <c r="AA327" s="25">
        <f>VLOOKUP(F327,Zones!$A$2:$F$2186,6,FALSE)</f>
        <v>1393</v>
      </c>
      <c r="AB327" s="25">
        <f>VLOOKUP(L327,Zones!$A$2:$F$2186,6,FALSE)</f>
        <v>521</v>
      </c>
    </row>
    <row r="328" spans="2:28">
      <c r="B328" s="49">
        <v>0.36041666666666666</v>
      </c>
      <c r="C328" s="50" t="s">
        <v>544</v>
      </c>
      <c r="D328" s="51">
        <v>1</v>
      </c>
      <c r="E328" s="47">
        <v>4</v>
      </c>
      <c r="F328" s="42" t="s">
        <v>168</v>
      </c>
      <c r="G328" s="43" t="s">
        <v>154</v>
      </c>
      <c r="H328" s="42" t="s">
        <v>155</v>
      </c>
      <c r="I328" s="43">
        <v>1</v>
      </c>
      <c r="J328" s="43">
        <v>1</v>
      </c>
      <c r="K328" s="25" t="str">
        <f>VLOOKUP(J328,Key!$E$2:$F$9,2,FALSE)</f>
        <v>Home</v>
      </c>
      <c r="L328" s="42" t="s">
        <v>197</v>
      </c>
      <c r="M328" s="43" t="s">
        <v>836</v>
      </c>
      <c r="N328" s="42" t="s">
        <v>155</v>
      </c>
      <c r="O328" s="43">
        <v>2</v>
      </c>
      <c r="P328" s="43">
        <v>2</v>
      </c>
      <c r="Q328" s="25" t="str">
        <f>VLOOKUP(P328,Key!$E$2:$F$9,2,FALSE)</f>
        <v>Work</v>
      </c>
      <c r="R328" s="25" t="str">
        <f t="shared" si="5"/>
        <v>Home-Work</v>
      </c>
      <c r="S328" s="58">
        <v>16</v>
      </c>
      <c r="T328" s="58">
        <v>2</v>
      </c>
      <c r="U328" s="58">
        <v>2</v>
      </c>
      <c r="V328" s="52"/>
      <c r="W328" s="52"/>
      <c r="X328" s="52"/>
      <c r="Y328" s="59" t="s">
        <v>156</v>
      </c>
      <c r="Z328" s="60">
        <v>10000</v>
      </c>
      <c r="AA328" s="25">
        <f>VLOOKUP(F328,Zones!$A$2:$F$2186,6,FALSE)</f>
        <v>1393</v>
      </c>
      <c r="AB328" s="25">
        <f>VLOOKUP(L328,Zones!$A$2:$F$2186,6,FALSE)</f>
        <v>513</v>
      </c>
    </row>
    <row r="329" spans="2:28">
      <c r="B329" s="49">
        <v>0.3666666666666667</v>
      </c>
      <c r="C329" s="50" t="s">
        <v>545</v>
      </c>
      <c r="D329" s="51">
        <v>1</v>
      </c>
      <c r="E329" s="47">
        <v>1</v>
      </c>
      <c r="F329" s="42" t="s">
        <v>404</v>
      </c>
      <c r="G329" s="43" t="s">
        <v>154</v>
      </c>
      <c r="H329" s="42" t="s">
        <v>155</v>
      </c>
      <c r="I329" s="43">
        <v>1</v>
      </c>
      <c r="J329" s="43">
        <v>1</v>
      </c>
      <c r="K329" s="25" t="str">
        <f>VLOOKUP(J329,Key!$E$2:$F$9,2,FALSE)</f>
        <v>Home</v>
      </c>
      <c r="L329" s="42" t="s">
        <v>845</v>
      </c>
      <c r="M329" s="43" t="s">
        <v>836</v>
      </c>
      <c r="N329" s="42" t="s">
        <v>155</v>
      </c>
      <c r="O329" s="43">
        <v>2</v>
      </c>
      <c r="P329" s="43">
        <v>2</v>
      </c>
      <c r="Q329" s="25" t="str">
        <f>VLOOKUP(P329,Key!$E$2:$F$9,2,FALSE)</f>
        <v>Work</v>
      </c>
      <c r="R329" s="25" t="str">
        <f t="shared" ref="R329:R343" si="6">K329&amp;"-"&amp;Q329</f>
        <v>Home-Work</v>
      </c>
      <c r="S329" s="58">
        <v>8</v>
      </c>
      <c r="T329" s="58">
        <v>1</v>
      </c>
      <c r="U329" s="58">
        <v>2</v>
      </c>
      <c r="V329" s="52"/>
      <c r="W329" s="52"/>
      <c r="X329" s="52"/>
      <c r="Y329" s="59" t="s">
        <v>156</v>
      </c>
      <c r="Z329" s="60">
        <v>2000</v>
      </c>
      <c r="AA329" s="25">
        <f>VLOOKUP(F329,Zones!$A$2:$F$2186,6,FALSE)</f>
        <v>1393</v>
      </c>
      <c r="AB329" s="25">
        <f>VLOOKUP(L329,Zones!$A$2:$F$2186,6,FALSE)</f>
        <v>544</v>
      </c>
    </row>
    <row r="330" spans="2:28">
      <c r="B330" s="49">
        <v>0.3527777777777778</v>
      </c>
      <c r="C330" s="50" t="s">
        <v>546</v>
      </c>
      <c r="D330" s="51">
        <v>2</v>
      </c>
      <c r="E330" s="47">
        <v>2</v>
      </c>
      <c r="F330" s="42" t="s">
        <v>391</v>
      </c>
      <c r="G330" s="43" t="s">
        <v>154</v>
      </c>
      <c r="H330" s="42" t="s">
        <v>155</v>
      </c>
      <c r="I330" s="43">
        <v>1</v>
      </c>
      <c r="J330" s="43">
        <v>1</v>
      </c>
      <c r="K330" s="25" t="str">
        <f>VLOOKUP(J330,Key!$E$2:$F$9,2,FALSE)</f>
        <v>Home</v>
      </c>
      <c r="L330" s="42" t="s">
        <v>836</v>
      </c>
      <c r="M330" s="43" t="s">
        <v>836</v>
      </c>
      <c r="N330" s="42" t="s">
        <v>155</v>
      </c>
      <c r="O330" s="43">
        <v>2</v>
      </c>
      <c r="P330" s="43">
        <v>2</v>
      </c>
      <c r="Q330" s="25" t="str">
        <f>VLOOKUP(P330,Key!$E$2:$F$9,2,FALSE)</f>
        <v>Work</v>
      </c>
      <c r="R330" s="25" t="str">
        <f t="shared" si="6"/>
        <v>Home-Work</v>
      </c>
      <c r="S330" s="58">
        <v>1</v>
      </c>
      <c r="T330" s="58">
        <v>0.1</v>
      </c>
      <c r="U330" s="58">
        <v>2</v>
      </c>
      <c r="V330" s="52"/>
      <c r="W330" s="52"/>
      <c r="X330" s="52"/>
      <c r="Y330" s="59" t="s">
        <v>156</v>
      </c>
      <c r="Z330" s="60">
        <v>1000</v>
      </c>
      <c r="AA330" s="25">
        <f>VLOOKUP(F330,Zones!$A$2:$F$2186,6,FALSE)</f>
        <v>1408</v>
      </c>
      <c r="AB330" s="25">
        <f>VLOOKUP(L330,Zones!$A$2:$F$2186,6,FALSE)</f>
        <v>521</v>
      </c>
    </row>
    <row r="331" spans="2:28" ht="15">
      <c r="B331" s="49">
        <v>0.35000000000000003</v>
      </c>
      <c r="C331" s="49" t="s">
        <v>547</v>
      </c>
      <c r="D331" s="44">
        <v>1</v>
      </c>
      <c r="E331" s="47">
        <v>3</v>
      </c>
      <c r="F331" s="42" t="s">
        <v>245</v>
      </c>
      <c r="G331" s="43" t="s">
        <v>154</v>
      </c>
      <c r="H331" s="42" t="s">
        <v>155</v>
      </c>
      <c r="I331" s="43">
        <v>1</v>
      </c>
      <c r="J331" s="43">
        <v>1</v>
      </c>
      <c r="K331" s="25" t="str">
        <f>VLOOKUP(J331,Key!$E$2:$F$9,2,FALSE)</f>
        <v>Home</v>
      </c>
      <c r="L331" s="100" t="s">
        <v>376</v>
      </c>
      <c r="M331" s="43" t="s">
        <v>154</v>
      </c>
      <c r="N331" s="42" t="s">
        <v>155</v>
      </c>
      <c r="O331" s="43">
        <v>2</v>
      </c>
      <c r="P331" s="43">
        <v>2</v>
      </c>
      <c r="Q331" s="25" t="str">
        <f>VLOOKUP(P331,Key!$E$2:$F$9,2,FALSE)</f>
        <v>Work</v>
      </c>
      <c r="R331" s="25" t="str">
        <f t="shared" si="6"/>
        <v>Home-Work</v>
      </c>
      <c r="S331" s="58">
        <v>5</v>
      </c>
      <c r="T331" s="58">
        <v>0.2</v>
      </c>
      <c r="U331" s="58">
        <v>2</v>
      </c>
      <c r="V331" s="42"/>
      <c r="W331" s="42"/>
      <c r="X331" s="42"/>
      <c r="Y331" s="59" t="s">
        <v>156</v>
      </c>
      <c r="Z331" s="60">
        <v>2000</v>
      </c>
      <c r="AA331" s="25">
        <f>VLOOKUP(F331,Zones!$A$2:$F$2186,6,FALSE)</f>
        <v>1402</v>
      </c>
      <c r="AB331" s="25">
        <f>VLOOKUP(L331,Zones!$A$2:$F$2186,6,FALSE)</f>
        <v>1393</v>
      </c>
    </row>
    <row r="332" spans="2:28">
      <c r="B332" s="49">
        <v>0.34097222222222223</v>
      </c>
      <c r="C332" s="49" t="s">
        <v>548</v>
      </c>
      <c r="D332" s="44">
        <v>1</v>
      </c>
      <c r="E332" s="47">
        <v>2</v>
      </c>
      <c r="F332" s="42" t="s">
        <v>404</v>
      </c>
      <c r="G332" s="43" t="s">
        <v>154</v>
      </c>
      <c r="H332" s="42" t="s">
        <v>155</v>
      </c>
      <c r="I332" s="43">
        <v>1</v>
      </c>
      <c r="J332" s="43">
        <v>1</v>
      </c>
      <c r="K332" s="25" t="str">
        <f>VLOOKUP(J332,Key!$E$2:$F$9,2,FALSE)</f>
        <v>Home</v>
      </c>
      <c r="L332" s="42" t="s">
        <v>836</v>
      </c>
      <c r="M332" s="43" t="s">
        <v>836</v>
      </c>
      <c r="N332" s="42" t="s">
        <v>155</v>
      </c>
      <c r="O332" s="43">
        <v>2</v>
      </c>
      <c r="P332" s="43">
        <v>2</v>
      </c>
      <c r="Q332" s="25" t="str">
        <f>VLOOKUP(P332,Key!$E$2:$F$9,2,FALSE)</f>
        <v>Work</v>
      </c>
      <c r="R332" s="25" t="str">
        <f t="shared" si="6"/>
        <v>Home-Work</v>
      </c>
      <c r="S332" s="58">
        <v>8</v>
      </c>
      <c r="T332" s="58">
        <v>0.2</v>
      </c>
      <c r="U332" s="58">
        <v>2</v>
      </c>
      <c r="V332" s="42"/>
      <c r="W332" s="42"/>
      <c r="X332" s="42"/>
      <c r="Y332" s="59" t="s">
        <v>156</v>
      </c>
      <c r="Z332" s="60">
        <v>1000</v>
      </c>
      <c r="AA332" s="25">
        <f>VLOOKUP(F332,Zones!$A$2:$F$2186,6,FALSE)</f>
        <v>1393</v>
      </c>
      <c r="AB332" s="25">
        <f>VLOOKUP(L332,Zones!$A$2:$F$2186,6,FALSE)</f>
        <v>521</v>
      </c>
    </row>
    <row r="333" spans="2:28">
      <c r="B333" s="50">
        <v>0.3430555555555555</v>
      </c>
      <c r="C333" s="50" t="s">
        <v>549</v>
      </c>
      <c r="D333" s="51">
        <v>1</v>
      </c>
      <c r="E333" s="53">
        <v>2</v>
      </c>
      <c r="F333" s="54" t="s">
        <v>168</v>
      </c>
      <c r="G333" s="43" t="s">
        <v>154</v>
      </c>
      <c r="H333" s="42" t="s">
        <v>155</v>
      </c>
      <c r="I333" s="43">
        <v>1</v>
      </c>
      <c r="J333" s="43">
        <v>1</v>
      </c>
      <c r="K333" s="25" t="str">
        <f>VLOOKUP(J333,Key!$E$2:$F$9,2,FALSE)</f>
        <v>Home</v>
      </c>
      <c r="L333" s="54" t="s">
        <v>836</v>
      </c>
      <c r="M333" s="43" t="s">
        <v>836</v>
      </c>
      <c r="N333" s="42" t="s">
        <v>155</v>
      </c>
      <c r="O333" s="43">
        <v>2</v>
      </c>
      <c r="P333" s="43">
        <v>2</v>
      </c>
      <c r="Q333" s="25" t="str">
        <f>VLOOKUP(P333,Key!$E$2:$F$9,2,FALSE)</f>
        <v>Work</v>
      </c>
      <c r="R333" s="25" t="str">
        <f t="shared" si="6"/>
        <v>Home-Work</v>
      </c>
      <c r="S333" s="58">
        <v>1.5</v>
      </c>
      <c r="T333" s="58">
        <v>0.1</v>
      </c>
      <c r="U333" s="58">
        <v>2</v>
      </c>
      <c r="V333" s="54"/>
      <c r="W333" s="54"/>
      <c r="X333" s="54"/>
      <c r="Y333" s="59" t="s">
        <v>156</v>
      </c>
      <c r="Z333" s="60">
        <v>0</v>
      </c>
      <c r="AA333" s="25">
        <f>VLOOKUP(F333,Zones!$A$2:$F$2186,6,FALSE)</f>
        <v>1393</v>
      </c>
      <c r="AB333" s="25">
        <f>VLOOKUP(L333,Zones!$A$2:$F$2186,6,FALSE)</f>
        <v>521</v>
      </c>
    </row>
    <row r="334" spans="2:28">
      <c r="B334" s="68">
        <v>0.72430555555555554</v>
      </c>
      <c r="C334" s="52" t="s">
        <v>550</v>
      </c>
      <c r="D334" s="51">
        <v>1</v>
      </c>
      <c r="E334" s="53">
        <v>1</v>
      </c>
      <c r="F334" s="52" t="s">
        <v>245</v>
      </c>
      <c r="G334" s="43" t="s">
        <v>154</v>
      </c>
      <c r="H334" s="42" t="s">
        <v>155</v>
      </c>
      <c r="I334" s="43">
        <v>1</v>
      </c>
      <c r="J334" s="43">
        <v>1</v>
      </c>
      <c r="K334" s="25" t="str">
        <f>VLOOKUP(J334,Key!$E$2:$F$9,2,FALSE)</f>
        <v>Home</v>
      </c>
      <c r="L334" s="52" t="s">
        <v>473</v>
      </c>
      <c r="M334" s="43" t="s">
        <v>154</v>
      </c>
      <c r="N334" s="42" t="s">
        <v>155</v>
      </c>
      <c r="O334" s="43">
        <v>16</v>
      </c>
      <c r="P334" s="43">
        <v>3</v>
      </c>
      <c r="Q334" s="25" t="str">
        <f>VLOOKUP(P334,Key!$E$2:$F$9,2,FALSE)</f>
        <v>Study</v>
      </c>
      <c r="R334" s="25" t="str">
        <f t="shared" si="6"/>
        <v>Home-Study</v>
      </c>
      <c r="S334" s="58">
        <v>4</v>
      </c>
      <c r="T334" s="58">
        <v>1</v>
      </c>
      <c r="U334" s="58">
        <v>2</v>
      </c>
      <c r="V334" s="52"/>
      <c r="W334" s="52"/>
      <c r="X334" s="52"/>
      <c r="Y334" s="59" t="s">
        <v>156</v>
      </c>
      <c r="Z334" s="60">
        <v>1000</v>
      </c>
      <c r="AA334" s="25">
        <f>VLOOKUP(F334,Zones!$A$2:$F$2186,6,FALSE)</f>
        <v>1402</v>
      </c>
      <c r="AB334" s="25">
        <f>VLOOKUP(L334,Zones!$A$2:$F$2186,6,FALSE)</f>
        <v>1405</v>
      </c>
    </row>
    <row r="335" spans="2:28">
      <c r="B335" s="68">
        <v>0.72222222222222221</v>
      </c>
      <c r="C335" s="52" t="s">
        <v>551</v>
      </c>
      <c r="D335" s="51">
        <v>1</v>
      </c>
      <c r="E335" s="53">
        <v>1</v>
      </c>
      <c r="F335" s="52" t="s">
        <v>147</v>
      </c>
      <c r="G335" s="43" t="s">
        <v>154</v>
      </c>
      <c r="H335" s="42" t="s">
        <v>155</v>
      </c>
      <c r="I335" s="43">
        <v>2</v>
      </c>
      <c r="J335" s="43">
        <v>2</v>
      </c>
      <c r="K335" s="25" t="str">
        <f>VLOOKUP(J335,Key!$E$2:$F$9,2,FALSE)</f>
        <v>Work</v>
      </c>
      <c r="L335" s="52" t="s">
        <v>552</v>
      </c>
      <c r="M335" s="43" t="s">
        <v>154</v>
      </c>
      <c r="N335" s="42" t="s">
        <v>155</v>
      </c>
      <c r="O335" s="43">
        <v>2</v>
      </c>
      <c r="P335" s="43">
        <v>2</v>
      </c>
      <c r="Q335" s="25" t="str">
        <f>VLOOKUP(P335,Key!$E$2:$F$9,2,FALSE)</f>
        <v>Work</v>
      </c>
      <c r="R335" s="25" t="str">
        <f t="shared" si="6"/>
        <v>Work-Work</v>
      </c>
      <c r="S335" s="58">
        <v>1.5</v>
      </c>
      <c r="T335" s="58">
        <v>0.3</v>
      </c>
      <c r="U335" s="58">
        <v>2</v>
      </c>
      <c r="V335" s="52"/>
      <c r="W335" s="52"/>
      <c r="X335" s="52"/>
      <c r="Y335" s="59" t="s">
        <v>156</v>
      </c>
      <c r="Z335" s="60">
        <v>5000</v>
      </c>
      <c r="AA335" s="25">
        <f>VLOOKUP(F335,Zones!$A$2:$F$2186,6,FALSE)</f>
        <v>1402</v>
      </c>
      <c r="AB335" s="25">
        <f>VLOOKUP(L335,Zones!$A$2:$F$2186,6,FALSE)</f>
        <v>1098</v>
      </c>
    </row>
    <row r="336" spans="2:28">
      <c r="B336" s="68">
        <v>0.73819444444444438</v>
      </c>
      <c r="C336" s="52" t="s">
        <v>553</v>
      </c>
      <c r="D336" s="51">
        <v>8</v>
      </c>
      <c r="E336" s="53">
        <v>1</v>
      </c>
      <c r="F336" s="52" t="s">
        <v>146</v>
      </c>
      <c r="G336" s="43" t="s">
        <v>154</v>
      </c>
      <c r="H336" s="42" t="s">
        <v>155</v>
      </c>
      <c r="I336" s="43">
        <v>10</v>
      </c>
      <c r="J336" s="43">
        <v>2</v>
      </c>
      <c r="K336" s="25" t="str">
        <f>VLOOKUP(J336,Key!$E$2:$F$9,2,FALSE)</f>
        <v>Work</v>
      </c>
      <c r="L336" s="42" t="s">
        <v>207</v>
      </c>
      <c r="M336" s="43" t="s">
        <v>154</v>
      </c>
      <c r="N336" s="42" t="s">
        <v>155</v>
      </c>
      <c r="O336" s="43">
        <v>10</v>
      </c>
      <c r="P336" s="43">
        <v>2</v>
      </c>
      <c r="Q336" s="25" t="str">
        <f>VLOOKUP(P336,Key!$E$2:$F$9,2,FALSE)</f>
        <v>Work</v>
      </c>
      <c r="R336" s="25" t="str">
        <f t="shared" si="6"/>
        <v>Work-Work</v>
      </c>
      <c r="S336" s="58">
        <v>8</v>
      </c>
      <c r="T336" s="58">
        <v>0.3</v>
      </c>
      <c r="U336" s="58">
        <v>2</v>
      </c>
      <c r="V336" s="52"/>
      <c r="W336" s="52"/>
      <c r="X336" s="52"/>
      <c r="Y336" s="59" t="s">
        <v>156</v>
      </c>
      <c r="Z336" s="60">
        <v>4000</v>
      </c>
      <c r="AA336" s="25">
        <f>VLOOKUP(F336,Zones!$A$2:$F$2186,6,FALSE)</f>
        <v>1393</v>
      </c>
      <c r="AB336" s="25">
        <f>VLOOKUP(L336,Zones!$A$2:$F$2186,6,FALSE)</f>
        <v>1406</v>
      </c>
    </row>
    <row r="337" spans="2:28">
      <c r="B337" s="69">
        <v>0.72986111111111107</v>
      </c>
      <c r="C337" s="55" t="s">
        <v>555</v>
      </c>
      <c r="D337" s="51">
        <v>9</v>
      </c>
      <c r="E337" s="53">
        <v>3</v>
      </c>
      <c r="F337" s="56" t="s">
        <v>147</v>
      </c>
      <c r="G337" s="43" t="s">
        <v>154</v>
      </c>
      <c r="H337" s="42" t="s">
        <v>155</v>
      </c>
      <c r="I337" s="43">
        <v>2</v>
      </c>
      <c r="J337" s="43">
        <v>2</v>
      </c>
      <c r="K337" s="25" t="str">
        <f>VLOOKUP(J337,Key!$E$2:$F$9,2,FALSE)</f>
        <v>Work</v>
      </c>
      <c r="L337" s="56" t="s">
        <v>146</v>
      </c>
      <c r="M337" s="43" t="s">
        <v>154</v>
      </c>
      <c r="N337" s="42" t="s">
        <v>155</v>
      </c>
      <c r="O337" s="43">
        <v>3</v>
      </c>
      <c r="P337" s="43">
        <v>4</v>
      </c>
      <c r="Q337" s="25" t="str">
        <f>VLOOKUP(P337,Key!$E$2:$F$9,2,FALSE)</f>
        <v>Commercial</v>
      </c>
      <c r="R337" s="25" t="str">
        <f t="shared" si="6"/>
        <v>Work-Commercial</v>
      </c>
      <c r="S337" s="58">
        <v>5</v>
      </c>
      <c r="T337" s="58">
        <v>0.3</v>
      </c>
      <c r="U337" s="58">
        <v>3</v>
      </c>
      <c r="V337" s="56"/>
      <c r="W337" s="56">
        <v>10</v>
      </c>
      <c r="X337" s="56"/>
      <c r="Y337" s="59" t="s">
        <v>156</v>
      </c>
      <c r="Z337" s="60">
        <v>1000</v>
      </c>
      <c r="AA337" s="25">
        <f>VLOOKUP(F337,Zones!$A$2:$F$2186,6,FALSE)</f>
        <v>1402</v>
      </c>
      <c r="AB337" s="25">
        <f>VLOOKUP(L337,Zones!$A$2:$F$2186,6,FALSE)</f>
        <v>1393</v>
      </c>
    </row>
    <row r="338" spans="2:28">
      <c r="B338" s="49">
        <v>0.74791666666666667</v>
      </c>
      <c r="C338" s="57" t="s">
        <v>556</v>
      </c>
      <c r="D338" s="51">
        <v>1</v>
      </c>
      <c r="E338" s="53">
        <v>1</v>
      </c>
      <c r="F338" s="48" t="s">
        <v>154</v>
      </c>
      <c r="G338" s="43" t="s">
        <v>154</v>
      </c>
      <c r="H338" s="42" t="s">
        <v>155</v>
      </c>
      <c r="I338" s="43">
        <v>2</v>
      </c>
      <c r="J338" s="43">
        <v>2</v>
      </c>
      <c r="K338" s="25" t="str">
        <f>VLOOKUP(J338,Key!$E$2:$F$9,2,FALSE)</f>
        <v>Work</v>
      </c>
      <c r="L338" s="48" t="s">
        <v>487</v>
      </c>
      <c r="M338" s="43" t="s">
        <v>154</v>
      </c>
      <c r="N338" s="42" t="s">
        <v>155</v>
      </c>
      <c r="O338" s="43">
        <v>1</v>
      </c>
      <c r="P338" s="43">
        <v>1</v>
      </c>
      <c r="Q338" s="25" t="str">
        <f>VLOOKUP(P338,Key!$E$2:$F$9,2,FALSE)</f>
        <v>Home</v>
      </c>
      <c r="R338" s="25" t="str">
        <f t="shared" si="6"/>
        <v>Work-Home</v>
      </c>
      <c r="S338" s="58">
        <v>8</v>
      </c>
      <c r="T338" s="58">
        <v>1</v>
      </c>
      <c r="U338" s="58">
        <v>3</v>
      </c>
      <c r="V338" s="48"/>
      <c r="W338" s="48"/>
      <c r="X338" s="48"/>
      <c r="Y338" s="59" t="s">
        <v>156</v>
      </c>
      <c r="Z338" s="60">
        <v>2000</v>
      </c>
      <c r="AA338" s="25">
        <f>VLOOKUP(F338,Zones!$A$2:$F$2186,6,FALSE)</f>
        <v>1408</v>
      </c>
      <c r="AB338" s="25">
        <f>VLOOKUP(L338,Zones!$A$2:$F$2186,6,FALSE)</f>
        <v>1396</v>
      </c>
    </row>
    <row r="339" spans="2:28">
      <c r="B339" s="49">
        <v>0.74513888888888891</v>
      </c>
      <c r="C339" s="57" t="s">
        <v>557</v>
      </c>
      <c r="D339" s="51">
        <v>1</v>
      </c>
      <c r="E339" s="53">
        <v>2</v>
      </c>
      <c r="F339" s="48" t="s">
        <v>147</v>
      </c>
      <c r="G339" s="43" t="s">
        <v>154</v>
      </c>
      <c r="H339" s="42" t="s">
        <v>155</v>
      </c>
      <c r="I339" s="43">
        <v>2</v>
      </c>
      <c r="J339" s="43">
        <v>2</v>
      </c>
      <c r="K339" s="25" t="str">
        <f>VLOOKUP(J339,Key!$E$2:$F$9,2,FALSE)</f>
        <v>Work</v>
      </c>
      <c r="L339" s="48" t="s">
        <v>184</v>
      </c>
      <c r="M339" s="43" t="s">
        <v>154</v>
      </c>
      <c r="N339" s="42" t="s">
        <v>155</v>
      </c>
      <c r="O339" s="43">
        <v>16</v>
      </c>
      <c r="P339" s="43">
        <v>2</v>
      </c>
      <c r="Q339" s="25" t="str">
        <f>VLOOKUP(P339,Key!$E$2:$F$9,2,FALSE)</f>
        <v>Work</v>
      </c>
      <c r="R339" s="25" t="str">
        <f t="shared" si="6"/>
        <v>Work-Work</v>
      </c>
      <c r="S339" s="58">
        <v>9</v>
      </c>
      <c r="T339" s="58">
        <v>0.3</v>
      </c>
      <c r="U339" s="58">
        <v>2</v>
      </c>
      <c r="V339" s="48"/>
      <c r="W339" s="48"/>
      <c r="X339" s="48"/>
      <c r="Y339" s="59" t="s">
        <v>156</v>
      </c>
      <c r="Z339" s="60">
        <v>2000</v>
      </c>
      <c r="AA339" s="25">
        <f>VLOOKUP(F339,Zones!$A$2:$F$2186,6,FALSE)</f>
        <v>1402</v>
      </c>
      <c r="AB339" s="25">
        <f>VLOOKUP(L339,Zones!$A$2:$F$2186,6,FALSE)</f>
        <v>811</v>
      </c>
    </row>
    <row r="340" spans="2:28">
      <c r="B340" s="49">
        <v>0.75277777777777777</v>
      </c>
      <c r="C340" s="57" t="s">
        <v>558</v>
      </c>
      <c r="D340" s="51">
        <v>3</v>
      </c>
      <c r="E340" s="53">
        <v>2</v>
      </c>
      <c r="F340" s="48" t="s">
        <v>202</v>
      </c>
      <c r="G340" s="43" t="s">
        <v>202</v>
      </c>
      <c r="H340" s="42" t="s">
        <v>155</v>
      </c>
      <c r="I340" s="43">
        <v>9</v>
      </c>
      <c r="J340" s="43">
        <v>2</v>
      </c>
      <c r="K340" s="25" t="str">
        <f>VLOOKUP(J340,Key!$E$2:$F$9,2,FALSE)</f>
        <v>Work</v>
      </c>
      <c r="L340" s="48" t="s">
        <v>209</v>
      </c>
      <c r="M340" s="43" t="s">
        <v>154</v>
      </c>
      <c r="N340" s="42" t="s">
        <v>155</v>
      </c>
      <c r="O340" s="43">
        <v>12</v>
      </c>
      <c r="P340" s="43">
        <v>4</v>
      </c>
      <c r="Q340" s="25" t="str">
        <f>VLOOKUP(P340,Key!$E$2:$F$9,2,FALSE)</f>
        <v>Commercial</v>
      </c>
      <c r="R340" s="25" t="str">
        <f t="shared" si="6"/>
        <v>Work-Commercial</v>
      </c>
      <c r="S340" s="58">
        <v>11</v>
      </c>
      <c r="T340" s="58">
        <v>1</v>
      </c>
      <c r="U340" s="58">
        <v>6</v>
      </c>
      <c r="V340" s="48">
        <v>1</v>
      </c>
      <c r="W340" s="48">
        <v>1</v>
      </c>
      <c r="X340" s="48"/>
      <c r="Y340" s="59" t="s">
        <v>156</v>
      </c>
      <c r="Z340" s="60">
        <v>5000</v>
      </c>
      <c r="AA340" s="25">
        <f>VLOOKUP(F340,Zones!$A$2:$F$2186,6,FALSE)</f>
        <v>887</v>
      </c>
      <c r="AB340" s="25">
        <f>VLOOKUP(L340,Zones!$A$2:$F$2186,6,FALSE)</f>
        <v>1405</v>
      </c>
    </row>
    <row r="341" spans="2:28">
      <c r="B341" s="49">
        <v>0.7583333333333333</v>
      </c>
      <c r="C341" s="57" t="s">
        <v>559</v>
      </c>
      <c r="D341" s="51">
        <v>1</v>
      </c>
      <c r="E341" s="53">
        <v>1</v>
      </c>
      <c r="F341" s="45" t="s">
        <v>3278</v>
      </c>
      <c r="G341" s="43" t="s">
        <v>154</v>
      </c>
      <c r="H341" s="42" t="s">
        <v>155</v>
      </c>
      <c r="I341" s="43">
        <v>1</v>
      </c>
      <c r="J341" s="43">
        <v>1</v>
      </c>
      <c r="K341" s="25" t="str">
        <f>VLOOKUP(J341,Key!$E$2:$F$9,2,FALSE)</f>
        <v>Home</v>
      </c>
      <c r="L341" s="48" t="s">
        <v>146</v>
      </c>
      <c r="M341" s="43" t="s">
        <v>154</v>
      </c>
      <c r="N341" s="42" t="s">
        <v>155</v>
      </c>
      <c r="O341" s="43">
        <v>16</v>
      </c>
      <c r="P341" s="43">
        <v>8</v>
      </c>
      <c r="Q341" s="25" t="str">
        <f>VLOOKUP(P341,Key!$E$2:$F$9,2,FALSE)</f>
        <v>Others</v>
      </c>
      <c r="R341" s="25" t="str">
        <f t="shared" si="6"/>
        <v>Home-Others</v>
      </c>
      <c r="S341" s="58">
        <v>3</v>
      </c>
      <c r="T341" s="58">
        <v>0.1</v>
      </c>
      <c r="U341" s="58">
        <v>2</v>
      </c>
      <c r="V341" s="48"/>
      <c r="W341" s="48"/>
      <c r="X341" s="48"/>
      <c r="Y341" s="59" t="s">
        <v>156</v>
      </c>
      <c r="Z341" s="60">
        <v>1000</v>
      </c>
      <c r="AA341" s="25">
        <f>VLOOKUP(F341,Zones!$A$2:$F$2186,6,FALSE)</f>
        <v>559</v>
      </c>
      <c r="AB341" s="25">
        <f>VLOOKUP(L341,Zones!$A$2:$F$2186,6,FALSE)</f>
        <v>1393</v>
      </c>
    </row>
    <row r="342" spans="2:28">
      <c r="B342" s="49">
        <v>0.67708333333333337</v>
      </c>
      <c r="C342" s="57" t="s">
        <v>561</v>
      </c>
      <c r="D342" s="51">
        <v>1</v>
      </c>
      <c r="E342" s="53">
        <v>4</v>
      </c>
      <c r="F342" s="48" t="s">
        <v>487</v>
      </c>
      <c r="G342" s="43" t="s">
        <v>154</v>
      </c>
      <c r="H342" s="42" t="s">
        <v>155</v>
      </c>
      <c r="I342" s="43">
        <v>1</v>
      </c>
      <c r="J342" s="43">
        <v>1</v>
      </c>
      <c r="K342" s="25" t="str">
        <f>VLOOKUP(J342,Key!$E$2:$F$9,2,FALSE)</f>
        <v>Home</v>
      </c>
      <c r="L342" s="48" t="s">
        <v>836</v>
      </c>
      <c r="M342" s="43" t="s">
        <v>836</v>
      </c>
      <c r="N342" s="42" t="s">
        <v>155</v>
      </c>
      <c r="O342" s="43">
        <v>2</v>
      </c>
      <c r="P342" s="43">
        <v>2</v>
      </c>
      <c r="Q342" s="25" t="str">
        <f>VLOOKUP(P342,Key!$E$2:$F$9,2,FALSE)</f>
        <v>Work</v>
      </c>
      <c r="R342" s="25" t="str">
        <f t="shared" si="6"/>
        <v>Home-Work</v>
      </c>
      <c r="S342" s="58">
        <v>12</v>
      </c>
      <c r="T342" s="58">
        <v>2</v>
      </c>
      <c r="U342" s="58">
        <v>3</v>
      </c>
      <c r="V342" s="48"/>
      <c r="W342" s="48"/>
      <c r="X342" s="48"/>
      <c r="Y342" s="59" t="s">
        <v>156</v>
      </c>
      <c r="Z342" s="60">
        <v>1500</v>
      </c>
      <c r="AA342" s="25">
        <f>VLOOKUP(F342,Zones!$A$2:$F$2186,6,FALSE)</f>
        <v>1396</v>
      </c>
      <c r="AB342" s="25">
        <f>VLOOKUP(L342,Zones!$A$2:$F$2186,6,FALSE)</f>
        <v>521</v>
      </c>
    </row>
    <row r="343" spans="2:28">
      <c r="B343" s="49">
        <v>0.66666666666666663</v>
      </c>
      <c r="C343" s="57" t="s">
        <v>562</v>
      </c>
      <c r="D343" s="51">
        <v>2</v>
      </c>
      <c r="E343" s="53">
        <v>2</v>
      </c>
      <c r="F343" s="48" t="s">
        <v>245</v>
      </c>
      <c r="G343" s="43" t="s">
        <v>154</v>
      </c>
      <c r="H343" s="42" t="s">
        <v>155</v>
      </c>
      <c r="I343" s="43">
        <v>1</v>
      </c>
      <c r="J343" s="43">
        <v>2</v>
      </c>
      <c r="K343" s="25" t="str">
        <f>VLOOKUP(J343,Key!$E$2:$F$9,2,FALSE)</f>
        <v>Work</v>
      </c>
      <c r="L343" s="48" t="s">
        <v>836</v>
      </c>
      <c r="M343" s="43" t="s">
        <v>836</v>
      </c>
      <c r="N343" s="42" t="s">
        <v>155</v>
      </c>
      <c r="O343" s="43">
        <v>2</v>
      </c>
      <c r="P343" s="43">
        <v>2</v>
      </c>
      <c r="Q343" s="25" t="str">
        <f>VLOOKUP(P343,Key!$E$2:$F$9,2,FALSE)</f>
        <v>Work</v>
      </c>
      <c r="R343" s="25" t="str">
        <f t="shared" si="6"/>
        <v>Work-Work</v>
      </c>
      <c r="S343" s="58">
        <v>8</v>
      </c>
      <c r="T343" s="58">
        <v>1.5</v>
      </c>
      <c r="U343" s="58">
        <v>2</v>
      </c>
      <c r="V343" s="48"/>
      <c r="W343" s="48"/>
      <c r="X343" s="48"/>
      <c r="Y343" s="59" t="s">
        <v>156</v>
      </c>
      <c r="Z343" s="60">
        <v>1000</v>
      </c>
      <c r="AA343" s="25">
        <f>VLOOKUP(F343,Zones!$A$2:$F$2186,6,FALSE)</f>
        <v>1402</v>
      </c>
      <c r="AB343" s="25">
        <f>VLOOKUP(L343,Zones!$A$2:$F$2186,6,FALSE)</f>
        <v>521</v>
      </c>
    </row>
    <row r="344" spans="2:28">
      <c r="B344" s="40">
        <v>0.75486111111111109</v>
      </c>
      <c r="C344" s="40" t="s">
        <v>152</v>
      </c>
      <c r="D344" s="41">
        <v>8</v>
      </c>
      <c r="E344" s="42">
        <v>1</v>
      </c>
      <c r="F344" s="42" t="s">
        <v>153</v>
      </c>
      <c r="G344" s="43" t="s">
        <v>154</v>
      </c>
      <c r="H344" s="42" t="s">
        <v>155</v>
      </c>
      <c r="I344" s="43">
        <v>16</v>
      </c>
      <c r="J344" s="43">
        <v>8</v>
      </c>
      <c r="K344" s="25" t="str">
        <f>VLOOKUP(J344,Key!$E$2:$F$9,2,FALSE)</f>
        <v>Others</v>
      </c>
      <c r="L344" s="42" t="s">
        <v>146</v>
      </c>
      <c r="M344" s="43" t="s">
        <v>154</v>
      </c>
      <c r="N344" s="42" t="s">
        <v>155</v>
      </c>
      <c r="O344" s="43">
        <v>16</v>
      </c>
      <c r="P344" s="43">
        <v>8</v>
      </c>
      <c r="Q344" s="25" t="str">
        <f>VLOOKUP(P344,Key!$E$2:$F$9,2,FALSE)</f>
        <v>Others</v>
      </c>
      <c r="R344" s="25" t="str">
        <f>K344&amp;"-"&amp;Q344</f>
        <v>Others-Others</v>
      </c>
      <c r="S344" s="58"/>
      <c r="T344" s="58"/>
      <c r="U344" s="43">
        <v>3</v>
      </c>
      <c r="V344" s="43"/>
      <c r="W344" s="58"/>
      <c r="X344" s="58"/>
      <c r="Y344" s="59" t="s">
        <v>156</v>
      </c>
      <c r="Z344" s="60">
        <v>1000</v>
      </c>
      <c r="AA344" s="25">
        <f>VLOOKUP(F344,Zones!$A$2:$F$2186,6,FALSE)</f>
        <v>1396</v>
      </c>
      <c r="AB344" s="25">
        <f>VLOOKUP(L344,Zones!$A$2:$F$2186,6,FALSE)</f>
        <v>1393</v>
      </c>
    </row>
    <row r="345" spans="2:28">
      <c r="B345" s="40" t="s">
        <v>157</v>
      </c>
      <c r="C345" s="40" t="s">
        <v>158</v>
      </c>
      <c r="D345" s="41">
        <v>1</v>
      </c>
      <c r="E345" s="42">
        <v>3</v>
      </c>
      <c r="F345" s="42" t="s">
        <v>159</v>
      </c>
      <c r="G345" s="43" t="s">
        <v>159</v>
      </c>
      <c r="H345" s="42" t="s">
        <v>155</v>
      </c>
      <c r="I345" s="43">
        <v>4</v>
      </c>
      <c r="J345" s="43">
        <v>3</v>
      </c>
      <c r="K345" s="25" t="str">
        <f>VLOOKUP(J345,Key!$E$2:$F$9,2,FALSE)</f>
        <v>Study</v>
      </c>
      <c r="L345" s="42" t="s">
        <v>160</v>
      </c>
      <c r="M345" s="43" t="s">
        <v>154</v>
      </c>
      <c r="N345" s="42" t="s">
        <v>155</v>
      </c>
      <c r="O345" s="43">
        <v>1</v>
      </c>
      <c r="P345" s="43">
        <v>1</v>
      </c>
      <c r="Q345" s="25" t="str">
        <f>VLOOKUP(P345,Key!$E$2:$F$9,2,FALSE)</f>
        <v>Home</v>
      </c>
      <c r="R345" s="25" t="str">
        <f t="shared" ref="R345:R408" si="7">K345&amp;"-"&amp;Q345</f>
        <v>Study-Home</v>
      </c>
      <c r="S345" s="58"/>
      <c r="T345" s="58">
        <v>1.5</v>
      </c>
      <c r="U345" s="43">
        <v>2</v>
      </c>
      <c r="V345" s="43"/>
      <c r="W345" s="58"/>
      <c r="X345" s="58"/>
      <c r="Y345" s="59" t="s">
        <v>156</v>
      </c>
      <c r="Z345" s="60">
        <v>1000</v>
      </c>
      <c r="AA345" s="25">
        <f>VLOOKUP(F345,Zones!$A$2:$F$2186,6,FALSE)</f>
        <v>521</v>
      </c>
      <c r="AB345" s="25">
        <f>VLOOKUP(L345,Zones!$A$2:$F$2186,6,FALSE)</f>
        <v>1393</v>
      </c>
    </row>
    <row r="346" spans="2:28">
      <c r="B346" s="40">
        <v>0.74791666666666667</v>
      </c>
      <c r="C346" s="40" t="s">
        <v>161</v>
      </c>
      <c r="D346" s="41">
        <v>3</v>
      </c>
      <c r="E346" s="42">
        <v>3</v>
      </c>
      <c r="F346" s="42" t="s">
        <v>162</v>
      </c>
      <c r="G346" s="43" t="s">
        <v>163</v>
      </c>
      <c r="H346" s="42" t="s">
        <v>155</v>
      </c>
      <c r="I346" s="43">
        <v>16</v>
      </c>
      <c r="J346" s="43">
        <v>8</v>
      </c>
      <c r="K346" s="25" t="str">
        <f>VLOOKUP(J346,Key!$E$2:$F$9,2,FALSE)</f>
        <v>Others</v>
      </c>
      <c r="L346" s="42" t="s">
        <v>146</v>
      </c>
      <c r="M346" s="43" t="s">
        <v>154</v>
      </c>
      <c r="N346" s="42" t="s">
        <v>155</v>
      </c>
      <c r="O346" s="43">
        <v>16</v>
      </c>
      <c r="P346" s="43">
        <v>8</v>
      </c>
      <c r="Q346" s="25" t="str">
        <f>VLOOKUP(P346,Key!$E$2:$F$9,2,FALSE)</f>
        <v>Others</v>
      </c>
      <c r="R346" s="25" t="str">
        <f t="shared" si="7"/>
        <v>Others-Others</v>
      </c>
      <c r="S346" s="58">
        <v>18</v>
      </c>
      <c r="T346" s="58">
        <v>1.5</v>
      </c>
      <c r="U346" s="43">
        <v>2</v>
      </c>
      <c r="V346" s="43"/>
      <c r="W346" s="58"/>
      <c r="X346" s="58"/>
      <c r="Y346" s="59" t="s">
        <v>156</v>
      </c>
      <c r="Z346" s="60">
        <v>500</v>
      </c>
      <c r="AA346" s="25">
        <f>VLOOKUP(F346,Zones!$A$2:$F$2186,6,FALSE)</f>
        <v>1064</v>
      </c>
      <c r="AB346" s="25">
        <f>VLOOKUP(L346,Zones!$A$2:$F$2186,6,FALSE)</f>
        <v>1393</v>
      </c>
    </row>
    <row r="347" spans="2:28">
      <c r="B347" s="40">
        <v>0.74583333333333324</v>
      </c>
      <c r="C347" s="40" t="s">
        <v>164</v>
      </c>
      <c r="D347" s="41">
        <v>1</v>
      </c>
      <c r="E347" s="42">
        <v>4</v>
      </c>
      <c r="F347" s="42" t="s">
        <v>165</v>
      </c>
      <c r="G347" s="43" t="s">
        <v>159</v>
      </c>
      <c r="H347" s="42" t="s">
        <v>155</v>
      </c>
      <c r="I347" s="43">
        <v>4</v>
      </c>
      <c r="J347" s="43">
        <v>3</v>
      </c>
      <c r="K347" s="25" t="str">
        <f>VLOOKUP(J347,Key!$E$2:$F$9,2,FALSE)</f>
        <v>Study</v>
      </c>
      <c r="L347" s="42" t="s">
        <v>3281</v>
      </c>
      <c r="M347" s="43" t="s">
        <v>154</v>
      </c>
      <c r="N347" s="42" t="s">
        <v>155</v>
      </c>
      <c r="O347" s="43">
        <v>1</v>
      </c>
      <c r="P347" s="43">
        <v>1</v>
      </c>
      <c r="Q347" s="25" t="str">
        <f>VLOOKUP(P347,Key!$E$2:$F$9,2,FALSE)</f>
        <v>Home</v>
      </c>
      <c r="R347" s="25" t="str">
        <f t="shared" si="7"/>
        <v>Study-Home</v>
      </c>
      <c r="S347" s="58">
        <v>24</v>
      </c>
      <c r="T347" s="58">
        <v>1</v>
      </c>
      <c r="U347" s="43">
        <v>2</v>
      </c>
      <c r="V347" s="43"/>
      <c r="W347" s="58"/>
      <c r="X347" s="58"/>
      <c r="Y347" s="59" t="s">
        <v>156</v>
      </c>
      <c r="Z347" s="60">
        <v>2000</v>
      </c>
      <c r="AA347" s="25">
        <f>VLOOKUP(F347,Zones!$A$2:$F$2186,6,FALSE)</f>
        <v>542</v>
      </c>
      <c r="AB347" s="25">
        <f>VLOOKUP(L347,Zones!$A$2:$F$2186,6,FALSE)</f>
        <v>1408</v>
      </c>
    </row>
    <row r="348" spans="2:28">
      <c r="B348" s="40">
        <v>0.7402777777777777</v>
      </c>
      <c r="C348" s="40" t="s">
        <v>167</v>
      </c>
      <c r="D348" s="41">
        <v>2</v>
      </c>
      <c r="E348" s="42">
        <v>2</v>
      </c>
      <c r="F348" s="42" t="s">
        <v>159</v>
      </c>
      <c r="G348" s="43" t="s">
        <v>159</v>
      </c>
      <c r="H348" s="42" t="s">
        <v>155</v>
      </c>
      <c r="I348" s="43">
        <v>16</v>
      </c>
      <c r="J348" s="43">
        <v>2</v>
      </c>
      <c r="K348" s="25" t="str">
        <f>VLOOKUP(J348,Key!$E$2:$F$9,2,FALSE)</f>
        <v>Work</v>
      </c>
      <c r="L348" s="42" t="s">
        <v>168</v>
      </c>
      <c r="M348" s="43" t="s">
        <v>154</v>
      </c>
      <c r="N348" s="42" t="s">
        <v>155</v>
      </c>
      <c r="O348" s="43">
        <v>9</v>
      </c>
      <c r="P348" s="43">
        <v>2</v>
      </c>
      <c r="Q348" s="25" t="str">
        <f>VLOOKUP(P348,Key!$E$2:$F$9,2,FALSE)</f>
        <v>Work</v>
      </c>
      <c r="R348" s="25" t="str">
        <f t="shared" si="7"/>
        <v>Work-Work</v>
      </c>
      <c r="S348" s="58">
        <v>8</v>
      </c>
      <c r="T348" s="58">
        <v>0.7</v>
      </c>
      <c r="U348" s="43">
        <v>6</v>
      </c>
      <c r="V348" s="43"/>
      <c r="W348" s="58"/>
      <c r="X348" s="58"/>
      <c r="Y348" s="59" t="s">
        <v>156</v>
      </c>
      <c r="Z348" s="60">
        <v>2000</v>
      </c>
      <c r="AA348" s="25">
        <f>VLOOKUP(F348,Zones!$A$2:$F$2186,6,FALSE)</f>
        <v>521</v>
      </c>
      <c r="AB348" s="25">
        <f>VLOOKUP(L348,Zones!$A$2:$F$2186,6,FALSE)</f>
        <v>1393</v>
      </c>
    </row>
    <row r="349" spans="2:28">
      <c r="B349" s="40">
        <v>0.73472222222222217</v>
      </c>
      <c r="C349" s="40" t="s">
        <v>169</v>
      </c>
      <c r="D349" s="41">
        <v>1</v>
      </c>
      <c r="E349" s="42">
        <v>1</v>
      </c>
      <c r="F349" s="42" t="s">
        <v>170</v>
      </c>
      <c r="G349" s="43" t="s">
        <v>159</v>
      </c>
      <c r="H349" s="42" t="s">
        <v>155</v>
      </c>
      <c r="I349" s="43">
        <v>2</v>
      </c>
      <c r="J349" s="43">
        <v>2</v>
      </c>
      <c r="K349" s="25" t="str">
        <f>VLOOKUP(J349,Key!$E$2:$F$9,2,FALSE)</f>
        <v>Work</v>
      </c>
      <c r="L349" s="42" t="s">
        <v>147</v>
      </c>
      <c r="M349" s="43" t="s">
        <v>154</v>
      </c>
      <c r="N349" s="42" t="s">
        <v>155</v>
      </c>
      <c r="O349" s="43">
        <v>1</v>
      </c>
      <c r="P349" s="43">
        <v>1</v>
      </c>
      <c r="Q349" s="25" t="str">
        <f>VLOOKUP(P349,Key!$E$2:$F$9,2,FALSE)</f>
        <v>Home</v>
      </c>
      <c r="R349" s="25" t="str">
        <f t="shared" si="7"/>
        <v>Work-Home</v>
      </c>
      <c r="S349" s="58">
        <v>27</v>
      </c>
      <c r="T349" s="58">
        <v>0.7</v>
      </c>
      <c r="U349" s="43">
        <v>2</v>
      </c>
      <c r="V349" s="43"/>
      <c r="W349" s="58"/>
      <c r="X349" s="58"/>
      <c r="Y349" s="59" t="s">
        <v>156</v>
      </c>
      <c r="Z349" s="60">
        <v>2000</v>
      </c>
      <c r="AA349" s="25">
        <f>VLOOKUP(F349,Zones!$A$2:$F$2186,6,FALSE)</f>
        <v>557</v>
      </c>
      <c r="AB349" s="25">
        <f>VLOOKUP(L349,Zones!$A$2:$F$2186,6,FALSE)</f>
        <v>1402</v>
      </c>
    </row>
    <row r="350" spans="2:28">
      <c r="B350" s="40">
        <v>0.73958333333333337</v>
      </c>
      <c r="C350" s="40" t="s">
        <v>171</v>
      </c>
      <c r="D350" s="41">
        <v>1</v>
      </c>
      <c r="E350" s="42">
        <v>3</v>
      </c>
      <c r="F350" s="42" t="s">
        <v>159</v>
      </c>
      <c r="G350" s="43" t="s">
        <v>159</v>
      </c>
      <c r="H350" s="42" t="s">
        <v>155</v>
      </c>
      <c r="I350" s="43">
        <v>2</v>
      </c>
      <c r="J350" s="43">
        <v>2</v>
      </c>
      <c r="K350" s="25" t="str">
        <f>VLOOKUP(J350,Key!$E$2:$F$9,2,FALSE)</f>
        <v>Work</v>
      </c>
      <c r="L350" s="42" t="s">
        <v>146</v>
      </c>
      <c r="M350" s="43" t="s">
        <v>154</v>
      </c>
      <c r="N350" s="42" t="s">
        <v>155</v>
      </c>
      <c r="O350" s="43">
        <v>1</v>
      </c>
      <c r="P350" s="43">
        <v>1</v>
      </c>
      <c r="Q350" s="25" t="str">
        <f>VLOOKUP(P350,Key!$E$2:$F$9,2,FALSE)</f>
        <v>Home</v>
      </c>
      <c r="R350" s="25" t="str">
        <f t="shared" si="7"/>
        <v>Work-Home</v>
      </c>
      <c r="S350" s="58">
        <v>10</v>
      </c>
      <c r="T350" s="58">
        <v>0.5</v>
      </c>
      <c r="U350" s="43">
        <v>2</v>
      </c>
      <c r="V350" s="43"/>
      <c r="W350" s="58"/>
      <c r="X350" s="58"/>
      <c r="Y350" s="59" t="s">
        <v>156</v>
      </c>
      <c r="Z350" s="60">
        <v>0</v>
      </c>
      <c r="AA350" s="25">
        <f>VLOOKUP(F350,Zones!$A$2:$F$2186,6,FALSE)</f>
        <v>521</v>
      </c>
      <c r="AB350" s="25">
        <f>VLOOKUP(L350,Zones!$A$2:$F$2186,6,FALSE)</f>
        <v>1393</v>
      </c>
    </row>
    <row r="351" spans="2:28">
      <c r="B351" s="40">
        <v>0.7270833333333333</v>
      </c>
      <c r="C351" s="40" t="s">
        <v>172</v>
      </c>
      <c r="D351" s="41">
        <v>7</v>
      </c>
      <c r="E351" s="42">
        <v>3</v>
      </c>
      <c r="F351" s="42" t="s">
        <v>146</v>
      </c>
      <c r="G351" s="43" t="s">
        <v>154</v>
      </c>
      <c r="H351" s="42" t="s">
        <v>155</v>
      </c>
      <c r="I351" s="43">
        <v>16</v>
      </c>
      <c r="J351" s="43">
        <v>8</v>
      </c>
      <c r="K351" s="25" t="str">
        <f>VLOOKUP(J351,Key!$E$2:$F$9,2,FALSE)</f>
        <v>Others</v>
      </c>
      <c r="L351" s="42" t="s">
        <v>173</v>
      </c>
      <c r="M351" s="43" t="s">
        <v>154</v>
      </c>
      <c r="N351" s="42" t="s">
        <v>155</v>
      </c>
      <c r="O351" s="43">
        <v>16</v>
      </c>
      <c r="P351" s="43">
        <v>2</v>
      </c>
      <c r="Q351" s="25" t="str">
        <f>VLOOKUP(P351,Key!$E$2:$F$9,2,FALSE)</f>
        <v>Work</v>
      </c>
      <c r="R351" s="25" t="str">
        <f t="shared" si="7"/>
        <v>Others-Work</v>
      </c>
      <c r="S351" s="58">
        <v>3</v>
      </c>
      <c r="T351" s="58">
        <v>0.1</v>
      </c>
      <c r="U351" s="43">
        <v>6</v>
      </c>
      <c r="V351" s="43"/>
      <c r="W351" s="58"/>
      <c r="X351" s="58"/>
      <c r="Y351" s="59" t="s">
        <v>156</v>
      </c>
      <c r="Z351" s="60">
        <v>0</v>
      </c>
      <c r="AA351" s="25">
        <f>VLOOKUP(F351,Zones!$A$2:$F$2186,6,FALSE)</f>
        <v>1393</v>
      </c>
      <c r="AB351" s="25">
        <f>VLOOKUP(L351,Zones!$A$2:$F$2186,6,FALSE)</f>
        <v>1408</v>
      </c>
    </row>
    <row r="352" spans="2:28">
      <c r="B352" s="40">
        <v>0.72569444444444453</v>
      </c>
      <c r="C352" s="40" t="s">
        <v>174</v>
      </c>
      <c r="D352" s="41">
        <v>1</v>
      </c>
      <c r="E352" s="42">
        <v>1</v>
      </c>
      <c r="F352" s="42" t="s">
        <v>159</v>
      </c>
      <c r="G352" s="43" t="s">
        <v>159</v>
      </c>
      <c r="H352" s="42" t="s">
        <v>155</v>
      </c>
      <c r="I352" s="43">
        <v>2</v>
      </c>
      <c r="J352" s="43">
        <v>2</v>
      </c>
      <c r="K352" s="25" t="str">
        <f>VLOOKUP(J352,Key!$E$2:$F$9,2,FALSE)</f>
        <v>Work</v>
      </c>
      <c r="L352" s="42" t="s">
        <v>175</v>
      </c>
      <c r="M352" s="43" t="s">
        <v>154</v>
      </c>
      <c r="N352" s="42" t="s">
        <v>155</v>
      </c>
      <c r="O352" s="43">
        <v>1</v>
      </c>
      <c r="P352" s="43">
        <v>1</v>
      </c>
      <c r="Q352" s="25" t="str">
        <f>VLOOKUP(P352,Key!$E$2:$F$9,2,FALSE)</f>
        <v>Home</v>
      </c>
      <c r="R352" s="25" t="str">
        <f t="shared" si="7"/>
        <v>Work-Home</v>
      </c>
      <c r="S352" s="58">
        <v>24</v>
      </c>
      <c r="T352" s="58">
        <v>1</v>
      </c>
      <c r="U352" s="43">
        <v>2</v>
      </c>
      <c r="V352" s="43"/>
      <c r="W352" s="58"/>
      <c r="X352" s="58"/>
      <c r="Y352" s="59" t="s">
        <v>156</v>
      </c>
      <c r="Z352" s="60">
        <v>500</v>
      </c>
      <c r="AA352" s="25">
        <f>VLOOKUP(F352,Zones!$A$2:$F$2186,6,FALSE)</f>
        <v>521</v>
      </c>
      <c r="AB352" s="25">
        <f>VLOOKUP(L352,Zones!$A$2:$F$2186,6,FALSE)</f>
        <v>1402</v>
      </c>
    </row>
    <row r="353" spans="2:28">
      <c r="B353" s="40">
        <v>0.72291666666666676</v>
      </c>
      <c r="C353" s="40" t="s">
        <v>176</v>
      </c>
      <c r="D353" s="41">
        <v>1</v>
      </c>
      <c r="E353" s="42">
        <v>2</v>
      </c>
      <c r="F353" s="42" t="s">
        <v>177</v>
      </c>
      <c r="G353" s="43" t="s">
        <v>159</v>
      </c>
      <c r="H353" s="42" t="s">
        <v>155</v>
      </c>
      <c r="I353" s="43">
        <v>2</v>
      </c>
      <c r="J353" s="43">
        <v>2</v>
      </c>
      <c r="K353" s="25" t="str">
        <f>VLOOKUP(J353,Key!$E$2:$F$9,2,FALSE)</f>
        <v>Work</v>
      </c>
      <c r="L353" s="42" t="s">
        <v>168</v>
      </c>
      <c r="M353" s="43" t="s">
        <v>154</v>
      </c>
      <c r="N353" s="42" t="s">
        <v>155</v>
      </c>
      <c r="O353" s="43">
        <v>1</v>
      </c>
      <c r="P353" s="43">
        <v>1</v>
      </c>
      <c r="Q353" s="25" t="str">
        <f>VLOOKUP(P353,Key!$E$2:$F$9,2,FALSE)</f>
        <v>Home</v>
      </c>
      <c r="R353" s="25" t="str">
        <f t="shared" si="7"/>
        <v>Work-Home</v>
      </c>
      <c r="S353" s="58"/>
      <c r="T353" s="58"/>
      <c r="U353" s="43">
        <v>2</v>
      </c>
      <c r="V353" s="43"/>
      <c r="W353" s="58"/>
      <c r="X353" s="58"/>
      <c r="Y353" s="59" t="s">
        <v>156</v>
      </c>
      <c r="Z353" s="60">
        <v>0</v>
      </c>
      <c r="AA353" s="25">
        <f>VLOOKUP(F353,Zones!$A$2:$F$2186,6,FALSE)</f>
        <v>567</v>
      </c>
      <c r="AB353" s="25">
        <f>VLOOKUP(L353,Zones!$A$2:$F$2186,6,FALSE)</f>
        <v>1393</v>
      </c>
    </row>
    <row r="354" spans="2:28">
      <c r="B354" s="40">
        <v>0.58263888888888882</v>
      </c>
      <c r="C354" s="40" t="s">
        <v>178</v>
      </c>
      <c r="D354" s="41">
        <v>7</v>
      </c>
      <c r="E354" s="42">
        <v>2</v>
      </c>
      <c r="F354" s="42" t="s">
        <v>146</v>
      </c>
      <c r="G354" s="43" t="s">
        <v>154</v>
      </c>
      <c r="H354" s="42" t="s">
        <v>155</v>
      </c>
      <c r="I354" s="43">
        <v>16</v>
      </c>
      <c r="J354" s="43">
        <v>8</v>
      </c>
      <c r="K354" s="25" t="str">
        <f>VLOOKUP(J354,Key!$E$2:$F$9,2,FALSE)</f>
        <v>Others</v>
      </c>
      <c r="L354" s="42" t="s">
        <v>168</v>
      </c>
      <c r="M354" s="43" t="s">
        <v>154</v>
      </c>
      <c r="N354" s="42" t="s">
        <v>155</v>
      </c>
      <c r="O354" s="43">
        <v>14</v>
      </c>
      <c r="P354" s="43">
        <v>2</v>
      </c>
      <c r="Q354" s="25" t="str">
        <f>VLOOKUP(P354,Key!$E$2:$F$9,2,FALSE)</f>
        <v>Work</v>
      </c>
      <c r="R354" s="25" t="str">
        <f t="shared" si="7"/>
        <v>Others-Work</v>
      </c>
      <c r="S354" s="58">
        <v>2</v>
      </c>
      <c r="T354" s="58">
        <v>0.3</v>
      </c>
      <c r="U354" s="43">
        <v>3</v>
      </c>
      <c r="V354" s="43"/>
      <c r="W354" s="58"/>
      <c r="X354" s="58"/>
      <c r="Y354" s="59" t="s">
        <v>156</v>
      </c>
      <c r="Z354" s="60">
        <v>1000</v>
      </c>
      <c r="AA354" s="25">
        <f>VLOOKUP(F354,Zones!$A$2:$F$2186,6,FALSE)</f>
        <v>1393</v>
      </c>
      <c r="AB354" s="25">
        <f>VLOOKUP(L354,Zones!$A$2:$F$2186,6,FALSE)</f>
        <v>1393</v>
      </c>
    </row>
    <row r="355" spans="2:28">
      <c r="B355" s="40">
        <v>0.57777777777777783</v>
      </c>
      <c r="C355" s="40" t="s">
        <v>179</v>
      </c>
      <c r="D355" s="41">
        <v>1</v>
      </c>
      <c r="E355" s="42">
        <v>1</v>
      </c>
      <c r="F355" s="42" t="s">
        <v>180</v>
      </c>
      <c r="G355" s="43" t="s">
        <v>154</v>
      </c>
      <c r="H355" s="42" t="s">
        <v>155</v>
      </c>
      <c r="I355" s="43">
        <v>10</v>
      </c>
      <c r="J355" s="43">
        <v>2</v>
      </c>
      <c r="K355" s="25" t="str">
        <f>VLOOKUP(J355,Key!$E$2:$F$9,2,FALSE)</f>
        <v>Work</v>
      </c>
      <c r="L355" s="42" t="s">
        <v>168</v>
      </c>
      <c r="M355" s="43" t="s">
        <v>154</v>
      </c>
      <c r="N355" s="42" t="s">
        <v>155</v>
      </c>
      <c r="O355" s="43">
        <v>1</v>
      </c>
      <c r="P355" s="43">
        <v>1</v>
      </c>
      <c r="Q355" s="25" t="str">
        <f>VLOOKUP(P355,Key!$E$2:$F$9,2,FALSE)</f>
        <v>Home</v>
      </c>
      <c r="R355" s="25" t="str">
        <f t="shared" si="7"/>
        <v>Work-Home</v>
      </c>
      <c r="S355" s="58">
        <v>3</v>
      </c>
      <c r="T355" s="58">
        <v>0.1</v>
      </c>
      <c r="U355" s="43">
        <v>6</v>
      </c>
      <c r="V355" s="43"/>
      <c r="W355" s="58"/>
      <c r="X355" s="58"/>
      <c r="Y355" s="59" t="s">
        <v>156</v>
      </c>
      <c r="Z355" s="60">
        <v>2000</v>
      </c>
      <c r="AA355" s="25">
        <f>VLOOKUP(F355,Zones!$A$2:$F$2186,6,FALSE)</f>
        <v>542</v>
      </c>
      <c r="AB355" s="25">
        <f>VLOOKUP(L355,Zones!$A$2:$F$2186,6,FALSE)</f>
        <v>1393</v>
      </c>
    </row>
    <row r="356" spans="2:28">
      <c r="B356" s="40">
        <v>0.57638888888888895</v>
      </c>
      <c r="C356" s="40" t="s">
        <v>181</v>
      </c>
      <c r="D356" s="41">
        <v>7</v>
      </c>
      <c r="E356" s="42">
        <v>1</v>
      </c>
      <c r="F356" s="42" t="s">
        <v>146</v>
      </c>
      <c r="G356" s="43" t="s">
        <v>154</v>
      </c>
      <c r="H356" s="42" t="s">
        <v>155</v>
      </c>
      <c r="I356" s="43">
        <v>1</v>
      </c>
      <c r="J356" s="43">
        <v>1</v>
      </c>
      <c r="K356" s="25" t="str">
        <f>VLOOKUP(J356,Key!$E$2:$F$9,2,FALSE)</f>
        <v>Home</v>
      </c>
      <c r="L356" s="42" t="s">
        <v>168</v>
      </c>
      <c r="M356" s="43" t="s">
        <v>154</v>
      </c>
      <c r="N356" s="42" t="s">
        <v>155</v>
      </c>
      <c r="O356" s="43">
        <v>16</v>
      </c>
      <c r="P356" s="43">
        <v>8</v>
      </c>
      <c r="Q356" s="25" t="str">
        <f>VLOOKUP(P356,Key!$E$2:$F$9,2,FALSE)</f>
        <v>Others</v>
      </c>
      <c r="R356" s="25" t="str">
        <f t="shared" si="7"/>
        <v>Home-Others</v>
      </c>
      <c r="S356" s="58"/>
      <c r="T356" s="58"/>
      <c r="U356" s="43">
        <v>1</v>
      </c>
      <c r="V356" s="43"/>
      <c r="W356" s="58"/>
      <c r="X356" s="58"/>
      <c r="Y356" s="59" t="s">
        <v>156</v>
      </c>
      <c r="Z356" s="60">
        <v>1000</v>
      </c>
      <c r="AA356" s="25">
        <f>VLOOKUP(F356,Zones!$A$2:$F$2186,6,FALSE)</f>
        <v>1393</v>
      </c>
      <c r="AB356" s="25">
        <f>VLOOKUP(L356,Zones!$A$2:$F$2186,6,FALSE)</f>
        <v>1393</v>
      </c>
    </row>
    <row r="357" spans="2:28">
      <c r="B357" s="40">
        <v>0.57152777777777775</v>
      </c>
      <c r="C357" s="40" t="s">
        <v>182</v>
      </c>
      <c r="D357" s="41">
        <v>4</v>
      </c>
      <c r="E357" s="42">
        <v>15</v>
      </c>
      <c r="F357" s="42" t="s">
        <v>146</v>
      </c>
      <c r="G357" s="43" t="s">
        <v>154</v>
      </c>
      <c r="H357" s="42" t="s">
        <v>155</v>
      </c>
      <c r="I357" s="43">
        <v>6</v>
      </c>
      <c r="J357" s="43">
        <v>2</v>
      </c>
      <c r="K357" s="25" t="str">
        <f>VLOOKUP(J357,Key!$E$2:$F$9,2,FALSE)</f>
        <v>Work</v>
      </c>
      <c r="L357" s="42" t="s">
        <v>154</v>
      </c>
      <c r="M357" s="43" t="s">
        <v>154</v>
      </c>
      <c r="N357" s="42" t="s">
        <v>155</v>
      </c>
      <c r="O357" s="43">
        <v>6</v>
      </c>
      <c r="P357" s="43">
        <v>2</v>
      </c>
      <c r="Q357" s="25" t="str">
        <f>VLOOKUP(P357,Key!$E$2:$F$9,2,FALSE)</f>
        <v>Work</v>
      </c>
      <c r="R357" s="25" t="str">
        <f t="shared" si="7"/>
        <v>Work-Work</v>
      </c>
      <c r="S357" s="58">
        <v>10</v>
      </c>
      <c r="T357" s="58">
        <v>1</v>
      </c>
      <c r="U357" s="43">
        <v>2</v>
      </c>
      <c r="V357" s="43"/>
      <c r="W357" s="58"/>
      <c r="X357" s="58"/>
      <c r="Y357" s="59" t="s">
        <v>156</v>
      </c>
      <c r="Z357" s="60">
        <v>1000</v>
      </c>
      <c r="AA357" s="25">
        <f>VLOOKUP(F357,Zones!$A$2:$F$2186,6,FALSE)</f>
        <v>1393</v>
      </c>
      <c r="AB357" s="25">
        <f>VLOOKUP(L357,Zones!$A$2:$F$2186,6,FALSE)</f>
        <v>1408</v>
      </c>
    </row>
    <row r="358" spans="2:28">
      <c r="B358" s="40">
        <v>0.56944444444444442</v>
      </c>
      <c r="C358" s="40" t="s">
        <v>183</v>
      </c>
      <c r="D358" s="41">
        <v>8</v>
      </c>
      <c r="E358" s="42">
        <v>3</v>
      </c>
      <c r="F358" s="42" t="s">
        <v>184</v>
      </c>
      <c r="G358" s="43" t="s">
        <v>154</v>
      </c>
      <c r="H358" s="42" t="s">
        <v>155</v>
      </c>
      <c r="I358" s="43">
        <v>16</v>
      </c>
      <c r="J358" s="43">
        <v>8</v>
      </c>
      <c r="K358" s="25" t="str">
        <f>VLOOKUP(J358,Key!$E$2:$F$9,2,FALSE)</f>
        <v>Others</v>
      </c>
      <c r="L358" s="42" t="s">
        <v>168</v>
      </c>
      <c r="M358" s="43" t="s">
        <v>154</v>
      </c>
      <c r="N358" s="42" t="s">
        <v>155</v>
      </c>
      <c r="O358" s="43">
        <v>16</v>
      </c>
      <c r="P358" s="43">
        <v>8</v>
      </c>
      <c r="Q358" s="25" t="str">
        <f>VLOOKUP(P358,Key!$E$2:$F$9,2,FALSE)</f>
        <v>Others</v>
      </c>
      <c r="R358" s="25" t="str">
        <f t="shared" si="7"/>
        <v>Others-Others</v>
      </c>
      <c r="S358" s="58">
        <v>1.5</v>
      </c>
      <c r="T358" s="58">
        <v>0.1</v>
      </c>
      <c r="U358" s="43">
        <v>3</v>
      </c>
      <c r="V358" s="43"/>
      <c r="W358" s="58"/>
      <c r="X358" s="58"/>
      <c r="Y358" s="59" t="s">
        <v>156</v>
      </c>
      <c r="Z358" s="60">
        <v>0</v>
      </c>
      <c r="AA358" s="25">
        <f>VLOOKUP(F358,Zones!$A$2:$F$2186,6,FALSE)</f>
        <v>811</v>
      </c>
      <c r="AB358" s="25">
        <f>VLOOKUP(L358,Zones!$A$2:$F$2186,6,FALSE)</f>
        <v>1393</v>
      </c>
    </row>
    <row r="359" spans="2:28">
      <c r="B359" s="40">
        <v>0.56666666666666665</v>
      </c>
      <c r="C359" s="40" t="s">
        <v>185</v>
      </c>
      <c r="D359" s="41">
        <v>1</v>
      </c>
      <c r="E359" s="42">
        <v>1</v>
      </c>
      <c r="F359" s="42" t="s">
        <v>146</v>
      </c>
      <c r="G359" s="43" t="s">
        <v>154</v>
      </c>
      <c r="H359" s="42" t="s">
        <v>155</v>
      </c>
      <c r="I359" s="43">
        <v>7</v>
      </c>
      <c r="J359" s="43">
        <v>8</v>
      </c>
      <c r="K359" s="25" t="str">
        <f>VLOOKUP(J359,Key!$E$2:$F$9,2,FALSE)</f>
        <v>Others</v>
      </c>
      <c r="L359" s="42" t="s">
        <v>168</v>
      </c>
      <c r="M359" s="43" t="s">
        <v>154</v>
      </c>
      <c r="N359" s="42" t="s">
        <v>155</v>
      </c>
      <c r="O359" s="43">
        <v>4</v>
      </c>
      <c r="P359" s="43">
        <v>3</v>
      </c>
      <c r="Q359" s="25" t="str">
        <f>VLOOKUP(P359,Key!$E$2:$F$9,2,FALSE)</f>
        <v>Study</v>
      </c>
      <c r="R359" s="25" t="str">
        <f t="shared" si="7"/>
        <v>Others-Study</v>
      </c>
      <c r="S359" s="58"/>
      <c r="T359" s="58">
        <v>0.1</v>
      </c>
      <c r="U359" s="43">
        <v>2</v>
      </c>
      <c r="V359" s="43"/>
      <c r="W359" s="58"/>
      <c r="X359" s="58"/>
      <c r="Y359" s="59" t="s">
        <v>156</v>
      </c>
      <c r="Z359" s="60">
        <v>1000</v>
      </c>
      <c r="AA359" s="25">
        <f>VLOOKUP(F359,Zones!$A$2:$F$2186,6,FALSE)</f>
        <v>1393</v>
      </c>
      <c r="AB359" s="25">
        <f>VLOOKUP(L359,Zones!$A$2:$F$2186,6,FALSE)</f>
        <v>1393</v>
      </c>
    </row>
    <row r="360" spans="2:28">
      <c r="B360" s="40">
        <v>0.5625</v>
      </c>
      <c r="C360" s="40" t="s">
        <v>186</v>
      </c>
      <c r="D360" s="41">
        <v>8</v>
      </c>
      <c r="E360" s="42">
        <v>3</v>
      </c>
      <c r="F360" s="42" t="s">
        <v>187</v>
      </c>
      <c r="G360" s="43" t="s">
        <v>163</v>
      </c>
      <c r="H360" s="42" t="s">
        <v>155</v>
      </c>
      <c r="I360" s="43">
        <v>16</v>
      </c>
      <c r="J360" s="43">
        <v>8</v>
      </c>
      <c r="K360" s="25" t="str">
        <f>VLOOKUP(J360,Key!$E$2:$F$9,2,FALSE)</f>
        <v>Others</v>
      </c>
      <c r="L360" s="42" t="s">
        <v>147</v>
      </c>
      <c r="M360" s="43" t="s">
        <v>154</v>
      </c>
      <c r="N360" s="42" t="s">
        <v>155</v>
      </c>
      <c r="O360" s="43">
        <v>3</v>
      </c>
      <c r="P360" s="43">
        <v>4</v>
      </c>
      <c r="Q360" s="25" t="str">
        <f>VLOOKUP(P360,Key!$E$2:$F$9,2,FALSE)</f>
        <v>Commercial</v>
      </c>
      <c r="R360" s="25" t="str">
        <f t="shared" si="7"/>
        <v>Others-Commercial</v>
      </c>
      <c r="S360" s="58">
        <v>20</v>
      </c>
      <c r="T360" s="58">
        <v>1</v>
      </c>
      <c r="U360" s="43">
        <v>6</v>
      </c>
      <c r="V360" s="43"/>
      <c r="W360" s="58"/>
      <c r="X360" s="58"/>
      <c r="Y360" s="59" t="s">
        <v>156</v>
      </c>
      <c r="Z360" s="60">
        <v>200</v>
      </c>
      <c r="AA360" s="25">
        <f>VLOOKUP(F360,Zones!$A$2:$F$2186,6,FALSE)</f>
        <v>1064</v>
      </c>
      <c r="AB360" s="25">
        <f>VLOOKUP(L360,Zones!$A$2:$F$2186,6,FALSE)</f>
        <v>1402</v>
      </c>
    </row>
    <row r="361" spans="2:28">
      <c r="B361" s="40">
        <v>0.55833333333333335</v>
      </c>
      <c r="C361" s="40" t="s">
        <v>188</v>
      </c>
      <c r="D361" s="41">
        <v>1</v>
      </c>
      <c r="E361" s="42">
        <v>1</v>
      </c>
      <c r="F361" s="42" t="s">
        <v>189</v>
      </c>
      <c r="G361" s="43" t="s">
        <v>154</v>
      </c>
      <c r="H361" s="42" t="s">
        <v>155</v>
      </c>
      <c r="I361" s="43">
        <v>1</v>
      </c>
      <c r="J361" s="43">
        <v>1</v>
      </c>
      <c r="K361" s="25" t="str">
        <f>VLOOKUP(J361,Key!$E$2:$F$9,2,FALSE)</f>
        <v>Home</v>
      </c>
      <c r="L361" s="42" t="s">
        <v>146</v>
      </c>
      <c r="M361" s="43" t="s">
        <v>154</v>
      </c>
      <c r="N361" s="42" t="s">
        <v>155</v>
      </c>
      <c r="O361" s="43">
        <v>2</v>
      </c>
      <c r="P361" s="43">
        <v>2</v>
      </c>
      <c r="Q361" s="25" t="str">
        <f>VLOOKUP(P361,Key!$E$2:$F$9,2,FALSE)</f>
        <v>Work</v>
      </c>
      <c r="R361" s="25" t="str">
        <f t="shared" si="7"/>
        <v>Home-Work</v>
      </c>
      <c r="S361" s="58">
        <v>15</v>
      </c>
      <c r="T361" s="58">
        <v>0.3</v>
      </c>
      <c r="U361" s="43">
        <v>6</v>
      </c>
      <c r="V361" s="43"/>
      <c r="W361" s="58"/>
      <c r="X361" s="58"/>
      <c r="Y361" s="59" t="s">
        <v>156</v>
      </c>
      <c r="Z361" s="60">
        <v>0</v>
      </c>
      <c r="AA361" s="25">
        <f>VLOOKUP(F361,Zones!$A$2:$F$2186,6,FALSE)</f>
        <v>1386</v>
      </c>
      <c r="AB361" s="25">
        <f>VLOOKUP(L361,Zones!$A$2:$F$2186,6,FALSE)</f>
        <v>1393</v>
      </c>
    </row>
    <row r="362" spans="2:28">
      <c r="B362" s="40">
        <v>0.55347222222222225</v>
      </c>
      <c r="C362" s="40" t="s">
        <v>190</v>
      </c>
      <c r="D362" s="41">
        <v>2</v>
      </c>
      <c r="E362" s="42">
        <v>1</v>
      </c>
      <c r="F362" s="42" t="s">
        <v>146</v>
      </c>
      <c r="G362" s="43" t="s">
        <v>154</v>
      </c>
      <c r="H362" s="42" t="s">
        <v>155</v>
      </c>
      <c r="I362" s="43">
        <v>16</v>
      </c>
      <c r="J362" s="43">
        <v>8</v>
      </c>
      <c r="K362" s="25" t="str">
        <f>VLOOKUP(J362,Key!$E$2:$F$9,2,FALSE)</f>
        <v>Others</v>
      </c>
      <c r="L362" s="42" t="s">
        <v>168</v>
      </c>
      <c r="M362" s="43" t="s">
        <v>154</v>
      </c>
      <c r="N362" s="42" t="s">
        <v>155</v>
      </c>
      <c r="O362" s="43">
        <v>1</v>
      </c>
      <c r="P362" s="43">
        <v>1</v>
      </c>
      <c r="Q362" s="25" t="str">
        <f>VLOOKUP(P362,Key!$E$2:$F$9,2,FALSE)</f>
        <v>Home</v>
      </c>
      <c r="R362" s="25" t="str">
        <f t="shared" si="7"/>
        <v>Others-Home</v>
      </c>
      <c r="S362" s="58">
        <v>3</v>
      </c>
      <c r="T362" s="58">
        <v>0.1</v>
      </c>
      <c r="U362" s="43">
        <v>2</v>
      </c>
      <c r="V362" s="43"/>
      <c r="W362" s="58"/>
      <c r="X362" s="58"/>
      <c r="Y362" s="59" t="s">
        <v>156</v>
      </c>
      <c r="Z362" s="60">
        <v>10000</v>
      </c>
      <c r="AA362" s="25">
        <f>VLOOKUP(F362,Zones!$A$2:$F$2186,6,FALSE)</f>
        <v>1393</v>
      </c>
      <c r="AB362" s="25">
        <f>VLOOKUP(L362,Zones!$A$2:$F$2186,6,FALSE)</f>
        <v>1393</v>
      </c>
    </row>
    <row r="363" spans="2:28">
      <c r="B363" s="40">
        <v>0.55555555555555558</v>
      </c>
      <c r="C363" s="40" t="s">
        <v>191</v>
      </c>
      <c r="D363" s="41">
        <v>5</v>
      </c>
      <c r="E363" s="42">
        <v>30</v>
      </c>
      <c r="F363" s="42" t="s">
        <v>184</v>
      </c>
      <c r="G363" s="43" t="s">
        <v>154</v>
      </c>
      <c r="H363" s="42" t="s">
        <v>155</v>
      </c>
      <c r="I363" s="43">
        <v>1</v>
      </c>
      <c r="J363" s="43">
        <v>1</v>
      </c>
      <c r="K363" s="25" t="str">
        <f>VLOOKUP(J363,Key!$E$2:$F$9,2,FALSE)</f>
        <v>Home</v>
      </c>
      <c r="L363" s="42" t="s">
        <v>192</v>
      </c>
      <c r="M363" s="43" t="s">
        <v>192</v>
      </c>
      <c r="N363" s="42" t="s">
        <v>155</v>
      </c>
      <c r="O363" s="43">
        <v>16</v>
      </c>
      <c r="P363" s="43">
        <v>8</v>
      </c>
      <c r="Q363" s="25" t="str">
        <f>VLOOKUP(P363,Key!$E$2:$F$9,2,FALSE)</f>
        <v>Others</v>
      </c>
      <c r="R363" s="25" t="str">
        <f t="shared" si="7"/>
        <v>Home-Others</v>
      </c>
      <c r="S363" s="58">
        <v>27</v>
      </c>
      <c r="T363" s="58">
        <v>1</v>
      </c>
      <c r="U363" s="43">
        <v>3</v>
      </c>
      <c r="V363" s="43"/>
      <c r="W363" s="58"/>
      <c r="X363" s="58"/>
      <c r="Y363" s="59" t="s">
        <v>156</v>
      </c>
      <c r="Z363" s="60">
        <v>1000</v>
      </c>
      <c r="AA363" s="25">
        <f>VLOOKUP(F363,Zones!$A$2:$F$2186,6,FALSE)</f>
        <v>811</v>
      </c>
      <c r="AB363" s="25">
        <f>VLOOKUP(L363,Zones!$A$2:$F$2186,6,FALSE)</f>
        <v>881</v>
      </c>
    </row>
    <row r="364" spans="2:28">
      <c r="B364" s="40">
        <v>0.55208333333333337</v>
      </c>
      <c r="C364" s="40" t="s">
        <v>193</v>
      </c>
      <c r="D364" s="41">
        <v>8</v>
      </c>
      <c r="E364" s="42">
        <v>3</v>
      </c>
      <c r="F364" s="42" t="s">
        <v>194</v>
      </c>
      <c r="G364" s="43" t="s">
        <v>159</v>
      </c>
      <c r="H364" s="42" t="s">
        <v>155</v>
      </c>
      <c r="I364" s="43">
        <v>16</v>
      </c>
      <c r="J364" s="43">
        <v>8</v>
      </c>
      <c r="K364" s="25" t="str">
        <f>VLOOKUP(J364,Key!$E$2:$F$9,2,FALSE)</f>
        <v>Others</v>
      </c>
      <c r="L364" s="42" t="s">
        <v>147</v>
      </c>
      <c r="M364" s="43" t="s">
        <v>154</v>
      </c>
      <c r="N364" s="42" t="s">
        <v>155</v>
      </c>
      <c r="O364" s="43">
        <v>15</v>
      </c>
      <c r="P364" s="43">
        <v>2</v>
      </c>
      <c r="Q364" s="25" t="str">
        <f>VLOOKUP(P364,Key!$E$2:$F$9,2,FALSE)</f>
        <v>Work</v>
      </c>
      <c r="R364" s="25" t="str">
        <f t="shared" si="7"/>
        <v>Others-Work</v>
      </c>
      <c r="S364" s="58"/>
      <c r="T364" s="58">
        <v>0.5</v>
      </c>
      <c r="U364" s="43">
        <v>2</v>
      </c>
      <c r="V364" s="43"/>
      <c r="W364" s="58"/>
      <c r="X364" s="58"/>
      <c r="Y364" s="59" t="s">
        <v>156</v>
      </c>
      <c r="Z364" s="60">
        <v>5000</v>
      </c>
      <c r="AA364" s="25">
        <f>VLOOKUP(F364,Zones!$A$2:$F$2186,6,FALSE)</f>
        <v>545</v>
      </c>
      <c r="AB364" s="25">
        <f>VLOOKUP(L364,Zones!$A$2:$F$2186,6,FALSE)</f>
        <v>1402</v>
      </c>
    </row>
    <row r="365" spans="2:28">
      <c r="B365" s="40">
        <v>0.5493055555555556</v>
      </c>
      <c r="C365" s="40" t="s">
        <v>196</v>
      </c>
      <c r="D365" s="41">
        <v>1</v>
      </c>
      <c r="E365" s="42">
        <v>3</v>
      </c>
      <c r="F365" s="42" t="s">
        <v>197</v>
      </c>
      <c r="G365" s="43" t="s">
        <v>159</v>
      </c>
      <c r="H365" s="42" t="s">
        <v>155</v>
      </c>
      <c r="I365" s="43">
        <v>5</v>
      </c>
      <c r="J365" s="43">
        <v>7</v>
      </c>
      <c r="K365" s="25" t="str">
        <f>VLOOKUP(J365,Key!$E$2:$F$9,2,FALSE)</f>
        <v>Hospital</v>
      </c>
      <c r="L365" s="42" t="s">
        <v>146</v>
      </c>
      <c r="M365" s="43" t="s">
        <v>154</v>
      </c>
      <c r="N365" s="42" t="s">
        <v>155</v>
      </c>
      <c r="O365" s="43">
        <v>1</v>
      </c>
      <c r="P365" s="43">
        <v>1</v>
      </c>
      <c r="Q365" s="25" t="str">
        <f>VLOOKUP(P365,Key!$E$2:$F$9,2,FALSE)</f>
        <v>Home</v>
      </c>
      <c r="R365" s="25" t="str">
        <f t="shared" si="7"/>
        <v>Hospital-Home</v>
      </c>
      <c r="S365" s="58">
        <v>20</v>
      </c>
      <c r="T365" s="58">
        <v>0.7</v>
      </c>
      <c r="U365" s="43">
        <v>2</v>
      </c>
      <c r="V365" s="43"/>
      <c r="W365" s="58"/>
      <c r="X365" s="58"/>
      <c r="Y365" s="59" t="s">
        <v>156</v>
      </c>
      <c r="Z365" s="60">
        <v>2000</v>
      </c>
      <c r="AA365" s="25">
        <f>VLOOKUP(F365,Zones!$A$2:$F$2186,6,FALSE)</f>
        <v>513</v>
      </c>
      <c r="AB365" s="25">
        <f>VLOOKUP(L365,Zones!$A$2:$F$2186,6,FALSE)</f>
        <v>1393</v>
      </c>
    </row>
    <row r="366" spans="2:28">
      <c r="B366" s="40">
        <v>0.54375000000000007</v>
      </c>
      <c r="C366" s="40" t="s">
        <v>198</v>
      </c>
      <c r="D366" s="41">
        <v>1</v>
      </c>
      <c r="E366" s="42">
        <v>3</v>
      </c>
      <c r="F366" s="42" t="s">
        <v>199</v>
      </c>
      <c r="G366" s="43" t="s">
        <v>159</v>
      </c>
      <c r="H366" s="42" t="s">
        <v>155</v>
      </c>
      <c r="I366" s="43">
        <v>2</v>
      </c>
      <c r="J366" s="43">
        <v>2</v>
      </c>
      <c r="K366" s="25" t="str">
        <f>VLOOKUP(J366,Key!$E$2:$F$9,2,FALSE)</f>
        <v>Work</v>
      </c>
      <c r="L366" s="42" t="s">
        <v>173</v>
      </c>
      <c r="M366" s="43" t="s">
        <v>154</v>
      </c>
      <c r="N366" s="42" t="s">
        <v>155</v>
      </c>
      <c r="O366" s="43">
        <v>1</v>
      </c>
      <c r="P366" s="43">
        <v>1</v>
      </c>
      <c r="Q366" s="25" t="str">
        <f>VLOOKUP(P366,Key!$E$2:$F$9,2,FALSE)</f>
        <v>Home</v>
      </c>
      <c r="R366" s="25" t="str">
        <f t="shared" si="7"/>
        <v>Work-Home</v>
      </c>
      <c r="S366" s="58">
        <v>18</v>
      </c>
      <c r="T366" s="58">
        <v>0.5</v>
      </c>
      <c r="U366" s="43">
        <v>2</v>
      </c>
      <c r="V366" s="43"/>
      <c r="W366" s="58"/>
      <c r="X366" s="58"/>
      <c r="Y366" s="59" t="s">
        <v>156</v>
      </c>
      <c r="Z366" s="60">
        <v>0</v>
      </c>
      <c r="AA366" s="25">
        <f>VLOOKUP(F366,Zones!$A$2:$F$2186,6,FALSE)</f>
        <v>577</v>
      </c>
      <c r="AB366" s="25">
        <f>VLOOKUP(L366,Zones!$A$2:$F$2186,6,FALSE)</f>
        <v>1408</v>
      </c>
    </row>
    <row r="367" spans="2:28">
      <c r="B367" s="40">
        <v>0.53263888888888888</v>
      </c>
      <c r="C367" s="40" t="s">
        <v>200</v>
      </c>
      <c r="D367" s="41">
        <v>2</v>
      </c>
      <c r="E367" s="42">
        <v>2</v>
      </c>
      <c r="F367" s="42" t="s">
        <v>146</v>
      </c>
      <c r="G367" s="43" t="s">
        <v>154</v>
      </c>
      <c r="H367" s="42" t="s">
        <v>155</v>
      </c>
      <c r="I367" s="43">
        <v>16</v>
      </c>
      <c r="J367" s="43">
        <v>8</v>
      </c>
      <c r="K367" s="25" t="str">
        <f>VLOOKUP(J367,Key!$E$2:$F$9,2,FALSE)</f>
        <v>Others</v>
      </c>
      <c r="L367" s="42" t="s">
        <v>201</v>
      </c>
      <c r="M367" s="43" t="s">
        <v>202</v>
      </c>
      <c r="N367" s="42" t="s">
        <v>155</v>
      </c>
      <c r="O367" s="43">
        <v>16</v>
      </c>
      <c r="P367" s="43">
        <v>8</v>
      </c>
      <c r="Q367" s="25" t="str">
        <f>VLOOKUP(P367,Key!$E$2:$F$9,2,FALSE)</f>
        <v>Others</v>
      </c>
      <c r="R367" s="25" t="str">
        <f t="shared" si="7"/>
        <v>Others-Others</v>
      </c>
      <c r="S367" s="58">
        <v>60</v>
      </c>
      <c r="T367" s="58">
        <v>4</v>
      </c>
      <c r="U367" s="43">
        <v>2</v>
      </c>
      <c r="V367" s="43"/>
      <c r="W367" s="58"/>
      <c r="X367" s="58"/>
      <c r="Y367" s="59" t="s">
        <v>156</v>
      </c>
      <c r="Z367" s="60">
        <v>0</v>
      </c>
      <c r="AA367" s="25">
        <f>VLOOKUP(F367,Zones!$A$2:$F$2186,6,FALSE)</f>
        <v>1393</v>
      </c>
      <c r="AB367" s="25">
        <f>VLOOKUP(L367,Zones!$A$2:$F$2186,6,FALSE)</f>
        <v>1092</v>
      </c>
    </row>
    <row r="368" spans="2:28">
      <c r="B368" s="40">
        <v>0.53125</v>
      </c>
      <c r="C368" s="40" t="s">
        <v>203</v>
      </c>
      <c r="D368" s="41">
        <v>1</v>
      </c>
      <c r="E368" s="42">
        <v>1</v>
      </c>
      <c r="F368" s="42" t="s">
        <v>146</v>
      </c>
      <c r="G368" s="43" t="s">
        <v>154</v>
      </c>
      <c r="H368" s="42" t="s">
        <v>155</v>
      </c>
      <c r="I368" s="43">
        <v>16</v>
      </c>
      <c r="J368" s="43">
        <v>8</v>
      </c>
      <c r="K368" s="25" t="str">
        <f>VLOOKUP(J368,Key!$E$2:$F$9,2,FALSE)</f>
        <v>Others</v>
      </c>
      <c r="L368" s="42" t="s">
        <v>175</v>
      </c>
      <c r="M368" s="43" t="s">
        <v>154</v>
      </c>
      <c r="N368" s="42" t="s">
        <v>155</v>
      </c>
      <c r="O368" s="43">
        <v>16</v>
      </c>
      <c r="P368" s="43">
        <v>8</v>
      </c>
      <c r="Q368" s="25" t="str">
        <f>VLOOKUP(P368,Key!$E$2:$F$9,2,FALSE)</f>
        <v>Others</v>
      </c>
      <c r="R368" s="25" t="str">
        <f t="shared" si="7"/>
        <v>Others-Others</v>
      </c>
      <c r="S368" s="58"/>
      <c r="T368" s="58">
        <v>0.2</v>
      </c>
      <c r="U368" s="43">
        <v>2</v>
      </c>
      <c r="V368" s="43"/>
      <c r="W368" s="58"/>
      <c r="X368" s="58"/>
      <c r="Y368" s="59" t="s">
        <v>156</v>
      </c>
      <c r="Z368" s="60">
        <v>1000</v>
      </c>
      <c r="AA368" s="25">
        <f>VLOOKUP(F368,Zones!$A$2:$F$2186,6,FALSE)</f>
        <v>1393</v>
      </c>
      <c r="AB368" s="25">
        <f>VLOOKUP(L368,Zones!$A$2:$F$2186,6,FALSE)</f>
        <v>1402</v>
      </c>
    </row>
    <row r="369" spans="2:28">
      <c r="B369" s="40">
        <v>0.52708333333333335</v>
      </c>
      <c r="C369" s="40" t="s">
        <v>204</v>
      </c>
      <c r="D369" s="41">
        <v>2</v>
      </c>
      <c r="E369" s="42">
        <v>2</v>
      </c>
      <c r="F369" s="42" t="s">
        <v>205</v>
      </c>
      <c r="G369" s="43" t="s">
        <v>154</v>
      </c>
      <c r="H369" s="42" t="s">
        <v>155</v>
      </c>
      <c r="I369" s="43">
        <v>16</v>
      </c>
      <c r="J369" s="43">
        <v>2</v>
      </c>
      <c r="K369" s="25" t="str">
        <f>VLOOKUP(J369,Key!$E$2:$F$9,2,FALSE)</f>
        <v>Work</v>
      </c>
      <c r="L369" s="42" t="s">
        <v>147</v>
      </c>
      <c r="M369" s="43" t="s">
        <v>154</v>
      </c>
      <c r="N369" s="42" t="s">
        <v>155</v>
      </c>
      <c r="O369" s="43">
        <v>16</v>
      </c>
      <c r="P369" s="43">
        <v>2</v>
      </c>
      <c r="Q369" s="25" t="str">
        <f>VLOOKUP(P369,Key!$E$2:$F$9,2,FALSE)</f>
        <v>Work</v>
      </c>
      <c r="R369" s="25" t="str">
        <f t="shared" si="7"/>
        <v>Work-Work</v>
      </c>
      <c r="S369" s="58"/>
      <c r="T369" s="58"/>
      <c r="U369" s="43">
        <v>2</v>
      </c>
      <c r="V369" s="43"/>
      <c r="W369" s="58"/>
      <c r="X369" s="58"/>
      <c r="Y369" s="59" t="s">
        <v>156</v>
      </c>
      <c r="Z369" s="60">
        <v>0</v>
      </c>
      <c r="AA369" s="25">
        <f>VLOOKUP(F369,Zones!$A$2:$F$2186,6,FALSE)</f>
        <v>892</v>
      </c>
      <c r="AB369" s="25">
        <f>VLOOKUP(L369,Zones!$A$2:$F$2186,6,FALSE)</f>
        <v>1402</v>
      </c>
    </row>
    <row r="370" spans="2:28">
      <c r="B370" s="40">
        <v>0.52638888888888891</v>
      </c>
      <c r="C370" s="40" t="s">
        <v>206</v>
      </c>
      <c r="D370" s="41">
        <v>7</v>
      </c>
      <c r="E370" s="42">
        <v>3</v>
      </c>
      <c r="F370" s="42" t="s">
        <v>207</v>
      </c>
      <c r="G370" s="43" t="s">
        <v>154</v>
      </c>
      <c r="H370" s="42" t="s">
        <v>155</v>
      </c>
      <c r="I370" s="43">
        <v>1</v>
      </c>
      <c r="J370" s="43">
        <v>1</v>
      </c>
      <c r="K370" s="25" t="str">
        <f>VLOOKUP(J370,Key!$E$2:$F$9,2,FALSE)</f>
        <v>Home</v>
      </c>
      <c r="L370" s="42" t="s">
        <v>168</v>
      </c>
      <c r="M370" s="43" t="s">
        <v>154</v>
      </c>
      <c r="N370" s="42" t="s">
        <v>155</v>
      </c>
      <c r="O370" s="43">
        <v>16</v>
      </c>
      <c r="P370" s="43">
        <v>8</v>
      </c>
      <c r="Q370" s="25" t="str">
        <f>VLOOKUP(P370,Key!$E$2:$F$9,2,FALSE)</f>
        <v>Others</v>
      </c>
      <c r="R370" s="25" t="str">
        <f t="shared" si="7"/>
        <v>Home-Others</v>
      </c>
      <c r="S370" s="58"/>
      <c r="T370" s="58">
        <v>0.5</v>
      </c>
      <c r="U370" s="43">
        <v>6</v>
      </c>
      <c r="V370" s="43"/>
      <c r="W370" s="58"/>
      <c r="X370" s="58"/>
      <c r="Y370" s="59" t="s">
        <v>156</v>
      </c>
      <c r="Z370" s="60">
        <v>1000</v>
      </c>
      <c r="AA370" s="25">
        <f>VLOOKUP(F370,Zones!$A$2:$F$2186,6,FALSE)</f>
        <v>1406</v>
      </c>
      <c r="AB370" s="25">
        <f>VLOOKUP(L370,Zones!$A$2:$F$2186,6,FALSE)</f>
        <v>1393</v>
      </c>
    </row>
    <row r="371" spans="2:28">
      <c r="B371" s="40">
        <v>0.52152777777777781</v>
      </c>
      <c r="C371" s="40" t="s">
        <v>208</v>
      </c>
      <c r="D371" s="41">
        <v>1</v>
      </c>
      <c r="E371" s="42">
        <v>2</v>
      </c>
      <c r="F371" s="42" t="s">
        <v>209</v>
      </c>
      <c r="G371" s="43" t="s">
        <v>154</v>
      </c>
      <c r="H371" s="42" t="s">
        <v>155</v>
      </c>
      <c r="I371" s="43">
        <v>1</v>
      </c>
      <c r="J371" s="43">
        <v>1</v>
      </c>
      <c r="K371" s="25" t="str">
        <f>VLOOKUP(J371,Key!$E$2:$F$9,2,FALSE)</f>
        <v>Home</v>
      </c>
      <c r="L371" s="42" t="s">
        <v>168</v>
      </c>
      <c r="M371" s="43" t="s">
        <v>154</v>
      </c>
      <c r="N371" s="42" t="s">
        <v>155</v>
      </c>
      <c r="O371" s="43">
        <v>16</v>
      </c>
      <c r="P371" s="43">
        <v>8</v>
      </c>
      <c r="Q371" s="25" t="str">
        <f>VLOOKUP(P371,Key!$E$2:$F$9,2,FALSE)</f>
        <v>Others</v>
      </c>
      <c r="R371" s="25" t="str">
        <f t="shared" si="7"/>
        <v>Home-Others</v>
      </c>
      <c r="S371" s="58"/>
      <c r="T371" s="58">
        <v>0.3</v>
      </c>
      <c r="U371" s="43">
        <v>4</v>
      </c>
      <c r="V371" s="43"/>
      <c r="W371" s="58"/>
      <c r="X371" s="58"/>
      <c r="Y371" s="59" t="s">
        <v>156</v>
      </c>
      <c r="Z371" s="60">
        <v>2000</v>
      </c>
      <c r="AA371" s="25">
        <f>VLOOKUP(F371,Zones!$A$2:$F$2186,6,FALSE)</f>
        <v>1405</v>
      </c>
      <c r="AB371" s="25">
        <f>VLOOKUP(L371,Zones!$A$2:$F$2186,6,FALSE)</f>
        <v>1393</v>
      </c>
    </row>
    <row r="372" spans="2:28">
      <c r="B372" s="40">
        <v>0.51597222222222217</v>
      </c>
      <c r="C372" s="40" t="s">
        <v>210</v>
      </c>
      <c r="D372" s="41">
        <v>4</v>
      </c>
      <c r="E372" s="42">
        <v>15</v>
      </c>
      <c r="F372" s="42" t="s">
        <v>3281</v>
      </c>
      <c r="G372" s="43" t="s">
        <v>154</v>
      </c>
      <c r="H372" s="42" t="s">
        <v>155</v>
      </c>
      <c r="I372" s="43">
        <v>1</v>
      </c>
      <c r="J372" s="43">
        <v>1</v>
      </c>
      <c r="K372" s="25" t="str">
        <f>VLOOKUP(J372,Key!$E$2:$F$9,2,FALSE)</f>
        <v>Home</v>
      </c>
      <c r="L372" s="42" t="s">
        <v>192</v>
      </c>
      <c r="M372" s="43" t="s">
        <v>192</v>
      </c>
      <c r="N372" s="42" t="s">
        <v>155</v>
      </c>
      <c r="O372" s="43">
        <v>16</v>
      </c>
      <c r="P372" s="43">
        <v>2</v>
      </c>
      <c r="Q372" s="25" t="str">
        <f>VLOOKUP(P372,Key!$E$2:$F$9,2,FALSE)</f>
        <v>Work</v>
      </c>
      <c r="R372" s="25" t="str">
        <f t="shared" si="7"/>
        <v>Home-Work</v>
      </c>
      <c r="S372" s="58">
        <v>40</v>
      </c>
      <c r="T372" s="58">
        <v>0.7</v>
      </c>
      <c r="U372" s="43">
        <v>6</v>
      </c>
      <c r="V372" s="43"/>
      <c r="W372" s="58"/>
      <c r="X372" s="58"/>
      <c r="Y372" s="59" t="s">
        <v>156</v>
      </c>
      <c r="Z372" s="60">
        <v>500</v>
      </c>
      <c r="AA372" s="25">
        <f>VLOOKUP(F372,Zones!$A$2:$F$2186,6,FALSE)</f>
        <v>1408</v>
      </c>
      <c r="AB372" s="25">
        <f>VLOOKUP(L372,Zones!$A$2:$F$2186,6,FALSE)</f>
        <v>881</v>
      </c>
    </row>
    <row r="373" spans="2:28">
      <c r="B373" s="40">
        <v>0.51250000000000007</v>
      </c>
      <c r="C373" s="40" t="s">
        <v>212</v>
      </c>
      <c r="D373" s="41">
        <v>2</v>
      </c>
      <c r="E373" s="42">
        <v>1</v>
      </c>
      <c r="F373" s="42" t="s">
        <v>146</v>
      </c>
      <c r="G373" s="43" t="s">
        <v>154</v>
      </c>
      <c r="H373" s="42" t="s">
        <v>155</v>
      </c>
      <c r="I373" s="43">
        <v>1</v>
      </c>
      <c r="J373" s="43">
        <v>2</v>
      </c>
      <c r="K373" s="25" t="str">
        <f>VLOOKUP(J373,Key!$E$2:$F$9,2,FALSE)</f>
        <v>Work</v>
      </c>
      <c r="L373" s="42" t="s">
        <v>146</v>
      </c>
      <c r="M373" s="43" t="s">
        <v>154</v>
      </c>
      <c r="N373" s="42" t="s">
        <v>155</v>
      </c>
      <c r="O373" s="43">
        <v>16</v>
      </c>
      <c r="P373" s="43">
        <v>8</v>
      </c>
      <c r="Q373" s="25" t="str">
        <f>VLOOKUP(P373,Key!$E$2:$F$9,2,FALSE)</f>
        <v>Others</v>
      </c>
      <c r="R373" s="25" t="str">
        <f t="shared" si="7"/>
        <v>Work-Others</v>
      </c>
      <c r="S373" s="58"/>
      <c r="T373" s="58"/>
      <c r="U373" s="43">
        <v>6</v>
      </c>
      <c r="V373" s="43"/>
      <c r="W373" s="58"/>
      <c r="X373" s="58"/>
      <c r="Y373" s="59" t="s">
        <v>156</v>
      </c>
      <c r="Z373" s="60">
        <v>0</v>
      </c>
      <c r="AA373" s="25">
        <f>VLOOKUP(F373,Zones!$A$2:$F$2186,6,FALSE)</f>
        <v>1393</v>
      </c>
      <c r="AB373" s="25">
        <f>VLOOKUP(L373,Zones!$A$2:$F$2186,6,FALSE)</f>
        <v>1393</v>
      </c>
    </row>
    <row r="374" spans="2:28">
      <c r="B374" s="40">
        <v>0.51388888888888895</v>
      </c>
      <c r="C374" s="40" t="s">
        <v>213</v>
      </c>
      <c r="D374" s="41">
        <v>8</v>
      </c>
      <c r="E374" s="42">
        <v>2</v>
      </c>
      <c r="F374" s="42" t="s">
        <v>184</v>
      </c>
      <c r="G374" s="43" t="s">
        <v>154</v>
      </c>
      <c r="H374" s="42" t="s">
        <v>155</v>
      </c>
      <c r="I374" s="43">
        <v>11</v>
      </c>
      <c r="J374" s="43">
        <v>4</v>
      </c>
      <c r="K374" s="25" t="str">
        <f>VLOOKUP(J374,Key!$E$2:$F$9,2,FALSE)</f>
        <v>Commercial</v>
      </c>
      <c r="L374" s="42" t="s">
        <v>147</v>
      </c>
      <c r="M374" s="43" t="s">
        <v>154</v>
      </c>
      <c r="N374" s="42" t="s">
        <v>155</v>
      </c>
      <c r="O374" s="43">
        <v>11</v>
      </c>
      <c r="P374" s="43">
        <v>4</v>
      </c>
      <c r="Q374" s="25" t="str">
        <f>VLOOKUP(P374,Key!$E$2:$F$9,2,FALSE)</f>
        <v>Commercial</v>
      </c>
      <c r="R374" s="25" t="str">
        <f t="shared" si="7"/>
        <v>Commercial-Commercial</v>
      </c>
      <c r="S374" s="58"/>
      <c r="T374" s="58">
        <v>12</v>
      </c>
      <c r="U374" s="43">
        <v>0.5</v>
      </c>
      <c r="V374" s="43">
        <v>2</v>
      </c>
      <c r="W374" s="58"/>
      <c r="X374" s="58"/>
      <c r="Y374" s="59" t="s">
        <v>156</v>
      </c>
      <c r="Z374" s="60">
        <v>300</v>
      </c>
      <c r="AA374" s="25">
        <f>VLOOKUP(F374,Zones!$A$2:$F$2186,6,FALSE)</f>
        <v>811</v>
      </c>
      <c r="AB374" s="25">
        <f>VLOOKUP(L374,Zones!$A$2:$F$2186,6,FALSE)</f>
        <v>1402</v>
      </c>
    </row>
    <row r="375" spans="2:28">
      <c r="B375" s="40">
        <v>0.50555555555555554</v>
      </c>
      <c r="C375" s="40" t="s">
        <v>214</v>
      </c>
      <c r="D375" s="41">
        <v>2</v>
      </c>
      <c r="E375" s="42">
        <v>1</v>
      </c>
      <c r="F375" s="42" t="s">
        <v>159</v>
      </c>
      <c r="G375" s="43" t="s">
        <v>159</v>
      </c>
      <c r="H375" s="42" t="s">
        <v>155</v>
      </c>
      <c r="I375" s="43">
        <v>2</v>
      </c>
      <c r="J375" s="43">
        <v>2</v>
      </c>
      <c r="K375" s="25" t="str">
        <f>VLOOKUP(J375,Key!$E$2:$F$9,2,FALSE)</f>
        <v>Work</v>
      </c>
      <c r="L375" s="42" t="s">
        <v>215</v>
      </c>
      <c r="M375" s="43" t="s">
        <v>215</v>
      </c>
      <c r="N375" s="42" t="s">
        <v>155</v>
      </c>
      <c r="O375" s="43">
        <v>2</v>
      </c>
      <c r="P375" s="43">
        <v>2</v>
      </c>
      <c r="Q375" s="25" t="str">
        <f>VLOOKUP(P375,Key!$E$2:$F$9,2,FALSE)</f>
        <v>Work</v>
      </c>
      <c r="R375" s="25" t="str">
        <f t="shared" si="7"/>
        <v>Work-Work</v>
      </c>
      <c r="S375" s="58">
        <v>300</v>
      </c>
      <c r="T375" s="58">
        <v>6</v>
      </c>
      <c r="U375" s="43">
        <v>4</v>
      </c>
      <c r="V375" s="43"/>
      <c r="W375" s="58"/>
      <c r="X375" s="58"/>
      <c r="Y375" s="59" t="s">
        <v>156</v>
      </c>
      <c r="Z375" s="60">
        <v>0</v>
      </c>
      <c r="AA375" s="25">
        <f>VLOOKUP(F375,Zones!$A$2:$F$2186,6,FALSE)</f>
        <v>521</v>
      </c>
      <c r="AB375" s="25">
        <f>VLOOKUP(L375,Zones!$A$2:$F$2186,6,FALSE)</f>
        <v>335</v>
      </c>
    </row>
    <row r="376" spans="2:28">
      <c r="B376" s="40">
        <v>0.50138888888888888</v>
      </c>
      <c r="C376" s="40" t="s">
        <v>216</v>
      </c>
      <c r="D376" s="41">
        <v>2</v>
      </c>
      <c r="E376" s="42">
        <v>2</v>
      </c>
      <c r="F376" s="42" t="s">
        <v>217</v>
      </c>
      <c r="G376" s="43" t="s">
        <v>159</v>
      </c>
      <c r="H376" s="42" t="s">
        <v>155</v>
      </c>
      <c r="I376" s="43">
        <v>2</v>
      </c>
      <c r="J376" s="43">
        <v>2</v>
      </c>
      <c r="K376" s="25" t="str">
        <f>VLOOKUP(J376,Key!$E$2:$F$9,2,FALSE)</f>
        <v>Work</v>
      </c>
      <c r="L376" s="42" t="s">
        <v>154</v>
      </c>
      <c r="M376" s="43" t="s">
        <v>154</v>
      </c>
      <c r="N376" s="42" t="s">
        <v>155</v>
      </c>
      <c r="O376" s="43">
        <v>2</v>
      </c>
      <c r="P376" s="43">
        <v>2</v>
      </c>
      <c r="Q376" s="25" t="str">
        <f>VLOOKUP(P376,Key!$E$2:$F$9,2,FALSE)</f>
        <v>Work</v>
      </c>
      <c r="R376" s="25" t="str">
        <f t="shared" si="7"/>
        <v>Work-Work</v>
      </c>
      <c r="S376" s="58"/>
      <c r="T376" s="58">
        <v>0.5</v>
      </c>
      <c r="U376" s="43">
        <v>3</v>
      </c>
      <c r="V376" s="43"/>
      <c r="W376" s="58"/>
      <c r="X376" s="58"/>
      <c r="Y376" s="59" t="s">
        <v>156</v>
      </c>
      <c r="Z376" s="60">
        <v>500</v>
      </c>
      <c r="AA376" s="25">
        <f>VLOOKUP(F376,Zones!$A$2:$F$2186,6,FALSE)</f>
        <v>554</v>
      </c>
      <c r="AB376" s="25">
        <f>VLOOKUP(L376,Zones!$A$2:$F$2186,6,FALSE)</f>
        <v>1408</v>
      </c>
    </row>
    <row r="377" spans="2:28">
      <c r="B377" s="40">
        <v>0.49791666666666662</v>
      </c>
      <c r="C377" s="40" t="s">
        <v>218</v>
      </c>
      <c r="D377" s="41">
        <v>2</v>
      </c>
      <c r="E377" s="42">
        <v>3</v>
      </c>
      <c r="F377" s="42" t="s">
        <v>146</v>
      </c>
      <c r="G377" s="43" t="s">
        <v>154</v>
      </c>
      <c r="H377" s="42" t="s">
        <v>155</v>
      </c>
      <c r="I377" s="43">
        <v>16</v>
      </c>
      <c r="J377" s="43">
        <v>8</v>
      </c>
      <c r="K377" s="25" t="str">
        <f>VLOOKUP(J377,Key!$E$2:$F$9,2,FALSE)</f>
        <v>Others</v>
      </c>
      <c r="L377" s="42" t="s">
        <v>173</v>
      </c>
      <c r="M377" s="43" t="s">
        <v>154</v>
      </c>
      <c r="N377" s="42" t="s">
        <v>155</v>
      </c>
      <c r="O377" s="43">
        <v>16</v>
      </c>
      <c r="P377" s="43">
        <v>2</v>
      </c>
      <c r="Q377" s="25" t="str">
        <f>VLOOKUP(P377,Key!$E$2:$F$9,2,FALSE)</f>
        <v>Work</v>
      </c>
      <c r="R377" s="25" t="str">
        <f t="shared" si="7"/>
        <v>Others-Work</v>
      </c>
      <c r="S377" s="58"/>
      <c r="T377" s="58"/>
      <c r="U377" s="43">
        <v>1</v>
      </c>
      <c r="V377" s="43"/>
      <c r="W377" s="58"/>
      <c r="X377" s="58"/>
      <c r="Y377" s="59" t="s">
        <v>156</v>
      </c>
      <c r="Z377" s="60">
        <v>2000</v>
      </c>
      <c r="AA377" s="25">
        <f>VLOOKUP(F377,Zones!$A$2:$F$2186,6,FALSE)</f>
        <v>1393</v>
      </c>
      <c r="AB377" s="25">
        <f>VLOOKUP(L377,Zones!$A$2:$F$2186,6,FALSE)</f>
        <v>1408</v>
      </c>
    </row>
    <row r="378" spans="2:28">
      <c r="B378" s="40">
        <v>0.49027777777777781</v>
      </c>
      <c r="C378" s="40" t="s">
        <v>219</v>
      </c>
      <c r="D378" s="41">
        <v>1</v>
      </c>
      <c r="E378" s="42">
        <v>1</v>
      </c>
      <c r="F378" s="42" t="s">
        <v>146</v>
      </c>
      <c r="G378" s="43" t="s">
        <v>154</v>
      </c>
      <c r="H378" s="42" t="s">
        <v>155</v>
      </c>
      <c r="I378" s="43">
        <v>2</v>
      </c>
      <c r="J378" s="43">
        <v>2</v>
      </c>
      <c r="K378" s="25" t="str">
        <f>VLOOKUP(J378,Key!$E$2:$F$9,2,FALSE)</f>
        <v>Work</v>
      </c>
      <c r="L378" s="42" t="s">
        <v>146</v>
      </c>
      <c r="M378" s="43" t="s">
        <v>154</v>
      </c>
      <c r="N378" s="42" t="s">
        <v>155</v>
      </c>
      <c r="O378" s="43">
        <v>2</v>
      </c>
      <c r="P378" s="43">
        <v>2</v>
      </c>
      <c r="Q378" s="25" t="str">
        <f>VLOOKUP(P378,Key!$E$2:$F$9,2,FALSE)</f>
        <v>Work</v>
      </c>
      <c r="R378" s="25" t="str">
        <f t="shared" si="7"/>
        <v>Work-Work</v>
      </c>
      <c r="S378" s="58"/>
      <c r="T378" s="58"/>
      <c r="U378" s="43">
        <v>1</v>
      </c>
      <c r="V378" s="43"/>
      <c r="W378" s="58"/>
      <c r="X378" s="58"/>
      <c r="Y378" s="59" t="s">
        <v>156</v>
      </c>
      <c r="Z378" s="60">
        <v>0</v>
      </c>
      <c r="AA378" s="25">
        <f>VLOOKUP(F378,Zones!$A$2:$F$2186,6,FALSE)</f>
        <v>1393</v>
      </c>
      <c r="AB378" s="25">
        <f>VLOOKUP(L378,Zones!$A$2:$F$2186,6,FALSE)</f>
        <v>1393</v>
      </c>
    </row>
    <row r="379" spans="2:28">
      <c r="B379" s="40">
        <v>0.48819444444444443</v>
      </c>
      <c r="C379" s="40" t="s">
        <v>220</v>
      </c>
      <c r="D379" s="41">
        <v>1</v>
      </c>
      <c r="E379" s="42">
        <v>5</v>
      </c>
      <c r="F379" s="42" t="s">
        <v>221</v>
      </c>
      <c r="G379" s="43" t="s">
        <v>154</v>
      </c>
      <c r="H379" s="42" t="s">
        <v>155</v>
      </c>
      <c r="I379" s="43">
        <v>1</v>
      </c>
      <c r="J379" s="43">
        <v>1</v>
      </c>
      <c r="K379" s="25" t="str">
        <f>VLOOKUP(J379,Key!$E$2:$F$9,2,FALSE)</f>
        <v>Home</v>
      </c>
      <c r="L379" s="42" t="s">
        <v>147</v>
      </c>
      <c r="M379" s="43" t="s">
        <v>154</v>
      </c>
      <c r="N379" s="42" t="s">
        <v>155</v>
      </c>
      <c r="O379" s="43">
        <v>1</v>
      </c>
      <c r="P379" s="43">
        <v>1</v>
      </c>
      <c r="Q379" s="25" t="str">
        <f>VLOOKUP(P379,Key!$E$2:$F$9,2,FALSE)</f>
        <v>Home</v>
      </c>
      <c r="R379" s="25" t="str">
        <f t="shared" si="7"/>
        <v>Home-Home</v>
      </c>
      <c r="S379" s="58"/>
      <c r="T379" s="58">
        <v>0.5</v>
      </c>
      <c r="U379" s="43">
        <v>3</v>
      </c>
      <c r="V379" s="43"/>
      <c r="W379" s="58"/>
      <c r="X379" s="58"/>
      <c r="Y379" s="59" t="s">
        <v>156</v>
      </c>
      <c r="Z379" s="60">
        <v>500</v>
      </c>
      <c r="AA379" s="25">
        <f>VLOOKUP(F379,Zones!$A$2:$F$2186,6,FALSE)</f>
        <v>1387</v>
      </c>
      <c r="AB379" s="25">
        <f>VLOOKUP(L379,Zones!$A$2:$F$2186,6,FALSE)</f>
        <v>1402</v>
      </c>
    </row>
    <row r="380" spans="2:28">
      <c r="B380" s="40">
        <v>0.48402777777777778</v>
      </c>
      <c r="C380" s="40" t="s">
        <v>223</v>
      </c>
      <c r="D380" s="41">
        <v>1</v>
      </c>
      <c r="E380" s="42">
        <v>2</v>
      </c>
      <c r="F380" s="42" t="s">
        <v>159</v>
      </c>
      <c r="G380" s="43" t="s">
        <v>159</v>
      </c>
      <c r="H380" s="42" t="s">
        <v>155</v>
      </c>
      <c r="I380" s="43">
        <v>16</v>
      </c>
      <c r="J380" s="43">
        <v>2</v>
      </c>
      <c r="K380" s="25" t="str">
        <f>VLOOKUP(J380,Key!$E$2:$F$9,2,FALSE)</f>
        <v>Work</v>
      </c>
      <c r="L380" s="42" t="s">
        <v>168</v>
      </c>
      <c r="M380" s="43" t="s">
        <v>154</v>
      </c>
      <c r="N380" s="42" t="s">
        <v>155</v>
      </c>
      <c r="O380" s="43">
        <v>16</v>
      </c>
      <c r="P380" s="43">
        <v>2</v>
      </c>
      <c r="Q380" s="25" t="str">
        <f>VLOOKUP(P380,Key!$E$2:$F$9,2,FALSE)</f>
        <v>Work</v>
      </c>
      <c r="R380" s="25" t="str">
        <f t="shared" si="7"/>
        <v>Work-Work</v>
      </c>
      <c r="S380" s="58"/>
      <c r="T380" s="58">
        <v>0.2</v>
      </c>
      <c r="U380" s="43">
        <v>6</v>
      </c>
      <c r="V380" s="43"/>
      <c r="W380" s="58"/>
      <c r="X380" s="58"/>
      <c r="Y380" s="59" t="s">
        <v>156</v>
      </c>
      <c r="Z380" s="60">
        <v>2000</v>
      </c>
      <c r="AA380" s="25">
        <f>VLOOKUP(F380,Zones!$A$2:$F$2186,6,FALSE)</f>
        <v>521</v>
      </c>
      <c r="AB380" s="25">
        <f>VLOOKUP(L380,Zones!$A$2:$F$2186,6,FALSE)</f>
        <v>1393</v>
      </c>
    </row>
    <row r="381" spans="2:28">
      <c r="B381" s="40">
        <v>0.4826388888888889</v>
      </c>
      <c r="C381" s="40" t="s">
        <v>224</v>
      </c>
      <c r="D381" s="41">
        <v>4</v>
      </c>
      <c r="E381" s="42">
        <v>16</v>
      </c>
      <c r="F381" s="42" t="s">
        <v>146</v>
      </c>
      <c r="G381" s="43" t="s">
        <v>154</v>
      </c>
      <c r="H381" s="42" t="s">
        <v>155</v>
      </c>
      <c r="I381" s="43">
        <v>6</v>
      </c>
      <c r="J381" s="43">
        <v>2</v>
      </c>
      <c r="K381" s="25" t="str">
        <f>VLOOKUP(J381,Key!$E$2:$F$9,2,FALSE)</f>
        <v>Work</v>
      </c>
      <c r="L381" s="42" t="s">
        <v>147</v>
      </c>
      <c r="M381" s="43" t="s">
        <v>154</v>
      </c>
      <c r="N381" s="42" t="s">
        <v>155</v>
      </c>
      <c r="O381" s="43">
        <v>6</v>
      </c>
      <c r="P381" s="43">
        <v>2</v>
      </c>
      <c r="Q381" s="25" t="str">
        <f>VLOOKUP(P381,Key!$E$2:$F$9,2,FALSE)</f>
        <v>Work</v>
      </c>
      <c r="R381" s="25" t="str">
        <f t="shared" si="7"/>
        <v>Work-Work</v>
      </c>
      <c r="S381" s="58">
        <v>4</v>
      </c>
      <c r="T381" s="58"/>
      <c r="U381" s="43">
        <v>1</v>
      </c>
      <c r="V381" s="43"/>
      <c r="W381" s="58"/>
      <c r="X381" s="58"/>
      <c r="Y381" s="59" t="s">
        <v>156</v>
      </c>
      <c r="Z381" s="60">
        <v>2000</v>
      </c>
      <c r="AA381" s="25">
        <f>VLOOKUP(F381,Zones!$A$2:$F$2186,6,FALSE)</f>
        <v>1393</v>
      </c>
      <c r="AB381" s="25">
        <f>VLOOKUP(L381,Zones!$A$2:$F$2186,6,FALSE)</f>
        <v>1402</v>
      </c>
    </row>
    <row r="382" spans="2:28">
      <c r="B382" s="40">
        <v>0.47916666666666669</v>
      </c>
      <c r="C382" s="40" t="s">
        <v>225</v>
      </c>
      <c r="D382" s="41">
        <v>2</v>
      </c>
      <c r="E382" s="42">
        <v>1</v>
      </c>
      <c r="F382" s="42" t="s">
        <v>226</v>
      </c>
      <c r="G382" s="43" t="s">
        <v>154</v>
      </c>
      <c r="H382" s="42" t="s">
        <v>155</v>
      </c>
      <c r="I382" s="43">
        <v>1</v>
      </c>
      <c r="J382" s="43">
        <v>1</v>
      </c>
      <c r="K382" s="25" t="str">
        <f>VLOOKUP(J382,Key!$E$2:$F$9,2,FALSE)</f>
        <v>Home</v>
      </c>
      <c r="L382" s="42" t="s">
        <v>227</v>
      </c>
      <c r="M382" s="43" t="s">
        <v>227</v>
      </c>
      <c r="N382" s="42" t="s">
        <v>155</v>
      </c>
      <c r="O382" s="43">
        <v>2</v>
      </c>
      <c r="P382" s="43">
        <v>2</v>
      </c>
      <c r="Q382" s="25" t="str">
        <f>VLOOKUP(P382,Key!$E$2:$F$9,2,FALSE)</f>
        <v>Work</v>
      </c>
      <c r="R382" s="25" t="str">
        <f t="shared" si="7"/>
        <v>Home-Work</v>
      </c>
      <c r="S382" s="58">
        <v>290</v>
      </c>
      <c r="T382" s="58">
        <v>3</v>
      </c>
      <c r="U382" s="43">
        <v>4</v>
      </c>
      <c r="V382" s="43"/>
      <c r="W382" s="58"/>
      <c r="X382" s="58"/>
      <c r="Y382" s="59" t="s">
        <v>156</v>
      </c>
      <c r="Z382" s="60">
        <v>0</v>
      </c>
      <c r="AA382" s="25">
        <f>VLOOKUP(F382,Zones!$A$2:$F$2186,6,FALSE)</f>
        <v>811</v>
      </c>
      <c r="AB382" s="25">
        <f>VLOOKUP(L382,Zones!$A$2:$F$2186,6,FALSE)</f>
        <v>942</v>
      </c>
    </row>
    <row r="383" spans="2:28">
      <c r="B383" s="40">
        <v>0.47291666666666665</v>
      </c>
      <c r="C383" s="40" t="s">
        <v>228</v>
      </c>
      <c r="D383" s="41">
        <v>7</v>
      </c>
      <c r="E383" s="42">
        <v>8</v>
      </c>
      <c r="F383" s="42" t="s">
        <v>146</v>
      </c>
      <c r="G383" s="43" t="s">
        <v>154</v>
      </c>
      <c r="H383" s="42" t="s">
        <v>155</v>
      </c>
      <c r="I383" s="43">
        <v>16</v>
      </c>
      <c r="J383" s="43">
        <v>8</v>
      </c>
      <c r="K383" s="25" t="str">
        <f>VLOOKUP(J383,Key!$E$2:$F$9,2,FALSE)</f>
        <v>Others</v>
      </c>
      <c r="L383" s="42" t="s">
        <v>168</v>
      </c>
      <c r="M383" s="43" t="s">
        <v>154</v>
      </c>
      <c r="N383" s="42" t="s">
        <v>155</v>
      </c>
      <c r="O383" s="43">
        <v>15</v>
      </c>
      <c r="P383" s="43">
        <v>2</v>
      </c>
      <c r="Q383" s="25" t="str">
        <f>VLOOKUP(P383,Key!$E$2:$F$9,2,FALSE)</f>
        <v>Work</v>
      </c>
      <c r="R383" s="25" t="str">
        <f t="shared" si="7"/>
        <v>Others-Work</v>
      </c>
      <c r="S383" s="58"/>
      <c r="T383" s="58">
        <v>0.1</v>
      </c>
      <c r="U383" s="43">
        <v>1</v>
      </c>
      <c r="V383" s="43"/>
      <c r="W383" s="58"/>
      <c r="X383" s="58"/>
      <c r="Y383" s="59" t="s">
        <v>156</v>
      </c>
      <c r="Z383" s="60">
        <v>0</v>
      </c>
      <c r="AA383" s="25">
        <f>VLOOKUP(F383,Zones!$A$2:$F$2186,6,FALSE)</f>
        <v>1393</v>
      </c>
      <c r="AB383" s="25">
        <f>VLOOKUP(L383,Zones!$A$2:$F$2186,6,FALSE)</f>
        <v>1393</v>
      </c>
    </row>
    <row r="384" spans="2:28">
      <c r="B384" s="40">
        <v>0.47083333333333338</v>
      </c>
      <c r="C384" s="40" t="s">
        <v>229</v>
      </c>
      <c r="D384" s="41">
        <v>10</v>
      </c>
      <c r="E384" s="42">
        <v>1</v>
      </c>
      <c r="F384" s="42" t="s">
        <v>199</v>
      </c>
      <c r="G384" s="43" t="s">
        <v>159</v>
      </c>
      <c r="H384" s="42" t="s">
        <v>155</v>
      </c>
      <c r="I384" s="43">
        <v>11</v>
      </c>
      <c r="J384" s="43">
        <v>4</v>
      </c>
      <c r="K384" s="25" t="str">
        <f>VLOOKUP(J384,Key!$E$2:$F$9,2,FALSE)</f>
        <v>Commercial</v>
      </c>
      <c r="L384" s="42" t="s">
        <v>147</v>
      </c>
      <c r="M384" s="43" t="s">
        <v>154</v>
      </c>
      <c r="N384" s="42" t="s">
        <v>155</v>
      </c>
      <c r="O384" s="43">
        <v>3</v>
      </c>
      <c r="P384" s="43">
        <v>2</v>
      </c>
      <c r="Q384" s="25" t="str">
        <f>VLOOKUP(P384,Key!$E$2:$F$9,2,FALSE)</f>
        <v>Work</v>
      </c>
      <c r="R384" s="25" t="str">
        <f t="shared" si="7"/>
        <v>Commercial-Work</v>
      </c>
      <c r="S384" s="58"/>
      <c r="T384" s="58">
        <v>0.7</v>
      </c>
      <c r="U384" s="43">
        <v>3</v>
      </c>
      <c r="V384" s="43"/>
      <c r="W384" s="58"/>
      <c r="X384" s="58"/>
      <c r="Y384" s="59" t="s">
        <v>156</v>
      </c>
      <c r="Z384" s="60">
        <v>3000</v>
      </c>
      <c r="AA384" s="25">
        <f>VLOOKUP(F384,Zones!$A$2:$F$2186,6,FALSE)</f>
        <v>577</v>
      </c>
      <c r="AB384" s="25">
        <f>VLOOKUP(L384,Zones!$A$2:$F$2186,6,FALSE)</f>
        <v>1402</v>
      </c>
    </row>
    <row r="385" spans="2:28">
      <c r="B385" s="40">
        <v>0.46666666666666662</v>
      </c>
      <c r="C385" s="40" t="s">
        <v>230</v>
      </c>
      <c r="D385" s="41">
        <v>1</v>
      </c>
      <c r="E385" s="42">
        <v>2</v>
      </c>
      <c r="F385" s="42" t="s">
        <v>189</v>
      </c>
      <c r="G385" s="43" t="s">
        <v>154</v>
      </c>
      <c r="H385" s="42" t="s">
        <v>155</v>
      </c>
      <c r="I385" s="43">
        <v>1</v>
      </c>
      <c r="J385" s="43">
        <v>1</v>
      </c>
      <c r="K385" s="25" t="str">
        <f>VLOOKUP(J385,Key!$E$2:$F$9,2,FALSE)</f>
        <v>Home</v>
      </c>
      <c r="L385" s="42" t="s">
        <v>147</v>
      </c>
      <c r="M385" s="43" t="s">
        <v>154</v>
      </c>
      <c r="N385" s="42" t="s">
        <v>155</v>
      </c>
      <c r="O385" s="43">
        <v>11</v>
      </c>
      <c r="P385" s="43">
        <v>2</v>
      </c>
      <c r="Q385" s="25" t="str">
        <f>VLOOKUP(P385,Key!$E$2:$F$9,2,FALSE)</f>
        <v>Work</v>
      </c>
      <c r="R385" s="25" t="str">
        <f t="shared" si="7"/>
        <v>Home-Work</v>
      </c>
      <c r="S385" s="58"/>
      <c r="T385" s="58">
        <v>0.7</v>
      </c>
      <c r="U385" s="43">
        <v>3</v>
      </c>
      <c r="V385" s="43"/>
      <c r="W385" s="58"/>
      <c r="X385" s="58"/>
      <c r="Y385" s="59" t="s">
        <v>156</v>
      </c>
      <c r="Z385" s="60">
        <v>1000</v>
      </c>
      <c r="AA385" s="25">
        <f>VLOOKUP(F385,Zones!$A$2:$F$2186,6,FALSE)</f>
        <v>1386</v>
      </c>
      <c r="AB385" s="25">
        <f>VLOOKUP(L385,Zones!$A$2:$F$2186,6,FALSE)</f>
        <v>1402</v>
      </c>
    </row>
    <row r="386" spans="2:28">
      <c r="B386" s="40">
        <v>0.46319444444444446</v>
      </c>
      <c r="C386" s="40" t="s">
        <v>231</v>
      </c>
      <c r="D386" s="41">
        <v>1</v>
      </c>
      <c r="E386" s="42">
        <v>1</v>
      </c>
      <c r="F386" s="42" t="s">
        <v>146</v>
      </c>
      <c r="G386" s="43" t="s">
        <v>154</v>
      </c>
      <c r="H386" s="42" t="s">
        <v>155</v>
      </c>
      <c r="I386" s="43">
        <v>1</v>
      </c>
      <c r="J386" s="43">
        <v>1</v>
      </c>
      <c r="K386" s="25" t="str">
        <f>VLOOKUP(J386,Key!$E$2:$F$9,2,FALSE)</f>
        <v>Home</v>
      </c>
      <c r="L386" s="42" t="s">
        <v>147</v>
      </c>
      <c r="M386" s="43" t="s">
        <v>154</v>
      </c>
      <c r="N386" s="42" t="s">
        <v>155</v>
      </c>
      <c r="O386" s="43">
        <v>3</v>
      </c>
      <c r="P386" s="43">
        <v>2</v>
      </c>
      <c r="Q386" s="25" t="str">
        <f>VLOOKUP(P386,Key!$E$2:$F$9,2,FALSE)</f>
        <v>Work</v>
      </c>
      <c r="R386" s="25" t="str">
        <f t="shared" si="7"/>
        <v>Home-Work</v>
      </c>
      <c r="S386" s="58"/>
      <c r="T386" s="58"/>
      <c r="U386" s="43">
        <v>2</v>
      </c>
      <c r="V386" s="43"/>
      <c r="W386" s="58"/>
      <c r="X386" s="58"/>
      <c r="Y386" s="59" t="s">
        <v>156</v>
      </c>
      <c r="Z386" s="60">
        <v>1000</v>
      </c>
      <c r="AA386" s="25">
        <f>VLOOKUP(F386,Zones!$A$2:$F$2186,6,FALSE)</f>
        <v>1393</v>
      </c>
      <c r="AB386" s="25">
        <f>VLOOKUP(L386,Zones!$A$2:$F$2186,6,FALSE)</f>
        <v>1402</v>
      </c>
    </row>
    <row r="387" spans="2:28">
      <c r="B387" s="40">
        <v>0.44236111111111115</v>
      </c>
      <c r="C387" s="40" t="s">
        <v>232</v>
      </c>
      <c r="D387" s="41">
        <v>2</v>
      </c>
      <c r="E387" s="42">
        <v>3</v>
      </c>
      <c r="F387" s="42" t="s">
        <v>233</v>
      </c>
      <c r="G387" s="43" t="s">
        <v>159</v>
      </c>
      <c r="H387" s="42" t="s">
        <v>155</v>
      </c>
      <c r="I387" s="43">
        <v>1</v>
      </c>
      <c r="J387" s="43">
        <v>1</v>
      </c>
      <c r="K387" s="25" t="str">
        <f>VLOOKUP(J387,Key!$E$2:$F$9,2,FALSE)</f>
        <v>Home</v>
      </c>
      <c r="L387" s="42" t="s">
        <v>146</v>
      </c>
      <c r="M387" s="43" t="s">
        <v>154</v>
      </c>
      <c r="N387" s="42" t="s">
        <v>155</v>
      </c>
      <c r="O387" s="43">
        <v>16</v>
      </c>
      <c r="P387" s="43">
        <v>8</v>
      </c>
      <c r="Q387" s="25" t="str">
        <f>VLOOKUP(P387,Key!$E$2:$F$9,2,FALSE)</f>
        <v>Others</v>
      </c>
      <c r="R387" s="25" t="str">
        <f t="shared" si="7"/>
        <v>Home-Others</v>
      </c>
      <c r="S387" s="58">
        <v>8</v>
      </c>
      <c r="T387" s="58">
        <v>0.4</v>
      </c>
      <c r="U387" s="43">
        <v>6</v>
      </c>
      <c r="V387" s="43"/>
      <c r="W387" s="58"/>
      <c r="X387" s="58"/>
      <c r="Y387" s="59" t="s">
        <v>156</v>
      </c>
      <c r="Z387" s="60">
        <v>1000</v>
      </c>
      <c r="AA387" s="25">
        <f>VLOOKUP(F387,Zones!$A$2:$F$2186,6,FALSE)</f>
        <v>533</v>
      </c>
      <c r="AB387" s="25">
        <f>VLOOKUP(L387,Zones!$A$2:$F$2186,6,FALSE)</f>
        <v>1393</v>
      </c>
    </row>
    <row r="388" spans="2:28">
      <c r="B388" s="40">
        <v>0.43333333333333335</v>
      </c>
      <c r="C388" s="40" t="s">
        <v>234</v>
      </c>
      <c r="D388" s="41">
        <v>1</v>
      </c>
      <c r="E388" s="42">
        <v>3</v>
      </c>
      <c r="F388" s="42" t="s">
        <v>146</v>
      </c>
      <c r="G388" s="43" t="s">
        <v>154</v>
      </c>
      <c r="H388" s="42" t="s">
        <v>155</v>
      </c>
      <c r="I388" s="43">
        <v>1</v>
      </c>
      <c r="J388" s="43">
        <v>1</v>
      </c>
      <c r="K388" s="25" t="str">
        <f>VLOOKUP(J388,Key!$E$2:$F$9,2,FALSE)</f>
        <v>Home</v>
      </c>
      <c r="L388" s="42" t="s">
        <v>147</v>
      </c>
      <c r="M388" s="43" t="s">
        <v>154</v>
      </c>
      <c r="N388" s="42" t="s">
        <v>155</v>
      </c>
      <c r="O388" s="43">
        <v>11</v>
      </c>
      <c r="P388" s="43">
        <v>2</v>
      </c>
      <c r="Q388" s="25" t="str">
        <f>VLOOKUP(P388,Key!$E$2:$F$9,2,FALSE)</f>
        <v>Work</v>
      </c>
      <c r="R388" s="25" t="str">
        <f t="shared" si="7"/>
        <v>Home-Work</v>
      </c>
      <c r="S388" s="58"/>
      <c r="T388" s="58"/>
      <c r="U388" s="43">
        <v>2</v>
      </c>
      <c r="V388" s="43"/>
      <c r="W388" s="58"/>
      <c r="X388" s="58"/>
      <c r="Y388" s="59" t="s">
        <v>156</v>
      </c>
      <c r="Z388" s="60">
        <v>1000</v>
      </c>
      <c r="AA388" s="25">
        <f>VLOOKUP(F388,Zones!$A$2:$F$2186,6,FALSE)</f>
        <v>1393</v>
      </c>
      <c r="AB388" s="25">
        <f>VLOOKUP(L388,Zones!$A$2:$F$2186,6,FALSE)</f>
        <v>1402</v>
      </c>
    </row>
    <row r="389" spans="2:28">
      <c r="B389" s="40">
        <v>0.43124999999999997</v>
      </c>
      <c r="C389" s="40" t="s">
        <v>235</v>
      </c>
      <c r="D389" s="41">
        <v>7</v>
      </c>
      <c r="E389" s="42">
        <v>3</v>
      </c>
      <c r="F389" s="42" t="s">
        <v>146</v>
      </c>
      <c r="G389" s="43" t="s">
        <v>154</v>
      </c>
      <c r="H389" s="42" t="s">
        <v>155</v>
      </c>
      <c r="I389" s="43">
        <v>16</v>
      </c>
      <c r="J389" s="43">
        <v>8</v>
      </c>
      <c r="K389" s="25" t="str">
        <f>VLOOKUP(J389,Key!$E$2:$F$9,2,FALSE)</f>
        <v>Others</v>
      </c>
      <c r="L389" s="42" t="s">
        <v>192</v>
      </c>
      <c r="M389" s="43" t="s">
        <v>154</v>
      </c>
      <c r="N389" s="42" t="s">
        <v>155</v>
      </c>
      <c r="O389" s="43">
        <v>16</v>
      </c>
      <c r="P389" s="43">
        <v>2</v>
      </c>
      <c r="Q389" s="25" t="str">
        <f>VLOOKUP(P389,Key!$E$2:$F$9,2,FALSE)</f>
        <v>Work</v>
      </c>
      <c r="R389" s="25" t="str">
        <f t="shared" si="7"/>
        <v>Others-Work</v>
      </c>
      <c r="S389" s="58">
        <v>8</v>
      </c>
      <c r="T389" s="58">
        <v>0.4</v>
      </c>
      <c r="U389" s="43">
        <v>1</v>
      </c>
      <c r="V389" s="43"/>
      <c r="W389" s="58"/>
      <c r="X389" s="58"/>
      <c r="Y389" s="59" t="s">
        <v>156</v>
      </c>
      <c r="Z389" s="60">
        <v>500</v>
      </c>
      <c r="AA389" s="25">
        <f>VLOOKUP(F389,Zones!$A$2:$F$2186,6,FALSE)</f>
        <v>1393</v>
      </c>
      <c r="AB389" s="25">
        <f>VLOOKUP(L389,Zones!$A$2:$F$2186,6,FALSE)</f>
        <v>881</v>
      </c>
    </row>
    <row r="390" spans="2:28">
      <c r="B390" s="40">
        <v>0.4284722222222222</v>
      </c>
      <c r="C390" s="40" t="s">
        <v>236</v>
      </c>
      <c r="D390" s="41">
        <v>2</v>
      </c>
      <c r="E390" s="42">
        <v>2</v>
      </c>
      <c r="F390" s="42" t="s">
        <v>209</v>
      </c>
      <c r="G390" s="43" t="s">
        <v>154</v>
      </c>
      <c r="H390" s="42" t="s">
        <v>155</v>
      </c>
      <c r="I390" s="43">
        <v>1</v>
      </c>
      <c r="J390" s="43">
        <v>1</v>
      </c>
      <c r="K390" s="25" t="str">
        <f>VLOOKUP(J390,Key!$E$2:$F$9,2,FALSE)</f>
        <v>Home</v>
      </c>
      <c r="L390" s="42" t="s">
        <v>175</v>
      </c>
      <c r="M390" s="43" t="s">
        <v>154</v>
      </c>
      <c r="N390" s="42" t="s">
        <v>155</v>
      </c>
      <c r="O390" s="43">
        <v>9</v>
      </c>
      <c r="P390" s="43">
        <v>8</v>
      </c>
      <c r="Q390" s="25" t="str">
        <f>VLOOKUP(P390,Key!$E$2:$F$9,2,FALSE)</f>
        <v>Others</v>
      </c>
      <c r="R390" s="25" t="str">
        <f t="shared" si="7"/>
        <v>Home-Others</v>
      </c>
      <c r="S390" s="58">
        <v>27</v>
      </c>
      <c r="T390" s="58">
        <v>0.7</v>
      </c>
      <c r="U390" s="43">
        <v>3</v>
      </c>
      <c r="V390" s="43"/>
      <c r="W390" s="58"/>
      <c r="X390" s="58"/>
      <c r="Y390" s="59" t="s">
        <v>156</v>
      </c>
      <c r="Z390" s="60">
        <v>0</v>
      </c>
      <c r="AA390" s="25">
        <f>VLOOKUP(F390,Zones!$A$2:$F$2186,6,FALSE)</f>
        <v>1405</v>
      </c>
      <c r="AB390" s="25">
        <f>VLOOKUP(L390,Zones!$A$2:$F$2186,6,FALSE)</f>
        <v>1402</v>
      </c>
    </row>
    <row r="391" spans="2:28">
      <c r="B391" s="40">
        <v>0.42638888888888887</v>
      </c>
      <c r="C391" s="40" t="s">
        <v>237</v>
      </c>
      <c r="D391" s="41">
        <v>1</v>
      </c>
      <c r="E391" s="42">
        <v>1</v>
      </c>
      <c r="F391" s="42" t="s">
        <v>184</v>
      </c>
      <c r="G391" s="43" t="s">
        <v>154</v>
      </c>
      <c r="H391" s="42" t="s">
        <v>155</v>
      </c>
      <c r="I391" s="43">
        <v>1</v>
      </c>
      <c r="J391" s="43">
        <v>1</v>
      </c>
      <c r="K391" s="25" t="str">
        <f>VLOOKUP(J391,Key!$E$2:$F$9,2,FALSE)</f>
        <v>Home</v>
      </c>
      <c r="L391" s="42" t="s">
        <v>202</v>
      </c>
      <c r="M391" s="43" t="s">
        <v>202</v>
      </c>
      <c r="N391" s="42" t="s">
        <v>155</v>
      </c>
      <c r="O391" s="43">
        <v>9</v>
      </c>
      <c r="P391" s="43">
        <v>8</v>
      </c>
      <c r="Q391" s="25" t="str">
        <f>VLOOKUP(P391,Key!$E$2:$F$9,2,FALSE)</f>
        <v>Others</v>
      </c>
      <c r="R391" s="25" t="str">
        <f t="shared" si="7"/>
        <v>Home-Others</v>
      </c>
      <c r="S391" s="58">
        <v>50</v>
      </c>
      <c r="T391" s="58">
        <v>1</v>
      </c>
      <c r="U391" s="43">
        <v>3</v>
      </c>
      <c r="V391" s="43"/>
      <c r="W391" s="58"/>
      <c r="X391" s="58"/>
      <c r="Y391" s="59" t="s">
        <v>156</v>
      </c>
      <c r="Z391" s="60">
        <v>1000</v>
      </c>
      <c r="AA391" s="25">
        <f>VLOOKUP(F391,Zones!$A$2:$F$2186,6,FALSE)</f>
        <v>811</v>
      </c>
      <c r="AB391" s="25">
        <f>VLOOKUP(L391,Zones!$A$2:$F$2186,6,FALSE)</f>
        <v>887</v>
      </c>
    </row>
    <row r="392" spans="2:28">
      <c r="B392" s="40">
        <v>0.4236111111111111</v>
      </c>
      <c r="C392" s="40" t="s">
        <v>238</v>
      </c>
      <c r="D392" s="41">
        <v>1</v>
      </c>
      <c r="E392" s="42">
        <v>1</v>
      </c>
      <c r="F392" s="42" t="s">
        <v>239</v>
      </c>
      <c r="G392" s="43" t="s">
        <v>154</v>
      </c>
      <c r="H392" s="42" t="s">
        <v>155</v>
      </c>
      <c r="I392" s="43">
        <v>10</v>
      </c>
      <c r="J392" s="43">
        <v>2</v>
      </c>
      <c r="K392" s="25" t="str">
        <f>VLOOKUP(J392,Key!$E$2:$F$9,2,FALSE)</f>
        <v>Work</v>
      </c>
      <c r="L392" s="42" t="s">
        <v>168</v>
      </c>
      <c r="M392" s="43" t="s">
        <v>154</v>
      </c>
      <c r="N392" s="42" t="s">
        <v>155</v>
      </c>
      <c r="O392" s="43">
        <v>16</v>
      </c>
      <c r="P392" s="43">
        <v>8</v>
      </c>
      <c r="Q392" s="25" t="str">
        <f>VLOOKUP(P392,Key!$E$2:$F$9,2,FALSE)</f>
        <v>Others</v>
      </c>
      <c r="R392" s="25" t="str">
        <f t="shared" si="7"/>
        <v>Work-Others</v>
      </c>
      <c r="S392" s="58">
        <v>3</v>
      </c>
      <c r="T392" s="58">
        <v>0.5</v>
      </c>
      <c r="U392" s="43">
        <v>6</v>
      </c>
      <c r="V392" s="43"/>
      <c r="W392" s="58"/>
      <c r="X392" s="58"/>
      <c r="Y392" s="59" t="s">
        <v>156</v>
      </c>
      <c r="Z392" s="60">
        <v>5000</v>
      </c>
      <c r="AA392" s="25">
        <f>VLOOKUP(F392,Zones!$A$2:$F$2186,6,FALSE)</f>
        <v>1393</v>
      </c>
      <c r="AB392" s="25">
        <f>VLOOKUP(L392,Zones!$A$2:$F$2186,6,FALSE)</f>
        <v>1393</v>
      </c>
    </row>
    <row r="393" spans="2:28">
      <c r="B393" s="40">
        <v>0.41944444444444445</v>
      </c>
      <c r="C393" s="40" t="s">
        <v>240</v>
      </c>
      <c r="D393" s="41">
        <v>1</v>
      </c>
      <c r="E393" s="42">
        <v>1</v>
      </c>
      <c r="F393" s="42" t="s">
        <v>241</v>
      </c>
      <c r="G393" s="43" t="s">
        <v>159</v>
      </c>
      <c r="H393" s="42" t="s">
        <v>155</v>
      </c>
      <c r="I393" s="43">
        <v>1</v>
      </c>
      <c r="J393" s="43">
        <v>1</v>
      </c>
      <c r="K393" s="25" t="str">
        <f>VLOOKUP(J393,Key!$E$2:$F$9,2,FALSE)</f>
        <v>Home</v>
      </c>
      <c r="L393" s="42" t="s">
        <v>146</v>
      </c>
      <c r="M393" s="43" t="s">
        <v>154</v>
      </c>
      <c r="N393" s="42" t="s">
        <v>155</v>
      </c>
      <c r="O393" s="43">
        <v>16</v>
      </c>
      <c r="P393" s="43">
        <v>2</v>
      </c>
      <c r="Q393" s="25" t="str">
        <f>VLOOKUP(P393,Key!$E$2:$F$9,2,FALSE)</f>
        <v>Work</v>
      </c>
      <c r="R393" s="25" t="str">
        <f t="shared" si="7"/>
        <v>Home-Work</v>
      </c>
      <c r="S393" s="58">
        <v>5</v>
      </c>
      <c r="T393" s="58">
        <v>0.1</v>
      </c>
      <c r="U393" s="43">
        <v>2</v>
      </c>
      <c r="V393" s="43"/>
      <c r="W393" s="58"/>
      <c r="X393" s="58"/>
      <c r="Y393" s="59" t="s">
        <v>156</v>
      </c>
      <c r="Z393" s="60">
        <v>1000</v>
      </c>
      <c r="AA393" s="25">
        <f>VLOOKUP(F393,Zones!$A$2:$F$2186,6,FALSE)</f>
        <v>542</v>
      </c>
      <c r="AB393" s="25">
        <f>VLOOKUP(L393,Zones!$A$2:$F$2186,6,FALSE)</f>
        <v>1393</v>
      </c>
    </row>
    <row r="394" spans="2:28">
      <c r="B394" s="40">
        <v>0.4152777777777778</v>
      </c>
      <c r="C394" s="40" t="s">
        <v>242</v>
      </c>
      <c r="D394" s="41">
        <v>1</v>
      </c>
      <c r="E394" s="42">
        <v>3</v>
      </c>
      <c r="F394" s="42" t="s">
        <v>146</v>
      </c>
      <c r="G394" s="43" t="s">
        <v>154</v>
      </c>
      <c r="H394" s="42" t="s">
        <v>155</v>
      </c>
      <c r="I394" s="43">
        <v>1</v>
      </c>
      <c r="J394" s="43">
        <v>1</v>
      </c>
      <c r="K394" s="25" t="str">
        <f>VLOOKUP(J394,Key!$E$2:$F$9,2,FALSE)</f>
        <v>Home</v>
      </c>
      <c r="L394" s="42" t="s">
        <v>147</v>
      </c>
      <c r="M394" s="43" t="s">
        <v>154</v>
      </c>
      <c r="N394" s="42" t="s">
        <v>155</v>
      </c>
      <c r="O394" s="43">
        <v>16</v>
      </c>
      <c r="P394" s="43">
        <v>2</v>
      </c>
      <c r="Q394" s="25" t="str">
        <f>VLOOKUP(P394,Key!$E$2:$F$9,2,FALSE)</f>
        <v>Work</v>
      </c>
      <c r="R394" s="25" t="str">
        <f t="shared" si="7"/>
        <v>Home-Work</v>
      </c>
      <c r="S394" s="58">
        <v>7</v>
      </c>
      <c r="T394" s="58">
        <v>0.2</v>
      </c>
      <c r="U394" s="43">
        <v>5</v>
      </c>
      <c r="V394" s="43"/>
      <c r="W394" s="58"/>
      <c r="X394" s="58"/>
      <c r="Y394" s="59" t="s">
        <v>156</v>
      </c>
      <c r="Z394" s="60">
        <v>1000</v>
      </c>
      <c r="AA394" s="25">
        <f>VLOOKUP(F394,Zones!$A$2:$F$2186,6,FALSE)</f>
        <v>1393</v>
      </c>
      <c r="AB394" s="25">
        <f>VLOOKUP(L394,Zones!$A$2:$F$2186,6,FALSE)</f>
        <v>1402</v>
      </c>
    </row>
    <row r="395" spans="2:28">
      <c r="B395" s="40">
        <v>0.40972222222222227</v>
      </c>
      <c r="C395" s="40" t="s">
        <v>243</v>
      </c>
      <c r="D395" s="41">
        <v>1</v>
      </c>
      <c r="E395" s="42">
        <v>2</v>
      </c>
      <c r="F395" s="42" t="s">
        <v>184</v>
      </c>
      <c r="G395" s="43" t="s">
        <v>154</v>
      </c>
      <c r="H395" s="42" t="s">
        <v>155</v>
      </c>
      <c r="I395" s="43">
        <v>1</v>
      </c>
      <c r="J395" s="43">
        <v>1</v>
      </c>
      <c r="K395" s="25" t="str">
        <f>VLOOKUP(J395,Key!$E$2:$F$9,2,FALSE)</f>
        <v>Home</v>
      </c>
      <c r="L395" s="42" t="s">
        <v>146</v>
      </c>
      <c r="M395" s="43" t="s">
        <v>154</v>
      </c>
      <c r="N395" s="42" t="s">
        <v>155</v>
      </c>
      <c r="O395" s="43">
        <v>2</v>
      </c>
      <c r="P395" s="43">
        <v>2</v>
      </c>
      <c r="Q395" s="25" t="str">
        <f>VLOOKUP(P395,Key!$E$2:$F$9,2,FALSE)</f>
        <v>Work</v>
      </c>
      <c r="R395" s="25" t="str">
        <f t="shared" si="7"/>
        <v>Home-Work</v>
      </c>
      <c r="S395" s="58"/>
      <c r="T395" s="58"/>
      <c r="U395" s="43">
        <v>2</v>
      </c>
      <c r="V395" s="43"/>
      <c r="W395" s="58"/>
      <c r="X395" s="58"/>
      <c r="Y395" s="59" t="s">
        <v>156</v>
      </c>
      <c r="Z395" s="60">
        <v>2000</v>
      </c>
      <c r="AA395" s="25">
        <f>VLOOKUP(F395,Zones!$A$2:$F$2186,6,FALSE)</f>
        <v>811</v>
      </c>
      <c r="AB395" s="25">
        <f>VLOOKUP(L395,Zones!$A$2:$F$2186,6,FALSE)</f>
        <v>1393</v>
      </c>
    </row>
    <row r="396" spans="2:28">
      <c r="B396" s="40">
        <v>0.4069444444444445</v>
      </c>
      <c r="C396" s="40" t="s">
        <v>244</v>
      </c>
      <c r="D396" s="41">
        <v>1</v>
      </c>
      <c r="E396" s="42">
        <v>2</v>
      </c>
      <c r="F396" s="42" t="s">
        <v>199</v>
      </c>
      <c r="G396" s="43" t="s">
        <v>159</v>
      </c>
      <c r="H396" s="42" t="s">
        <v>155</v>
      </c>
      <c r="I396" s="43">
        <v>1</v>
      </c>
      <c r="J396" s="43">
        <v>1</v>
      </c>
      <c r="K396" s="25" t="str">
        <f>VLOOKUP(J396,Key!$E$2:$F$9,2,FALSE)</f>
        <v>Home</v>
      </c>
      <c r="L396" s="42" t="s">
        <v>245</v>
      </c>
      <c r="M396" s="43" t="s">
        <v>159</v>
      </c>
      <c r="N396" s="42" t="s">
        <v>155</v>
      </c>
      <c r="O396" s="43">
        <v>9</v>
      </c>
      <c r="P396" s="43">
        <v>2</v>
      </c>
      <c r="Q396" s="25" t="str">
        <f>VLOOKUP(P396,Key!$E$2:$F$9,2,FALSE)</f>
        <v>Work</v>
      </c>
      <c r="R396" s="25" t="str">
        <f t="shared" si="7"/>
        <v>Home-Work</v>
      </c>
      <c r="S396" s="58"/>
      <c r="T396" s="58"/>
      <c r="U396" s="43">
        <v>3</v>
      </c>
      <c r="V396" s="43"/>
      <c r="W396" s="58"/>
      <c r="X396" s="58"/>
      <c r="Y396" s="59" t="s">
        <v>156</v>
      </c>
      <c r="Z396" s="60">
        <v>3000</v>
      </c>
      <c r="AA396" s="25">
        <f>VLOOKUP(F396,Zones!$A$2:$F$2186,6,FALSE)</f>
        <v>577</v>
      </c>
      <c r="AB396" s="25">
        <f>VLOOKUP(L396,Zones!$A$2:$F$2186,6,FALSE)</f>
        <v>1402</v>
      </c>
    </row>
    <row r="397" spans="2:28">
      <c r="B397" s="40">
        <v>0.40486111111111112</v>
      </c>
      <c r="C397" s="40" t="s">
        <v>246</v>
      </c>
      <c r="D397" s="41">
        <v>2</v>
      </c>
      <c r="E397" s="42">
        <v>2</v>
      </c>
      <c r="F397" s="42" t="s">
        <v>319</v>
      </c>
      <c r="G397" s="43" t="s">
        <v>154</v>
      </c>
      <c r="H397" s="42" t="s">
        <v>155</v>
      </c>
      <c r="I397" s="43">
        <v>1</v>
      </c>
      <c r="J397" s="43">
        <v>1</v>
      </c>
      <c r="K397" s="25" t="str">
        <f>VLOOKUP(J397,Key!$E$2:$F$9,2,FALSE)</f>
        <v>Home</v>
      </c>
      <c r="L397" s="42" t="s">
        <v>248</v>
      </c>
      <c r="M397" s="43" t="s">
        <v>248</v>
      </c>
      <c r="N397" s="42" t="s">
        <v>155</v>
      </c>
      <c r="O397" s="43">
        <v>10</v>
      </c>
      <c r="P397" s="43">
        <v>2</v>
      </c>
      <c r="Q397" s="25" t="str">
        <f>VLOOKUP(P397,Key!$E$2:$F$9,2,FALSE)</f>
        <v>Work</v>
      </c>
      <c r="R397" s="25" t="str">
        <f t="shared" si="7"/>
        <v>Home-Work</v>
      </c>
      <c r="S397" s="58">
        <v>700</v>
      </c>
      <c r="T397" s="58">
        <v>8</v>
      </c>
      <c r="U397" s="43">
        <v>2</v>
      </c>
      <c r="V397" s="43"/>
      <c r="W397" s="58"/>
      <c r="X397" s="58"/>
      <c r="Y397" s="59" t="s">
        <v>156</v>
      </c>
      <c r="Z397" s="60">
        <v>500</v>
      </c>
      <c r="AA397" s="25">
        <f>VLOOKUP(F397,Zones!$A$2:$F$2186,6,FALSE)</f>
        <v>1405</v>
      </c>
      <c r="AB397" s="25">
        <f>VLOOKUP(L397,Zones!$A$2:$F$2186,6,FALSE)</f>
        <v>94</v>
      </c>
    </row>
    <row r="398" spans="2:28">
      <c r="B398" s="40">
        <v>0.39652777777777781</v>
      </c>
      <c r="C398" s="40" t="s">
        <v>249</v>
      </c>
      <c r="D398" s="41">
        <v>2</v>
      </c>
      <c r="E398" s="42">
        <v>3</v>
      </c>
      <c r="F398" s="42" t="s">
        <v>207</v>
      </c>
      <c r="G398" s="43" t="s">
        <v>154</v>
      </c>
      <c r="H398" s="42" t="s">
        <v>155</v>
      </c>
      <c r="I398" s="43">
        <v>1</v>
      </c>
      <c r="J398" s="43">
        <v>1</v>
      </c>
      <c r="K398" s="25" t="str">
        <f>VLOOKUP(J398,Key!$E$2:$F$9,2,FALSE)</f>
        <v>Home</v>
      </c>
      <c r="L398" s="42" t="s">
        <v>146</v>
      </c>
      <c r="M398" s="43" t="s">
        <v>154</v>
      </c>
      <c r="N398" s="42" t="s">
        <v>155</v>
      </c>
      <c r="O398" s="43">
        <v>2</v>
      </c>
      <c r="P398" s="43">
        <v>2</v>
      </c>
      <c r="Q398" s="25" t="str">
        <f>VLOOKUP(P398,Key!$E$2:$F$9,2,FALSE)</f>
        <v>Work</v>
      </c>
      <c r="R398" s="25" t="str">
        <f t="shared" si="7"/>
        <v>Home-Work</v>
      </c>
      <c r="S398" s="58"/>
      <c r="T398" s="58"/>
      <c r="U398" s="43">
        <v>2</v>
      </c>
      <c r="V398" s="43"/>
      <c r="W398" s="58"/>
      <c r="X398" s="58"/>
      <c r="Y398" s="59" t="s">
        <v>156</v>
      </c>
      <c r="Z398" s="60">
        <v>1000</v>
      </c>
      <c r="AA398" s="25">
        <f>VLOOKUP(F398,Zones!$A$2:$F$2186,6,FALSE)</f>
        <v>1406</v>
      </c>
      <c r="AB398" s="25">
        <f>VLOOKUP(L398,Zones!$A$2:$F$2186,6,FALSE)</f>
        <v>1393</v>
      </c>
    </row>
    <row r="399" spans="2:28">
      <c r="B399" s="40">
        <v>0.40138888888888885</v>
      </c>
      <c r="C399" s="40" t="s">
        <v>250</v>
      </c>
      <c r="D399" s="41">
        <v>8</v>
      </c>
      <c r="E399" s="42">
        <v>2</v>
      </c>
      <c r="F399" s="42" t="s">
        <v>251</v>
      </c>
      <c r="G399" s="43" t="s">
        <v>251</v>
      </c>
      <c r="H399" s="42" t="s">
        <v>155</v>
      </c>
      <c r="I399" s="43">
        <v>9</v>
      </c>
      <c r="J399" s="43">
        <v>4</v>
      </c>
      <c r="K399" s="25" t="str">
        <f>VLOOKUP(J399,Key!$E$2:$F$9,2,FALSE)</f>
        <v>Commercial</v>
      </c>
      <c r="L399" s="42" t="s">
        <v>146</v>
      </c>
      <c r="M399" s="43" t="s">
        <v>154</v>
      </c>
      <c r="N399" s="42" t="s">
        <v>155</v>
      </c>
      <c r="O399" s="43">
        <v>16</v>
      </c>
      <c r="P399" s="43">
        <v>8</v>
      </c>
      <c r="Q399" s="25" t="str">
        <f>VLOOKUP(P399,Key!$E$2:$F$9,2,FALSE)</f>
        <v>Others</v>
      </c>
      <c r="R399" s="25" t="str">
        <f t="shared" si="7"/>
        <v>Commercial-Others</v>
      </c>
      <c r="S399" s="58">
        <v>330</v>
      </c>
      <c r="T399" s="58">
        <v>6</v>
      </c>
      <c r="U399" s="43">
        <v>6</v>
      </c>
      <c r="V399" s="43">
        <v>2</v>
      </c>
      <c r="W399" s="58">
        <v>6</v>
      </c>
      <c r="X399" s="58"/>
      <c r="Y399" s="59" t="s">
        <v>156</v>
      </c>
      <c r="Z399" s="60">
        <v>0</v>
      </c>
      <c r="AA399" s="25">
        <f>VLOOKUP(F399,Zones!$A$2:$F$2186,6,FALSE)</f>
        <v>975</v>
      </c>
      <c r="AB399" s="25">
        <f>VLOOKUP(L399,Zones!$A$2:$F$2186,6,FALSE)</f>
        <v>1393</v>
      </c>
    </row>
    <row r="400" spans="2:28">
      <c r="B400" s="40">
        <v>0.40277777777777773</v>
      </c>
      <c r="C400" s="40" t="s">
        <v>252</v>
      </c>
      <c r="D400" s="41">
        <v>2</v>
      </c>
      <c r="E400" s="42">
        <v>1</v>
      </c>
      <c r="F400" s="42" t="s">
        <v>184</v>
      </c>
      <c r="G400" s="43" t="s">
        <v>154</v>
      </c>
      <c r="H400" s="42" t="s">
        <v>155</v>
      </c>
      <c r="I400" s="43">
        <v>4</v>
      </c>
      <c r="J400" s="43">
        <v>3</v>
      </c>
      <c r="K400" s="25" t="str">
        <f>VLOOKUP(J400,Key!$E$2:$F$9,2,FALSE)</f>
        <v>Study</v>
      </c>
      <c r="L400" s="42" t="s">
        <v>168</v>
      </c>
      <c r="M400" s="43" t="s">
        <v>154</v>
      </c>
      <c r="N400" s="42" t="s">
        <v>155</v>
      </c>
      <c r="O400" s="43">
        <v>1</v>
      </c>
      <c r="P400" s="43">
        <v>1</v>
      </c>
      <c r="Q400" s="25" t="str">
        <f>VLOOKUP(P400,Key!$E$2:$F$9,2,FALSE)</f>
        <v>Home</v>
      </c>
      <c r="R400" s="25" t="str">
        <f t="shared" si="7"/>
        <v>Study-Home</v>
      </c>
      <c r="S400" s="58"/>
      <c r="T400" s="58"/>
      <c r="U400" s="43">
        <v>2</v>
      </c>
      <c r="V400" s="43"/>
      <c r="W400" s="58"/>
      <c r="X400" s="58"/>
      <c r="Y400" s="59" t="s">
        <v>156</v>
      </c>
      <c r="Z400" s="60">
        <v>0</v>
      </c>
      <c r="AA400" s="25">
        <f>VLOOKUP(F400,Zones!$A$2:$F$2186,6,FALSE)</f>
        <v>811</v>
      </c>
      <c r="AB400" s="25">
        <f>VLOOKUP(L400,Zones!$A$2:$F$2186,6,FALSE)</f>
        <v>1393</v>
      </c>
    </row>
    <row r="401" spans="2:28">
      <c r="B401" s="40">
        <v>0.38958333333333334</v>
      </c>
      <c r="C401" s="40" t="s">
        <v>253</v>
      </c>
      <c r="D401" s="41">
        <v>1</v>
      </c>
      <c r="E401" s="42">
        <v>1</v>
      </c>
      <c r="F401" s="42" t="s">
        <v>184</v>
      </c>
      <c r="G401" s="43" t="s">
        <v>154</v>
      </c>
      <c r="H401" s="42" t="s">
        <v>155</v>
      </c>
      <c r="I401" s="43">
        <v>1</v>
      </c>
      <c r="J401" s="43">
        <v>1</v>
      </c>
      <c r="K401" s="25" t="str">
        <f>VLOOKUP(J401,Key!$E$2:$F$9,2,FALSE)</f>
        <v>Home</v>
      </c>
      <c r="L401" s="42" t="s">
        <v>254</v>
      </c>
      <c r="M401" s="43" t="s">
        <v>254</v>
      </c>
      <c r="N401" s="42" t="s">
        <v>155</v>
      </c>
      <c r="O401" s="43">
        <v>16</v>
      </c>
      <c r="P401" s="43">
        <v>2</v>
      </c>
      <c r="Q401" s="25" t="str">
        <f>VLOOKUP(P401,Key!$E$2:$F$9,2,FALSE)</f>
        <v>Work</v>
      </c>
      <c r="R401" s="25" t="str">
        <f t="shared" si="7"/>
        <v>Home-Work</v>
      </c>
      <c r="S401" s="58"/>
      <c r="T401" s="58"/>
      <c r="U401" s="43">
        <v>4</v>
      </c>
      <c r="V401" s="43"/>
      <c r="W401" s="58"/>
      <c r="X401" s="58"/>
      <c r="Y401" s="59" t="s">
        <v>156</v>
      </c>
      <c r="Z401" s="60">
        <v>1000</v>
      </c>
      <c r="AA401" s="25">
        <f>VLOOKUP(F401,Zones!$A$2:$F$2186,6,FALSE)</f>
        <v>811</v>
      </c>
      <c r="AB401" s="25">
        <f>VLOOKUP(L401,Zones!$A$2:$F$2186,6,FALSE)</f>
        <v>1088</v>
      </c>
    </row>
    <row r="402" spans="2:28">
      <c r="B402" s="40">
        <v>0.39166666666666666</v>
      </c>
      <c r="C402" s="40" t="s">
        <v>255</v>
      </c>
      <c r="D402" s="41">
        <v>1</v>
      </c>
      <c r="E402" s="42">
        <v>2</v>
      </c>
      <c r="F402" s="42" t="s">
        <v>184</v>
      </c>
      <c r="G402" s="43" t="s">
        <v>154</v>
      </c>
      <c r="H402" s="42" t="s">
        <v>155</v>
      </c>
      <c r="I402" s="43">
        <v>3</v>
      </c>
      <c r="J402" s="43">
        <v>2</v>
      </c>
      <c r="K402" s="25" t="str">
        <f>VLOOKUP(J402,Key!$E$2:$F$9,2,FALSE)</f>
        <v>Work</v>
      </c>
      <c r="L402" s="42" t="s">
        <v>168</v>
      </c>
      <c r="M402" s="43" t="s">
        <v>154</v>
      </c>
      <c r="N402" s="42" t="s">
        <v>155</v>
      </c>
      <c r="O402" s="43">
        <v>11</v>
      </c>
      <c r="P402" s="43">
        <v>2</v>
      </c>
      <c r="Q402" s="25" t="str">
        <f>VLOOKUP(P402,Key!$E$2:$F$9,2,FALSE)</f>
        <v>Work</v>
      </c>
      <c r="R402" s="25" t="str">
        <f t="shared" si="7"/>
        <v>Work-Work</v>
      </c>
      <c r="S402" s="58"/>
      <c r="T402" s="58"/>
      <c r="U402" s="43">
        <v>3</v>
      </c>
      <c r="V402" s="43"/>
      <c r="W402" s="58"/>
      <c r="X402" s="58"/>
      <c r="Y402" s="59" t="s">
        <v>156</v>
      </c>
      <c r="Z402" s="60">
        <v>1000</v>
      </c>
      <c r="AA402" s="25">
        <f>VLOOKUP(F402,Zones!$A$2:$F$2186,6,FALSE)</f>
        <v>811</v>
      </c>
      <c r="AB402" s="25">
        <f>VLOOKUP(L402,Zones!$A$2:$F$2186,6,FALSE)</f>
        <v>1393</v>
      </c>
    </row>
    <row r="403" spans="2:28">
      <c r="B403" s="40">
        <v>0.39444444444444443</v>
      </c>
      <c r="C403" s="40" t="s">
        <v>256</v>
      </c>
      <c r="D403" s="41">
        <v>7</v>
      </c>
      <c r="E403" s="42">
        <v>1</v>
      </c>
      <c r="F403" s="42" t="s">
        <v>146</v>
      </c>
      <c r="G403" s="43" t="s">
        <v>154</v>
      </c>
      <c r="H403" s="42" t="s">
        <v>155</v>
      </c>
      <c r="I403" s="43">
        <v>16</v>
      </c>
      <c r="J403" s="43">
        <v>8</v>
      </c>
      <c r="K403" s="25" t="str">
        <f>VLOOKUP(J403,Key!$E$2:$F$9,2,FALSE)</f>
        <v>Others</v>
      </c>
      <c r="L403" s="42" t="s">
        <v>168</v>
      </c>
      <c r="M403" s="43" t="s">
        <v>154</v>
      </c>
      <c r="N403" s="42" t="s">
        <v>155</v>
      </c>
      <c r="O403" s="43">
        <v>10</v>
      </c>
      <c r="P403" s="43">
        <v>2</v>
      </c>
      <c r="Q403" s="25" t="str">
        <f>VLOOKUP(P403,Key!$E$2:$F$9,2,FALSE)</f>
        <v>Work</v>
      </c>
      <c r="R403" s="25" t="str">
        <f t="shared" si="7"/>
        <v>Others-Work</v>
      </c>
      <c r="S403" s="58">
        <v>3</v>
      </c>
      <c r="T403" s="58">
        <v>0.5</v>
      </c>
      <c r="U403" s="43">
        <v>3</v>
      </c>
      <c r="V403" s="43">
        <v>4</v>
      </c>
      <c r="W403" s="58">
        <v>3</v>
      </c>
      <c r="X403" s="58">
        <v>0.15</v>
      </c>
      <c r="Y403" s="59" t="s">
        <v>156</v>
      </c>
      <c r="Z403" s="60">
        <v>0</v>
      </c>
      <c r="AA403" s="25">
        <f>VLOOKUP(F403,Zones!$A$2:$F$2186,6,FALSE)</f>
        <v>1393</v>
      </c>
      <c r="AB403" s="25">
        <f>VLOOKUP(L403,Zones!$A$2:$F$2186,6,FALSE)</f>
        <v>1393</v>
      </c>
    </row>
    <row r="404" spans="2:28">
      <c r="B404" s="40">
        <v>0.38125000000000003</v>
      </c>
      <c r="C404" s="40" t="s">
        <v>257</v>
      </c>
      <c r="D404" s="41">
        <v>7</v>
      </c>
      <c r="E404" s="42">
        <v>1</v>
      </c>
      <c r="F404" s="42" t="s">
        <v>146</v>
      </c>
      <c r="G404" s="43" t="s">
        <v>154</v>
      </c>
      <c r="H404" s="42" t="s">
        <v>155</v>
      </c>
      <c r="I404" s="43">
        <v>16</v>
      </c>
      <c r="J404" s="43">
        <v>8</v>
      </c>
      <c r="K404" s="25" t="str">
        <f>VLOOKUP(J404,Key!$E$2:$F$9,2,FALSE)</f>
        <v>Others</v>
      </c>
      <c r="L404" s="42" t="s">
        <v>147</v>
      </c>
      <c r="M404" s="43" t="s">
        <v>154</v>
      </c>
      <c r="N404" s="42" t="s">
        <v>155</v>
      </c>
      <c r="O404" s="43">
        <v>7</v>
      </c>
      <c r="P404" s="43">
        <v>2</v>
      </c>
      <c r="Q404" s="25" t="str">
        <f>VLOOKUP(P404,Key!$E$2:$F$9,2,FALSE)</f>
        <v>Work</v>
      </c>
      <c r="R404" s="25" t="str">
        <f t="shared" si="7"/>
        <v>Others-Work</v>
      </c>
      <c r="S404" s="58">
        <v>30</v>
      </c>
      <c r="T404" s="58">
        <v>1</v>
      </c>
      <c r="U404" s="43">
        <v>2</v>
      </c>
      <c r="V404" s="43"/>
      <c r="W404" s="58"/>
      <c r="X404" s="58"/>
      <c r="Y404" s="59" t="s">
        <v>156</v>
      </c>
      <c r="Z404" s="60">
        <v>1000</v>
      </c>
      <c r="AA404" s="25">
        <f>VLOOKUP(F404,Zones!$A$2:$F$2186,6,FALSE)</f>
        <v>1393</v>
      </c>
      <c r="AB404" s="25">
        <f>VLOOKUP(L404,Zones!$A$2:$F$2186,6,FALSE)</f>
        <v>1402</v>
      </c>
    </row>
    <row r="405" spans="2:28">
      <c r="B405" s="40">
        <v>0.38680555555555557</v>
      </c>
      <c r="C405" s="40" t="s">
        <v>258</v>
      </c>
      <c r="D405" s="41">
        <v>1</v>
      </c>
      <c r="E405" s="42">
        <v>1</v>
      </c>
      <c r="F405" s="42" t="s">
        <v>259</v>
      </c>
      <c r="G405" s="43" t="s">
        <v>159</v>
      </c>
      <c r="H405" s="42" t="s">
        <v>155</v>
      </c>
      <c r="I405" s="43">
        <v>4</v>
      </c>
      <c r="J405" s="43">
        <v>3</v>
      </c>
      <c r="K405" s="25" t="str">
        <f>VLOOKUP(J405,Key!$E$2:$F$9,2,FALSE)</f>
        <v>Study</v>
      </c>
      <c r="L405" s="42" t="s">
        <v>168</v>
      </c>
      <c r="M405" s="43" t="s">
        <v>154</v>
      </c>
      <c r="N405" s="42" t="s">
        <v>155</v>
      </c>
      <c r="O405" s="43">
        <v>1</v>
      </c>
      <c r="P405" s="43">
        <v>1</v>
      </c>
      <c r="Q405" s="25" t="str">
        <f>VLOOKUP(P405,Key!$E$2:$F$9,2,FALSE)</f>
        <v>Home</v>
      </c>
      <c r="R405" s="25" t="str">
        <f t="shared" si="7"/>
        <v>Study-Home</v>
      </c>
      <c r="S405" s="58">
        <v>10</v>
      </c>
      <c r="T405" s="58">
        <v>0.6</v>
      </c>
      <c r="U405" s="43">
        <v>2</v>
      </c>
      <c r="V405" s="43"/>
      <c r="W405" s="58"/>
      <c r="X405" s="58"/>
      <c r="Y405" s="59" t="s">
        <v>156</v>
      </c>
      <c r="Z405" s="60">
        <v>2000</v>
      </c>
      <c r="AA405" s="25">
        <f>VLOOKUP(F405,Zones!$A$2:$F$2186,6,FALSE)</f>
        <v>546</v>
      </c>
      <c r="AB405" s="25">
        <f>VLOOKUP(L405,Zones!$A$2:$F$2186,6,FALSE)</f>
        <v>1393</v>
      </c>
    </row>
    <row r="406" spans="2:28">
      <c r="B406" s="40">
        <v>0.37152777777777773</v>
      </c>
      <c r="C406" s="40" t="s">
        <v>260</v>
      </c>
      <c r="D406" s="41">
        <v>4</v>
      </c>
      <c r="E406" s="42">
        <v>16</v>
      </c>
      <c r="F406" s="42" t="s">
        <v>146</v>
      </c>
      <c r="G406" s="43" t="s">
        <v>154</v>
      </c>
      <c r="H406" s="42" t="s">
        <v>155</v>
      </c>
      <c r="I406" s="43">
        <v>16</v>
      </c>
      <c r="J406" s="43">
        <v>2</v>
      </c>
      <c r="K406" s="25" t="str">
        <f>VLOOKUP(J406,Key!$E$2:$F$9,2,FALSE)</f>
        <v>Work</v>
      </c>
      <c r="L406" s="42" t="s">
        <v>147</v>
      </c>
      <c r="M406" s="43" t="s">
        <v>154</v>
      </c>
      <c r="N406" s="42" t="s">
        <v>155</v>
      </c>
      <c r="O406" s="43">
        <v>6</v>
      </c>
      <c r="P406" s="43">
        <v>2</v>
      </c>
      <c r="Q406" s="25" t="str">
        <f>VLOOKUP(P406,Key!$E$2:$F$9,2,FALSE)</f>
        <v>Work</v>
      </c>
      <c r="R406" s="25" t="str">
        <f t="shared" si="7"/>
        <v>Work-Work</v>
      </c>
      <c r="S406" s="58">
        <v>9.5</v>
      </c>
      <c r="T406" s="58">
        <v>0.2</v>
      </c>
      <c r="U406" s="43">
        <v>1</v>
      </c>
      <c r="V406" s="43"/>
      <c r="W406" s="58"/>
      <c r="X406" s="58"/>
      <c r="Y406" s="59" t="s">
        <v>156</v>
      </c>
      <c r="Z406" s="60">
        <v>0</v>
      </c>
      <c r="AA406" s="25">
        <f>VLOOKUP(F406,Zones!$A$2:$F$2186,6,FALSE)</f>
        <v>1393</v>
      </c>
      <c r="AB406" s="25">
        <f>VLOOKUP(L406,Zones!$A$2:$F$2186,6,FALSE)</f>
        <v>1402</v>
      </c>
    </row>
    <row r="407" spans="2:28">
      <c r="B407" s="40">
        <v>0.37777777777777777</v>
      </c>
      <c r="C407" s="40" t="s">
        <v>261</v>
      </c>
      <c r="D407" s="41">
        <v>1</v>
      </c>
      <c r="E407" s="42">
        <v>1</v>
      </c>
      <c r="F407" s="42" t="s">
        <v>262</v>
      </c>
      <c r="G407" s="43" t="s">
        <v>262</v>
      </c>
      <c r="H407" s="42" t="s">
        <v>155</v>
      </c>
      <c r="I407" s="43">
        <v>1</v>
      </c>
      <c r="J407" s="43">
        <v>1</v>
      </c>
      <c r="K407" s="25" t="str">
        <f>VLOOKUP(J407,Key!$E$2:$F$9,2,FALSE)</f>
        <v>Home</v>
      </c>
      <c r="L407" s="42" t="s">
        <v>192</v>
      </c>
      <c r="M407" s="43" t="s">
        <v>192</v>
      </c>
      <c r="N407" s="42" t="s">
        <v>155</v>
      </c>
      <c r="O407" s="43">
        <v>1</v>
      </c>
      <c r="P407" s="43">
        <v>1</v>
      </c>
      <c r="Q407" s="25" t="str">
        <f>VLOOKUP(P407,Key!$E$2:$F$9,2,FALSE)</f>
        <v>Home</v>
      </c>
      <c r="R407" s="25" t="str">
        <f t="shared" si="7"/>
        <v>Home-Home</v>
      </c>
      <c r="S407" s="58"/>
      <c r="T407" s="58">
        <v>2.5</v>
      </c>
      <c r="U407" s="43">
        <v>6</v>
      </c>
      <c r="V407" s="43"/>
      <c r="W407" s="58"/>
      <c r="X407" s="58"/>
      <c r="Y407" s="59" t="s">
        <v>156</v>
      </c>
      <c r="Z407" s="60">
        <v>10000</v>
      </c>
      <c r="AA407" s="25">
        <f>VLOOKUP(F407,Zones!$A$2:$F$2186,6,FALSE)</f>
        <v>403</v>
      </c>
      <c r="AB407" s="25">
        <f>VLOOKUP(L407,Zones!$A$2:$F$2186,6,FALSE)</f>
        <v>881</v>
      </c>
    </row>
    <row r="408" spans="2:28">
      <c r="B408" s="40">
        <v>0.36527777777777781</v>
      </c>
      <c r="C408" s="40" t="s">
        <v>263</v>
      </c>
      <c r="D408" s="41">
        <v>2</v>
      </c>
      <c r="E408" s="42">
        <v>1</v>
      </c>
      <c r="F408" s="42" t="s">
        <v>146</v>
      </c>
      <c r="G408" s="43" t="s">
        <v>154</v>
      </c>
      <c r="H408" s="42" t="s">
        <v>155</v>
      </c>
      <c r="I408" s="43">
        <v>1</v>
      </c>
      <c r="J408" s="43">
        <v>1</v>
      </c>
      <c r="K408" s="25" t="str">
        <f>VLOOKUP(J408,Key!$E$2:$F$9,2,FALSE)</f>
        <v>Home</v>
      </c>
      <c r="L408" s="42" t="s">
        <v>168</v>
      </c>
      <c r="M408" s="43" t="s">
        <v>154</v>
      </c>
      <c r="N408" s="42" t="s">
        <v>155</v>
      </c>
      <c r="O408" s="43">
        <v>4</v>
      </c>
      <c r="P408" s="43">
        <v>3</v>
      </c>
      <c r="Q408" s="25" t="str">
        <f>VLOOKUP(P408,Key!$E$2:$F$9,2,FALSE)</f>
        <v>Study</v>
      </c>
      <c r="R408" s="25" t="str">
        <f t="shared" si="7"/>
        <v>Home-Study</v>
      </c>
      <c r="S408" s="58">
        <v>4</v>
      </c>
      <c r="T408" s="58">
        <v>0.1</v>
      </c>
      <c r="U408" s="43">
        <v>6</v>
      </c>
      <c r="V408" s="43"/>
      <c r="W408" s="58"/>
      <c r="X408" s="58"/>
      <c r="Y408" s="59" t="s">
        <v>156</v>
      </c>
      <c r="Z408" s="60">
        <v>1000</v>
      </c>
      <c r="AA408" s="25">
        <f>VLOOKUP(F408,Zones!$A$2:$F$2186,6,FALSE)</f>
        <v>1393</v>
      </c>
      <c r="AB408" s="25">
        <f>VLOOKUP(L408,Zones!$A$2:$F$2186,6,FALSE)</f>
        <v>1393</v>
      </c>
    </row>
    <row r="409" spans="2:28">
      <c r="B409" s="40">
        <v>0.36805555555555558</v>
      </c>
      <c r="C409" s="40" t="s">
        <v>264</v>
      </c>
      <c r="D409" s="41">
        <v>2</v>
      </c>
      <c r="E409" s="42">
        <v>2</v>
      </c>
      <c r="F409" s="42" t="s">
        <v>159</v>
      </c>
      <c r="G409" s="43" t="s">
        <v>159</v>
      </c>
      <c r="H409" s="42" t="s">
        <v>155</v>
      </c>
      <c r="I409" s="43">
        <v>1</v>
      </c>
      <c r="J409" s="43">
        <v>1</v>
      </c>
      <c r="K409" s="25" t="str">
        <f>VLOOKUP(J409,Key!$E$2:$F$9,2,FALSE)</f>
        <v>Home</v>
      </c>
      <c r="L409" s="42" t="s">
        <v>265</v>
      </c>
      <c r="M409" s="43" t="s">
        <v>266</v>
      </c>
      <c r="N409" s="42" t="s">
        <v>155</v>
      </c>
      <c r="O409" s="43">
        <v>10</v>
      </c>
      <c r="P409" s="43">
        <v>2</v>
      </c>
      <c r="Q409" s="25" t="str">
        <f>VLOOKUP(P409,Key!$E$2:$F$9,2,FALSE)</f>
        <v>Work</v>
      </c>
      <c r="R409" s="25" t="str">
        <f t="shared" ref="R409:R472" si="8">K409&amp;"-"&amp;Q409</f>
        <v>Home-Work</v>
      </c>
      <c r="S409" s="58">
        <v>250</v>
      </c>
      <c r="T409" s="58">
        <v>4</v>
      </c>
      <c r="U409" s="43">
        <v>2</v>
      </c>
      <c r="V409" s="43"/>
      <c r="W409" s="58"/>
      <c r="X409" s="58"/>
      <c r="Y409" s="59" t="s">
        <v>156</v>
      </c>
      <c r="Z409" s="60">
        <v>1000</v>
      </c>
      <c r="AA409" s="25">
        <f>VLOOKUP(F409,Zones!$A$2:$F$2186,6,FALSE)</f>
        <v>521</v>
      </c>
      <c r="AB409" s="25">
        <f>VLOOKUP(L409,Zones!$A$2:$F$2186,6,FALSE)</f>
        <v>737</v>
      </c>
    </row>
    <row r="410" spans="2:28">
      <c r="B410" s="40">
        <v>0.36319444444444443</v>
      </c>
      <c r="C410" s="40" t="s">
        <v>267</v>
      </c>
      <c r="D410" s="41">
        <v>1</v>
      </c>
      <c r="E410" s="42">
        <v>4</v>
      </c>
      <c r="F410" s="42" t="s">
        <v>268</v>
      </c>
      <c r="G410" s="43" t="s">
        <v>154</v>
      </c>
      <c r="H410" s="42" t="s">
        <v>155</v>
      </c>
      <c r="I410" s="43">
        <v>1</v>
      </c>
      <c r="J410" s="43">
        <v>1</v>
      </c>
      <c r="K410" s="25" t="str">
        <f>VLOOKUP(J410,Key!$E$2:$F$9,2,FALSE)</f>
        <v>Home</v>
      </c>
      <c r="L410" s="42" t="s">
        <v>269</v>
      </c>
      <c r="M410" s="43" t="s">
        <v>269</v>
      </c>
      <c r="N410" s="42" t="s">
        <v>155</v>
      </c>
      <c r="O410" s="43">
        <v>9</v>
      </c>
      <c r="P410" s="43">
        <v>2</v>
      </c>
      <c r="Q410" s="25" t="str">
        <f>VLOOKUP(P410,Key!$E$2:$F$9,2,FALSE)</f>
        <v>Work</v>
      </c>
      <c r="R410" s="25" t="str">
        <f t="shared" si="8"/>
        <v>Home-Work</v>
      </c>
      <c r="S410" s="58">
        <v>9</v>
      </c>
      <c r="T410" s="58">
        <v>0.1</v>
      </c>
      <c r="U410" s="43">
        <v>1</v>
      </c>
      <c r="V410" s="43"/>
      <c r="W410" s="58"/>
      <c r="X410" s="58"/>
      <c r="Y410" s="59" t="s">
        <v>156</v>
      </c>
      <c r="Z410" s="60">
        <v>1000</v>
      </c>
      <c r="AA410" s="25">
        <f>VLOOKUP(F410,Zones!$A$2:$F$2186,6,FALSE)</f>
        <v>1396</v>
      </c>
      <c r="AB410" s="25">
        <f>VLOOKUP(L410,Zones!$A$2:$F$2186,6,FALSE)</f>
        <v>1016</v>
      </c>
    </row>
    <row r="411" spans="2:28">
      <c r="B411" s="40">
        <v>0.35972222222222222</v>
      </c>
      <c r="C411" s="40" t="s">
        <v>270</v>
      </c>
      <c r="D411" s="41">
        <v>1</v>
      </c>
      <c r="E411" s="42">
        <v>1</v>
      </c>
      <c r="F411" s="42" t="s">
        <v>184</v>
      </c>
      <c r="G411" s="43" t="s">
        <v>154</v>
      </c>
      <c r="H411" s="42" t="s">
        <v>155</v>
      </c>
      <c r="I411" s="43">
        <v>1</v>
      </c>
      <c r="J411" s="43">
        <v>1</v>
      </c>
      <c r="K411" s="25" t="str">
        <f>VLOOKUP(J411,Key!$E$2:$F$9,2,FALSE)</f>
        <v>Home</v>
      </c>
      <c r="L411" s="42" t="s">
        <v>154</v>
      </c>
      <c r="M411" s="43" t="s">
        <v>154</v>
      </c>
      <c r="N411" s="42" t="s">
        <v>155</v>
      </c>
      <c r="O411" s="43">
        <v>2</v>
      </c>
      <c r="P411" s="43">
        <v>2</v>
      </c>
      <c r="Q411" s="25" t="str">
        <f>VLOOKUP(P411,Key!$E$2:$F$9,2,FALSE)</f>
        <v>Work</v>
      </c>
      <c r="R411" s="25" t="str">
        <f t="shared" si="8"/>
        <v>Home-Work</v>
      </c>
      <c r="S411" s="58">
        <v>3</v>
      </c>
      <c r="T411" s="58">
        <v>0.1</v>
      </c>
      <c r="U411" s="43">
        <v>6</v>
      </c>
      <c r="V411" s="43"/>
      <c r="W411" s="58"/>
      <c r="X411" s="58"/>
      <c r="Y411" s="59" t="s">
        <v>156</v>
      </c>
      <c r="Z411" s="60">
        <v>0</v>
      </c>
      <c r="AA411" s="25">
        <f>VLOOKUP(F411,Zones!$A$2:$F$2186,6,FALSE)</f>
        <v>811</v>
      </c>
      <c r="AB411" s="25">
        <f>VLOOKUP(L411,Zones!$A$2:$F$2186,6,FALSE)</f>
        <v>1408</v>
      </c>
    </row>
    <row r="412" spans="2:28">
      <c r="B412" s="40">
        <v>0.35625000000000001</v>
      </c>
      <c r="C412" s="40" t="s">
        <v>271</v>
      </c>
      <c r="D412" s="41">
        <v>1</v>
      </c>
      <c r="E412" s="42">
        <v>2</v>
      </c>
      <c r="F412" s="42" t="s">
        <v>209</v>
      </c>
      <c r="G412" s="43" t="s">
        <v>154</v>
      </c>
      <c r="H412" s="42" t="s">
        <v>155</v>
      </c>
      <c r="I412" s="43">
        <v>1</v>
      </c>
      <c r="J412" s="43">
        <v>1</v>
      </c>
      <c r="K412" s="25" t="str">
        <f>VLOOKUP(J412,Key!$E$2:$F$9,2,FALSE)</f>
        <v>Home</v>
      </c>
      <c r="L412" s="42" t="s">
        <v>202</v>
      </c>
      <c r="M412" s="43" t="s">
        <v>202</v>
      </c>
      <c r="N412" s="42" t="s">
        <v>155</v>
      </c>
      <c r="O412" s="43">
        <v>9</v>
      </c>
      <c r="P412" s="43">
        <v>2</v>
      </c>
      <c r="Q412" s="25" t="str">
        <f>VLOOKUP(P412,Key!$E$2:$F$9,2,FALSE)</f>
        <v>Work</v>
      </c>
      <c r="R412" s="25" t="str">
        <f t="shared" si="8"/>
        <v>Home-Work</v>
      </c>
      <c r="S412" s="58"/>
      <c r="T412" s="58">
        <v>1</v>
      </c>
      <c r="U412" s="43">
        <v>2</v>
      </c>
      <c r="V412" s="43"/>
      <c r="W412" s="58"/>
      <c r="X412" s="58"/>
      <c r="Y412" s="59" t="s">
        <v>156</v>
      </c>
      <c r="Z412" s="60">
        <v>100</v>
      </c>
      <c r="AA412" s="25">
        <f>VLOOKUP(F412,Zones!$A$2:$F$2186,6,FALSE)</f>
        <v>1405</v>
      </c>
      <c r="AB412" s="25">
        <f>VLOOKUP(L412,Zones!$A$2:$F$2186,6,FALSE)</f>
        <v>887</v>
      </c>
    </row>
    <row r="413" spans="2:28">
      <c r="B413" s="40">
        <v>0.35069444444444442</v>
      </c>
      <c r="C413" s="40" t="s">
        <v>272</v>
      </c>
      <c r="D413" s="41">
        <v>1</v>
      </c>
      <c r="E413" s="42">
        <v>1</v>
      </c>
      <c r="F413" s="42" t="s">
        <v>184</v>
      </c>
      <c r="G413" s="43" t="s">
        <v>154</v>
      </c>
      <c r="H413" s="42" t="s">
        <v>155</v>
      </c>
      <c r="I413" s="43">
        <v>1</v>
      </c>
      <c r="J413" s="43">
        <v>1</v>
      </c>
      <c r="K413" s="25" t="str">
        <f>VLOOKUP(J413,Key!$E$2:$F$9,2,FALSE)</f>
        <v>Home</v>
      </c>
      <c r="L413" s="42" t="s">
        <v>254</v>
      </c>
      <c r="M413" s="43" t="s">
        <v>254</v>
      </c>
      <c r="N413" s="42" t="s">
        <v>155</v>
      </c>
      <c r="O413" s="43">
        <v>2</v>
      </c>
      <c r="P413" s="43">
        <v>2</v>
      </c>
      <c r="Q413" s="25" t="str">
        <f>VLOOKUP(P413,Key!$E$2:$F$9,2,FALSE)</f>
        <v>Work</v>
      </c>
      <c r="R413" s="25" t="str">
        <f t="shared" si="8"/>
        <v>Home-Work</v>
      </c>
      <c r="S413" s="58">
        <v>78</v>
      </c>
      <c r="T413" s="58">
        <v>1.5</v>
      </c>
      <c r="U413" s="43">
        <v>2</v>
      </c>
      <c r="V413" s="43"/>
      <c r="W413" s="58"/>
      <c r="X413" s="58"/>
      <c r="Y413" s="59" t="s">
        <v>156</v>
      </c>
      <c r="Z413" s="60">
        <v>0</v>
      </c>
      <c r="AA413" s="25">
        <f>VLOOKUP(F413,Zones!$A$2:$F$2186,6,FALSE)</f>
        <v>811</v>
      </c>
      <c r="AB413" s="25">
        <f>VLOOKUP(L413,Zones!$A$2:$F$2186,6,FALSE)</f>
        <v>1088</v>
      </c>
    </row>
    <row r="414" spans="2:28">
      <c r="B414" s="40">
        <v>0.35069444444444442</v>
      </c>
      <c r="C414" s="40" t="s">
        <v>273</v>
      </c>
      <c r="D414" s="41">
        <v>2</v>
      </c>
      <c r="E414" s="42">
        <v>1</v>
      </c>
      <c r="F414" s="42" t="s">
        <v>268</v>
      </c>
      <c r="G414" s="43" t="s">
        <v>154</v>
      </c>
      <c r="H414" s="42" t="s">
        <v>155</v>
      </c>
      <c r="I414" s="43">
        <v>4</v>
      </c>
      <c r="J414" s="43">
        <v>3</v>
      </c>
      <c r="K414" s="25" t="str">
        <f>VLOOKUP(J414,Key!$E$2:$F$9,2,FALSE)</f>
        <v>Study</v>
      </c>
      <c r="L414" s="42" t="s">
        <v>168</v>
      </c>
      <c r="M414" s="43" t="s">
        <v>154</v>
      </c>
      <c r="N414" s="42" t="s">
        <v>155</v>
      </c>
      <c r="O414" s="43">
        <v>1</v>
      </c>
      <c r="P414" s="43">
        <v>1</v>
      </c>
      <c r="Q414" s="25" t="str">
        <f>VLOOKUP(P414,Key!$E$2:$F$9,2,FALSE)</f>
        <v>Home</v>
      </c>
      <c r="R414" s="25" t="str">
        <f t="shared" si="8"/>
        <v>Study-Home</v>
      </c>
      <c r="S414" s="58">
        <v>10</v>
      </c>
      <c r="T414" s="58">
        <v>0.1</v>
      </c>
      <c r="U414" s="43">
        <v>1</v>
      </c>
      <c r="V414" s="43"/>
      <c r="W414" s="58"/>
      <c r="X414" s="58"/>
      <c r="Y414" s="59" t="s">
        <v>156</v>
      </c>
      <c r="Z414" s="60">
        <v>500</v>
      </c>
      <c r="AA414" s="25">
        <f>VLOOKUP(F414,Zones!$A$2:$F$2186,6,FALSE)</f>
        <v>1396</v>
      </c>
      <c r="AB414" s="25">
        <f>VLOOKUP(L414,Zones!$A$2:$F$2186,6,FALSE)</f>
        <v>1393</v>
      </c>
    </row>
    <row r="415" spans="2:28">
      <c r="B415" s="40">
        <v>0.35347222222222219</v>
      </c>
      <c r="C415" s="40" t="s">
        <v>274</v>
      </c>
      <c r="D415" s="41">
        <v>9</v>
      </c>
      <c r="E415" s="42">
        <v>2</v>
      </c>
      <c r="F415" s="42" t="s">
        <v>146</v>
      </c>
      <c r="G415" s="43" t="s">
        <v>154</v>
      </c>
      <c r="H415" s="42" t="s">
        <v>155</v>
      </c>
      <c r="I415" s="43">
        <v>16</v>
      </c>
      <c r="J415" s="43">
        <v>8</v>
      </c>
      <c r="K415" s="25" t="str">
        <f>VLOOKUP(J415,Key!$E$2:$F$9,2,FALSE)</f>
        <v>Others</v>
      </c>
      <c r="L415" s="42" t="s">
        <v>201</v>
      </c>
      <c r="M415" s="43" t="s">
        <v>202</v>
      </c>
      <c r="N415" s="42" t="s">
        <v>155</v>
      </c>
      <c r="O415" s="43">
        <v>15</v>
      </c>
      <c r="P415" s="43">
        <v>2</v>
      </c>
      <c r="Q415" s="25" t="str">
        <f>VLOOKUP(P415,Key!$E$2:$F$9,2,FALSE)</f>
        <v>Work</v>
      </c>
      <c r="R415" s="25" t="str">
        <f t="shared" si="8"/>
        <v>Others-Work</v>
      </c>
      <c r="S415" s="58"/>
      <c r="T415" s="58"/>
      <c r="U415" s="43">
        <v>2</v>
      </c>
      <c r="V415" s="43"/>
      <c r="W415" s="58"/>
      <c r="X415" s="58"/>
      <c r="Y415" s="59" t="s">
        <v>156</v>
      </c>
      <c r="Z415" s="60">
        <v>1000</v>
      </c>
      <c r="AA415" s="25">
        <f>VLOOKUP(F415,Zones!$A$2:$F$2186,6,FALSE)</f>
        <v>1393</v>
      </c>
      <c r="AB415" s="25">
        <f>VLOOKUP(L415,Zones!$A$2:$F$2186,6,FALSE)</f>
        <v>1092</v>
      </c>
    </row>
    <row r="416" spans="2:28">
      <c r="B416" s="40">
        <v>0.34652777777777777</v>
      </c>
      <c r="C416" s="40" t="s">
        <v>181</v>
      </c>
      <c r="D416" s="41">
        <v>7</v>
      </c>
      <c r="E416" s="42">
        <v>1</v>
      </c>
      <c r="F416" s="42" t="s">
        <v>146</v>
      </c>
      <c r="G416" s="43" t="s">
        <v>154</v>
      </c>
      <c r="H416" s="42" t="s">
        <v>155</v>
      </c>
      <c r="I416" s="43">
        <v>1</v>
      </c>
      <c r="J416" s="43">
        <v>1</v>
      </c>
      <c r="K416" s="25" t="str">
        <f>VLOOKUP(J416,Key!$E$2:$F$9,2,FALSE)</f>
        <v>Home</v>
      </c>
      <c r="L416" s="42" t="s">
        <v>168</v>
      </c>
      <c r="M416" s="43" t="s">
        <v>154</v>
      </c>
      <c r="N416" s="42" t="s">
        <v>155</v>
      </c>
      <c r="O416" s="43">
        <v>16</v>
      </c>
      <c r="P416" s="43">
        <v>8</v>
      </c>
      <c r="Q416" s="25" t="str">
        <f>VLOOKUP(P416,Key!$E$2:$F$9,2,FALSE)</f>
        <v>Others</v>
      </c>
      <c r="R416" s="25" t="str">
        <f t="shared" si="8"/>
        <v>Home-Others</v>
      </c>
      <c r="S416" s="58"/>
      <c r="T416" s="58"/>
      <c r="U416" s="43">
        <v>1</v>
      </c>
      <c r="V416" s="43"/>
      <c r="W416" s="58"/>
      <c r="X416" s="58"/>
      <c r="Y416" s="59" t="s">
        <v>156</v>
      </c>
      <c r="Z416" s="60">
        <v>1000</v>
      </c>
      <c r="AA416" s="25">
        <f>VLOOKUP(F416,Zones!$A$2:$F$2186,6,FALSE)</f>
        <v>1393</v>
      </c>
      <c r="AB416" s="25">
        <f>VLOOKUP(L416,Zones!$A$2:$F$2186,6,FALSE)</f>
        <v>1393</v>
      </c>
    </row>
    <row r="417" spans="2:28">
      <c r="B417" s="40">
        <v>0.34236111111111112</v>
      </c>
      <c r="C417" s="40" t="s">
        <v>275</v>
      </c>
      <c r="D417" s="41">
        <v>2</v>
      </c>
      <c r="E417" s="42">
        <v>4</v>
      </c>
      <c r="F417" s="42" t="s">
        <v>209</v>
      </c>
      <c r="G417" s="43" t="s">
        <v>154</v>
      </c>
      <c r="H417" s="42" t="s">
        <v>155</v>
      </c>
      <c r="I417" s="43">
        <v>1</v>
      </c>
      <c r="J417" s="43">
        <v>1</v>
      </c>
      <c r="K417" s="25" t="str">
        <f>VLOOKUP(J417,Key!$E$2:$F$9,2,FALSE)</f>
        <v>Home</v>
      </c>
      <c r="L417" s="42" t="s">
        <v>154</v>
      </c>
      <c r="M417" s="43" t="s">
        <v>154</v>
      </c>
      <c r="N417" s="42" t="s">
        <v>155</v>
      </c>
      <c r="O417" s="43">
        <v>10</v>
      </c>
      <c r="P417" s="43">
        <v>2</v>
      </c>
      <c r="Q417" s="25" t="str">
        <f>VLOOKUP(P417,Key!$E$2:$F$9,2,FALSE)</f>
        <v>Work</v>
      </c>
      <c r="R417" s="25" t="str">
        <f t="shared" si="8"/>
        <v>Home-Work</v>
      </c>
      <c r="S417" s="58"/>
      <c r="T417" s="58"/>
      <c r="U417" s="43">
        <v>3</v>
      </c>
      <c r="V417" s="43"/>
      <c r="W417" s="58"/>
      <c r="X417" s="58"/>
      <c r="Y417" s="59" t="s">
        <v>156</v>
      </c>
      <c r="Z417" s="60">
        <v>500</v>
      </c>
      <c r="AA417" s="25">
        <f>VLOOKUP(F417,Zones!$A$2:$F$2186,6,FALSE)</f>
        <v>1405</v>
      </c>
      <c r="AB417" s="25">
        <f>VLOOKUP(L417,Zones!$A$2:$F$2186,6,FALSE)</f>
        <v>1408</v>
      </c>
    </row>
    <row r="418" spans="2:28">
      <c r="B418" s="40">
        <v>0.4861111111111111</v>
      </c>
      <c r="C418" s="40" t="s">
        <v>276</v>
      </c>
      <c r="D418" s="41">
        <v>4</v>
      </c>
      <c r="E418" s="42">
        <v>16</v>
      </c>
      <c r="F418" s="42" t="s">
        <v>146</v>
      </c>
      <c r="G418" s="43" t="s">
        <v>154</v>
      </c>
      <c r="H418" s="42" t="s">
        <v>155</v>
      </c>
      <c r="I418" s="43">
        <v>6</v>
      </c>
      <c r="J418" s="43">
        <v>4</v>
      </c>
      <c r="K418" s="25" t="str">
        <f>VLOOKUP(J418,Key!$E$2:$F$9,2,FALSE)</f>
        <v>Commercial</v>
      </c>
      <c r="L418" s="42" t="s">
        <v>147</v>
      </c>
      <c r="M418" s="43" t="s">
        <v>154</v>
      </c>
      <c r="N418" s="42" t="s">
        <v>155</v>
      </c>
      <c r="O418" s="43">
        <v>6</v>
      </c>
      <c r="P418" s="43">
        <v>4</v>
      </c>
      <c r="Q418" s="25" t="str">
        <f>VLOOKUP(P418,Key!$E$2:$F$9,2,FALSE)</f>
        <v>Commercial</v>
      </c>
      <c r="R418" s="25" t="str">
        <f t="shared" si="8"/>
        <v>Commercial-Commercial</v>
      </c>
      <c r="S418" s="58"/>
      <c r="T418" s="58"/>
      <c r="U418" s="43">
        <v>2</v>
      </c>
      <c r="V418" s="43"/>
      <c r="W418" s="58"/>
      <c r="X418" s="58"/>
      <c r="Y418" s="59" t="s">
        <v>156</v>
      </c>
      <c r="Z418" s="60">
        <v>2000</v>
      </c>
      <c r="AA418" s="25">
        <f>VLOOKUP(F418,Zones!$A$2:$F$2186,6,FALSE)</f>
        <v>1393</v>
      </c>
      <c r="AB418" s="25">
        <f>VLOOKUP(L418,Zones!$A$2:$F$2186,6,FALSE)</f>
        <v>1402</v>
      </c>
    </row>
    <row r="419" spans="2:28">
      <c r="B419" s="40">
        <v>0.48402777777777778</v>
      </c>
      <c r="C419" s="40" t="s">
        <v>277</v>
      </c>
      <c r="D419" s="41">
        <v>1</v>
      </c>
      <c r="E419" s="42">
        <v>2</v>
      </c>
      <c r="F419" s="42" t="s">
        <v>278</v>
      </c>
      <c r="G419" s="43" t="s">
        <v>154</v>
      </c>
      <c r="H419" s="42" t="s">
        <v>155</v>
      </c>
      <c r="I419" s="43">
        <v>1</v>
      </c>
      <c r="J419" s="43">
        <v>1</v>
      </c>
      <c r="K419" s="25" t="str">
        <f>VLOOKUP(J419,Key!$E$2:$F$9,2,FALSE)</f>
        <v>Home</v>
      </c>
      <c r="L419" s="42" t="s">
        <v>265</v>
      </c>
      <c r="M419" s="43" t="s">
        <v>266</v>
      </c>
      <c r="N419" s="42" t="s">
        <v>155</v>
      </c>
      <c r="O419" s="43">
        <v>2</v>
      </c>
      <c r="P419" s="43">
        <v>2</v>
      </c>
      <c r="Q419" s="25" t="str">
        <f>VLOOKUP(P419,Key!$E$2:$F$9,2,FALSE)</f>
        <v>Work</v>
      </c>
      <c r="R419" s="25" t="str">
        <f t="shared" si="8"/>
        <v>Home-Work</v>
      </c>
      <c r="S419" s="58">
        <v>267</v>
      </c>
      <c r="T419" s="58">
        <v>4</v>
      </c>
      <c r="U419" s="43">
        <v>3</v>
      </c>
      <c r="V419" s="43"/>
      <c r="W419" s="58"/>
      <c r="X419" s="58"/>
      <c r="Y419" s="59" t="s">
        <v>156</v>
      </c>
      <c r="Z419" s="60">
        <v>1000</v>
      </c>
      <c r="AA419" s="25">
        <f>VLOOKUP(F419,Zones!$A$2:$F$2186,6,FALSE)</f>
        <v>1396</v>
      </c>
      <c r="AB419" s="25">
        <f>VLOOKUP(L419,Zones!$A$2:$F$2186,6,FALSE)</f>
        <v>737</v>
      </c>
    </row>
    <row r="420" spans="2:28">
      <c r="B420" s="40">
        <v>0.45624999999999999</v>
      </c>
      <c r="C420" s="40" t="s">
        <v>279</v>
      </c>
      <c r="D420" s="41">
        <v>1</v>
      </c>
      <c r="E420" s="42">
        <v>6</v>
      </c>
      <c r="F420" s="42" t="s">
        <v>199</v>
      </c>
      <c r="G420" s="43" t="s">
        <v>159</v>
      </c>
      <c r="H420" s="42" t="s">
        <v>155</v>
      </c>
      <c r="I420" s="43">
        <v>1</v>
      </c>
      <c r="J420" s="43">
        <v>1</v>
      </c>
      <c r="K420" s="25" t="str">
        <f>VLOOKUP(J420,Key!$E$2:$F$9,2,FALSE)</f>
        <v>Home</v>
      </c>
      <c r="L420" s="42" t="s">
        <v>233</v>
      </c>
      <c r="M420" s="43" t="s">
        <v>159</v>
      </c>
      <c r="N420" s="42" t="s">
        <v>155</v>
      </c>
      <c r="O420" s="43">
        <v>2</v>
      </c>
      <c r="P420" s="43">
        <v>2</v>
      </c>
      <c r="Q420" s="25" t="str">
        <f>VLOOKUP(P420,Key!$E$2:$F$9,2,FALSE)</f>
        <v>Work</v>
      </c>
      <c r="R420" s="25" t="str">
        <f t="shared" si="8"/>
        <v>Home-Work</v>
      </c>
      <c r="S420" s="58"/>
      <c r="T420" s="58">
        <v>1</v>
      </c>
      <c r="U420" s="43">
        <v>2</v>
      </c>
      <c r="V420" s="43"/>
      <c r="W420" s="58"/>
      <c r="X420" s="58"/>
      <c r="Y420" s="59" t="s">
        <v>156</v>
      </c>
      <c r="Z420" s="60">
        <v>2000</v>
      </c>
      <c r="AA420" s="25">
        <f>VLOOKUP(F420,Zones!$A$2:$F$2186,6,FALSE)</f>
        <v>577</v>
      </c>
      <c r="AB420" s="25">
        <f>VLOOKUP(L420,Zones!$A$2:$F$2186,6,FALSE)</f>
        <v>533</v>
      </c>
    </row>
    <row r="421" spans="2:28">
      <c r="B421" s="40">
        <v>0.4548611111111111</v>
      </c>
      <c r="C421" s="40" t="s">
        <v>280</v>
      </c>
      <c r="D421" s="41">
        <v>7</v>
      </c>
      <c r="E421" s="42">
        <v>2</v>
      </c>
      <c r="F421" s="42" t="s">
        <v>146</v>
      </c>
      <c r="G421" s="43" t="s">
        <v>154</v>
      </c>
      <c r="H421" s="42" t="s">
        <v>155</v>
      </c>
      <c r="I421" s="43">
        <v>14</v>
      </c>
      <c r="J421" s="43">
        <v>4</v>
      </c>
      <c r="K421" s="25" t="str">
        <f>VLOOKUP(J421,Key!$E$2:$F$9,2,FALSE)</f>
        <v>Commercial</v>
      </c>
      <c r="L421" s="42" t="s">
        <v>659</v>
      </c>
      <c r="M421" s="43" t="s">
        <v>154</v>
      </c>
      <c r="N421" s="42" t="s">
        <v>155</v>
      </c>
      <c r="O421" s="43">
        <v>10</v>
      </c>
      <c r="P421" s="43">
        <v>4</v>
      </c>
      <c r="Q421" s="25" t="str">
        <f>VLOOKUP(P421,Key!$E$2:$F$9,2,FALSE)</f>
        <v>Commercial</v>
      </c>
      <c r="R421" s="25" t="str">
        <f t="shared" si="8"/>
        <v>Commercial-Commercial</v>
      </c>
      <c r="S421" s="58">
        <v>2</v>
      </c>
      <c r="T421" s="58">
        <v>0.1</v>
      </c>
      <c r="U421" s="43">
        <v>2</v>
      </c>
      <c r="V421" s="43"/>
      <c r="W421" s="58"/>
      <c r="X421" s="58"/>
      <c r="Y421" s="59" t="s">
        <v>156</v>
      </c>
      <c r="Z421" s="60">
        <v>1000</v>
      </c>
      <c r="AA421" s="25">
        <f>VLOOKUP(F421,Zones!$A$2:$F$2186,6,FALSE)</f>
        <v>1393</v>
      </c>
      <c r="AB421" s="25">
        <f>VLOOKUP(L421,Zones!$A$2:$F$2186,6,FALSE)</f>
        <v>542</v>
      </c>
    </row>
    <row r="422" spans="2:28">
      <c r="B422" s="40">
        <v>0.48958333333333331</v>
      </c>
      <c r="C422" s="40" t="s">
        <v>282</v>
      </c>
      <c r="D422" s="41">
        <v>4</v>
      </c>
      <c r="E422" s="42">
        <v>1</v>
      </c>
      <c r="F422" s="42" t="s">
        <v>146</v>
      </c>
      <c r="G422" s="43" t="s">
        <v>154</v>
      </c>
      <c r="H422" s="42" t="s">
        <v>155</v>
      </c>
      <c r="I422" s="43">
        <v>6</v>
      </c>
      <c r="J422" s="43">
        <v>4</v>
      </c>
      <c r="K422" s="25" t="str">
        <f>VLOOKUP(J422,Key!$E$2:$F$9,2,FALSE)</f>
        <v>Commercial</v>
      </c>
      <c r="L422" s="42" t="s">
        <v>168</v>
      </c>
      <c r="M422" s="43" t="s">
        <v>154</v>
      </c>
      <c r="N422" s="42" t="s">
        <v>155</v>
      </c>
      <c r="O422" s="43">
        <v>16</v>
      </c>
      <c r="P422" s="43">
        <v>8</v>
      </c>
      <c r="Q422" s="25" t="str">
        <f>VLOOKUP(P422,Key!$E$2:$F$9,2,FALSE)</f>
        <v>Others</v>
      </c>
      <c r="R422" s="25" t="str">
        <f t="shared" si="8"/>
        <v>Commercial-Others</v>
      </c>
      <c r="S422" s="58">
        <v>1</v>
      </c>
      <c r="T422" s="58">
        <v>0.1</v>
      </c>
      <c r="U422" s="43">
        <v>2</v>
      </c>
      <c r="V422" s="43"/>
      <c r="W422" s="58"/>
      <c r="X422" s="58"/>
      <c r="Y422" s="59" t="s">
        <v>156</v>
      </c>
      <c r="Z422" s="60">
        <v>1000</v>
      </c>
      <c r="AA422" s="25">
        <f>VLOOKUP(F422,Zones!$A$2:$F$2186,6,FALSE)</f>
        <v>1393</v>
      </c>
      <c r="AB422" s="25">
        <f>VLOOKUP(L422,Zones!$A$2:$F$2186,6,FALSE)</f>
        <v>1393</v>
      </c>
    </row>
    <row r="423" spans="2:28">
      <c r="B423" s="40">
        <v>0.49305555555555558</v>
      </c>
      <c r="C423" s="40" t="s">
        <v>283</v>
      </c>
      <c r="D423" s="41">
        <v>1</v>
      </c>
      <c r="E423" s="42">
        <v>2</v>
      </c>
      <c r="F423" s="42" t="s">
        <v>146</v>
      </c>
      <c r="G423" s="43" t="s">
        <v>154</v>
      </c>
      <c r="H423" s="42" t="s">
        <v>155</v>
      </c>
      <c r="I423" s="43">
        <v>16</v>
      </c>
      <c r="J423" s="43">
        <v>8</v>
      </c>
      <c r="K423" s="25" t="str">
        <f>VLOOKUP(J423,Key!$E$2:$F$9,2,FALSE)</f>
        <v>Others</v>
      </c>
      <c r="L423" s="42" t="s">
        <v>245</v>
      </c>
      <c r="M423" s="43" t="s">
        <v>154</v>
      </c>
      <c r="N423" s="42" t="s">
        <v>155</v>
      </c>
      <c r="O423" s="43">
        <v>1</v>
      </c>
      <c r="P423" s="43">
        <v>1</v>
      </c>
      <c r="Q423" s="25" t="str">
        <f>VLOOKUP(P423,Key!$E$2:$F$9,2,FALSE)</f>
        <v>Home</v>
      </c>
      <c r="R423" s="25" t="str">
        <f t="shared" si="8"/>
        <v>Others-Home</v>
      </c>
      <c r="S423" s="58">
        <v>3</v>
      </c>
      <c r="T423" s="58">
        <v>0.3</v>
      </c>
      <c r="U423" s="43">
        <v>1</v>
      </c>
      <c r="V423" s="43"/>
      <c r="W423" s="58"/>
      <c r="X423" s="58"/>
      <c r="Y423" s="59" t="s">
        <v>156</v>
      </c>
      <c r="Z423" s="60">
        <v>3000</v>
      </c>
      <c r="AA423" s="25">
        <f>VLOOKUP(F423,Zones!$A$2:$F$2186,6,FALSE)</f>
        <v>1393</v>
      </c>
      <c r="AB423" s="25">
        <f>VLOOKUP(L423,Zones!$A$2:$F$2186,6,FALSE)</f>
        <v>1402</v>
      </c>
    </row>
    <row r="424" spans="2:28">
      <c r="B424" s="40">
        <v>0.50347222222222221</v>
      </c>
      <c r="C424" s="40" t="s">
        <v>284</v>
      </c>
      <c r="D424" s="41">
        <v>1</v>
      </c>
      <c r="E424" s="42">
        <v>1</v>
      </c>
      <c r="F424" s="42" t="s">
        <v>146</v>
      </c>
      <c r="G424" s="43" t="s">
        <v>154</v>
      </c>
      <c r="H424" s="42" t="s">
        <v>155</v>
      </c>
      <c r="I424" s="43">
        <v>1</v>
      </c>
      <c r="J424" s="43">
        <v>1</v>
      </c>
      <c r="K424" s="25" t="str">
        <f>VLOOKUP(J424,Key!$E$2:$F$9,2,FALSE)</f>
        <v>Home</v>
      </c>
      <c r="L424" s="42" t="s">
        <v>3281</v>
      </c>
      <c r="M424" s="43" t="s">
        <v>154</v>
      </c>
      <c r="N424" s="42" t="s">
        <v>155</v>
      </c>
      <c r="O424" s="43">
        <v>9</v>
      </c>
      <c r="P424" s="43">
        <v>4</v>
      </c>
      <c r="Q424" s="25" t="str">
        <f>VLOOKUP(P424,Key!$E$2:$F$9,2,FALSE)</f>
        <v>Commercial</v>
      </c>
      <c r="R424" s="25" t="str">
        <f t="shared" si="8"/>
        <v>Home-Commercial</v>
      </c>
      <c r="S424" s="58">
        <v>14</v>
      </c>
      <c r="T424" s="58">
        <v>0.5</v>
      </c>
      <c r="U424" s="43">
        <v>1</v>
      </c>
      <c r="V424" s="43"/>
      <c r="W424" s="58"/>
      <c r="X424" s="58"/>
      <c r="Y424" s="59" t="s">
        <v>156</v>
      </c>
      <c r="Z424" s="60">
        <v>1000</v>
      </c>
      <c r="AA424" s="25">
        <f>VLOOKUP(F424,Zones!$A$2:$F$2186,6,FALSE)</f>
        <v>1393</v>
      </c>
      <c r="AB424" s="25">
        <f>VLOOKUP(L424,Zones!$A$2:$F$2186,6,FALSE)</f>
        <v>1408</v>
      </c>
    </row>
    <row r="425" spans="2:28">
      <c r="B425" s="40">
        <v>0.5</v>
      </c>
      <c r="C425" s="40" t="s">
        <v>286</v>
      </c>
      <c r="D425" s="41">
        <v>1</v>
      </c>
      <c r="E425" s="42">
        <v>1</v>
      </c>
      <c r="F425" s="42" t="s">
        <v>287</v>
      </c>
      <c r="G425" s="43" t="s">
        <v>154</v>
      </c>
      <c r="H425" s="42" t="s">
        <v>155</v>
      </c>
      <c r="I425" s="43">
        <v>1</v>
      </c>
      <c r="J425" s="43">
        <v>1</v>
      </c>
      <c r="K425" s="25" t="str">
        <f>VLOOKUP(J425,Key!$E$2:$F$9,2,FALSE)</f>
        <v>Home</v>
      </c>
      <c r="L425" s="42" t="s">
        <v>168</v>
      </c>
      <c r="M425" s="43" t="s">
        <v>154</v>
      </c>
      <c r="N425" s="42" t="s">
        <v>155</v>
      </c>
      <c r="O425" s="43">
        <v>11</v>
      </c>
      <c r="P425" s="43">
        <v>4</v>
      </c>
      <c r="Q425" s="25" t="str">
        <f>VLOOKUP(P425,Key!$E$2:$F$9,2,FALSE)</f>
        <v>Commercial</v>
      </c>
      <c r="R425" s="25" t="str">
        <f t="shared" si="8"/>
        <v>Home-Commercial</v>
      </c>
      <c r="S425" s="58">
        <v>1</v>
      </c>
      <c r="T425" s="58">
        <v>0.2</v>
      </c>
      <c r="U425" s="43">
        <v>2</v>
      </c>
      <c r="V425" s="43"/>
      <c r="W425" s="58"/>
      <c r="X425" s="58"/>
      <c r="Y425" s="59" t="s">
        <v>156</v>
      </c>
      <c r="Z425" s="60">
        <v>5000</v>
      </c>
      <c r="AA425" s="25">
        <f>VLOOKUP(F425,Zones!$A$2:$F$2186,6,FALSE)</f>
        <v>1110</v>
      </c>
      <c r="AB425" s="25">
        <f>VLOOKUP(L425,Zones!$A$2:$F$2186,6,FALSE)</f>
        <v>1393</v>
      </c>
    </row>
    <row r="426" spans="2:28">
      <c r="B426" s="40">
        <v>0.52777777777777779</v>
      </c>
      <c r="C426" s="40" t="s">
        <v>288</v>
      </c>
      <c r="D426" s="41">
        <v>4</v>
      </c>
      <c r="E426" s="42">
        <v>16</v>
      </c>
      <c r="F426" s="42" t="s">
        <v>146</v>
      </c>
      <c r="G426" s="43" t="s">
        <v>154</v>
      </c>
      <c r="H426" s="42" t="s">
        <v>155</v>
      </c>
      <c r="I426" s="43">
        <v>6</v>
      </c>
      <c r="J426" s="43">
        <v>4</v>
      </c>
      <c r="K426" s="25" t="str">
        <f>VLOOKUP(J426,Key!$E$2:$F$9,2,FALSE)</f>
        <v>Commercial</v>
      </c>
      <c r="L426" s="42" t="s">
        <v>147</v>
      </c>
      <c r="M426" s="43" t="s">
        <v>154</v>
      </c>
      <c r="N426" s="42" t="s">
        <v>155</v>
      </c>
      <c r="O426" s="43">
        <v>6</v>
      </c>
      <c r="P426" s="43">
        <v>4</v>
      </c>
      <c r="Q426" s="25" t="str">
        <f>VLOOKUP(P426,Key!$E$2:$F$9,2,FALSE)</f>
        <v>Commercial</v>
      </c>
      <c r="R426" s="25" t="str">
        <f t="shared" si="8"/>
        <v>Commercial-Commercial</v>
      </c>
      <c r="S426" s="58">
        <v>4</v>
      </c>
      <c r="T426" s="58">
        <v>0.3</v>
      </c>
      <c r="U426" s="43">
        <v>1</v>
      </c>
      <c r="V426" s="43"/>
      <c r="W426" s="58"/>
      <c r="X426" s="58"/>
      <c r="Y426" s="59" t="s">
        <v>156</v>
      </c>
      <c r="Z426" s="60">
        <v>1000</v>
      </c>
      <c r="AA426" s="25">
        <f>VLOOKUP(F426,Zones!$A$2:$F$2186,6,FALSE)</f>
        <v>1393</v>
      </c>
      <c r="AB426" s="25">
        <f>VLOOKUP(L426,Zones!$A$2:$F$2186,6,FALSE)</f>
        <v>1402</v>
      </c>
    </row>
    <row r="427" spans="2:28">
      <c r="B427" s="40">
        <v>0.52569444444444446</v>
      </c>
      <c r="C427" s="40" t="s">
        <v>289</v>
      </c>
      <c r="D427" s="41">
        <v>3</v>
      </c>
      <c r="E427" s="42">
        <v>2</v>
      </c>
      <c r="F427" s="42" t="s">
        <v>159</v>
      </c>
      <c r="G427" s="43" t="s">
        <v>159</v>
      </c>
      <c r="H427" s="42" t="s">
        <v>155</v>
      </c>
      <c r="I427" s="43">
        <v>16</v>
      </c>
      <c r="J427" s="43">
        <v>8</v>
      </c>
      <c r="K427" s="25" t="str">
        <f>VLOOKUP(J427,Key!$E$2:$F$9,2,FALSE)</f>
        <v>Others</v>
      </c>
      <c r="L427" s="42" t="s">
        <v>254</v>
      </c>
      <c r="M427" s="43" t="s">
        <v>254</v>
      </c>
      <c r="N427" s="42" t="s">
        <v>155</v>
      </c>
      <c r="O427" s="43">
        <v>1</v>
      </c>
      <c r="P427" s="43">
        <v>1</v>
      </c>
      <c r="Q427" s="25" t="str">
        <f>VLOOKUP(P427,Key!$E$2:$F$9,2,FALSE)</f>
        <v>Home</v>
      </c>
      <c r="R427" s="25" t="str">
        <f t="shared" si="8"/>
        <v>Others-Home</v>
      </c>
      <c r="S427" s="58"/>
      <c r="T427" s="58">
        <v>1.5</v>
      </c>
      <c r="U427" s="43">
        <v>2</v>
      </c>
      <c r="V427" s="43"/>
      <c r="W427" s="58"/>
      <c r="X427" s="58"/>
      <c r="Y427" s="59" t="s">
        <v>156</v>
      </c>
      <c r="Z427" s="60">
        <v>5000</v>
      </c>
      <c r="AA427" s="25">
        <f>VLOOKUP(F427,Zones!$A$2:$F$2186,6,FALSE)</f>
        <v>521</v>
      </c>
      <c r="AB427" s="25">
        <f>VLOOKUP(L427,Zones!$A$2:$F$2186,6,FALSE)</f>
        <v>1088</v>
      </c>
    </row>
    <row r="428" spans="2:28">
      <c r="B428" s="40">
        <v>0.50624999999999998</v>
      </c>
      <c r="C428" s="40" t="s">
        <v>290</v>
      </c>
      <c r="D428" s="41">
        <v>1</v>
      </c>
      <c r="E428" s="42">
        <v>1</v>
      </c>
      <c r="F428" s="42" t="s">
        <v>184</v>
      </c>
      <c r="G428" s="43" t="s">
        <v>154</v>
      </c>
      <c r="H428" s="42" t="s">
        <v>155</v>
      </c>
      <c r="I428" s="43">
        <v>11</v>
      </c>
      <c r="J428" s="43">
        <v>4</v>
      </c>
      <c r="K428" s="25" t="str">
        <f>VLOOKUP(J428,Key!$E$2:$F$9,2,FALSE)</f>
        <v>Commercial</v>
      </c>
      <c r="L428" s="42" t="s">
        <v>168</v>
      </c>
      <c r="M428" s="43" t="s">
        <v>154</v>
      </c>
      <c r="N428" s="42" t="s">
        <v>155</v>
      </c>
      <c r="O428" s="43">
        <v>1</v>
      </c>
      <c r="P428" s="43">
        <v>1</v>
      </c>
      <c r="Q428" s="25" t="str">
        <f>VLOOKUP(P428,Key!$E$2:$F$9,2,FALSE)</f>
        <v>Home</v>
      </c>
      <c r="R428" s="25" t="str">
        <f t="shared" si="8"/>
        <v>Commercial-Home</v>
      </c>
      <c r="S428" s="58"/>
      <c r="T428" s="58">
        <v>0.2</v>
      </c>
      <c r="U428" s="43">
        <v>1</v>
      </c>
      <c r="V428" s="43"/>
      <c r="W428" s="58"/>
      <c r="X428" s="58"/>
      <c r="Y428" s="59" t="s">
        <v>156</v>
      </c>
      <c r="Z428" s="60">
        <v>1000</v>
      </c>
      <c r="AA428" s="25">
        <f>VLOOKUP(F428,Zones!$A$2:$F$2186,6,FALSE)</f>
        <v>811</v>
      </c>
      <c r="AB428" s="25">
        <f>VLOOKUP(L428,Zones!$A$2:$F$2186,6,FALSE)</f>
        <v>1393</v>
      </c>
    </row>
    <row r="429" spans="2:28">
      <c r="B429" s="40">
        <v>0.51111111111111118</v>
      </c>
      <c r="C429" s="40" t="s">
        <v>291</v>
      </c>
      <c r="D429" s="41">
        <v>12</v>
      </c>
      <c r="E429" s="42">
        <v>2</v>
      </c>
      <c r="F429" s="42" t="s">
        <v>292</v>
      </c>
      <c r="G429" s="43" t="s">
        <v>154</v>
      </c>
      <c r="H429" s="42" t="s">
        <v>155</v>
      </c>
      <c r="I429" s="43">
        <v>10</v>
      </c>
      <c r="J429" s="43">
        <v>4</v>
      </c>
      <c r="K429" s="25" t="str">
        <f>VLOOKUP(J429,Key!$E$2:$F$9,2,FALSE)</f>
        <v>Commercial</v>
      </c>
      <c r="L429" s="42" t="s">
        <v>245</v>
      </c>
      <c r="M429" s="43" t="s">
        <v>154</v>
      </c>
      <c r="N429" s="42" t="s">
        <v>155</v>
      </c>
      <c r="O429" s="43">
        <v>1</v>
      </c>
      <c r="P429" s="43">
        <v>1</v>
      </c>
      <c r="Q429" s="25" t="str">
        <f>VLOOKUP(P429,Key!$E$2:$F$9,2,FALSE)</f>
        <v>Home</v>
      </c>
      <c r="R429" s="25" t="str">
        <f t="shared" si="8"/>
        <v>Commercial-Home</v>
      </c>
      <c r="S429" s="58">
        <v>6</v>
      </c>
      <c r="T429" s="58">
        <v>0.7</v>
      </c>
      <c r="U429" s="43">
        <v>6</v>
      </c>
      <c r="V429" s="43"/>
      <c r="W429" s="58"/>
      <c r="X429" s="58"/>
      <c r="Y429" s="59" t="s">
        <v>156</v>
      </c>
      <c r="Z429" s="60">
        <v>5000</v>
      </c>
      <c r="AA429" s="25">
        <f>VLOOKUP(F429,Zones!$A$2:$F$2186,6,FALSE)</f>
        <v>1405</v>
      </c>
      <c r="AB429" s="25">
        <f>VLOOKUP(L429,Zones!$A$2:$F$2186,6,FALSE)</f>
        <v>1402</v>
      </c>
    </row>
    <row r="430" spans="2:28">
      <c r="B430" s="40">
        <v>0.51388888888888895</v>
      </c>
      <c r="C430" s="40" t="s">
        <v>293</v>
      </c>
      <c r="D430" s="41">
        <v>7</v>
      </c>
      <c r="E430" s="42">
        <v>3</v>
      </c>
      <c r="F430" s="42" t="s">
        <v>146</v>
      </c>
      <c r="G430" s="43" t="s">
        <v>154</v>
      </c>
      <c r="H430" s="42" t="s">
        <v>155</v>
      </c>
      <c r="I430" s="43">
        <v>13</v>
      </c>
      <c r="J430" s="43">
        <v>4</v>
      </c>
      <c r="K430" s="25" t="str">
        <f>VLOOKUP(J430,Key!$E$2:$F$9,2,FALSE)</f>
        <v>Commercial</v>
      </c>
      <c r="L430" s="42" t="s">
        <v>168</v>
      </c>
      <c r="M430" s="43" t="s">
        <v>154</v>
      </c>
      <c r="N430" s="42" t="s">
        <v>155</v>
      </c>
      <c r="O430" s="43">
        <v>13</v>
      </c>
      <c r="P430" s="43">
        <v>4</v>
      </c>
      <c r="Q430" s="25" t="str">
        <f>VLOOKUP(P430,Key!$E$2:$F$9,2,FALSE)</f>
        <v>Commercial</v>
      </c>
      <c r="R430" s="25" t="str">
        <f t="shared" si="8"/>
        <v>Commercial-Commercial</v>
      </c>
      <c r="S430" s="58">
        <v>3</v>
      </c>
      <c r="T430" s="58">
        <v>0.2</v>
      </c>
      <c r="U430" s="43">
        <v>1</v>
      </c>
      <c r="V430" s="43"/>
      <c r="W430" s="58"/>
      <c r="X430" s="58"/>
      <c r="Y430" s="59" t="s">
        <v>156</v>
      </c>
      <c r="Z430" s="60">
        <v>1000</v>
      </c>
      <c r="AA430" s="25">
        <f>VLOOKUP(F430,Zones!$A$2:$F$2186,6,FALSE)</f>
        <v>1393</v>
      </c>
      <c r="AB430" s="25">
        <f>VLOOKUP(L430,Zones!$A$2:$F$2186,6,FALSE)</f>
        <v>1393</v>
      </c>
    </row>
    <row r="431" spans="2:28">
      <c r="B431" s="40">
        <v>0.52083333333333337</v>
      </c>
      <c r="C431" s="40" t="s">
        <v>294</v>
      </c>
      <c r="D431" s="41">
        <v>7</v>
      </c>
      <c r="E431" s="42">
        <v>3</v>
      </c>
      <c r="F431" s="42" t="s">
        <v>295</v>
      </c>
      <c r="G431" s="43" t="s">
        <v>154</v>
      </c>
      <c r="H431" s="42" t="s">
        <v>155</v>
      </c>
      <c r="I431" s="43">
        <v>14</v>
      </c>
      <c r="J431" s="43">
        <v>4</v>
      </c>
      <c r="K431" s="25" t="str">
        <f>VLOOKUP(J431,Key!$E$2:$F$9,2,FALSE)</f>
        <v>Commercial</v>
      </c>
      <c r="L431" s="42" t="s">
        <v>146</v>
      </c>
      <c r="M431" s="43" t="s">
        <v>154</v>
      </c>
      <c r="N431" s="42" t="s">
        <v>155</v>
      </c>
      <c r="O431" s="43">
        <v>10</v>
      </c>
      <c r="P431" s="43">
        <v>4</v>
      </c>
      <c r="Q431" s="25" t="str">
        <f>VLOOKUP(P431,Key!$E$2:$F$9,2,FALSE)</f>
        <v>Commercial</v>
      </c>
      <c r="R431" s="25" t="str">
        <f t="shared" si="8"/>
        <v>Commercial-Commercial</v>
      </c>
      <c r="S431" s="58">
        <v>6</v>
      </c>
      <c r="T431" s="58">
        <v>0.4</v>
      </c>
      <c r="U431" s="43">
        <v>6</v>
      </c>
      <c r="V431" s="43"/>
      <c r="W431" s="58"/>
      <c r="X431" s="58"/>
      <c r="Y431" s="59" t="s">
        <v>156</v>
      </c>
      <c r="Z431" s="60">
        <v>1000</v>
      </c>
      <c r="AA431" s="25">
        <f>VLOOKUP(F431,Zones!$A$2:$F$2186,6,FALSE)</f>
        <v>1405</v>
      </c>
      <c r="AB431" s="25">
        <f>VLOOKUP(L431,Zones!$A$2:$F$2186,6,FALSE)</f>
        <v>1393</v>
      </c>
    </row>
    <row r="432" spans="2:28">
      <c r="B432" s="40">
        <v>0.55625000000000002</v>
      </c>
      <c r="C432" s="40" t="s">
        <v>296</v>
      </c>
      <c r="D432" s="41">
        <v>3</v>
      </c>
      <c r="E432" s="42">
        <v>1</v>
      </c>
      <c r="F432" s="42" t="s">
        <v>177</v>
      </c>
      <c r="G432" s="43" t="s">
        <v>159</v>
      </c>
      <c r="H432" s="42" t="s">
        <v>155</v>
      </c>
      <c r="I432" s="43">
        <v>2</v>
      </c>
      <c r="J432" s="43">
        <v>2</v>
      </c>
      <c r="K432" s="25" t="str">
        <f>VLOOKUP(J432,Key!$E$2:$F$9,2,FALSE)</f>
        <v>Work</v>
      </c>
      <c r="L432" s="42" t="s">
        <v>159</v>
      </c>
      <c r="M432" s="43" t="s">
        <v>159</v>
      </c>
      <c r="N432" s="42" t="s">
        <v>155</v>
      </c>
      <c r="O432" s="43">
        <v>16</v>
      </c>
      <c r="P432" s="43">
        <v>8</v>
      </c>
      <c r="Q432" s="25" t="str">
        <f>VLOOKUP(P432,Key!$E$2:$F$9,2,FALSE)</f>
        <v>Others</v>
      </c>
      <c r="R432" s="25" t="str">
        <f t="shared" si="8"/>
        <v>Work-Others</v>
      </c>
      <c r="S432" s="58">
        <v>50</v>
      </c>
      <c r="T432" s="58">
        <v>1</v>
      </c>
      <c r="U432" s="43">
        <v>6</v>
      </c>
      <c r="V432" s="43"/>
      <c r="W432" s="58"/>
      <c r="X432" s="58"/>
      <c r="Y432" s="59" t="s">
        <v>156</v>
      </c>
      <c r="Z432" s="60">
        <v>10000</v>
      </c>
      <c r="AA432" s="25">
        <f>VLOOKUP(F432,Zones!$A$2:$F$2186,6,FALSE)</f>
        <v>567</v>
      </c>
      <c r="AB432" s="25">
        <f>VLOOKUP(L432,Zones!$A$2:$F$2186,6,FALSE)</f>
        <v>521</v>
      </c>
    </row>
    <row r="433" spans="2:28">
      <c r="B433" s="40">
        <v>0.56388888888888888</v>
      </c>
      <c r="C433" s="40" t="s">
        <v>297</v>
      </c>
      <c r="D433" s="41">
        <v>1</v>
      </c>
      <c r="E433" s="42">
        <v>1</v>
      </c>
      <c r="F433" s="42" t="s">
        <v>159</v>
      </c>
      <c r="G433" s="43" t="s">
        <v>159</v>
      </c>
      <c r="H433" s="42" t="s">
        <v>155</v>
      </c>
      <c r="I433" s="43">
        <v>16</v>
      </c>
      <c r="J433" s="43">
        <v>8</v>
      </c>
      <c r="K433" s="25" t="str">
        <f>VLOOKUP(J433,Key!$E$2:$F$9,2,FALSE)</f>
        <v>Others</v>
      </c>
      <c r="L433" s="42" t="s">
        <v>168</v>
      </c>
      <c r="M433" s="43" t="s">
        <v>154</v>
      </c>
      <c r="N433" s="42" t="s">
        <v>155</v>
      </c>
      <c r="O433" s="43">
        <v>10</v>
      </c>
      <c r="P433" s="43">
        <v>4</v>
      </c>
      <c r="Q433" s="25" t="str">
        <f>VLOOKUP(P433,Key!$E$2:$F$9,2,FALSE)</f>
        <v>Commercial</v>
      </c>
      <c r="R433" s="25" t="str">
        <f t="shared" si="8"/>
        <v>Others-Commercial</v>
      </c>
      <c r="S433" s="58">
        <v>20</v>
      </c>
      <c r="T433" s="58">
        <v>1.5</v>
      </c>
      <c r="U433" s="43">
        <v>2</v>
      </c>
      <c r="V433" s="43"/>
      <c r="W433" s="58"/>
      <c r="X433" s="58"/>
      <c r="Y433" s="59" t="s">
        <v>156</v>
      </c>
      <c r="Z433" s="60">
        <v>1000</v>
      </c>
      <c r="AA433" s="25">
        <f>VLOOKUP(F433,Zones!$A$2:$F$2186,6,FALSE)</f>
        <v>521</v>
      </c>
      <c r="AB433" s="25">
        <f>VLOOKUP(L433,Zones!$A$2:$F$2186,6,FALSE)</f>
        <v>1393</v>
      </c>
    </row>
    <row r="434" spans="2:28">
      <c r="B434" s="40">
        <v>0.46319444444444446</v>
      </c>
      <c r="C434" s="40" t="s">
        <v>298</v>
      </c>
      <c r="D434" s="41">
        <v>8</v>
      </c>
      <c r="E434" s="42">
        <v>2</v>
      </c>
      <c r="F434" s="42" t="s">
        <v>184</v>
      </c>
      <c r="G434" s="43" t="s">
        <v>154</v>
      </c>
      <c r="H434" s="42" t="s">
        <v>155</v>
      </c>
      <c r="I434" s="43">
        <v>13</v>
      </c>
      <c r="J434" s="43">
        <v>4</v>
      </c>
      <c r="K434" s="25" t="str">
        <f>VLOOKUP(J434,Key!$E$2:$F$9,2,FALSE)</f>
        <v>Commercial</v>
      </c>
      <c r="L434" s="42" t="s">
        <v>168</v>
      </c>
      <c r="M434" s="43" t="s">
        <v>154</v>
      </c>
      <c r="N434" s="42" t="s">
        <v>155</v>
      </c>
      <c r="O434" s="43">
        <v>10</v>
      </c>
      <c r="P434" s="43">
        <v>4</v>
      </c>
      <c r="Q434" s="25" t="str">
        <f>VLOOKUP(P434,Key!$E$2:$F$9,2,FALSE)</f>
        <v>Commercial</v>
      </c>
      <c r="R434" s="25" t="str">
        <f t="shared" si="8"/>
        <v>Commercial-Commercial</v>
      </c>
      <c r="S434" s="58">
        <v>4</v>
      </c>
      <c r="T434" s="58">
        <v>0.1</v>
      </c>
      <c r="U434" s="43">
        <v>4</v>
      </c>
      <c r="V434" s="43"/>
      <c r="W434" s="58"/>
      <c r="X434" s="58"/>
      <c r="Y434" s="59" t="s">
        <v>156</v>
      </c>
      <c r="Z434" s="60">
        <v>1000</v>
      </c>
      <c r="AA434" s="25">
        <f>VLOOKUP(F434,Zones!$A$2:$F$2186,6,FALSE)</f>
        <v>811</v>
      </c>
      <c r="AB434" s="25">
        <f>VLOOKUP(L434,Zones!$A$2:$F$2186,6,FALSE)</f>
        <v>1393</v>
      </c>
    </row>
    <row r="435" spans="2:28">
      <c r="B435" s="40">
        <v>0.47152777777777777</v>
      </c>
      <c r="C435" s="40" t="s">
        <v>299</v>
      </c>
      <c r="D435" s="41">
        <v>10</v>
      </c>
      <c r="E435" s="42">
        <v>1</v>
      </c>
      <c r="F435" s="42" t="s">
        <v>187</v>
      </c>
      <c r="G435" s="43" t="s">
        <v>163</v>
      </c>
      <c r="H435" s="42" t="s">
        <v>155</v>
      </c>
      <c r="I435" s="43">
        <v>3</v>
      </c>
      <c r="J435" s="43">
        <v>4</v>
      </c>
      <c r="K435" s="25" t="str">
        <f>VLOOKUP(J435,Key!$E$2:$F$9,2,FALSE)</f>
        <v>Commercial</v>
      </c>
      <c r="L435" s="42" t="s">
        <v>300</v>
      </c>
      <c r="M435" s="43" t="s">
        <v>154</v>
      </c>
      <c r="N435" s="42" t="s">
        <v>155</v>
      </c>
      <c r="O435" s="43">
        <v>15</v>
      </c>
      <c r="P435" s="43">
        <v>4</v>
      </c>
      <c r="Q435" s="25" t="str">
        <f>VLOOKUP(P435,Key!$E$2:$F$9,2,FALSE)</f>
        <v>Commercial</v>
      </c>
      <c r="R435" s="25" t="str">
        <f t="shared" si="8"/>
        <v>Commercial-Commercial</v>
      </c>
      <c r="S435" s="58">
        <v>30</v>
      </c>
      <c r="T435" s="58">
        <v>0.5</v>
      </c>
      <c r="U435" s="43">
        <v>4</v>
      </c>
      <c r="V435" s="43"/>
      <c r="W435" s="58"/>
      <c r="X435" s="58"/>
      <c r="Y435" s="59" t="s">
        <v>156</v>
      </c>
      <c r="Z435" s="60">
        <v>5000</v>
      </c>
      <c r="AA435" s="25">
        <f>VLOOKUP(F435,Zones!$A$2:$F$2186,6,FALSE)</f>
        <v>1064</v>
      </c>
      <c r="AB435" s="25">
        <f>VLOOKUP(L435,Zones!$A$2:$F$2186,6,FALSE)</f>
        <v>1081</v>
      </c>
    </row>
    <row r="436" spans="2:28">
      <c r="B436" s="40">
        <v>0.38055555555555554</v>
      </c>
      <c r="C436" s="40" t="s">
        <v>301</v>
      </c>
      <c r="D436" s="41">
        <v>4</v>
      </c>
      <c r="E436" s="42">
        <v>16</v>
      </c>
      <c r="F436" s="42" t="s">
        <v>146</v>
      </c>
      <c r="G436" s="43" t="s">
        <v>154</v>
      </c>
      <c r="H436" s="42" t="s">
        <v>155</v>
      </c>
      <c r="I436" s="43">
        <v>6</v>
      </c>
      <c r="J436" s="43">
        <v>4</v>
      </c>
      <c r="K436" s="25" t="str">
        <f>VLOOKUP(J436,Key!$E$2:$F$9,2,FALSE)</f>
        <v>Commercial</v>
      </c>
      <c r="L436" s="42" t="s">
        <v>147</v>
      </c>
      <c r="M436" s="43" t="s">
        <v>154</v>
      </c>
      <c r="N436" s="42" t="s">
        <v>155</v>
      </c>
      <c r="O436" s="43">
        <v>6</v>
      </c>
      <c r="P436" s="43">
        <v>4</v>
      </c>
      <c r="Q436" s="25" t="str">
        <f>VLOOKUP(P436,Key!$E$2:$F$9,2,FALSE)</f>
        <v>Commercial</v>
      </c>
      <c r="R436" s="25" t="str">
        <f t="shared" si="8"/>
        <v>Commercial-Commercial</v>
      </c>
      <c r="S436" s="58"/>
      <c r="T436" s="58">
        <v>0.5</v>
      </c>
      <c r="U436" s="43">
        <v>1</v>
      </c>
      <c r="V436" s="43"/>
      <c r="W436" s="58"/>
      <c r="X436" s="58"/>
      <c r="Y436" s="59" t="s">
        <v>156</v>
      </c>
      <c r="Z436" s="60">
        <v>1000</v>
      </c>
      <c r="AA436" s="25">
        <f>VLOOKUP(F436,Zones!$A$2:$F$2186,6,FALSE)</f>
        <v>1393</v>
      </c>
      <c r="AB436" s="25">
        <f>VLOOKUP(L436,Zones!$A$2:$F$2186,6,FALSE)</f>
        <v>1402</v>
      </c>
    </row>
    <row r="437" spans="2:28">
      <c r="B437" s="40">
        <v>0.3833333333333333</v>
      </c>
      <c r="C437" s="40" t="s">
        <v>302</v>
      </c>
      <c r="D437" s="41">
        <v>1</v>
      </c>
      <c r="E437" s="42">
        <v>1</v>
      </c>
      <c r="F437" s="42" t="s">
        <v>268</v>
      </c>
      <c r="G437" s="43" t="s">
        <v>154</v>
      </c>
      <c r="H437" s="42" t="s">
        <v>155</v>
      </c>
      <c r="I437" s="43">
        <v>1</v>
      </c>
      <c r="J437" s="43">
        <v>1</v>
      </c>
      <c r="K437" s="25" t="str">
        <f>VLOOKUP(J437,Key!$E$2:$F$9,2,FALSE)</f>
        <v>Home</v>
      </c>
      <c r="L437" s="42" t="s">
        <v>303</v>
      </c>
      <c r="M437" s="43" t="s">
        <v>202</v>
      </c>
      <c r="N437" s="42" t="s">
        <v>155</v>
      </c>
      <c r="O437" s="43">
        <v>2</v>
      </c>
      <c r="P437" s="43">
        <v>2</v>
      </c>
      <c r="Q437" s="25" t="str">
        <f>VLOOKUP(P437,Key!$E$2:$F$9,2,FALSE)</f>
        <v>Work</v>
      </c>
      <c r="R437" s="25" t="str">
        <f t="shared" si="8"/>
        <v>Home-Work</v>
      </c>
      <c r="S437" s="58">
        <v>50</v>
      </c>
      <c r="T437" s="58">
        <v>1</v>
      </c>
      <c r="U437" s="43">
        <v>3</v>
      </c>
      <c r="V437" s="43"/>
      <c r="W437" s="58"/>
      <c r="X437" s="58"/>
      <c r="Y437" s="59" t="s">
        <v>156</v>
      </c>
      <c r="Z437" s="60">
        <v>2000</v>
      </c>
      <c r="AA437" s="25">
        <f>VLOOKUP(F437,Zones!$A$2:$F$2186,6,FALSE)</f>
        <v>1396</v>
      </c>
      <c r="AB437" s="25">
        <f>VLOOKUP(L437,Zones!$A$2:$F$2186,6,FALSE)</f>
        <v>891</v>
      </c>
    </row>
    <row r="438" spans="2:28">
      <c r="B438" s="40">
        <v>0.3888888888888889</v>
      </c>
      <c r="C438" s="40" t="s">
        <v>304</v>
      </c>
      <c r="D438" s="41">
        <v>1</v>
      </c>
      <c r="E438" s="42">
        <v>2</v>
      </c>
      <c r="F438" s="42" t="s">
        <v>278</v>
      </c>
      <c r="G438" s="43" t="s">
        <v>154</v>
      </c>
      <c r="H438" s="42" t="s">
        <v>155</v>
      </c>
      <c r="I438" s="43">
        <v>1</v>
      </c>
      <c r="J438" s="43">
        <v>1</v>
      </c>
      <c r="K438" s="25" t="str">
        <f>VLOOKUP(J438,Key!$E$2:$F$9,2,FALSE)</f>
        <v>Home</v>
      </c>
      <c r="L438" s="42" t="s">
        <v>305</v>
      </c>
      <c r="M438" s="43" t="s">
        <v>254</v>
      </c>
      <c r="N438" s="42" t="s">
        <v>155</v>
      </c>
      <c r="O438" s="43">
        <v>9</v>
      </c>
      <c r="P438" s="43">
        <v>4</v>
      </c>
      <c r="Q438" s="25" t="str">
        <f>VLOOKUP(P438,Key!$E$2:$F$9,2,FALSE)</f>
        <v>Commercial</v>
      </c>
      <c r="R438" s="25" t="str">
        <f t="shared" si="8"/>
        <v>Home-Commercial</v>
      </c>
      <c r="S438" s="58">
        <v>200</v>
      </c>
      <c r="T438" s="58">
        <v>3</v>
      </c>
      <c r="U438" s="43">
        <v>3</v>
      </c>
      <c r="V438" s="43"/>
      <c r="W438" s="58"/>
      <c r="X438" s="58"/>
      <c r="Y438" s="59" t="s">
        <v>156</v>
      </c>
      <c r="Z438" s="60">
        <v>5000</v>
      </c>
      <c r="AA438" s="25">
        <f>VLOOKUP(F438,Zones!$A$2:$F$2186,6,FALSE)</f>
        <v>1396</v>
      </c>
      <c r="AB438" s="25">
        <f>VLOOKUP(L438,Zones!$A$2:$F$2186,6,FALSE)</f>
        <v>1090</v>
      </c>
    </row>
    <row r="439" spans="2:28">
      <c r="B439" s="40">
        <v>0.39444444444444443</v>
      </c>
      <c r="C439" s="40" t="s">
        <v>306</v>
      </c>
      <c r="D439" s="41">
        <v>7</v>
      </c>
      <c r="E439" s="42">
        <v>3</v>
      </c>
      <c r="F439" s="42" t="s">
        <v>184</v>
      </c>
      <c r="G439" s="43" t="s">
        <v>154</v>
      </c>
      <c r="H439" s="42" t="s">
        <v>155</v>
      </c>
      <c r="I439" s="43">
        <v>1</v>
      </c>
      <c r="J439" s="43">
        <v>1</v>
      </c>
      <c r="K439" s="25" t="str">
        <f>VLOOKUP(J439,Key!$E$2:$F$9,2,FALSE)</f>
        <v>Home</v>
      </c>
      <c r="L439" s="42" t="s">
        <v>168</v>
      </c>
      <c r="M439" s="43" t="s">
        <v>154</v>
      </c>
      <c r="N439" s="42" t="s">
        <v>155</v>
      </c>
      <c r="O439" s="43">
        <v>16</v>
      </c>
      <c r="P439" s="43">
        <v>8</v>
      </c>
      <c r="Q439" s="25" t="str">
        <f>VLOOKUP(P439,Key!$E$2:$F$9,2,FALSE)</f>
        <v>Others</v>
      </c>
      <c r="R439" s="25" t="str">
        <f t="shared" si="8"/>
        <v>Home-Others</v>
      </c>
      <c r="S439" s="58">
        <v>3</v>
      </c>
      <c r="T439" s="58">
        <v>0.5</v>
      </c>
      <c r="U439" s="43">
        <v>1</v>
      </c>
      <c r="V439" s="43"/>
      <c r="W439" s="58"/>
      <c r="X439" s="58"/>
      <c r="Y439" s="59" t="s">
        <v>156</v>
      </c>
      <c r="Z439" s="60">
        <v>1000</v>
      </c>
      <c r="AA439" s="25">
        <f>VLOOKUP(F439,Zones!$A$2:$F$2186,6,FALSE)</f>
        <v>811</v>
      </c>
      <c r="AB439" s="25">
        <f>VLOOKUP(L439,Zones!$A$2:$F$2186,6,FALSE)</f>
        <v>1393</v>
      </c>
    </row>
    <row r="440" spans="2:28">
      <c r="B440" s="40">
        <v>0.3972222222222222</v>
      </c>
      <c r="C440" s="40" t="s">
        <v>307</v>
      </c>
      <c r="D440" s="41">
        <v>1</v>
      </c>
      <c r="E440" s="42">
        <v>1</v>
      </c>
      <c r="F440" s="42" t="s">
        <v>146</v>
      </c>
      <c r="G440" s="43" t="s">
        <v>154</v>
      </c>
      <c r="H440" s="42" t="s">
        <v>155</v>
      </c>
      <c r="I440" s="43">
        <v>1</v>
      </c>
      <c r="J440" s="43">
        <v>1</v>
      </c>
      <c r="K440" s="25" t="str">
        <f>VLOOKUP(J440,Key!$E$2:$F$9,2,FALSE)</f>
        <v>Home</v>
      </c>
      <c r="L440" s="42" t="s">
        <v>168</v>
      </c>
      <c r="M440" s="43" t="s">
        <v>154</v>
      </c>
      <c r="N440" s="42" t="s">
        <v>155</v>
      </c>
      <c r="O440" s="43">
        <v>16</v>
      </c>
      <c r="P440" s="43">
        <v>8</v>
      </c>
      <c r="Q440" s="25" t="str">
        <f>VLOOKUP(P440,Key!$E$2:$F$9,2,FALSE)</f>
        <v>Others</v>
      </c>
      <c r="R440" s="25" t="str">
        <f t="shared" si="8"/>
        <v>Home-Others</v>
      </c>
      <c r="S440" s="58">
        <v>1.5</v>
      </c>
      <c r="T440" s="58">
        <v>0.1</v>
      </c>
      <c r="U440" s="43">
        <v>1</v>
      </c>
      <c r="V440" s="43"/>
      <c r="W440" s="58"/>
      <c r="X440" s="58"/>
      <c r="Y440" s="59" t="s">
        <v>156</v>
      </c>
      <c r="Z440" s="60">
        <v>1000</v>
      </c>
      <c r="AA440" s="25">
        <f>VLOOKUP(F440,Zones!$A$2:$F$2186,6,FALSE)</f>
        <v>1393</v>
      </c>
      <c r="AB440" s="25">
        <f>VLOOKUP(L440,Zones!$A$2:$F$2186,6,FALSE)</f>
        <v>1393</v>
      </c>
    </row>
    <row r="441" spans="2:28">
      <c r="B441" s="40">
        <v>0.39999999999999997</v>
      </c>
      <c r="C441" s="40" t="s">
        <v>308</v>
      </c>
      <c r="D441" s="41">
        <v>1</v>
      </c>
      <c r="E441" s="42">
        <v>2</v>
      </c>
      <c r="F441" s="42" t="s">
        <v>241</v>
      </c>
      <c r="G441" s="43" t="s">
        <v>154</v>
      </c>
      <c r="H441" s="42" t="s">
        <v>155</v>
      </c>
      <c r="I441" s="43">
        <v>1</v>
      </c>
      <c r="J441" s="43">
        <v>1</v>
      </c>
      <c r="K441" s="25" t="str">
        <f>VLOOKUP(J441,Key!$E$2:$F$9,2,FALSE)</f>
        <v>Home</v>
      </c>
      <c r="L441" s="42" t="s">
        <v>309</v>
      </c>
      <c r="M441" s="43" t="s">
        <v>154</v>
      </c>
      <c r="N441" s="42" t="s">
        <v>155</v>
      </c>
      <c r="O441" s="43">
        <v>4</v>
      </c>
      <c r="P441" s="43">
        <v>4</v>
      </c>
      <c r="Q441" s="25" t="str">
        <f>VLOOKUP(P441,Key!$E$2:$F$9,2,FALSE)</f>
        <v>Commercial</v>
      </c>
      <c r="R441" s="25" t="str">
        <f t="shared" si="8"/>
        <v>Home-Commercial</v>
      </c>
      <c r="S441" s="58">
        <v>20</v>
      </c>
      <c r="T441" s="58">
        <v>0.5</v>
      </c>
      <c r="U441" s="43">
        <v>4</v>
      </c>
      <c r="V441" s="43"/>
      <c r="W441" s="58"/>
      <c r="X441" s="58"/>
      <c r="Y441" s="59" t="s">
        <v>156</v>
      </c>
      <c r="Z441" s="60">
        <v>1000</v>
      </c>
      <c r="AA441" s="25">
        <f>VLOOKUP(F441,Zones!$A$2:$F$2186,6,FALSE)</f>
        <v>542</v>
      </c>
      <c r="AB441" s="25">
        <f>VLOOKUP(L441,Zones!$A$2:$F$2186,6,FALSE)</f>
        <v>1391</v>
      </c>
    </row>
    <row r="442" spans="2:28">
      <c r="B442" s="40">
        <v>0.40972222222222227</v>
      </c>
      <c r="C442" s="40" t="s">
        <v>310</v>
      </c>
      <c r="D442" s="41">
        <v>1</v>
      </c>
      <c r="E442" s="42">
        <v>1</v>
      </c>
      <c r="F442" s="42" t="s">
        <v>311</v>
      </c>
      <c r="G442" s="43" t="s">
        <v>154</v>
      </c>
      <c r="H442" s="42" t="s">
        <v>155</v>
      </c>
      <c r="I442" s="43">
        <v>1</v>
      </c>
      <c r="J442" s="43">
        <v>1</v>
      </c>
      <c r="K442" s="25" t="str">
        <f>VLOOKUP(J442,Key!$E$2:$F$9,2,FALSE)</f>
        <v>Home</v>
      </c>
      <c r="L442" s="42" t="s">
        <v>168</v>
      </c>
      <c r="M442" s="43" t="s">
        <v>154</v>
      </c>
      <c r="N442" s="42" t="s">
        <v>155</v>
      </c>
      <c r="O442" s="43">
        <v>16</v>
      </c>
      <c r="P442" s="43">
        <v>8</v>
      </c>
      <c r="Q442" s="25" t="str">
        <f>VLOOKUP(P442,Key!$E$2:$F$9,2,FALSE)</f>
        <v>Others</v>
      </c>
      <c r="R442" s="25" t="str">
        <f t="shared" si="8"/>
        <v>Home-Others</v>
      </c>
      <c r="S442" s="58">
        <v>6</v>
      </c>
      <c r="T442" s="58">
        <v>0.1</v>
      </c>
      <c r="U442" s="43">
        <v>4</v>
      </c>
      <c r="V442" s="43"/>
      <c r="W442" s="58"/>
      <c r="X442" s="58"/>
      <c r="Y442" s="59" t="s">
        <v>156</v>
      </c>
      <c r="Z442" s="60">
        <v>1000</v>
      </c>
      <c r="AA442" s="25">
        <f>VLOOKUP(F442,Zones!$A$2:$F$2186,6,FALSE)</f>
        <v>1406</v>
      </c>
      <c r="AB442" s="25">
        <f>VLOOKUP(L442,Zones!$A$2:$F$2186,6,FALSE)</f>
        <v>1393</v>
      </c>
    </row>
    <row r="443" spans="2:28">
      <c r="B443" s="40">
        <v>0.4152777777777778</v>
      </c>
      <c r="C443" s="40" t="s">
        <v>312</v>
      </c>
      <c r="D443" s="41">
        <v>2</v>
      </c>
      <c r="E443" s="42">
        <v>1</v>
      </c>
      <c r="F443" s="42" t="s">
        <v>146</v>
      </c>
      <c r="G443" s="43" t="s">
        <v>154</v>
      </c>
      <c r="H443" s="42" t="s">
        <v>155</v>
      </c>
      <c r="I443" s="43">
        <v>1</v>
      </c>
      <c r="J443" s="43">
        <v>1</v>
      </c>
      <c r="K443" s="25" t="str">
        <f>VLOOKUP(J443,Key!$E$2:$F$9,2,FALSE)</f>
        <v>Home</v>
      </c>
      <c r="L443" s="42" t="s">
        <v>245</v>
      </c>
      <c r="M443" s="43" t="s">
        <v>154</v>
      </c>
      <c r="N443" s="42" t="s">
        <v>155</v>
      </c>
      <c r="O443" s="43">
        <v>11</v>
      </c>
      <c r="P443" s="43">
        <v>4</v>
      </c>
      <c r="Q443" s="25" t="str">
        <f>VLOOKUP(P443,Key!$E$2:$F$9,2,FALSE)</f>
        <v>Commercial</v>
      </c>
      <c r="R443" s="25" t="str">
        <f t="shared" si="8"/>
        <v>Home-Commercial</v>
      </c>
      <c r="S443" s="58">
        <v>7</v>
      </c>
      <c r="T443" s="58">
        <v>0.7</v>
      </c>
      <c r="U443" s="43">
        <v>2</v>
      </c>
      <c r="V443" s="43"/>
      <c r="W443" s="58"/>
      <c r="X443" s="58"/>
      <c r="Y443" s="59" t="s">
        <v>156</v>
      </c>
      <c r="Z443" s="60">
        <v>1000</v>
      </c>
      <c r="AA443" s="25">
        <f>VLOOKUP(F443,Zones!$A$2:$F$2186,6,FALSE)</f>
        <v>1393</v>
      </c>
      <c r="AB443" s="25">
        <f>VLOOKUP(L443,Zones!$A$2:$F$2186,6,FALSE)</f>
        <v>1402</v>
      </c>
    </row>
    <row r="444" spans="2:28">
      <c r="B444" s="40">
        <v>0.42777777777777781</v>
      </c>
      <c r="C444" s="40" t="s">
        <v>313</v>
      </c>
      <c r="D444" s="41">
        <v>7</v>
      </c>
      <c r="E444" s="42">
        <v>3</v>
      </c>
      <c r="F444" s="42" t="s">
        <v>268</v>
      </c>
      <c r="G444" s="43" t="s">
        <v>154</v>
      </c>
      <c r="H444" s="42" t="s">
        <v>155</v>
      </c>
      <c r="I444" s="43">
        <v>16</v>
      </c>
      <c r="J444" s="43">
        <v>8</v>
      </c>
      <c r="K444" s="25" t="str">
        <f>VLOOKUP(J444,Key!$E$2:$F$9,2,FALSE)</f>
        <v>Others</v>
      </c>
      <c r="L444" s="42" t="s">
        <v>245</v>
      </c>
      <c r="M444" s="43" t="s">
        <v>154</v>
      </c>
      <c r="N444" s="42" t="s">
        <v>155</v>
      </c>
      <c r="O444" s="43">
        <v>1</v>
      </c>
      <c r="P444" s="43">
        <v>1</v>
      </c>
      <c r="Q444" s="25" t="str">
        <f>VLOOKUP(P444,Key!$E$2:$F$9,2,FALSE)</f>
        <v>Home</v>
      </c>
      <c r="R444" s="25" t="str">
        <f t="shared" si="8"/>
        <v>Others-Home</v>
      </c>
      <c r="S444" s="58">
        <v>30</v>
      </c>
      <c r="T444" s="58">
        <v>0.2</v>
      </c>
      <c r="U444" s="43">
        <v>1</v>
      </c>
      <c r="V444" s="43"/>
      <c r="W444" s="58"/>
      <c r="X444" s="58"/>
      <c r="Y444" s="59" t="s">
        <v>156</v>
      </c>
      <c r="Z444" s="60">
        <v>1000</v>
      </c>
      <c r="AA444" s="25">
        <f>VLOOKUP(F444,Zones!$A$2:$F$2186,6,FALSE)</f>
        <v>1396</v>
      </c>
      <c r="AB444" s="25">
        <f>VLOOKUP(L444,Zones!$A$2:$F$2186,6,FALSE)</f>
        <v>1402</v>
      </c>
    </row>
    <row r="445" spans="2:28">
      <c r="B445" s="40">
        <v>0.43055555555555558</v>
      </c>
      <c r="C445" s="40" t="s">
        <v>314</v>
      </c>
      <c r="D445" s="41">
        <v>1</v>
      </c>
      <c r="E445" s="42">
        <v>3</v>
      </c>
      <c r="F445" s="42" t="s">
        <v>207</v>
      </c>
      <c r="G445" s="43" t="s">
        <v>154</v>
      </c>
      <c r="H445" s="42" t="s">
        <v>155</v>
      </c>
      <c r="I445" s="43">
        <v>1</v>
      </c>
      <c r="J445" s="43">
        <v>1</v>
      </c>
      <c r="K445" s="25" t="str">
        <f>VLOOKUP(J445,Key!$E$2:$F$9,2,FALSE)</f>
        <v>Home</v>
      </c>
      <c r="L445" s="42" t="s">
        <v>147</v>
      </c>
      <c r="M445" s="43" t="s">
        <v>154</v>
      </c>
      <c r="N445" s="42" t="s">
        <v>155</v>
      </c>
      <c r="O445" s="43">
        <v>2</v>
      </c>
      <c r="P445" s="43">
        <v>2</v>
      </c>
      <c r="Q445" s="25" t="str">
        <f>VLOOKUP(P445,Key!$E$2:$F$9,2,FALSE)</f>
        <v>Work</v>
      </c>
      <c r="R445" s="25" t="str">
        <f t="shared" si="8"/>
        <v>Home-Work</v>
      </c>
      <c r="S445" s="58">
        <v>13</v>
      </c>
      <c r="T445" s="58">
        <v>0.3</v>
      </c>
      <c r="U445" s="43">
        <v>3</v>
      </c>
      <c r="V445" s="43"/>
      <c r="W445" s="58"/>
      <c r="X445" s="58"/>
      <c r="Y445" s="59" t="s">
        <v>156</v>
      </c>
      <c r="Z445" s="60">
        <v>3000</v>
      </c>
      <c r="AA445" s="25">
        <f>VLOOKUP(F445,Zones!$A$2:$F$2186,6,FALSE)</f>
        <v>1406</v>
      </c>
      <c r="AB445" s="25">
        <f>VLOOKUP(L445,Zones!$A$2:$F$2186,6,FALSE)</f>
        <v>1402</v>
      </c>
    </row>
    <row r="446" spans="2:28">
      <c r="B446" s="40">
        <v>0.42083333333333334</v>
      </c>
      <c r="C446" s="40" t="s">
        <v>315</v>
      </c>
      <c r="D446" s="41">
        <v>3</v>
      </c>
      <c r="E446" s="42">
        <v>2</v>
      </c>
      <c r="F446" s="42" t="s">
        <v>189</v>
      </c>
      <c r="G446" s="43" t="s">
        <v>154</v>
      </c>
      <c r="H446" s="42" t="s">
        <v>155</v>
      </c>
      <c r="I446" s="43">
        <v>1</v>
      </c>
      <c r="J446" s="43">
        <v>1</v>
      </c>
      <c r="K446" s="25" t="str">
        <f>VLOOKUP(J446,Key!$E$2:$F$9,2,FALSE)</f>
        <v>Home</v>
      </c>
      <c r="L446" s="42" t="s">
        <v>2551</v>
      </c>
      <c r="M446" s="43" t="s">
        <v>254</v>
      </c>
      <c r="N446" s="42" t="s">
        <v>155</v>
      </c>
      <c r="O446" s="43">
        <v>9</v>
      </c>
      <c r="P446" s="43">
        <v>1</v>
      </c>
      <c r="Q446" s="25" t="str">
        <f>VLOOKUP(P446,Key!$E$2:$F$9,2,FALSE)</f>
        <v>Home</v>
      </c>
      <c r="R446" s="25" t="str">
        <f t="shared" si="8"/>
        <v>Home-Home</v>
      </c>
      <c r="S446" s="58">
        <v>110</v>
      </c>
      <c r="T446" s="58">
        <v>2</v>
      </c>
      <c r="U446" s="43">
        <v>3</v>
      </c>
      <c r="V446" s="43"/>
      <c r="W446" s="58"/>
      <c r="X446" s="58"/>
      <c r="Y446" s="59" t="s">
        <v>156</v>
      </c>
      <c r="Z446" s="60">
        <v>2000</v>
      </c>
      <c r="AA446" s="25">
        <f>VLOOKUP(F446,Zones!$A$2:$F$2186,6,FALSE)</f>
        <v>1386</v>
      </c>
      <c r="AB446" s="25">
        <f>VLOOKUP(L446,Zones!$A$2:$F$2186,6,FALSE)</f>
        <v>1092</v>
      </c>
    </row>
    <row r="447" spans="2:28">
      <c r="B447" s="40">
        <v>0.42569444444444443</v>
      </c>
      <c r="C447" s="40" t="s">
        <v>317</v>
      </c>
      <c r="D447" s="41">
        <v>2</v>
      </c>
      <c r="E447" s="42">
        <v>2</v>
      </c>
      <c r="F447" s="42" t="s">
        <v>295</v>
      </c>
      <c r="G447" s="43" t="s">
        <v>154</v>
      </c>
      <c r="H447" s="42" t="s">
        <v>155</v>
      </c>
      <c r="I447" s="43">
        <v>1</v>
      </c>
      <c r="J447" s="43">
        <v>1</v>
      </c>
      <c r="K447" s="25" t="str">
        <f>VLOOKUP(J447,Key!$E$2:$F$9,2,FALSE)</f>
        <v>Home</v>
      </c>
      <c r="L447" s="42" t="s">
        <v>245</v>
      </c>
      <c r="M447" s="43" t="s">
        <v>154</v>
      </c>
      <c r="N447" s="42" t="s">
        <v>155</v>
      </c>
      <c r="O447" s="43">
        <v>9</v>
      </c>
      <c r="P447" s="43">
        <v>4</v>
      </c>
      <c r="Q447" s="25" t="str">
        <f>VLOOKUP(P447,Key!$E$2:$F$9,2,FALSE)</f>
        <v>Commercial</v>
      </c>
      <c r="R447" s="25" t="str">
        <f t="shared" si="8"/>
        <v>Home-Commercial</v>
      </c>
      <c r="S447" s="58">
        <v>14</v>
      </c>
      <c r="T447" s="58">
        <v>1.5</v>
      </c>
      <c r="U447" s="43">
        <v>1</v>
      </c>
      <c r="V447" s="43"/>
      <c r="W447" s="58"/>
      <c r="X447" s="58"/>
      <c r="Y447" s="59" t="s">
        <v>156</v>
      </c>
      <c r="Z447" s="60">
        <v>5000</v>
      </c>
      <c r="AA447" s="25">
        <f>VLOOKUP(F447,Zones!$A$2:$F$2186,6,FALSE)</f>
        <v>1405</v>
      </c>
      <c r="AB447" s="25">
        <f>VLOOKUP(L447,Zones!$A$2:$F$2186,6,FALSE)</f>
        <v>1402</v>
      </c>
    </row>
    <row r="448" spans="2:28">
      <c r="B448" s="40">
        <v>0.40208333333333335</v>
      </c>
      <c r="C448" s="40" t="s">
        <v>318</v>
      </c>
      <c r="D448" s="41">
        <v>7</v>
      </c>
      <c r="E448" s="42">
        <v>3</v>
      </c>
      <c r="F448" s="42" t="s">
        <v>319</v>
      </c>
      <c r="G448" s="43" t="s">
        <v>154</v>
      </c>
      <c r="H448" s="42" t="s">
        <v>155</v>
      </c>
      <c r="I448" s="43">
        <v>11</v>
      </c>
      <c r="J448" s="43">
        <v>2</v>
      </c>
      <c r="K448" s="25" t="str">
        <f>VLOOKUP(J448,Key!$E$2:$F$9,2,FALSE)</f>
        <v>Work</v>
      </c>
      <c r="L448" s="42" t="s">
        <v>3283</v>
      </c>
      <c r="M448" s="43" t="s">
        <v>321</v>
      </c>
      <c r="N448" s="42" t="s">
        <v>155</v>
      </c>
      <c r="O448" s="43">
        <v>1</v>
      </c>
      <c r="P448" s="43">
        <v>1</v>
      </c>
      <c r="Q448" s="25" t="str">
        <f>VLOOKUP(P448,Key!$E$2:$F$9,2,FALSE)</f>
        <v>Home</v>
      </c>
      <c r="R448" s="25" t="str">
        <f t="shared" si="8"/>
        <v>Work-Home</v>
      </c>
      <c r="S448" s="58">
        <v>150</v>
      </c>
      <c r="T448" s="58">
        <v>2.5</v>
      </c>
      <c r="U448" s="43">
        <v>4</v>
      </c>
      <c r="V448" s="43"/>
      <c r="W448" s="58"/>
      <c r="X448" s="58"/>
      <c r="Y448" s="59" t="s">
        <v>156</v>
      </c>
      <c r="Z448" s="60">
        <v>5000</v>
      </c>
      <c r="AA448" s="25">
        <f>VLOOKUP(F448,Zones!$A$2:$F$2186,6,FALSE)</f>
        <v>1405</v>
      </c>
      <c r="AB448" s="25">
        <f>VLOOKUP(L448,Zones!$A$2:$F$2186,6,FALSE)</f>
        <v>1101</v>
      </c>
    </row>
    <row r="449" spans="2:28">
      <c r="B449" s="40">
        <v>0.4055555555555555</v>
      </c>
      <c r="C449" s="40" t="s">
        <v>322</v>
      </c>
      <c r="D449" s="41">
        <v>1</v>
      </c>
      <c r="E449" s="42">
        <v>1</v>
      </c>
      <c r="F449" s="42" t="s">
        <v>262</v>
      </c>
      <c r="G449" s="43" t="s">
        <v>262</v>
      </c>
      <c r="H449" s="42" t="s">
        <v>155</v>
      </c>
      <c r="I449" s="43">
        <v>1</v>
      </c>
      <c r="J449" s="43">
        <v>1</v>
      </c>
      <c r="K449" s="25" t="str">
        <f>VLOOKUP(J449,Key!$E$2:$F$9,2,FALSE)</f>
        <v>Home</v>
      </c>
      <c r="L449" s="42" t="s">
        <v>300</v>
      </c>
      <c r="M449" s="43" t="s">
        <v>254</v>
      </c>
      <c r="N449" s="42" t="s">
        <v>155</v>
      </c>
      <c r="O449" s="43">
        <v>1</v>
      </c>
      <c r="P449" s="43">
        <v>1</v>
      </c>
      <c r="Q449" s="25" t="str">
        <f>VLOOKUP(P449,Key!$E$2:$F$9,2,FALSE)</f>
        <v>Home</v>
      </c>
      <c r="R449" s="25" t="str">
        <f t="shared" si="8"/>
        <v>Home-Home</v>
      </c>
      <c r="S449" s="58">
        <v>100</v>
      </c>
      <c r="T449" s="58">
        <v>3.5</v>
      </c>
      <c r="U449" s="43">
        <v>5</v>
      </c>
      <c r="V449" s="43"/>
      <c r="W449" s="58"/>
      <c r="X449" s="58"/>
      <c r="Y449" s="59" t="s">
        <v>156</v>
      </c>
      <c r="Z449" s="60">
        <v>2000</v>
      </c>
      <c r="AA449" s="25">
        <f>VLOOKUP(F449,Zones!$A$2:$F$2186,6,FALSE)</f>
        <v>403</v>
      </c>
      <c r="AB449" s="25">
        <f>VLOOKUP(L449,Zones!$A$2:$F$2186,6,FALSE)</f>
        <v>1081</v>
      </c>
    </row>
    <row r="450" spans="2:28">
      <c r="B450" s="40">
        <v>0.37847222222222227</v>
      </c>
      <c r="C450" s="40" t="s">
        <v>323</v>
      </c>
      <c r="D450" s="41">
        <v>7</v>
      </c>
      <c r="E450" s="42">
        <v>1</v>
      </c>
      <c r="F450" s="42" t="s">
        <v>146</v>
      </c>
      <c r="G450" s="43" t="s">
        <v>154</v>
      </c>
      <c r="H450" s="42" t="s">
        <v>155</v>
      </c>
      <c r="I450" s="43">
        <v>1</v>
      </c>
      <c r="J450" s="43">
        <v>1</v>
      </c>
      <c r="K450" s="25" t="str">
        <f>VLOOKUP(J450,Key!$E$2:$F$9,2,FALSE)</f>
        <v>Home</v>
      </c>
      <c r="L450" s="42" t="s">
        <v>147</v>
      </c>
      <c r="M450" s="43" t="s">
        <v>154</v>
      </c>
      <c r="N450" s="42" t="s">
        <v>155</v>
      </c>
      <c r="O450" s="43">
        <v>11</v>
      </c>
      <c r="P450" s="43">
        <v>4</v>
      </c>
      <c r="Q450" s="25" t="str">
        <f>VLOOKUP(P450,Key!$E$2:$F$9,2,FALSE)</f>
        <v>Commercial</v>
      </c>
      <c r="R450" s="25" t="str">
        <f t="shared" si="8"/>
        <v>Home-Commercial</v>
      </c>
      <c r="S450" s="58">
        <v>3.5</v>
      </c>
      <c r="T450" s="58">
        <v>1</v>
      </c>
      <c r="U450" s="43">
        <v>1</v>
      </c>
      <c r="V450" s="43"/>
      <c r="W450" s="58"/>
      <c r="X450" s="58"/>
      <c r="Y450" s="59" t="s">
        <v>156</v>
      </c>
      <c r="Z450" s="60">
        <v>1000</v>
      </c>
      <c r="AA450" s="25">
        <f>VLOOKUP(F450,Zones!$A$2:$F$2186,6,FALSE)</f>
        <v>1393</v>
      </c>
      <c r="AB450" s="25">
        <f>VLOOKUP(L450,Zones!$A$2:$F$2186,6,FALSE)</f>
        <v>1402</v>
      </c>
    </row>
    <row r="451" spans="2:28">
      <c r="B451" s="40">
        <v>0.375</v>
      </c>
      <c r="C451" s="40" t="s">
        <v>324</v>
      </c>
      <c r="D451" s="41">
        <v>7</v>
      </c>
      <c r="E451" s="42">
        <v>4</v>
      </c>
      <c r="F451" s="42" t="s">
        <v>184</v>
      </c>
      <c r="G451" s="43" t="s">
        <v>154</v>
      </c>
      <c r="H451" s="42" t="s">
        <v>155</v>
      </c>
      <c r="I451" s="43">
        <v>13</v>
      </c>
      <c r="J451" s="43">
        <v>4</v>
      </c>
      <c r="K451" s="25" t="str">
        <f>VLOOKUP(J451,Key!$E$2:$F$9,2,FALSE)</f>
        <v>Commercial</v>
      </c>
      <c r="L451" s="42" t="s">
        <v>168</v>
      </c>
      <c r="M451" s="43" t="s">
        <v>154</v>
      </c>
      <c r="N451" s="42" t="s">
        <v>155</v>
      </c>
      <c r="O451" s="43">
        <v>10</v>
      </c>
      <c r="P451" s="43">
        <v>4</v>
      </c>
      <c r="Q451" s="25" t="str">
        <f>VLOOKUP(P451,Key!$E$2:$F$9,2,FALSE)</f>
        <v>Commercial</v>
      </c>
      <c r="R451" s="25" t="str">
        <f t="shared" si="8"/>
        <v>Commercial-Commercial</v>
      </c>
      <c r="S451" s="58">
        <v>7</v>
      </c>
      <c r="T451" s="58">
        <v>0.6</v>
      </c>
      <c r="U451" s="43">
        <v>2</v>
      </c>
      <c r="V451" s="43"/>
      <c r="W451" s="58"/>
      <c r="X451" s="58"/>
      <c r="Y451" s="59" t="s">
        <v>156</v>
      </c>
      <c r="Z451" s="60">
        <v>2000</v>
      </c>
      <c r="AA451" s="25">
        <f>VLOOKUP(F451,Zones!$A$2:$F$2186,6,FALSE)</f>
        <v>811</v>
      </c>
      <c r="AB451" s="25">
        <f>VLOOKUP(L451,Zones!$A$2:$F$2186,6,FALSE)</f>
        <v>1393</v>
      </c>
    </row>
    <row r="452" spans="2:28">
      <c r="B452" s="40">
        <v>0.53611111111111109</v>
      </c>
      <c r="C452" s="40" t="s">
        <v>325</v>
      </c>
      <c r="D452" s="41">
        <v>4</v>
      </c>
      <c r="E452" s="42">
        <v>15</v>
      </c>
      <c r="F452" s="42" t="s">
        <v>278</v>
      </c>
      <c r="G452" s="43" t="s">
        <v>154</v>
      </c>
      <c r="H452" s="42" t="s">
        <v>155</v>
      </c>
      <c r="I452" s="43">
        <v>6</v>
      </c>
      <c r="J452" s="43">
        <v>4</v>
      </c>
      <c r="K452" s="25" t="str">
        <f>VLOOKUP(J452,Key!$E$2:$F$9,2,FALSE)</f>
        <v>Commercial</v>
      </c>
      <c r="L452" s="42" t="s">
        <v>154</v>
      </c>
      <c r="M452" s="43" t="s">
        <v>154</v>
      </c>
      <c r="N452" s="42" t="s">
        <v>155</v>
      </c>
      <c r="O452" s="43">
        <v>6</v>
      </c>
      <c r="P452" s="43">
        <v>4</v>
      </c>
      <c r="Q452" s="25" t="str">
        <f>VLOOKUP(P452,Key!$E$2:$F$9,2,FALSE)</f>
        <v>Commercial</v>
      </c>
      <c r="R452" s="25" t="str">
        <f t="shared" si="8"/>
        <v>Commercial-Commercial</v>
      </c>
      <c r="S452" s="58"/>
      <c r="T452" s="58">
        <v>2</v>
      </c>
      <c r="U452" s="43">
        <v>1</v>
      </c>
      <c r="V452" s="43"/>
      <c r="W452" s="58"/>
      <c r="X452" s="58"/>
      <c r="Y452" s="59" t="s">
        <v>156</v>
      </c>
      <c r="Z452" s="60">
        <v>1000</v>
      </c>
      <c r="AA452" s="25">
        <f>VLOOKUP(F452,Zones!$A$2:$F$2186,6,FALSE)</f>
        <v>1396</v>
      </c>
      <c r="AB452" s="25">
        <f>VLOOKUP(L452,Zones!$A$2:$F$2186,6,FALSE)</f>
        <v>1408</v>
      </c>
    </row>
    <row r="453" spans="2:28">
      <c r="B453" s="40">
        <v>0.53125</v>
      </c>
      <c r="C453" s="40" t="s">
        <v>326</v>
      </c>
      <c r="D453" s="41">
        <v>1</v>
      </c>
      <c r="E453" s="42">
        <v>2</v>
      </c>
      <c r="F453" s="42" t="s">
        <v>184</v>
      </c>
      <c r="G453" s="43" t="s">
        <v>154</v>
      </c>
      <c r="H453" s="42" t="s">
        <v>155</v>
      </c>
      <c r="I453" s="43">
        <v>1</v>
      </c>
      <c r="J453" s="43">
        <v>1</v>
      </c>
      <c r="K453" s="25" t="str">
        <f>VLOOKUP(J453,Key!$E$2:$F$9,2,FALSE)</f>
        <v>Home</v>
      </c>
      <c r="L453" s="42" t="s">
        <v>667</v>
      </c>
      <c r="M453" s="43" t="s">
        <v>154</v>
      </c>
      <c r="N453" s="42" t="s">
        <v>155</v>
      </c>
      <c r="O453" s="43">
        <v>4</v>
      </c>
      <c r="P453" s="43">
        <v>4</v>
      </c>
      <c r="Q453" s="25" t="str">
        <f>VLOOKUP(P453,Key!$E$2:$F$9,2,FALSE)</f>
        <v>Commercial</v>
      </c>
      <c r="R453" s="25" t="str">
        <f t="shared" si="8"/>
        <v>Home-Commercial</v>
      </c>
      <c r="S453" s="58">
        <v>3.5</v>
      </c>
      <c r="T453" s="58">
        <v>0.5</v>
      </c>
      <c r="U453" s="43">
        <v>2</v>
      </c>
      <c r="V453" s="43"/>
      <c r="W453" s="58"/>
      <c r="X453" s="58"/>
      <c r="Y453" s="59" t="s">
        <v>156</v>
      </c>
      <c r="Z453" s="60">
        <v>2000</v>
      </c>
      <c r="AA453" s="25">
        <f>VLOOKUP(F453,Zones!$A$2:$F$2186,6,FALSE)</f>
        <v>811</v>
      </c>
      <c r="AB453" s="25">
        <f>VLOOKUP(L453,Zones!$A$2:$F$2186,6,FALSE)</f>
        <v>583</v>
      </c>
    </row>
    <row r="454" spans="2:28">
      <c r="B454" s="40">
        <v>0.6069444444444444</v>
      </c>
      <c r="C454" s="40" t="s">
        <v>328</v>
      </c>
      <c r="D454" s="41">
        <v>4</v>
      </c>
      <c r="E454" s="42">
        <v>16</v>
      </c>
      <c r="F454" s="42" t="s">
        <v>146</v>
      </c>
      <c r="G454" s="43" t="s">
        <v>154</v>
      </c>
      <c r="H454" s="42" t="s">
        <v>155</v>
      </c>
      <c r="I454" s="43">
        <v>6</v>
      </c>
      <c r="J454" s="43">
        <v>4</v>
      </c>
      <c r="K454" s="25" t="str">
        <f>VLOOKUP(J454,Key!$E$2:$F$9,2,FALSE)</f>
        <v>Commercial</v>
      </c>
      <c r="L454" s="42" t="s">
        <v>147</v>
      </c>
      <c r="M454" s="43" t="s">
        <v>154</v>
      </c>
      <c r="N454" s="42" t="s">
        <v>155</v>
      </c>
      <c r="O454" s="43">
        <v>6</v>
      </c>
      <c r="P454" s="43">
        <v>2</v>
      </c>
      <c r="Q454" s="25" t="str">
        <f>VLOOKUP(P454,Key!$E$2:$F$9,2,FALSE)</f>
        <v>Work</v>
      </c>
      <c r="R454" s="25" t="str">
        <f t="shared" si="8"/>
        <v>Commercial-Work</v>
      </c>
      <c r="S454" s="58">
        <v>9</v>
      </c>
      <c r="T454" s="58">
        <v>0.4</v>
      </c>
      <c r="U454" s="43">
        <v>1</v>
      </c>
      <c r="V454" s="43"/>
      <c r="W454" s="58"/>
      <c r="X454" s="58"/>
      <c r="Y454" s="59" t="s">
        <v>156</v>
      </c>
      <c r="Z454" s="60">
        <v>1000</v>
      </c>
      <c r="AA454" s="25">
        <f>VLOOKUP(F454,Zones!$A$2:$F$2186,6,FALSE)</f>
        <v>1393</v>
      </c>
      <c r="AB454" s="25">
        <f>VLOOKUP(L454,Zones!$A$2:$F$2186,6,FALSE)</f>
        <v>1402</v>
      </c>
    </row>
    <row r="455" spans="2:28">
      <c r="B455" s="40">
        <v>0.60277777777777775</v>
      </c>
      <c r="C455" s="40" t="s">
        <v>329</v>
      </c>
      <c r="D455" s="41">
        <v>1</v>
      </c>
      <c r="E455" s="42">
        <v>2</v>
      </c>
      <c r="F455" s="42" t="s">
        <v>159</v>
      </c>
      <c r="G455" s="43" t="s">
        <v>159</v>
      </c>
      <c r="H455" s="42" t="s">
        <v>155</v>
      </c>
      <c r="I455" s="43">
        <v>11</v>
      </c>
      <c r="J455" s="43">
        <v>4</v>
      </c>
      <c r="K455" s="25" t="str">
        <f>VLOOKUP(J455,Key!$E$2:$F$9,2,FALSE)</f>
        <v>Commercial</v>
      </c>
      <c r="L455" s="42" t="s">
        <v>168</v>
      </c>
      <c r="M455" s="43" t="s">
        <v>154</v>
      </c>
      <c r="N455" s="42" t="s">
        <v>155</v>
      </c>
      <c r="O455" s="43">
        <v>1</v>
      </c>
      <c r="P455" s="43">
        <v>1</v>
      </c>
      <c r="Q455" s="25" t="str">
        <f>VLOOKUP(P455,Key!$E$2:$F$9,2,FALSE)</f>
        <v>Home</v>
      </c>
      <c r="R455" s="25" t="str">
        <f t="shared" si="8"/>
        <v>Commercial-Home</v>
      </c>
      <c r="S455" s="58"/>
      <c r="T455" s="58">
        <v>1</v>
      </c>
      <c r="U455" s="43">
        <v>3</v>
      </c>
      <c r="V455" s="43"/>
      <c r="W455" s="58"/>
      <c r="X455" s="58"/>
      <c r="Y455" s="59" t="s">
        <v>156</v>
      </c>
      <c r="Z455" s="60">
        <v>1000</v>
      </c>
      <c r="AA455" s="25">
        <f>VLOOKUP(F455,Zones!$A$2:$F$2186,6,FALSE)</f>
        <v>521</v>
      </c>
      <c r="AB455" s="25">
        <f>VLOOKUP(L455,Zones!$A$2:$F$2186,6,FALSE)</f>
        <v>1393</v>
      </c>
    </row>
    <row r="456" spans="2:28">
      <c r="B456" s="40">
        <v>0.5444444444444444</v>
      </c>
      <c r="C456" s="40" t="s">
        <v>330</v>
      </c>
      <c r="D456" s="41">
        <v>1</v>
      </c>
      <c r="E456" s="42">
        <v>2</v>
      </c>
      <c r="F456" s="42" t="s">
        <v>170</v>
      </c>
      <c r="G456" s="43" t="s">
        <v>159</v>
      </c>
      <c r="H456" s="42" t="s">
        <v>155</v>
      </c>
      <c r="I456" s="43">
        <v>16</v>
      </c>
      <c r="J456" s="43">
        <v>8</v>
      </c>
      <c r="K456" s="25" t="str">
        <f>VLOOKUP(J456,Key!$E$2:$F$9,2,FALSE)</f>
        <v>Others</v>
      </c>
      <c r="L456" s="42" t="s">
        <v>192</v>
      </c>
      <c r="M456" s="43" t="s">
        <v>202</v>
      </c>
      <c r="N456" s="42" t="s">
        <v>155</v>
      </c>
      <c r="O456" s="43">
        <v>16</v>
      </c>
      <c r="P456" s="43">
        <v>8</v>
      </c>
      <c r="Q456" s="25" t="str">
        <f>VLOOKUP(P456,Key!$E$2:$F$9,2,FALSE)</f>
        <v>Others</v>
      </c>
      <c r="R456" s="25" t="str">
        <f t="shared" si="8"/>
        <v>Others-Others</v>
      </c>
      <c r="S456" s="58"/>
      <c r="T456" s="58">
        <v>1</v>
      </c>
      <c r="U456" s="43">
        <v>3</v>
      </c>
      <c r="V456" s="43"/>
      <c r="W456" s="58"/>
      <c r="X456" s="58"/>
      <c r="Y456" s="59" t="s">
        <v>156</v>
      </c>
      <c r="Z456" s="60">
        <v>5000</v>
      </c>
      <c r="AA456" s="25">
        <f>VLOOKUP(F456,Zones!$A$2:$F$2186,6,FALSE)</f>
        <v>557</v>
      </c>
      <c r="AB456" s="25">
        <f>VLOOKUP(L456,Zones!$A$2:$F$2186,6,FALSE)</f>
        <v>881</v>
      </c>
    </row>
    <row r="457" spans="2:28">
      <c r="B457" s="40">
        <v>0.55277777777777781</v>
      </c>
      <c r="C457" s="40" t="s">
        <v>331</v>
      </c>
      <c r="D457" s="41">
        <v>1</v>
      </c>
      <c r="E457" s="42">
        <v>1</v>
      </c>
      <c r="F457" s="42" t="s">
        <v>194</v>
      </c>
      <c r="G457" s="43" t="s">
        <v>159</v>
      </c>
      <c r="H457" s="42" t="s">
        <v>155</v>
      </c>
      <c r="I457" s="43">
        <v>1</v>
      </c>
      <c r="J457" s="43">
        <v>1</v>
      </c>
      <c r="K457" s="25" t="str">
        <f>VLOOKUP(J457,Key!$E$2:$F$9,2,FALSE)</f>
        <v>Home</v>
      </c>
      <c r="L457" s="42" t="s">
        <v>192</v>
      </c>
      <c r="M457" s="43" t="s">
        <v>202</v>
      </c>
      <c r="N457" s="42" t="s">
        <v>155</v>
      </c>
      <c r="O457" s="43">
        <v>4</v>
      </c>
      <c r="P457" s="43">
        <v>4</v>
      </c>
      <c r="Q457" s="25" t="str">
        <f>VLOOKUP(P457,Key!$E$2:$F$9,2,FALSE)</f>
        <v>Commercial</v>
      </c>
      <c r="R457" s="25" t="str">
        <f t="shared" si="8"/>
        <v>Home-Commercial</v>
      </c>
      <c r="S457" s="58"/>
      <c r="T457" s="58">
        <v>0.3</v>
      </c>
      <c r="U457" s="43">
        <v>4</v>
      </c>
      <c r="V457" s="43"/>
      <c r="W457" s="58"/>
      <c r="X457" s="58"/>
      <c r="Y457" s="59" t="s">
        <v>156</v>
      </c>
      <c r="Z457" s="60">
        <v>2000</v>
      </c>
      <c r="AA457" s="25">
        <f>VLOOKUP(F457,Zones!$A$2:$F$2186,6,FALSE)</f>
        <v>545</v>
      </c>
      <c r="AB457" s="25">
        <f>VLOOKUP(L457,Zones!$A$2:$F$2186,6,FALSE)</f>
        <v>881</v>
      </c>
    </row>
    <row r="458" spans="2:28">
      <c r="B458" s="40">
        <v>0.44722222222222219</v>
      </c>
      <c r="C458" s="40" t="s">
        <v>332</v>
      </c>
      <c r="D458" s="41">
        <v>8</v>
      </c>
      <c r="E458" s="42">
        <v>2</v>
      </c>
      <c r="F458" s="42" t="s">
        <v>146</v>
      </c>
      <c r="G458" s="43" t="s">
        <v>154</v>
      </c>
      <c r="H458" s="42" t="s">
        <v>155</v>
      </c>
      <c r="I458" s="43">
        <v>16</v>
      </c>
      <c r="J458" s="43">
        <v>8</v>
      </c>
      <c r="K458" s="25" t="str">
        <f>VLOOKUP(J458,Key!$E$2:$F$9,2,FALSE)</f>
        <v>Others</v>
      </c>
      <c r="L458" s="42" t="s">
        <v>168</v>
      </c>
      <c r="M458" s="43" t="s">
        <v>154</v>
      </c>
      <c r="N458" s="42" t="s">
        <v>155</v>
      </c>
      <c r="O458" s="43">
        <v>4</v>
      </c>
      <c r="P458" s="43">
        <v>8</v>
      </c>
      <c r="Q458" s="25" t="str">
        <f>VLOOKUP(P458,Key!$E$2:$F$9,2,FALSE)</f>
        <v>Others</v>
      </c>
      <c r="R458" s="25" t="str">
        <f t="shared" si="8"/>
        <v>Others-Others</v>
      </c>
      <c r="S458" s="58">
        <v>1</v>
      </c>
      <c r="T458" s="58">
        <v>0.1</v>
      </c>
      <c r="U458" s="43">
        <v>1</v>
      </c>
      <c r="V458" s="43"/>
      <c r="W458" s="58"/>
      <c r="X458" s="58"/>
      <c r="Y458" s="59" t="s">
        <v>156</v>
      </c>
      <c r="Z458" s="60">
        <v>1000</v>
      </c>
      <c r="AA458" s="25">
        <f>VLOOKUP(F458,Zones!$A$2:$F$2186,6,FALSE)</f>
        <v>1393</v>
      </c>
      <c r="AB458" s="25">
        <f>VLOOKUP(L458,Zones!$A$2:$F$2186,6,FALSE)</f>
        <v>1393</v>
      </c>
    </row>
    <row r="459" spans="2:28">
      <c r="B459" s="40">
        <v>0.45069444444444445</v>
      </c>
      <c r="C459" s="40" t="s">
        <v>333</v>
      </c>
      <c r="D459" s="41">
        <v>1</v>
      </c>
      <c r="E459" s="42">
        <v>2</v>
      </c>
      <c r="F459" s="42" t="s">
        <v>189</v>
      </c>
      <c r="G459" s="43" t="s">
        <v>154</v>
      </c>
      <c r="H459" s="42" t="s">
        <v>155</v>
      </c>
      <c r="I459" s="43">
        <v>1</v>
      </c>
      <c r="J459" s="43">
        <v>1</v>
      </c>
      <c r="K459" s="25" t="str">
        <f>VLOOKUP(J459,Key!$E$2:$F$9,2,FALSE)</f>
        <v>Home</v>
      </c>
      <c r="L459" s="42" t="s">
        <v>175</v>
      </c>
      <c r="M459" s="43" t="s">
        <v>154</v>
      </c>
      <c r="N459" s="42" t="s">
        <v>155</v>
      </c>
      <c r="O459" s="43">
        <v>1</v>
      </c>
      <c r="P459" s="43">
        <v>1</v>
      </c>
      <c r="Q459" s="25" t="str">
        <f>VLOOKUP(P459,Key!$E$2:$F$9,2,FALSE)</f>
        <v>Home</v>
      </c>
      <c r="R459" s="25" t="str">
        <f t="shared" si="8"/>
        <v>Home-Home</v>
      </c>
      <c r="S459" s="58">
        <v>10</v>
      </c>
      <c r="T459" s="58">
        <v>1</v>
      </c>
      <c r="U459" s="43">
        <v>1</v>
      </c>
      <c r="V459" s="43"/>
      <c r="W459" s="58"/>
      <c r="X459" s="58"/>
      <c r="Y459" s="59" t="s">
        <v>156</v>
      </c>
      <c r="Z459" s="60">
        <v>1000</v>
      </c>
      <c r="AA459" s="25">
        <f>VLOOKUP(F459,Zones!$A$2:$F$2186,6,FALSE)</f>
        <v>1386</v>
      </c>
      <c r="AB459" s="25">
        <f>VLOOKUP(L459,Zones!$A$2:$F$2186,6,FALSE)</f>
        <v>1402</v>
      </c>
    </row>
    <row r="460" spans="2:28">
      <c r="B460" s="40">
        <v>0.56666666666666665</v>
      </c>
      <c r="C460" s="40" t="s">
        <v>334</v>
      </c>
      <c r="D460" s="41">
        <v>7</v>
      </c>
      <c r="E460" s="42">
        <v>2</v>
      </c>
      <c r="F460" s="42" t="s">
        <v>146</v>
      </c>
      <c r="G460" s="43" t="s">
        <v>154</v>
      </c>
      <c r="H460" s="42" t="s">
        <v>155</v>
      </c>
      <c r="I460" s="43">
        <v>13</v>
      </c>
      <c r="J460" s="43">
        <v>4</v>
      </c>
      <c r="K460" s="25" t="str">
        <f>VLOOKUP(J460,Key!$E$2:$F$9,2,FALSE)</f>
        <v>Commercial</v>
      </c>
      <c r="L460" s="42" t="s">
        <v>154</v>
      </c>
      <c r="M460" s="43" t="s">
        <v>154</v>
      </c>
      <c r="N460" s="42" t="s">
        <v>155</v>
      </c>
      <c r="O460" s="43">
        <v>13</v>
      </c>
      <c r="P460" s="43">
        <v>4</v>
      </c>
      <c r="Q460" s="25" t="str">
        <f>VLOOKUP(P460,Key!$E$2:$F$9,2,FALSE)</f>
        <v>Commercial</v>
      </c>
      <c r="R460" s="25" t="str">
        <f t="shared" si="8"/>
        <v>Commercial-Commercial</v>
      </c>
      <c r="S460" s="58"/>
      <c r="T460" s="58">
        <v>0.3</v>
      </c>
      <c r="U460" s="43">
        <v>1</v>
      </c>
      <c r="V460" s="43"/>
      <c r="W460" s="58"/>
      <c r="X460" s="58"/>
      <c r="Y460" s="59" t="s">
        <v>156</v>
      </c>
      <c r="Z460" s="60">
        <v>1000</v>
      </c>
      <c r="AA460" s="25">
        <f>VLOOKUP(F460,Zones!$A$2:$F$2186,6,FALSE)</f>
        <v>1393</v>
      </c>
      <c r="AB460" s="25">
        <f>VLOOKUP(L460,Zones!$A$2:$F$2186,6,FALSE)</f>
        <v>1408</v>
      </c>
    </row>
    <row r="461" spans="2:28">
      <c r="B461" s="40">
        <v>0.56944444444444442</v>
      </c>
      <c r="C461" s="40" t="s">
        <v>335</v>
      </c>
      <c r="D461" s="41">
        <v>7</v>
      </c>
      <c r="E461" s="42">
        <v>1</v>
      </c>
      <c r="F461" s="42" t="s">
        <v>336</v>
      </c>
      <c r="G461" s="43" t="s">
        <v>159</v>
      </c>
      <c r="H461" s="42" t="s">
        <v>155</v>
      </c>
      <c r="I461" s="43">
        <v>1</v>
      </c>
      <c r="J461" s="43">
        <v>1</v>
      </c>
      <c r="K461" s="25" t="str">
        <f>VLOOKUP(J461,Key!$E$2:$F$9,2,FALSE)</f>
        <v>Home</v>
      </c>
      <c r="L461" s="42" t="s">
        <v>337</v>
      </c>
      <c r="M461" s="43" t="s">
        <v>154</v>
      </c>
      <c r="N461" s="42" t="s">
        <v>155</v>
      </c>
      <c r="O461" s="43">
        <v>15</v>
      </c>
      <c r="P461" s="43">
        <v>4</v>
      </c>
      <c r="Q461" s="25" t="str">
        <f>VLOOKUP(P461,Key!$E$2:$F$9,2,FALSE)</f>
        <v>Commercial</v>
      </c>
      <c r="R461" s="25" t="str">
        <f t="shared" si="8"/>
        <v>Home-Commercial</v>
      </c>
      <c r="S461" s="58">
        <v>3</v>
      </c>
      <c r="T461" s="58">
        <v>0.5</v>
      </c>
      <c r="U461" s="43">
        <v>2</v>
      </c>
      <c r="V461" s="43"/>
      <c r="W461" s="58"/>
      <c r="X461" s="58"/>
      <c r="Y461" s="59" t="s">
        <v>156</v>
      </c>
      <c r="Z461" s="60">
        <v>2000</v>
      </c>
      <c r="AA461" s="25">
        <f>VLOOKUP(F461,Zones!$A$2:$F$2186,6,FALSE)</f>
        <v>530</v>
      </c>
      <c r="AB461" s="25">
        <f>VLOOKUP(L461,Zones!$A$2:$F$2186,6,FALSE)</f>
        <v>1393</v>
      </c>
    </row>
    <row r="462" spans="2:28">
      <c r="B462" s="40">
        <v>0.46180555555555558</v>
      </c>
      <c r="C462" s="40" t="s">
        <v>338</v>
      </c>
      <c r="D462" s="41">
        <v>7</v>
      </c>
      <c r="E462" s="42">
        <v>2</v>
      </c>
      <c r="F462" s="42" t="s">
        <v>146</v>
      </c>
      <c r="G462" s="43" t="s">
        <v>154</v>
      </c>
      <c r="H462" s="42" t="s">
        <v>155</v>
      </c>
      <c r="I462" s="43">
        <v>16</v>
      </c>
      <c r="J462" s="43">
        <v>8</v>
      </c>
      <c r="K462" s="25" t="str">
        <f>VLOOKUP(J462,Key!$E$2:$F$9,2,FALSE)</f>
        <v>Others</v>
      </c>
      <c r="L462" s="42" t="s">
        <v>394</v>
      </c>
      <c r="M462" s="43" t="s">
        <v>154</v>
      </c>
      <c r="N462" s="42" t="s">
        <v>155</v>
      </c>
      <c r="O462" s="43">
        <v>10</v>
      </c>
      <c r="P462" s="43">
        <v>4</v>
      </c>
      <c r="Q462" s="25" t="str">
        <f>VLOOKUP(P462,Key!$E$2:$F$9,2,FALSE)</f>
        <v>Commercial</v>
      </c>
      <c r="R462" s="25" t="str">
        <f t="shared" si="8"/>
        <v>Others-Commercial</v>
      </c>
      <c r="S462" s="58">
        <v>3</v>
      </c>
      <c r="T462" s="58">
        <v>0.5</v>
      </c>
      <c r="U462" s="43">
        <v>1</v>
      </c>
      <c r="V462" s="43"/>
      <c r="W462" s="58"/>
      <c r="X462" s="58"/>
      <c r="Y462" s="59" t="s">
        <v>156</v>
      </c>
      <c r="Z462" s="60">
        <v>2000</v>
      </c>
      <c r="AA462" s="25">
        <f>VLOOKUP(F462,Zones!$A$2:$F$2186,6,FALSE)</f>
        <v>1393</v>
      </c>
      <c r="AB462" s="25">
        <f>VLOOKUP(L462,Zones!$A$2:$F$2186,6,FALSE)</f>
        <v>542</v>
      </c>
    </row>
    <row r="463" spans="2:28">
      <c r="B463" s="40">
        <v>0.4597222222222222</v>
      </c>
      <c r="C463" s="40" t="s">
        <v>340</v>
      </c>
      <c r="D463" s="41">
        <v>1</v>
      </c>
      <c r="E463" s="42">
        <v>1</v>
      </c>
      <c r="F463" s="42" t="s">
        <v>159</v>
      </c>
      <c r="G463" s="43" t="s">
        <v>159</v>
      </c>
      <c r="H463" s="42" t="s">
        <v>155</v>
      </c>
      <c r="I463" s="43">
        <v>2</v>
      </c>
      <c r="J463" s="43">
        <v>2</v>
      </c>
      <c r="K463" s="25" t="str">
        <f>VLOOKUP(J463,Key!$E$2:$F$9,2,FALSE)</f>
        <v>Work</v>
      </c>
      <c r="L463" s="42" t="s">
        <v>341</v>
      </c>
      <c r="M463" s="43" t="s">
        <v>154</v>
      </c>
      <c r="N463" s="42" t="s">
        <v>155</v>
      </c>
      <c r="O463" s="43">
        <v>1</v>
      </c>
      <c r="P463" s="43">
        <v>1</v>
      </c>
      <c r="Q463" s="25" t="str">
        <f>VLOOKUP(P463,Key!$E$2:$F$9,2,FALSE)</f>
        <v>Home</v>
      </c>
      <c r="R463" s="25" t="str">
        <f t="shared" si="8"/>
        <v>Work-Home</v>
      </c>
      <c r="S463" s="58">
        <v>25</v>
      </c>
      <c r="T463" s="58">
        <v>1</v>
      </c>
      <c r="U463" s="43">
        <v>1</v>
      </c>
      <c r="V463" s="43"/>
      <c r="W463" s="58"/>
      <c r="X463" s="58"/>
      <c r="Y463" s="59" t="s">
        <v>156</v>
      </c>
      <c r="Z463" s="60">
        <v>1000</v>
      </c>
      <c r="AA463" s="25">
        <f>VLOOKUP(F463,Zones!$A$2:$F$2186,6,FALSE)</f>
        <v>521</v>
      </c>
      <c r="AB463" s="25">
        <f>VLOOKUP(L463,Zones!$A$2:$F$2186,6,FALSE)</f>
        <v>1408</v>
      </c>
    </row>
    <row r="464" spans="2:28">
      <c r="B464" s="40">
        <v>0.4381944444444445</v>
      </c>
      <c r="C464" s="40" t="s">
        <v>342</v>
      </c>
      <c r="D464" s="41">
        <v>1</v>
      </c>
      <c r="E464" s="42">
        <v>1</v>
      </c>
      <c r="F464" s="42" t="s">
        <v>146</v>
      </c>
      <c r="G464" s="43" t="s">
        <v>154</v>
      </c>
      <c r="H464" s="42" t="s">
        <v>155</v>
      </c>
      <c r="I464" s="43">
        <v>11</v>
      </c>
      <c r="J464" s="43">
        <v>4</v>
      </c>
      <c r="K464" s="25" t="str">
        <f>VLOOKUP(J464,Key!$E$2:$F$9,2,FALSE)</f>
        <v>Commercial</v>
      </c>
      <c r="L464" s="42" t="s">
        <v>147</v>
      </c>
      <c r="M464" s="43" t="s">
        <v>154</v>
      </c>
      <c r="N464" s="42" t="s">
        <v>155</v>
      </c>
      <c r="O464" s="43">
        <v>11</v>
      </c>
      <c r="P464" s="43">
        <v>4</v>
      </c>
      <c r="Q464" s="25" t="str">
        <f>VLOOKUP(P464,Key!$E$2:$F$9,2,FALSE)</f>
        <v>Commercial</v>
      </c>
      <c r="R464" s="25" t="str">
        <f t="shared" si="8"/>
        <v>Commercial-Commercial</v>
      </c>
      <c r="S464" s="58">
        <v>12</v>
      </c>
      <c r="T464" s="58">
        <v>0.5</v>
      </c>
      <c r="U464" s="43">
        <v>2</v>
      </c>
      <c r="V464" s="43"/>
      <c r="W464" s="58"/>
      <c r="X464" s="58"/>
      <c r="Y464" s="59" t="s">
        <v>156</v>
      </c>
      <c r="Z464" s="60">
        <v>1000</v>
      </c>
      <c r="AA464" s="25">
        <f>VLOOKUP(F464,Zones!$A$2:$F$2186,6,FALSE)</f>
        <v>1393</v>
      </c>
      <c r="AB464" s="25">
        <f>VLOOKUP(L464,Zones!$A$2:$F$2186,6,FALSE)</f>
        <v>1402</v>
      </c>
    </row>
    <row r="465" spans="2:28">
      <c r="B465" s="40">
        <v>0.44166666666666665</v>
      </c>
      <c r="C465" s="40" t="s">
        <v>343</v>
      </c>
      <c r="D465" s="41">
        <v>4</v>
      </c>
      <c r="E465" s="42">
        <v>2</v>
      </c>
      <c r="F465" s="42" t="s">
        <v>184</v>
      </c>
      <c r="G465" s="43" t="s">
        <v>154</v>
      </c>
      <c r="H465" s="42" t="s">
        <v>155</v>
      </c>
      <c r="I465" s="43">
        <v>1</v>
      </c>
      <c r="J465" s="43">
        <v>1</v>
      </c>
      <c r="K465" s="25" t="str">
        <f>VLOOKUP(J465,Key!$E$2:$F$9,2,FALSE)</f>
        <v>Home</v>
      </c>
      <c r="L465" s="42" t="s">
        <v>344</v>
      </c>
      <c r="M465" s="43" t="s">
        <v>154</v>
      </c>
      <c r="N465" s="42" t="s">
        <v>155</v>
      </c>
      <c r="O465" s="43">
        <v>4</v>
      </c>
      <c r="P465" s="43">
        <v>4</v>
      </c>
      <c r="Q465" s="25" t="str">
        <f>VLOOKUP(P465,Key!$E$2:$F$9,2,FALSE)</f>
        <v>Commercial</v>
      </c>
      <c r="R465" s="25" t="str">
        <f t="shared" si="8"/>
        <v>Home-Commercial</v>
      </c>
      <c r="S465" s="58">
        <v>8</v>
      </c>
      <c r="T465" s="58">
        <v>0.5</v>
      </c>
      <c r="U465" s="43">
        <v>1</v>
      </c>
      <c r="V465" s="43"/>
      <c r="W465" s="58"/>
      <c r="X465" s="58"/>
      <c r="Y465" s="59" t="s">
        <v>156</v>
      </c>
      <c r="Z465" s="60">
        <v>1000</v>
      </c>
      <c r="AA465" s="25">
        <f>VLOOKUP(F465,Zones!$A$2:$F$2186,6,FALSE)</f>
        <v>811</v>
      </c>
      <c r="AB465" s="25">
        <f>VLOOKUP(L465,Zones!$A$2:$F$2186,6,FALSE)</f>
        <v>530</v>
      </c>
    </row>
    <row r="466" spans="2:28">
      <c r="B466" s="40">
        <v>0.43541666666666662</v>
      </c>
      <c r="C466" s="40" t="s">
        <v>345</v>
      </c>
      <c r="D466" s="41">
        <v>4</v>
      </c>
      <c r="E466" s="42">
        <v>16</v>
      </c>
      <c r="F466" s="42" t="s">
        <v>146</v>
      </c>
      <c r="G466" s="43" t="s">
        <v>154</v>
      </c>
      <c r="H466" s="42" t="s">
        <v>155</v>
      </c>
      <c r="I466" s="43">
        <v>6</v>
      </c>
      <c r="J466" s="43">
        <v>2</v>
      </c>
      <c r="K466" s="25" t="str">
        <f>VLOOKUP(J466,Key!$E$2:$F$9,2,FALSE)</f>
        <v>Work</v>
      </c>
      <c r="L466" s="42" t="s">
        <v>147</v>
      </c>
      <c r="M466" s="43" t="s">
        <v>154</v>
      </c>
      <c r="N466" s="42" t="s">
        <v>155</v>
      </c>
      <c r="O466" s="43">
        <v>6</v>
      </c>
      <c r="P466" s="43">
        <v>4</v>
      </c>
      <c r="Q466" s="25" t="str">
        <f>VLOOKUP(P466,Key!$E$2:$F$9,2,FALSE)</f>
        <v>Commercial</v>
      </c>
      <c r="R466" s="25" t="str">
        <f t="shared" si="8"/>
        <v>Work-Commercial</v>
      </c>
      <c r="S466" s="58">
        <v>10</v>
      </c>
      <c r="T466" s="58">
        <v>0.5</v>
      </c>
      <c r="U466" s="43">
        <v>2</v>
      </c>
      <c r="V466" s="43"/>
      <c r="W466" s="58"/>
      <c r="X466" s="58"/>
      <c r="Y466" s="59" t="s">
        <v>156</v>
      </c>
      <c r="Z466" s="60">
        <v>1000</v>
      </c>
      <c r="AA466" s="25">
        <f>VLOOKUP(F466,Zones!$A$2:$F$2186,6,FALSE)</f>
        <v>1393</v>
      </c>
      <c r="AB466" s="25">
        <f>VLOOKUP(L466,Zones!$A$2:$F$2186,6,FALSE)</f>
        <v>1402</v>
      </c>
    </row>
    <row r="467" spans="2:28">
      <c r="B467" s="40">
        <v>0.43263888888888885</v>
      </c>
      <c r="C467" s="40" t="s">
        <v>346</v>
      </c>
      <c r="D467" s="41">
        <v>7</v>
      </c>
      <c r="E467" s="42">
        <v>3</v>
      </c>
      <c r="F467" s="42" t="s">
        <v>205</v>
      </c>
      <c r="G467" s="43" t="s">
        <v>202</v>
      </c>
      <c r="H467" s="42" t="s">
        <v>155</v>
      </c>
      <c r="I467" s="43">
        <v>14</v>
      </c>
      <c r="J467" s="43">
        <v>4</v>
      </c>
      <c r="K467" s="25" t="str">
        <f>VLOOKUP(J467,Key!$E$2:$F$9,2,FALSE)</f>
        <v>Commercial</v>
      </c>
      <c r="L467" s="42" t="s">
        <v>168</v>
      </c>
      <c r="M467" s="43" t="s">
        <v>154</v>
      </c>
      <c r="N467" s="42" t="s">
        <v>155</v>
      </c>
      <c r="O467" s="43">
        <v>1</v>
      </c>
      <c r="P467" s="43">
        <v>1</v>
      </c>
      <c r="Q467" s="25" t="str">
        <f>VLOOKUP(P467,Key!$E$2:$F$9,2,FALSE)</f>
        <v>Home</v>
      </c>
      <c r="R467" s="25" t="str">
        <f t="shared" si="8"/>
        <v>Commercial-Home</v>
      </c>
      <c r="S467" s="58">
        <v>25</v>
      </c>
      <c r="T467" s="58">
        <v>1.5</v>
      </c>
      <c r="U467" s="43">
        <v>2</v>
      </c>
      <c r="V467" s="43"/>
      <c r="W467" s="58"/>
      <c r="X467" s="58"/>
      <c r="Y467" s="59" t="s">
        <v>156</v>
      </c>
      <c r="Z467" s="60">
        <v>5000</v>
      </c>
      <c r="AA467" s="25">
        <f>VLOOKUP(F467,Zones!$A$2:$F$2186,6,FALSE)</f>
        <v>892</v>
      </c>
      <c r="AB467" s="25">
        <f>VLOOKUP(L467,Zones!$A$2:$F$2186,6,FALSE)</f>
        <v>1393</v>
      </c>
    </row>
    <row r="468" spans="2:28">
      <c r="B468" s="40">
        <v>0.5756944444444444</v>
      </c>
      <c r="C468" s="40" t="s">
        <v>347</v>
      </c>
      <c r="D468" s="41">
        <v>1</v>
      </c>
      <c r="E468" s="42">
        <v>5</v>
      </c>
      <c r="F468" s="42" t="s">
        <v>162</v>
      </c>
      <c r="G468" s="43" t="s">
        <v>163</v>
      </c>
      <c r="H468" s="42" t="s">
        <v>155</v>
      </c>
      <c r="I468" s="43">
        <v>1</v>
      </c>
      <c r="J468" s="43">
        <v>1</v>
      </c>
      <c r="K468" s="25" t="str">
        <f>VLOOKUP(J468,Key!$E$2:$F$9,2,FALSE)</f>
        <v>Home</v>
      </c>
      <c r="L468" s="42" t="s">
        <v>3285</v>
      </c>
      <c r="M468" s="43" t="s">
        <v>254</v>
      </c>
      <c r="N468" s="42" t="s">
        <v>155</v>
      </c>
      <c r="O468" s="43">
        <v>16</v>
      </c>
      <c r="P468" s="43">
        <v>8</v>
      </c>
      <c r="Q468" s="25" t="str">
        <f>VLOOKUP(P468,Key!$E$2:$F$9,2,FALSE)</f>
        <v>Others</v>
      </c>
      <c r="R468" s="25" t="str">
        <f t="shared" si="8"/>
        <v>Home-Others</v>
      </c>
      <c r="S468" s="58">
        <v>26</v>
      </c>
      <c r="T468" s="58">
        <v>1</v>
      </c>
      <c r="U468" s="43">
        <v>6</v>
      </c>
      <c r="V468" s="43"/>
      <c r="W468" s="58"/>
      <c r="X468" s="58"/>
      <c r="Y468" s="59" t="s">
        <v>156</v>
      </c>
      <c r="Z468" s="60">
        <v>1000</v>
      </c>
      <c r="AA468" s="25">
        <f>VLOOKUP(F468,Zones!$A$2:$F$2186,6,FALSE)</f>
        <v>1064</v>
      </c>
      <c r="AB468" s="25">
        <f>VLOOKUP(L468,Zones!$A$2:$F$2186,6,FALSE)</f>
        <v>1080</v>
      </c>
    </row>
    <row r="469" spans="2:28">
      <c r="B469" s="40">
        <v>0.57152777777777775</v>
      </c>
      <c r="C469" s="40" t="s">
        <v>349</v>
      </c>
      <c r="D469" s="41">
        <v>1</v>
      </c>
      <c r="E469" s="42">
        <v>1</v>
      </c>
      <c r="F469" s="42" t="s">
        <v>184</v>
      </c>
      <c r="G469" s="43" t="s">
        <v>154</v>
      </c>
      <c r="H469" s="42" t="s">
        <v>155</v>
      </c>
      <c r="I469" s="43">
        <v>2</v>
      </c>
      <c r="J469" s="43">
        <v>2</v>
      </c>
      <c r="K469" s="25" t="str">
        <f>VLOOKUP(J469,Key!$E$2:$F$9,2,FALSE)</f>
        <v>Work</v>
      </c>
      <c r="L469" s="42" t="s">
        <v>350</v>
      </c>
      <c r="M469" s="43" t="s">
        <v>154</v>
      </c>
      <c r="N469" s="42" t="s">
        <v>155</v>
      </c>
      <c r="O469" s="43">
        <v>2</v>
      </c>
      <c r="P469" s="43">
        <v>2</v>
      </c>
      <c r="Q469" s="25" t="str">
        <f>VLOOKUP(P469,Key!$E$2:$F$9,2,FALSE)</f>
        <v>Work</v>
      </c>
      <c r="R469" s="25" t="str">
        <f t="shared" si="8"/>
        <v>Work-Work</v>
      </c>
      <c r="S469" s="58">
        <v>6</v>
      </c>
      <c r="T469" s="58">
        <v>0.1</v>
      </c>
      <c r="U469" s="43">
        <v>1</v>
      </c>
      <c r="V469" s="43"/>
      <c r="W469" s="58"/>
      <c r="X469" s="58"/>
      <c r="Y469" s="59" t="s">
        <v>156</v>
      </c>
      <c r="Z469" s="60">
        <v>3000</v>
      </c>
      <c r="AA469" s="25">
        <f>VLOOKUP(F469,Zones!$A$2:$F$2186,6,FALSE)</f>
        <v>811</v>
      </c>
      <c r="AB469" s="25">
        <f>VLOOKUP(L469,Zones!$A$2:$F$2186,6,FALSE)</f>
        <v>1408</v>
      </c>
    </row>
    <row r="470" spans="2:28">
      <c r="B470" s="40">
        <v>0.34166666666666662</v>
      </c>
      <c r="C470" s="40" t="s">
        <v>351</v>
      </c>
      <c r="D470" s="41">
        <v>3</v>
      </c>
      <c r="E470" s="42">
        <v>1</v>
      </c>
      <c r="F470" s="42" t="s">
        <v>146</v>
      </c>
      <c r="G470" s="43" t="s">
        <v>154</v>
      </c>
      <c r="H470" s="42" t="s">
        <v>155</v>
      </c>
      <c r="I470" s="43">
        <v>16</v>
      </c>
      <c r="J470" s="43">
        <v>8</v>
      </c>
      <c r="K470" s="25" t="str">
        <f>VLOOKUP(J470,Key!$E$2:$F$9,2,FALSE)</f>
        <v>Others</v>
      </c>
      <c r="L470" s="42" t="s">
        <v>160</v>
      </c>
      <c r="M470" s="43" t="s">
        <v>154</v>
      </c>
      <c r="N470" s="42" t="s">
        <v>155</v>
      </c>
      <c r="O470" s="43">
        <v>1</v>
      </c>
      <c r="P470" s="43">
        <v>1</v>
      </c>
      <c r="Q470" s="25" t="str">
        <f>VLOOKUP(P470,Key!$E$2:$F$9,2,FALSE)</f>
        <v>Home</v>
      </c>
      <c r="R470" s="25" t="str">
        <f t="shared" si="8"/>
        <v>Others-Home</v>
      </c>
      <c r="S470" s="58">
        <v>3</v>
      </c>
      <c r="T470" s="58">
        <v>0.1</v>
      </c>
      <c r="U470" s="43">
        <v>1</v>
      </c>
      <c r="V470" s="43"/>
      <c r="W470" s="58"/>
      <c r="X470" s="58"/>
      <c r="Y470" s="59" t="s">
        <v>156</v>
      </c>
      <c r="Z470" s="60">
        <v>3000</v>
      </c>
      <c r="AA470" s="25">
        <f>VLOOKUP(F470,Zones!$A$2:$F$2186,6,FALSE)</f>
        <v>1393</v>
      </c>
      <c r="AB470" s="25">
        <f>VLOOKUP(L470,Zones!$A$2:$F$2186,6,FALSE)</f>
        <v>1393</v>
      </c>
    </row>
    <row r="471" spans="2:28">
      <c r="B471" s="40">
        <v>0.34652777777777777</v>
      </c>
      <c r="C471" s="40" t="s">
        <v>352</v>
      </c>
      <c r="D471" s="41">
        <v>4</v>
      </c>
      <c r="E471" s="42">
        <v>2</v>
      </c>
      <c r="F471" s="42" t="s">
        <v>146</v>
      </c>
      <c r="G471" s="43" t="s">
        <v>154</v>
      </c>
      <c r="H471" s="42" t="s">
        <v>155</v>
      </c>
      <c r="I471" s="43">
        <v>1</v>
      </c>
      <c r="J471" s="43">
        <v>1</v>
      </c>
      <c r="K471" s="25" t="str">
        <f>VLOOKUP(J471,Key!$E$2:$F$9,2,FALSE)</f>
        <v>Home</v>
      </c>
      <c r="L471" s="42" t="s">
        <v>175</v>
      </c>
      <c r="M471" s="43" t="s">
        <v>154</v>
      </c>
      <c r="N471" s="42" t="s">
        <v>155</v>
      </c>
      <c r="O471" s="43">
        <v>5</v>
      </c>
      <c r="P471" s="43">
        <v>7</v>
      </c>
      <c r="Q471" s="25" t="str">
        <f>VLOOKUP(P471,Key!$E$2:$F$9,2,FALSE)</f>
        <v>Hospital</v>
      </c>
      <c r="R471" s="25" t="str">
        <f t="shared" si="8"/>
        <v>Home-Hospital</v>
      </c>
      <c r="S471" s="58">
        <v>7</v>
      </c>
      <c r="T471" s="58">
        <v>0.2</v>
      </c>
      <c r="U471" s="43">
        <v>2</v>
      </c>
      <c r="V471" s="43"/>
      <c r="W471" s="58"/>
      <c r="X471" s="58"/>
      <c r="Y471" s="59" t="s">
        <v>156</v>
      </c>
      <c r="Z471" s="60">
        <v>1000</v>
      </c>
      <c r="AA471" s="25">
        <f>VLOOKUP(F471,Zones!$A$2:$F$2186,6,FALSE)</f>
        <v>1393</v>
      </c>
      <c r="AB471" s="25">
        <f>VLOOKUP(L471,Zones!$A$2:$F$2186,6,FALSE)</f>
        <v>1402</v>
      </c>
    </row>
    <row r="472" spans="2:28">
      <c r="B472" s="40">
        <v>0.35694444444444445</v>
      </c>
      <c r="C472" s="40" t="s">
        <v>353</v>
      </c>
      <c r="D472" s="41">
        <v>1</v>
      </c>
      <c r="E472" s="42">
        <v>4</v>
      </c>
      <c r="F472" s="42" t="s">
        <v>319</v>
      </c>
      <c r="G472" s="43" t="s">
        <v>154</v>
      </c>
      <c r="H472" s="42" t="s">
        <v>155</v>
      </c>
      <c r="I472" s="43">
        <v>1</v>
      </c>
      <c r="J472" s="43">
        <v>1</v>
      </c>
      <c r="K472" s="25" t="str">
        <f>VLOOKUP(J472,Key!$E$2:$F$9,2,FALSE)</f>
        <v>Home</v>
      </c>
      <c r="L472" s="42" t="s">
        <v>175</v>
      </c>
      <c r="M472" s="43" t="s">
        <v>154</v>
      </c>
      <c r="N472" s="42" t="s">
        <v>155</v>
      </c>
      <c r="O472" s="43">
        <v>4</v>
      </c>
      <c r="P472" s="43">
        <v>3</v>
      </c>
      <c r="Q472" s="25" t="str">
        <f>VLOOKUP(P472,Key!$E$2:$F$9,2,FALSE)</f>
        <v>Study</v>
      </c>
      <c r="R472" s="25" t="str">
        <f t="shared" si="8"/>
        <v>Home-Study</v>
      </c>
      <c r="S472" s="58"/>
      <c r="T472" s="58">
        <v>0.7</v>
      </c>
      <c r="U472" s="43">
        <v>2</v>
      </c>
      <c r="V472" s="43"/>
      <c r="W472" s="58"/>
      <c r="X472" s="58"/>
      <c r="Y472" s="59" t="s">
        <v>156</v>
      </c>
      <c r="Z472" s="60">
        <v>1000</v>
      </c>
      <c r="AA472" s="25">
        <f>VLOOKUP(F472,Zones!$A$2:$F$2186,6,FALSE)</f>
        <v>1405</v>
      </c>
      <c r="AB472" s="25">
        <f>VLOOKUP(L472,Zones!$A$2:$F$2186,6,FALSE)</f>
        <v>1402</v>
      </c>
    </row>
    <row r="473" spans="2:28">
      <c r="B473" s="40">
        <v>0.35972222222222222</v>
      </c>
      <c r="C473" s="40" t="s">
        <v>354</v>
      </c>
      <c r="D473" s="41">
        <v>4</v>
      </c>
      <c r="E473" s="42">
        <v>17</v>
      </c>
      <c r="F473" s="42" t="s">
        <v>146</v>
      </c>
      <c r="G473" s="43" t="s">
        <v>154</v>
      </c>
      <c r="H473" s="42" t="s">
        <v>155</v>
      </c>
      <c r="I473" s="43">
        <v>6</v>
      </c>
      <c r="J473" s="43">
        <v>4</v>
      </c>
      <c r="K473" s="25" t="str">
        <f>VLOOKUP(J473,Key!$E$2:$F$9,2,FALSE)</f>
        <v>Commercial</v>
      </c>
      <c r="L473" s="42" t="s">
        <v>147</v>
      </c>
      <c r="M473" s="43" t="s">
        <v>154</v>
      </c>
      <c r="N473" s="42" t="s">
        <v>155</v>
      </c>
      <c r="O473" s="43">
        <v>6</v>
      </c>
      <c r="P473" s="43">
        <v>4</v>
      </c>
      <c r="Q473" s="25" t="str">
        <f>VLOOKUP(P473,Key!$E$2:$F$9,2,FALSE)</f>
        <v>Commercial</v>
      </c>
      <c r="R473" s="25" t="str">
        <f t="shared" ref="R473:R493" si="9">K473&amp;"-"&amp;Q473</f>
        <v>Commercial-Commercial</v>
      </c>
      <c r="S473" s="58">
        <v>4</v>
      </c>
      <c r="T473" s="58">
        <v>0.3</v>
      </c>
      <c r="U473" s="43">
        <v>1</v>
      </c>
      <c r="V473" s="43"/>
      <c r="W473" s="58"/>
      <c r="X473" s="58"/>
      <c r="Y473" s="59" t="s">
        <v>156</v>
      </c>
      <c r="Z473" s="60">
        <v>1000</v>
      </c>
      <c r="AA473" s="25">
        <f>VLOOKUP(F473,Zones!$A$2:$F$2186,6,FALSE)</f>
        <v>1393</v>
      </c>
      <c r="AB473" s="25">
        <f>VLOOKUP(L473,Zones!$A$2:$F$2186,6,FALSE)</f>
        <v>1402</v>
      </c>
    </row>
    <row r="474" spans="2:28">
      <c r="B474" s="40">
        <v>0.36805555555555558</v>
      </c>
      <c r="C474" s="40" t="s">
        <v>355</v>
      </c>
      <c r="D474" s="41">
        <v>9</v>
      </c>
      <c r="E474" s="42">
        <v>2</v>
      </c>
      <c r="F474" s="42" t="s">
        <v>199</v>
      </c>
      <c r="G474" s="43" t="s">
        <v>159</v>
      </c>
      <c r="H474" s="42" t="s">
        <v>155</v>
      </c>
      <c r="I474" s="43">
        <v>3</v>
      </c>
      <c r="J474" s="43">
        <v>4</v>
      </c>
      <c r="K474" s="25" t="str">
        <f>VLOOKUP(J474,Key!$E$2:$F$9,2,FALSE)</f>
        <v>Commercial</v>
      </c>
      <c r="L474" s="42" t="s">
        <v>146</v>
      </c>
      <c r="M474" s="43" t="s">
        <v>154</v>
      </c>
      <c r="N474" s="42" t="s">
        <v>155</v>
      </c>
      <c r="O474" s="43">
        <v>2</v>
      </c>
      <c r="P474" s="43">
        <v>2</v>
      </c>
      <c r="Q474" s="25" t="str">
        <f>VLOOKUP(P474,Key!$E$2:$F$9,2,FALSE)</f>
        <v>Work</v>
      </c>
      <c r="R474" s="25" t="str">
        <f t="shared" si="9"/>
        <v>Commercial-Work</v>
      </c>
      <c r="S474" s="58"/>
      <c r="T474" s="58">
        <v>1</v>
      </c>
      <c r="U474" s="43">
        <v>2</v>
      </c>
      <c r="V474" s="43"/>
      <c r="W474" s="58"/>
      <c r="X474" s="58"/>
      <c r="Y474" s="59" t="s">
        <v>156</v>
      </c>
      <c r="Z474" s="60">
        <v>5000</v>
      </c>
      <c r="AA474" s="25">
        <f>VLOOKUP(F474,Zones!$A$2:$F$2186,6,FALSE)</f>
        <v>577</v>
      </c>
      <c r="AB474" s="25">
        <f>VLOOKUP(L474,Zones!$A$2:$F$2186,6,FALSE)</f>
        <v>1393</v>
      </c>
    </row>
    <row r="475" spans="2:28">
      <c r="B475" s="40">
        <v>0.37222222222222223</v>
      </c>
      <c r="C475" s="40" t="s">
        <v>356</v>
      </c>
      <c r="D475" s="41">
        <v>1</v>
      </c>
      <c r="E475" s="42">
        <v>4</v>
      </c>
      <c r="F475" s="42" t="s">
        <v>146</v>
      </c>
      <c r="G475" s="43" t="s">
        <v>154</v>
      </c>
      <c r="H475" s="42" t="s">
        <v>155</v>
      </c>
      <c r="I475" s="43">
        <v>1</v>
      </c>
      <c r="J475" s="43">
        <v>1</v>
      </c>
      <c r="K475" s="25" t="str">
        <f>VLOOKUP(J475,Key!$E$2:$F$9,2,FALSE)</f>
        <v>Home</v>
      </c>
      <c r="L475" s="42" t="s">
        <v>147</v>
      </c>
      <c r="M475" s="43" t="s">
        <v>154</v>
      </c>
      <c r="N475" s="42" t="s">
        <v>155</v>
      </c>
      <c r="O475" s="43">
        <v>10</v>
      </c>
      <c r="P475" s="43">
        <v>4</v>
      </c>
      <c r="Q475" s="25" t="str">
        <f>VLOOKUP(P475,Key!$E$2:$F$9,2,FALSE)</f>
        <v>Commercial</v>
      </c>
      <c r="R475" s="25" t="str">
        <f t="shared" si="9"/>
        <v>Home-Commercial</v>
      </c>
      <c r="S475" s="58">
        <v>5</v>
      </c>
      <c r="T475" s="58">
        <v>0.3</v>
      </c>
      <c r="U475" s="43">
        <v>1</v>
      </c>
      <c r="V475" s="43"/>
      <c r="W475" s="58"/>
      <c r="X475" s="58"/>
      <c r="Y475" s="59" t="s">
        <v>156</v>
      </c>
      <c r="Z475" s="60">
        <v>1000</v>
      </c>
      <c r="AA475" s="25">
        <f>VLOOKUP(F475,Zones!$A$2:$F$2186,6,FALSE)</f>
        <v>1393</v>
      </c>
      <c r="AB475" s="25">
        <f>VLOOKUP(L475,Zones!$A$2:$F$2186,6,FALSE)</f>
        <v>1402</v>
      </c>
    </row>
    <row r="476" spans="2:28">
      <c r="B476" s="40">
        <v>0.3659722222222222</v>
      </c>
      <c r="C476" s="40" t="s">
        <v>357</v>
      </c>
      <c r="D476" s="41">
        <v>8</v>
      </c>
      <c r="E476" s="42">
        <v>1</v>
      </c>
      <c r="F476" s="42" t="s">
        <v>146</v>
      </c>
      <c r="G476" s="43" t="s">
        <v>154</v>
      </c>
      <c r="H476" s="42" t="s">
        <v>155</v>
      </c>
      <c r="I476" s="43">
        <v>16</v>
      </c>
      <c r="J476" s="43">
        <v>8</v>
      </c>
      <c r="K476" s="25" t="str">
        <f>VLOOKUP(J476,Key!$E$2:$F$9,2,FALSE)</f>
        <v>Others</v>
      </c>
      <c r="L476" s="42" t="s">
        <v>168</v>
      </c>
      <c r="M476" s="43" t="s">
        <v>154</v>
      </c>
      <c r="N476" s="42" t="s">
        <v>155</v>
      </c>
      <c r="O476" s="43">
        <v>16</v>
      </c>
      <c r="P476" s="43">
        <v>8</v>
      </c>
      <c r="Q476" s="25" t="str">
        <f>VLOOKUP(P476,Key!$E$2:$F$9,2,FALSE)</f>
        <v>Others</v>
      </c>
      <c r="R476" s="25" t="str">
        <f t="shared" si="9"/>
        <v>Others-Others</v>
      </c>
      <c r="S476" s="58">
        <v>2</v>
      </c>
      <c r="T476" s="58">
        <v>0.1</v>
      </c>
      <c r="U476" s="43">
        <v>2</v>
      </c>
      <c r="V476" s="43"/>
      <c r="W476" s="58"/>
      <c r="X476" s="58"/>
      <c r="Y476" s="59" t="s">
        <v>156</v>
      </c>
      <c r="Z476" s="60">
        <v>3000</v>
      </c>
      <c r="AA476" s="25">
        <f>VLOOKUP(F476,Zones!$A$2:$F$2186,6,FALSE)</f>
        <v>1393</v>
      </c>
      <c r="AB476" s="25">
        <f>VLOOKUP(L476,Zones!$A$2:$F$2186,6,FALSE)</f>
        <v>1393</v>
      </c>
    </row>
    <row r="477" spans="2:28">
      <c r="B477" s="40">
        <v>0.3743055555555555</v>
      </c>
      <c r="C477" s="40" t="s">
        <v>358</v>
      </c>
      <c r="D477" s="41">
        <v>1</v>
      </c>
      <c r="E477" s="42">
        <v>1</v>
      </c>
      <c r="F477" s="42" t="s">
        <v>319</v>
      </c>
      <c r="G477" s="43" t="s">
        <v>154</v>
      </c>
      <c r="H477" s="42" t="s">
        <v>155</v>
      </c>
      <c r="I477" s="43">
        <v>1</v>
      </c>
      <c r="J477" s="43">
        <v>1</v>
      </c>
      <c r="K477" s="25" t="str">
        <f>VLOOKUP(J477,Key!$E$2:$F$9,2,FALSE)</f>
        <v>Home</v>
      </c>
      <c r="L477" s="42" t="s">
        <v>245</v>
      </c>
      <c r="M477" s="43" t="s">
        <v>154</v>
      </c>
      <c r="N477" s="42" t="s">
        <v>155</v>
      </c>
      <c r="O477" s="43">
        <v>9</v>
      </c>
      <c r="P477" s="43">
        <v>4</v>
      </c>
      <c r="Q477" s="25" t="str">
        <f>VLOOKUP(P477,Key!$E$2:$F$9,2,FALSE)</f>
        <v>Commercial</v>
      </c>
      <c r="R477" s="25" t="str">
        <f t="shared" si="9"/>
        <v>Home-Commercial</v>
      </c>
      <c r="S477" s="58">
        <v>10</v>
      </c>
      <c r="T477" s="58">
        <v>1</v>
      </c>
      <c r="U477" s="43">
        <v>2</v>
      </c>
      <c r="V477" s="43"/>
      <c r="W477" s="58"/>
      <c r="X477" s="58"/>
      <c r="Y477" s="59" t="s">
        <v>156</v>
      </c>
      <c r="Z477" s="60">
        <v>2000</v>
      </c>
      <c r="AA477" s="25">
        <f>VLOOKUP(F477,Zones!$A$2:$F$2186,6,FALSE)</f>
        <v>1405</v>
      </c>
      <c r="AB477" s="25">
        <f>VLOOKUP(L477,Zones!$A$2:$F$2186,6,FALSE)</f>
        <v>1402</v>
      </c>
    </row>
    <row r="478" spans="2:28">
      <c r="B478" s="40">
        <v>0.3527777777777778</v>
      </c>
      <c r="C478" s="40" t="s">
        <v>359</v>
      </c>
      <c r="D478" s="41">
        <v>1</v>
      </c>
      <c r="E478" s="42">
        <v>1</v>
      </c>
      <c r="F478" s="42" t="s">
        <v>226</v>
      </c>
      <c r="G478" s="43" t="s">
        <v>154</v>
      </c>
      <c r="H478" s="42" t="s">
        <v>155</v>
      </c>
      <c r="I478" s="43">
        <v>1</v>
      </c>
      <c r="J478" s="43">
        <v>1</v>
      </c>
      <c r="K478" s="25" t="str">
        <f>VLOOKUP(J478,Key!$E$2:$F$9,2,FALSE)</f>
        <v>Home</v>
      </c>
      <c r="L478" s="42" t="s">
        <v>360</v>
      </c>
      <c r="M478" s="43" t="s">
        <v>154</v>
      </c>
      <c r="N478" s="42" t="s">
        <v>155</v>
      </c>
      <c r="O478" s="43">
        <v>4</v>
      </c>
      <c r="P478" s="43">
        <v>4</v>
      </c>
      <c r="Q478" s="25" t="str">
        <f>VLOOKUP(P478,Key!$E$2:$F$9,2,FALSE)</f>
        <v>Commercial</v>
      </c>
      <c r="R478" s="25" t="str">
        <f t="shared" si="9"/>
        <v>Home-Commercial</v>
      </c>
      <c r="S478" s="58"/>
      <c r="T478" s="58">
        <v>0.7</v>
      </c>
      <c r="U478" s="43">
        <v>6</v>
      </c>
      <c r="V478" s="43"/>
      <c r="W478" s="58"/>
      <c r="X478" s="58"/>
      <c r="Y478" s="59"/>
      <c r="Z478" s="60"/>
      <c r="AA478" s="25">
        <f>VLOOKUP(F478,Zones!$A$2:$F$2186,6,FALSE)</f>
        <v>811</v>
      </c>
      <c r="AB478" s="25">
        <f>VLOOKUP(L478,Zones!$A$2:$F$2186,6,FALSE)</f>
        <v>1407</v>
      </c>
    </row>
    <row r="479" spans="2:28">
      <c r="B479" s="40">
        <v>0.34930555555555554</v>
      </c>
      <c r="C479" s="40" t="s">
        <v>361</v>
      </c>
      <c r="D479" s="41">
        <v>7</v>
      </c>
      <c r="E479" s="42">
        <v>1</v>
      </c>
      <c r="F479" s="42" t="s">
        <v>146</v>
      </c>
      <c r="G479" s="43" t="s">
        <v>154</v>
      </c>
      <c r="H479" s="42" t="s">
        <v>155</v>
      </c>
      <c r="I479" s="43">
        <v>1</v>
      </c>
      <c r="J479" s="43">
        <v>1</v>
      </c>
      <c r="K479" s="25" t="str">
        <f>VLOOKUP(J479,Key!$E$2:$F$9,2,FALSE)</f>
        <v>Home</v>
      </c>
      <c r="L479" s="42" t="s">
        <v>147</v>
      </c>
      <c r="M479" s="43" t="s">
        <v>154</v>
      </c>
      <c r="N479" s="42" t="s">
        <v>155</v>
      </c>
      <c r="O479" s="43">
        <v>13</v>
      </c>
      <c r="P479" s="43">
        <v>4</v>
      </c>
      <c r="Q479" s="25" t="str">
        <f>VLOOKUP(P479,Key!$E$2:$F$9,2,FALSE)</f>
        <v>Commercial</v>
      </c>
      <c r="R479" s="25" t="str">
        <f t="shared" si="9"/>
        <v>Home-Commercial</v>
      </c>
      <c r="S479" s="58">
        <v>4</v>
      </c>
      <c r="T479" s="58">
        <v>0.3</v>
      </c>
      <c r="U479" s="43">
        <v>1</v>
      </c>
      <c r="V479" s="43"/>
      <c r="W479" s="58"/>
      <c r="X479" s="58"/>
      <c r="Y479" s="59" t="s">
        <v>156</v>
      </c>
      <c r="Z479" s="60">
        <v>2000</v>
      </c>
      <c r="AA479" s="25">
        <f>VLOOKUP(F479,Zones!$A$2:$F$2186,6,FALSE)</f>
        <v>1393</v>
      </c>
      <c r="AB479" s="25">
        <f>VLOOKUP(L479,Zones!$A$2:$F$2186,6,FALSE)</f>
        <v>1402</v>
      </c>
    </row>
    <row r="480" spans="2:28">
      <c r="B480" s="40">
        <v>0.7680555555555556</v>
      </c>
      <c r="C480" s="40" t="s">
        <v>362</v>
      </c>
      <c r="D480" s="41">
        <v>1</v>
      </c>
      <c r="E480" s="42">
        <v>2</v>
      </c>
      <c r="F480" s="42" t="s">
        <v>363</v>
      </c>
      <c r="G480" s="43" t="s">
        <v>159</v>
      </c>
      <c r="H480" s="42" t="s">
        <v>155</v>
      </c>
      <c r="I480" s="43">
        <v>2</v>
      </c>
      <c r="J480" s="43">
        <v>2</v>
      </c>
      <c r="K480" s="25" t="str">
        <f>VLOOKUP(J480,Key!$E$2:$F$9,2,FALSE)</f>
        <v>Work</v>
      </c>
      <c r="L480" s="42" t="s">
        <v>364</v>
      </c>
      <c r="M480" s="43" t="s">
        <v>154</v>
      </c>
      <c r="N480" s="42" t="s">
        <v>155</v>
      </c>
      <c r="O480" s="43">
        <v>1</v>
      </c>
      <c r="P480" s="43">
        <v>1</v>
      </c>
      <c r="Q480" s="25" t="str">
        <f>VLOOKUP(P480,Key!$E$2:$F$9,2,FALSE)</f>
        <v>Home</v>
      </c>
      <c r="R480" s="25" t="str">
        <f t="shared" si="9"/>
        <v>Work-Home</v>
      </c>
      <c r="S480" s="58">
        <v>17</v>
      </c>
      <c r="T480" s="58">
        <v>1</v>
      </c>
      <c r="U480" s="43">
        <v>2</v>
      </c>
      <c r="V480" s="43"/>
      <c r="W480" s="58"/>
      <c r="X480" s="58"/>
      <c r="Y480" s="59" t="s">
        <v>156</v>
      </c>
      <c r="Z480" s="60">
        <v>1000</v>
      </c>
      <c r="AA480" s="25">
        <f>VLOOKUP(F480,Zones!$A$2:$F$2186,6,FALSE)</f>
        <v>583</v>
      </c>
      <c r="AB480" s="25">
        <f>VLOOKUP(L480,Zones!$A$2:$F$2186,6,FALSE)</f>
        <v>1408</v>
      </c>
    </row>
    <row r="481" spans="2:28">
      <c r="B481" s="40">
        <v>0.75902777777777775</v>
      </c>
      <c r="C481" s="40" t="s">
        <v>365</v>
      </c>
      <c r="D481" s="41">
        <v>1</v>
      </c>
      <c r="E481" s="42">
        <v>2</v>
      </c>
      <c r="F481" s="42" t="s">
        <v>366</v>
      </c>
      <c r="G481" s="43" t="s">
        <v>159</v>
      </c>
      <c r="H481" s="42" t="s">
        <v>155</v>
      </c>
      <c r="I481" s="43">
        <v>2</v>
      </c>
      <c r="J481" s="43">
        <v>2</v>
      </c>
      <c r="K481" s="25" t="str">
        <f>VLOOKUP(J481,Key!$E$2:$F$9,2,FALSE)</f>
        <v>Work</v>
      </c>
      <c r="L481" s="42" t="s">
        <v>147</v>
      </c>
      <c r="M481" s="43" t="s">
        <v>154</v>
      </c>
      <c r="N481" s="42" t="s">
        <v>155</v>
      </c>
      <c r="O481" s="43">
        <v>1</v>
      </c>
      <c r="P481" s="43">
        <v>1</v>
      </c>
      <c r="Q481" s="25" t="str">
        <f>VLOOKUP(P481,Key!$E$2:$F$9,2,FALSE)</f>
        <v>Home</v>
      </c>
      <c r="R481" s="25" t="str">
        <f t="shared" si="9"/>
        <v>Work-Home</v>
      </c>
      <c r="S481" s="58"/>
      <c r="T481" s="58">
        <v>1</v>
      </c>
      <c r="U481" s="43">
        <v>2</v>
      </c>
      <c r="V481" s="43"/>
      <c r="W481" s="58"/>
      <c r="X481" s="58"/>
      <c r="Y481" s="59" t="s">
        <v>156</v>
      </c>
      <c r="Z481" s="60">
        <v>1000</v>
      </c>
      <c r="AA481" s="25">
        <f>VLOOKUP(F481,Zones!$A$2:$F$2186,6,FALSE)</f>
        <v>528</v>
      </c>
      <c r="AB481" s="25">
        <f>VLOOKUP(L481,Zones!$A$2:$F$2186,6,FALSE)</f>
        <v>1402</v>
      </c>
    </row>
    <row r="482" spans="2:28">
      <c r="B482" s="40">
        <v>0.75208333333333333</v>
      </c>
      <c r="C482" s="40" t="s">
        <v>367</v>
      </c>
      <c r="D482" s="41">
        <v>1</v>
      </c>
      <c r="E482" s="42">
        <v>7</v>
      </c>
      <c r="F482" s="42" t="s">
        <v>319</v>
      </c>
      <c r="G482" s="43" t="s">
        <v>154</v>
      </c>
      <c r="H482" s="42" t="s">
        <v>155</v>
      </c>
      <c r="I482" s="43">
        <v>1</v>
      </c>
      <c r="J482" s="43">
        <v>1</v>
      </c>
      <c r="K482" s="25" t="str">
        <f>VLOOKUP(J482,Key!$E$2:$F$9,2,FALSE)</f>
        <v>Home</v>
      </c>
      <c r="L482" s="42" t="s">
        <v>147</v>
      </c>
      <c r="M482" s="43" t="s">
        <v>154</v>
      </c>
      <c r="N482" s="42" t="s">
        <v>155</v>
      </c>
      <c r="O482" s="43">
        <v>1</v>
      </c>
      <c r="P482" s="43">
        <v>1</v>
      </c>
      <c r="Q482" s="25" t="str">
        <f>VLOOKUP(P482,Key!$E$2:$F$9,2,FALSE)</f>
        <v>Home</v>
      </c>
      <c r="R482" s="25" t="str">
        <f t="shared" si="9"/>
        <v>Home-Home</v>
      </c>
      <c r="S482" s="58">
        <v>12</v>
      </c>
      <c r="T482" s="58">
        <v>0.3</v>
      </c>
      <c r="U482" s="43">
        <v>2</v>
      </c>
      <c r="V482" s="43"/>
      <c r="W482" s="58"/>
      <c r="X482" s="58"/>
      <c r="Y482" s="59" t="s">
        <v>156</v>
      </c>
      <c r="Z482" s="60">
        <v>1000</v>
      </c>
      <c r="AA482" s="25">
        <f>VLOOKUP(F482,Zones!$A$2:$F$2186,6,FALSE)</f>
        <v>1405</v>
      </c>
      <c r="AB482" s="25">
        <f>VLOOKUP(L482,Zones!$A$2:$F$2186,6,FALSE)</f>
        <v>1402</v>
      </c>
    </row>
    <row r="483" spans="2:28">
      <c r="B483" s="40">
        <v>0.75624999999999998</v>
      </c>
      <c r="C483" s="40" t="s">
        <v>369</v>
      </c>
      <c r="D483" s="41">
        <v>1</v>
      </c>
      <c r="E483" s="42">
        <v>2</v>
      </c>
      <c r="F483" s="42" t="s">
        <v>292</v>
      </c>
      <c r="G483" s="43" t="s">
        <v>154</v>
      </c>
      <c r="H483" s="42" t="s">
        <v>155</v>
      </c>
      <c r="I483" s="43">
        <v>4</v>
      </c>
      <c r="J483" s="43">
        <v>4</v>
      </c>
      <c r="K483" s="25" t="str">
        <f>VLOOKUP(J483,Key!$E$2:$F$9,2,FALSE)</f>
        <v>Commercial</v>
      </c>
      <c r="L483" s="42" t="s">
        <v>245</v>
      </c>
      <c r="M483" s="43" t="s">
        <v>154</v>
      </c>
      <c r="N483" s="42" t="s">
        <v>155</v>
      </c>
      <c r="O483" s="43">
        <v>1</v>
      </c>
      <c r="P483" s="43">
        <v>1</v>
      </c>
      <c r="Q483" s="25" t="str">
        <f>VLOOKUP(P483,Key!$E$2:$F$9,2,FALSE)</f>
        <v>Home</v>
      </c>
      <c r="R483" s="25" t="str">
        <f t="shared" si="9"/>
        <v>Commercial-Home</v>
      </c>
      <c r="S483" s="58">
        <v>10</v>
      </c>
      <c r="T483" s="58">
        <v>0.7</v>
      </c>
      <c r="U483" s="43">
        <v>1</v>
      </c>
      <c r="V483" s="43"/>
      <c r="W483" s="58"/>
      <c r="X483" s="58"/>
      <c r="Y483" s="59" t="s">
        <v>156</v>
      </c>
      <c r="Z483" s="60">
        <v>1000</v>
      </c>
      <c r="AA483" s="25">
        <f>VLOOKUP(F483,Zones!$A$2:$F$2186,6,FALSE)</f>
        <v>1405</v>
      </c>
      <c r="AB483" s="25">
        <f>VLOOKUP(L483,Zones!$A$2:$F$2186,6,FALSE)</f>
        <v>1402</v>
      </c>
    </row>
    <row r="484" spans="2:28">
      <c r="B484" s="40">
        <v>0.75</v>
      </c>
      <c r="C484" s="40" t="s">
        <v>370</v>
      </c>
      <c r="D484" s="41">
        <v>1</v>
      </c>
      <c r="E484" s="42">
        <v>4</v>
      </c>
      <c r="F484" s="42" t="s">
        <v>371</v>
      </c>
      <c r="G484" s="43" t="s">
        <v>159</v>
      </c>
      <c r="H484" s="42" t="s">
        <v>155</v>
      </c>
      <c r="I484" s="43">
        <v>4</v>
      </c>
      <c r="J484" s="43">
        <v>3</v>
      </c>
      <c r="K484" s="25" t="str">
        <f>VLOOKUP(J484,Key!$E$2:$F$9,2,FALSE)</f>
        <v>Study</v>
      </c>
      <c r="L484" s="42" t="s">
        <v>659</v>
      </c>
      <c r="M484" s="43" t="s">
        <v>154</v>
      </c>
      <c r="N484" s="42" t="s">
        <v>155</v>
      </c>
      <c r="O484" s="43">
        <v>1</v>
      </c>
      <c r="P484" s="43">
        <v>1</v>
      </c>
      <c r="Q484" s="25" t="str">
        <f>VLOOKUP(P484,Key!$E$2:$F$9,2,FALSE)</f>
        <v>Home</v>
      </c>
      <c r="R484" s="25" t="str">
        <f t="shared" si="9"/>
        <v>Study-Home</v>
      </c>
      <c r="S484" s="58">
        <v>5</v>
      </c>
      <c r="T484" s="58">
        <v>0.2</v>
      </c>
      <c r="U484" s="43">
        <v>2</v>
      </c>
      <c r="V484" s="43"/>
      <c r="W484" s="58"/>
      <c r="X484" s="58"/>
      <c r="Y484" s="59" t="s">
        <v>156</v>
      </c>
      <c r="Z484" s="60">
        <v>1000</v>
      </c>
      <c r="AA484" s="25">
        <f>VLOOKUP(F484,Zones!$A$2:$F$2186,6,FALSE)</f>
        <v>577</v>
      </c>
      <c r="AB484" s="25">
        <f>VLOOKUP(L484,Zones!$A$2:$F$2186,6,FALSE)</f>
        <v>542</v>
      </c>
    </row>
    <row r="485" spans="2:28">
      <c r="B485" s="40">
        <v>0.74722222222222223</v>
      </c>
      <c r="C485" s="40" t="s">
        <v>373</v>
      </c>
      <c r="D485" s="41">
        <v>1</v>
      </c>
      <c r="E485" s="42">
        <v>3</v>
      </c>
      <c r="F485" s="42" t="s">
        <v>295</v>
      </c>
      <c r="G485" s="43" t="s">
        <v>154</v>
      </c>
      <c r="H485" s="42" t="s">
        <v>155</v>
      </c>
      <c r="I485" s="43">
        <v>2</v>
      </c>
      <c r="J485" s="43">
        <v>2</v>
      </c>
      <c r="K485" s="25" t="str">
        <f>VLOOKUP(J485,Key!$E$2:$F$9,2,FALSE)</f>
        <v>Work</v>
      </c>
      <c r="L485" s="42" t="s">
        <v>147</v>
      </c>
      <c r="M485" s="43" t="s">
        <v>154</v>
      </c>
      <c r="N485" s="42" t="s">
        <v>155</v>
      </c>
      <c r="O485" s="43">
        <v>1</v>
      </c>
      <c r="P485" s="43">
        <v>1</v>
      </c>
      <c r="Q485" s="25" t="str">
        <f>VLOOKUP(P485,Key!$E$2:$F$9,2,FALSE)</f>
        <v>Home</v>
      </c>
      <c r="R485" s="25" t="str">
        <f t="shared" si="9"/>
        <v>Work-Home</v>
      </c>
      <c r="S485" s="58">
        <v>20</v>
      </c>
      <c r="T485" s="58">
        <v>0.7</v>
      </c>
      <c r="U485" s="43">
        <v>2</v>
      </c>
      <c r="V485" s="43"/>
      <c r="W485" s="58"/>
      <c r="X485" s="58"/>
      <c r="Y485" s="59" t="s">
        <v>156</v>
      </c>
      <c r="Z485" s="60">
        <v>5000</v>
      </c>
      <c r="AA485" s="25">
        <f>VLOOKUP(F485,Zones!$A$2:$F$2186,6,FALSE)</f>
        <v>1405</v>
      </c>
      <c r="AB485" s="25">
        <f>VLOOKUP(L485,Zones!$A$2:$F$2186,6,FALSE)</f>
        <v>1402</v>
      </c>
    </row>
    <row r="486" spans="2:28">
      <c r="B486" s="40">
        <v>0.74375000000000002</v>
      </c>
      <c r="C486" s="40" t="s">
        <v>374</v>
      </c>
      <c r="D486" s="41">
        <v>1</v>
      </c>
      <c r="E486" s="42">
        <v>2</v>
      </c>
      <c r="F486" s="42" t="s">
        <v>375</v>
      </c>
      <c r="G486" s="43" t="s">
        <v>154</v>
      </c>
      <c r="H486" s="42" t="s">
        <v>155</v>
      </c>
      <c r="I486" s="43">
        <v>2</v>
      </c>
      <c r="J486" s="43">
        <v>2</v>
      </c>
      <c r="K486" s="25" t="str">
        <f>VLOOKUP(J486,Key!$E$2:$F$9,2,FALSE)</f>
        <v>Work</v>
      </c>
      <c r="L486" s="42" t="s">
        <v>376</v>
      </c>
      <c r="M486" s="43" t="s">
        <v>154</v>
      </c>
      <c r="N486" s="42" t="s">
        <v>155</v>
      </c>
      <c r="O486" s="43">
        <v>1</v>
      </c>
      <c r="P486" s="43">
        <v>1</v>
      </c>
      <c r="Q486" s="25" t="str">
        <f>VLOOKUP(P486,Key!$E$2:$F$9,2,FALSE)</f>
        <v>Home</v>
      </c>
      <c r="R486" s="25" t="str">
        <f t="shared" si="9"/>
        <v>Work-Home</v>
      </c>
      <c r="S486" s="58">
        <v>26</v>
      </c>
      <c r="T486" s="58">
        <v>0.7</v>
      </c>
      <c r="U486" s="43">
        <v>2</v>
      </c>
      <c r="V486" s="43"/>
      <c r="W486" s="58"/>
      <c r="X486" s="58"/>
      <c r="Y486" s="59" t="s">
        <v>156</v>
      </c>
      <c r="Z486" s="60">
        <v>2000</v>
      </c>
      <c r="AA486" s="25">
        <f>VLOOKUP(F486,Zones!$A$2:$F$2186,6,FALSE)</f>
        <v>811</v>
      </c>
      <c r="AB486" s="25">
        <f>VLOOKUP(L486,Zones!$A$2:$F$2186,6,FALSE)</f>
        <v>1393</v>
      </c>
    </row>
    <row r="487" spans="2:28">
      <c r="B487" s="40">
        <v>0.7416666666666667</v>
      </c>
      <c r="C487" s="40" t="s">
        <v>377</v>
      </c>
      <c r="D487" s="41">
        <v>1</v>
      </c>
      <c r="E487" s="42">
        <v>7</v>
      </c>
      <c r="F487" s="42" t="s">
        <v>378</v>
      </c>
      <c r="G487" s="43" t="s">
        <v>154</v>
      </c>
      <c r="H487" s="42" t="s">
        <v>155</v>
      </c>
      <c r="I487" s="43">
        <v>1</v>
      </c>
      <c r="J487" s="43">
        <v>1</v>
      </c>
      <c r="K487" s="25" t="str">
        <f>VLOOKUP(J487,Key!$E$2:$F$9,2,FALSE)</f>
        <v>Home</v>
      </c>
      <c r="L487" s="42" t="s">
        <v>379</v>
      </c>
      <c r="M487" s="43" t="s">
        <v>380</v>
      </c>
      <c r="N487" s="42" t="s">
        <v>155</v>
      </c>
      <c r="O487" s="43">
        <v>1</v>
      </c>
      <c r="P487" s="43">
        <v>1</v>
      </c>
      <c r="Q487" s="25" t="str">
        <f>VLOOKUP(P487,Key!$E$2:$F$9,2,FALSE)</f>
        <v>Home</v>
      </c>
      <c r="R487" s="25" t="str">
        <f t="shared" si="9"/>
        <v>Home-Home</v>
      </c>
      <c r="S487" s="58"/>
      <c r="T487" s="58">
        <v>2</v>
      </c>
      <c r="U487" s="43">
        <v>5</v>
      </c>
      <c r="V487" s="43"/>
      <c r="W487" s="58"/>
      <c r="X487" s="58"/>
      <c r="Y487" s="59" t="s">
        <v>156</v>
      </c>
      <c r="Z487" s="60">
        <v>1000</v>
      </c>
      <c r="AA487" s="25">
        <f>VLOOKUP(F487,Zones!$A$2:$F$2186,6,FALSE)</f>
        <v>811</v>
      </c>
      <c r="AB487" s="25">
        <f>VLOOKUP(L487,Zones!$A$2:$F$2186,6,FALSE)</f>
        <v>1390</v>
      </c>
    </row>
    <row r="488" spans="2:28">
      <c r="B488" s="40">
        <v>0.73472222222222217</v>
      </c>
      <c r="C488" s="40" t="s">
        <v>381</v>
      </c>
      <c r="D488" s="41">
        <v>1</v>
      </c>
      <c r="E488" s="42">
        <v>5</v>
      </c>
      <c r="F488" s="42" t="s">
        <v>382</v>
      </c>
      <c r="G488" s="43" t="s">
        <v>159</v>
      </c>
      <c r="H488" s="42" t="s">
        <v>155</v>
      </c>
      <c r="I488" s="43">
        <v>2</v>
      </c>
      <c r="J488" s="43">
        <v>4</v>
      </c>
      <c r="K488" s="25" t="str">
        <f>VLOOKUP(J488,Key!$E$2:$F$9,2,FALSE)</f>
        <v>Commercial</v>
      </c>
      <c r="L488" s="42" t="s">
        <v>168</v>
      </c>
      <c r="M488" s="43" t="s">
        <v>154</v>
      </c>
      <c r="N488" s="42" t="s">
        <v>155</v>
      </c>
      <c r="O488" s="43">
        <v>1</v>
      </c>
      <c r="P488" s="43">
        <v>1</v>
      </c>
      <c r="Q488" s="25" t="str">
        <f>VLOOKUP(P488,Key!$E$2:$F$9,2,FALSE)</f>
        <v>Home</v>
      </c>
      <c r="R488" s="25" t="str">
        <f t="shared" si="9"/>
        <v>Commercial-Home</v>
      </c>
      <c r="S488" s="58">
        <v>5</v>
      </c>
      <c r="T488" s="58">
        <v>1</v>
      </c>
      <c r="U488" s="43">
        <v>1</v>
      </c>
      <c r="V488" s="43"/>
      <c r="W488" s="58"/>
      <c r="X488" s="58"/>
      <c r="Y488" s="59" t="s">
        <v>156</v>
      </c>
      <c r="Z488" s="60">
        <v>1000</v>
      </c>
      <c r="AA488" s="25">
        <f>VLOOKUP(F488,Zones!$A$2:$F$2186,6,FALSE)</f>
        <v>559</v>
      </c>
      <c r="AB488" s="25">
        <f>VLOOKUP(L488,Zones!$A$2:$F$2186,6,FALSE)</f>
        <v>1393</v>
      </c>
    </row>
    <row r="489" spans="2:28">
      <c r="B489" s="40">
        <v>0.73125000000000007</v>
      </c>
      <c r="C489" s="40" t="s">
        <v>383</v>
      </c>
      <c r="D489" s="41">
        <v>1</v>
      </c>
      <c r="E489" s="42">
        <v>4</v>
      </c>
      <c r="F489" s="42" t="s">
        <v>184</v>
      </c>
      <c r="G489" s="43" t="s">
        <v>154</v>
      </c>
      <c r="H489" s="42" t="s">
        <v>155</v>
      </c>
      <c r="I489" s="43">
        <v>4</v>
      </c>
      <c r="J489" s="43">
        <v>1</v>
      </c>
      <c r="K489" s="25" t="str">
        <f>VLOOKUP(J489,Key!$E$2:$F$9,2,FALSE)</f>
        <v>Home</v>
      </c>
      <c r="L489" s="42" t="s">
        <v>659</v>
      </c>
      <c r="M489" s="43" t="s">
        <v>154</v>
      </c>
      <c r="N489" s="42" t="s">
        <v>155</v>
      </c>
      <c r="O489" s="43">
        <v>1</v>
      </c>
      <c r="P489" s="43">
        <v>1</v>
      </c>
      <c r="Q489" s="25" t="str">
        <f>VLOOKUP(P489,Key!$E$2:$F$9,2,FALSE)</f>
        <v>Home</v>
      </c>
      <c r="R489" s="25" t="str">
        <f t="shared" si="9"/>
        <v>Home-Home</v>
      </c>
      <c r="S489" s="58">
        <v>5</v>
      </c>
      <c r="T489" s="58">
        <v>0.5</v>
      </c>
      <c r="U489" s="43">
        <v>2</v>
      </c>
      <c r="V489" s="43"/>
      <c r="W489" s="58"/>
      <c r="X489" s="58"/>
      <c r="Y489" s="59" t="s">
        <v>156</v>
      </c>
      <c r="Z489" s="60">
        <v>1000</v>
      </c>
      <c r="AA489" s="25">
        <f>VLOOKUP(F489,Zones!$A$2:$F$2186,6,FALSE)</f>
        <v>811</v>
      </c>
      <c r="AB489" s="25">
        <f>VLOOKUP(L489,Zones!$A$2:$F$2186,6,FALSE)</f>
        <v>542</v>
      </c>
    </row>
    <row r="490" spans="2:28">
      <c r="B490" s="40">
        <v>0.72291666666666676</v>
      </c>
      <c r="C490" s="40" t="s">
        <v>384</v>
      </c>
      <c r="D490" s="41">
        <v>7</v>
      </c>
      <c r="E490" s="42">
        <v>5</v>
      </c>
      <c r="F490" s="42" t="s">
        <v>184</v>
      </c>
      <c r="G490" s="43" t="s">
        <v>154</v>
      </c>
      <c r="H490" s="42" t="s">
        <v>155</v>
      </c>
      <c r="I490" s="43">
        <v>16</v>
      </c>
      <c r="J490" s="43">
        <v>8</v>
      </c>
      <c r="K490" s="25" t="str">
        <f>VLOOKUP(J490,Key!$E$2:$F$9,2,FALSE)</f>
        <v>Others</v>
      </c>
      <c r="L490" s="42" t="s">
        <v>659</v>
      </c>
      <c r="M490" s="43" t="s">
        <v>154</v>
      </c>
      <c r="N490" s="42" t="s">
        <v>155</v>
      </c>
      <c r="O490" s="43">
        <v>16</v>
      </c>
      <c r="P490" s="43">
        <v>8</v>
      </c>
      <c r="Q490" s="25" t="str">
        <f>VLOOKUP(P490,Key!$E$2:$F$9,2,FALSE)</f>
        <v>Others</v>
      </c>
      <c r="R490" s="25" t="str">
        <f t="shared" si="9"/>
        <v>Others-Others</v>
      </c>
      <c r="S490" s="58">
        <v>4</v>
      </c>
      <c r="T490" s="58">
        <v>0.1</v>
      </c>
      <c r="U490" s="43">
        <v>1</v>
      </c>
      <c r="V490" s="43"/>
      <c r="W490" s="58"/>
      <c r="X490" s="58"/>
      <c r="Y490" s="59"/>
      <c r="Z490" s="60"/>
      <c r="AA490" s="25">
        <f>VLOOKUP(F490,Zones!$A$2:$F$2186,6,FALSE)</f>
        <v>811</v>
      </c>
      <c r="AB490" s="25">
        <f>VLOOKUP(L490,Zones!$A$2:$F$2186,6,FALSE)</f>
        <v>542</v>
      </c>
    </row>
    <row r="491" spans="2:28">
      <c r="B491" s="40">
        <v>0.72499999999999998</v>
      </c>
      <c r="C491" s="40" t="s">
        <v>386</v>
      </c>
      <c r="D491" s="41">
        <v>1</v>
      </c>
      <c r="E491" s="42">
        <v>6</v>
      </c>
      <c r="F491" s="42" t="s">
        <v>165</v>
      </c>
      <c r="G491" s="43" t="s">
        <v>159</v>
      </c>
      <c r="H491" s="42" t="s">
        <v>155</v>
      </c>
      <c r="I491" s="43">
        <v>4</v>
      </c>
      <c r="J491" s="43">
        <v>4</v>
      </c>
      <c r="K491" s="25" t="str">
        <f>VLOOKUP(J491,Key!$E$2:$F$9,2,FALSE)</f>
        <v>Commercial</v>
      </c>
      <c r="L491" s="42" t="s">
        <v>160</v>
      </c>
      <c r="M491" s="43" t="s">
        <v>154</v>
      </c>
      <c r="N491" s="42" t="s">
        <v>155</v>
      </c>
      <c r="O491" s="43">
        <v>1</v>
      </c>
      <c r="P491" s="43">
        <v>1</v>
      </c>
      <c r="Q491" s="25" t="str">
        <f>VLOOKUP(P491,Key!$E$2:$F$9,2,FALSE)</f>
        <v>Home</v>
      </c>
      <c r="R491" s="25" t="str">
        <f t="shared" si="9"/>
        <v>Commercial-Home</v>
      </c>
      <c r="S491" s="58"/>
      <c r="T491" s="58">
        <v>0.5</v>
      </c>
      <c r="U491" s="43">
        <v>1</v>
      </c>
      <c r="V491" s="43"/>
      <c r="W491" s="58"/>
      <c r="X491" s="58"/>
      <c r="Y491" s="59" t="s">
        <v>156</v>
      </c>
      <c r="Z491" s="60">
        <v>1000</v>
      </c>
      <c r="AA491" s="25">
        <f>VLOOKUP(F491,Zones!$A$2:$F$2186,6,FALSE)</f>
        <v>542</v>
      </c>
      <c r="AB491" s="25">
        <f>VLOOKUP(L491,Zones!$A$2:$F$2186,6,FALSE)</f>
        <v>1393</v>
      </c>
    </row>
    <row r="492" spans="2:28">
      <c r="B492" s="40">
        <v>0.47430555555555554</v>
      </c>
      <c r="C492" s="40" t="s">
        <v>387</v>
      </c>
      <c r="D492" s="41">
        <v>1</v>
      </c>
      <c r="E492" s="42">
        <v>4</v>
      </c>
      <c r="F492" s="42" t="s">
        <v>146</v>
      </c>
      <c r="G492" s="43" t="s">
        <v>154</v>
      </c>
      <c r="H492" s="42" t="s">
        <v>155</v>
      </c>
      <c r="I492" s="43">
        <v>1</v>
      </c>
      <c r="J492" s="43">
        <v>1</v>
      </c>
      <c r="K492" s="25" t="str">
        <f>VLOOKUP(J492,Key!$E$2:$F$9,2,FALSE)</f>
        <v>Home</v>
      </c>
      <c r="L492" s="42" t="s">
        <v>3277</v>
      </c>
      <c r="M492" s="43" t="s">
        <v>202</v>
      </c>
      <c r="N492" s="42" t="s">
        <v>155</v>
      </c>
      <c r="O492" s="43">
        <v>9</v>
      </c>
      <c r="P492" s="43">
        <v>2</v>
      </c>
      <c r="Q492" s="25" t="str">
        <f>VLOOKUP(P492,Key!$E$2:$F$9,2,FALSE)</f>
        <v>Work</v>
      </c>
      <c r="R492" s="25" t="str">
        <f t="shared" si="9"/>
        <v>Home-Work</v>
      </c>
      <c r="S492" s="58"/>
      <c r="T492" s="58">
        <v>0.5</v>
      </c>
      <c r="U492" s="43">
        <v>3</v>
      </c>
      <c r="V492" s="43"/>
      <c r="W492" s="58"/>
      <c r="X492" s="58"/>
      <c r="Y492" s="59" t="s">
        <v>156</v>
      </c>
      <c r="Z492" s="60">
        <v>1000</v>
      </c>
      <c r="AA492" s="25">
        <f>VLOOKUP(F492,Zones!$A$2:$F$2186,6,FALSE)</f>
        <v>1393</v>
      </c>
      <c r="AB492" s="25">
        <f>VLOOKUP(L492,Zones!$A$2:$F$2186,6,FALSE)</f>
        <v>888</v>
      </c>
    </row>
    <row r="493" spans="2:28">
      <c r="B493" s="40">
        <v>0.48055555555555557</v>
      </c>
      <c r="C493" s="40" t="s">
        <v>389</v>
      </c>
      <c r="D493" s="41">
        <v>1</v>
      </c>
      <c r="E493" s="42">
        <v>2</v>
      </c>
      <c r="F493" s="42" t="s">
        <v>187</v>
      </c>
      <c r="G493" s="43" t="s">
        <v>163</v>
      </c>
      <c r="H493" s="42" t="s">
        <v>155</v>
      </c>
      <c r="I493" s="43">
        <v>1</v>
      </c>
      <c r="J493" s="43">
        <v>1</v>
      </c>
      <c r="K493" s="25" t="str">
        <f>VLOOKUP(J493,Key!$E$2:$F$9,2,FALSE)</f>
        <v>Home</v>
      </c>
      <c r="L493" s="42" t="s">
        <v>192</v>
      </c>
      <c r="M493" s="43" t="s">
        <v>202</v>
      </c>
      <c r="N493" s="42" t="s">
        <v>155</v>
      </c>
      <c r="O493" s="43">
        <v>1</v>
      </c>
      <c r="P493" s="43">
        <v>1</v>
      </c>
      <c r="Q493" s="25" t="str">
        <f>VLOOKUP(P493,Key!$E$2:$F$9,2,FALSE)</f>
        <v>Home</v>
      </c>
      <c r="R493" s="25" t="str">
        <f t="shared" si="9"/>
        <v>Home-Home</v>
      </c>
      <c r="S493" s="58"/>
      <c r="T493" s="58">
        <v>1.5</v>
      </c>
      <c r="U493" s="43">
        <v>5</v>
      </c>
      <c r="V493" s="43"/>
      <c r="W493" s="58"/>
      <c r="X493" s="58"/>
      <c r="Y493" s="59" t="s">
        <v>156</v>
      </c>
      <c r="Z493" s="60">
        <v>1000</v>
      </c>
      <c r="AA493" s="25">
        <f>VLOOKUP(F493,Zones!$A$2:$F$2186,6,FALSE)</f>
        <v>1064</v>
      </c>
      <c r="AB493" s="25">
        <f>VLOOKUP(L493,Zones!$A$2:$F$2186,6,FALSE)</f>
        <v>881</v>
      </c>
    </row>
  </sheetData>
  <mergeCells count="25">
    <mergeCell ref="Z7:Z8"/>
    <mergeCell ref="AA7:AA8"/>
    <mergeCell ref="AB7:AB8"/>
    <mergeCell ref="R7:R8"/>
    <mergeCell ref="S7:S8"/>
    <mergeCell ref="T7:T8"/>
    <mergeCell ref="U7:U8"/>
    <mergeCell ref="V7:X7"/>
    <mergeCell ref="Y7:Y8"/>
    <mergeCell ref="Q7:Q8"/>
    <mergeCell ref="B1:AB1"/>
    <mergeCell ref="B2:AB2"/>
    <mergeCell ref="F4:G4"/>
    <mergeCell ref="O4:T4"/>
    <mergeCell ref="B7:B8"/>
    <mergeCell ref="C7:C8"/>
    <mergeCell ref="D7:D8"/>
    <mergeCell ref="E7:E8"/>
    <mergeCell ref="F7:H7"/>
    <mergeCell ref="I7:I8"/>
    <mergeCell ref="J7:J8"/>
    <mergeCell ref="K7:K8"/>
    <mergeCell ref="L7:N7"/>
    <mergeCell ref="O7:O8"/>
    <mergeCell ref="P7:P8"/>
  </mergeCells>
  <pageMargins left="0.2" right="0.2" top="0.15" bottom="0.15" header="0.05" footer="0.05"/>
  <pageSetup paperSize="9" scale="50" orientation="landscape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F2186"/>
  <sheetViews>
    <sheetView topLeftCell="A1997" workbookViewId="0">
      <selection activeCell="D2175" sqref="D2175"/>
    </sheetView>
  </sheetViews>
  <sheetFormatPr defaultRowHeight="15"/>
  <cols>
    <col min="1" max="1" width="23.28515625" style="95" customWidth="1"/>
    <col min="2" max="2" width="17.85546875" style="95" customWidth="1"/>
    <col min="3" max="3" width="15" style="95" customWidth="1"/>
    <col min="4" max="4" width="19.42578125" style="95" customWidth="1"/>
    <col min="5" max="5" width="17.7109375" style="95" customWidth="1"/>
    <col min="6" max="6" width="9.140625" style="95"/>
    <col min="7" max="7" width="35.42578125" style="95" customWidth="1"/>
    <col min="8" max="16384" width="9.140625" style="95"/>
  </cols>
  <sheetData>
    <row r="1" spans="1:6">
      <c r="A1" s="93" t="s">
        <v>849</v>
      </c>
      <c r="B1" s="93" t="s">
        <v>850</v>
      </c>
      <c r="C1" s="93" t="s">
        <v>851</v>
      </c>
      <c r="D1" s="93" t="s">
        <v>852</v>
      </c>
      <c r="E1" s="93" t="s">
        <v>853</v>
      </c>
      <c r="F1" s="94" t="s">
        <v>854</v>
      </c>
    </row>
    <row r="2" spans="1:6">
      <c r="A2" s="95" t="s">
        <v>855</v>
      </c>
      <c r="B2" s="95" t="s">
        <v>855</v>
      </c>
      <c r="C2" s="95" t="s">
        <v>856</v>
      </c>
      <c r="D2" s="95" t="str">
        <f>A2</f>
        <v>Abim</v>
      </c>
      <c r="F2" s="95">
        <v>1</v>
      </c>
    </row>
    <row r="3" spans="1:6">
      <c r="A3" s="95" t="s">
        <v>857</v>
      </c>
      <c r="B3" s="95" t="s">
        <v>855</v>
      </c>
      <c r="C3" s="95" t="s">
        <v>856</v>
      </c>
      <c r="D3" s="95" t="str">
        <f t="shared" ref="D3:D66" si="0">A3</f>
        <v>Abim Town Council</v>
      </c>
      <c r="F3" s="95">
        <v>2</v>
      </c>
    </row>
    <row r="4" spans="1:6">
      <c r="A4" s="95" t="s">
        <v>858</v>
      </c>
      <c r="B4" s="95" t="s">
        <v>855</v>
      </c>
      <c r="C4" s="95" t="s">
        <v>856</v>
      </c>
      <c r="D4" s="95" t="str">
        <f t="shared" si="0"/>
        <v>Alerek</v>
      </c>
      <c r="F4" s="95">
        <v>3</v>
      </c>
    </row>
    <row r="5" spans="1:6">
      <c r="A5" s="95" t="s">
        <v>859</v>
      </c>
      <c r="B5" s="95" t="s">
        <v>855</v>
      </c>
      <c r="C5" s="95" t="s">
        <v>856</v>
      </c>
      <c r="D5" s="95" t="str">
        <f t="shared" si="0"/>
        <v>Lotukei</v>
      </c>
      <c r="F5" s="95">
        <v>4</v>
      </c>
    </row>
    <row r="6" spans="1:6">
      <c r="A6" s="95" t="s">
        <v>860</v>
      </c>
      <c r="B6" s="95" t="s">
        <v>855</v>
      </c>
      <c r="C6" s="95" t="s">
        <v>856</v>
      </c>
      <c r="D6" s="95" t="str">
        <f t="shared" si="0"/>
        <v>Morulem</v>
      </c>
      <c r="F6" s="95">
        <v>5</v>
      </c>
    </row>
    <row r="7" spans="1:6">
      <c r="A7" s="95" t="s">
        <v>861</v>
      </c>
      <c r="B7" s="95" t="s">
        <v>855</v>
      </c>
      <c r="C7" s="95" t="s">
        <v>856</v>
      </c>
      <c r="D7" s="95" t="str">
        <f t="shared" si="0"/>
        <v>Nyakwae</v>
      </c>
      <c r="F7" s="95">
        <v>6</v>
      </c>
    </row>
    <row r="8" spans="1:6">
      <c r="A8" s="95" t="s">
        <v>862</v>
      </c>
      <c r="B8" s="95" t="s">
        <v>863</v>
      </c>
      <c r="C8" s="95" t="s">
        <v>864</v>
      </c>
      <c r="D8" s="95" t="str">
        <f t="shared" si="0"/>
        <v>Adjumani Town Council</v>
      </c>
      <c r="F8" s="95">
        <v>7</v>
      </c>
    </row>
    <row r="9" spans="1:6">
      <c r="A9" s="95" t="s">
        <v>865</v>
      </c>
      <c r="B9" s="95" t="s">
        <v>863</v>
      </c>
      <c r="C9" s="95" t="s">
        <v>864</v>
      </c>
      <c r="D9" s="95" t="str">
        <f t="shared" si="0"/>
        <v>Adropi</v>
      </c>
      <c r="F9" s="95">
        <v>8</v>
      </c>
    </row>
    <row r="10" spans="1:6">
      <c r="A10" s="95" t="s">
        <v>866</v>
      </c>
      <c r="B10" s="95" t="s">
        <v>863</v>
      </c>
      <c r="C10" s="95" t="s">
        <v>864</v>
      </c>
      <c r="D10" s="95" t="str">
        <f t="shared" si="0"/>
        <v>Arinyapi</v>
      </c>
      <c r="F10" s="95">
        <v>9</v>
      </c>
    </row>
    <row r="11" spans="1:6">
      <c r="A11" s="95" t="s">
        <v>867</v>
      </c>
      <c r="B11" s="95" t="s">
        <v>863</v>
      </c>
      <c r="C11" s="95" t="s">
        <v>864</v>
      </c>
      <c r="D11" s="95" t="str">
        <f t="shared" si="0"/>
        <v>Ciforo</v>
      </c>
      <c r="F11" s="95">
        <v>10</v>
      </c>
    </row>
    <row r="12" spans="1:6">
      <c r="A12" s="95" t="s">
        <v>868</v>
      </c>
      <c r="B12" s="95" t="s">
        <v>863</v>
      </c>
      <c r="C12" s="95" t="s">
        <v>864</v>
      </c>
      <c r="D12" s="95" t="str">
        <f t="shared" si="0"/>
        <v>Dzaipi</v>
      </c>
      <c r="F12" s="95">
        <v>11</v>
      </c>
    </row>
    <row r="13" spans="1:6">
      <c r="A13" s="95" t="s">
        <v>869</v>
      </c>
      <c r="B13" s="95" t="s">
        <v>863</v>
      </c>
      <c r="C13" s="95" t="s">
        <v>864</v>
      </c>
      <c r="D13" s="95" t="str">
        <f t="shared" si="0"/>
        <v>Itirikwa</v>
      </c>
      <c r="F13" s="95">
        <v>12</v>
      </c>
    </row>
    <row r="14" spans="1:6">
      <c r="A14" s="95" t="s">
        <v>870</v>
      </c>
      <c r="B14" s="95" t="s">
        <v>863</v>
      </c>
      <c r="C14" s="95" t="s">
        <v>864</v>
      </c>
      <c r="D14" s="95" t="str">
        <f t="shared" si="0"/>
        <v>Ofua</v>
      </c>
      <c r="F14" s="95">
        <v>13</v>
      </c>
    </row>
    <row r="15" spans="1:6">
      <c r="A15" s="95" t="s">
        <v>871</v>
      </c>
      <c r="B15" s="95" t="s">
        <v>863</v>
      </c>
      <c r="C15" s="95" t="s">
        <v>864</v>
      </c>
      <c r="D15" s="95" t="str">
        <f t="shared" si="0"/>
        <v>Pacara</v>
      </c>
      <c r="F15" s="95">
        <v>14</v>
      </c>
    </row>
    <row r="16" spans="1:6">
      <c r="A16" s="95" t="s">
        <v>872</v>
      </c>
      <c r="B16" s="95" t="s">
        <v>863</v>
      </c>
      <c r="C16" s="95" t="s">
        <v>864</v>
      </c>
      <c r="D16" s="95" t="str">
        <f t="shared" si="0"/>
        <v>Pakele</v>
      </c>
      <c r="F16" s="95">
        <v>15</v>
      </c>
    </row>
    <row r="17" spans="1:6">
      <c r="A17" s="95" t="s">
        <v>873</v>
      </c>
      <c r="B17" s="95" t="s">
        <v>863</v>
      </c>
      <c r="C17" s="95" t="s">
        <v>864</v>
      </c>
      <c r="D17" s="95" t="str">
        <f t="shared" si="0"/>
        <v>Ukusijoni</v>
      </c>
      <c r="F17" s="95">
        <v>16</v>
      </c>
    </row>
    <row r="18" spans="1:6">
      <c r="A18" s="95" t="s">
        <v>874</v>
      </c>
      <c r="B18" s="95" t="s">
        <v>875</v>
      </c>
      <c r="C18" s="95" t="s">
        <v>875</v>
      </c>
      <c r="D18" s="95" t="str">
        <f t="shared" si="0"/>
        <v>Adilang</v>
      </c>
      <c r="F18" s="95">
        <v>17</v>
      </c>
    </row>
    <row r="19" spans="1:6">
      <c r="A19" s="95" t="s">
        <v>876</v>
      </c>
      <c r="B19" s="95" t="s">
        <v>875</v>
      </c>
      <c r="C19" s="95" t="s">
        <v>875</v>
      </c>
      <c r="D19" s="95" t="str">
        <f t="shared" si="0"/>
        <v>Agago Town Council</v>
      </c>
      <c r="F19" s="95">
        <v>18</v>
      </c>
    </row>
    <row r="20" spans="1:6">
      <c r="A20" s="95" t="s">
        <v>877</v>
      </c>
      <c r="B20" s="95" t="s">
        <v>875</v>
      </c>
      <c r="C20" s="95" t="s">
        <v>875</v>
      </c>
      <c r="D20" s="95" t="str">
        <f t="shared" si="0"/>
        <v>Arum</v>
      </c>
      <c r="F20" s="95">
        <v>19</v>
      </c>
    </row>
    <row r="21" spans="1:6">
      <c r="A21" s="95" t="s">
        <v>878</v>
      </c>
      <c r="B21" s="95" t="s">
        <v>875</v>
      </c>
      <c r="C21" s="95" t="s">
        <v>875</v>
      </c>
      <c r="D21" s="95" t="str">
        <f t="shared" si="0"/>
        <v>Kalongo Town Council</v>
      </c>
      <c r="F21" s="95">
        <v>20</v>
      </c>
    </row>
    <row r="22" spans="1:6">
      <c r="A22" s="95" t="s">
        <v>879</v>
      </c>
      <c r="B22" s="95" t="s">
        <v>875</v>
      </c>
      <c r="C22" s="95" t="s">
        <v>875</v>
      </c>
      <c r="D22" s="95" t="str">
        <f t="shared" si="0"/>
        <v>Kotomol</v>
      </c>
      <c r="F22" s="95">
        <v>21</v>
      </c>
    </row>
    <row r="23" spans="1:6">
      <c r="A23" s="95" t="s">
        <v>880</v>
      </c>
      <c r="B23" s="95" t="s">
        <v>875</v>
      </c>
      <c r="C23" s="95" t="s">
        <v>875</v>
      </c>
      <c r="D23" s="95" t="str">
        <f t="shared" si="0"/>
        <v>Lamiyo</v>
      </c>
      <c r="F23" s="95">
        <v>22</v>
      </c>
    </row>
    <row r="24" spans="1:6">
      <c r="A24" s="95" t="s">
        <v>881</v>
      </c>
      <c r="B24" s="95" t="s">
        <v>875</v>
      </c>
      <c r="C24" s="95" t="s">
        <v>875</v>
      </c>
      <c r="D24" s="95" t="str">
        <f t="shared" si="0"/>
        <v>Lapono</v>
      </c>
      <c r="F24" s="95">
        <v>23</v>
      </c>
    </row>
    <row r="25" spans="1:6">
      <c r="A25" s="95" t="s">
        <v>882</v>
      </c>
      <c r="B25" s="95" t="s">
        <v>875</v>
      </c>
      <c r="C25" s="95" t="s">
        <v>875</v>
      </c>
      <c r="D25" s="95" t="str">
        <f t="shared" si="0"/>
        <v>Lira Palwo</v>
      </c>
      <c r="F25" s="95">
        <v>24</v>
      </c>
    </row>
    <row r="26" spans="1:6">
      <c r="A26" s="95" t="s">
        <v>883</v>
      </c>
      <c r="B26" s="95" t="s">
        <v>875</v>
      </c>
      <c r="C26" s="95" t="s">
        <v>875</v>
      </c>
      <c r="D26" s="95" t="str">
        <f t="shared" si="0"/>
        <v>Lokole</v>
      </c>
      <c r="F26" s="95">
        <v>25</v>
      </c>
    </row>
    <row r="27" spans="1:6">
      <c r="A27" s="95" t="s">
        <v>884</v>
      </c>
      <c r="B27" s="95" t="s">
        <v>875</v>
      </c>
      <c r="C27" s="95" t="s">
        <v>875</v>
      </c>
      <c r="D27" s="95" t="str">
        <f t="shared" si="0"/>
        <v>Omiya Pacwa</v>
      </c>
      <c r="F27" s="95">
        <v>26</v>
      </c>
    </row>
    <row r="28" spans="1:6">
      <c r="A28" s="95" t="s">
        <v>885</v>
      </c>
      <c r="B28" s="95" t="s">
        <v>875</v>
      </c>
      <c r="C28" s="95" t="s">
        <v>875</v>
      </c>
      <c r="D28" s="95" t="str">
        <f t="shared" si="0"/>
        <v>Omot</v>
      </c>
      <c r="F28" s="95">
        <v>27</v>
      </c>
    </row>
    <row r="29" spans="1:6">
      <c r="A29" s="95" t="s">
        <v>886</v>
      </c>
      <c r="B29" s="95" t="s">
        <v>875</v>
      </c>
      <c r="C29" s="95" t="s">
        <v>875</v>
      </c>
      <c r="D29" s="95" t="str">
        <f t="shared" si="0"/>
        <v>Paimol</v>
      </c>
      <c r="F29" s="95">
        <v>28</v>
      </c>
    </row>
    <row r="30" spans="1:6">
      <c r="A30" s="95" t="s">
        <v>887</v>
      </c>
      <c r="B30" s="95" t="s">
        <v>875</v>
      </c>
      <c r="C30" s="95" t="s">
        <v>875</v>
      </c>
      <c r="D30" s="95" t="str">
        <f t="shared" si="0"/>
        <v>Parabongo</v>
      </c>
      <c r="F30" s="95">
        <v>29</v>
      </c>
    </row>
    <row r="31" spans="1:6">
      <c r="A31" s="95" t="s">
        <v>888</v>
      </c>
      <c r="B31" s="95" t="s">
        <v>875</v>
      </c>
      <c r="C31" s="95" t="s">
        <v>875</v>
      </c>
      <c r="D31" s="95" t="str">
        <f t="shared" si="0"/>
        <v>Patongo</v>
      </c>
      <c r="F31" s="95">
        <v>30</v>
      </c>
    </row>
    <row r="32" spans="1:6">
      <c r="A32" s="95" t="s">
        <v>889</v>
      </c>
      <c r="B32" s="95" t="s">
        <v>875</v>
      </c>
      <c r="C32" s="95" t="s">
        <v>875</v>
      </c>
      <c r="D32" s="95" t="str">
        <f t="shared" si="0"/>
        <v>Patongo Town Council</v>
      </c>
      <c r="F32" s="95">
        <v>31</v>
      </c>
    </row>
    <row r="33" spans="1:6">
      <c r="A33" s="95" t="s">
        <v>890</v>
      </c>
      <c r="B33" s="95" t="s">
        <v>875</v>
      </c>
      <c r="C33" s="95" t="s">
        <v>875</v>
      </c>
      <c r="D33" s="95" t="str">
        <f t="shared" si="0"/>
        <v>Wol</v>
      </c>
      <c r="F33" s="95">
        <v>32</v>
      </c>
    </row>
    <row r="34" spans="1:6">
      <c r="A34" s="95" t="s">
        <v>891</v>
      </c>
      <c r="B34" s="95" t="s">
        <v>892</v>
      </c>
      <c r="C34" s="95" t="s">
        <v>893</v>
      </c>
      <c r="D34" s="95" t="str">
        <f t="shared" si="0"/>
        <v>Abako</v>
      </c>
      <c r="F34" s="95">
        <v>33</v>
      </c>
    </row>
    <row r="35" spans="1:6">
      <c r="A35" s="95" t="s">
        <v>894</v>
      </c>
      <c r="B35" s="95" t="s">
        <v>892</v>
      </c>
      <c r="C35" s="95" t="s">
        <v>893</v>
      </c>
      <c r="D35" s="95" t="str">
        <f t="shared" si="0"/>
        <v>Abia</v>
      </c>
      <c r="F35" s="95">
        <v>34</v>
      </c>
    </row>
    <row r="36" spans="1:6">
      <c r="A36" s="95" t="s">
        <v>895</v>
      </c>
      <c r="B36" s="95" t="s">
        <v>892</v>
      </c>
      <c r="C36" s="95" t="s">
        <v>893</v>
      </c>
      <c r="D36" s="95" t="str">
        <f t="shared" si="0"/>
        <v>Akura</v>
      </c>
      <c r="F36" s="95">
        <v>35</v>
      </c>
    </row>
    <row r="37" spans="1:6">
      <c r="A37" s="95" t="s">
        <v>896</v>
      </c>
      <c r="B37" s="95" t="s">
        <v>892</v>
      </c>
      <c r="C37" s="95" t="s">
        <v>893</v>
      </c>
      <c r="D37" s="95" t="str">
        <f t="shared" si="0"/>
        <v>Alebtong Town Council</v>
      </c>
      <c r="F37" s="95">
        <v>36</v>
      </c>
    </row>
    <row r="38" spans="1:6">
      <c r="A38" s="95" t="s">
        <v>897</v>
      </c>
      <c r="B38" s="95" t="s">
        <v>892</v>
      </c>
      <c r="C38" s="95" t="s">
        <v>893</v>
      </c>
      <c r="D38" s="95" t="str">
        <f t="shared" si="0"/>
        <v>Aloi</v>
      </c>
      <c r="F38" s="95">
        <v>37</v>
      </c>
    </row>
    <row r="39" spans="1:6">
      <c r="A39" s="95" t="s">
        <v>898</v>
      </c>
      <c r="B39" s="95" t="s">
        <v>892</v>
      </c>
      <c r="C39" s="95" t="s">
        <v>893</v>
      </c>
      <c r="D39" s="95" t="str">
        <f t="shared" si="0"/>
        <v>Amugu</v>
      </c>
      <c r="F39" s="95">
        <v>38</v>
      </c>
    </row>
    <row r="40" spans="1:6">
      <c r="A40" s="95" t="s">
        <v>899</v>
      </c>
      <c r="B40" s="95" t="s">
        <v>892</v>
      </c>
      <c r="C40" s="95" t="s">
        <v>893</v>
      </c>
      <c r="D40" s="95" t="str">
        <f t="shared" si="0"/>
        <v>Apala</v>
      </c>
      <c r="F40" s="95">
        <v>39</v>
      </c>
    </row>
    <row r="41" spans="1:6">
      <c r="A41" s="95" t="s">
        <v>900</v>
      </c>
      <c r="B41" s="95" t="s">
        <v>892</v>
      </c>
      <c r="C41" s="95" t="s">
        <v>893</v>
      </c>
      <c r="D41" s="95" t="str">
        <f t="shared" si="0"/>
        <v>Awei</v>
      </c>
      <c r="F41" s="95">
        <v>40</v>
      </c>
    </row>
    <row r="42" spans="1:6">
      <c r="A42" s="95" t="s">
        <v>901</v>
      </c>
      <c r="B42" s="95" t="s">
        <v>892</v>
      </c>
      <c r="C42" s="95" t="s">
        <v>893</v>
      </c>
      <c r="D42" s="95" t="str">
        <f t="shared" si="0"/>
        <v>Omoro</v>
      </c>
      <c r="F42" s="95">
        <v>41</v>
      </c>
    </row>
    <row r="43" spans="1:6">
      <c r="A43" s="95" t="s">
        <v>902</v>
      </c>
      <c r="B43" s="95" t="s">
        <v>903</v>
      </c>
      <c r="C43" s="95" t="s">
        <v>904</v>
      </c>
      <c r="D43" s="95" t="str">
        <f t="shared" si="0"/>
        <v>Agikdak</v>
      </c>
      <c r="F43" s="95">
        <v>42</v>
      </c>
    </row>
    <row r="44" spans="1:6">
      <c r="A44" s="95" t="s">
        <v>905</v>
      </c>
      <c r="B44" s="95" t="s">
        <v>903</v>
      </c>
      <c r="C44" s="95" t="s">
        <v>904</v>
      </c>
      <c r="D44" s="95" t="str">
        <f t="shared" si="0"/>
        <v>Agwingiri</v>
      </c>
      <c r="F44" s="95">
        <v>43</v>
      </c>
    </row>
    <row r="45" spans="1:6">
      <c r="A45" s="95" t="s">
        <v>906</v>
      </c>
      <c r="B45" s="95" t="s">
        <v>903</v>
      </c>
      <c r="C45" s="95" t="s">
        <v>904</v>
      </c>
      <c r="D45" s="95" t="str">
        <f t="shared" si="0"/>
        <v>Akwon</v>
      </c>
      <c r="F45" s="95">
        <v>44</v>
      </c>
    </row>
    <row r="46" spans="1:6">
      <c r="A46" s="95" t="s">
        <v>907</v>
      </c>
      <c r="B46" s="95" t="s">
        <v>903</v>
      </c>
      <c r="C46" s="95" t="s">
        <v>904</v>
      </c>
      <c r="D46" s="95" t="str">
        <f t="shared" si="0"/>
        <v>Amolatar Town Council</v>
      </c>
      <c r="F46" s="95">
        <v>45</v>
      </c>
    </row>
    <row r="47" spans="1:6">
      <c r="A47" s="95" t="s">
        <v>908</v>
      </c>
      <c r="B47" s="95" t="s">
        <v>903</v>
      </c>
      <c r="C47" s="95" t="s">
        <v>904</v>
      </c>
      <c r="D47" s="95" t="str">
        <f t="shared" si="0"/>
        <v>Aputi</v>
      </c>
      <c r="F47" s="95">
        <v>46</v>
      </c>
    </row>
    <row r="48" spans="1:6">
      <c r="A48" s="95" t="s">
        <v>909</v>
      </c>
      <c r="B48" s="95" t="s">
        <v>903</v>
      </c>
      <c r="C48" s="95" t="s">
        <v>904</v>
      </c>
      <c r="D48" s="95" t="str">
        <f t="shared" si="0"/>
        <v>Arwotcek</v>
      </c>
      <c r="F48" s="95">
        <v>47</v>
      </c>
    </row>
    <row r="49" spans="1:6">
      <c r="A49" s="95" t="s">
        <v>910</v>
      </c>
      <c r="B49" s="95" t="s">
        <v>903</v>
      </c>
      <c r="C49" s="95" t="s">
        <v>904</v>
      </c>
      <c r="D49" s="95" t="str">
        <f t="shared" si="0"/>
        <v>Awelo</v>
      </c>
      <c r="F49" s="95">
        <v>48</v>
      </c>
    </row>
    <row r="50" spans="1:6">
      <c r="A50" s="95" t="s">
        <v>911</v>
      </c>
      <c r="B50" s="95" t="s">
        <v>903</v>
      </c>
      <c r="C50" s="95" t="s">
        <v>904</v>
      </c>
      <c r="D50" s="95" t="str">
        <f t="shared" si="0"/>
        <v>Etam</v>
      </c>
      <c r="F50" s="95">
        <v>49</v>
      </c>
    </row>
    <row r="51" spans="1:6">
      <c r="A51" s="95" t="s">
        <v>912</v>
      </c>
      <c r="B51" s="95" t="s">
        <v>903</v>
      </c>
      <c r="C51" s="95" t="s">
        <v>904</v>
      </c>
      <c r="D51" s="95" t="str">
        <f t="shared" si="0"/>
        <v>Muntu</v>
      </c>
      <c r="F51" s="95">
        <v>50</v>
      </c>
    </row>
    <row r="52" spans="1:6">
      <c r="A52" s="95" t="s">
        <v>913</v>
      </c>
      <c r="B52" s="95" t="s">
        <v>903</v>
      </c>
      <c r="C52" s="95" t="s">
        <v>904</v>
      </c>
      <c r="D52" s="95" t="str">
        <f t="shared" si="0"/>
        <v>Namasale</v>
      </c>
      <c r="F52" s="95">
        <v>51</v>
      </c>
    </row>
    <row r="53" spans="1:6">
      <c r="A53" s="95" t="s">
        <v>914</v>
      </c>
      <c r="B53" s="95" t="s">
        <v>903</v>
      </c>
      <c r="C53" s="95" t="s">
        <v>904</v>
      </c>
      <c r="D53" s="95" t="str">
        <f t="shared" si="0"/>
        <v>Namasale Town Council</v>
      </c>
      <c r="F53" s="95">
        <v>52</v>
      </c>
    </row>
    <row r="54" spans="1:6">
      <c r="A54" s="95" t="s">
        <v>915</v>
      </c>
      <c r="B54" s="95" t="s">
        <v>915</v>
      </c>
      <c r="C54" s="95" t="s">
        <v>916</v>
      </c>
      <c r="D54" s="95" t="str">
        <f t="shared" si="0"/>
        <v>Amudat</v>
      </c>
      <c r="F54" s="95">
        <v>53</v>
      </c>
    </row>
    <row r="55" spans="1:6">
      <c r="A55" s="95" t="s">
        <v>917</v>
      </c>
      <c r="B55" s="95" t="s">
        <v>915</v>
      </c>
      <c r="C55" s="95" t="s">
        <v>916</v>
      </c>
      <c r="D55" s="95" t="str">
        <f t="shared" si="0"/>
        <v>Amudat Town Council</v>
      </c>
      <c r="F55" s="95">
        <v>54</v>
      </c>
    </row>
    <row r="56" spans="1:6">
      <c r="A56" s="95" t="s">
        <v>918</v>
      </c>
      <c r="B56" s="95" t="s">
        <v>915</v>
      </c>
      <c r="C56" s="95" t="s">
        <v>916</v>
      </c>
      <c r="D56" s="95" t="str">
        <f t="shared" si="0"/>
        <v>Karita</v>
      </c>
      <c r="F56" s="95">
        <v>55</v>
      </c>
    </row>
    <row r="57" spans="1:6">
      <c r="A57" s="95" t="s">
        <v>919</v>
      </c>
      <c r="B57" s="95" t="s">
        <v>915</v>
      </c>
      <c r="C57" s="95" t="s">
        <v>916</v>
      </c>
      <c r="D57" s="95" t="str">
        <f t="shared" si="0"/>
        <v>Loroo</v>
      </c>
      <c r="F57" s="95">
        <v>56</v>
      </c>
    </row>
    <row r="58" spans="1:6">
      <c r="A58" s="95" t="s">
        <v>920</v>
      </c>
      <c r="B58" s="95" t="s">
        <v>921</v>
      </c>
      <c r="C58" s="95" t="s">
        <v>921</v>
      </c>
      <c r="D58" s="95" t="str">
        <f t="shared" si="0"/>
        <v>Abarilela</v>
      </c>
      <c r="F58" s="95">
        <v>57</v>
      </c>
    </row>
    <row r="59" spans="1:6">
      <c r="A59" s="95" t="s">
        <v>922</v>
      </c>
      <c r="B59" s="95" t="s">
        <v>921</v>
      </c>
      <c r="C59" s="95" t="s">
        <v>923</v>
      </c>
      <c r="D59" s="95" t="str">
        <f t="shared" si="0"/>
        <v>Acowa</v>
      </c>
      <c r="F59" s="95">
        <v>58</v>
      </c>
    </row>
    <row r="60" spans="1:6">
      <c r="A60" s="95" t="s">
        <v>924</v>
      </c>
      <c r="B60" s="95" t="s">
        <v>921</v>
      </c>
      <c r="C60" s="95" t="s">
        <v>921</v>
      </c>
      <c r="D60" s="95" t="str">
        <f t="shared" si="0"/>
        <v>Akeriau</v>
      </c>
      <c r="F60" s="95">
        <v>59</v>
      </c>
    </row>
    <row r="61" spans="1:6">
      <c r="A61" s="95" t="s">
        <v>925</v>
      </c>
      <c r="B61" s="95" t="s">
        <v>921</v>
      </c>
      <c r="C61" s="95" t="s">
        <v>923</v>
      </c>
      <c r="D61" s="95" t="str">
        <f t="shared" si="0"/>
        <v>Akoromit</v>
      </c>
      <c r="F61" s="95">
        <v>60</v>
      </c>
    </row>
    <row r="62" spans="1:6">
      <c r="A62" s="95" t="s">
        <v>926</v>
      </c>
      <c r="B62" s="95" t="s">
        <v>921</v>
      </c>
      <c r="C62" s="95" t="s">
        <v>921</v>
      </c>
      <c r="D62" s="95" t="str">
        <f t="shared" si="0"/>
        <v>Amuria Town Council</v>
      </c>
      <c r="F62" s="95">
        <v>61</v>
      </c>
    </row>
    <row r="63" spans="1:6">
      <c r="A63" s="95" t="s">
        <v>927</v>
      </c>
      <c r="B63" s="95" t="s">
        <v>921</v>
      </c>
      <c r="C63" s="95" t="s">
        <v>921</v>
      </c>
      <c r="D63" s="95" t="str">
        <f t="shared" si="0"/>
        <v>Apeduru</v>
      </c>
      <c r="F63" s="95">
        <v>62</v>
      </c>
    </row>
    <row r="64" spans="1:6">
      <c r="A64" s="95" t="s">
        <v>928</v>
      </c>
      <c r="B64" s="95" t="s">
        <v>921</v>
      </c>
      <c r="C64" s="95" t="s">
        <v>921</v>
      </c>
      <c r="D64" s="95" t="str">
        <f t="shared" si="0"/>
        <v>Asamuk</v>
      </c>
      <c r="F64" s="95">
        <v>63</v>
      </c>
    </row>
    <row r="65" spans="1:6">
      <c r="A65" s="95" t="s">
        <v>923</v>
      </c>
      <c r="B65" s="95" t="s">
        <v>921</v>
      </c>
      <c r="C65" s="95" t="s">
        <v>923</v>
      </c>
      <c r="D65" s="95" t="str">
        <f t="shared" si="0"/>
        <v>Kapelebyong</v>
      </c>
      <c r="F65" s="95">
        <v>64</v>
      </c>
    </row>
    <row r="66" spans="1:6">
      <c r="A66" s="95" t="s">
        <v>929</v>
      </c>
      <c r="B66" s="95" t="s">
        <v>921</v>
      </c>
      <c r="C66" s="95" t="s">
        <v>921</v>
      </c>
      <c r="D66" s="95" t="str">
        <f t="shared" si="0"/>
        <v>Kuju</v>
      </c>
      <c r="F66" s="95">
        <v>65</v>
      </c>
    </row>
    <row r="67" spans="1:6">
      <c r="A67" s="95" t="s">
        <v>930</v>
      </c>
      <c r="B67" s="95" t="s">
        <v>921</v>
      </c>
      <c r="C67" s="95" t="s">
        <v>921</v>
      </c>
      <c r="D67" s="95" t="str">
        <f t="shared" ref="D67:D132" si="1">A67</f>
        <v>Morungatuny</v>
      </c>
      <c r="F67" s="95">
        <v>66</v>
      </c>
    </row>
    <row r="68" spans="1:6">
      <c r="A68" s="95" t="s">
        <v>931</v>
      </c>
      <c r="B68" s="95" t="s">
        <v>921</v>
      </c>
      <c r="C68" s="95" t="s">
        <v>923</v>
      </c>
      <c r="D68" s="95" t="str">
        <f t="shared" si="1"/>
        <v>Obalanga</v>
      </c>
      <c r="F68" s="95">
        <v>67</v>
      </c>
    </row>
    <row r="69" spans="1:6">
      <c r="A69" s="95" t="s">
        <v>932</v>
      </c>
      <c r="B69" s="95" t="s">
        <v>921</v>
      </c>
      <c r="C69" s="95" t="s">
        <v>921</v>
      </c>
      <c r="D69" s="95" t="str">
        <f t="shared" si="1"/>
        <v>Ogolai</v>
      </c>
      <c r="F69" s="95">
        <v>68</v>
      </c>
    </row>
    <row r="70" spans="1:6">
      <c r="A70" s="95" t="s">
        <v>933</v>
      </c>
      <c r="B70" s="95" t="s">
        <v>921</v>
      </c>
      <c r="C70" s="95" t="s">
        <v>923</v>
      </c>
      <c r="D70" s="95" t="str">
        <f t="shared" si="1"/>
        <v>Okungur</v>
      </c>
      <c r="F70" s="95">
        <v>69</v>
      </c>
    </row>
    <row r="71" spans="1:6">
      <c r="A71" s="95" t="s">
        <v>934</v>
      </c>
      <c r="B71" s="95" t="s">
        <v>921</v>
      </c>
      <c r="C71" s="95" t="s">
        <v>921</v>
      </c>
      <c r="D71" s="95" t="str">
        <f t="shared" si="1"/>
        <v>Orungo</v>
      </c>
      <c r="F71" s="95">
        <v>70</v>
      </c>
    </row>
    <row r="72" spans="1:6">
      <c r="A72" s="95" t="s">
        <v>935</v>
      </c>
      <c r="B72" s="95" t="s">
        <v>921</v>
      </c>
      <c r="C72" s="95" t="s">
        <v>921</v>
      </c>
      <c r="D72" s="95" t="str">
        <f t="shared" si="1"/>
        <v>Wera</v>
      </c>
      <c r="F72" s="95">
        <v>71</v>
      </c>
    </row>
    <row r="73" spans="1:6">
      <c r="A73" s="95" t="s">
        <v>936</v>
      </c>
      <c r="B73" s="95" t="s">
        <v>921</v>
      </c>
      <c r="C73" s="95" t="s">
        <v>921</v>
      </c>
      <c r="D73" s="95" t="str">
        <f t="shared" si="1"/>
        <v>Willa</v>
      </c>
      <c r="F73" s="95">
        <v>72</v>
      </c>
    </row>
    <row r="74" spans="1:6">
      <c r="A74" s="95" t="s">
        <v>937</v>
      </c>
      <c r="B74" s="95" t="s">
        <v>937</v>
      </c>
      <c r="C74" s="95" t="s">
        <v>938</v>
      </c>
      <c r="D74" s="95" t="str">
        <f t="shared" si="1"/>
        <v>Amuru</v>
      </c>
      <c r="F74" s="95">
        <v>73</v>
      </c>
    </row>
    <row r="75" spans="1:6">
      <c r="A75" s="95" t="s">
        <v>939</v>
      </c>
      <c r="B75" s="95" t="s">
        <v>937</v>
      </c>
      <c r="C75" s="95" t="s">
        <v>938</v>
      </c>
      <c r="D75" s="95" t="str">
        <f t="shared" si="1"/>
        <v>Amuru Town Council</v>
      </c>
      <c r="F75" s="95">
        <v>74</v>
      </c>
    </row>
    <row r="76" spans="1:6">
      <c r="A76" s="95" t="s">
        <v>940</v>
      </c>
      <c r="D76" s="95" t="str">
        <f t="shared" si="1"/>
        <v>Amur town</v>
      </c>
      <c r="F76" s="95">
        <v>74</v>
      </c>
    </row>
    <row r="77" spans="1:6">
      <c r="A77" s="95" t="s">
        <v>941</v>
      </c>
      <c r="B77" s="95" t="s">
        <v>937</v>
      </c>
      <c r="C77" s="95" t="s">
        <v>938</v>
      </c>
      <c r="D77" s="95" t="str">
        <f t="shared" si="1"/>
        <v>Attiak</v>
      </c>
      <c r="F77" s="95">
        <v>75</v>
      </c>
    </row>
    <row r="78" spans="1:6">
      <c r="A78" s="95" t="s">
        <v>942</v>
      </c>
      <c r="B78" s="95" t="s">
        <v>937</v>
      </c>
      <c r="C78" s="95" t="s">
        <v>938</v>
      </c>
      <c r="D78" s="95" t="str">
        <f t="shared" si="1"/>
        <v>Lamogi</v>
      </c>
      <c r="F78" s="95">
        <v>76</v>
      </c>
    </row>
    <row r="79" spans="1:6">
      <c r="A79" s="95" t="s">
        <v>943</v>
      </c>
      <c r="B79" s="95" t="s">
        <v>937</v>
      </c>
      <c r="C79" s="95" t="s">
        <v>938</v>
      </c>
      <c r="D79" s="95" t="str">
        <f t="shared" si="1"/>
        <v>Pabo</v>
      </c>
      <c r="F79" s="95">
        <v>77</v>
      </c>
    </row>
    <row r="80" spans="1:6">
      <c r="A80" s="95" t="s">
        <v>944</v>
      </c>
      <c r="B80" s="95" t="s">
        <v>945</v>
      </c>
      <c r="C80" s="95" t="s">
        <v>946</v>
      </c>
      <c r="D80" s="95" t="str">
        <f t="shared" si="1"/>
        <v>Abongomola</v>
      </c>
      <c r="F80" s="95">
        <v>78</v>
      </c>
    </row>
    <row r="81" spans="1:6">
      <c r="A81" s="95" t="s">
        <v>947</v>
      </c>
      <c r="B81" s="95" t="s">
        <v>945</v>
      </c>
      <c r="C81" s="95" t="s">
        <v>946</v>
      </c>
      <c r="D81" s="95" t="str">
        <f t="shared" si="1"/>
        <v>Aduku</v>
      </c>
      <c r="F81" s="95">
        <v>79</v>
      </c>
    </row>
    <row r="82" spans="1:6">
      <c r="A82" s="95" t="s">
        <v>948</v>
      </c>
      <c r="B82" s="95" t="s">
        <v>945</v>
      </c>
      <c r="C82" s="95" t="s">
        <v>946</v>
      </c>
      <c r="D82" s="95" t="str">
        <f t="shared" si="1"/>
        <v>Aduku Town Council</v>
      </c>
      <c r="F82" s="95">
        <v>80</v>
      </c>
    </row>
    <row r="83" spans="1:6">
      <c r="A83" s="95" t="s">
        <v>949</v>
      </c>
      <c r="B83" s="95" t="s">
        <v>945</v>
      </c>
      <c r="C83" s="95" t="s">
        <v>950</v>
      </c>
      <c r="D83" s="95" t="str">
        <f t="shared" si="1"/>
        <v>Akokoro</v>
      </c>
      <c r="F83" s="95">
        <v>81</v>
      </c>
    </row>
    <row r="84" spans="1:6">
      <c r="A84" s="95" t="s">
        <v>951</v>
      </c>
      <c r="B84" s="95" t="s">
        <v>945</v>
      </c>
      <c r="C84" s="95" t="s">
        <v>952</v>
      </c>
      <c r="D84" s="95" t="str">
        <f t="shared" si="1"/>
        <v>Apac Muicipality</v>
      </c>
      <c r="F84" s="95">
        <v>82</v>
      </c>
    </row>
    <row r="85" spans="1:6">
      <c r="A85" s="95" t="s">
        <v>953</v>
      </c>
      <c r="B85" s="95" t="s">
        <v>945</v>
      </c>
      <c r="C85" s="95" t="s">
        <v>946</v>
      </c>
      <c r="D85" s="95" t="str">
        <f t="shared" si="1"/>
        <v>Chawente</v>
      </c>
      <c r="F85" s="95">
        <v>83</v>
      </c>
    </row>
    <row r="86" spans="1:6">
      <c r="A86" s="95" t="s">
        <v>954</v>
      </c>
      <c r="B86" s="95" t="s">
        <v>945</v>
      </c>
      <c r="C86" s="95" t="s">
        <v>950</v>
      </c>
      <c r="D86" s="95" t="str">
        <f t="shared" si="1"/>
        <v>Chegere</v>
      </c>
      <c r="F86" s="95">
        <v>84</v>
      </c>
    </row>
    <row r="87" spans="1:6">
      <c r="A87" s="95" t="s">
        <v>955</v>
      </c>
      <c r="B87" s="95" t="s">
        <v>945</v>
      </c>
      <c r="C87" s="95" t="s">
        <v>950</v>
      </c>
      <c r="D87" s="95" t="str">
        <f t="shared" si="1"/>
        <v>Ibuje</v>
      </c>
      <c r="F87" s="95">
        <v>85</v>
      </c>
    </row>
    <row r="88" spans="1:6">
      <c r="A88" s="95" t="s">
        <v>956</v>
      </c>
      <c r="B88" s="95" t="s">
        <v>945</v>
      </c>
      <c r="C88" s="95" t="s">
        <v>946</v>
      </c>
      <c r="D88" s="95" t="str">
        <f t="shared" si="1"/>
        <v>Inomo</v>
      </c>
      <c r="F88" s="95">
        <v>86</v>
      </c>
    </row>
    <row r="89" spans="1:6">
      <c r="A89" s="95" t="s">
        <v>957</v>
      </c>
      <c r="B89" s="95" t="s">
        <v>945</v>
      </c>
      <c r="C89" s="95" t="s">
        <v>946</v>
      </c>
      <c r="D89" s="95" t="str">
        <f t="shared" si="1"/>
        <v>Nambieso</v>
      </c>
      <c r="F89" s="95">
        <v>87</v>
      </c>
    </row>
    <row r="90" spans="1:6">
      <c r="A90" s="95" t="s">
        <v>958</v>
      </c>
      <c r="B90" s="95" t="s">
        <v>959</v>
      </c>
      <c r="C90" s="95" t="s">
        <v>960</v>
      </c>
      <c r="D90" s="95" t="str">
        <f t="shared" si="1"/>
        <v>Adumi</v>
      </c>
      <c r="F90" s="95">
        <v>88</v>
      </c>
    </row>
    <row r="91" spans="1:6">
      <c r="A91" s="95" t="s">
        <v>961</v>
      </c>
      <c r="B91" s="95" t="s">
        <v>959</v>
      </c>
      <c r="C91" s="95" t="s">
        <v>962</v>
      </c>
      <c r="D91" s="95" t="str">
        <f t="shared" si="1"/>
        <v>Aii-Vu</v>
      </c>
      <c r="F91" s="95">
        <v>89</v>
      </c>
    </row>
    <row r="92" spans="1:6">
      <c r="A92" s="95" t="s">
        <v>963</v>
      </c>
      <c r="B92" s="95" t="s">
        <v>959</v>
      </c>
      <c r="C92" s="95" t="s">
        <v>964</v>
      </c>
      <c r="D92" s="95" t="str">
        <f t="shared" si="1"/>
        <v>Ajia</v>
      </c>
      <c r="F92" s="95">
        <v>90</v>
      </c>
    </row>
    <row r="93" spans="1:6">
      <c r="A93" s="95" t="s">
        <v>965</v>
      </c>
      <c r="B93" s="95" t="s">
        <v>959</v>
      </c>
      <c r="C93" s="95" t="s">
        <v>966</v>
      </c>
      <c r="D93" s="95" t="str">
        <f t="shared" si="1"/>
        <v>Anyiribu</v>
      </c>
      <c r="F93" s="95">
        <v>91</v>
      </c>
    </row>
    <row r="94" spans="1:6">
      <c r="A94" s="95" t="s">
        <v>967</v>
      </c>
      <c r="B94" s="95" t="s">
        <v>959</v>
      </c>
      <c r="C94" s="95" t="s">
        <v>964</v>
      </c>
      <c r="D94" s="95" t="str">
        <f t="shared" si="1"/>
        <v>Arivu</v>
      </c>
      <c r="F94" s="95">
        <v>92</v>
      </c>
    </row>
    <row r="95" spans="1:6">
      <c r="A95" s="95" t="s">
        <v>968</v>
      </c>
      <c r="B95" s="95" t="s">
        <v>959</v>
      </c>
      <c r="C95" s="95" t="s">
        <v>960</v>
      </c>
      <c r="D95" s="95" t="str">
        <f t="shared" si="1"/>
        <v>Aroi</v>
      </c>
      <c r="F95" s="95">
        <v>93</v>
      </c>
    </row>
    <row r="96" spans="1:6">
      <c r="A96" s="95" t="s">
        <v>969</v>
      </c>
      <c r="B96" s="95" t="s">
        <v>959</v>
      </c>
      <c r="C96" s="95" t="s">
        <v>969</v>
      </c>
      <c r="D96" s="95" t="str">
        <f t="shared" si="1"/>
        <v>Arua Municipality</v>
      </c>
      <c r="F96" s="95">
        <v>94</v>
      </c>
    </row>
    <row r="97" spans="1:6">
      <c r="A97" s="95" t="s">
        <v>959</v>
      </c>
      <c r="F97" s="95">
        <v>94</v>
      </c>
    </row>
    <row r="98" spans="1:6">
      <c r="A98" s="95" t="s">
        <v>970</v>
      </c>
      <c r="B98" s="95" t="s">
        <v>959</v>
      </c>
      <c r="C98" s="95" t="s">
        <v>960</v>
      </c>
      <c r="D98" s="95" t="str">
        <f t="shared" si="1"/>
        <v>Ayivuni</v>
      </c>
      <c r="F98" s="95">
        <v>95</v>
      </c>
    </row>
    <row r="99" spans="1:6">
      <c r="A99" s="95" t="s">
        <v>971</v>
      </c>
      <c r="B99" s="95" t="s">
        <v>959</v>
      </c>
      <c r="C99" s="95" t="s">
        <v>962</v>
      </c>
      <c r="D99" s="95" t="str">
        <f t="shared" si="1"/>
        <v>Bileafe</v>
      </c>
      <c r="F99" s="95">
        <v>96</v>
      </c>
    </row>
    <row r="100" spans="1:6">
      <c r="A100" s="95" t="s">
        <v>972</v>
      </c>
      <c r="B100" s="95" t="s">
        <v>959</v>
      </c>
      <c r="C100" s="95" t="s">
        <v>960</v>
      </c>
      <c r="D100" s="95" t="str">
        <f t="shared" si="1"/>
        <v>Dadamu</v>
      </c>
      <c r="F100" s="95">
        <v>97</v>
      </c>
    </row>
    <row r="101" spans="1:6">
      <c r="A101" s="95" t="s">
        <v>973</v>
      </c>
      <c r="B101" s="95" t="s">
        <v>959</v>
      </c>
      <c r="C101" s="95" t="s">
        <v>966</v>
      </c>
      <c r="D101" s="95" t="str">
        <f t="shared" si="1"/>
        <v>Ewanga</v>
      </c>
      <c r="F101" s="95">
        <v>98</v>
      </c>
    </row>
    <row r="102" spans="1:6">
      <c r="A102" s="95" t="s">
        <v>974</v>
      </c>
      <c r="B102" s="95" t="s">
        <v>959</v>
      </c>
      <c r="C102" s="95" t="s">
        <v>962</v>
      </c>
      <c r="D102" s="95" t="str">
        <f t="shared" si="1"/>
        <v>Katrini</v>
      </c>
      <c r="F102" s="95">
        <v>99</v>
      </c>
    </row>
    <row r="103" spans="1:6">
      <c r="A103" s="95" t="s">
        <v>975</v>
      </c>
      <c r="B103" s="95" t="s">
        <v>959</v>
      </c>
      <c r="C103" s="95" t="s">
        <v>964</v>
      </c>
      <c r="D103" s="95" t="str">
        <f t="shared" si="1"/>
        <v>Logiri</v>
      </c>
      <c r="F103" s="95">
        <v>100</v>
      </c>
    </row>
    <row r="104" spans="1:6">
      <c r="A104" s="95" t="s">
        <v>976</v>
      </c>
      <c r="B104" s="95" t="s">
        <v>959</v>
      </c>
      <c r="C104" s="95" t="s">
        <v>960</v>
      </c>
      <c r="D104" s="95" t="str">
        <f t="shared" si="1"/>
        <v>Manibe</v>
      </c>
      <c r="F104" s="95">
        <v>101</v>
      </c>
    </row>
    <row r="105" spans="1:6">
      <c r="A105" s="95" t="s">
        <v>977</v>
      </c>
      <c r="B105" s="95" t="s">
        <v>959</v>
      </c>
      <c r="C105" s="95" t="s">
        <v>962</v>
      </c>
      <c r="D105" s="95" t="str">
        <f t="shared" si="1"/>
        <v>Odupi</v>
      </c>
      <c r="F105" s="95">
        <v>102</v>
      </c>
    </row>
    <row r="106" spans="1:6">
      <c r="A106" s="95" t="s">
        <v>978</v>
      </c>
      <c r="B106" s="95" t="s">
        <v>959</v>
      </c>
      <c r="C106" s="95" t="s">
        <v>966</v>
      </c>
      <c r="D106" s="95" t="str">
        <f t="shared" si="1"/>
        <v>Offaka</v>
      </c>
      <c r="F106" s="95">
        <v>103</v>
      </c>
    </row>
    <row r="107" spans="1:6">
      <c r="A107" s="95" t="s">
        <v>979</v>
      </c>
      <c r="B107" s="95" t="s">
        <v>959</v>
      </c>
      <c r="C107" s="95" t="s">
        <v>966</v>
      </c>
      <c r="D107" s="95" t="str">
        <f t="shared" si="1"/>
        <v>Ogoko</v>
      </c>
      <c r="F107" s="95">
        <v>104</v>
      </c>
    </row>
    <row r="108" spans="1:6">
      <c r="A108" s="95" t="s">
        <v>980</v>
      </c>
      <c r="B108" s="95" t="s">
        <v>959</v>
      </c>
      <c r="C108" s="95" t="s">
        <v>966</v>
      </c>
      <c r="D108" s="95" t="str">
        <f t="shared" si="1"/>
        <v>Okollo</v>
      </c>
      <c r="F108" s="95">
        <v>105</v>
      </c>
    </row>
    <row r="109" spans="1:6">
      <c r="A109" s="95" t="s">
        <v>981</v>
      </c>
      <c r="B109" s="95" t="s">
        <v>959</v>
      </c>
      <c r="C109" s="95" t="s">
        <v>960</v>
      </c>
      <c r="D109" s="95" t="str">
        <f t="shared" si="1"/>
        <v>Oluko</v>
      </c>
      <c r="F109" s="95">
        <v>106</v>
      </c>
    </row>
    <row r="110" spans="1:6">
      <c r="A110" s="95" t="s">
        <v>982</v>
      </c>
      <c r="B110" s="95" t="s">
        <v>959</v>
      </c>
      <c r="C110" s="95" t="s">
        <v>962</v>
      </c>
      <c r="D110" s="95" t="str">
        <f t="shared" si="1"/>
        <v>Omugo</v>
      </c>
      <c r="F110" s="95">
        <v>107</v>
      </c>
    </row>
    <row r="111" spans="1:6">
      <c r="A111" s="95" t="s">
        <v>983</v>
      </c>
      <c r="B111" s="95" t="s">
        <v>959</v>
      </c>
      <c r="C111" s="95" t="s">
        <v>960</v>
      </c>
      <c r="D111" s="95" t="str">
        <f t="shared" si="1"/>
        <v>Pajulu</v>
      </c>
      <c r="F111" s="95">
        <v>108</v>
      </c>
    </row>
    <row r="112" spans="1:6">
      <c r="A112" s="95" t="s">
        <v>984</v>
      </c>
      <c r="B112" s="95" t="s">
        <v>959</v>
      </c>
      <c r="C112" s="95" t="s">
        <v>966</v>
      </c>
      <c r="D112" s="95" t="str">
        <f t="shared" si="1"/>
        <v>Pawor</v>
      </c>
      <c r="F112" s="95">
        <v>109</v>
      </c>
    </row>
    <row r="113" spans="1:6">
      <c r="A113" s="95" t="s">
        <v>985</v>
      </c>
      <c r="B113" s="95" t="s">
        <v>959</v>
      </c>
      <c r="C113" s="95" t="s">
        <v>966</v>
      </c>
      <c r="D113" s="95" t="str">
        <f t="shared" si="1"/>
        <v>Rhino Camp</v>
      </c>
      <c r="F113" s="95">
        <v>110</v>
      </c>
    </row>
    <row r="114" spans="1:6">
      <c r="A114" s="95" t="s">
        <v>986</v>
      </c>
      <c r="B114" s="95" t="s">
        <v>959</v>
      </c>
      <c r="C114" s="95" t="s">
        <v>966</v>
      </c>
      <c r="D114" s="95" t="str">
        <f t="shared" si="1"/>
        <v>Rigbo</v>
      </c>
      <c r="F114" s="95">
        <v>111</v>
      </c>
    </row>
    <row r="115" spans="1:6">
      <c r="A115" s="95" t="s">
        <v>987</v>
      </c>
      <c r="B115" s="95" t="s">
        <v>959</v>
      </c>
      <c r="C115" s="95" t="s">
        <v>966</v>
      </c>
      <c r="D115" s="95" t="str">
        <f t="shared" si="1"/>
        <v>Uleppi</v>
      </c>
      <c r="F115" s="95">
        <v>112</v>
      </c>
    </row>
    <row r="116" spans="1:6">
      <c r="A116" s="95" t="s">
        <v>988</v>
      </c>
      <c r="B116" s="95" t="s">
        <v>959</v>
      </c>
      <c r="C116" s="95" t="s">
        <v>962</v>
      </c>
      <c r="D116" s="95" t="str">
        <f t="shared" si="1"/>
        <v>Uriama</v>
      </c>
      <c r="F116" s="95">
        <v>113</v>
      </c>
    </row>
    <row r="117" spans="1:6">
      <c r="A117" s="95" t="s">
        <v>964</v>
      </c>
      <c r="B117" s="95" t="s">
        <v>959</v>
      </c>
      <c r="C117" s="95" t="s">
        <v>964</v>
      </c>
      <c r="D117" s="95" t="str">
        <f t="shared" si="1"/>
        <v>Vurra</v>
      </c>
      <c r="F117" s="95">
        <v>114</v>
      </c>
    </row>
    <row r="118" spans="1:6">
      <c r="A118" s="95" t="s">
        <v>989</v>
      </c>
      <c r="B118" s="95" t="s">
        <v>989</v>
      </c>
      <c r="C118" s="95" t="s">
        <v>989</v>
      </c>
      <c r="D118" s="95" t="str">
        <f t="shared" si="1"/>
        <v>Budaka</v>
      </c>
      <c r="F118" s="95">
        <v>115</v>
      </c>
    </row>
    <row r="119" spans="1:6">
      <c r="A119" s="95" t="s">
        <v>990</v>
      </c>
      <c r="B119" s="95" t="s">
        <v>989</v>
      </c>
      <c r="C119" s="95" t="s">
        <v>989</v>
      </c>
      <c r="D119" s="95" t="str">
        <f t="shared" si="1"/>
        <v>Budaka Town Council</v>
      </c>
      <c r="F119" s="95">
        <v>116</v>
      </c>
    </row>
    <row r="120" spans="1:6">
      <c r="A120" s="95" t="s">
        <v>991</v>
      </c>
      <c r="B120" s="95" t="s">
        <v>989</v>
      </c>
      <c r="C120" s="95" t="s">
        <v>991</v>
      </c>
      <c r="D120" s="95" t="str">
        <f t="shared" si="1"/>
        <v>Iki-Iki</v>
      </c>
      <c r="F120" s="95">
        <v>117</v>
      </c>
    </row>
    <row r="121" spans="1:6">
      <c r="A121" s="95" t="s">
        <v>992</v>
      </c>
      <c r="B121" s="95" t="s">
        <v>989</v>
      </c>
      <c r="C121" s="95" t="s">
        <v>989</v>
      </c>
      <c r="D121" s="95" t="str">
        <f t="shared" si="1"/>
        <v>Kachomo</v>
      </c>
      <c r="F121" s="95">
        <v>118</v>
      </c>
    </row>
    <row r="122" spans="1:6">
      <c r="A122" s="95" t="s">
        <v>993</v>
      </c>
      <c r="B122" s="95" t="s">
        <v>989</v>
      </c>
      <c r="C122" s="95" t="s">
        <v>989</v>
      </c>
      <c r="D122" s="95" t="str">
        <f t="shared" si="1"/>
        <v>Kaderuna</v>
      </c>
      <c r="F122" s="95">
        <v>119</v>
      </c>
    </row>
    <row r="123" spans="1:6">
      <c r="A123" s="95" t="s">
        <v>994</v>
      </c>
      <c r="B123" s="95" t="s">
        <v>989</v>
      </c>
      <c r="C123" s="95" t="s">
        <v>989</v>
      </c>
      <c r="D123" s="95" t="str">
        <f t="shared" si="1"/>
        <v>Kakule</v>
      </c>
      <c r="F123" s="95">
        <v>120</v>
      </c>
    </row>
    <row r="124" spans="1:6">
      <c r="A124" s="95" t="s">
        <v>995</v>
      </c>
      <c r="B124" s="95" t="s">
        <v>989</v>
      </c>
      <c r="C124" s="95" t="s">
        <v>991</v>
      </c>
      <c r="D124" s="95" t="str">
        <f t="shared" si="1"/>
        <v>Kameruka</v>
      </c>
      <c r="F124" s="95">
        <v>121</v>
      </c>
    </row>
    <row r="125" spans="1:6">
      <c r="A125" s="95" t="s">
        <v>996</v>
      </c>
      <c r="B125" s="95" t="s">
        <v>989</v>
      </c>
      <c r="C125" s="95" t="s">
        <v>991</v>
      </c>
      <c r="D125" s="95" t="str">
        <f t="shared" si="1"/>
        <v>Kamonkoli</v>
      </c>
      <c r="F125" s="95">
        <v>122</v>
      </c>
    </row>
    <row r="126" spans="1:6">
      <c r="A126" s="95" t="s">
        <v>997</v>
      </c>
      <c r="B126" s="95" t="s">
        <v>989</v>
      </c>
      <c r="C126" s="95" t="s">
        <v>991</v>
      </c>
      <c r="D126" s="95" t="str">
        <f t="shared" si="1"/>
        <v>Katiira</v>
      </c>
      <c r="F126" s="95">
        <v>123</v>
      </c>
    </row>
    <row r="127" spans="1:6">
      <c r="A127" s="95" t="s">
        <v>998</v>
      </c>
      <c r="B127" s="95" t="s">
        <v>989</v>
      </c>
      <c r="C127" s="95" t="s">
        <v>989</v>
      </c>
      <c r="D127" s="95" t="str">
        <f t="shared" si="1"/>
        <v>Lyama</v>
      </c>
      <c r="F127" s="95">
        <v>124</v>
      </c>
    </row>
    <row r="128" spans="1:6">
      <c r="A128" s="95" t="s">
        <v>999</v>
      </c>
      <c r="B128" s="95" t="s">
        <v>989</v>
      </c>
      <c r="C128" s="95" t="s">
        <v>991</v>
      </c>
      <c r="D128" s="95" t="str">
        <f t="shared" si="1"/>
        <v>Mugiti</v>
      </c>
      <c r="F128" s="95">
        <v>125</v>
      </c>
    </row>
    <row r="129" spans="1:6">
      <c r="A129" s="95" t="s">
        <v>1000</v>
      </c>
      <c r="B129" s="95" t="s">
        <v>989</v>
      </c>
      <c r="C129" s="95" t="s">
        <v>989</v>
      </c>
      <c r="D129" s="95" t="str">
        <f t="shared" si="1"/>
        <v>Naboa</v>
      </c>
      <c r="F129" s="95">
        <v>126</v>
      </c>
    </row>
    <row r="130" spans="1:6">
      <c r="A130" s="95" t="s">
        <v>1001</v>
      </c>
      <c r="B130" s="95" t="s">
        <v>989</v>
      </c>
      <c r="C130" s="95" t="s">
        <v>989</v>
      </c>
      <c r="D130" s="95" t="str">
        <f t="shared" si="1"/>
        <v>Nansanga</v>
      </c>
      <c r="F130" s="95">
        <v>127</v>
      </c>
    </row>
    <row r="131" spans="1:6">
      <c r="A131" s="95" t="s">
        <v>1002</v>
      </c>
      <c r="B131" s="95" t="s">
        <v>1003</v>
      </c>
      <c r="C131" s="95" t="s">
        <v>1004</v>
      </c>
      <c r="D131" s="95" t="str">
        <f t="shared" si="1"/>
        <v>Bubiita</v>
      </c>
      <c r="F131" s="95">
        <v>128</v>
      </c>
    </row>
    <row r="132" spans="1:6">
      <c r="A132" s="95" t="s">
        <v>1003</v>
      </c>
      <c r="B132" s="95" t="s">
        <v>1003</v>
      </c>
      <c r="C132" s="95" t="s">
        <v>1004</v>
      </c>
      <c r="D132" s="95" t="str">
        <f t="shared" si="1"/>
        <v>Bududa</v>
      </c>
      <c r="F132" s="95">
        <v>129</v>
      </c>
    </row>
    <row r="133" spans="1:6">
      <c r="A133" s="95" t="s">
        <v>1005</v>
      </c>
      <c r="B133" s="95" t="s">
        <v>1003</v>
      </c>
      <c r="C133" s="95" t="s">
        <v>1004</v>
      </c>
      <c r="D133" s="95" t="str">
        <f t="shared" ref="D133:D203" si="2">A133</f>
        <v>Bududa Town Council</v>
      </c>
      <c r="F133" s="95">
        <v>130</v>
      </c>
    </row>
    <row r="134" spans="1:6">
      <c r="A134" s="95" t="s">
        <v>1006</v>
      </c>
      <c r="B134" s="95" t="s">
        <v>1003</v>
      </c>
      <c r="C134" s="95" t="s">
        <v>1004</v>
      </c>
      <c r="D134" s="95" t="str">
        <f t="shared" si="2"/>
        <v>Bukalasi</v>
      </c>
      <c r="F134" s="95">
        <v>131</v>
      </c>
    </row>
    <row r="135" spans="1:6">
      <c r="A135" s="95" t="s">
        <v>1007</v>
      </c>
      <c r="B135" s="95" t="s">
        <v>1003</v>
      </c>
      <c r="C135" s="95" t="s">
        <v>1004</v>
      </c>
      <c r="D135" s="95" t="str">
        <f t="shared" si="2"/>
        <v>Bukibokolo</v>
      </c>
      <c r="F135" s="95">
        <v>132</v>
      </c>
    </row>
    <row r="136" spans="1:6">
      <c r="A136" s="95" t="s">
        <v>1008</v>
      </c>
      <c r="B136" s="95" t="s">
        <v>1003</v>
      </c>
      <c r="C136" s="95" t="s">
        <v>1004</v>
      </c>
      <c r="D136" s="95" t="str">
        <f t="shared" si="2"/>
        <v>Bukigai</v>
      </c>
      <c r="F136" s="95">
        <v>133</v>
      </c>
    </row>
    <row r="137" spans="1:6">
      <c r="A137" s="95" t="s">
        <v>1009</v>
      </c>
      <c r="B137" s="95" t="s">
        <v>1003</v>
      </c>
      <c r="C137" s="95" t="s">
        <v>1004</v>
      </c>
      <c r="D137" s="95" t="str">
        <f t="shared" si="2"/>
        <v>Bulucheke</v>
      </c>
      <c r="F137" s="95">
        <v>134</v>
      </c>
    </row>
    <row r="138" spans="1:6">
      <c r="A138" s="95" t="s">
        <v>1010</v>
      </c>
      <c r="B138" s="95" t="s">
        <v>1003</v>
      </c>
      <c r="C138" s="95" t="s">
        <v>1004</v>
      </c>
      <c r="D138" s="95" t="str">
        <f t="shared" si="2"/>
        <v>Bumasheti</v>
      </c>
      <c r="F138" s="95">
        <v>135</v>
      </c>
    </row>
    <row r="139" spans="1:6">
      <c r="A139" s="95" t="s">
        <v>1011</v>
      </c>
      <c r="B139" s="95" t="s">
        <v>1003</v>
      </c>
      <c r="C139" s="95" t="s">
        <v>1004</v>
      </c>
      <c r="D139" s="95" t="str">
        <f t="shared" si="2"/>
        <v>Bumayoka</v>
      </c>
      <c r="F139" s="95">
        <v>136</v>
      </c>
    </row>
    <row r="140" spans="1:6">
      <c r="A140" s="95" t="s">
        <v>1012</v>
      </c>
      <c r="B140" s="95" t="s">
        <v>1003</v>
      </c>
      <c r="C140" s="95" t="s">
        <v>1004</v>
      </c>
      <c r="D140" s="95" t="str">
        <f t="shared" si="2"/>
        <v>Bushika</v>
      </c>
      <c r="F140" s="95">
        <v>137</v>
      </c>
    </row>
    <row r="141" spans="1:6">
      <c r="A141" s="95" t="s">
        <v>1013</v>
      </c>
      <c r="B141" s="95" t="s">
        <v>1003</v>
      </c>
      <c r="C141" s="95" t="s">
        <v>1004</v>
      </c>
      <c r="D141" s="95" t="str">
        <f t="shared" si="2"/>
        <v>Bushiribo</v>
      </c>
      <c r="F141" s="95">
        <v>138</v>
      </c>
    </row>
    <row r="142" spans="1:6">
      <c r="A142" s="95" t="s">
        <v>1014</v>
      </c>
      <c r="B142" s="95" t="s">
        <v>1003</v>
      </c>
      <c r="C142" s="95" t="s">
        <v>1004</v>
      </c>
      <c r="D142" s="95" t="str">
        <f t="shared" si="2"/>
        <v>Bushiyi</v>
      </c>
      <c r="F142" s="95">
        <v>139</v>
      </c>
    </row>
    <row r="143" spans="1:6">
      <c r="A143" s="95" t="s">
        <v>1015</v>
      </c>
      <c r="B143" s="95" t="s">
        <v>1003</v>
      </c>
      <c r="C143" s="95" t="s">
        <v>1004</v>
      </c>
      <c r="D143" s="95" t="str">
        <f t="shared" si="2"/>
        <v>Buwali</v>
      </c>
      <c r="F143" s="95">
        <v>140</v>
      </c>
    </row>
    <row r="144" spans="1:6">
      <c r="A144" s="95" t="s">
        <v>1016</v>
      </c>
      <c r="B144" s="95" t="s">
        <v>1003</v>
      </c>
      <c r="C144" s="95" t="s">
        <v>1004</v>
      </c>
      <c r="D144" s="95" t="str">
        <f t="shared" si="2"/>
        <v>Nabweya</v>
      </c>
      <c r="F144" s="95">
        <v>141</v>
      </c>
    </row>
    <row r="145" spans="1:6">
      <c r="A145" s="95" t="s">
        <v>1017</v>
      </c>
      <c r="B145" s="95" t="s">
        <v>1003</v>
      </c>
      <c r="C145" s="95" t="s">
        <v>1004</v>
      </c>
      <c r="D145" s="95" t="str">
        <f t="shared" si="2"/>
        <v>Nakatsi</v>
      </c>
      <c r="F145" s="95">
        <v>142</v>
      </c>
    </row>
    <row r="146" spans="1:6">
      <c r="A146" s="95" t="s">
        <v>1018</v>
      </c>
      <c r="B146" s="95" t="s">
        <v>1003</v>
      </c>
      <c r="C146" s="95" t="s">
        <v>1004</v>
      </c>
      <c r="D146" s="95" t="str">
        <f t="shared" si="2"/>
        <v>Nalwanza</v>
      </c>
      <c r="F146" s="95">
        <v>143</v>
      </c>
    </row>
    <row r="147" spans="1:6">
      <c r="A147" s="95" t="s">
        <v>1019</v>
      </c>
      <c r="B147" s="95" t="s">
        <v>1020</v>
      </c>
      <c r="C147" s="95" t="s">
        <v>1021</v>
      </c>
      <c r="D147" s="95" t="str">
        <f t="shared" si="2"/>
        <v>Budhaya</v>
      </c>
      <c r="F147" s="95">
        <v>144</v>
      </c>
    </row>
    <row r="148" spans="1:6">
      <c r="A148" s="95" t="s">
        <v>1022</v>
      </c>
      <c r="B148" s="95" t="s">
        <v>1020</v>
      </c>
      <c r="C148" s="95" t="s">
        <v>1022</v>
      </c>
      <c r="D148" s="95" t="str">
        <f t="shared" si="2"/>
        <v>Bugiri Municipality</v>
      </c>
      <c r="F148" s="95">
        <v>145</v>
      </c>
    </row>
    <row r="149" spans="1:6">
      <c r="A149" s="95" t="s">
        <v>1023</v>
      </c>
      <c r="B149" s="95" t="s">
        <v>1020</v>
      </c>
      <c r="C149" s="95" t="s">
        <v>1021</v>
      </c>
      <c r="D149" s="95" t="str">
        <f t="shared" si="2"/>
        <v>Bulesa</v>
      </c>
      <c r="F149" s="95">
        <v>146</v>
      </c>
    </row>
    <row r="150" spans="1:6">
      <c r="A150" s="95" t="s">
        <v>1024</v>
      </c>
      <c r="B150" s="95" t="s">
        <v>1020</v>
      </c>
      <c r="C150" s="95" t="s">
        <v>1021</v>
      </c>
      <c r="D150" s="95" t="str">
        <f t="shared" si="2"/>
        <v>Bulidha</v>
      </c>
      <c r="F150" s="95">
        <v>147</v>
      </c>
    </row>
    <row r="151" spans="1:6">
      <c r="A151" s="95" t="s">
        <v>1025</v>
      </c>
      <c r="B151" s="95" t="s">
        <v>1020</v>
      </c>
      <c r="C151" s="95" t="s">
        <v>1021</v>
      </c>
      <c r="D151" s="95" t="str">
        <f t="shared" si="2"/>
        <v>Buluguyi</v>
      </c>
      <c r="F151" s="95">
        <v>148</v>
      </c>
    </row>
    <row r="152" spans="1:6">
      <c r="A152" s="95" t="s">
        <v>1026</v>
      </c>
      <c r="B152" s="95" t="s">
        <v>1020</v>
      </c>
      <c r="C152" s="95" t="s">
        <v>1021</v>
      </c>
      <c r="D152" s="95" t="str">
        <f t="shared" si="2"/>
        <v>Buwunga-Bugiri</v>
      </c>
      <c r="F152" s="95">
        <v>149</v>
      </c>
    </row>
    <row r="153" spans="1:6">
      <c r="A153" s="95" t="s">
        <v>1027</v>
      </c>
      <c r="B153" s="95" t="s">
        <v>1020</v>
      </c>
      <c r="C153" s="95" t="s">
        <v>1021</v>
      </c>
      <c r="D153" s="95" t="str">
        <f t="shared" si="2"/>
        <v>Iwemba</v>
      </c>
      <c r="F153" s="95">
        <v>150</v>
      </c>
    </row>
    <row r="154" spans="1:6">
      <c r="A154" s="95" t="s">
        <v>1028</v>
      </c>
      <c r="B154" s="95" t="s">
        <v>1020</v>
      </c>
      <c r="C154" s="95" t="s">
        <v>1021</v>
      </c>
      <c r="D154" s="95" t="str">
        <f t="shared" si="2"/>
        <v>Kapyanga</v>
      </c>
      <c r="F154" s="95">
        <v>151</v>
      </c>
    </row>
    <row r="155" spans="1:6">
      <c r="A155" s="95" t="s">
        <v>1029</v>
      </c>
      <c r="B155" s="95" t="s">
        <v>1020</v>
      </c>
      <c r="C155" s="95" t="s">
        <v>1021</v>
      </c>
      <c r="D155" s="95" t="str">
        <f t="shared" si="2"/>
        <v>Muterere</v>
      </c>
      <c r="F155" s="95">
        <v>152</v>
      </c>
    </row>
    <row r="156" spans="1:6">
      <c r="A156" s="95" t="s">
        <v>1030</v>
      </c>
      <c r="B156" s="95" t="s">
        <v>1020</v>
      </c>
      <c r="C156" s="95" t="s">
        <v>1021</v>
      </c>
      <c r="D156" s="95" t="str">
        <f t="shared" si="2"/>
        <v>Nabukalu</v>
      </c>
      <c r="F156" s="95">
        <v>153</v>
      </c>
    </row>
    <row r="157" spans="1:6">
      <c r="A157" s="95" t="s">
        <v>1031</v>
      </c>
      <c r="B157" s="95" t="s">
        <v>1020</v>
      </c>
      <c r="C157" s="95" t="s">
        <v>1021</v>
      </c>
      <c r="D157" s="95" t="str">
        <f t="shared" si="2"/>
        <v>Nankoma</v>
      </c>
      <c r="F157" s="95">
        <v>154</v>
      </c>
    </row>
    <row r="158" spans="1:6">
      <c r="A158" s="95" t="s">
        <v>1032</v>
      </c>
      <c r="B158" s="95" t="s">
        <v>1033</v>
      </c>
      <c r="C158" s="95" t="s">
        <v>1033</v>
      </c>
      <c r="D158" s="95" t="str">
        <f t="shared" si="2"/>
        <v>Bihanga-Buhweju</v>
      </c>
      <c r="F158" s="95">
        <v>155</v>
      </c>
    </row>
    <row r="159" spans="1:6">
      <c r="A159" s="95" t="s">
        <v>1034</v>
      </c>
      <c r="B159" s="95" t="s">
        <v>1033</v>
      </c>
      <c r="C159" s="95" t="s">
        <v>1033</v>
      </c>
      <c r="D159" s="95" t="str">
        <f t="shared" si="2"/>
        <v>Bitsya</v>
      </c>
      <c r="F159" s="95">
        <v>156</v>
      </c>
    </row>
    <row r="160" spans="1:6">
      <c r="A160" s="95" t="s">
        <v>1035</v>
      </c>
      <c r="B160" s="95" t="s">
        <v>1033</v>
      </c>
      <c r="C160" s="95" t="s">
        <v>1033</v>
      </c>
      <c r="D160" s="95" t="str">
        <f t="shared" si="2"/>
        <v>Burere</v>
      </c>
      <c r="F160" s="95">
        <v>157</v>
      </c>
    </row>
    <row r="161" spans="1:6">
      <c r="A161" s="95" t="s">
        <v>1036</v>
      </c>
      <c r="B161" s="95" t="s">
        <v>1033</v>
      </c>
      <c r="C161" s="95" t="s">
        <v>1033</v>
      </c>
      <c r="D161" s="95" t="str">
        <f t="shared" si="2"/>
        <v>Engaju</v>
      </c>
      <c r="F161" s="95">
        <v>158</v>
      </c>
    </row>
    <row r="162" spans="1:6">
      <c r="A162" s="95" t="s">
        <v>1037</v>
      </c>
      <c r="B162" s="95" t="s">
        <v>1033</v>
      </c>
      <c r="C162" s="95" t="s">
        <v>1033</v>
      </c>
      <c r="D162" s="95" t="str">
        <f t="shared" si="2"/>
        <v>Karungu</v>
      </c>
      <c r="F162" s="95">
        <v>159</v>
      </c>
    </row>
    <row r="163" spans="1:6">
      <c r="A163" s="95" t="s">
        <v>1038</v>
      </c>
      <c r="B163" s="95" t="s">
        <v>1033</v>
      </c>
      <c r="C163" s="95" t="s">
        <v>1033</v>
      </c>
      <c r="D163" s="95" t="str">
        <f t="shared" si="2"/>
        <v>Nsiika Town Council</v>
      </c>
      <c r="F163" s="95">
        <v>160</v>
      </c>
    </row>
    <row r="164" spans="1:6">
      <c r="A164" s="95" t="s">
        <v>1039</v>
      </c>
      <c r="B164" s="95" t="s">
        <v>1033</v>
      </c>
      <c r="C164" s="95" t="s">
        <v>1033</v>
      </c>
      <c r="D164" s="95" t="str">
        <f t="shared" si="2"/>
        <v>Nyakishana</v>
      </c>
      <c r="F164" s="95">
        <v>161</v>
      </c>
    </row>
    <row r="165" spans="1:6">
      <c r="A165" s="95" t="s">
        <v>1040</v>
      </c>
      <c r="B165" s="95" t="s">
        <v>1033</v>
      </c>
      <c r="C165" s="95" t="s">
        <v>1033</v>
      </c>
      <c r="D165" s="95" t="str">
        <f t="shared" si="2"/>
        <v>Rwengwe</v>
      </c>
      <c r="F165" s="95">
        <v>162</v>
      </c>
    </row>
    <row r="166" spans="1:6">
      <c r="A166" s="95" t="s">
        <v>1041</v>
      </c>
      <c r="B166" s="95" t="s">
        <v>1041</v>
      </c>
      <c r="C166" s="95" t="s">
        <v>1041</v>
      </c>
      <c r="D166" s="95" t="str">
        <f t="shared" si="2"/>
        <v>Buikwe</v>
      </c>
      <c r="F166" s="95">
        <v>163</v>
      </c>
    </row>
    <row r="167" spans="1:6">
      <c r="A167" s="95" t="s">
        <v>1042</v>
      </c>
      <c r="F167" s="95">
        <v>163</v>
      </c>
    </row>
    <row r="168" spans="1:6">
      <c r="A168" s="95" t="s">
        <v>1043</v>
      </c>
      <c r="B168" s="95" t="s">
        <v>1041</v>
      </c>
      <c r="C168" s="95" t="s">
        <v>1041</v>
      </c>
      <c r="D168" s="95" t="str">
        <f t="shared" si="2"/>
        <v>Buikwe Town Council</v>
      </c>
      <c r="F168" s="95">
        <v>164</v>
      </c>
    </row>
    <row r="169" spans="1:6">
      <c r="A169" s="95" t="s">
        <v>1044</v>
      </c>
      <c r="F169" s="95">
        <v>164</v>
      </c>
    </row>
    <row r="170" spans="1:6">
      <c r="A170" s="95" t="s">
        <v>1045</v>
      </c>
      <c r="F170" s="95">
        <v>164</v>
      </c>
    </row>
    <row r="171" spans="1:6">
      <c r="A171" s="95" t="s">
        <v>1046</v>
      </c>
      <c r="D171" s="95" t="str">
        <f t="shared" si="2"/>
        <v>Buyikwe</v>
      </c>
      <c r="F171" s="95">
        <v>164</v>
      </c>
    </row>
    <row r="172" spans="1:6">
      <c r="A172" s="95" t="s">
        <v>1047</v>
      </c>
      <c r="D172" s="95" t="str">
        <f t="shared" si="2"/>
        <v>BUIKWE TOWN</v>
      </c>
      <c r="F172" s="95">
        <v>164</v>
      </c>
    </row>
    <row r="173" spans="1:6">
      <c r="A173" s="95" t="s">
        <v>1048</v>
      </c>
      <c r="B173" s="95" t="s">
        <v>1041</v>
      </c>
      <c r="C173" s="95" t="s">
        <v>1048</v>
      </c>
      <c r="D173" s="95" t="str">
        <f t="shared" si="2"/>
        <v>Lugazi Municipality</v>
      </c>
      <c r="F173" s="95">
        <v>165</v>
      </c>
    </row>
    <row r="174" spans="1:6">
      <c r="A174" s="95" t="s">
        <v>454</v>
      </c>
      <c r="D174" s="95" t="str">
        <f t="shared" si="2"/>
        <v>LUGAZI</v>
      </c>
      <c r="F174" s="95">
        <v>165</v>
      </c>
    </row>
    <row r="175" spans="1:6">
      <c r="A175" s="95" t="s">
        <v>1049</v>
      </c>
      <c r="D175" s="95" t="str">
        <f t="shared" si="2"/>
        <v>Namagunga</v>
      </c>
      <c r="F175" s="95">
        <v>165</v>
      </c>
    </row>
    <row r="176" spans="1:6">
      <c r="A176" s="95" t="s">
        <v>1050</v>
      </c>
      <c r="B176" s="95" t="s">
        <v>1041</v>
      </c>
      <c r="C176" s="95" t="s">
        <v>1041</v>
      </c>
      <c r="D176" s="95" t="str">
        <f t="shared" si="2"/>
        <v>Najja</v>
      </c>
      <c r="F176" s="95">
        <v>166</v>
      </c>
    </row>
    <row r="177" spans="1:6">
      <c r="A177" s="95" t="s">
        <v>1051</v>
      </c>
      <c r="B177" s="95" t="s">
        <v>1041</v>
      </c>
      <c r="C177" s="95" t="s">
        <v>1041</v>
      </c>
      <c r="D177" s="95" t="str">
        <f t="shared" si="2"/>
        <v>Ngogwe</v>
      </c>
      <c r="F177" s="95">
        <v>167</v>
      </c>
    </row>
    <row r="178" spans="1:6">
      <c r="A178" s="95" t="s">
        <v>1052</v>
      </c>
      <c r="B178" s="95" t="s">
        <v>1041</v>
      </c>
      <c r="C178" s="95" t="s">
        <v>1052</v>
      </c>
      <c r="D178" s="95" t="str">
        <f t="shared" si="2"/>
        <v>Njeru Municipality</v>
      </c>
      <c r="F178" s="95">
        <v>168</v>
      </c>
    </row>
    <row r="179" spans="1:6">
      <c r="A179" s="95" t="s">
        <v>1053</v>
      </c>
      <c r="B179" s="95" t="s">
        <v>1041</v>
      </c>
      <c r="C179" s="95" t="s">
        <v>1041</v>
      </c>
      <c r="D179" s="95" t="str">
        <f t="shared" si="2"/>
        <v>Nkokonjeru Town Council</v>
      </c>
      <c r="F179" s="95">
        <v>169</v>
      </c>
    </row>
    <row r="180" spans="1:6">
      <c r="A180" s="95" t="s">
        <v>1054</v>
      </c>
      <c r="B180" s="95" t="s">
        <v>1041</v>
      </c>
      <c r="C180" s="95" t="s">
        <v>1041</v>
      </c>
      <c r="D180" s="95" t="str">
        <f t="shared" si="2"/>
        <v>Ssi-Bukunja</v>
      </c>
      <c r="F180" s="95">
        <v>170</v>
      </c>
    </row>
    <row r="181" spans="1:6">
      <c r="A181" s="95" t="s">
        <v>1055</v>
      </c>
      <c r="B181" s="95" t="s">
        <v>1055</v>
      </c>
      <c r="C181" s="95" t="s">
        <v>1055</v>
      </c>
      <c r="D181" s="95" t="str">
        <f t="shared" si="2"/>
        <v>Bukedea</v>
      </c>
      <c r="F181" s="95">
        <v>171</v>
      </c>
    </row>
    <row r="182" spans="1:6">
      <c r="A182" s="95" t="s">
        <v>1056</v>
      </c>
      <c r="B182" s="95" t="s">
        <v>1055</v>
      </c>
      <c r="C182" s="95" t="s">
        <v>1055</v>
      </c>
      <c r="D182" s="95" t="str">
        <f t="shared" si="2"/>
        <v>Bukedea Town Council</v>
      </c>
      <c r="F182" s="95">
        <v>172</v>
      </c>
    </row>
    <row r="183" spans="1:6">
      <c r="A183" s="95" t="s">
        <v>1057</v>
      </c>
      <c r="B183" s="95" t="s">
        <v>1055</v>
      </c>
      <c r="C183" s="95" t="s">
        <v>1055</v>
      </c>
      <c r="D183" s="95" t="str">
        <f t="shared" si="2"/>
        <v>Kachumbala</v>
      </c>
      <c r="F183" s="95">
        <v>173</v>
      </c>
    </row>
    <row r="184" spans="1:6">
      <c r="A184" s="95" t="s">
        <v>1058</v>
      </c>
      <c r="B184" s="95" t="s">
        <v>1055</v>
      </c>
      <c r="C184" s="95" t="s">
        <v>1055</v>
      </c>
      <c r="D184" s="95" t="str">
        <f t="shared" si="2"/>
        <v>Kidongole</v>
      </c>
      <c r="F184" s="95">
        <v>174</v>
      </c>
    </row>
    <row r="185" spans="1:6">
      <c r="A185" s="95" t="s">
        <v>1059</v>
      </c>
      <c r="B185" s="95" t="s">
        <v>1055</v>
      </c>
      <c r="C185" s="95" t="s">
        <v>1055</v>
      </c>
      <c r="D185" s="95" t="str">
        <f t="shared" si="2"/>
        <v>Kolir</v>
      </c>
      <c r="F185" s="95">
        <v>175</v>
      </c>
    </row>
    <row r="186" spans="1:6">
      <c r="A186" s="95" t="s">
        <v>1060</v>
      </c>
      <c r="B186" s="95" t="s">
        <v>1055</v>
      </c>
      <c r="C186" s="95" t="s">
        <v>1055</v>
      </c>
      <c r="D186" s="95" t="str">
        <f t="shared" si="2"/>
        <v>Malera</v>
      </c>
      <c r="F186" s="95">
        <v>176</v>
      </c>
    </row>
    <row r="187" spans="1:6">
      <c r="A187" s="95" t="s">
        <v>1061</v>
      </c>
      <c r="B187" s="95" t="s">
        <v>1062</v>
      </c>
      <c r="C187" s="95" t="s">
        <v>1062</v>
      </c>
      <c r="D187" s="95" t="str">
        <f t="shared" si="2"/>
        <v>Bigasa</v>
      </c>
      <c r="F187" s="95">
        <v>177</v>
      </c>
    </row>
    <row r="188" spans="1:6">
      <c r="A188" s="95" t="s">
        <v>1063</v>
      </c>
      <c r="B188" s="95" t="s">
        <v>1062</v>
      </c>
      <c r="C188" s="95" t="s">
        <v>1062</v>
      </c>
      <c r="D188" s="95" t="str">
        <f t="shared" si="2"/>
        <v>Bukomansimbi Town Council</v>
      </c>
      <c r="F188" s="95">
        <v>178</v>
      </c>
    </row>
    <row r="189" spans="1:6">
      <c r="A189" s="95" t="s">
        <v>1064</v>
      </c>
      <c r="B189" s="95" t="s">
        <v>1062</v>
      </c>
      <c r="C189" s="95" t="s">
        <v>1062</v>
      </c>
      <c r="D189" s="95" t="str">
        <f t="shared" si="2"/>
        <v>Butenga</v>
      </c>
      <c r="F189" s="95">
        <v>179</v>
      </c>
    </row>
    <row r="190" spans="1:6">
      <c r="A190" s="95" t="s">
        <v>1065</v>
      </c>
      <c r="B190" s="95" t="s">
        <v>1062</v>
      </c>
      <c r="C190" s="95" t="s">
        <v>1062</v>
      </c>
      <c r="D190" s="95" t="str">
        <f t="shared" si="2"/>
        <v>Kibinge</v>
      </c>
      <c r="F190" s="95">
        <v>180</v>
      </c>
    </row>
    <row r="191" spans="1:6">
      <c r="A191" s="95" t="s">
        <v>1066</v>
      </c>
      <c r="B191" s="95" t="s">
        <v>1062</v>
      </c>
      <c r="C191" s="95" t="s">
        <v>1062</v>
      </c>
      <c r="D191" s="95" t="str">
        <f t="shared" si="2"/>
        <v>Kitanda</v>
      </c>
      <c r="F191" s="95">
        <v>181</v>
      </c>
    </row>
    <row r="192" spans="1:6">
      <c r="A192" s="95" t="s">
        <v>1067</v>
      </c>
      <c r="B192" s="95" t="s">
        <v>1067</v>
      </c>
      <c r="C192" s="95" t="s">
        <v>1068</v>
      </c>
      <c r="D192" s="95" t="str">
        <f t="shared" si="2"/>
        <v>Bukwo</v>
      </c>
      <c r="F192" s="95">
        <v>182</v>
      </c>
    </row>
    <row r="193" spans="1:6" ht="16.5" customHeight="1">
      <c r="A193" s="95" t="s">
        <v>1069</v>
      </c>
      <c r="B193" s="95" t="s">
        <v>1067</v>
      </c>
      <c r="C193" s="95" t="s">
        <v>1068</v>
      </c>
      <c r="D193" s="95" t="str">
        <f t="shared" si="2"/>
        <v>Bukwo Town Council</v>
      </c>
      <c r="F193" s="95">
        <v>183</v>
      </c>
    </row>
    <row r="194" spans="1:6">
      <c r="A194" s="95" t="s">
        <v>1070</v>
      </c>
      <c r="B194" s="95" t="s">
        <v>1067</v>
      </c>
      <c r="C194" s="95" t="s">
        <v>1068</v>
      </c>
      <c r="D194" s="95" t="str">
        <f t="shared" si="2"/>
        <v>Chepkwasta</v>
      </c>
      <c r="F194" s="95">
        <v>184</v>
      </c>
    </row>
    <row r="195" spans="1:6">
      <c r="A195" s="95" t="s">
        <v>1071</v>
      </c>
      <c r="B195" s="95" t="s">
        <v>1067</v>
      </c>
      <c r="C195" s="95" t="s">
        <v>1068</v>
      </c>
      <c r="D195" s="95" t="str">
        <f t="shared" si="2"/>
        <v>Chesower</v>
      </c>
      <c r="F195" s="95">
        <v>185</v>
      </c>
    </row>
    <row r="196" spans="1:6">
      <c r="A196" s="95" t="s">
        <v>1072</v>
      </c>
      <c r="B196" s="95" t="s">
        <v>1067</v>
      </c>
      <c r="C196" s="95" t="s">
        <v>1068</v>
      </c>
      <c r="D196" s="95" t="str">
        <f t="shared" si="2"/>
        <v>Kabei</v>
      </c>
      <c r="F196" s="95">
        <v>186</v>
      </c>
    </row>
    <row r="197" spans="1:6">
      <c r="A197" s="95" t="s">
        <v>1073</v>
      </c>
      <c r="B197" s="95" t="s">
        <v>1067</v>
      </c>
      <c r="C197" s="95" t="s">
        <v>1068</v>
      </c>
      <c r="D197" s="95" t="str">
        <f t="shared" si="2"/>
        <v>Kamet</v>
      </c>
      <c r="F197" s="95">
        <v>187</v>
      </c>
    </row>
    <row r="198" spans="1:6">
      <c r="A198" s="95" t="s">
        <v>1074</v>
      </c>
      <c r="B198" s="95" t="s">
        <v>1067</v>
      </c>
      <c r="C198" s="95" t="s">
        <v>1068</v>
      </c>
      <c r="D198" s="95" t="str">
        <f t="shared" si="2"/>
        <v>Kaptererwo</v>
      </c>
      <c r="F198" s="95">
        <v>188</v>
      </c>
    </row>
    <row r="199" spans="1:6">
      <c r="A199" s="95" t="s">
        <v>1075</v>
      </c>
      <c r="B199" s="95" t="s">
        <v>1067</v>
      </c>
      <c r="C199" s="95" t="s">
        <v>1068</v>
      </c>
      <c r="D199" s="95" t="str">
        <f t="shared" si="2"/>
        <v>Kortek</v>
      </c>
      <c r="F199" s="95">
        <v>189</v>
      </c>
    </row>
    <row r="200" spans="1:6">
      <c r="A200" s="95" t="s">
        <v>1076</v>
      </c>
      <c r="B200" s="95" t="s">
        <v>1067</v>
      </c>
      <c r="C200" s="95" t="s">
        <v>1068</v>
      </c>
      <c r="D200" s="95" t="str">
        <f t="shared" si="2"/>
        <v>Riwo</v>
      </c>
      <c r="F200" s="95">
        <v>190</v>
      </c>
    </row>
    <row r="201" spans="1:6">
      <c r="A201" s="95" t="s">
        <v>1077</v>
      </c>
      <c r="B201" s="95" t="s">
        <v>1067</v>
      </c>
      <c r="C201" s="95" t="s">
        <v>1068</v>
      </c>
      <c r="D201" s="95" t="str">
        <f t="shared" si="2"/>
        <v>Senendet</v>
      </c>
      <c r="F201" s="95">
        <v>191</v>
      </c>
    </row>
    <row r="202" spans="1:6">
      <c r="A202" s="95" t="s">
        <v>1078</v>
      </c>
      <c r="B202" s="95" t="s">
        <v>1067</v>
      </c>
      <c r="C202" s="95" t="s">
        <v>1068</v>
      </c>
      <c r="D202" s="95" t="str">
        <f t="shared" si="2"/>
        <v>Suam</v>
      </c>
      <c r="F202" s="95">
        <v>192</v>
      </c>
    </row>
    <row r="203" spans="1:6">
      <c r="A203" s="95" t="s">
        <v>1079</v>
      </c>
      <c r="B203" s="95" t="s">
        <v>1067</v>
      </c>
      <c r="C203" s="95" t="s">
        <v>1068</v>
      </c>
      <c r="D203" s="95" t="str">
        <f t="shared" si="2"/>
        <v>Tulel</v>
      </c>
      <c r="F203" s="95">
        <v>193</v>
      </c>
    </row>
    <row r="204" spans="1:6">
      <c r="A204" s="95" t="s">
        <v>1080</v>
      </c>
      <c r="B204" s="95" t="s">
        <v>1081</v>
      </c>
      <c r="C204" s="95" t="s">
        <v>1081</v>
      </c>
      <c r="D204" s="95" t="str">
        <f t="shared" ref="D204:D269" si="3">A204</f>
        <v>Buginyanya</v>
      </c>
      <c r="F204" s="95">
        <v>194</v>
      </c>
    </row>
    <row r="205" spans="1:6">
      <c r="A205" s="95" t="s">
        <v>1082</v>
      </c>
      <c r="B205" s="95" t="s">
        <v>1081</v>
      </c>
      <c r="C205" s="95" t="s">
        <v>1081</v>
      </c>
      <c r="D205" s="95" t="str">
        <f t="shared" si="3"/>
        <v>Bukhalu</v>
      </c>
      <c r="F205" s="95">
        <v>195</v>
      </c>
    </row>
    <row r="206" spans="1:6">
      <c r="A206" s="95" t="s">
        <v>1083</v>
      </c>
      <c r="B206" s="95" t="s">
        <v>1081</v>
      </c>
      <c r="C206" s="95" t="s">
        <v>1081</v>
      </c>
      <c r="D206" s="95" t="str">
        <f t="shared" si="3"/>
        <v>Bulaago</v>
      </c>
      <c r="F206" s="95">
        <v>196</v>
      </c>
    </row>
    <row r="207" spans="1:6">
      <c r="A207" s="95" t="s">
        <v>1084</v>
      </c>
      <c r="B207" s="95" t="s">
        <v>1081</v>
      </c>
      <c r="C207" s="95" t="s">
        <v>1081</v>
      </c>
      <c r="D207" s="95" t="str">
        <f t="shared" si="3"/>
        <v>Bulambuli Town Council</v>
      </c>
      <c r="F207" s="95">
        <v>197</v>
      </c>
    </row>
    <row r="208" spans="1:6">
      <c r="A208" s="95" t="s">
        <v>1085</v>
      </c>
      <c r="B208" s="95" t="s">
        <v>1081</v>
      </c>
      <c r="C208" s="95" t="s">
        <v>1081</v>
      </c>
      <c r="D208" s="95" t="str">
        <f t="shared" si="3"/>
        <v>Bulegeni</v>
      </c>
      <c r="F208" s="95">
        <v>198</v>
      </c>
    </row>
    <row r="209" spans="1:6">
      <c r="A209" s="95" t="s">
        <v>1086</v>
      </c>
      <c r="B209" s="95" t="s">
        <v>1081</v>
      </c>
      <c r="C209" s="95" t="s">
        <v>1081</v>
      </c>
      <c r="D209" s="95" t="str">
        <f t="shared" si="3"/>
        <v>Bulegeni Town Council</v>
      </c>
      <c r="F209" s="95">
        <v>199</v>
      </c>
    </row>
    <row r="210" spans="1:6">
      <c r="A210" s="95" t="s">
        <v>1087</v>
      </c>
      <c r="B210" s="95" t="s">
        <v>1081</v>
      </c>
      <c r="C210" s="95" t="s">
        <v>1081</v>
      </c>
      <c r="D210" s="95" t="str">
        <f t="shared" si="3"/>
        <v>Buluganya</v>
      </c>
      <c r="F210" s="95">
        <v>200</v>
      </c>
    </row>
    <row r="211" spans="1:6">
      <c r="A211" s="95" t="s">
        <v>1088</v>
      </c>
      <c r="B211" s="95" t="s">
        <v>1081</v>
      </c>
      <c r="C211" s="95" t="s">
        <v>1081</v>
      </c>
      <c r="D211" s="95" t="str">
        <f t="shared" si="3"/>
        <v>Bumasobo</v>
      </c>
      <c r="F211" s="95">
        <v>201</v>
      </c>
    </row>
    <row r="212" spans="1:6">
      <c r="A212" s="95" t="s">
        <v>1089</v>
      </c>
      <c r="B212" s="95" t="s">
        <v>1081</v>
      </c>
      <c r="C212" s="95" t="s">
        <v>1081</v>
      </c>
      <c r="D212" s="95" t="str">
        <f t="shared" si="3"/>
        <v>Bumugibole</v>
      </c>
      <c r="F212" s="95">
        <v>202</v>
      </c>
    </row>
    <row r="213" spans="1:6">
      <c r="A213" s="95" t="s">
        <v>1090</v>
      </c>
      <c r="B213" s="95" t="s">
        <v>1081</v>
      </c>
      <c r="C213" s="95" t="s">
        <v>1081</v>
      </c>
      <c r="D213" s="95" t="str">
        <f t="shared" si="3"/>
        <v>Bunambutye</v>
      </c>
      <c r="F213" s="95">
        <v>203</v>
      </c>
    </row>
    <row r="214" spans="1:6">
      <c r="A214" s="95" t="s">
        <v>1091</v>
      </c>
      <c r="B214" s="95" t="s">
        <v>1081</v>
      </c>
      <c r="C214" s="95" t="s">
        <v>1081</v>
      </c>
      <c r="D214" s="95" t="str">
        <f t="shared" si="3"/>
        <v>Bwikhonge</v>
      </c>
      <c r="F214" s="95">
        <v>204</v>
      </c>
    </row>
    <row r="215" spans="1:6">
      <c r="A215" s="95" t="s">
        <v>1092</v>
      </c>
      <c r="B215" s="95" t="s">
        <v>1081</v>
      </c>
      <c r="C215" s="95" t="s">
        <v>1081</v>
      </c>
      <c r="D215" s="95" t="str">
        <f t="shared" si="3"/>
        <v>Kamu</v>
      </c>
      <c r="F215" s="95">
        <v>205</v>
      </c>
    </row>
    <row r="216" spans="1:6">
      <c r="A216" s="95" t="s">
        <v>1093</v>
      </c>
      <c r="B216" s="95" t="s">
        <v>1081</v>
      </c>
      <c r="C216" s="95" t="s">
        <v>1081</v>
      </c>
      <c r="D216" s="95" t="str">
        <f t="shared" si="3"/>
        <v>Lusha</v>
      </c>
      <c r="F216" s="95">
        <v>206</v>
      </c>
    </row>
    <row r="217" spans="1:6">
      <c r="A217" s="95" t="s">
        <v>1094</v>
      </c>
      <c r="B217" s="95" t="s">
        <v>1081</v>
      </c>
      <c r="C217" s="95" t="s">
        <v>1081</v>
      </c>
      <c r="D217" s="95" t="str">
        <f t="shared" si="3"/>
        <v>Masiira</v>
      </c>
      <c r="F217" s="95">
        <v>207</v>
      </c>
    </row>
    <row r="218" spans="1:6">
      <c r="A218" s="95" t="s">
        <v>1095</v>
      </c>
      <c r="B218" s="95" t="s">
        <v>1081</v>
      </c>
      <c r="C218" s="95" t="s">
        <v>1081</v>
      </c>
      <c r="D218" s="95" t="str">
        <f t="shared" si="3"/>
        <v>Muyembe</v>
      </c>
      <c r="F218" s="95">
        <v>208</v>
      </c>
    </row>
    <row r="219" spans="1:6" ht="15" customHeight="1">
      <c r="A219" s="95" t="s">
        <v>1096</v>
      </c>
      <c r="B219" s="95" t="s">
        <v>1081</v>
      </c>
      <c r="C219" s="95" t="s">
        <v>1081</v>
      </c>
      <c r="D219" s="95" t="str">
        <f t="shared" si="3"/>
        <v>Nabbongo</v>
      </c>
      <c r="F219" s="95">
        <v>209</v>
      </c>
    </row>
    <row r="220" spans="1:6">
      <c r="A220" s="95" t="s">
        <v>1097</v>
      </c>
      <c r="B220" s="95" t="s">
        <v>1081</v>
      </c>
      <c r="C220" s="95" t="s">
        <v>1081</v>
      </c>
      <c r="D220" s="95" t="str">
        <f t="shared" si="3"/>
        <v>Namisuni</v>
      </c>
      <c r="F220" s="95">
        <v>210</v>
      </c>
    </row>
    <row r="221" spans="1:6">
      <c r="A221" s="95" t="s">
        <v>1098</v>
      </c>
      <c r="B221" s="95" t="s">
        <v>1081</v>
      </c>
      <c r="C221" s="95" t="s">
        <v>1081</v>
      </c>
      <c r="D221" s="95" t="str">
        <f t="shared" si="3"/>
        <v>Simu</v>
      </c>
      <c r="F221" s="95">
        <v>211</v>
      </c>
    </row>
    <row r="222" spans="1:6">
      <c r="A222" s="95" t="s">
        <v>1099</v>
      </c>
      <c r="B222" s="95" t="s">
        <v>1081</v>
      </c>
      <c r="C222" s="95" t="s">
        <v>1081</v>
      </c>
      <c r="D222" s="95" t="str">
        <f t="shared" si="3"/>
        <v>Sisiyi</v>
      </c>
      <c r="F222" s="95">
        <v>212</v>
      </c>
    </row>
    <row r="223" spans="1:6">
      <c r="A223" s="95" t="s">
        <v>1100</v>
      </c>
      <c r="B223" s="95" t="s">
        <v>1101</v>
      </c>
      <c r="C223" s="95" t="s">
        <v>1101</v>
      </c>
      <c r="D223" s="95" t="str">
        <f t="shared" si="3"/>
        <v>Biiso</v>
      </c>
      <c r="F223" s="95">
        <v>213</v>
      </c>
    </row>
    <row r="224" spans="1:6">
      <c r="A224" s="95" t="s">
        <v>1101</v>
      </c>
      <c r="B224" s="95" t="s">
        <v>1101</v>
      </c>
      <c r="C224" s="95" t="s">
        <v>1101</v>
      </c>
      <c r="D224" s="95" t="str">
        <f t="shared" si="3"/>
        <v>Buliisa</v>
      </c>
      <c r="F224" s="95">
        <v>214</v>
      </c>
    </row>
    <row r="225" spans="1:6">
      <c r="A225" s="95" t="s">
        <v>1102</v>
      </c>
      <c r="B225" s="95" t="s">
        <v>1101</v>
      </c>
      <c r="C225" s="95" t="s">
        <v>1101</v>
      </c>
      <c r="D225" s="95" t="str">
        <f t="shared" si="3"/>
        <v>Buliisa Town Council</v>
      </c>
      <c r="F225" s="95">
        <v>215</v>
      </c>
    </row>
    <row r="226" spans="1:6">
      <c r="A226" s="95" t="s">
        <v>1103</v>
      </c>
      <c r="B226" s="95" t="s">
        <v>1101</v>
      </c>
      <c r="C226" s="95" t="s">
        <v>1101</v>
      </c>
      <c r="D226" s="95" t="str">
        <f t="shared" si="3"/>
        <v>Butiaba</v>
      </c>
      <c r="F226" s="95">
        <v>216</v>
      </c>
    </row>
    <row r="227" spans="1:6">
      <c r="A227" s="95" t="s">
        <v>1104</v>
      </c>
      <c r="B227" s="95" t="s">
        <v>1101</v>
      </c>
      <c r="C227" s="95" t="s">
        <v>1101</v>
      </c>
      <c r="D227" s="95" t="str">
        <f t="shared" si="3"/>
        <v>Kigwera</v>
      </c>
      <c r="F227" s="95">
        <v>217</v>
      </c>
    </row>
    <row r="228" spans="1:6">
      <c r="A228" s="95" t="s">
        <v>1105</v>
      </c>
      <c r="B228" s="95" t="s">
        <v>1101</v>
      </c>
      <c r="C228" s="95" t="s">
        <v>1101</v>
      </c>
      <c r="D228" s="95" t="str">
        <f t="shared" si="3"/>
        <v>Kihungya</v>
      </c>
      <c r="F228" s="95">
        <v>218</v>
      </c>
    </row>
    <row r="229" spans="1:6">
      <c r="A229" s="95" t="s">
        <v>1106</v>
      </c>
      <c r="B229" s="95" t="s">
        <v>1101</v>
      </c>
      <c r="C229" s="95" t="s">
        <v>1101</v>
      </c>
      <c r="D229" s="95" t="str">
        <f t="shared" si="3"/>
        <v>Ngwedo</v>
      </c>
      <c r="F229" s="95">
        <v>219</v>
      </c>
    </row>
    <row r="230" spans="1:6">
      <c r="A230" s="95" t="s">
        <v>1107</v>
      </c>
      <c r="B230" s="95" t="s">
        <v>1108</v>
      </c>
      <c r="C230" s="95" t="s">
        <v>1109</v>
      </c>
      <c r="D230" s="95" t="str">
        <f t="shared" si="3"/>
        <v>Bubandi</v>
      </c>
      <c r="F230" s="95">
        <v>220</v>
      </c>
    </row>
    <row r="231" spans="1:6">
      <c r="A231" s="95" t="s">
        <v>1110</v>
      </c>
      <c r="B231" s="95" t="s">
        <v>1108</v>
      </c>
      <c r="C231" s="95" t="s">
        <v>1109</v>
      </c>
      <c r="D231" s="95" t="str">
        <f t="shared" si="3"/>
        <v>Bubukwanga</v>
      </c>
      <c r="F231" s="95">
        <v>221</v>
      </c>
    </row>
    <row r="232" spans="1:6">
      <c r="A232" s="95" t="s">
        <v>1111</v>
      </c>
      <c r="B232" s="95" t="s">
        <v>1108</v>
      </c>
      <c r="C232" s="95" t="s">
        <v>1112</v>
      </c>
      <c r="D232" s="95" t="str">
        <f t="shared" si="3"/>
        <v>Bukonzo</v>
      </c>
      <c r="F232" s="95">
        <v>222</v>
      </c>
    </row>
    <row r="233" spans="1:6">
      <c r="A233" s="95" t="s">
        <v>1113</v>
      </c>
      <c r="B233" s="95" t="s">
        <v>1108</v>
      </c>
      <c r="C233" s="95" t="s">
        <v>1109</v>
      </c>
      <c r="D233" s="95" t="str">
        <f t="shared" si="3"/>
        <v>Bundibugyo Town Council</v>
      </c>
      <c r="F233" s="95">
        <v>223</v>
      </c>
    </row>
    <row r="234" spans="1:6">
      <c r="A234" s="95" t="s">
        <v>1114</v>
      </c>
      <c r="B234" s="95" t="s">
        <v>1108</v>
      </c>
      <c r="C234" s="95" t="s">
        <v>1109</v>
      </c>
      <c r="D234" s="95" t="str">
        <f t="shared" si="3"/>
        <v>Bundingoma</v>
      </c>
      <c r="F234" s="95">
        <v>224</v>
      </c>
    </row>
    <row r="235" spans="1:6">
      <c r="A235" s="95" t="s">
        <v>1115</v>
      </c>
      <c r="B235" s="95" t="s">
        <v>1108</v>
      </c>
      <c r="C235" s="95" t="s">
        <v>1112</v>
      </c>
      <c r="D235" s="95" t="str">
        <f t="shared" si="3"/>
        <v>Burondo</v>
      </c>
      <c r="F235" s="95">
        <v>225</v>
      </c>
    </row>
    <row r="236" spans="1:6">
      <c r="A236" s="95" t="s">
        <v>1116</v>
      </c>
      <c r="B236" s="95" t="s">
        <v>1108</v>
      </c>
      <c r="C236" s="95" t="s">
        <v>1109</v>
      </c>
      <c r="D236" s="95" t="str">
        <f t="shared" si="3"/>
        <v>Busaru</v>
      </c>
      <c r="F236" s="95">
        <v>226</v>
      </c>
    </row>
    <row r="237" spans="1:6">
      <c r="A237" s="95" t="s">
        <v>1117</v>
      </c>
      <c r="B237" s="95" t="s">
        <v>1108</v>
      </c>
      <c r="C237" s="95" t="s">
        <v>1112</v>
      </c>
      <c r="D237" s="95" t="str">
        <f t="shared" si="3"/>
        <v>Harugale</v>
      </c>
      <c r="F237" s="95">
        <v>227</v>
      </c>
    </row>
    <row r="238" spans="1:6">
      <c r="A238" s="95" t="s">
        <v>1118</v>
      </c>
      <c r="B238" s="95" t="s">
        <v>1108</v>
      </c>
      <c r="C238" s="95" t="s">
        <v>1112</v>
      </c>
      <c r="D238" s="95" t="str">
        <f t="shared" si="3"/>
        <v>Kagugu</v>
      </c>
      <c r="F238" s="95">
        <v>228</v>
      </c>
    </row>
    <row r="239" spans="1:6">
      <c r="A239" s="95" t="s">
        <v>1119</v>
      </c>
      <c r="B239" s="95" t="s">
        <v>1108</v>
      </c>
      <c r="C239" s="95" t="s">
        <v>1112</v>
      </c>
      <c r="D239" s="95" t="str">
        <f t="shared" si="3"/>
        <v>Kasitu</v>
      </c>
      <c r="F239" s="95">
        <v>229</v>
      </c>
    </row>
    <row r="240" spans="1:6">
      <c r="A240" s="95" t="s">
        <v>1120</v>
      </c>
      <c r="B240" s="95" t="s">
        <v>1108</v>
      </c>
      <c r="C240" s="95" t="s">
        <v>1109</v>
      </c>
      <c r="D240" s="95" t="str">
        <f t="shared" si="3"/>
        <v>Kirumya</v>
      </c>
      <c r="F240" s="95">
        <v>230</v>
      </c>
    </row>
    <row r="241" spans="1:6">
      <c r="A241" s="95" t="s">
        <v>1121</v>
      </c>
      <c r="B241" s="95" t="s">
        <v>1108</v>
      </c>
      <c r="C241" s="95" t="s">
        <v>1109</v>
      </c>
      <c r="D241" s="95" t="str">
        <f t="shared" si="3"/>
        <v>Kisubba</v>
      </c>
      <c r="F241" s="95">
        <v>231</v>
      </c>
    </row>
    <row r="242" spans="1:6">
      <c r="A242" s="95" t="s">
        <v>1122</v>
      </c>
      <c r="B242" s="95" t="s">
        <v>1108</v>
      </c>
      <c r="C242" s="95" t="s">
        <v>1109</v>
      </c>
      <c r="D242" s="95" t="str">
        <f t="shared" si="3"/>
        <v>Mirambi</v>
      </c>
      <c r="F242" s="95">
        <v>232</v>
      </c>
    </row>
    <row r="243" spans="1:6">
      <c r="A243" s="95" t="s">
        <v>1123</v>
      </c>
      <c r="B243" s="95" t="s">
        <v>1108</v>
      </c>
      <c r="C243" s="95" t="s">
        <v>1112</v>
      </c>
      <c r="D243" s="95" t="str">
        <f t="shared" si="3"/>
        <v>Nduguto</v>
      </c>
      <c r="F243" s="95">
        <v>233</v>
      </c>
    </row>
    <row r="244" spans="1:6">
      <c r="A244" s="95" t="s">
        <v>1124</v>
      </c>
      <c r="B244" s="95" t="s">
        <v>1108</v>
      </c>
      <c r="C244" s="95" t="s">
        <v>1112</v>
      </c>
      <c r="D244" s="95" t="str">
        <f t="shared" si="3"/>
        <v>Ngamba</v>
      </c>
      <c r="F244" s="95">
        <v>234</v>
      </c>
    </row>
    <row r="245" spans="1:6">
      <c r="A245" s="95" t="s">
        <v>1125</v>
      </c>
      <c r="B245" s="95" t="s">
        <v>1108</v>
      </c>
      <c r="C245" s="95" t="s">
        <v>1112</v>
      </c>
      <c r="D245" s="95" t="str">
        <f t="shared" si="3"/>
        <v>Ntandi Town Council</v>
      </c>
      <c r="F245" s="95">
        <v>235</v>
      </c>
    </row>
    <row r="246" spans="1:6">
      <c r="A246" s="95" t="s">
        <v>1126</v>
      </c>
      <c r="B246" s="95" t="s">
        <v>1108</v>
      </c>
      <c r="C246" s="95" t="s">
        <v>1112</v>
      </c>
      <c r="D246" s="95" t="str">
        <f t="shared" si="3"/>
        <v>Ntotoro</v>
      </c>
      <c r="F246" s="95">
        <v>236</v>
      </c>
    </row>
    <row r="247" spans="1:6">
      <c r="A247" s="95" t="s">
        <v>1127</v>
      </c>
      <c r="B247" s="95" t="s">
        <v>1108</v>
      </c>
      <c r="C247" s="95" t="s">
        <v>1109</v>
      </c>
      <c r="D247" s="95" t="str">
        <f t="shared" si="3"/>
        <v>Nyahuka Town Council</v>
      </c>
      <c r="F247" s="95">
        <v>237</v>
      </c>
    </row>
    <row r="248" spans="1:6">
      <c r="A248" s="95" t="s">
        <v>1128</v>
      </c>
      <c r="B248" s="95" t="s">
        <v>1108</v>
      </c>
      <c r="C248" s="95" t="s">
        <v>1112</v>
      </c>
      <c r="D248" s="95" t="str">
        <f t="shared" si="3"/>
        <v>Sindila</v>
      </c>
      <c r="F248" s="95">
        <v>238</v>
      </c>
    </row>
    <row r="249" spans="1:6">
      <c r="A249" s="95" t="s">
        <v>1129</v>
      </c>
      <c r="B249" s="95" t="s">
        <v>1108</v>
      </c>
      <c r="C249" s="95" t="s">
        <v>1109</v>
      </c>
      <c r="D249" s="95" t="str">
        <f t="shared" si="3"/>
        <v>Tokwe</v>
      </c>
      <c r="F249" s="95">
        <v>239</v>
      </c>
    </row>
    <row r="250" spans="1:6">
      <c r="A250" s="95" t="s">
        <v>1130</v>
      </c>
      <c r="B250" s="95" t="s">
        <v>1131</v>
      </c>
      <c r="C250" s="95" t="s">
        <v>1131</v>
      </c>
      <c r="D250" s="95" t="str">
        <f t="shared" si="3"/>
        <v>Buheesi</v>
      </c>
      <c r="F250" s="95">
        <v>240</v>
      </c>
    </row>
    <row r="251" spans="1:6">
      <c r="A251" s="95" t="s">
        <v>1132</v>
      </c>
      <c r="B251" s="95" t="s">
        <v>1131</v>
      </c>
      <c r="C251" s="95" t="s">
        <v>1131</v>
      </c>
      <c r="D251" s="95" t="str">
        <f t="shared" si="3"/>
        <v>Buheesi Town Council</v>
      </c>
      <c r="F251" s="95">
        <v>241</v>
      </c>
    </row>
    <row r="252" spans="1:6">
      <c r="A252" s="95" t="s">
        <v>1133</v>
      </c>
      <c r="B252" s="95" t="s">
        <v>1131</v>
      </c>
      <c r="C252" s="95" t="s">
        <v>1131</v>
      </c>
      <c r="D252" s="95" t="str">
        <f t="shared" si="3"/>
        <v>Kabonero</v>
      </c>
      <c r="F252" s="95">
        <v>242</v>
      </c>
    </row>
    <row r="253" spans="1:6">
      <c r="A253" s="95" t="s">
        <v>1134</v>
      </c>
      <c r="B253" s="95" t="s">
        <v>1131</v>
      </c>
      <c r="C253" s="95" t="s">
        <v>1131</v>
      </c>
      <c r="D253" s="95" t="str">
        <f t="shared" si="3"/>
        <v>Katebwa</v>
      </c>
      <c r="F253" s="95">
        <v>243</v>
      </c>
    </row>
    <row r="254" spans="1:6">
      <c r="A254" s="95" t="s">
        <v>1135</v>
      </c>
      <c r="B254" s="95" t="s">
        <v>1131</v>
      </c>
      <c r="C254" s="95" t="s">
        <v>1131</v>
      </c>
      <c r="D254" s="95" t="str">
        <f t="shared" si="3"/>
        <v>Kibiito</v>
      </c>
      <c r="F254" s="95">
        <v>244</v>
      </c>
    </row>
    <row r="255" spans="1:6">
      <c r="A255" s="95" t="s">
        <v>1136</v>
      </c>
      <c r="B255" s="95" t="s">
        <v>1131</v>
      </c>
      <c r="C255" s="95" t="s">
        <v>1131</v>
      </c>
      <c r="D255" s="95" t="str">
        <f t="shared" si="3"/>
        <v>Kibiito Town Council</v>
      </c>
      <c r="F255" s="95">
        <v>245</v>
      </c>
    </row>
    <row r="256" spans="1:6">
      <c r="A256" s="95" t="s">
        <v>1137</v>
      </c>
      <c r="B256" s="95" t="s">
        <v>1131</v>
      </c>
      <c r="C256" s="95" t="s">
        <v>1131</v>
      </c>
      <c r="D256" s="95" t="str">
        <f t="shared" si="3"/>
        <v>Kisomoro</v>
      </c>
      <c r="F256" s="95">
        <v>246</v>
      </c>
    </row>
    <row r="257" spans="1:6">
      <c r="A257" s="95" t="s">
        <v>1138</v>
      </c>
      <c r="B257" s="95" t="s">
        <v>1131</v>
      </c>
      <c r="C257" s="95" t="s">
        <v>1131</v>
      </c>
      <c r="D257" s="95" t="str">
        <f t="shared" si="3"/>
        <v>Kyamukube Town Council</v>
      </c>
      <c r="F257" s="95">
        <v>247</v>
      </c>
    </row>
    <row r="258" spans="1:6">
      <c r="A258" s="95" t="s">
        <v>1139</v>
      </c>
      <c r="B258" s="95" t="s">
        <v>1131</v>
      </c>
      <c r="C258" s="95" t="s">
        <v>1131</v>
      </c>
      <c r="D258" s="95" t="str">
        <f t="shared" si="3"/>
        <v>Rubona Town Council</v>
      </c>
      <c r="F258" s="95">
        <v>248</v>
      </c>
    </row>
    <row r="259" spans="1:6">
      <c r="A259" s="95" t="s">
        <v>1140</v>
      </c>
      <c r="B259" s="95" t="s">
        <v>1131</v>
      </c>
      <c r="C259" s="95" t="s">
        <v>1131</v>
      </c>
      <c r="D259" s="95" t="str">
        <f t="shared" si="3"/>
        <v>Rwimi</v>
      </c>
      <c r="F259" s="95">
        <v>249</v>
      </c>
    </row>
    <row r="260" spans="1:6">
      <c r="A260" s="95" t="s">
        <v>1141</v>
      </c>
      <c r="B260" s="95" t="s">
        <v>1131</v>
      </c>
      <c r="C260" s="95" t="s">
        <v>1131</v>
      </c>
      <c r="D260" s="95" t="str">
        <f t="shared" si="3"/>
        <v>Rwimi Town Council</v>
      </c>
      <c r="F260" s="95">
        <v>250</v>
      </c>
    </row>
    <row r="261" spans="1:6">
      <c r="A261" s="95" t="s">
        <v>1142</v>
      </c>
      <c r="B261" s="95" t="s">
        <v>38</v>
      </c>
      <c r="C261" s="95" t="s">
        <v>1143</v>
      </c>
      <c r="D261" s="95" t="str">
        <f t="shared" si="3"/>
        <v>Bitooma</v>
      </c>
      <c r="F261" s="95">
        <v>251</v>
      </c>
    </row>
    <row r="262" spans="1:6">
      <c r="A262" s="95" t="s">
        <v>1144</v>
      </c>
      <c r="B262" s="95" t="s">
        <v>38</v>
      </c>
      <c r="C262" s="95" t="s">
        <v>1143</v>
      </c>
      <c r="D262" s="95" t="str">
        <f t="shared" si="3"/>
        <v>Bumbaire</v>
      </c>
      <c r="F262" s="95">
        <v>252</v>
      </c>
    </row>
    <row r="263" spans="1:6">
      <c r="A263" s="95" t="s">
        <v>1145</v>
      </c>
      <c r="B263" s="95" t="s">
        <v>38</v>
      </c>
      <c r="C263" s="95" t="s">
        <v>1145</v>
      </c>
      <c r="D263" s="95" t="str">
        <f t="shared" si="3"/>
        <v>Bushenyi-Ishaka Municipality</v>
      </c>
      <c r="F263" s="95">
        <v>253</v>
      </c>
    </row>
    <row r="264" spans="1:6">
      <c r="A264" s="95" t="s">
        <v>1146</v>
      </c>
      <c r="D264" s="95" t="str">
        <f t="shared" si="3"/>
        <v>BUSHENYI</v>
      </c>
      <c r="F264" s="95">
        <v>253</v>
      </c>
    </row>
    <row r="265" spans="1:6">
      <c r="A265" s="95" t="s">
        <v>1147</v>
      </c>
      <c r="F265" s="95">
        <v>253</v>
      </c>
    </row>
    <row r="266" spans="1:6">
      <c r="A266" s="95" t="s">
        <v>1148</v>
      </c>
      <c r="B266" s="95" t="s">
        <v>38</v>
      </c>
      <c r="C266" s="95" t="s">
        <v>1143</v>
      </c>
      <c r="D266" s="95" t="str">
        <f t="shared" si="3"/>
        <v>Ibaare</v>
      </c>
      <c r="F266" s="95">
        <v>254</v>
      </c>
    </row>
    <row r="267" spans="1:6">
      <c r="A267" s="95" t="s">
        <v>1149</v>
      </c>
      <c r="B267" s="95" t="s">
        <v>38</v>
      </c>
      <c r="C267" s="95" t="s">
        <v>1143</v>
      </c>
      <c r="D267" s="95" t="str">
        <f t="shared" si="3"/>
        <v>Kakanju</v>
      </c>
      <c r="F267" s="95">
        <v>255</v>
      </c>
    </row>
    <row r="268" spans="1:6">
      <c r="A268" s="95" t="s">
        <v>1150</v>
      </c>
      <c r="B268" s="95" t="s">
        <v>38</v>
      </c>
      <c r="C268" s="95" t="s">
        <v>1143</v>
      </c>
      <c r="D268" s="95" t="str">
        <f t="shared" si="3"/>
        <v>Kyabugimbi</v>
      </c>
      <c r="F268" s="95">
        <v>256</v>
      </c>
    </row>
    <row r="269" spans="1:6">
      <c r="A269" s="95" t="s">
        <v>51</v>
      </c>
      <c r="B269" s="95" t="s">
        <v>38</v>
      </c>
      <c r="C269" s="95" t="s">
        <v>1143</v>
      </c>
      <c r="D269" s="95" t="str">
        <f t="shared" si="3"/>
        <v>Kyamuhunga</v>
      </c>
      <c r="F269" s="95">
        <v>257</v>
      </c>
    </row>
    <row r="270" spans="1:6">
      <c r="A270" s="95" t="s">
        <v>1151</v>
      </c>
      <c r="B270" s="95" t="s">
        <v>38</v>
      </c>
      <c r="C270" s="95" t="s">
        <v>1143</v>
      </c>
      <c r="D270" s="95" t="str">
        <f t="shared" ref="D270:D337" si="4">A270</f>
        <v>Kyamuhunga Town Council</v>
      </c>
      <c r="F270" s="95">
        <v>258</v>
      </c>
    </row>
    <row r="271" spans="1:6">
      <c r="A271" s="95" t="s">
        <v>1152</v>
      </c>
      <c r="B271" s="95" t="s">
        <v>38</v>
      </c>
      <c r="C271" s="95" t="s">
        <v>1143</v>
      </c>
      <c r="D271" s="95" t="str">
        <f t="shared" si="4"/>
        <v>Kyeizooba</v>
      </c>
      <c r="F271" s="95">
        <v>259</v>
      </c>
    </row>
    <row r="272" spans="1:6">
      <c r="A272" s="95" t="s">
        <v>1153</v>
      </c>
      <c r="B272" s="95" t="s">
        <v>38</v>
      </c>
      <c r="C272" s="95" t="s">
        <v>1143</v>
      </c>
      <c r="D272" s="95" t="str">
        <f t="shared" si="4"/>
        <v>Nyabubare</v>
      </c>
      <c r="F272" s="95">
        <v>260</v>
      </c>
    </row>
    <row r="273" spans="1:6">
      <c r="A273" s="95" t="s">
        <v>1154</v>
      </c>
      <c r="B273" s="95" t="s">
        <v>38</v>
      </c>
      <c r="C273" s="95" t="s">
        <v>1143</v>
      </c>
      <c r="D273" s="95" t="str">
        <f t="shared" si="4"/>
        <v>Ruhumuro</v>
      </c>
      <c r="F273" s="95">
        <v>261</v>
      </c>
    </row>
    <row r="274" spans="1:6">
      <c r="A274" s="95" t="s">
        <v>1155</v>
      </c>
      <c r="B274" s="95" t="s">
        <v>1156</v>
      </c>
      <c r="C274" s="95" t="s">
        <v>1157</v>
      </c>
      <c r="D274" s="95" t="str">
        <f t="shared" si="4"/>
        <v>Buhehe</v>
      </c>
      <c r="F274" s="95">
        <v>262</v>
      </c>
    </row>
    <row r="275" spans="1:6">
      <c r="A275" s="95" t="s">
        <v>1158</v>
      </c>
      <c r="B275" s="95" t="s">
        <v>1156</v>
      </c>
      <c r="C275" s="95" t="s">
        <v>1157</v>
      </c>
      <c r="D275" s="95" t="str">
        <f t="shared" si="4"/>
        <v>Bulumbi</v>
      </c>
      <c r="F275" s="95">
        <v>263</v>
      </c>
    </row>
    <row r="276" spans="1:6">
      <c r="A276" s="96" t="s">
        <v>1159</v>
      </c>
      <c r="B276" s="95" t="s">
        <v>1156</v>
      </c>
      <c r="C276" s="95" t="s">
        <v>1159</v>
      </c>
      <c r="D276" s="95" t="str">
        <f t="shared" si="4"/>
        <v>Busia Municipality</v>
      </c>
      <c r="F276" s="95">
        <v>264</v>
      </c>
    </row>
    <row r="277" spans="1:6">
      <c r="A277" s="95" t="s">
        <v>1160</v>
      </c>
      <c r="D277" s="95" t="str">
        <f t="shared" si="4"/>
        <v>Busia town</v>
      </c>
      <c r="F277" s="95">
        <v>264</v>
      </c>
    </row>
    <row r="278" spans="1:6">
      <c r="A278" s="95" t="s">
        <v>1161</v>
      </c>
      <c r="B278" s="95" t="s">
        <v>1156</v>
      </c>
      <c r="C278" s="95" t="s">
        <v>1157</v>
      </c>
      <c r="D278" s="95" t="str">
        <f t="shared" si="4"/>
        <v>Busime</v>
      </c>
      <c r="F278" s="95">
        <v>265</v>
      </c>
    </row>
    <row r="279" spans="1:6">
      <c r="A279" s="95" t="s">
        <v>1162</v>
      </c>
      <c r="B279" s="95" t="s">
        <v>1156</v>
      </c>
      <c r="C279" s="95" t="s">
        <v>1157</v>
      </c>
      <c r="D279" s="95" t="str">
        <f t="shared" si="4"/>
        <v>Busitema</v>
      </c>
      <c r="F279" s="95">
        <v>266</v>
      </c>
    </row>
    <row r="280" spans="1:6">
      <c r="A280" s="95" t="s">
        <v>1163</v>
      </c>
      <c r="B280" s="95" t="s">
        <v>1156</v>
      </c>
      <c r="C280" s="95" t="s">
        <v>1157</v>
      </c>
      <c r="D280" s="95" t="str">
        <f t="shared" si="4"/>
        <v>Buteba</v>
      </c>
      <c r="F280" s="95">
        <v>267</v>
      </c>
    </row>
    <row r="281" spans="1:6">
      <c r="A281" s="95" t="s">
        <v>1164</v>
      </c>
      <c r="B281" s="95" t="s">
        <v>1156</v>
      </c>
      <c r="C281" s="95" t="s">
        <v>1157</v>
      </c>
      <c r="D281" s="95" t="str">
        <f t="shared" si="4"/>
        <v>Buyanga-Busia</v>
      </c>
      <c r="F281" s="95">
        <v>268</v>
      </c>
    </row>
    <row r="282" spans="1:6">
      <c r="A282" s="95" t="s">
        <v>1165</v>
      </c>
      <c r="B282" s="95" t="s">
        <v>1156</v>
      </c>
      <c r="C282" s="95" t="s">
        <v>1157</v>
      </c>
      <c r="D282" s="95" t="str">
        <f t="shared" si="4"/>
        <v>Dabani</v>
      </c>
      <c r="F282" s="95">
        <v>269</v>
      </c>
    </row>
    <row r="283" spans="1:6">
      <c r="A283" s="95" t="s">
        <v>1166</v>
      </c>
      <c r="B283" s="95" t="s">
        <v>1156</v>
      </c>
      <c r="C283" s="95" t="s">
        <v>1157</v>
      </c>
      <c r="D283" s="95" t="str">
        <f t="shared" si="4"/>
        <v>Lumino</v>
      </c>
      <c r="F283" s="95">
        <v>270</v>
      </c>
    </row>
    <row r="284" spans="1:6">
      <c r="A284" s="95" t="s">
        <v>1167</v>
      </c>
      <c r="B284" s="95" t="s">
        <v>1156</v>
      </c>
      <c r="C284" s="95" t="s">
        <v>1157</v>
      </c>
      <c r="D284" s="95" t="str">
        <f t="shared" si="4"/>
        <v>Lunyo</v>
      </c>
      <c r="F284" s="95">
        <v>271</v>
      </c>
    </row>
    <row r="285" spans="1:6">
      <c r="A285" s="95" t="s">
        <v>1168</v>
      </c>
      <c r="B285" s="95" t="s">
        <v>1156</v>
      </c>
      <c r="C285" s="95" t="s">
        <v>1157</v>
      </c>
      <c r="D285" s="95" t="str">
        <f t="shared" si="4"/>
        <v>Majanji</v>
      </c>
      <c r="F285" s="95">
        <v>272</v>
      </c>
    </row>
    <row r="286" spans="1:6">
      <c r="A286" s="95" t="s">
        <v>1169</v>
      </c>
      <c r="B286" s="95" t="s">
        <v>1156</v>
      </c>
      <c r="C286" s="95" t="s">
        <v>1157</v>
      </c>
      <c r="D286" s="95" t="str">
        <f t="shared" si="4"/>
        <v>Masaba-Busia</v>
      </c>
      <c r="F286" s="95">
        <v>273</v>
      </c>
    </row>
    <row r="287" spans="1:6">
      <c r="A287" s="95" t="s">
        <v>1170</v>
      </c>
      <c r="B287" s="95" t="s">
        <v>1156</v>
      </c>
      <c r="C287" s="95" t="s">
        <v>1157</v>
      </c>
      <c r="D287" s="95" t="str">
        <f t="shared" si="4"/>
        <v>Masafu</v>
      </c>
      <c r="F287" s="95">
        <v>274</v>
      </c>
    </row>
    <row r="288" spans="1:6">
      <c r="A288" s="95" t="s">
        <v>1171</v>
      </c>
      <c r="B288" s="95" t="s">
        <v>1156</v>
      </c>
      <c r="C288" s="95" t="s">
        <v>1157</v>
      </c>
      <c r="D288" s="95" t="str">
        <f t="shared" si="4"/>
        <v>Masinya</v>
      </c>
      <c r="F288" s="95">
        <v>275</v>
      </c>
    </row>
    <row r="289" spans="1:6">
      <c r="A289" s="95" t="s">
        <v>1172</v>
      </c>
      <c r="B289" s="95" t="s">
        <v>1156</v>
      </c>
      <c r="C289" s="95" t="s">
        <v>1157</v>
      </c>
      <c r="D289" s="95" t="str">
        <f t="shared" si="4"/>
        <v>Sikuda</v>
      </c>
      <c r="F289" s="95">
        <v>276</v>
      </c>
    </row>
    <row r="290" spans="1:6">
      <c r="A290" s="95" t="s">
        <v>1173</v>
      </c>
      <c r="B290" s="95" t="s">
        <v>1174</v>
      </c>
      <c r="C290" s="95" t="s">
        <v>1175</v>
      </c>
      <c r="D290" s="95" t="str">
        <f t="shared" si="4"/>
        <v>Budumba</v>
      </c>
      <c r="F290" s="95">
        <v>277</v>
      </c>
    </row>
    <row r="291" spans="1:6">
      <c r="A291" s="95" t="s">
        <v>1176</v>
      </c>
      <c r="B291" s="95" t="s">
        <v>1174</v>
      </c>
      <c r="C291" s="95" t="s">
        <v>1175</v>
      </c>
      <c r="D291" s="95" t="str">
        <f t="shared" si="4"/>
        <v>Busaba</v>
      </c>
      <c r="F291" s="95">
        <v>278</v>
      </c>
    </row>
    <row r="292" spans="1:6">
      <c r="A292" s="95" t="s">
        <v>1177</v>
      </c>
      <c r="B292" s="95" t="s">
        <v>1174</v>
      </c>
      <c r="C292" s="95" t="s">
        <v>1175</v>
      </c>
      <c r="D292" s="95" t="str">
        <f t="shared" si="4"/>
        <v>Busabi</v>
      </c>
      <c r="F292" s="95">
        <v>279</v>
      </c>
    </row>
    <row r="293" spans="1:6">
      <c r="A293" s="95" t="s">
        <v>1178</v>
      </c>
      <c r="B293" s="95" t="s">
        <v>1174</v>
      </c>
      <c r="C293" s="95" t="s">
        <v>1175</v>
      </c>
      <c r="D293" s="95" t="str">
        <f t="shared" si="4"/>
        <v>Busolwe</v>
      </c>
      <c r="F293" s="95">
        <v>280</v>
      </c>
    </row>
    <row r="294" spans="1:6">
      <c r="A294" s="95" t="s">
        <v>1179</v>
      </c>
      <c r="B294" s="95" t="s">
        <v>1174</v>
      </c>
      <c r="C294" s="95" t="s">
        <v>1175</v>
      </c>
      <c r="D294" s="95" t="str">
        <f t="shared" si="4"/>
        <v>Busolwe Town Council</v>
      </c>
      <c r="F294" s="95">
        <v>281</v>
      </c>
    </row>
    <row r="295" spans="1:6">
      <c r="A295" s="95" t="s">
        <v>1174</v>
      </c>
      <c r="B295" s="95" t="s">
        <v>1174</v>
      </c>
      <c r="C295" s="95" t="s">
        <v>1175</v>
      </c>
      <c r="D295" s="95" t="str">
        <f t="shared" si="4"/>
        <v>Butaleja</v>
      </c>
      <c r="F295" s="95">
        <v>282</v>
      </c>
    </row>
    <row r="296" spans="1:6">
      <c r="A296" s="95" t="s">
        <v>1180</v>
      </c>
      <c r="B296" s="95" t="s">
        <v>1174</v>
      </c>
      <c r="C296" s="95" t="s">
        <v>1175</v>
      </c>
      <c r="D296" s="95" t="str">
        <f t="shared" si="4"/>
        <v>Butaleja Town Council</v>
      </c>
      <c r="F296" s="95">
        <v>283</v>
      </c>
    </row>
    <row r="297" spans="1:6">
      <c r="A297" s="95" t="s">
        <v>1181</v>
      </c>
      <c r="B297" s="95" t="s">
        <v>1174</v>
      </c>
      <c r="C297" s="95" t="s">
        <v>1175</v>
      </c>
      <c r="D297" s="95" t="str">
        <f t="shared" si="4"/>
        <v>Himutu</v>
      </c>
      <c r="F297" s="95">
        <v>284</v>
      </c>
    </row>
    <row r="298" spans="1:6">
      <c r="A298" s="95" t="s">
        <v>1182</v>
      </c>
      <c r="B298" s="95" t="s">
        <v>1174</v>
      </c>
      <c r="C298" s="95" t="s">
        <v>1175</v>
      </c>
      <c r="D298" s="95" t="str">
        <f t="shared" si="4"/>
        <v>Kachonga</v>
      </c>
      <c r="F298" s="95">
        <v>285</v>
      </c>
    </row>
    <row r="299" spans="1:6">
      <c r="A299" s="95" t="s">
        <v>1183</v>
      </c>
      <c r="B299" s="95" t="s">
        <v>1174</v>
      </c>
      <c r="C299" s="95" t="s">
        <v>1175</v>
      </c>
      <c r="D299" s="95" t="str">
        <f t="shared" si="4"/>
        <v>Mazimasa</v>
      </c>
      <c r="F299" s="95">
        <v>286</v>
      </c>
    </row>
    <row r="300" spans="1:6">
      <c r="A300" s="95" t="s">
        <v>1184</v>
      </c>
      <c r="B300" s="95" t="s">
        <v>1174</v>
      </c>
      <c r="C300" s="95" t="s">
        <v>1175</v>
      </c>
      <c r="D300" s="95" t="str">
        <f t="shared" si="4"/>
        <v>Nawanjofu</v>
      </c>
      <c r="F300" s="95">
        <v>287</v>
      </c>
    </row>
    <row r="301" spans="1:6">
      <c r="A301" s="95" t="s">
        <v>1185</v>
      </c>
      <c r="B301" s="95" t="s">
        <v>1174</v>
      </c>
      <c r="C301" s="95" t="s">
        <v>1175</v>
      </c>
      <c r="D301" s="95" t="str">
        <f t="shared" si="4"/>
        <v>Naweyo</v>
      </c>
      <c r="F301" s="95">
        <v>288</v>
      </c>
    </row>
    <row r="302" spans="1:6">
      <c r="A302" s="95" t="s">
        <v>1186</v>
      </c>
      <c r="B302" s="95" t="s">
        <v>1187</v>
      </c>
      <c r="C302" s="95" t="s">
        <v>1187</v>
      </c>
      <c r="D302" s="95" t="str">
        <f t="shared" si="4"/>
        <v>Budde</v>
      </c>
      <c r="F302" s="95">
        <v>289</v>
      </c>
    </row>
    <row r="303" spans="1:6">
      <c r="A303" s="95" t="s">
        <v>1188</v>
      </c>
      <c r="B303" s="95" t="s">
        <v>1187</v>
      </c>
      <c r="C303" s="95" t="s">
        <v>1187</v>
      </c>
      <c r="D303" s="95" t="str">
        <f t="shared" si="4"/>
        <v>Bulo</v>
      </c>
      <c r="F303" s="95">
        <v>290</v>
      </c>
    </row>
    <row r="304" spans="1:6">
      <c r="A304" s="95" t="s">
        <v>1189</v>
      </c>
      <c r="B304" s="95" t="s">
        <v>1187</v>
      </c>
      <c r="C304" s="95" t="s">
        <v>1187</v>
      </c>
      <c r="D304" s="95" t="str">
        <f t="shared" si="4"/>
        <v>Gombe Town Council</v>
      </c>
      <c r="F304" s="95">
        <v>291</v>
      </c>
    </row>
    <row r="305" spans="1:6">
      <c r="A305" s="95" t="s">
        <v>1190</v>
      </c>
      <c r="B305" s="95" t="s">
        <v>1187</v>
      </c>
      <c r="C305" s="95" t="s">
        <v>1187</v>
      </c>
      <c r="D305" s="95" t="str">
        <f t="shared" si="4"/>
        <v>Kalamba</v>
      </c>
      <c r="F305" s="95">
        <v>292</v>
      </c>
    </row>
    <row r="306" spans="1:6">
      <c r="A306" s="95" t="s">
        <v>1191</v>
      </c>
      <c r="B306" s="95" t="s">
        <v>1187</v>
      </c>
      <c r="C306" s="95" t="s">
        <v>1187</v>
      </c>
      <c r="D306" s="95" t="str">
        <f t="shared" si="4"/>
        <v>Kibibi</v>
      </c>
      <c r="F306" s="95">
        <v>293</v>
      </c>
    </row>
    <row r="307" spans="1:6">
      <c r="A307" s="95" t="s">
        <v>1192</v>
      </c>
      <c r="B307" s="95" t="s">
        <v>1187</v>
      </c>
      <c r="C307" s="95" t="s">
        <v>1187</v>
      </c>
      <c r="D307" s="95" t="str">
        <f t="shared" si="4"/>
        <v>Ngando</v>
      </c>
      <c r="F307" s="95">
        <v>294</v>
      </c>
    </row>
    <row r="308" spans="1:6">
      <c r="A308" s="95" t="s">
        <v>1193</v>
      </c>
      <c r="B308" s="95" t="s">
        <v>1193</v>
      </c>
      <c r="C308" s="95" t="s">
        <v>1194</v>
      </c>
      <c r="D308" s="95" t="str">
        <f t="shared" si="4"/>
        <v>Butebo</v>
      </c>
      <c r="F308" s="95">
        <v>295</v>
      </c>
    </row>
    <row r="309" spans="1:6">
      <c r="A309" s="95" t="s">
        <v>1195</v>
      </c>
      <c r="B309" s="95" t="s">
        <v>1193</v>
      </c>
      <c r="C309" s="95" t="s">
        <v>1194</v>
      </c>
      <c r="D309" s="95" t="str">
        <f t="shared" si="4"/>
        <v>Kabwangasi</v>
      </c>
      <c r="F309" s="95">
        <v>296</v>
      </c>
    </row>
    <row r="310" spans="1:6">
      <c r="A310" s="95" t="s">
        <v>1196</v>
      </c>
      <c r="B310" s="95" t="s">
        <v>1193</v>
      </c>
      <c r="C310" s="95" t="s">
        <v>1194</v>
      </c>
      <c r="D310" s="95" t="str">
        <f t="shared" si="4"/>
        <v>Kakoro</v>
      </c>
      <c r="F310" s="95">
        <v>297</v>
      </c>
    </row>
    <row r="311" spans="1:6">
      <c r="A311" s="95" t="s">
        <v>1197</v>
      </c>
      <c r="B311" s="95" t="s">
        <v>1193</v>
      </c>
      <c r="C311" s="95" t="s">
        <v>1194</v>
      </c>
      <c r="D311" s="95" t="str">
        <f t="shared" si="4"/>
        <v>Kanginima</v>
      </c>
      <c r="F311" s="95">
        <v>298</v>
      </c>
    </row>
    <row r="312" spans="1:6">
      <c r="A312" s="95" t="s">
        <v>1198</v>
      </c>
      <c r="B312" s="95" t="s">
        <v>1193</v>
      </c>
      <c r="C312" s="95" t="s">
        <v>1194</v>
      </c>
      <c r="D312" s="95" t="str">
        <f t="shared" si="4"/>
        <v>Kibale</v>
      </c>
      <c r="F312" s="95">
        <v>299</v>
      </c>
    </row>
    <row r="313" spans="1:6">
      <c r="A313" s="95" t="s">
        <v>1199</v>
      </c>
      <c r="D313" s="95" t="str">
        <f t="shared" si="4"/>
        <v>Kibale town</v>
      </c>
      <c r="F313" s="95">
        <v>299</v>
      </c>
    </row>
    <row r="314" spans="1:6">
      <c r="A314" s="95" t="s">
        <v>1200</v>
      </c>
      <c r="D314" s="95" t="str">
        <f t="shared" si="4"/>
        <v xml:space="preserve">KIBALE </v>
      </c>
      <c r="F314" s="95">
        <v>299</v>
      </c>
    </row>
    <row r="315" spans="1:6">
      <c r="A315" s="95" t="s">
        <v>1201</v>
      </c>
      <c r="B315" s="95" t="s">
        <v>1193</v>
      </c>
      <c r="C315" s="95" t="s">
        <v>1194</v>
      </c>
      <c r="D315" s="95" t="str">
        <f t="shared" si="4"/>
        <v>Opwateta</v>
      </c>
      <c r="F315" s="95">
        <v>300</v>
      </c>
    </row>
    <row r="316" spans="1:6">
      <c r="A316" s="95" t="s">
        <v>1202</v>
      </c>
      <c r="B316" s="95" t="s">
        <v>1193</v>
      </c>
      <c r="C316" s="95" t="s">
        <v>1194</v>
      </c>
      <c r="D316" s="95" t="str">
        <f t="shared" si="4"/>
        <v>Petete</v>
      </c>
      <c r="F316" s="95">
        <v>301</v>
      </c>
    </row>
    <row r="317" spans="1:6">
      <c r="A317" s="95" t="s">
        <v>1203</v>
      </c>
      <c r="B317" s="95" t="s">
        <v>1204</v>
      </c>
      <c r="C317" s="95" t="s">
        <v>1205</v>
      </c>
      <c r="D317" s="95" t="str">
        <f t="shared" si="4"/>
        <v>Bugaya-Buvuma</v>
      </c>
      <c r="F317" s="95">
        <v>302</v>
      </c>
    </row>
    <row r="318" spans="1:6">
      <c r="A318" s="95" t="s">
        <v>1206</v>
      </c>
      <c r="B318" s="95" t="s">
        <v>1204</v>
      </c>
      <c r="C318" s="95" t="s">
        <v>1205</v>
      </c>
      <c r="D318" s="95" t="str">
        <f t="shared" si="4"/>
        <v>Busamuzi</v>
      </c>
      <c r="F318" s="95">
        <v>303</v>
      </c>
    </row>
    <row r="319" spans="1:6">
      <c r="A319" s="95" t="s">
        <v>1207</v>
      </c>
      <c r="B319" s="95" t="s">
        <v>1204</v>
      </c>
      <c r="C319" s="95" t="s">
        <v>1205</v>
      </c>
      <c r="D319" s="95" t="str">
        <f t="shared" si="4"/>
        <v>Buvuma Town Council</v>
      </c>
      <c r="F319" s="95">
        <v>304</v>
      </c>
    </row>
    <row r="320" spans="1:6">
      <c r="A320" s="95" t="s">
        <v>1208</v>
      </c>
      <c r="B320" s="95" t="s">
        <v>1204</v>
      </c>
      <c r="C320" s="95" t="s">
        <v>1205</v>
      </c>
      <c r="D320" s="95" t="str">
        <f t="shared" si="4"/>
        <v>Buwooya</v>
      </c>
      <c r="F320" s="95">
        <v>305</v>
      </c>
    </row>
    <row r="321" spans="1:6">
      <c r="A321" s="95" t="s">
        <v>1209</v>
      </c>
      <c r="B321" s="95" t="s">
        <v>1204</v>
      </c>
      <c r="C321" s="95" t="s">
        <v>1205</v>
      </c>
      <c r="D321" s="95" t="str">
        <f t="shared" si="4"/>
        <v>Bweema</v>
      </c>
      <c r="F321" s="95">
        <v>306</v>
      </c>
    </row>
    <row r="322" spans="1:6">
      <c r="A322" s="95" t="s">
        <v>1210</v>
      </c>
      <c r="B322" s="95" t="s">
        <v>1204</v>
      </c>
      <c r="C322" s="95" t="s">
        <v>1205</v>
      </c>
      <c r="D322" s="95" t="str">
        <f t="shared" si="4"/>
        <v>Lubya</v>
      </c>
      <c r="F322" s="95">
        <v>307</v>
      </c>
    </row>
    <row r="323" spans="1:6">
      <c r="A323" s="95" t="s">
        <v>1863</v>
      </c>
      <c r="F323" s="95">
        <v>307</v>
      </c>
    </row>
    <row r="324" spans="1:6">
      <c r="A324" s="95" t="s">
        <v>1211</v>
      </c>
      <c r="B324" s="95" t="s">
        <v>1204</v>
      </c>
      <c r="C324" s="95" t="s">
        <v>1205</v>
      </c>
      <c r="D324" s="95" t="str">
        <f t="shared" si="4"/>
        <v>Lwajje</v>
      </c>
      <c r="F324" s="95">
        <v>308</v>
      </c>
    </row>
    <row r="325" spans="1:6">
      <c r="A325" s="95" t="s">
        <v>1212</v>
      </c>
      <c r="B325" s="95" t="s">
        <v>1204</v>
      </c>
      <c r="C325" s="95" t="s">
        <v>1205</v>
      </c>
      <c r="D325" s="95" t="str">
        <f t="shared" si="4"/>
        <v>Lyabaana</v>
      </c>
      <c r="F325" s="95">
        <v>309</v>
      </c>
    </row>
    <row r="326" spans="1:6">
      <c r="A326" s="95" t="s">
        <v>1213</v>
      </c>
      <c r="B326" s="95" t="s">
        <v>1204</v>
      </c>
      <c r="C326" s="95" t="s">
        <v>1205</v>
      </c>
      <c r="D326" s="95" t="str">
        <f t="shared" si="4"/>
        <v>Nairambi</v>
      </c>
      <c r="F326" s="95">
        <v>310</v>
      </c>
    </row>
    <row r="327" spans="1:6">
      <c r="A327" s="95" t="s">
        <v>1214</v>
      </c>
      <c r="B327" s="95" t="s">
        <v>1215</v>
      </c>
      <c r="C327" s="95" t="s">
        <v>1216</v>
      </c>
      <c r="D327" s="95" t="str">
        <f t="shared" si="4"/>
        <v>Bugaya-Buyende</v>
      </c>
      <c r="F327" s="95">
        <v>311</v>
      </c>
    </row>
    <row r="328" spans="1:6">
      <c r="A328" s="95" t="s">
        <v>1215</v>
      </c>
      <c r="B328" s="95" t="s">
        <v>1215</v>
      </c>
      <c r="C328" s="95" t="s">
        <v>1216</v>
      </c>
      <c r="D328" s="95" t="str">
        <f t="shared" si="4"/>
        <v>Buyende</v>
      </c>
      <c r="F328" s="95">
        <v>312</v>
      </c>
    </row>
    <row r="329" spans="1:6">
      <c r="A329" s="95" t="s">
        <v>1217</v>
      </c>
      <c r="B329" s="95" t="s">
        <v>1215</v>
      </c>
      <c r="C329" s="95" t="s">
        <v>1216</v>
      </c>
      <c r="D329" s="95" t="str">
        <f t="shared" si="4"/>
        <v>Buyende Town Council</v>
      </c>
      <c r="F329" s="95">
        <v>313</v>
      </c>
    </row>
    <row r="330" spans="1:6">
      <c r="A330" s="95" t="s">
        <v>1218</v>
      </c>
      <c r="B330" s="95" t="s">
        <v>1215</v>
      </c>
      <c r="C330" s="95" t="s">
        <v>1216</v>
      </c>
      <c r="D330" s="95" t="str">
        <f t="shared" si="4"/>
        <v>Kagulu</v>
      </c>
      <c r="F330" s="95">
        <v>314</v>
      </c>
    </row>
    <row r="331" spans="1:6">
      <c r="A331" s="95" t="s">
        <v>1219</v>
      </c>
      <c r="B331" s="95" t="s">
        <v>1215</v>
      </c>
      <c r="C331" s="95" t="s">
        <v>1216</v>
      </c>
      <c r="D331" s="95" t="str">
        <f t="shared" si="4"/>
        <v>Kidera</v>
      </c>
      <c r="F331" s="95">
        <v>315</v>
      </c>
    </row>
    <row r="332" spans="1:6">
      <c r="A332" s="95" t="s">
        <v>1220</v>
      </c>
      <c r="B332" s="95" t="s">
        <v>1215</v>
      </c>
      <c r="C332" s="95" t="s">
        <v>1216</v>
      </c>
      <c r="D332" s="95" t="str">
        <f t="shared" si="4"/>
        <v>Nkondo</v>
      </c>
      <c r="F332" s="95">
        <v>316</v>
      </c>
    </row>
    <row r="333" spans="1:6">
      <c r="A333" s="95" t="s">
        <v>1221</v>
      </c>
      <c r="B333" s="95" t="s">
        <v>1222</v>
      </c>
      <c r="C333" s="95" t="s">
        <v>1222</v>
      </c>
      <c r="D333" s="95" t="str">
        <f t="shared" si="4"/>
        <v>Adeknino</v>
      </c>
      <c r="F333" s="95">
        <v>317</v>
      </c>
    </row>
    <row r="334" spans="1:6">
      <c r="A334" s="95" t="s">
        <v>1223</v>
      </c>
      <c r="B334" s="95" t="s">
        <v>1222</v>
      </c>
      <c r="C334" s="95" t="s">
        <v>1222</v>
      </c>
      <c r="D334" s="95" t="str">
        <f t="shared" si="4"/>
        <v>Adok</v>
      </c>
      <c r="F334" s="95">
        <v>318</v>
      </c>
    </row>
    <row r="335" spans="1:6">
      <c r="A335" s="95" t="s">
        <v>1224</v>
      </c>
      <c r="B335" s="95" t="s">
        <v>1222</v>
      </c>
      <c r="C335" s="95" t="s">
        <v>1222</v>
      </c>
      <c r="D335" s="95" t="str">
        <f t="shared" si="4"/>
        <v>Agwata</v>
      </c>
      <c r="F335" s="95">
        <v>319</v>
      </c>
    </row>
    <row r="336" spans="1:6">
      <c r="A336" s="95" t="s">
        <v>1225</v>
      </c>
      <c r="B336" s="95" t="s">
        <v>1222</v>
      </c>
      <c r="C336" s="95" t="s">
        <v>1222</v>
      </c>
      <c r="D336" s="95" t="str">
        <f t="shared" si="4"/>
        <v>Amwoma</v>
      </c>
      <c r="F336" s="95">
        <v>320</v>
      </c>
    </row>
    <row r="337" spans="1:6">
      <c r="A337" s="95" t="s">
        <v>1226</v>
      </c>
      <c r="B337" s="95" t="s">
        <v>1222</v>
      </c>
      <c r="C337" s="95" t="s">
        <v>1222</v>
      </c>
      <c r="D337" s="95" t="str">
        <f t="shared" si="4"/>
        <v>Batta</v>
      </c>
      <c r="F337" s="95">
        <v>321</v>
      </c>
    </row>
    <row r="338" spans="1:6">
      <c r="A338" s="95" t="s">
        <v>1222</v>
      </c>
      <c r="B338" s="95" t="s">
        <v>1222</v>
      </c>
      <c r="C338" s="95" t="s">
        <v>1222</v>
      </c>
      <c r="D338" s="95" t="str">
        <f t="shared" ref="D338:D410" si="5">A338</f>
        <v>Dokolo</v>
      </c>
      <c r="F338" s="95">
        <v>322</v>
      </c>
    </row>
    <row r="339" spans="1:6">
      <c r="A339" s="95" t="s">
        <v>1227</v>
      </c>
      <c r="B339" s="95" t="s">
        <v>1222</v>
      </c>
      <c r="C339" s="95" t="s">
        <v>1222</v>
      </c>
      <c r="D339" s="95" t="str">
        <f t="shared" si="5"/>
        <v>Dokolo Tc</v>
      </c>
      <c r="F339" s="95">
        <v>323</v>
      </c>
    </row>
    <row r="340" spans="1:6">
      <c r="A340" s="95" t="s">
        <v>1228</v>
      </c>
      <c r="B340" s="95" t="s">
        <v>1222</v>
      </c>
      <c r="C340" s="95" t="s">
        <v>1222</v>
      </c>
      <c r="D340" s="95" t="str">
        <f t="shared" si="5"/>
        <v>Kangai</v>
      </c>
      <c r="F340" s="95">
        <v>324</v>
      </c>
    </row>
    <row r="341" spans="1:6">
      <c r="A341" s="95" t="s">
        <v>1229</v>
      </c>
      <c r="B341" s="95" t="s">
        <v>1222</v>
      </c>
      <c r="C341" s="95" t="s">
        <v>1222</v>
      </c>
      <c r="D341" s="95" t="str">
        <f t="shared" si="5"/>
        <v>Kwera</v>
      </c>
      <c r="F341" s="95">
        <v>325</v>
      </c>
    </row>
    <row r="342" spans="1:6">
      <c r="A342" s="95" t="s">
        <v>1230</v>
      </c>
      <c r="B342" s="95" t="s">
        <v>1222</v>
      </c>
      <c r="C342" s="95" t="s">
        <v>1222</v>
      </c>
      <c r="D342" s="95" t="str">
        <f t="shared" si="5"/>
        <v>Okwalongwen</v>
      </c>
      <c r="F342" s="95">
        <v>326</v>
      </c>
    </row>
    <row r="343" spans="1:6">
      <c r="A343" s="95" t="s">
        <v>1231</v>
      </c>
      <c r="B343" s="95" t="s">
        <v>1222</v>
      </c>
      <c r="C343" s="95" t="s">
        <v>1222</v>
      </c>
      <c r="D343" s="95" t="str">
        <f t="shared" si="5"/>
        <v>Okwongodul</v>
      </c>
      <c r="F343" s="95">
        <v>327</v>
      </c>
    </row>
    <row r="344" spans="1:6">
      <c r="A344" s="95" t="s">
        <v>1232</v>
      </c>
      <c r="B344" s="95" t="s">
        <v>1233</v>
      </c>
      <c r="C344" s="95" t="s">
        <v>1233</v>
      </c>
      <c r="D344" s="95" t="str">
        <f t="shared" si="5"/>
        <v>Kabulasoke</v>
      </c>
      <c r="F344" s="95">
        <v>328</v>
      </c>
    </row>
    <row r="345" spans="1:6">
      <c r="A345" s="95" t="s">
        <v>1234</v>
      </c>
      <c r="B345" s="95" t="s">
        <v>1233</v>
      </c>
      <c r="C345" s="95" t="s">
        <v>1233</v>
      </c>
      <c r="D345" s="95" t="str">
        <f t="shared" si="5"/>
        <v>Kanoni Town Council</v>
      </c>
      <c r="F345" s="95">
        <v>329</v>
      </c>
    </row>
    <row r="346" spans="1:6">
      <c r="A346" s="95" t="s">
        <v>1235</v>
      </c>
      <c r="B346" s="95" t="s">
        <v>1233</v>
      </c>
      <c r="C346" s="95" t="s">
        <v>1233</v>
      </c>
      <c r="D346" s="95" t="str">
        <f t="shared" si="5"/>
        <v>Kyegonza</v>
      </c>
      <c r="F346" s="95">
        <v>330</v>
      </c>
    </row>
    <row r="347" spans="1:6">
      <c r="A347" s="95" t="s">
        <v>1236</v>
      </c>
      <c r="B347" s="95" t="s">
        <v>1233</v>
      </c>
      <c r="C347" s="95" t="s">
        <v>1233</v>
      </c>
      <c r="D347" s="95" t="str">
        <f t="shared" si="5"/>
        <v>Maddu</v>
      </c>
      <c r="F347" s="95">
        <v>331</v>
      </c>
    </row>
    <row r="348" spans="1:6">
      <c r="A348" s="95" t="s">
        <v>1237</v>
      </c>
      <c r="B348" s="95" t="s">
        <v>1233</v>
      </c>
      <c r="C348" s="95" t="s">
        <v>1233</v>
      </c>
      <c r="D348" s="95" t="str">
        <f t="shared" si="5"/>
        <v>Mpenja</v>
      </c>
      <c r="F348" s="95">
        <v>332</v>
      </c>
    </row>
    <row r="349" spans="1:6">
      <c r="A349" s="95" t="s">
        <v>1238</v>
      </c>
      <c r="B349" s="95" t="s">
        <v>1239</v>
      </c>
      <c r="C349" s="95" t="s">
        <v>1240</v>
      </c>
      <c r="D349" s="95" t="str">
        <f t="shared" si="5"/>
        <v>Awach</v>
      </c>
      <c r="F349" s="95">
        <v>333</v>
      </c>
    </row>
    <row r="350" spans="1:6">
      <c r="A350" s="95" t="s">
        <v>1241</v>
      </c>
      <c r="B350" s="95" t="s">
        <v>1239</v>
      </c>
      <c r="C350" s="95" t="s">
        <v>1240</v>
      </c>
      <c r="D350" s="95" t="str">
        <f t="shared" si="5"/>
        <v>Bungatira</v>
      </c>
      <c r="F350" s="95">
        <v>334</v>
      </c>
    </row>
    <row r="351" spans="1:6">
      <c r="A351" s="95" t="s">
        <v>1242</v>
      </c>
      <c r="B351" s="95" t="s">
        <v>1239</v>
      </c>
      <c r="C351" s="95" t="s">
        <v>1242</v>
      </c>
      <c r="D351" s="95" t="str">
        <f t="shared" si="5"/>
        <v>Gulu Municipality</v>
      </c>
      <c r="F351" s="95">
        <v>335</v>
      </c>
    </row>
    <row r="352" spans="1:6">
      <c r="A352" s="95" t="s">
        <v>215</v>
      </c>
      <c r="D352" s="95" t="s">
        <v>1243</v>
      </c>
      <c r="F352" s="95">
        <v>335</v>
      </c>
    </row>
    <row r="353" spans="1:6">
      <c r="A353" s="95" t="s">
        <v>1244</v>
      </c>
      <c r="F353" s="95">
        <v>335</v>
      </c>
    </row>
    <row r="354" spans="1:6">
      <c r="A354" s="95" t="s">
        <v>1245</v>
      </c>
      <c r="B354" s="95" t="s">
        <v>1239</v>
      </c>
      <c r="C354" s="95" t="s">
        <v>1240</v>
      </c>
      <c r="D354" s="95" t="str">
        <f t="shared" si="5"/>
        <v>Paicho</v>
      </c>
      <c r="F354" s="95">
        <v>336</v>
      </c>
    </row>
    <row r="355" spans="1:6">
      <c r="A355" s="95" t="s">
        <v>1246</v>
      </c>
      <c r="B355" s="95" t="s">
        <v>1239</v>
      </c>
      <c r="C355" s="95" t="s">
        <v>1240</v>
      </c>
      <c r="D355" s="95" t="str">
        <f t="shared" si="5"/>
        <v>Unyama</v>
      </c>
      <c r="F355" s="95">
        <v>337</v>
      </c>
    </row>
    <row r="356" spans="1:6">
      <c r="A356" s="95" t="s">
        <v>1247</v>
      </c>
      <c r="B356" s="95" t="s">
        <v>1248</v>
      </c>
      <c r="C356" s="95" t="s">
        <v>1249</v>
      </c>
      <c r="D356" s="95" t="str">
        <f t="shared" si="5"/>
        <v>Bugambe</v>
      </c>
      <c r="F356" s="95">
        <v>338</v>
      </c>
    </row>
    <row r="357" spans="1:6">
      <c r="A357" s="95" t="s">
        <v>1250</v>
      </c>
      <c r="D357" s="95" t="str">
        <f t="shared" si="5"/>
        <v>Kitwetwe</v>
      </c>
      <c r="F357" s="95">
        <v>338</v>
      </c>
    </row>
    <row r="358" spans="1:6">
      <c r="A358" s="95" t="s">
        <v>1251</v>
      </c>
      <c r="B358" s="95" t="s">
        <v>1248</v>
      </c>
      <c r="C358" s="95" t="s">
        <v>1252</v>
      </c>
      <c r="D358" s="95" t="str">
        <f t="shared" si="5"/>
        <v>Buhanika</v>
      </c>
      <c r="F358" s="95">
        <v>339</v>
      </c>
    </row>
    <row r="359" spans="1:6">
      <c r="A359" s="95" t="s">
        <v>1253</v>
      </c>
      <c r="B359" s="95" t="s">
        <v>1248</v>
      </c>
      <c r="C359" s="95" t="s">
        <v>1249</v>
      </c>
      <c r="D359" s="95" t="str">
        <f t="shared" si="5"/>
        <v>Buhimba</v>
      </c>
      <c r="F359" s="95">
        <v>340</v>
      </c>
    </row>
    <row r="360" spans="1:6">
      <c r="A360" s="95" t="s">
        <v>1254</v>
      </c>
      <c r="B360" s="95" t="s">
        <v>1248</v>
      </c>
      <c r="C360" s="95" t="s">
        <v>1254</v>
      </c>
      <c r="D360" s="95" t="str">
        <f t="shared" si="5"/>
        <v>Hoima Municipality</v>
      </c>
      <c r="F360" s="95">
        <v>341</v>
      </c>
    </row>
    <row r="361" spans="1:6">
      <c r="A361" s="95" t="s">
        <v>1255</v>
      </c>
      <c r="D361" s="95" t="str">
        <f t="shared" si="5"/>
        <v>HOIMA</v>
      </c>
      <c r="F361" s="95">
        <v>341</v>
      </c>
    </row>
    <row r="362" spans="1:6">
      <c r="A362" s="95" t="s">
        <v>1256</v>
      </c>
      <c r="F362" s="95">
        <v>341</v>
      </c>
    </row>
    <row r="363" spans="1:6">
      <c r="A363" s="95" t="s">
        <v>1257</v>
      </c>
      <c r="D363" s="95" t="str">
        <f t="shared" si="5"/>
        <v>Hima cement</v>
      </c>
      <c r="F363" s="95">
        <v>341</v>
      </c>
    </row>
    <row r="364" spans="1:6">
      <c r="A364" s="95" t="s">
        <v>1258</v>
      </c>
      <c r="B364" s="95" t="s">
        <v>1248</v>
      </c>
      <c r="C364" s="95" t="s">
        <v>1249</v>
      </c>
      <c r="D364" s="95" t="str">
        <f t="shared" si="5"/>
        <v>Kabwoya</v>
      </c>
      <c r="F364" s="95">
        <v>342</v>
      </c>
    </row>
    <row r="365" spans="1:6">
      <c r="A365" s="95" t="s">
        <v>1259</v>
      </c>
      <c r="B365" s="95" t="s">
        <v>1248</v>
      </c>
      <c r="C365" s="95" t="s">
        <v>1252</v>
      </c>
      <c r="D365" s="95" t="str">
        <f t="shared" si="5"/>
        <v>Kigorobya</v>
      </c>
      <c r="F365" s="95">
        <v>343</v>
      </c>
    </row>
    <row r="366" spans="1:6">
      <c r="A366" s="95" t="s">
        <v>1260</v>
      </c>
      <c r="B366" s="95" t="s">
        <v>1248</v>
      </c>
      <c r="C366" s="95" t="s">
        <v>1252</v>
      </c>
      <c r="D366" s="95" t="str">
        <f t="shared" si="5"/>
        <v>Kigorobya Town Council</v>
      </c>
      <c r="F366" s="95">
        <v>344</v>
      </c>
    </row>
    <row r="367" spans="1:6">
      <c r="A367" s="95" t="s">
        <v>1261</v>
      </c>
      <c r="B367" s="95" t="s">
        <v>1248</v>
      </c>
      <c r="C367" s="95" t="s">
        <v>1252</v>
      </c>
      <c r="D367" s="95" t="str">
        <f t="shared" si="5"/>
        <v>Kitoba</v>
      </c>
      <c r="F367" s="95">
        <v>345</v>
      </c>
    </row>
    <row r="368" spans="1:6">
      <c r="A368" s="95" t="s">
        <v>1262</v>
      </c>
      <c r="B368" s="95" t="s">
        <v>1248</v>
      </c>
      <c r="C368" s="95" t="s">
        <v>1249</v>
      </c>
      <c r="D368" s="95" t="str">
        <f t="shared" si="5"/>
        <v>Kiziranfumbi</v>
      </c>
      <c r="F368" s="95">
        <v>346</v>
      </c>
    </row>
    <row r="369" spans="1:6">
      <c r="A369" s="95" t="s">
        <v>1263</v>
      </c>
      <c r="B369" s="95" t="s">
        <v>1248</v>
      </c>
      <c r="C369" s="95" t="s">
        <v>1252</v>
      </c>
      <c r="D369" s="95" t="str">
        <f t="shared" si="5"/>
        <v>Kyabigambire</v>
      </c>
      <c r="F369" s="95">
        <v>347</v>
      </c>
    </row>
    <row r="370" spans="1:6">
      <c r="A370" s="95" t="s">
        <v>1264</v>
      </c>
      <c r="B370" s="95" t="s">
        <v>1248</v>
      </c>
      <c r="C370" s="95" t="s">
        <v>1249</v>
      </c>
      <c r="D370" s="95" t="str">
        <f t="shared" si="5"/>
        <v>Kyangwali</v>
      </c>
      <c r="F370" s="95">
        <v>348</v>
      </c>
    </row>
    <row r="371" spans="1:6">
      <c r="A371" s="95" t="s">
        <v>1265</v>
      </c>
      <c r="B371" s="95" t="s">
        <v>43</v>
      </c>
      <c r="C371" s="95" t="s">
        <v>1265</v>
      </c>
      <c r="D371" s="95" t="str">
        <f t="shared" si="5"/>
        <v>Ibanda Municipality</v>
      </c>
      <c r="F371" s="95">
        <v>349</v>
      </c>
    </row>
    <row r="372" spans="1:6">
      <c r="A372" s="95" t="s">
        <v>1266</v>
      </c>
      <c r="F372" s="95">
        <v>349</v>
      </c>
    </row>
    <row r="373" spans="1:6">
      <c r="A373" s="95" t="s">
        <v>1267</v>
      </c>
      <c r="B373" s="95" t="s">
        <v>43</v>
      </c>
      <c r="C373" s="95" t="s">
        <v>43</v>
      </c>
      <c r="D373" s="95" t="str">
        <f t="shared" si="5"/>
        <v>Igorora Town Council</v>
      </c>
      <c r="F373" s="95">
        <v>350</v>
      </c>
    </row>
    <row r="374" spans="1:6">
      <c r="A374" s="95" t="s">
        <v>1268</v>
      </c>
      <c r="B374" s="95" t="s">
        <v>43</v>
      </c>
      <c r="C374" s="95" t="s">
        <v>43</v>
      </c>
      <c r="D374" s="95" t="str">
        <f t="shared" si="5"/>
        <v>Ishongororo</v>
      </c>
      <c r="F374" s="95">
        <v>351</v>
      </c>
    </row>
    <row r="375" spans="1:6">
      <c r="A375" s="95" t="s">
        <v>1269</v>
      </c>
      <c r="B375" s="95" t="s">
        <v>43</v>
      </c>
      <c r="C375" s="95" t="s">
        <v>43</v>
      </c>
      <c r="D375" s="95" t="str">
        <f t="shared" si="5"/>
        <v>Ishongororo Town Council</v>
      </c>
      <c r="F375" s="95">
        <v>352</v>
      </c>
    </row>
    <row r="376" spans="1:6">
      <c r="A376" s="95" t="s">
        <v>1270</v>
      </c>
      <c r="B376" s="95" t="s">
        <v>43</v>
      </c>
      <c r="C376" s="95" t="s">
        <v>1265</v>
      </c>
      <c r="D376" s="95" t="str">
        <f t="shared" si="5"/>
        <v>Kagango Division-Ibanda</v>
      </c>
      <c r="F376" s="95">
        <v>353</v>
      </c>
    </row>
    <row r="377" spans="1:6">
      <c r="A377" s="95" t="s">
        <v>1271</v>
      </c>
      <c r="B377" s="95" t="s">
        <v>43</v>
      </c>
      <c r="C377" s="95" t="s">
        <v>43</v>
      </c>
      <c r="D377" s="95" t="str">
        <f t="shared" si="5"/>
        <v>Keihangara</v>
      </c>
      <c r="F377" s="95">
        <v>354</v>
      </c>
    </row>
    <row r="378" spans="1:6">
      <c r="A378" s="95" t="s">
        <v>1272</v>
      </c>
      <c r="B378" s="95" t="s">
        <v>43</v>
      </c>
      <c r="C378" s="95" t="s">
        <v>43</v>
      </c>
      <c r="D378" s="95" t="str">
        <f t="shared" si="5"/>
        <v>Kicuzi</v>
      </c>
      <c r="F378" s="95">
        <v>355</v>
      </c>
    </row>
    <row r="379" spans="1:6">
      <c r="A379" s="95" t="s">
        <v>1273</v>
      </c>
      <c r="B379" s="95" t="s">
        <v>43</v>
      </c>
      <c r="C379" s="95" t="s">
        <v>43</v>
      </c>
      <c r="D379" s="95" t="str">
        <f t="shared" si="5"/>
        <v>Kijongo</v>
      </c>
      <c r="F379" s="95">
        <v>356</v>
      </c>
    </row>
    <row r="380" spans="1:6">
      <c r="A380" s="95" t="s">
        <v>1274</v>
      </c>
      <c r="B380" s="95" t="s">
        <v>43</v>
      </c>
      <c r="C380" s="95" t="s">
        <v>43</v>
      </c>
      <c r="D380" s="95" t="str">
        <f t="shared" si="5"/>
        <v>Kikyenkye</v>
      </c>
      <c r="F380" s="95">
        <v>357</v>
      </c>
    </row>
    <row r="381" spans="1:6">
      <c r="A381" s="95" t="s">
        <v>1275</v>
      </c>
      <c r="B381" s="95" t="s">
        <v>43</v>
      </c>
      <c r="C381" s="95" t="s">
        <v>43</v>
      </c>
      <c r="D381" s="95" t="str">
        <f t="shared" si="5"/>
        <v>Nyamarebe</v>
      </c>
      <c r="F381" s="95">
        <v>358</v>
      </c>
    </row>
    <row r="382" spans="1:6">
      <c r="A382" s="95" t="s">
        <v>1276</v>
      </c>
      <c r="B382" s="95" t="s">
        <v>43</v>
      </c>
      <c r="C382" s="95" t="s">
        <v>43</v>
      </c>
      <c r="D382" s="95" t="str">
        <f t="shared" si="5"/>
        <v>Rukiri</v>
      </c>
      <c r="F382" s="95">
        <v>359</v>
      </c>
    </row>
    <row r="383" spans="1:6">
      <c r="A383" s="95" t="s">
        <v>1277</v>
      </c>
      <c r="B383" s="95" t="s">
        <v>43</v>
      </c>
      <c r="C383" s="95" t="s">
        <v>43</v>
      </c>
      <c r="D383" s="95" t="str">
        <f t="shared" si="5"/>
        <v>Rushango Town Council</v>
      </c>
      <c r="F383" s="95">
        <v>360</v>
      </c>
    </row>
    <row r="384" spans="1:6">
      <c r="A384" s="95" t="s">
        <v>1278</v>
      </c>
      <c r="B384" s="95" t="s">
        <v>1279</v>
      </c>
      <c r="C384" s="95" t="s">
        <v>1280</v>
      </c>
      <c r="D384" s="95" t="str">
        <f t="shared" si="5"/>
        <v>Bulamogi</v>
      </c>
      <c r="F384" s="95">
        <v>361</v>
      </c>
    </row>
    <row r="385" spans="1:6">
      <c r="A385" s="95" t="s">
        <v>1281</v>
      </c>
      <c r="B385" s="95" t="s">
        <v>1279</v>
      </c>
      <c r="C385" s="95" t="s">
        <v>1282</v>
      </c>
      <c r="D385" s="95" t="str">
        <f t="shared" si="5"/>
        <v>Busembatia Town Council</v>
      </c>
      <c r="F385" s="95">
        <v>362</v>
      </c>
    </row>
    <row r="386" spans="1:6">
      <c r="A386" s="95" t="s">
        <v>1283</v>
      </c>
      <c r="B386" s="95" t="s">
        <v>1279</v>
      </c>
      <c r="C386" s="95" t="s">
        <v>1282</v>
      </c>
      <c r="D386" s="95" t="str">
        <f t="shared" si="5"/>
        <v>Buyanga-Iganga</v>
      </c>
      <c r="F386" s="95">
        <v>363</v>
      </c>
    </row>
    <row r="387" spans="1:6">
      <c r="A387" s="95" t="s">
        <v>1284</v>
      </c>
      <c r="B387" s="95" t="s">
        <v>1279</v>
      </c>
      <c r="C387" s="95" t="s">
        <v>1282</v>
      </c>
      <c r="D387" s="95" t="str">
        <f t="shared" si="5"/>
        <v>Ibulanku</v>
      </c>
      <c r="F387" s="95">
        <v>364</v>
      </c>
    </row>
    <row r="388" spans="1:6">
      <c r="A388" s="95" t="s">
        <v>1285</v>
      </c>
      <c r="B388" s="95" t="s">
        <v>1279</v>
      </c>
      <c r="C388" s="95" t="s">
        <v>1285</v>
      </c>
      <c r="D388" s="95" t="str">
        <f t="shared" si="5"/>
        <v>Iganga Municipality</v>
      </c>
      <c r="F388" s="95">
        <v>365</v>
      </c>
    </row>
    <row r="389" spans="1:6">
      <c r="A389" s="95" t="s">
        <v>1286</v>
      </c>
      <c r="D389" s="95" t="str">
        <f t="shared" si="5"/>
        <v>IGANGA</v>
      </c>
      <c r="F389" s="95">
        <v>365</v>
      </c>
    </row>
    <row r="390" spans="1:6" ht="16.5" customHeight="1">
      <c r="A390" s="95" t="s">
        <v>1287</v>
      </c>
      <c r="B390" s="95" t="s">
        <v>1279</v>
      </c>
      <c r="C390" s="95" t="s">
        <v>1282</v>
      </c>
      <c r="D390" s="95" t="str">
        <f t="shared" si="5"/>
        <v>Igombe</v>
      </c>
      <c r="F390" s="95">
        <v>366</v>
      </c>
    </row>
    <row r="391" spans="1:6">
      <c r="A391" s="95" t="s">
        <v>1288</v>
      </c>
      <c r="B391" s="95" t="s">
        <v>1279</v>
      </c>
      <c r="C391" s="95" t="s">
        <v>1282</v>
      </c>
      <c r="D391" s="95" t="str">
        <f t="shared" si="5"/>
        <v>Makuutu</v>
      </c>
      <c r="F391" s="95">
        <v>367</v>
      </c>
    </row>
    <row r="392" spans="1:6">
      <c r="A392" s="95" t="s">
        <v>1289</v>
      </c>
      <c r="B392" s="95" t="s">
        <v>1279</v>
      </c>
      <c r="C392" s="95" t="s">
        <v>1280</v>
      </c>
      <c r="D392" s="95" t="str">
        <f t="shared" si="5"/>
        <v>Nabitende</v>
      </c>
      <c r="F392" s="95">
        <v>368</v>
      </c>
    </row>
    <row r="393" spans="1:6">
      <c r="A393" s="95" t="s">
        <v>1290</v>
      </c>
      <c r="B393" s="95" t="s">
        <v>1279</v>
      </c>
      <c r="C393" s="95" t="s">
        <v>1280</v>
      </c>
      <c r="D393" s="95" t="str">
        <f t="shared" si="5"/>
        <v>Nakalama</v>
      </c>
      <c r="F393" s="95">
        <v>369</v>
      </c>
    </row>
    <row r="394" spans="1:6">
      <c r="A394" s="95" t="s">
        <v>1291</v>
      </c>
      <c r="B394" s="95" t="s">
        <v>1279</v>
      </c>
      <c r="C394" s="95" t="s">
        <v>1280</v>
      </c>
      <c r="D394" s="95" t="str">
        <f t="shared" si="5"/>
        <v>Nakigo</v>
      </c>
      <c r="F394" s="95">
        <v>370</v>
      </c>
    </row>
    <row r="395" spans="1:6">
      <c r="A395" s="95" t="s">
        <v>1292</v>
      </c>
      <c r="B395" s="95" t="s">
        <v>1279</v>
      </c>
      <c r="C395" s="95" t="s">
        <v>1282</v>
      </c>
      <c r="D395" s="95" t="str">
        <f t="shared" si="5"/>
        <v>Namalemba</v>
      </c>
      <c r="F395" s="95">
        <v>371</v>
      </c>
    </row>
    <row r="396" spans="1:6">
      <c r="A396" s="95" t="s">
        <v>1293</v>
      </c>
      <c r="B396" s="95" t="s">
        <v>1279</v>
      </c>
      <c r="C396" s="95" t="s">
        <v>1280</v>
      </c>
      <c r="D396" s="95" t="str">
        <f t="shared" si="5"/>
        <v>Nambale</v>
      </c>
      <c r="F396" s="95">
        <v>372</v>
      </c>
    </row>
    <row r="397" spans="1:6">
      <c r="A397" s="95" t="s">
        <v>1294</v>
      </c>
      <c r="B397" s="95" t="s">
        <v>1279</v>
      </c>
      <c r="C397" s="95" t="s">
        <v>1280</v>
      </c>
      <c r="D397" s="95" t="str">
        <f t="shared" si="5"/>
        <v>Namungalwe</v>
      </c>
      <c r="F397" s="95">
        <v>373</v>
      </c>
    </row>
    <row r="398" spans="1:6">
      <c r="A398" s="95" t="s">
        <v>1295</v>
      </c>
      <c r="B398" s="95" t="s">
        <v>1279</v>
      </c>
      <c r="C398" s="95" t="s">
        <v>1280</v>
      </c>
      <c r="D398" s="95" t="str">
        <f t="shared" si="5"/>
        <v>Nawandala</v>
      </c>
      <c r="F398" s="95">
        <v>374</v>
      </c>
    </row>
    <row r="399" spans="1:6">
      <c r="A399" s="95" t="s">
        <v>1296</v>
      </c>
      <c r="B399" s="95" t="s">
        <v>1279</v>
      </c>
      <c r="C399" s="95" t="s">
        <v>1280</v>
      </c>
      <c r="D399" s="95" t="str">
        <f t="shared" si="5"/>
        <v>Nawanyingi</v>
      </c>
      <c r="F399" s="95">
        <v>375</v>
      </c>
    </row>
    <row r="400" spans="1:6">
      <c r="A400" s="95" t="s">
        <v>1297</v>
      </c>
      <c r="B400" s="95" t="s">
        <v>48</v>
      </c>
      <c r="C400" s="95" t="s">
        <v>48</v>
      </c>
      <c r="D400" s="95" t="str">
        <f t="shared" si="5"/>
        <v>Birere</v>
      </c>
      <c r="F400" s="95">
        <v>376</v>
      </c>
    </row>
    <row r="401" spans="1:6">
      <c r="A401" s="95" t="s">
        <v>1298</v>
      </c>
      <c r="B401" s="95" t="s">
        <v>48</v>
      </c>
      <c r="C401" s="95" t="s">
        <v>1299</v>
      </c>
      <c r="D401" s="95" t="str">
        <f t="shared" si="5"/>
        <v>Endiinzi</v>
      </c>
      <c r="F401" s="95">
        <v>377</v>
      </c>
    </row>
    <row r="402" spans="1:6">
      <c r="A402" s="95" t="s">
        <v>1300</v>
      </c>
      <c r="B402" s="95" t="s">
        <v>48</v>
      </c>
      <c r="C402" s="95" t="s">
        <v>1299</v>
      </c>
      <c r="D402" s="95" t="str">
        <f t="shared" si="5"/>
        <v>Endiinzi Town Council</v>
      </c>
      <c r="F402" s="95">
        <v>378</v>
      </c>
    </row>
    <row r="403" spans="1:6">
      <c r="A403" s="95" t="s">
        <v>1301</v>
      </c>
      <c r="B403" s="95" t="s">
        <v>48</v>
      </c>
      <c r="C403" s="95" t="s">
        <v>48</v>
      </c>
      <c r="D403" s="95" t="str">
        <f t="shared" si="5"/>
        <v>Isingiro Town Council</v>
      </c>
      <c r="F403" s="95">
        <v>379</v>
      </c>
    </row>
    <row r="404" spans="1:6">
      <c r="A404" s="95" t="s">
        <v>1302</v>
      </c>
      <c r="D404" s="95" t="str">
        <f t="shared" si="5"/>
        <v>ISIGIRO TOWN</v>
      </c>
      <c r="F404" s="95">
        <v>379</v>
      </c>
    </row>
    <row r="405" spans="1:6">
      <c r="A405" s="95" t="s">
        <v>1303</v>
      </c>
      <c r="B405" s="95" t="s">
        <v>48</v>
      </c>
      <c r="C405" s="95" t="s">
        <v>48</v>
      </c>
      <c r="D405" s="95" t="str">
        <f t="shared" si="5"/>
        <v>Kaberebere Town Council</v>
      </c>
      <c r="F405" s="95">
        <v>380</v>
      </c>
    </row>
    <row r="406" spans="1:6">
      <c r="A406" s="95" t="s">
        <v>1304</v>
      </c>
      <c r="B406" s="95" t="s">
        <v>48</v>
      </c>
      <c r="C406" s="95" t="s">
        <v>48</v>
      </c>
      <c r="D406" s="95" t="str">
        <f t="shared" si="5"/>
        <v>Kabingo</v>
      </c>
      <c r="F406" s="95">
        <v>381</v>
      </c>
    </row>
    <row r="407" spans="1:6">
      <c r="A407" s="95" t="s">
        <v>1305</v>
      </c>
      <c r="B407" s="95" t="s">
        <v>48</v>
      </c>
      <c r="C407" s="95" t="s">
        <v>48</v>
      </c>
      <c r="D407" s="95" t="str">
        <f t="shared" si="5"/>
        <v>Kabuyanda</v>
      </c>
      <c r="F407" s="95">
        <v>382</v>
      </c>
    </row>
    <row r="408" spans="1:6">
      <c r="A408" s="95" t="s">
        <v>1306</v>
      </c>
      <c r="B408" s="95" t="s">
        <v>48</v>
      </c>
      <c r="C408" s="95" t="s">
        <v>48</v>
      </c>
      <c r="D408" s="95" t="str">
        <f t="shared" si="5"/>
        <v>Kabuyanda Town Council</v>
      </c>
      <c r="F408" s="95">
        <v>383</v>
      </c>
    </row>
    <row r="409" spans="1:6">
      <c r="A409" s="95" t="s">
        <v>1307</v>
      </c>
      <c r="B409" s="95" t="s">
        <v>48</v>
      </c>
      <c r="C409" s="95" t="s">
        <v>1299</v>
      </c>
      <c r="D409" s="95" t="str">
        <f t="shared" si="5"/>
        <v>Kakamba-Isingiro</v>
      </c>
      <c r="F409" s="95">
        <v>384</v>
      </c>
    </row>
    <row r="410" spans="1:6">
      <c r="A410" s="95" t="s">
        <v>1308</v>
      </c>
      <c r="B410" s="95" t="s">
        <v>48</v>
      </c>
      <c r="C410" s="95" t="s">
        <v>48</v>
      </c>
      <c r="D410" s="95" t="str">
        <f t="shared" si="5"/>
        <v>Kikagate</v>
      </c>
      <c r="F410" s="95">
        <v>385</v>
      </c>
    </row>
    <row r="411" spans="1:6">
      <c r="A411" s="95" t="s">
        <v>1309</v>
      </c>
      <c r="B411" s="95" t="s">
        <v>48</v>
      </c>
      <c r="C411" s="95" t="s">
        <v>48</v>
      </c>
      <c r="D411" s="95" t="str">
        <f t="shared" ref="D411:D483" si="6">A411</f>
        <v>Masha</v>
      </c>
      <c r="F411" s="95">
        <v>386</v>
      </c>
    </row>
    <row r="412" spans="1:6">
      <c r="A412" s="95" t="s">
        <v>1310</v>
      </c>
      <c r="B412" s="95" t="s">
        <v>48</v>
      </c>
      <c r="C412" s="95" t="s">
        <v>1299</v>
      </c>
      <c r="D412" s="95" t="str">
        <f t="shared" si="6"/>
        <v>Mbaare</v>
      </c>
      <c r="F412" s="95">
        <v>387</v>
      </c>
    </row>
    <row r="413" spans="1:6">
      <c r="A413" s="95" t="s">
        <v>1311</v>
      </c>
      <c r="B413" s="95" t="s">
        <v>48</v>
      </c>
      <c r="C413" s="95" t="s">
        <v>1299</v>
      </c>
      <c r="D413" s="95" t="str">
        <f t="shared" si="6"/>
        <v>Nakivale Refugee Camp</v>
      </c>
      <c r="F413" s="95">
        <v>388</v>
      </c>
    </row>
    <row r="414" spans="1:6">
      <c r="A414" s="95" t="s">
        <v>1312</v>
      </c>
      <c r="B414" s="95" t="s">
        <v>48</v>
      </c>
      <c r="C414" s="95" t="s">
        <v>1299</v>
      </c>
      <c r="D414" s="95" t="str">
        <f t="shared" si="6"/>
        <v>Ngarama</v>
      </c>
      <c r="F414" s="95">
        <v>389</v>
      </c>
    </row>
    <row r="415" spans="1:6">
      <c r="A415" s="95" t="s">
        <v>1313</v>
      </c>
      <c r="B415" s="95" t="s">
        <v>48</v>
      </c>
      <c r="C415" s="95" t="s">
        <v>48</v>
      </c>
      <c r="D415" s="95" t="str">
        <f t="shared" si="6"/>
        <v>Nyakitunda</v>
      </c>
      <c r="F415" s="95">
        <v>390</v>
      </c>
    </row>
    <row r="416" spans="1:6">
      <c r="A416" s="95" t="s">
        <v>1314</v>
      </c>
      <c r="B416" s="95" t="s">
        <v>48</v>
      </c>
      <c r="C416" s="95" t="s">
        <v>48</v>
      </c>
      <c r="D416" s="95" t="str">
        <f t="shared" si="6"/>
        <v>Nyamuyanja</v>
      </c>
      <c r="F416" s="95">
        <v>391</v>
      </c>
    </row>
    <row r="417" spans="1:6">
      <c r="A417" s="95" t="s">
        <v>1315</v>
      </c>
      <c r="B417" s="95" t="s">
        <v>48</v>
      </c>
      <c r="C417" s="95" t="s">
        <v>48</v>
      </c>
      <c r="D417" s="95" t="str">
        <f t="shared" si="6"/>
        <v>Oruchinga Refugee Camp</v>
      </c>
      <c r="F417" s="95">
        <v>392</v>
      </c>
    </row>
    <row r="418" spans="1:6">
      <c r="A418" s="95" t="s">
        <v>1316</v>
      </c>
      <c r="B418" s="95" t="s">
        <v>48</v>
      </c>
      <c r="C418" s="95" t="s">
        <v>48</v>
      </c>
      <c r="D418" s="95" t="str">
        <f t="shared" si="6"/>
        <v>Ruborogota</v>
      </c>
      <c r="F418" s="95">
        <v>393</v>
      </c>
    </row>
    <row r="419" spans="1:6">
      <c r="A419" s="95" t="s">
        <v>1317</v>
      </c>
      <c r="B419" s="95" t="s">
        <v>48</v>
      </c>
      <c r="C419" s="95" t="s">
        <v>1299</v>
      </c>
      <c r="D419" s="95" t="str">
        <f t="shared" si="6"/>
        <v>Rugaaga</v>
      </c>
      <c r="F419" s="95">
        <v>394</v>
      </c>
    </row>
    <row r="420" spans="1:6">
      <c r="A420" s="95" t="s">
        <v>1318</v>
      </c>
      <c r="B420" s="95" t="s">
        <v>48</v>
      </c>
      <c r="C420" s="95" t="s">
        <v>1299</v>
      </c>
      <c r="D420" s="95" t="str">
        <f t="shared" si="6"/>
        <v>Rushasha</v>
      </c>
      <c r="F420" s="95">
        <v>395</v>
      </c>
    </row>
    <row r="421" spans="1:6">
      <c r="A421" s="95" t="s">
        <v>1319</v>
      </c>
      <c r="B421" s="95" t="s">
        <v>1320</v>
      </c>
      <c r="C421" s="95" t="s">
        <v>1321</v>
      </c>
      <c r="D421" s="95" t="str">
        <f t="shared" si="6"/>
        <v>Budondo</v>
      </c>
      <c r="F421" s="95">
        <v>396</v>
      </c>
    </row>
    <row r="422" spans="1:6">
      <c r="A422" s="95" t="s">
        <v>1322</v>
      </c>
      <c r="B422" s="95" t="s">
        <v>1320</v>
      </c>
      <c r="C422" s="95" t="s">
        <v>1323</v>
      </c>
      <c r="D422" s="95" t="str">
        <f t="shared" si="6"/>
        <v>Bugembe Town Council</v>
      </c>
      <c r="F422" s="95">
        <v>397</v>
      </c>
    </row>
    <row r="423" spans="1:6">
      <c r="A423" s="95" t="s">
        <v>1324</v>
      </c>
      <c r="B423" s="95" t="s">
        <v>1320</v>
      </c>
      <c r="C423" s="95" t="s">
        <v>1323</v>
      </c>
      <c r="D423" s="95" t="str">
        <f t="shared" si="6"/>
        <v>Busedde</v>
      </c>
      <c r="F423" s="95">
        <v>398</v>
      </c>
    </row>
    <row r="424" spans="1:6">
      <c r="A424" s="95" t="s">
        <v>1325</v>
      </c>
      <c r="B424" s="95" t="s">
        <v>1320</v>
      </c>
      <c r="C424" s="95" t="s">
        <v>1321</v>
      </c>
      <c r="D424" s="95" t="str">
        <f t="shared" si="6"/>
        <v>Butagaya</v>
      </c>
      <c r="F424" s="95">
        <v>399</v>
      </c>
    </row>
    <row r="425" spans="1:6">
      <c r="A425" s="95" t="s">
        <v>1326</v>
      </c>
      <c r="B425" s="95" t="s">
        <v>1320</v>
      </c>
      <c r="C425" s="95" t="s">
        <v>1321</v>
      </c>
      <c r="D425" s="95" t="str">
        <f t="shared" si="6"/>
        <v>Buwenge</v>
      </c>
      <c r="F425" s="95">
        <v>400</v>
      </c>
    </row>
    <row r="426" spans="1:6">
      <c r="A426" s="95" t="s">
        <v>1327</v>
      </c>
      <c r="B426" s="95" t="s">
        <v>1320</v>
      </c>
      <c r="C426" s="95" t="s">
        <v>1321</v>
      </c>
      <c r="D426" s="95" t="str">
        <f t="shared" si="6"/>
        <v>Buwenge Town Council</v>
      </c>
      <c r="F426" s="95">
        <v>401</v>
      </c>
    </row>
    <row r="427" spans="1:6">
      <c r="A427" s="95" t="s">
        <v>1328</v>
      </c>
      <c r="B427" s="95" t="s">
        <v>1320</v>
      </c>
      <c r="C427" s="95" t="s">
        <v>1321</v>
      </c>
      <c r="D427" s="95" t="str">
        <f t="shared" si="6"/>
        <v>Buyengo</v>
      </c>
      <c r="F427" s="95">
        <v>402</v>
      </c>
    </row>
    <row r="428" spans="1:6">
      <c r="A428" s="95" t="s">
        <v>1329</v>
      </c>
      <c r="B428" s="95" t="s">
        <v>1320</v>
      </c>
      <c r="C428" s="95" t="s">
        <v>1329</v>
      </c>
      <c r="D428" s="95" t="str">
        <f t="shared" si="6"/>
        <v>Jinja Municipality</v>
      </c>
      <c r="F428" s="95">
        <v>403</v>
      </c>
    </row>
    <row r="429" spans="1:6">
      <c r="A429" s="95" t="s">
        <v>1320</v>
      </c>
      <c r="D429" s="95" t="str">
        <f t="shared" si="6"/>
        <v>Jinja</v>
      </c>
      <c r="F429" s="95">
        <v>403</v>
      </c>
    </row>
    <row r="430" spans="1:6">
      <c r="A430" s="95" t="s">
        <v>1330</v>
      </c>
      <c r="F430" s="95">
        <v>403</v>
      </c>
    </row>
    <row r="431" spans="1:6">
      <c r="A431" s="95" t="s">
        <v>1331</v>
      </c>
      <c r="D431" s="95" t="str">
        <f t="shared" si="6"/>
        <v>Masese</v>
      </c>
      <c r="F431" s="95">
        <v>403</v>
      </c>
    </row>
    <row r="432" spans="1:6">
      <c r="A432" s="95" t="s">
        <v>1332</v>
      </c>
      <c r="D432" s="95" t="str">
        <f t="shared" si="6"/>
        <v>Jinja town</v>
      </c>
      <c r="F432" s="95">
        <v>403</v>
      </c>
    </row>
    <row r="433" spans="1:6">
      <c r="A433" s="95" t="s">
        <v>1333</v>
      </c>
      <c r="B433" s="95" t="s">
        <v>1320</v>
      </c>
      <c r="C433" s="95" t="s">
        <v>1323</v>
      </c>
      <c r="D433" s="95" t="str">
        <f t="shared" si="6"/>
        <v>Kakira Town Council</v>
      </c>
      <c r="F433" s="95">
        <v>404</v>
      </c>
    </row>
    <row r="434" spans="1:6">
      <c r="A434" s="95" t="s">
        <v>1334</v>
      </c>
      <c r="D434" s="95" t="str">
        <f t="shared" si="6"/>
        <v xml:space="preserve">Kakira  </v>
      </c>
      <c r="F434" s="95">
        <v>404</v>
      </c>
    </row>
    <row r="435" spans="1:6">
      <c r="A435" s="95" t="s">
        <v>1335</v>
      </c>
      <c r="B435" s="95" t="s">
        <v>1320</v>
      </c>
      <c r="C435" s="95" t="s">
        <v>1323</v>
      </c>
      <c r="D435" s="95" t="str">
        <f t="shared" si="6"/>
        <v>Mafubira</v>
      </c>
      <c r="F435" s="95">
        <v>405</v>
      </c>
    </row>
    <row r="436" spans="1:6">
      <c r="A436" s="95" t="s">
        <v>1336</v>
      </c>
      <c r="B436" s="95" t="s">
        <v>1337</v>
      </c>
      <c r="C436" s="95" t="s">
        <v>1338</v>
      </c>
      <c r="D436" s="95" t="str">
        <f t="shared" si="6"/>
        <v>Kaabong East</v>
      </c>
      <c r="F436" s="95">
        <v>406</v>
      </c>
    </row>
    <row r="437" spans="1:6">
      <c r="A437" s="95" t="s">
        <v>1339</v>
      </c>
      <c r="B437" s="95" t="s">
        <v>1337</v>
      </c>
      <c r="C437" s="95" t="s">
        <v>1338</v>
      </c>
      <c r="D437" s="95" t="str">
        <f t="shared" si="6"/>
        <v>Kaabong Town Council</v>
      </c>
      <c r="F437" s="95">
        <v>407</v>
      </c>
    </row>
    <row r="438" spans="1:6">
      <c r="A438" s="95" t="s">
        <v>1340</v>
      </c>
      <c r="B438" s="95" t="s">
        <v>1337</v>
      </c>
      <c r="C438" s="95" t="s">
        <v>1338</v>
      </c>
      <c r="D438" s="95" t="str">
        <f t="shared" si="6"/>
        <v>Kaabong West</v>
      </c>
      <c r="F438" s="95">
        <v>408</v>
      </c>
    </row>
    <row r="439" spans="1:6">
      <c r="A439" s="95" t="s">
        <v>1341</v>
      </c>
      <c r="B439" s="95" t="s">
        <v>1337</v>
      </c>
      <c r="C439" s="95" t="s">
        <v>1338</v>
      </c>
      <c r="D439" s="95" t="str">
        <f t="shared" si="6"/>
        <v>Kalapata</v>
      </c>
      <c r="F439" s="95">
        <v>409</v>
      </c>
    </row>
    <row r="440" spans="1:6">
      <c r="A440" s="95" t="s">
        <v>1342</v>
      </c>
      <c r="B440" s="95" t="s">
        <v>1337</v>
      </c>
      <c r="C440" s="95" t="s">
        <v>1338</v>
      </c>
      <c r="D440" s="95" t="str">
        <f t="shared" si="6"/>
        <v>Kamion</v>
      </c>
      <c r="F440" s="95">
        <v>410</v>
      </c>
    </row>
    <row r="441" spans="1:6">
      <c r="A441" s="95" t="s">
        <v>1343</v>
      </c>
      <c r="B441" s="95" t="s">
        <v>1337</v>
      </c>
      <c r="C441" s="95" t="s">
        <v>1338</v>
      </c>
      <c r="D441" s="95" t="str">
        <f t="shared" si="6"/>
        <v>Kapedo</v>
      </c>
      <c r="F441" s="95">
        <v>411</v>
      </c>
    </row>
    <row r="442" spans="1:6">
      <c r="A442" s="95" t="s">
        <v>1344</v>
      </c>
      <c r="B442" s="95" t="s">
        <v>1337</v>
      </c>
      <c r="C442" s="95" t="s">
        <v>1338</v>
      </c>
      <c r="D442" s="95" t="str">
        <f t="shared" si="6"/>
        <v>Kathile</v>
      </c>
      <c r="F442" s="95">
        <v>412</v>
      </c>
    </row>
    <row r="443" spans="1:6">
      <c r="A443" s="95" t="s">
        <v>1345</v>
      </c>
      <c r="B443" s="95" t="s">
        <v>1337</v>
      </c>
      <c r="C443" s="95" t="s">
        <v>1338</v>
      </c>
      <c r="D443" s="95" t="str">
        <f t="shared" si="6"/>
        <v>Kawalakol</v>
      </c>
      <c r="F443" s="95">
        <v>413</v>
      </c>
    </row>
    <row r="444" spans="1:6">
      <c r="A444" s="95" t="s">
        <v>1346</v>
      </c>
      <c r="B444" s="95" t="s">
        <v>1337</v>
      </c>
      <c r="C444" s="95" t="s">
        <v>1338</v>
      </c>
      <c r="D444" s="95" t="str">
        <f t="shared" si="6"/>
        <v>Lobalangit</v>
      </c>
      <c r="F444" s="95">
        <v>414</v>
      </c>
    </row>
    <row r="445" spans="1:6">
      <c r="A445" s="95" t="s">
        <v>1347</v>
      </c>
      <c r="B445" s="95" t="s">
        <v>1337</v>
      </c>
      <c r="C445" s="95" t="s">
        <v>1338</v>
      </c>
      <c r="D445" s="95" t="str">
        <f t="shared" si="6"/>
        <v>Lodiko</v>
      </c>
      <c r="F445" s="95">
        <v>415</v>
      </c>
    </row>
    <row r="446" spans="1:6">
      <c r="A446" s="95" t="s">
        <v>1348</v>
      </c>
      <c r="B446" s="95" t="s">
        <v>1337</v>
      </c>
      <c r="C446" s="95" t="s">
        <v>1338</v>
      </c>
      <c r="D446" s="95" t="str">
        <f t="shared" si="6"/>
        <v>Lolelia</v>
      </c>
      <c r="F446" s="95">
        <v>416</v>
      </c>
    </row>
    <row r="447" spans="1:6">
      <c r="A447" s="95" t="s">
        <v>1349</v>
      </c>
      <c r="B447" s="95" t="s">
        <v>1337</v>
      </c>
      <c r="C447" s="95" t="s">
        <v>1338</v>
      </c>
      <c r="D447" s="95" t="str">
        <f t="shared" si="6"/>
        <v>Loyoro</v>
      </c>
      <c r="F447" s="95">
        <v>417</v>
      </c>
    </row>
    <row r="448" spans="1:6">
      <c r="A448" s="95" t="s">
        <v>1350</v>
      </c>
      <c r="B448" s="95" t="s">
        <v>1337</v>
      </c>
      <c r="C448" s="95" t="s">
        <v>1338</v>
      </c>
      <c r="D448" s="95" t="str">
        <f t="shared" si="6"/>
        <v>Napore Karenga</v>
      </c>
      <c r="F448" s="95">
        <v>418</v>
      </c>
    </row>
    <row r="449" spans="1:6">
      <c r="A449" s="95" t="s">
        <v>1351</v>
      </c>
      <c r="B449" s="95" t="s">
        <v>1337</v>
      </c>
      <c r="C449" s="95" t="s">
        <v>1338</v>
      </c>
      <c r="D449" s="95" t="str">
        <f t="shared" si="6"/>
        <v>Sidok</v>
      </c>
      <c r="F449" s="95">
        <v>419</v>
      </c>
    </row>
    <row r="450" spans="1:6">
      <c r="A450" s="95" t="s">
        <v>1352</v>
      </c>
      <c r="B450" s="95" t="s">
        <v>1353</v>
      </c>
      <c r="C450" s="95" t="s">
        <v>1354</v>
      </c>
      <c r="D450" s="95" t="str">
        <f t="shared" si="6"/>
        <v>Buhara</v>
      </c>
      <c r="F450" s="95">
        <v>420</v>
      </c>
    </row>
    <row r="451" spans="1:6">
      <c r="A451" s="95" t="s">
        <v>1355</v>
      </c>
      <c r="B451" s="95" t="s">
        <v>1353</v>
      </c>
      <c r="C451" s="95" t="s">
        <v>1354</v>
      </c>
      <c r="D451" s="95" t="str">
        <f t="shared" si="6"/>
        <v>Butanda</v>
      </c>
      <c r="F451" s="95">
        <v>421</v>
      </c>
    </row>
    <row r="452" spans="1:6">
      <c r="A452" s="95" t="s">
        <v>1356</v>
      </c>
      <c r="B452" s="95" t="s">
        <v>1353</v>
      </c>
      <c r="C452" s="95" t="s">
        <v>1356</v>
      </c>
      <c r="D452" s="95" t="str">
        <f t="shared" si="6"/>
        <v>Kabale Municipality</v>
      </c>
      <c r="F452" s="95">
        <v>422</v>
      </c>
    </row>
    <row r="453" spans="1:6">
      <c r="A453" s="95" t="s">
        <v>1357</v>
      </c>
      <c r="D453" s="95" t="str">
        <f t="shared" si="6"/>
        <v>Kabale town</v>
      </c>
      <c r="F453" s="95">
        <v>422</v>
      </c>
    </row>
    <row r="454" spans="1:6">
      <c r="A454" s="95" t="s">
        <v>1358</v>
      </c>
      <c r="B454" s="95" t="s">
        <v>1353</v>
      </c>
      <c r="C454" s="95" t="s">
        <v>1354</v>
      </c>
      <c r="D454" s="95" t="str">
        <f t="shared" si="6"/>
        <v>Kaharo</v>
      </c>
      <c r="F454" s="95">
        <v>423</v>
      </c>
    </row>
    <row r="455" spans="1:6">
      <c r="A455" s="95" t="s">
        <v>1359</v>
      </c>
      <c r="B455" s="95" t="s">
        <v>1353</v>
      </c>
      <c r="C455" s="95" t="s">
        <v>1354</v>
      </c>
      <c r="D455" s="95" t="str">
        <f t="shared" si="6"/>
        <v>Kamuganguzi</v>
      </c>
      <c r="F455" s="95">
        <v>424</v>
      </c>
    </row>
    <row r="456" spans="1:6">
      <c r="A456" s="95" t="s">
        <v>1360</v>
      </c>
      <c r="B456" s="95" t="s">
        <v>1353</v>
      </c>
      <c r="C456" s="95" t="s">
        <v>1354</v>
      </c>
      <c r="D456" s="95" t="str">
        <f t="shared" si="6"/>
        <v>Katuna Town Council</v>
      </c>
      <c r="F456" s="95">
        <v>425</v>
      </c>
    </row>
    <row r="457" spans="1:6">
      <c r="A457" s="95" t="s">
        <v>1361</v>
      </c>
      <c r="B457" s="95" t="s">
        <v>1353</v>
      </c>
      <c r="C457" s="95" t="s">
        <v>1354</v>
      </c>
      <c r="D457" s="95" t="str">
        <f t="shared" si="6"/>
        <v>Kitumba</v>
      </c>
      <c r="F457" s="95">
        <v>426</v>
      </c>
    </row>
    <row r="458" spans="1:6">
      <c r="A458" s="95" t="s">
        <v>1362</v>
      </c>
      <c r="B458" s="95" t="s">
        <v>1353</v>
      </c>
      <c r="C458" s="95" t="s">
        <v>1354</v>
      </c>
      <c r="D458" s="95" t="str">
        <f t="shared" si="6"/>
        <v>Kyanamira</v>
      </c>
      <c r="F458" s="95">
        <v>427</v>
      </c>
    </row>
    <row r="459" spans="1:6">
      <c r="A459" s="95" t="s">
        <v>1363</v>
      </c>
      <c r="B459" s="95" t="s">
        <v>1353</v>
      </c>
      <c r="C459" s="95" t="s">
        <v>1354</v>
      </c>
      <c r="D459" s="95" t="str">
        <f t="shared" si="6"/>
        <v>Maziba</v>
      </c>
      <c r="F459" s="95">
        <v>428</v>
      </c>
    </row>
    <row r="460" spans="1:6">
      <c r="A460" s="95" t="s">
        <v>1364</v>
      </c>
      <c r="B460" s="95" t="s">
        <v>1353</v>
      </c>
      <c r="C460" s="95" t="s">
        <v>1354</v>
      </c>
      <c r="D460" s="95" t="str">
        <f t="shared" si="6"/>
        <v>Rubaya-Kabale</v>
      </c>
      <c r="F460" s="95">
        <v>429</v>
      </c>
    </row>
    <row r="461" spans="1:6">
      <c r="A461" s="95" t="s">
        <v>1365</v>
      </c>
      <c r="B461" s="95" t="s">
        <v>1353</v>
      </c>
      <c r="C461" s="95" t="s">
        <v>1354</v>
      </c>
      <c r="D461" s="95" t="str">
        <f t="shared" si="6"/>
        <v>Ryakirimira Town Council</v>
      </c>
      <c r="F461" s="95">
        <v>430</v>
      </c>
    </row>
    <row r="462" spans="1:6">
      <c r="A462" s="95" t="s">
        <v>1366</v>
      </c>
      <c r="B462" s="95" t="s">
        <v>1367</v>
      </c>
      <c r="C462" s="95" t="s">
        <v>1368</v>
      </c>
      <c r="D462" s="95" t="str">
        <f t="shared" si="6"/>
        <v>Bukuuku</v>
      </c>
      <c r="F462" s="95">
        <v>431</v>
      </c>
    </row>
    <row r="463" spans="1:6">
      <c r="A463" s="95" t="s">
        <v>1369</v>
      </c>
      <c r="B463" s="95" t="s">
        <v>1367</v>
      </c>
      <c r="C463" s="95" t="s">
        <v>1368</v>
      </c>
      <c r="D463" s="95" t="str">
        <f t="shared" si="6"/>
        <v>Busoro</v>
      </c>
      <c r="F463" s="95">
        <v>432</v>
      </c>
    </row>
    <row r="464" spans="1:6">
      <c r="A464" s="95" t="s">
        <v>1370</v>
      </c>
      <c r="B464" s="95" t="s">
        <v>1367</v>
      </c>
      <c r="C464" s="95" t="s">
        <v>1370</v>
      </c>
      <c r="D464" s="95" t="str">
        <f t="shared" si="6"/>
        <v>Fort Portal Municipality</v>
      </c>
      <c r="F464" s="95">
        <v>433</v>
      </c>
    </row>
    <row r="465" spans="1:6">
      <c r="A465" s="95" t="s">
        <v>1371</v>
      </c>
      <c r="F465" s="95">
        <v>433</v>
      </c>
    </row>
    <row r="466" spans="1:6">
      <c r="A466" s="95" t="s">
        <v>1372</v>
      </c>
      <c r="F466" s="95">
        <v>433</v>
      </c>
    </row>
    <row r="467" spans="1:6">
      <c r="A467" s="95" t="s">
        <v>1373</v>
      </c>
      <c r="F467" s="95">
        <v>433</v>
      </c>
    </row>
    <row r="468" spans="1:6">
      <c r="A468" s="95" t="s">
        <v>1374</v>
      </c>
      <c r="B468" s="95" t="s">
        <v>1367</v>
      </c>
      <c r="C468" s="95" t="s">
        <v>1368</v>
      </c>
      <c r="D468" s="95" t="str">
        <f t="shared" si="6"/>
        <v>Hakibaale</v>
      </c>
      <c r="F468" s="95">
        <v>434</v>
      </c>
    </row>
    <row r="469" spans="1:6">
      <c r="A469" s="95" t="s">
        <v>1375</v>
      </c>
      <c r="B469" s="95" t="s">
        <v>1367</v>
      </c>
      <c r="C469" s="95" t="s">
        <v>1368</v>
      </c>
      <c r="D469" s="95" t="str">
        <f t="shared" si="6"/>
        <v>Karago Town Council</v>
      </c>
      <c r="F469" s="95">
        <v>435</v>
      </c>
    </row>
    <row r="470" spans="1:6">
      <c r="A470" s="95" t="s">
        <v>1376</v>
      </c>
      <c r="B470" s="95" t="s">
        <v>1367</v>
      </c>
      <c r="C470" s="95" t="s">
        <v>1368</v>
      </c>
      <c r="D470" s="95" t="str">
        <f t="shared" si="6"/>
        <v>Karambi-Kabarole</v>
      </c>
      <c r="F470" s="95">
        <v>436</v>
      </c>
    </row>
    <row r="471" spans="1:6">
      <c r="A471" s="95" t="s">
        <v>1377</v>
      </c>
      <c r="B471" s="95" t="s">
        <v>1367</v>
      </c>
      <c r="C471" s="95" t="s">
        <v>1368</v>
      </c>
      <c r="D471" s="95" t="str">
        <f t="shared" si="6"/>
        <v>Karangura</v>
      </c>
      <c r="F471" s="95">
        <v>437</v>
      </c>
    </row>
    <row r="472" spans="1:6">
      <c r="A472" s="95" t="s">
        <v>1378</v>
      </c>
      <c r="B472" s="95" t="s">
        <v>1367</v>
      </c>
      <c r="C472" s="95" t="s">
        <v>1368</v>
      </c>
      <c r="D472" s="95" t="str">
        <f t="shared" si="6"/>
        <v>Kasenda</v>
      </c>
      <c r="F472" s="95">
        <v>438</v>
      </c>
    </row>
    <row r="473" spans="1:6">
      <c r="A473" s="95" t="s">
        <v>1379</v>
      </c>
      <c r="B473" s="95" t="s">
        <v>1367</v>
      </c>
      <c r="C473" s="95" t="s">
        <v>1368</v>
      </c>
      <c r="D473" s="95" t="str">
        <f t="shared" si="6"/>
        <v>Kicwamba</v>
      </c>
      <c r="F473" s="95">
        <v>439</v>
      </c>
    </row>
    <row r="474" spans="1:6">
      <c r="A474" s="95" t="s">
        <v>1380</v>
      </c>
      <c r="B474" s="95" t="s">
        <v>1367</v>
      </c>
      <c r="C474" s="95" t="s">
        <v>1368</v>
      </c>
      <c r="D474" s="95" t="str">
        <f t="shared" si="6"/>
        <v>Kijura Town Council</v>
      </c>
      <c r="F474" s="95">
        <v>440</v>
      </c>
    </row>
    <row r="475" spans="1:6">
      <c r="A475" s="95" t="s">
        <v>1381</v>
      </c>
      <c r="B475" s="95" t="s">
        <v>1367</v>
      </c>
      <c r="C475" s="95" t="s">
        <v>1368</v>
      </c>
      <c r="D475" s="95" t="str">
        <f t="shared" si="6"/>
        <v>Kiko Town Council</v>
      </c>
      <c r="F475" s="95">
        <v>441</v>
      </c>
    </row>
    <row r="476" spans="1:6">
      <c r="A476" s="95" t="s">
        <v>1382</v>
      </c>
      <c r="B476" s="95" t="s">
        <v>1367</v>
      </c>
      <c r="C476" s="95" t="s">
        <v>1368</v>
      </c>
      <c r="D476" s="95" t="str">
        <f t="shared" si="6"/>
        <v>Mugusu</v>
      </c>
      <c r="F476" s="95">
        <v>442</v>
      </c>
    </row>
    <row r="477" spans="1:6">
      <c r="A477" s="95" t="s">
        <v>1383</v>
      </c>
      <c r="B477" s="95" t="s">
        <v>1367</v>
      </c>
      <c r="C477" s="95" t="s">
        <v>1368</v>
      </c>
      <c r="D477" s="95" t="str">
        <f t="shared" si="6"/>
        <v>Mugusu Town Council</v>
      </c>
      <c r="F477" s="95">
        <v>443</v>
      </c>
    </row>
    <row r="478" spans="1:6">
      <c r="A478" s="95" t="s">
        <v>1384</v>
      </c>
      <c r="B478" s="95" t="s">
        <v>1367</v>
      </c>
      <c r="C478" s="95" t="s">
        <v>1368</v>
      </c>
      <c r="D478" s="95" t="str">
        <f t="shared" si="6"/>
        <v>Ruteete-Kabarole</v>
      </c>
      <c r="F478" s="95">
        <v>444</v>
      </c>
    </row>
    <row r="479" spans="1:6">
      <c r="A479" s="95" t="s">
        <v>1385</v>
      </c>
      <c r="B479" s="95" t="s">
        <v>1386</v>
      </c>
      <c r="C479" s="95" t="s">
        <v>1386</v>
      </c>
      <c r="D479" s="95" t="str">
        <f t="shared" si="6"/>
        <v>Alwa</v>
      </c>
      <c r="F479" s="95">
        <v>445</v>
      </c>
    </row>
    <row r="480" spans="1:6">
      <c r="A480" s="95" t="s">
        <v>1387</v>
      </c>
      <c r="B480" s="95" t="s">
        <v>1386</v>
      </c>
      <c r="C480" s="95" t="s">
        <v>1388</v>
      </c>
      <c r="D480" s="95" t="str">
        <f t="shared" si="6"/>
        <v>Anyara</v>
      </c>
      <c r="F480" s="95">
        <v>446</v>
      </c>
    </row>
    <row r="481" spans="1:6">
      <c r="A481" s="95" t="s">
        <v>1389</v>
      </c>
      <c r="B481" s="95" t="s">
        <v>1386</v>
      </c>
      <c r="C481" s="95" t="s">
        <v>1388</v>
      </c>
      <c r="D481" s="95" t="str">
        <f t="shared" si="6"/>
        <v>Apapai</v>
      </c>
      <c r="F481" s="95">
        <v>447</v>
      </c>
    </row>
    <row r="482" spans="1:6">
      <c r="A482" s="95" t="s">
        <v>1390</v>
      </c>
      <c r="B482" s="95" t="s">
        <v>1386</v>
      </c>
      <c r="C482" s="95" t="s">
        <v>1386</v>
      </c>
      <c r="D482" s="95" t="str">
        <f t="shared" si="6"/>
        <v>Aperkira</v>
      </c>
      <c r="F482" s="95">
        <v>448</v>
      </c>
    </row>
    <row r="483" spans="1:6">
      <c r="A483" s="95" t="s">
        <v>1391</v>
      </c>
      <c r="B483" s="95" t="s">
        <v>1386</v>
      </c>
      <c r="C483" s="95" t="s">
        <v>1388</v>
      </c>
      <c r="D483" s="95" t="str">
        <f t="shared" si="6"/>
        <v>Bululu</v>
      </c>
      <c r="F483" s="95">
        <v>449</v>
      </c>
    </row>
    <row r="484" spans="1:6">
      <c r="A484" s="95" t="s">
        <v>1386</v>
      </c>
      <c r="B484" s="95" t="s">
        <v>1386</v>
      </c>
      <c r="C484" s="95" t="s">
        <v>1386</v>
      </c>
      <c r="D484" s="95" t="str">
        <f t="shared" ref="D484:D547" si="7">A484</f>
        <v>Kaberamaido</v>
      </c>
      <c r="F484" s="95">
        <v>450</v>
      </c>
    </row>
    <row r="485" spans="1:6">
      <c r="A485" s="95" t="s">
        <v>1392</v>
      </c>
      <c r="B485" s="95" t="s">
        <v>1386</v>
      </c>
      <c r="C485" s="95" t="s">
        <v>1386</v>
      </c>
      <c r="D485" s="95" t="str">
        <f t="shared" si="7"/>
        <v>Kaberamaido Town Council</v>
      </c>
      <c r="F485" s="95">
        <v>451</v>
      </c>
    </row>
    <row r="486" spans="1:6">
      <c r="A486" s="95" t="s">
        <v>1393</v>
      </c>
      <c r="B486" s="95" t="s">
        <v>1386</v>
      </c>
      <c r="C486" s="95" t="s">
        <v>1388</v>
      </c>
      <c r="D486" s="95" t="str">
        <f t="shared" si="7"/>
        <v>Kakure</v>
      </c>
      <c r="F486" s="95">
        <v>452</v>
      </c>
    </row>
    <row r="487" spans="1:6">
      <c r="A487" s="95" t="s">
        <v>1388</v>
      </c>
      <c r="B487" s="95" t="s">
        <v>1386</v>
      </c>
      <c r="C487" s="95" t="s">
        <v>1388</v>
      </c>
      <c r="D487" s="95" t="str">
        <f t="shared" si="7"/>
        <v>Kalaki</v>
      </c>
      <c r="F487" s="95">
        <v>453</v>
      </c>
    </row>
    <row r="488" spans="1:6">
      <c r="A488" s="95" t="s">
        <v>1394</v>
      </c>
      <c r="B488" s="95" t="s">
        <v>1386</v>
      </c>
      <c r="C488" s="95" t="s">
        <v>1386</v>
      </c>
      <c r="D488" s="95" t="str">
        <f t="shared" si="7"/>
        <v>Kobulubulu</v>
      </c>
      <c r="F488" s="95">
        <v>454</v>
      </c>
    </row>
    <row r="489" spans="1:6">
      <c r="A489" s="95" t="s">
        <v>1395</v>
      </c>
      <c r="B489" s="95" t="s">
        <v>1386</v>
      </c>
      <c r="C489" s="95" t="s">
        <v>1386</v>
      </c>
      <c r="D489" s="95" t="str">
        <f t="shared" si="7"/>
        <v>Ochero</v>
      </c>
      <c r="F489" s="95">
        <v>455</v>
      </c>
    </row>
    <row r="490" spans="1:6">
      <c r="A490" s="95" t="s">
        <v>1396</v>
      </c>
      <c r="B490" s="95" t="s">
        <v>1386</v>
      </c>
      <c r="C490" s="95" t="s">
        <v>1388</v>
      </c>
      <c r="D490" s="95" t="str">
        <f t="shared" si="7"/>
        <v>Otuboi</v>
      </c>
      <c r="F490" s="95">
        <v>456</v>
      </c>
    </row>
    <row r="491" spans="1:6">
      <c r="A491" s="95" t="s">
        <v>1397</v>
      </c>
      <c r="B491" s="95" t="s">
        <v>1398</v>
      </c>
      <c r="C491" s="95" t="s">
        <v>1399</v>
      </c>
      <c r="D491" s="95" t="str">
        <f t="shared" si="7"/>
        <v>Burora</v>
      </c>
      <c r="F491" s="95">
        <v>457</v>
      </c>
    </row>
    <row r="492" spans="1:6">
      <c r="A492" s="95" t="s">
        <v>1400</v>
      </c>
      <c r="B492" s="95" t="s">
        <v>1398</v>
      </c>
      <c r="C492" s="95" t="s">
        <v>1399</v>
      </c>
      <c r="D492" s="95" t="str">
        <f t="shared" si="7"/>
        <v>Bwikara</v>
      </c>
      <c r="F492" s="95">
        <v>458</v>
      </c>
    </row>
    <row r="493" spans="1:6">
      <c r="A493" s="95" t="s">
        <v>1401</v>
      </c>
      <c r="B493" s="95" t="s">
        <v>1398</v>
      </c>
      <c r="C493" s="95" t="s">
        <v>1399</v>
      </c>
      <c r="D493" s="95" t="str">
        <f t="shared" si="7"/>
        <v>Kabamba</v>
      </c>
      <c r="F493" s="95">
        <v>459</v>
      </c>
    </row>
    <row r="494" spans="1:6">
      <c r="A494" s="95" t="s">
        <v>1398</v>
      </c>
      <c r="B494" s="95" t="s">
        <v>1398</v>
      </c>
      <c r="C494" s="95" t="s">
        <v>1399</v>
      </c>
      <c r="D494" s="95" t="str">
        <f t="shared" si="7"/>
        <v>Kagadi</v>
      </c>
      <c r="F494" s="95">
        <v>460</v>
      </c>
    </row>
    <row r="495" spans="1:6">
      <c r="A495" s="95" t="s">
        <v>1402</v>
      </c>
      <c r="B495" s="95" t="s">
        <v>1398</v>
      </c>
      <c r="C495" s="95" t="s">
        <v>1399</v>
      </c>
      <c r="D495" s="95" t="str">
        <f t="shared" si="7"/>
        <v>Kagadi Town Council</v>
      </c>
      <c r="F495" s="95">
        <v>461</v>
      </c>
    </row>
    <row r="496" spans="1:6">
      <c r="A496" s="95" t="s">
        <v>1403</v>
      </c>
      <c r="B496" s="95" t="s">
        <v>1398</v>
      </c>
      <c r="C496" s="95" t="s">
        <v>1399</v>
      </c>
      <c r="D496" s="95" t="str">
        <f t="shared" si="7"/>
        <v>Kiryanga</v>
      </c>
      <c r="F496" s="95">
        <v>462</v>
      </c>
    </row>
    <row r="497" spans="1:6">
      <c r="A497" s="95" t="s">
        <v>1404</v>
      </c>
      <c r="B497" s="95" t="s">
        <v>1398</v>
      </c>
      <c r="C497" s="95" t="s">
        <v>1399</v>
      </c>
      <c r="D497" s="95" t="str">
        <f t="shared" si="7"/>
        <v>Kyakabadiima</v>
      </c>
      <c r="F497" s="95">
        <v>463</v>
      </c>
    </row>
    <row r="498" spans="1:6">
      <c r="A498" s="95" t="s">
        <v>1405</v>
      </c>
      <c r="B498" s="95" t="s">
        <v>1398</v>
      </c>
      <c r="C498" s="95" t="s">
        <v>1399</v>
      </c>
      <c r="D498" s="95" t="str">
        <f t="shared" si="7"/>
        <v>Kyanaisoke</v>
      </c>
      <c r="F498" s="95">
        <v>464</v>
      </c>
    </row>
    <row r="499" spans="1:6">
      <c r="A499" s="95" t="s">
        <v>1406</v>
      </c>
      <c r="B499" s="95" t="s">
        <v>1398</v>
      </c>
      <c r="C499" s="95" t="s">
        <v>1399</v>
      </c>
      <c r="D499" s="95" t="str">
        <f t="shared" si="7"/>
        <v>Kyaterekera</v>
      </c>
      <c r="F499" s="95">
        <v>465</v>
      </c>
    </row>
    <row r="500" spans="1:6">
      <c r="A500" s="95" t="s">
        <v>1407</v>
      </c>
      <c r="B500" s="95" t="s">
        <v>1398</v>
      </c>
      <c r="C500" s="95" t="s">
        <v>1399</v>
      </c>
      <c r="D500" s="95" t="str">
        <f t="shared" si="7"/>
        <v>Kyenzige</v>
      </c>
      <c r="F500" s="95">
        <v>466</v>
      </c>
    </row>
    <row r="501" spans="1:6">
      <c r="A501" s="95" t="s">
        <v>1408</v>
      </c>
      <c r="B501" s="95" t="s">
        <v>1398</v>
      </c>
      <c r="C501" s="95" t="s">
        <v>1399</v>
      </c>
      <c r="D501" s="95" t="str">
        <f t="shared" si="7"/>
        <v>Mabaale</v>
      </c>
      <c r="F501" s="95">
        <v>467</v>
      </c>
    </row>
    <row r="502" spans="1:6">
      <c r="A502" s="95" t="s">
        <v>1409</v>
      </c>
      <c r="B502" s="95" t="s">
        <v>1398</v>
      </c>
      <c r="C502" s="95" t="s">
        <v>1399</v>
      </c>
      <c r="D502" s="95" t="str">
        <f t="shared" si="7"/>
        <v>Mpeefu</v>
      </c>
      <c r="F502" s="95">
        <v>468</v>
      </c>
    </row>
    <row r="503" spans="1:6">
      <c r="A503" s="95" t="s">
        <v>1410</v>
      </c>
      <c r="B503" s="95" t="s">
        <v>1398</v>
      </c>
      <c r="C503" s="95" t="s">
        <v>1399</v>
      </c>
      <c r="D503" s="95" t="str">
        <f t="shared" si="7"/>
        <v>Muhorro</v>
      </c>
      <c r="F503" s="95">
        <v>469</v>
      </c>
    </row>
    <row r="504" spans="1:6">
      <c r="A504" s="95" t="s">
        <v>1411</v>
      </c>
      <c r="B504" s="95" t="s">
        <v>1398</v>
      </c>
      <c r="C504" s="95" t="s">
        <v>1399</v>
      </c>
      <c r="D504" s="95" t="str">
        <f t="shared" si="7"/>
        <v>Muhorro Town Council</v>
      </c>
      <c r="F504" s="95">
        <v>470</v>
      </c>
    </row>
    <row r="505" spans="1:6">
      <c r="A505" s="95" t="s">
        <v>1412</v>
      </c>
      <c r="B505" s="95" t="s">
        <v>1398</v>
      </c>
      <c r="C505" s="95" t="s">
        <v>1399</v>
      </c>
      <c r="D505" s="95" t="str">
        <f t="shared" si="7"/>
        <v>Ndaiga</v>
      </c>
      <c r="F505" s="95">
        <v>471</v>
      </c>
    </row>
    <row r="506" spans="1:6">
      <c r="A506" s="95" t="s">
        <v>1413</v>
      </c>
      <c r="B506" s="95" t="s">
        <v>1398</v>
      </c>
      <c r="C506" s="95" t="s">
        <v>1399</v>
      </c>
      <c r="D506" s="95" t="str">
        <f t="shared" si="7"/>
        <v>Paacwa</v>
      </c>
      <c r="F506" s="95">
        <v>472</v>
      </c>
    </row>
    <row r="507" spans="1:6">
      <c r="A507" s="95" t="s">
        <v>1414</v>
      </c>
      <c r="B507" s="95" t="s">
        <v>1398</v>
      </c>
      <c r="C507" s="95" t="s">
        <v>1399</v>
      </c>
      <c r="D507" s="95" t="str">
        <f t="shared" si="7"/>
        <v>Rugashari</v>
      </c>
      <c r="F507" s="95">
        <v>473</v>
      </c>
    </row>
    <row r="508" spans="1:6">
      <c r="A508" s="95" t="s">
        <v>1415</v>
      </c>
      <c r="B508" s="95" t="s">
        <v>1398</v>
      </c>
      <c r="C508" s="95" t="s">
        <v>1399</v>
      </c>
      <c r="D508" s="95" t="str">
        <f t="shared" si="7"/>
        <v>Ruteete-Kagadi</v>
      </c>
      <c r="F508" s="95">
        <v>474</v>
      </c>
    </row>
    <row r="509" spans="1:6">
      <c r="A509" s="95" t="s">
        <v>1416</v>
      </c>
      <c r="B509" s="95" t="s">
        <v>1417</v>
      </c>
      <c r="C509" s="95" t="s">
        <v>1418</v>
      </c>
      <c r="D509" s="95" t="str">
        <f t="shared" si="7"/>
        <v>Birembo</v>
      </c>
      <c r="F509" s="95">
        <v>475</v>
      </c>
    </row>
    <row r="510" spans="1:6">
      <c r="A510" s="95" t="s">
        <v>1419</v>
      </c>
      <c r="B510" s="95" t="s">
        <v>1417</v>
      </c>
      <c r="C510" s="95" t="s">
        <v>1418</v>
      </c>
      <c r="D510" s="95" t="str">
        <f t="shared" si="7"/>
        <v>Bwanswa</v>
      </c>
      <c r="F510" s="95">
        <v>476</v>
      </c>
    </row>
    <row r="511" spans="1:6">
      <c r="A511" s="95" t="s">
        <v>1420</v>
      </c>
      <c r="B511" s="95" t="s">
        <v>1417</v>
      </c>
      <c r="C511" s="95" t="s">
        <v>1418</v>
      </c>
      <c r="D511" s="95" t="str">
        <f t="shared" si="7"/>
        <v>Kakindo</v>
      </c>
      <c r="F511" s="95">
        <v>477</v>
      </c>
    </row>
    <row r="512" spans="1:6">
      <c r="A512" s="95" t="s">
        <v>1421</v>
      </c>
      <c r="B512" s="95" t="s">
        <v>1417</v>
      </c>
      <c r="C512" s="95" t="s">
        <v>1418</v>
      </c>
      <c r="D512" s="95" t="str">
        <f t="shared" si="7"/>
        <v>Kakumiro Town Council</v>
      </c>
      <c r="F512" s="95">
        <v>478</v>
      </c>
    </row>
    <row r="513" spans="1:6">
      <c r="A513" s="95" t="s">
        <v>1422</v>
      </c>
      <c r="D513" s="95" t="str">
        <f t="shared" si="7"/>
        <v>KAKUMIRO TOWN</v>
      </c>
      <c r="F513" s="95">
        <v>478</v>
      </c>
    </row>
    <row r="514" spans="1:6">
      <c r="A514" s="95" t="s">
        <v>1423</v>
      </c>
      <c r="B514" s="95" t="s">
        <v>1417</v>
      </c>
      <c r="C514" s="95" t="s">
        <v>1418</v>
      </c>
      <c r="D514" s="95" t="str">
        <f t="shared" si="7"/>
        <v>Kasambya-Kakumiro</v>
      </c>
      <c r="F514" s="95">
        <v>479</v>
      </c>
    </row>
    <row r="515" spans="1:6">
      <c r="A515" s="95" t="s">
        <v>1424</v>
      </c>
      <c r="B515" s="95" t="s">
        <v>1417</v>
      </c>
      <c r="C515" s="95" t="s">
        <v>1418</v>
      </c>
      <c r="D515" s="95" t="str">
        <f t="shared" si="7"/>
        <v>Kikwaya</v>
      </c>
      <c r="F515" s="95">
        <v>480</v>
      </c>
    </row>
    <row r="516" spans="1:6">
      <c r="A516" s="95" t="s">
        <v>1425</v>
      </c>
      <c r="B516" s="95" t="s">
        <v>1417</v>
      </c>
      <c r="C516" s="95" t="s">
        <v>1418</v>
      </c>
      <c r="D516" s="95" t="str">
        <f t="shared" si="7"/>
        <v>Kisiita</v>
      </c>
      <c r="F516" s="95">
        <v>481</v>
      </c>
    </row>
    <row r="517" spans="1:6">
      <c r="A517" s="95" t="s">
        <v>1426</v>
      </c>
      <c r="B517" s="95" t="s">
        <v>1417</v>
      </c>
      <c r="C517" s="95" t="s">
        <v>1418</v>
      </c>
      <c r="D517" s="95" t="str">
        <f t="shared" si="7"/>
        <v>Kitaihuka</v>
      </c>
      <c r="F517" s="95">
        <v>482</v>
      </c>
    </row>
    <row r="518" spans="1:6">
      <c r="A518" s="95" t="s">
        <v>1427</v>
      </c>
      <c r="B518" s="95" t="s">
        <v>1417</v>
      </c>
      <c r="C518" s="95" t="s">
        <v>1418</v>
      </c>
      <c r="D518" s="95" t="str">
        <f t="shared" si="7"/>
        <v>Mpasaana</v>
      </c>
      <c r="F518" s="95">
        <v>483</v>
      </c>
    </row>
    <row r="519" spans="1:6">
      <c r="A519" s="95" t="s">
        <v>1428</v>
      </c>
      <c r="B519" s="95" t="s">
        <v>1417</v>
      </c>
      <c r="C519" s="95" t="s">
        <v>1418</v>
      </c>
      <c r="D519" s="95" t="str">
        <f t="shared" si="7"/>
        <v>Nalweyo</v>
      </c>
      <c r="F519" s="95">
        <v>484</v>
      </c>
    </row>
    <row r="520" spans="1:6">
      <c r="A520" s="95" t="s">
        <v>1429</v>
      </c>
      <c r="B520" s="95" t="s">
        <v>1417</v>
      </c>
      <c r="C520" s="95" t="s">
        <v>1418</v>
      </c>
      <c r="D520" s="95" t="str">
        <f t="shared" si="7"/>
        <v>Nkooko</v>
      </c>
      <c r="F520" s="95">
        <v>485</v>
      </c>
    </row>
    <row r="521" spans="1:6">
      <c r="A521" s="95" t="s">
        <v>1430</v>
      </c>
      <c r="B521" s="95" t="s">
        <v>1431</v>
      </c>
      <c r="C521" s="95" t="s">
        <v>1432</v>
      </c>
      <c r="D521" s="95" t="str">
        <f t="shared" si="7"/>
        <v>Bubeke</v>
      </c>
      <c r="F521" s="95">
        <v>486</v>
      </c>
    </row>
    <row r="522" spans="1:6">
      <c r="A522" s="95" t="s">
        <v>1433</v>
      </c>
      <c r="B522" s="95" t="s">
        <v>1431</v>
      </c>
      <c r="C522" s="95" t="s">
        <v>1432</v>
      </c>
      <c r="D522" s="95" t="str">
        <f t="shared" si="7"/>
        <v>Bufumira</v>
      </c>
      <c r="F522" s="95">
        <v>487</v>
      </c>
    </row>
    <row r="523" spans="1:6">
      <c r="A523" s="95" t="s">
        <v>1434</v>
      </c>
      <c r="B523" s="95" t="s">
        <v>1431</v>
      </c>
      <c r="C523" s="95" t="s">
        <v>1434</v>
      </c>
      <c r="D523" s="95" t="str">
        <f t="shared" si="7"/>
        <v>Bujumba</v>
      </c>
      <c r="F523" s="95">
        <v>488</v>
      </c>
    </row>
    <row r="524" spans="1:6">
      <c r="A524" s="95" t="s">
        <v>1435</v>
      </c>
      <c r="B524" s="95" t="s">
        <v>1431</v>
      </c>
      <c r="C524" s="95" t="s">
        <v>1434</v>
      </c>
      <c r="D524" s="95" t="str">
        <f t="shared" si="7"/>
        <v>Kalangala Town Council</v>
      </c>
      <c r="F524" s="95">
        <v>489</v>
      </c>
    </row>
    <row r="525" spans="1:6">
      <c r="A525" s="95" t="s">
        <v>1432</v>
      </c>
      <c r="B525" s="95" t="s">
        <v>1431</v>
      </c>
      <c r="C525" s="95" t="s">
        <v>1432</v>
      </c>
      <c r="D525" s="95" t="str">
        <f t="shared" si="7"/>
        <v>Kyamuswa</v>
      </c>
      <c r="F525" s="95">
        <v>490</v>
      </c>
    </row>
    <row r="526" spans="1:6">
      <c r="A526" s="95" t="s">
        <v>1436</v>
      </c>
      <c r="B526" s="95" t="s">
        <v>1431</v>
      </c>
      <c r="C526" s="95" t="s">
        <v>1432</v>
      </c>
      <c r="D526" s="95" t="str">
        <f t="shared" si="7"/>
        <v>Mazinga</v>
      </c>
      <c r="F526" s="95">
        <v>491</v>
      </c>
    </row>
    <row r="527" spans="1:6">
      <c r="A527" s="95" t="s">
        <v>1437</v>
      </c>
      <c r="B527" s="95" t="s">
        <v>1431</v>
      </c>
      <c r="C527" s="95" t="s">
        <v>1434</v>
      </c>
      <c r="D527" s="95" t="str">
        <f t="shared" si="7"/>
        <v>Mugoye</v>
      </c>
      <c r="F527" s="95">
        <v>492</v>
      </c>
    </row>
    <row r="528" spans="1:6">
      <c r="A528" s="95" t="s">
        <v>1438</v>
      </c>
      <c r="B528" s="95" t="s">
        <v>1439</v>
      </c>
      <c r="C528" s="95" t="s">
        <v>1278</v>
      </c>
      <c r="D528" s="95" t="str">
        <f t="shared" si="7"/>
        <v>Budomero</v>
      </c>
      <c r="F528" s="95">
        <v>493</v>
      </c>
    </row>
    <row r="529" spans="1:6">
      <c r="A529" s="95" t="s">
        <v>1440</v>
      </c>
      <c r="B529" s="95" t="s">
        <v>1439</v>
      </c>
      <c r="C529" s="95" t="s">
        <v>1278</v>
      </c>
      <c r="D529" s="95" t="str">
        <f t="shared" si="7"/>
        <v>Bukamba</v>
      </c>
      <c r="F529" s="95">
        <v>494</v>
      </c>
    </row>
    <row r="530" spans="1:6">
      <c r="A530" s="95" t="s">
        <v>1441</v>
      </c>
      <c r="B530" s="95" t="s">
        <v>1439</v>
      </c>
      <c r="C530" s="95" t="s">
        <v>1278</v>
      </c>
      <c r="D530" s="95" t="str">
        <f t="shared" si="7"/>
        <v>Bumanya</v>
      </c>
      <c r="F530" s="95">
        <v>495</v>
      </c>
    </row>
    <row r="531" spans="1:6">
      <c r="A531" s="95" t="s">
        <v>1442</v>
      </c>
      <c r="B531" s="95" t="s">
        <v>1439</v>
      </c>
      <c r="C531" s="95" t="s">
        <v>1278</v>
      </c>
      <c r="D531" s="95" t="str">
        <f t="shared" si="7"/>
        <v>Buyinda</v>
      </c>
      <c r="F531" s="95">
        <v>496</v>
      </c>
    </row>
    <row r="532" spans="1:6">
      <c r="A532" s="95" t="s">
        <v>1443</v>
      </c>
      <c r="B532" s="95" t="s">
        <v>1439</v>
      </c>
      <c r="C532" s="95" t="s">
        <v>1278</v>
      </c>
      <c r="D532" s="95" t="str">
        <f t="shared" si="7"/>
        <v>Gadumire</v>
      </c>
      <c r="F532" s="95">
        <v>497</v>
      </c>
    </row>
    <row r="533" spans="1:6">
      <c r="A533" s="95" t="s">
        <v>1444</v>
      </c>
      <c r="B533" s="95" t="s">
        <v>1439</v>
      </c>
      <c r="C533" s="95" t="s">
        <v>1278</v>
      </c>
      <c r="D533" s="95" t="str">
        <f t="shared" si="7"/>
        <v>Kaliro Town Council</v>
      </c>
      <c r="F533" s="95">
        <v>498</v>
      </c>
    </row>
    <row r="534" spans="1:6">
      <c r="A534" s="95" t="s">
        <v>1445</v>
      </c>
      <c r="D534" s="95" t="str">
        <f t="shared" si="7"/>
        <v>KALIRO TOWN</v>
      </c>
      <c r="F534" s="95">
        <v>498</v>
      </c>
    </row>
    <row r="535" spans="1:6">
      <c r="A535" s="95" t="s">
        <v>1446</v>
      </c>
      <c r="B535" s="95" t="s">
        <v>1439</v>
      </c>
      <c r="C535" s="95" t="s">
        <v>1278</v>
      </c>
      <c r="D535" s="95" t="str">
        <f t="shared" si="7"/>
        <v>Kasokwe</v>
      </c>
      <c r="F535" s="95">
        <v>499</v>
      </c>
    </row>
    <row r="536" spans="1:6">
      <c r="A536" s="95" t="s">
        <v>1447</v>
      </c>
      <c r="B536" s="95" t="s">
        <v>1439</v>
      </c>
      <c r="C536" s="95" t="s">
        <v>1278</v>
      </c>
      <c r="D536" s="95" t="str">
        <f t="shared" si="7"/>
        <v>Kisinda</v>
      </c>
      <c r="F536" s="95">
        <v>500</v>
      </c>
    </row>
    <row r="537" spans="1:6">
      <c r="A537" s="95" t="s">
        <v>1448</v>
      </c>
      <c r="B537" s="95" t="s">
        <v>1439</v>
      </c>
      <c r="C537" s="95" t="s">
        <v>1278</v>
      </c>
      <c r="D537" s="95" t="str">
        <f t="shared" si="7"/>
        <v>Namugongo-Kaliro</v>
      </c>
      <c r="F537" s="95">
        <v>501</v>
      </c>
    </row>
    <row r="538" spans="1:6">
      <c r="A538" s="95" t="s">
        <v>1449</v>
      </c>
      <c r="B538" s="95" t="s">
        <v>1439</v>
      </c>
      <c r="C538" s="95" t="s">
        <v>1278</v>
      </c>
      <c r="D538" s="95" t="str">
        <f t="shared" si="7"/>
        <v>Namwiwa</v>
      </c>
      <c r="F538" s="95">
        <v>502</v>
      </c>
    </row>
    <row r="539" spans="1:6">
      <c r="A539" s="95" t="s">
        <v>1450</v>
      </c>
      <c r="B539" s="95" t="s">
        <v>1439</v>
      </c>
      <c r="C539" s="95" t="s">
        <v>1278</v>
      </c>
      <c r="D539" s="95" t="str">
        <f t="shared" si="7"/>
        <v>Nansololo</v>
      </c>
      <c r="F539" s="95">
        <v>503</v>
      </c>
    </row>
    <row r="540" spans="1:6">
      <c r="A540" s="95" t="s">
        <v>1451</v>
      </c>
      <c r="B540" s="95" t="s">
        <v>1439</v>
      </c>
      <c r="C540" s="95" t="s">
        <v>1278</v>
      </c>
      <c r="D540" s="95" t="str">
        <f t="shared" si="7"/>
        <v>Nawaikoke</v>
      </c>
      <c r="F540" s="95">
        <v>504</v>
      </c>
    </row>
    <row r="541" spans="1:6">
      <c r="A541" s="95" t="s">
        <v>1452</v>
      </c>
      <c r="B541" s="95" t="s">
        <v>1453</v>
      </c>
      <c r="C541" s="95" t="s">
        <v>1453</v>
      </c>
      <c r="D541" s="95" t="str">
        <f t="shared" si="7"/>
        <v>Bukulula</v>
      </c>
      <c r="F541" s="95">
        <v>505</v>
      </c>
    </row>
    <row r="542" spans="1:6">
      <c r="A542" s="95" t="s">
        <v>1453</v>
      </c>
      <c r="B542" s="95" t="s">
        <v>1453</v>
      </c>
      <c r="C542" s="95" t="s">
        <v>1453</v>
      </c>
      <c r="D542" s="95" t="str">
        <f t="shared" si="7"/>
        <v>Kalungu</v>
      </c>
      <c r="F542" s="95">
        <v>506</v>
      </c>
    </row>
    <row r="543" spans="1:6">
      <c r="A543" s="95" t="s">
        <v>1454</v>
      </c>
      <c r="B543" s="95" t="s">
        <v>1453</v>
      </c>
      <c r="C543" s="95" t="s">
        <v>1453</v>
      </c>
      <c r="D543" s="95" t="str">
        <f t="shared" si="7"/>
        <v>Kalungu Town Council</v>
      </c>
      <c r="F543" s="95">
        <v>507</v>
      </c>
    </row>
    <row r="544" spans="1:6">
      <c r="A544" s="95" t="s">
        <v>1455</v>
      </c>
      <c r="B544" s="95" t="s">
        <v>1453</v>
      </c>
      <c r="C544" s="95" t="s">
        <v>1453</v>
      </c>
      <c r="D544" s="95" t="str">
        <f t="shared" si="7"/>
        <v>Kyamulibwa</v>
      </c>
      <c r="F544" s="95">
        <v>508</v>
      </c>
    </row>
    <row r="545" spans="1:6">
      <c r="A545" s="95" t="s">
        <v>1456</v>
      </c>
      <c r="B545" s="95" t="s">
        <v>1453</v>
      </c>
      <c r="C545" s="95" t="s">
        <v>1453</v>
      </c>
      <c r="D545" s="95" t="str">
        <f t="shared" si="7"/>
        <v>Kyamulibwa Town Council</v>
      </c>
      <c r="F545" s="95">
        <v>509</v>
      </c>
    </row>
    <row r="546" spans="1:6">
      <c r="A546" s="95" t="s">
        <v>1457</v>
      </c>
      <c r="B546" s="95" t="s">
        <v>1453</v>
      </c>
      <c r="C546" s="95" t="s">
        <v>1453</v>
      </c>
      <c r="D546" s="95" t="str">
        <f t="shared" si="7"/>
        <v>Lukaya Town Council</v>
      </c>
      <c r="F546" s="95">
        <v>510</v>
      </c>
    </row>
    <row r="547" spans="1:6">
      <c r="A547" s="95" t="s">
        <v>1458</v>
      </c>
      <c r="B547" s="95" t="s">
        <v>1453</v>
      </c>
      <c r="C547" s="95" t="s">
        <v>1453</v>
      </c>
      <c r="D547" s="95" t="str">
        <f t="shared" si="7"/>
        <v>Lwabenge</v>
      </c>
      <c r="F547" s="95">
        <v>511</v>
      </c>
    </row>
    <row r="548" spans="1:6">
      <c r="A548" s="96" t="s">
        <v>1459</v>
      </c>
      <c r="B548" s="95" t="s">
        <v>1460</v>
      </c>
      <c r="C548" s="95" t="s">
        <v>1461</v>
      </c>
      <c r="D548" s="95" t="s">
        <v>1462</v>
      </c>
      <c r="E548" s="95" t="str">
        <f t="shared" ref="E548:E963" si="8">A548</f>
        <v>Banda</v>
      </c>
      <c r="F548" s="95">
        <v>512</v>
      </c>
    </row>
    <row r="549" spans="1:6">
      <c r="A549" s="96" t="s">
        <v>1463</v>
      </c>
      <c r="B549" s="95" t="s">
        <v>1460</v>
      </c>
      <c r="C549" s="95" t="s">
        <v>1461</v>
      </c>
      <c r="D549" s="95" t="s">
        <v>1462</v>
      </c>
      <c r="E549" s="95" t="str">
        <f t="shared" si="8"/>
        <v>Bugolobi</v>
      </c>
      <c r="F549" s="95">
        <v>513</v>
      </c>
    </row>
    <row r="550" spans="1:6">
      <c r="A550" s="96" t="s">
        <v>1464</v>
      </c>
      <c r="F550" s="95">
        <v>513</v>
      </c>
    </row>
    <row r="551" spans="1:6">
      <c r="A551" s="96" t="s">
        <v>1465</v>
      </c>
      <c r="F551" s="95">
        <v>513</v>
      </c>
    </row>
    <row r="552" spans="1:6">
      <c r="A552" s="96" t="s">
        <v>1466</v>
      </c>
      <c r="F552" s="95">
        <v>513</v>
      </c>
    </row>
    <row r="553" spans="1:6">
      <c r="A553" s="96" t="s">
        <v>1467</v>
      </c>
      <c r="F553" s="95">
        <v>513</v>
      </c>
    </row>
    <row r="554" spans="1:6">
      <c r="A554" s="96" t="s">
        <v>1468</v>
      </c>
      <c r="F554" s="95">
        <v>513</v>
      </c>
    </row>
    <row r="555" spans="1:6">
      <c r="A555" s="96" t="s">
        <v>1469</v>
      </c>
      <c r="F555" s="95">
        <v>513</v>
      </c>
    </row>
    <row r="556" spans="1:6">
      <c r="A556" s="96" t="s">
        <v>1470</v>
      </c>
      <c r="F556" s="95">
        <v>513</v>
      </c>
    </row>
    <row r="557" spans="1:6">
      <c r="A557" s="96" t="s">
        <v>1471</v>
      </c>
      <c r="B557" s="95" t="s">
        <v>1460</v>
      </c>
      <c r="C557" s="95" t="s">
        <v>1461</v>
      </c>
      <c r="D557" s="95" t="s">
        <v>1472</v>
      </c>
      <c r="E557" s="95" t="str">
        <f t="shared" si="8"/>
        <v>Bukasa</v>
      </c>
      <c r="F557" s="95">
        <v>514</v>
      </c>
    </row>
    <row r="558" spans="1:6">
      <c r="A558" s="96" t="s">
        <v>1473</v>
      </c>
      <c r="F558" s="95">
        <v>514</v>
      </c>
    </row>
    <row r="559" spans="1:6">
      <c r="A559" s="95" t="s">
        <v>1474</v>
      </c>
      <c r="B559" s="95" t="s">
        <v>1460</v>
      </c>
      <c r="C559" s="95" t="s">
        <v>1461</v>
      </c>
      <c r="D559" s="95" t="s">
        <v>1475</v>
      </c>
      <c r="E559" s="95" t="str">
        <f t="shared" si="8"/>
        <v>Bukesa</v>
      </c>
      <c r="F559" s="95">
        <v>515</v>
      </c>
    </row>
    <row r="560" spans="1:6">
      <c r="A560" s="96" t="s">
        <v>23</v>
      </c>
      <c r="B560" s="95" t="s">
        <v>1460</v>
      </c>
      <c r="C560" s="95" t="s">
        <v>1461</v>
      </c>
      <c r="D560" s="95" t="s">
        <v>1462</v>
      </c>
      <c r="E560" s="95" t="str">
        <f t="shared" si="8"/>
        <v>Bukoto</v>
      </c>
      <c r="F560" s="95">
        <v>516</v>
      </c>
    </row>
    <row r="561" spans="1:6">
      <c r="A561" s="95" t="s">
        <v>1476</v>
      </c>
      <c r="F561" s="95">
        <v>516</v>
      </c>
    </row>
    <row r="562" spans="1:6">
      <c r="A562" s="95" t="s">
        <v>1477</v>
      </c>
      <c r="F562" s="95">
        <v>516</v>
      </c>
    </row>
    <row r="563" spans="1:6">
      <c r="A563" s="95" t="s">
        <v>1478</v>
      </c>
      <c r="F563" s="95">
        <v>516</v>
      </c>
    </row>
    <row r="564" spans="1:6">
      <c r="A564" s="95" t="s">
        <v>1479</v>
      </c>
      <c r="F564" s="95">
        <v>516</v>
      </c>
    </row>
    <row r="565" spans="1:6">
      <c r="A565" s="95" t="s">
        <v>1480</v>
      </c>
      <c r="F565" s="95">
        <v>516</v>
      </c>
    </row>
    <row r="566" spans="1:6">
      <c r="A566" s="95" t="s">
        <v>1481</v>
      </c>
      <c r="F566" s="95">
        <v>516</v>
      </c>
    </row>
    <row r="567" spans="1:6">
      <c r="A567" s="96" t="s">
        <v>1482</v>
      </c>
      <c r="B567" s="95" t="s">
        <v>1460</v>
      </c>
      <c r="C567" s="95" t="s">
        <v>1461</v>
      </c>
      <c r="D567" s="95" t="s">
        <v>1483</v>
      </c>
      <c r="E567" s="95" t="str">
        <f t="shared" si="8"/>
        <v>Busega</v>
      </c>
      <c r="F567" s="95">
        <v>517</v>
      </c>
    </row>
    <row r="568" spans="1:6">
      <c r="A568" s="96" t="s">
        <v>1484</v>
      </c>
      <c r="E568" s="95" t="str">
        <f t="shared" si="8"/>
        <v>Lugala</v>
      </c>
      <c r="F568" s="95">
        <v>517</v>
      </c>
    </row>
    <row r="569" spans="1:6">
      <c r="A569" s="95" t="s">
        <v>1485</v>
      </c>
      <c r="F569" s="95">
        <v>517</v>
      </c>
    </row>
    <row r="570" spans="1:6">
      <c r="A570" s="95" t="s">
        <v>1486</v>
      </c>
      <c r="F570" s="95">
        <v>517</v>
      </c>
    </row>
    <row r="571" spans="1:6">
      <c r="A571" s="95" t="s">
        <v>1487</v>
      </c>
      <c r="F571" s="95">
        <v>517</v>
      </c>
    </row>
    <row r="572" spans="1:6">
      <c r="A572" s="96" t="s">
        <v>1488</v>
      </c>
      <c r="E572" s="95" t="str">
        <f t="shared" si="8"/>
        <v>Masanafu</v>
      </c>
      <c r="F572" s="95">
        <v>517</v>
      </c>
    </row>
    <row r="573" spans="1:6">
      <c r="A573" s="96" t="s">
        <v>1489</v>
      </c>
      <c r="B573" s="95" t="s">
        <v>1460</v>
      </c>
      <c r="C573" s="95" t="s">
        <v>1461</v>
      </c>
      <c r="D573" s="95" t="s">
        <v>1462</v>
      </c>
      <c r="E573" s="95" t="str">
        <f t="shared" si="8"/>
        <v>Butabika</v>
      </c>
      <c r="F573" s="95">
        <v>518</v>
      </c>
    </row>
    <row r="574" spans="1:6">
      <c r="A574" s="96" t="s">
        <v>1490</v>
      </c>
      <c r="B574" s="95" t="s">
        <v>1460</v>
      </c>
      <c r="C574" s="95" t="s">
        <v>1461</v>
      </c>
      <c r="D574" s="95" t="s">
        <v>1472</v>
      </c>
      <c r="E574" s="95" t="str">
        <f t="shared" si="8"/>
        <v>Buziga</v>
      </c>
      <c r="F574" s="95">
        <v>519</v>
      </c>
    </row>
    <row r="575" spans="1:6">
      <c r="A575" s="95" t="s">
        <v>1491</v>
      </c>
      <c r="B575" s="95" t="s">
        <v>1460</v>
      </c>
      <c r="C575" s="95" t="s">
        <v>1461</v>
      </c>
      <c r="D575" s="95" t="s">
        <v>1492</v>
      </c>
      <c r="E575" s="95" t="str">
        <f t="shared" si="8"/>
        <v>Bwaise</v>
      </c>
      <c r="F575" s="95">
        <v>520</v>
      </c>
    </row>
    <row r="576" spans="1:6">
      <c r="A576" s="95" t="s">
        <v>1493</v>
      </c>
      <c r="B576" s="95" t="s">
        <v>1460</v>
      </c>
      <c r="C576" s="95" t="s">
        <v>1461</v>
      </c>
      <c r="D576" s="95" t="s">
        <v>1475</v>
      </c>
      <c r="E576" s="95" t="str">
        <f t="shared" si="8"/>
        <v>Civic Centre</v>
      </c>
      <c r="F576" s="95">
        <v>521</v>
      </c>
    </row>
    <row r="577" spans="1:6">
      <c r="A577" s="95" t="s">
        <v>1494</v>
      </c>
      <c r="F577" s="95">
        <v>521</v>
      </c>
    </row>
    <row r="578" spans="1:6">
      <c r="A578" s="95" t="s">
        <v>1495</v>
      </c>
      <c r="F578" s="95">
        <v>521</v>
      </c>
    </row>
    <row r="579" spans="1:6">
      <c r="A579" s="95" t="s">
        <v>1496</v>
      </c>
      <c r="F579" s="95">
        <v>521</v>
      </c>
    </row>
    <row r="580" spans="1:6">
      <c r="A580" s="95" t="s">
        <v>1497</v>
      </c>
      <c r="F580" s="95">
        <v>521</v>
      </c>
    </row>
    <row r="581" spans="1:6">
      <c r="A581" s="95" t="s">
        <v>1498</v>
      </c>
      <c r="F581" s="95">
        <v>521</v>
      </c>
    </row>
    <row r="582" spans="1:6">
      <c r="A582" s="95" t="s">
        <v>1499</v>
      </c>
      <c r="F582" s="95">
        <v>521</v>
      </c>
    </row>
    <row r="583" spans="1:6">
      <c r="A583" s="95" t="s">
        <v>1500</v>
      </c>
      <c r="F583" s="95">
        <v>521</v>
      </c>
    </row>
    <row r="584" spans="1:6">
      <c r="A584" s="95" t="s">
        <v>1501</v>
      </c>
      <c r="F584" s="95">
        <v>521</v>
      </c>
    </row>
    <row r="585" spans="1:6">
      <c r="A585" s="95" t="s">
        <v>1502</v>
      </c>
      <c r="F585" s="95">
        <v>521</v>
      </c>
    </row>
    <row r="586" spans="1:6">
      <c r="A586" s="95" t="s">
        <v>1460</v>
      </c>
      <c r="D586" s="95" t="s">
        <v>1475</v>
      </c>
      <c r="E586" s="95" t="str">
        <f t="shared" si="8"/>
        <v>Kampala</v>
      </c>
      <c r="F586" s="95">
        <v>521</v>
      </c>
    </row>
    <row r="587" spans="1:6">
      <c r="A587" s="95" t="s">
        <v>836</v>
      </c>
      <c r="F587" s="95">
        <v>521</v>
      </c>
    </row>
    <row r="588" spans="1:6">
      <c r="A588" s="95" t="s">
        <v>1503</v>
      </c>
      <c r="F588" s="95">
        <v>521</v>
      </c>
    </row>
    <row r="589" spans="1:6">
      <c r="A589" s="95" t="s">
        <v>1504</v>
      </c>
      <c r="F589" s="95">
        <v>521</v>
      </c>
    </row>
    <row r="590" spans="1:6">
      <c r="A590" s="95" t="s">
        <v>1505</v>
      </c>
      <c r="E590" s="95" t="str">
        <f t="shared" si="8"/>
        <v>Buganda road</v>
      </c>
      <c r="F590" s="95">
        <v>521</v>
      </c>
    </row>
    <row r="591" spans="1:6">
      <c r="A591" s="95" t="s">
        <v>1506</v>
      </c>
      <c r="F591" s="95">
        <v>521</v>
      </c>
    </row>
    <row r="592" spans="1:6">
      <c r="A592" s="95" t="s">
        <v>1507</v>
      </c>
      <c r="E592" s="95" t="str">
        <f t="shared" si="8"/>
        <v>Uganda house</v>
      </c>
      <c r="F592" s="95">
        <v>521</v>
      </c>
    </row>
    <row r="593" spans="1:6">
      <c r="A593" s="95" t="s">
        <v>1508</v>
      </c>
      <c r="F593" s="95">
        <v>521</v>
      </c>
    </row>
    <row r="594" spans="1:6">
      <c r="A594" s="95" t="s">
        <v>1509</v>
      </c>
      <c r="E594" s="95" t="str">
        <f t="shared" si="8"/>
        <v>Oasis mall</v>
      </c>
      <c r="F594" s="95">
        <v>521</v>
      </c>
    </row>
    <row r="595" spans="1:6">
      <c r="A595" s="95" t="s">
        <v>1510</v>
      </c>
      <c r="E595" s="95" t="str">
        <f t="shared" si="8"/>
        <v>kk hotel</v>
      </c>
      <c r="F595" s="95">
        <v>521</v>
      </c>
    </row>
    <row r="596" spans="1:6">
      <c r="A596" s="95" t="s">
        <v>1511</v>
      </c>
      <c r="F596" s="95">
        <v>521</v>
      </c>
    </row>
    <row r="597" spans="1:6">
      <c r="A597" s="95" t="s">
        <v>1512</v>
      </c>
      <c r="F597" s="95">
        <v>521</v>
      </c>
    </row>
    <row r="598" spans="1:6">
      <c r="A598" s="95" t="s">
        <v>1513</v>
      </c>
      <c r="E598" s="95" t="str">
        <f t="shared" si="8"/>
        <v>Namirembe road</v>
      </c>
      <c r="F598" s="95">
        <v>521</v>
      </c>
    </row>
    <row r="599" spans="1:6">
      <c r="A599" s="95" t="s">
        <v>1514</v>
      </c>
      <c r="F599" s="95">
        <v>521</v>
      </c>
    </row>
    <row r="600" spans="1:6">
      <c r="A600" s="95" t="s">
        <v>1515</v>
      </c>
      <c r="E600" s="95" t="str">
        <f t="shared" si="8"/>
        <v>Ssebagala rd</v>
      </c>
      <c r="F600" s="95">
        <v>521</v>
      </c>
    </row>
    <row r="601" spans="1:6">
      <c r="A601" s="95" t="s">
        <v>1516</v>
      </c>
      <c r="F601" s="95">
        <v>521</v>
      </c>
    </row>
    <row r="602" spans="1:6">
      <c r="A602" s="95" t="s">
        <v>1517</v>
      </c>
      <c r="F602" s="95">
        <v>521</v>
      </c>
    </row>
    <row r="603" spans="1:6">
      <c r="A603" s="95" t="s">
        <v>1518</v>
      </c>
      <c r="E603" s="95" t="str">
        <f t="shared" si="8"/>
        <v>Mini price</v>
      </c>
      <c r="F603" s="95">
        <v>521</v>
      </c>
    </row>
    <row r="604" spans="1:6">
      <c r="A604" s="95" t="s">
        <v>1519</v>
      </c>
      <c r="F604" s="95">
        <v>521</v>
      </c>
    </row>
    <row r="605" spans="1:6">
      <c r="A605" s="95" t="s">
        <v>1520</v>
      </c>
      <c r="F605" s="95">
        <v>521</v>
      </c>
    </row>
    <row r="606" spans="1:6">
      <c r="A606" s="95" t="s">
        <v>1521</v>
      </c>
      <c r="E606" s="95" t="str">
        <f t="shared" si="8"/>
        <v>William street</v>
      </c>
      <c r="F606" s="95">
        <v>521</v>
      </c>
    </row>
    <row r="607" spans="1:6">
      <c r="A607" s="95" t="s">
        <v>1522</v>
      </c>
      <c r="F607" s="95">
        <v>521</v>
      </c>
    </row>
    <row r="608" spans="1:6">
      <c r="A608" s="95" t="s">
        <v>1523</v>
      </c>
      <c r="E608" s="95" t="str">
        <f t="shared" si="8"/>
        <v>Down town</v>
      </c>
      <c r="F608" s="95">
        <v>521</v>
      </c>
    </row>
    <row r="609" spans="1:6">
      <c r="A609" s="95" t="s">
        <v>1524</v>
      </c>
      <c r="F609" s="95">
        <v>521</v>
      </c>
    </row>
    <row r="610" spans="1:6">
      <c r="A610" s="95" t="s">
        <v>1525</v>
      </c>
      <c r="F610" s="95">
        <v>521</v>
      </c>
    </row>
    <row r="611" spans="1:6">
      <c r="A611" s="95" t="s">
        <v>1526</v>
      </c>
      <c r="F611" s="95">
        <v>521</v>
      </c>
    </row>
    <row r="612" spans="1:6">
      <c r="A612" s="95" t="s">
        <v>1527</v>
      </c>
      <c r="F612" s="95">
        <v>521</v>
      </c>
    </row>
    <row r="613" spans="1:6">
      <c r="A613" s="95" t="s">
        <v>1528</v>
      </c>
      <c r="F613" s="95">
        <v>521</v>
      </c>
    </row>
    <row r="614" spans="1:6">
      <c r="A614" s="95" t="s">
        <v>1529</v>
      </c>
      <c r="E614" s="95" t="str">
        <f t="shared" si="8"/>
        <v>New vision</v>
      </c>
      <c r="F614" s="95">
        <v>521</v>
      </c>
    </row>
    <row r="615" spans="1:6">
      <c r="A615" s="95" t="s">
        <v>1530</v>
      </c>
      <c r="E615" s="95" t="str">
        <f t="shared" si="8"/>
        <v>Sheraton</v>
      </c>
      <c r="F615" s="95">
        <v>521</v>
      </c>
    </row>
    <row r="616" spans="1:6">
      <c r="A616" s="95" t="s">
        <v>1531</v>
      </c>
      <c r="E616" s="95" t="str">
        <f t="shared" si="8"/>
        <v>Hotel african</v>
      </c>
      <c r="F616" s="95">
        <v>521</v>
      </c>
    </row>
    <row r="617" spans="1:6">
      <c r="A617" s="95" t="s">
        <v>1532</v>
      </c>
      <c r="F617" s="95">
        <v>521</v>
      </c>
    </row>
    <row r="618" spans="1:6">
      <c r="A618" s="95" t="s">
        <v>1533</v>
      </c>
      <c r="E618" s="95" t="str">
        <f t="shared" si="8"/>
        <v>Clement rd</v>
      </c>
      <c r="F618" s="95">
        <v>521</v>
      </c>
    </row>
    <row r="619" spans="1:6">
      <c r="A619" s="95" t="s">
        <v>1534</v>
      </c>
      <c r="E619" s="95" t="str">
        <f t="shared" si="8"/>
        <v>Entebbe rd</v>
      </c>
      <c r="F619" s="95">
        <v>521</v>
      </c>
    </row>
    <row r="620" spans="1:6">
      <c r="A620" s="95" t="s">
        <v>1535</v>
      </c>
      <c r="E620" s="95" t="str">
        <f t="shared" si="8"/>
        <v>Sselumaga Rd</v>
      </c>
      <c r="F620" s="95">
        <v>521</v>
      </c>
    </row>
    <row r="621" spans="1:6">
      <c r="A621" s="95" t="s">
        <v>1536</v>
      </c>
      <c r="E621" s="95" t="str">
        <f t="shared" si="8"/>
        <v>Speke hotel</v>
      </c>
      <c r="F621" s="95">
        <v>521</v>
      </c>
    </row>
    <row r="622" spans="1:6">
      <c r="A622" s="95" t="s">
        <v>1537</v>
      </c>
      <c r="E622" s="95" t="str">
        <f t="shared" si="8"/>
        <v>MUKWANO</v>
      </c>
      <c r="F622" s="95">
        <v>521</v>
      </c>
    </row>
    <row r="623" spans="1:6">
      <c r="A623" s="95" t="s">
        <v>1538</v>
      </c>
      <c r="E623" s="95" t="str">
        <f t="shared" si="8"/>
        <v>Jinja rd</v>
      </c>
      <c r="F623" s="95">
        <v>521</v>
      </c>
    </row>
    <row r="624" spans="1:6">
      <c r="A624" s="95" t="s">
        <v>1539</v>
      </c>
      <c r="E624" s="95" t="str">
        <f t="shared" si="8"/>
        <v>OWINO</v>
      </c>
      <c r="F624" s="95">
        <v>521</v>
      </c>
    </row>
    <row r="625" spans="1:6">
      <c r="A625" s="95" t="s">
        <v>1540</v>
      </c>
      <c r="E625" s="95" t="str">
        <f t="shared" si="8"/>
        <v>SEVENTH STREET</v>
      </c>
      <c r="F625" s="95">
        <v>521</v>
      </c>
    </row>
    <row r="626" spans="1:6">
      <c r="A626" s="95" t="s">
        <v>1541</v>
      </c>
      <c r="E626" s="95" t="str">
        <f t="shared" si="8"/>
        <v>Ham towers</v>
      </c>
      <c r="F626" s="95">
        <v>521</v>
      </c>
    </row>
    <row r="627" spans="1:6">
      <c r="A627" s="95" t="s">
        <v>1542</v>
      </c>
      <c r="E627" s="95" t="str">
        <f t="shared" si="8"/>
        <v>Sixth street</v>
      </c>
      <c r="F627" s="95">
        <v>521</v>
      </c>
    </row>
    <row r="628" spans="1:6">
      <c r="A628" s="95" t="s">
        <v>1543</v>
      </c>
      <c r="E628" s="95" t="str">
        <f t="shared" si="8"/>
        <v>Kampala city</v>
      </c>
      <c r="F628" s="95">
        <v>521</v>
      </c>
    </row>
    <row r="629" spans="1:6">
      <c r="A629" s="95" t="s">
        <v>1544</v>
      </c>
      <c r="E629" s="95" t="str">
        <f t="shared" si="8"/>
        <v>State house</v>
      </c>
      <c r="F629" s="95">
        <v>521</v>
      </c>
    </row>
    <row r="630" spans="1:6">
      <c r="A630" s="95" t="s">
        <v>1545</v>
      </c>
      <c r="E630" s="95" t="str">
        <f t="shared" si="8"/>
        <v>Martin road</v>
      </c>
      <c r="F630" s="95">
        <v>521</v>
      </c>
    </row>
    <row r="631" spans="1:6">
      <c r="A631" s="95" t="s">
        <v>1546</v>
      </c>
      <c r="E631" s="95" t="str">
        <f t="shared" si="8"/>
        <v>old taxi park</v>
      </c>
      <c r="F631" s="95">
        <v>521</v>
      </c>
    </row>
    <row r="632" spans="1:6">
      <c r="A632" s="95" t="s">
        <v>1547</v>
      </c>
      <c r="E632" s="95" t="str">
        <f t="shared" si="8"/>
        <v>SIR APPOLLO KAGWA</v>
      </c>
      <c r="F632" s="95">
        <v>521</v>
      </c>
    </row>
    <row r="633" spans="1:6">
      <c r="A633" s="95" t="s">
        <v>1548</v>
      </c>
      <c r="E633" s="95" t="str">
        <f t="shared" si="8"/>
        <v>Gaden city</v>
      </c>
      <c r="F633" s="95">
        <v>521</v>
      </c>
    </row>
    <row r="634" spans="1:6">
      <c r="A634" s="95" t="s">
        <v>1549</v>
      </c>
      <c r="E634" s="95" t="str">
        <f t="shared" si="8"/>
        <v>Ben Kiwanuka street</v>
      </c>
      <c r="F634" s="95">
        <v>521</v>
      </c>
    </row>
    <row r="635" spans="1:6">
      <c r="A635" s="95" t="s">
        <v>1550</v>
      </c>
      <c r="E635" s="95" t="str">
        <f t="shared" si="8"/>
        <v>NAMIREMBE ROARD</v>
      </c>
      <c r="F635" s="95">
        <v>521</v>
      </c>
    </row>
    <row r="636" spans="1:6">
      <c r="A636" s="95" t="s">
        <v>1551</v>
      </c>
      <c r="E636" s="95" t="str">
        <f t="shared" si="8"/>
        <v>ENTEBE ROAD</v>
      </c>
      <c r="F636" s="95">
        <v>521</v>
      </c>
    </row>
    <row r="637" spans="1:6">
      <c r="A637" s="95" t="s">
        <v>1552</v>
      </c>
      <c r="E637" s="95" t="str">
        <f t="shared" si="8"/>
        <v>Jinja road</v>
      </c>
      <c r="F637" s="95">
        <v>521</v>
      </c>
    </row>
    <row r="638" spans="1:6">
      <c r="A638" s="95" t="s">
        <v>1553</v>
      </c>
      <c r="E638" s="95" t="str">
        <f t="shared" si="8"/>
        <v xml:space="preserve">JINJA ROAD </v>
      </c>
      <c r="F638" s="95">
        <v>521</v>
      </c>
    </row>
    <row r="639" spans="1:6">
      <c r="A639" s="95" t="s">
        <v>1554</v>
      </c>
      <c r="E639" s="95" t="str">
        <f t="shared" si="8"/>
        <v>NAMIREMBE PARK</v>
      </c>
      <c r="F639" s="95">
        <v>521</v>
      </c>
    </row>
    <row r="640" spans="1:6">
      <c r="A640" s="95" t="s">
        <v>1555</v>
      </c>
      <c r="E640" s="95" t="str">
        <f t="shared" si="8"/>
        <v>OWINO MARKET</v>
      </c>
      <c r="F640" s="95">
        <v>521</v>
      </c>
    </row>
    <row r="641" spans="1:6">
      <c r="A641" s="95" t="s">
        <v>1556</v>
      </c>
      <c r="E641" s="95" t="str">
        <f t="shared" si="8"/>
        <v>KAMPALA ROARD</v>
      </c>
      <c r="F641" s="95">
        <v>521</v>
      </c>
    </row>
    <row r="642" spans="1:6">
      <c r="A642" s="95" t="s">
        <v>1557</v>
      </c>
      <c r="E642" s="95" t="str">
        <f t="shared" si="8"/>
        <v>NEW TAX PARK</v>
      </c>
      <c r="F642" s="95">
        <v>521</v>
      </c>
    </row>
    <row r="643" spans="1:6">
      <c r="A643" s="95" t="s">
        <v>1558</v>
      </c>
      <c r="E643" s="95" t="str">
        <f t="shared" si="8"/>
        <v>NAKASERO MARKET</v>
      </c>
      <c r="F643" s="95">
        <v>521</v>
      </c>
    </row>
    <row r="644" spans="1:6">
      <c r="A644" s="95" t="s">
        <v>3275</v>
      </c>
      <c r="E644" s="95" t="str">
        <f t="shared" si="8"/>
        <v xml:space="preserve">Kinawa  </v>
      </c>
      <c r="F644" s="95">
        <v>521</v>
      </c>
    </row>
    <row r="645" spans="1:6">
      <c r="A645" s="95" t="s">
        <v>1559</v>
      </c>
      <c r="E645" s="95" t="str">
        <f t="shared" si="8"/>
        <v>Kampala industrian</v>
      </c>
      <c r="F645" s="95">
        <v>521</v>
      </c>
    </row>
    <row r="646" spans="1:6">
      <c r="A646" s="95" t="s">
        <v>1560</v>
      </c>
      <c r="E646" s="95" t="str">
        <f t="shared" si="8"/>
        <v>CITY SQUARE</v>
      </c>
      <c r="F646" s="95">
        <v>521</v>
      </c>
    </row>
    <row r="647" spans="1:6">
      <c r="A647" s="95" t="s">
        <v>1561</v>
      </c>
      <c r="E647" s="95" t="str">
        <f t="shared" si="8"/>
        <v>CITYSQUARE</v>
      </c>
      <c r="F647" s="95">
        <v>521</v>
      </c>
    </row>
    <row r="648" spans="1:6">
      <c r="A648" s="95" t="s">
        <v>1562</v>
      </c>
      <c r="E648" s="95" t="str">
        <f t="shared" si="8"/>
        <v>OLDTAXIPARK</v>
      </c>
      <c r="F648" s="95">
        <v>521</v>
      </c>
    </row>
    <row r="649" spans="1:6">
      <c r="A649" s="95" t="s">
        <v>1563</v>
      </c>
      <c r="E649" s="95" t="str">
        <f t="shared" si="8"/>
        <v>NEWTAXIPARK</v>
      </c>
      <c r="F649" s="95">
        <v>521</v>
      </c>
    </row>
    <row r="650" spans="1:6">
      <c r="A650" s="95" t="s">
        <v>1564</v>
      </c>
      <c r="F650" s="95">
        <v>521</v>
      </c>
    </row>
    <row r="651" spans="1:6">
      <c r="A651" s="95" t="s">
        <v>1565</v>
      </c>
      <c r="E651" s="95" t="str">
        <f t="shared" si="8"/>
        <v>bela</v>
      </c>
      <c r="F651" s="95">
        <v>521</v>
      </c>
    </row>
    <row r="652" spans="1:6">
      <c r="A652" s="95" t="s">
        <v>1513</v>
      </c>
      <c r="E652" s="95" t="str">
        <f t="shared" si="8"/>
        <v>Namirembe road</v>
      </c>
      <c r="F652" s="95">
        <v>521</v>
      </c>
    </row>
    <row r="653" spans="1:6">
      <c r="A653" s="95" t="s">
        <v>1566</v>
      </c>
      <c r="E653" s="95" t="str">
        <f t="shared" si="8"/>
        <v>Workers house</v>
      </c>
      <c r="F653" s="95">
        <v>521</v>
      </c>
    </row>
    <row r="654" spans="1:6">
      <c r="A654" s="95" t="s">
        <v>1567</v>
      </c>
      <c r="E654" s="95" t="str">
        <f t="shared" si="8"/>
        <v>Mega standard</v>
      </c>
      <c r="F654" s="95">
        <v>521</v>
      </c>
    </row>
    <row r="655" spans="1:6">
      <c r="A655" s="95" t="s">
        <v>1568</v>
      </c>
      <c r="F655" s="95">
        <v>521</v>
      </c>
    </row>
    <row r="656" spans="1:6">
      <c r="A656" s="95" t="s">
        <v>1569</v>
      </c>
      <c r="F656" s="95">
        <v>521</v>
      </c>
    </row>
    <row r="657" spans="1:6">
      <c r="A657" s="95" t="s">
        <v>1570</v>
      </c>
      <c r="F657" s="95">
        <v>521</v>
      </c>
    </row>
    <row r="658" spans="1:6">
      <c r="A658" s="95" t="s">
        <v>1571</v>
      </c>
      <c r="E658" s="95" t="str">
        <f t="shared" si="8"/>
        <v>Namayiba taxi park</v>
      </c>
      <c r="F658" s="95">
        <v>521</v>
      </c>
    </row>
    <row r="659" spans="1:6">
      <c r="A659" s="95" t="s">
        <v>1572</v>
      </c>
      <c r="F659" s="95">
        <v>521</v>
      </c>
    </row>
    <row r="660" spans="1:6">
      <c r="A660" s="95" t="s">
        <v>1573</v>
      </c>
      <c r="F660" s="95">
        <v>521</v>
      </c>
    </row>
    <row r="661" spans="1:6">
      <c r="A661" s="95" t="s">
        <v>1574</v>
      </c>
      <c r="E661" s="95" t="str">
        <f t="shared" si="8"/>
        <v>Kampala road</v>
      </c>
      <c r="F661" s="95">
        <v>521</v>
      </c>
    </row>
    <row r="662" spans="1:6">
      <c r="A662" s="95" t="s">
        <v>1575</v>
      </c>
      <c r="E662" s="95" t="str">
        <f t="shared" si="8"/>
        <v>Mukwano mall</v>
      </c>
      <c r="F662" s="95">
        <v>521</v>
      </c>
    </row>
    <row r="663" spans="1:6">
      <c r="A663" s="95" t="s">
        <v>1576</v>
      </c>
      <c r="F663" s="95">
        <v>521</v>
      </c>
    </row>
    <row r="664" spans="1:6">
      <c r="A664" s="95" t="s">
        <v>1577</v>
      </c>
      <c r="E664" s="95" t="str">
        <f t="shared" si="8"/>
        <v>Equatorial mall</v>
      </c>
      <c r="F664" s="95">
        <v>521</v>
      </c>
    </row>
    <row r="665" spans="1:6">
      <c r="A665" s="95" t="s">
        <v>1578</v>
      </c>
      <c r="E665" s="95" t="str">
        <f t="shared" si="8"/>
        <v>Nasser road</v>
      </c>
      <c r="F665" s="95">
        <v>521</v>
      </c>
    </row>
    <row r="666" spans="1:6">
      <c r="A666" s="95" t="s">
        <v>1579</v>
      </c>
      <c r="D666" s="95" t="s">
        <v>1475</v>
      </c>
      <c r="E666" s="95" t="str">
        <f t="shared" si="8"/>
        <v>NKURUMAH ROAD</v>
      </c>
      <c r="F666" s="95">
        <v>521</v>
      </c>
    </row>
    <row r="667" spans="1:6">
      <c r="A667" s="95" t="s">
        <v>1580</v>
      </c>
      <c r="F667" s="95">
        <v>521</v>
      </c>
    </row>
    <row r="668" spans="1:6">
      <c r="A668" s="95" t="s">
        <v>1581</v>
      </c>
      <c r="F668" s="95">
        <v>521</v>
      </c>
    </row>
    <row r="669" spans="1:6">
      <c r="A669" s="95" t="s">
        <v>1582</v>
      </c>
      <c r="E669" s="95" t="str">
        <f t="shared" si="8"/>
        <v>STATION</v>
      </c>
      <c r="F669" s="95">
        <v>521</v>
      </c>
    </row>
    <row r="670" spans="1:6">
      <c r="A670" s="95" t="s">
        <v>1583</v>
      </c>
      <c r="E670" s="95" t="str">
        <f t="shared" si="8"/>
        <v>Clock tower</v>
      </c>
      <c r="F670" s="95">
        <v>521</v>
      </c>
    </row>
    <row r="671" spans="1:6">
      <c r="A671" s="95" t="s">
        <v>1584</v>
      </c>
      <c r="F671" s="95">
        <v>521</v>
      </c>
    </row>
    <row r="672" spans="1:6">
      <c r="A672" s="95" t="s">
        <v>1585</v>
      </c>
      <c r="F672" s="95">
        <v>521</v>
      </c>
    </row>
    <row r="673" spans="1:6">
      <c r="A673" s="95" t="s">
        <v>1586</v>
      </c>
      <c r="E673" s="95" t="str">
        <f t="shared" si="8"/>
        <v>Sir Apollo</v>
      </c>
      <c r="F673" s="95">
        <v>521</v>
      </c>
    </row>
    <row r="674" spans="1:6">
      <c r="A674" s="95" t="s">
        <v>1587</v>
      </c>
      <c r="F674" s="95">
        <v>521</v>
      </c>
    </row>
    <row r="675" spans="1:6">
      <c r="A675" s="95" t="s">
        <v>1588</v>
      </c>
      <c r="F675" s="95">
        <v>521</v>
      </c>
    </row>
    <row r="676" spans="1:6">
      <c r="A676" s="95" t="s">
        <v>1589</v>
      </c>
      <c r="F676" s="95">
        <v>521</v>
      </c>
    </row>
    <row r="677" spans="1:6">
      <c r="A677" s="95" t="s">
        <v>1590</v>
      </c>
      <c r="F677" s="95">
        <v>521</v>
      </c>
    </row>
    <row r="678" spans="1:6">
      <c r="A678" s="95" t="s">
        <v>1591</v>
      </c>
      <c r="E678" s="95" t="str">
        <f t="shared" si="8"/>
        <v>INDUSTRIAL</v>
      </c>
      <c r="F678" s="95">
        <v>521</v>
      </c>
    </row>
    <row r="679" spans="1:6">
      <c r="A679" s="95" t="s">
        <v>1592</v>
      </c>
      <c r="E679" s="95" t="str">
        <f t="shared" si="8"/>
        <v>Kikubo</v>
      </c>
      <c r="F679" s="95">
        <v>521</v>
      </c>
    </row>
    <row r="680" spans="1:6">
      <c r="A680" s="95" t="s">
        <v>1593</v>
      </c>
      <c r="E680" s="95" t="str">
        <f t="shared" si="8"/>
        <v>Arua park</v>
      </c>
      <c r="F680" s="95">
        <v>521</v>
      </c>
    </row>
    <row r="681" spans="1:6">
      <c r="A681" s="95" t="s">
        <v>1594</v>
      </c>
      <c r="F681" s="95">
        <v>521</v>
      </c>
    </row>
    <row r="682" spans="1:6">
      <c r="A682" s="95" t="s">
        <v>1595</v>
      </c>
      <c r="E682" s="95" t="str">
        <f t="shared" si="8"/>
        <v>Speke resort</v>
      </c>
      <c r="F682" s="95">
        <v>521</v>
      </c>
    </row>
    <row r="683" spans="1:6">
      <c r="A683" s="95" t="s">
        <v>1596</v>
      </c>
      <c r="E683" s="95" t="str">
        <f t="shared" si="8"/>
        <v>Clemet hill</v>
      </c>
      <c r="F683" s="95">
        <v>521</v>
      </c>
    </row>
    <row r="684" spans="1:6">
      <c r="A684" s="95" t="s">
        <v>1597</v>
      </c>
      <c r="E684" s="95" t="str">
        <f t="shared" si="8"/>
        <v>CLEMENT</v>
      </c>
      <c r="F684" s="95">
        <v>521</v>
      </c>
    </row>
    <row r="685" spans="1:6">
      <c r="A685" s="95" t="s">
        <v>1598</v>
      </c>
      <c r="E685" s="95" t="str">
        <f t="shared" si="8"/>
        <v>Town</v>
      </c>
      <c r="F685" s="95">
        <v>521</v>
      </c>
    </row>
    <row r="686" spans="1:6">
      <c r="A686" s="95" t="s">
        <v>1599</v>
      </c>
      <c r="E686" s="95" t="str">
        <f t="shared" si="8"/>
        <v>Victoria Serena</v>
      </c>
      <c r="F686" s="95">
        <v>521</v>
      </c>
    </row>
    <row r="687" spans="1:6">
      <c r="A687" s="95" t="s">
        <v>1600</v>
      </c>
      <c r="D687" s="95" t="s">
        <v>1475</v>
      </c>
      <c r="E687" s="95" t="str">
        <f t="shared" si="8"/>
        <v>Serena</v>
      </c>
      <c r="F687" s="95">
        <v>521</v>
      </c>
    </row>
    <row r="688" spans="1:6">
      <c r="A688" s="95" t="s">
        <v>1601</v>
      </c>
      <c r="F688" s="95">
        <v>521</v>
      </c>
    </row>
    <row r="689" spans="1:6">
      <c r="A689" s="95" t="s">
        <v>1602</v>
      </c>
      <c r="E689" s="95" t="str">
        <f t="shared" si="8"/>
        <v>Northeern bypass</v>
      </c>
      <c r="F689" s="95">
        <v>521</v>
      </c>
    </row>
    <row r="690" spans="1:6">
      <c r="A690" s="95" t="s">
        <v>1603</v>
      </c>
      <c r="E690" s="95" t="str">
        <f t="shared" si="8"/>
        <v>Northern bypass</v>
      </c>
      <c r="F690" s="95">
        <v>521</v>
      </c>
    </row>
    <row r="691" spans="1:6">
      <c r="A691" s="95" t="s">
        <v>1604</v>
      </c>
      <c r="F691" s="95">
        <v>521</v>
      </c>
    </row>
    <row r="692" spans="1:6">
      <c r="A692" s="95" t="s">
        <v>1605</v>
      </c>
      <c r="D692" s="95" t="s">
        <v>1475</v>
      </c>
      <c r="E692" s="95" t="str">
        <f t="shared" si="8"/>
        <v>Taxi park</v>
      </c>
      <c r="F692" s="95">
        <v>521</v>
      </c>
    </row>
    <row r="693" spans="1:6">
      <c r="A693" s="95" t="s">
        <v>1606</v>
      </c>
      <c r="F693" s="95">
        <v>521</v>
      </c>
    </row>
    <row r="694" spans="1:6">
      <c r="A694" s="95" t="s">
        <v>1607</v>
      </c>
      <c r="F694" s="95">
        <v>521</v>
      </c>
    </row>
    <row r="695" spans="1:6">
      <c r="A695" s="95" t="s">
        <v>1608</v>
      </c>
      <c r="E695" s="95" t="str">
        <f t="shared" si="8"/>
        <v>Old park</v>
      </c>
      <c r="F695" s="95">
        <v>521</v>
      </c>
    </row>
    <row r="696" spans="1:6">
      <c r="A696" s="95" t="s">
        <v>1609</v>
      </c>
      <c r="D696" s="95" t="s">
        <v>1475</v>
      </c>
      <c r="E696" s="95" t="str">
        <f t="shared" si="8"/>
        <v>Old parrk</v>
      </c>
      <c r="F696" s="95">
        <v>521</v>
      </c>
    </row>
    <row r="697" spans="1:6">
      <c r="A697" s="95" t="s">
        <v>1610</v>
      </c>
      <c r="D697" s="95" t="s">
        <v>1475</v>
      </c>
      <c r="E697" s="95" t="str">
        <f t="shared" si="8"/>
        <v>Newtax park</v>
      </c>
      <c r="F697" s="95">
        <v>521</v>
      </c>
    </row>
    <row r="698" spans="1:6">
      <c r="A698" s="95" t="s">
        <v>1611</v>
      </c>
      <c r="E698" s="95" t="str">
        <f t="shared" si="8"/>
        <v>New park</v>
      </c>
      <c r="F698" s="95">
        <v>521</v>
      </c>
    </row>
    <row r="699" spans="1:6">
      <c r="A699" s="95" t="s">
        <v>1612</v>
      </c>
      <c r="E699" s="95" t="str">
        <f t="shared" si="8"/>
        <v>Mwalo</v>
      </c>
      <c r="F699" s="95">
        <v>521</v>
      </c>
    </row>
    <row r="700" spans="1:6">
      <c r="A700" s="95" t="s">
        <v>1613</v>
      </c>
      <c r="D700" s="95" t="s">
        <v>1475</v>
      </c>
      <c r="E700" s="95" t="str">
        <f t="shared" si="8"/>
        <v>Equatorial</v>
      </c>
      <c r="F700" s="95">
        <v>521</v>
      </c>
    </row>
    <row r="701" spans="1:6">
      <c r="A701" s="95" t="s">
        <v>1461</v>
      </c>
      <c r="E701" s="95" t="str">
        <f t="shared" si="8"/>
        <v>KCCA</v>
      </c>
      <c r="F701" s="95">
        <v>521</v>
      </c>
    </row>
    <row r="702" spans="1:6">
      <c r="A702" s="95" t="s">
        <v>1614</v>
      </c>
      <c r="E702" s="95" t="str">
        <f t="shared" si="8"/>
        <v xml:space="preserve">KAMPALA </v>
      </c>
      <c r="F702" s="95">
        <v>521</v>
      </c>
    </row>
    <row r="703" spans="1:6">
      <c r="A703" s="95" t="s">
        <v>1615</v>
      </c>
      <c r="E703" s="95" t="str">
        <f t="shared" si="8"/>
        <v>Bahai</v>
      </c>
      <c r="F703" s="95">
        <v>521</v>
      </c>
    </row>
    <row r="704" spans="1:6">
      <c r="A704" s="95" t="s">
        <v>1616</v>
      </c>
      <c r="E704" s="95" t="str">
        <f t="shared" si="8"/>
        <v>Bahai tempo</v>
      </c>
      <c r="F704" s="95">
        <v>521</v>
      </c>
    </row>
    <row r="705" spans="1:6">
      <c r="A705" s="95" t="s">
        <v>1617</v>
      </c>
      <c r="D705" s="95" t="s">
        <v>1475</v>
      </c>
      <c r="E705" s="95" t="str">
        <f t="shared" si="8"/>
        <v>Kampala town</v>
      </c>
      <c r="F705" s="95">
        <v>521</v>
      </c>
    </row>
    <row r="706" spans="1:6">
      <c r="A706" s="95" t="s">
        <v>1618</v>
      </c>
      <c r="D706" s="95" t="s">
        <v>1475</v>
      </c>
      <c r="E706" s="95" t="str">
        <f t="shared" si="8"/>
        <v>City center</v>
      </c>
      <c r="F706" s="95">
        <v>521</v>
      </c>
    </row>
    <row r="707" spans="1:6">
      <c r="A707" s="95" t="s">
        <v>1619</v>
      </c>
      <c r="F707" s="95">
        <v>521</v>
      </c>
    </row>
    <row r="708" spans="1:6">
      <c r="A708" s="95" t="s">
        <v>1620</v>
      </c>
      <c r="F708" s="95">
        <v>521</v>
      </c>
    </row>
    <row r="709" spans="1:6">
      <c r="A709" s="95" t="s">
        <v>1621</v>
      </c>
      <c r="F709" s="95">
        <v>521</v>
      </c>
    </row>
    <row r="710" spans="1:6">
      <c r="A710" s="96" t="s">
        <v>1622</v>
      </c>
      <c r="D710" s="95" t="s">
        <v>1472</v>
      </c>
      <c r="E710" s="95" t="str">
        <f t="shared" si="8"/>
        <v>Gaba</v>
      </c>
      <c r="F710" s="95">
        <v>522</v>
      </c>
    </row>
    <row r="711" spans="1:6">
      <c r="A711" s="96" t="s">
        <v>1623</v>
      </c>
      <c r="E711" s="95" t="str">
        <f t="shared" si="8"/>
        <v>Gabba</v>
      </c>
      <c r="F711" s="95">
        <v>522</v>
      </c>
    </row>
    <row r="712" spans="1:6">
      <c r="A712" s="96" t="s">
        <v>828</v>
      </c>
      <c r="F712" s="95">
        <v>522</v>
      </c>
    </row>
    <row r="713" spans="1:6">
      <c r="A713" s="96" t="s">
        <v>1624</v>
      </c>
      <c r="E713" s="95" t="str">
        <f t="shared" si="8"/>
        <v>Soya</v>
      </c>
      <c r="F713" s="95">
        <v>522</v>
      </c>
    </row>
    <row r="714" spans="1:6">
      <c r="A714" s="96" t="s">
        <v>1625</v>
      </c>
      <c r="E714" s="95" t="str">
        <f t="shared" si="8"/>
        <v>Auto spa</v>
      </c>
      <c r="F714" s="95">
        <v>522</v>
      </c>
    </row>
    <row r="715" spans="1:6">
      <c r="A715" s="96" t="s">
        <v>1626</v>
      </c>
      <c r="D715" s="95" t="s">
        <v>1472</v>
      </c>
      <c r="E715" s="95" t="str">
        <f t="shared" si="8"/>
        <v>Munyonyo</v>
      </c>
      <c r="F715" s="95">
        <v>522</v>
      </c>
    </row>
    <row r="716" spans="1:6">
      <c r="A716" s="95" t="s">
        <v>1627</v>
      </c>
      <c r="F716" s="95">
        <v>522</v>
      </c>
    </row>
    <row r="717" spans="1:6">
      <c r="A717" s="96" t="s">
        <v>1628</v>
      </c>
      <c r="F717" s="95">
        <v>522</v>
      </c>
    </row>
    <row r="718" spans="1:6">
      <c r="A718" s="96" t="s">
        <v>1629</v>
      </c>
      <c r="F718" s="95">
        <v>522</v>
      </c>
    </row>
    <row r="719" spans="1:6">
      <c r="A719" s="96" t="s">
        <v>1630</v>
      </c>
      <c r="F719" s="95">
        <v>522</v>
      </c>
    </row>
    <row r="720" spans="1:6">
      <c r="A720" s="96" t="s">
        <v>1631</v>
      </c>
      <c r="F720" s="95">
        <v>522</v>
      </c>
    </row>
    <row r="721" spans="1:6">
      <c r="A721" s="96" t="s">
        <v>1632</v>
      </c>
      <c r="F721" s="95">
        <v>522</v>
      </c>
    </row>
    <row r="722" spans="1:6">
      <c r="A722" s="96" t="s">
        <v>1633</v>
      </c>
      <c r="F722" s="95">
        <v>522</v>
      </c>
    </row>
    <row r="723" spans="1:6">
      <c r="A723" s="96" t="s">
        <v>1634</v>
      </c>
      <c r="F723" s="95">
        <v>522</v>
      </c>
    </row>
    <row r="724" spans="1:6">
      <c r="A724" s="95" t="s">
        <v>1635</v>
      </c>
      <c r="F724" s="95">
        <v>522</v>
      </c>
    </row>
    <row r="725" spans="1:6">
      <c r="A725" s="96" t="s">
        <v>1636</v>
      </c>
      <c r="D725" s="95" t="s">
        <v>1472</v>
      </c>
      <c r="E725" s="95" t="str">
        <f t="shared" si="8"/>
        <v>Kabuuma</v>
      </c>
      <c r="F725" s="95">
        <v>522</v>
      </c>
    </row>
    <row r="726" spans="1:6">
      <c r="A726" s="96" t="s">
        <v>1637</v>
      </c>
      <c r="F726" s="95">
        <v>522</v>
      </c>
    </row>
    <row r="727" spans="1:6">
      <c r="A727" s="95" t="s">
        <v>1638</v>
      </c>
      <c r="F727" s="95">
        <v>522</v>
      </c>
    </row>
    <row r="728" spans="1:6">
      <c r="A728" s="95" t="s">
        <v>1639</v>
      </c>
      <c r="F728" s="95">
        <v>522</v>
      </c>
    </row>
    <row r="729" spans="1:6">
      <c r="A729" s="95" t="s">
        <v>1640</v>
      </c>
      <c r="F729" s="95">
        <v>522</v>
      </c>
    </row>
    <row r="730" spans="1:6">
      <c r="A730" s="96" t="s">
        <v>1641</v>
      </c>
      <c r="D730" s="95" t="s">
        <v>1472</v>
      </c>
      <c r="E730" s="95" t="str">
        <f t="shared" si="8"/>
        <v>Kigo</v>
      </c>
      <c r="F730" s="95">
        <v>522</v>
      </c>
    </row>
    <row r="731" spans="1:6">
      <c r="A731" s="95" t="s">
        <v>1642</v>
      </c>
      <c r="F731" s="95">
        <v>522</v>
      </c>
    </row>
    <row r="732" spans="1:6">
      <c r="A732" s="96" t="s">
        <v>1643</v>
      </c>
      <c r="D732" s="95" t="s">
        <v>1472</v>
      </c>
      <c r="E732" s="95" t="str">
        <f t="shared" si="8"/>
        <v>Busabala</v>
      </c>
      <c r="F732" s="95">
        <v>522</v>
      </c>
    </row>
    <row r="733" spans="1:6">
      <c r="A733" s="95" t="s">
        <v>1644</v>
      </c>
      <c r="F733" s="95">
        <v>522</v>
      </c>
    </row>
    <row r="734" spans="1:6">
      <c r="A734" s="95" t="s">
        <v>1645</v>
      </c>
      <c r="F734" s="95">
        <v>522</v>
      </c>
    </row>
    <row r="735" spans="1:6">
      <c r="A735" s="95" t="s">
        <v>1646</v>
      </c>
      <c r="F735" s="95">
        <v>522</v>
      </c>
    </row>
    <row r="736" spans="1:6">
      <c r="A736" s="95" t="s">
        <v>1647</v>
      </c>
      <c r="F736" s="95">
        <v>522</v>
      </c>
    </row>
    <row r="737" spans="1:6">
      <c r="A737" s="95" t="s">
        <v>1648</v>
      </c>
      <c r="E737" s="95" t="str">
        <f t="shared" si="8"/>
        <v>KIBIIRI</v>
      </c>
      <c r="F737" s="95">
        <v>522</v>
      </c>
    </row>
    <row r="738" spans="1:6">
      <c r="A738" s="95" t="s">
        <v>1649</v>
      </c>
      <c r="E738" s="95" t="str">
        <f t="shared" si="8"/>
        <v>KAZI</v>
      </c>
      <c r="F738" s="95">
        <v>522</v>
      </c>
    </row>
    <row r="739" spans="1:6">
      <c r="A739" s="95" t="s">
        <v>1650</v>
      </c>
      <c r="F739" s="95">
        <v>522</v>
      </c>
    </row>
    <row r="740" spans="1:6">
      <c r="A740" s="95" t="s">
        <v>1651</v>
      </c>
      <c r="E740" s="95" t="str">
        <f t="shared" si="8"/>
        <v>Kazii</v>
      </c>
      <c r="F740" s="95">
        <v>522</v>
      </c>
    </row>
    <row r="741" spans="1:6">
      <c r="A741" s="95" t="s">
        <v>1652</v>
      </c>
      <c r="F741" s="95">
        <v>522</v>
      </c>
    </row>
    <row r="742" spans="1:6">
      <c r="A742" s="96" t="s">
        <v>1653</v>
      </c>
      <c r="D742" s="95" t="s">
        <v>1472</v>
      </c>
      <c r="E742" s="95" t="str">
        <f t="shared" si="8"/>
        <v>Kiruddu</v>
      </c>
      <c r="F742" s="95">
        <v>522</v>
      </c>
    </row>
    <row r="743" spans="1:6">
      <c r="A743" s="96" t="s">
        <v>1654</v>
      </c>
      <c r="E743" s="95" t="str">
        <f t="shared" si="8"/>
        <v>Kirundu</v>
      </c>
      <c r="F743" s="95">
        <v>522</v>
      </c>
    </row>
    <row r="744" spans="1:6">
      <c r="A744" s="96" t="s">
        <v>1655</v>
      </c>
      <c r="E744" s="95" t="str">
        <f t="shared" si="8"/>
        <v>Kirudu</v>
      </c>
      <c r="F744" s="95">
        <v>522</v>
      </c>
    </row>
    <row r="745" spans="1:6">
      <c r="A745" s="96" t="s">
        <v>1656</v>
      </c>
      <c r="E745" s="95" t="str">
        <f t="shared" si="8"/>
        <v>Kirudu hospital</v>
      </c>
      <c r="F745" s="95">
        <v>522</v>
      </c>
    </row>
    <row r="746" spans="1:6">
      <c r="A746" s="96" t="s">
        <v>1657</v>
      </c>
      <c r="E746" s="95" t="str">
        <f t="shared" si="8"/>
        <v xml:space="preserve">Bunga </v>
      </c>
      <c r="F746" s="95">
        <v>522</v>
      </c>
    </row>
    <row r="747" spans="1:6">
      <c r="A747" s="96" t="s">
        <v>1658</v>
      </c>
      <c r="E747" s="95" t="str">
        <f t="shared" si="8"/>
        <v>Bungu</v>
      </c>
      <c r="F747" s="95">
        <v>522</v>
      </c>
    </row>
    <row r="748" spans="1:6">
      <c r="A748" s="95" t="s">
        <v>1659</v>
      </c>
      <c r="F748" s="95">
        <v>522</v>
      </c>
    </row>
    <row r="749" spans="1:6">
      <c r="A749" s="96" t="s">
        <v>1660</v>
      </c>
      <c r="B749" s="95" t="s">
        <v>1460</v>
      </c>
      <c r="C749" s="95" t="s">
        <v>1461</v>
      </c>
      <c r="D749" s="95" t="s">
        <v>1472</v>
      </c>
      <c r="E749" s="95" t="str">
        <f t="shared" si="8"/>
        <v>Ggaba</v>
      </c>
      <c r="F749" s="95">
        <v>522</v>
      </c>
    </row>
    <row r="750" spans="1:6">
      <c r="A750" s="96" t="s">
        <v>1661</v>
      </c>
      <c r="D750" s="95" t="s">
        <v>1472</v>
      </c>
      <c r="E750" s="95" t="str">
        <f t="shared" si="8"/>
        <v>Konge</v>
      </c>
      <c r="F750" s="95">
        <v>522</v>
      </c>
    </row>
    <row r="751" spans="1:6">
      <c r="A751" s="95" t="s">
        <v>1662</v>
      </c>
      <c r="B751" s="95" t="s">
        <v>1460</v>
      </c>
      <c r="C751" s="95" t="s">
        <v>1461</v>
      </c>
      <c r="D751" s="95" t="s">
        <v>1475</v>
      </c>
      <c r="E751" s="95" t="str">
        <f t="shared" si="8"/>
        <v>Industrial Area</v>
      </c>
      <c r="F751" s="95">
        <v>523</v>
      </c>
    </row>
    <row r="752" spans="1:6">
      <c r="A752" s="96" t="s">
        <v>1663</v>
      </c>
      <c r="B752" s="95" t="s">
        <v>1460</v>
      </c>
      <c r="C752" s="95" t="s">
        <v>1461</v>
      </c>
      <c r="D752" s="95" t="s">
        <v>1462</v>
      </c>
      <c r="E752" s="95" t="str">
        <f t="shared" si="8"/>
        <v>Itek</v>
      </c>
      <c r="F752" s="95">
        <v>524</v>
      </c>
    </row>
    <row r="753" spans="1:6">
      <c r="A753" s="96" t="s">
        <v>1664</v>
      </c>
      <c r="B753" s="95" t="s">
        <v>1460</v>
      </c>
      <c r="C753" s="95" t="s">
        <v>1461</v>
      </c>
      <c r="D753" s="95" t="s">
        <v>1472</v>
      </c>
      <c r="E753" s="95" t="str">
        <f t="shared" si="8"/>
        <v>Kabalagala</v>
      </c>
      <c r="F753" s="95">
        <v>525</v>
      </c>
    </row>
    <row r="754" spans="1:6">
      <c r="A754" s="96" t="s">
        <v>1665</v>
      </c>
      <c r="E754" s="95" t="str">
        <f t="shared" si="8"/>
        <v>Muyenga</v>
      </c>
      <c r="F754" s="95">
        <v>525</v>
      </c>
    </row>
    <row r="755" spans="1:6">
      <c r="A755" s="96" t="s">
        <v>1666</v>
      </c>
      <c r="B755" s="95" t="s">
        <v>1460</v>
      </c>
      <c r="C755" s="95" t="s">
        <v>1461</v>
      </c>
      <c r="D755" s="95" t="s">
        <v>1483</v>
      </c>
      <c r="E755" s="95" t="str">
        <f t="shared" si="8"/>
        <v>Kabowa</v>
      </c>
      <c r="F755" s="95">
        <v>526</v>
      </c>
    </row>
    <row r="756" spans="1:6">
      <c r="A756" s="95" t="s">
        <v>1667</v>
      </c>
      <c r="B756" s="95" t="s">
        <v>1460</v>
      </c>
      <c r="C756" s="95" t="s">
        <v>1461</v>
      </c>
      <c r="D756" s="95" t="s">
        <v>1475</v>
      </c>
      <c r="E756" s="95" t="str">
        <f t="shared" si="8"/>
        <v>Kagugube</v>
      </c>
      <c r="F756" s="95">
        <v>527</v>
      </c>
    </row>
    <row r="757" spans="1:6">
      <c r="A757" s="97" t="s">
        <v>1668</v>
      </c>
      <c r="B757" s="95" t="s">
        <v>1460</v>
      </c>
      <c r="C757" s="95" t="s">
        <v>1461</v>
      </c>
      <c r="D757" s="95" t="s">
        <v>1475</v>
      </c>
      <c r="E757" s="95" t="str">
        <f t="shared" si="8"/>
        <v>Kamwokya</v>
      </c>
      <c r="F757" s="95">
        <v>528</v>
      </c>
    </row>
    <row r="758" spans="1:6">
      <c r="A758" s="95" t="s">
        <v>1669</v>
      </c>
      <c r="F758" s="95">
        <v>528</v>
      </c>
    </row>
    <row r="759" spans="1:6">
      <c r="A759" s="95" t="s">
        <v>1670</v>
      </c>
      <c r="F759" s="95">
        <v>528</v>
      </c>
    </row>
    <row r="760" spans="1:6">
      <c r="A760" s="95" t="s">
        <v>1671</v>
      </c>
      <c r="F760" s="95">
        <v>528</v>
      </c>
    </row>
    <row r="761" spans="1:6">
      <c r="A761" s="95" t="s">
        <v>1672</v>
      </c>
      <c r="F761" s="95">
        <v>528</v>
      </c>
    </row>
    <row r="762" spans="1:6">
      <c r="A762" s="95" t="s">
        <v>1673</v>
      </c>
      <c r="F762" s="95">
        <v>528</v>
      </c>
    </row>
    <row r="763" spans="1:6">
      <c r="A763" s="95" t="s">
        <v>1674</v>
      </c>
      <c r="F763" s="95">
        <v>528</v>
      </c>
    </row>
    <row r="764" spans="1:6">
      <c r="A764" s="95" t="s">
        <v>1675</v>
      </c>
      <c r="F764" s="95">
        <v>528</v>
      </c>
    </row>
    <row r="765" spans="1:6">
      <c r="A765" s="95" t="s">
        <v>1676</v>
      </c>
      <c r="F765" s="95">
        <v>528</v>
      </c>
    </row>
    <row r="766" spans="1:6">
      <c r="A766" s="95" t="s">
        <v>1677</v>
      </c>
      <c r="F766" s="95">
        <v>528</v>
      </c>
    </row>
    <row r="767" spans="1:6">
      <c r="A767" s="95" t="s">
        <v>1678</v>
      </c>
      <c r="F767" s="95">
        <v>528</v>
      </c>
    </row>
    <row r="768" spans="1:6">
      <c r="A768" s="96" t="s">
        <v>1679</v>
      </c>
      <c r="B768" s="95" t="s">
        <v>1460</v>
      </c>
      <c r="C768" s="95" t="s">
        <v>1461</v>
      </c>
      <c r="D768" s="95" t="s">
        <v>1472</v>
      </c>
      <c r="E768" s="95" t="str">
        <f t="shared" si="8"/>
        <v>Kansanga</v>
      </c>
      <c r="F768" s="95">
        <v>529</v>
      </c>
    </row>
    <row r="769" spans="1:6">
      <c r="A769" s="96" t="s">
        <v>765</v>
      </c>
      <c r="F769" s="95">
        <v>529</v>
      </c>
    </row>
    <row r="770" spans="1:6">
      <c r="A770" s="96" t="s">
        <v>1680</v>
      </c>
      <c r="F770" s="95">
        <v>529</v>
      </c>
    </row>
    <row r="771" spans="1:6">
      <c r="A771" s="96" t="s">
        <v>1681</v>
      </c>
      <c r="E771" s="95" t="str">
        <f t="shared" si="8"/>
        <v>Kasanga</v>
      </c>
      <c r="F771" s="95">
        <v>529</v>
      </c>
    </row>
    <row r="772" spans="1:6">
      <c r="A772" s="95" t="s">
        <v>1682</v>
      </c>
      <c r="B772" s="95" t="s">
        <v>1460</v>
      </c>
      <c r="C772" s="95" t="s">
        <v>1461</v>
      </c>
      <c r="D772" s="95" t="s">
        <v>1492</v>
      </c>
      <c r="E772" s="95" t="str">
        <f t="shared" si="8"/>
        <v>Kanyanya</v>
      </c>
      <c r="F772" s="95">
        <v>530</v>
      </c>
    </row>
    <row r="773" spans="1:6">
      <c r="A773" s="95" t="s">
        <v>1683</v>
      </c>
      <c r="D773" s="95" t="s">
        <v>1492</v>
      </c>
      <c r="F773" s="95">
        <v>530</v>
      </c>
    </row>
    <row r="774" spans="1:6">
      <c r="A774" s="95" t="s">
        <v>1684</v>
      </c>
      <c r="F774" s="95">
        <v>530</v>
      </c>
    </row>
    <row r="775" spans="1:6">
      <c r="A775" s="95" t="s">
        <v>1685</v>
      </c>
      <c r="F775" s="95">
        <v>530</v>
      </c>
    </row>
    <row r="776" spans="1:6">
      <c r="A776" s="96" t="s">
        <v>1686</v>
      </c>
      <c r="B776" s="95" t="s">
        <v>1460</v>
      </c>
      <c r="C776" s="95" t="s">
        <v>1461</v>
      </c>
      <c r="D776" s="95" t="s">
        <v>1483</v>
      </c>
      <c r="E776" s="95" t="str">
        <f t="shared" si="8"/>
        <v>Kasubi</v>
      </c>
      <c r="F776" s="95">
        <v>531</v>
      </c>
    </row>
    <row r="777" spans="1:6">
      <c r="A777" s="96" t="s">
        <v>1687</v>
      </c>
      <c r="F777" s="95">
        <v>531</v>
      </c>
    </row>
    <row r="778" spans="1:6">
      <c r="A778" s="95" t="s">
        <v>1688</v>
      </c>
      <c r="D778" s="95" t="s">
        <v>1483</v>
      </c>
      <c r="E778" s="95" t="str">
        <f t="shared" si="8"/>
        <v>Namugona</v>
      </c>
      <c r="F778" s="95">
        <v>531</v>
      </c>
    </row>
    <row r="779" spans="1:6">
      <c r="A779" s="95" t="s">
        <v>1689</v>
      </c>
      <c r="D779" s="95" t="s">
        <v>1483</v>
      </c>
      <c r="F779" s="95">
        <v>531</v>
      </c>
    </row>
    <row r="780" spans="1:6">
      <c r="A780" s="95" t="s">
        <v>1690</v>
      </c>
      <c r="D780" s="95" t="s">
        <v>1483</v>
      </c>
      <c r="E780" s="95" t="str">
        <f t="shared" si="8"/>
        <v>Namungoona</v>
      </c>
      <c r="F780" s="95">
        <v>531</v>
      </c>
    </row>
    <row r="781" spans="1:6">
      <c r="A781" s="95" t="s">
        <v>1691</v>
      </c>
      <c r="F781" s="95">
        <v>531</v>
      </c>
    </row>
    <row r="782" spans="1:6">
      <c r="A782" s="95" t="s">
        <v>1692</v>
      </c>
      <c r="D782" s="95" t="s">
        <v>1483</v>
      </c>
      <c r="F782" s="95">
        <v>531</v>
      </c>
    </row>
    <row r="783" spans="1:6">
      <c r="A783" s="95" t="s">
        <v>1693</v>
      </c>
      <c r="D783" s="95" t="s">
        <v>1483</v>
      </c>
      <c r="F783" s="95">
        <v>531</v>
      </c>
    </row>
    <row r="784" spans="1:6">
      <c r="A784" s="95" t="s">
        <v>1694</v>
      </c>
      <c r="D784" s="95" t="s">
        <v>1483</v>
      </c>
      <c r="F784" s="95">
        <v>531</v>
      </c>
    </row>
    <row r="785" spans="1:6">
      <c r="A785" s="95" t="s">
        <v>1695</v>
      </c>
      <c r="D785" s="95" t="s">
        <v>1483</v>
      </c>
      <c r="F785" s="95">
        <v>531</v>
      </c>
    </row>
    <row r="786" spans="1:6">
      <c r="A786" s="95" t="s">
        <v>1696</v>
      </c>
      <c r="F786" s="95">
        <v>531</v>
      </c>
    </row>
    <row r="787" spans="1:6">
      <c r="A787" s="96" t="s">
        <v>1697</v>
      </c>
      <c r="B787" s="95" t="s">
        <v>1460</v>
      </c>
      <c r="C787" s="95" t="s">
        <v>1461</v>
      </c>
      <c r="D787" s="95" t="s">
        <v>1472</v>
      </c>
      <c r="E787" s="95" t="str">
        <f t="shared" si="8"/>
        <v>Katwe</v>
      </c>
      <c r="F787" s="95">
        <v>532</v>
      </c>
    </row>
    <row r="788" spans="1:6">
      <c r="A788" s="95" t="s">
        <v>1698</v>
      </c>
      <c r="F788" s="95">
        <v>532</v>
      </c>
    </row>
    <row r="789" spans="1:6">
      <c r="A789" s="95" t="s">
        <v>1699</v>
      </c>
      <c r="B789" s="95" t="s">
        <v>1460</v>
      </c>
      <c r="C789" s="95" t="s">
        <v>1461</v>
      </c>
      <c r="D789" s="95" t="s">
        <v>1492</v>
      </c>
      <c r="E789" s="95" t="str">
        <f t="shared" si="8"/>
        <v>Kawempe</v>
      </c>
      <c r="F789" s="95">
        <v>533</v>
      </c>
    </row>
    <row r="790" spans="1:6">
      <c r="A790" s="95" t="s">
        <v>1700</v>
      </c>
      <c r="F790" s="95">
        <v>533</v>
      </c>
    </row>
    <row r="791" spans="1:6">
      <c r="A791" s="95" t="s">
        <v>1701</v>
      </c>
      <c r="E791" s="95" t="str">
        <f t="shared" si="8"/>
        <v>Agakhan</v>
      </c>
      <c r="F791" s="95">
        <v>533</v>
      </c>
    </row>
    <row r="792" spans="1:6">
      <c r="A792" s="95" t="s">
        <v>1702</v>
      </c>
      <c r="B792" s="95" t="s">
        <v>1460</v>
      </c>
      <c r="C792" s="95" t="s">
        <v>1461</v>
      </c>
      <c r="D792" s="95" t="s">
        <v>1492</v>
      </c>
      <c r="E792" s="95" t="str">
        <f t="shared" si="8"/>
        <v>Kazo Angola</v>
      </c>
      <c r="F792" s="95">
        <v>534</v>
      </c>
    </row>
    <row r="793" spans="1:6">
      <c r="A793" s="96" t="s">
        <v>1703</v>
      </c>
      <c r="B793" s="95" t="s">
        <v>1460</v>
      </c>
      <c r="C793" s="95" t="s">
        <v>1461</v>
      </c>
      <c r="D793" s="95" t="s">
        <v>1472</v>
      </c>
      <c r="E793" s="95" t="str">
        <f t="shared" si="8"/>
        <v>Kibuli</v>
      </c>
      <c r="F793" s="95">
        <v>535</v>
      </c>
    </row>
    <row r="794" spans="1:6">
      <c r="A794" s="96" t="s">
        <v>1704</v>
      </c>
      <c r="B794" s="95" t="s">
        <v>1460</v>
      </c>
      <c r="C794" s="95" t="s">
        <v>1461</v>
      </c>
      <c r="D794" s="95" t="s">
        <v>1472</v>
      </c>
      <c r="E794" s="95" t="str">
        <f t="shared" si="8"/>
        <v>Kibuye</v>
      </c>
      <c r="F794" s="95">
        <v>536</v>
      </c>
    </row>
    <row r="795" spans="1:6">
      <c r="A795" s="95" t="s">
        <v>1705</v>
      </c>
      <c r="B795" s="95" t="s">
        <v>1460</v>
      </c>
      <c r="C795" s="95" t="s">
        <v>1461</v>
      </c>
      <c r="D795" s="95" t="s">
        <v>1492</v>
      </c>
      <c r="E795" s="95" t="str">
        <f t="shared" si="8"/>
        <v>Kikaaya</v>
      </c>
      <c r="F795" s="95">
        <v>537</v>
      </c>
    </row>
    <row r="796" spans="1:6">
      <c r="A796" s="97" t="s">
        <v>1706</v>
      </c>
      <c r="B796" s="95" t="s">
        <v>1460</v>
      </c>
      <c r="C796" s="95" t="s">
        <v>1461</v>
      </c>
      <c r="D796" s="98" t="s">
        <v>1475</v>
      </c>
      <c r="E796" s="95" t="str">
        <f t="shared" si="8"/>
        <v xml:space="preserve">Kisenyi </v>
      </c>
      <c r="F796" s="95">
        <v>538</v>
      </c>
    </row>
    <row r="797" spans="1:6">
      <c r="A797" s="95" t="s">
        <v>452</v>
      </c>
      <c r="F797" s="95">
        <v>538</v>
      </c>
    </row>
    <row r="798" spans="1:6">
      <c r="A798" s="95" t="s">
        <v>1707</v>
      </c>
      <c r="F798" s="95">
        <v>538</v>
      </c>
    </row>
    <row r="799" spans="1:6">
      <c r="A799" s="95" t="s">
        <v>1708</v>
      </c>
      <c r="F799" s="95">
        <v>538</v>
      </c>
    </row>
    <row r="800" spans="1:6">
      <c r="A800" s="95" t="s">
        <v>1709</v>
      </c>
      <c r="F800" s="95">
        <v>538</v>
      </c>
    </row>
    <row r="801" spans="1:6">
      <c r="A801" s="95" t="s">
        <v>1710</v>
      </c>
      <c r="F801" s="95">
        <v>538</v>
      </c>
    </row>
    <row r="802" spans="1:6">
      <c r="A802" s="96" t="s">
        <v>1711</v>
      </c>
      <c r="B802" s="95" t="s">
        <v>1460</v>
      </c>
      <c r="C802" s="95" t="s">
        <v>1461</v>
      </c>
      <c r="D802" s="95" t="s">
        <v>1472</v>
      </c>
      <c r="E802" s="95" t="str">
        <f t="shared" si="8"/>
        <v>Kisugu</v>
      </c>
      <c r="F802" s="95">
        <v>539</v>
      </c>
    </row>
    <row r="803" spans="1:6">
      <c r="A803" s="96" t="s">
        <v>1712</v>
      </c>
      <c r="B803" s="95" t="s">
        <v>1460</v>
      </c>
      <c r="C803" s="95" t="s">
        <v>1461</v>
      </c>
      <c r="D803" s="95" t="s">
        <v>1462</v>
      </c>
      <c r="E803" s="95" t="str">
        <f t="shared" si="8"/>
        <v>Kiswa</v>
      </c>
      <c r="F803" s="95">
        <v>540</v>
      </c>
    </row>
    <row r="804" spans="1:6">
      <c r="A804" s="96" t="s">
        <v>1713</v>
      </c>
      <c r="B804" s="95" t="s">
        <v>1460</v>
      </c>
      <c r="C804" s="95" t="s">
        <v>1461</v>
      </c>
      <c r="D804" s="95" t="s">
        <v>1462</v>
      </c>
      <c r="E804" s="95" t="str">
        <f t="shared" si="8"/>
        <v>Kiwatule</v>
      </c>
      <c r="F804" s="95">
        <v>541</v>
      </c>
    </row>
    <row r="805" spans="1:6">
      <c r="A805" s="96" t="s">
        <v>1714</v>
      </c>
      <c r="F805" s="95">
        <v>541</v>
      </c>
    </row>
    <row r="806" spans="1:6" ht="25.5">
      <c r="A806" s="96" t="s">
        <v>1715</v>
      </c>
      <c r="F806" s="95">
        <v>541</v>
      </c>
    </row>
    <row r="807" spans="1:6">
      <c r="A807" s="96" t="s">
        <v>1716</v>
      </c>
      <c r="F807" s="95">
        <v>541</v>
      </c>
    </row>
    <row r="808" spans="1:6">
      <c r="A808" s="96" t="s">
        <v>1717</v>
      </c>
      <c r="F808" s="95">
        <v>541</v>
      </c>
    </row>
    <row r="809" spans="1:6">
      <c r="A809" s="96" t="s">
        <v>1718</v>
      </c>
      <c r="F809" s="95">
        <v>541</v>
      </c>
    </row>
    <row r="810" spans="1:6">
      <c r="A810" s="97" t="s">
        <v>1719</v>
      </c>
      <c r="B810" s="95" t="s">
        <v>1460</v>
      </c>
      <c r="C810" s="95" t="s">
        <v>1461</v>
      </c>
      <c r="D810" s="95" t="s">
        <v>1475</v>
      </c>
      <c r="E810" s="95" t="str">
        <f t="shared" si="8"/>
        <v>Kololo</v>
      </c>
      <c r="F810" s="95">
        <v>542</v>
      </c>
    </row>
    <row r="811" spans="1:6">
      <c r="A811" s="95" t="s">
        <v>1720</v>
      </c>
      <c r="F811" s="95">
        <v>542</v>
      </c>
    </row>
    <row r="812" spans="1:6">
      <c r="A812" s="95" t="s">
        <v>1721</v>
      </c>
      <c r="F812" s="95">
        <v>542</v>
      </c>
    </row>
    <row r="813" spans="1:6">
      <c r="A813" s="95" t="s">
        <v>1722</v>
      </c>
      <c r="F813" s="95">
        <v>542</v>
      </c>
    </row>
    <row r="814" spans="1:6">
      <c r="A814" s="95" t="s">
        <v>1723</v>
      </c>
      <c r="F814" s="95">
        <v>542</v>
      </c>
    </row>
    <row r="815" spans="1:6">
      <c r="A815" s="95" t="s">
        <v>1724</v>
      </c>
      <c r="F815" s="95">
        <v>542</v>
      </c>
    </row>
    <row r="816" spans="1:6">
      <c r="A816" s="95" t="s">
        <v>1725</v>
      </c>
      <c r="F816" s="95">
        <v>542</v>
      </c>
    </row>
    <row r="817" spans="1:6">
      <c r="A817" s="95" t="s">
        <v>1726</v>
      </c>
      <c r="F817" s="95">
        <v>542</v>
      </c>
    </row>
    <row r="818" spans="1:6">
      <c r="A818" s="95" t="s">
        <v>1727</v>
      </c>
      <c r="F818" s="95">
        <v>542</v>
      </c>
    </row>
    <row r="819" spans="1:6">
      <c r="A819" s="95" t="s">
        <v>1728</v>
      </c>
      <c r="F819" s="95">
        <v>542</v>
      </c>
    </row>
    <row r="820" spans="1:6">
      <c r="A820" s="95" t="s">
        <v>1729</v>
      </c>
      <c r="F820" s="95">
        <v>542</v>
      </c>
    </row>
    <row r="821" spans="1:6">
      <c r="A821" s="95" t="s">
        <v>1730</v>
      </c>
      <c r="F821" s="95">
        <v>542</v>
      </c>
    </row>
    <row r="822" spans="1:6">
      <c r="A822" s="95" t="s">
        <v>1731</v>
      </c>
      <c r="F822" s="95">
        <v>542</v>
      </c>
    </row>
    <row r="823" spans="1:6">
      <c r="A823" s="95" t="s">
        <v>1732</v>
      </c>
      <c r="F823" s="95">
        <v>542</v>
      </c>
    </row>
    <row r="824" spans="1:6">
      <c r="A824" s="95" t="s">
        <v>1733</v>
      </c>
      <c r="F824" s="95">
        <v>542</v>
      </c>
    </row>
    <row r="825" spans="1:6">
      <c r="A825" s="95" t="s">
        <v>1734</v>
      </c>
      <c r="F825" s="95">
        <v>542</v>
      </c>
    </row>
    <row r="826" spans="1:6">
      <c r="A826" s="95" t="s">
        <v>1735</v>
      </c>
      <c r="F826" s="95">
        <v>542</v>
      </c>
    </row>
    <row r="827" spans="1:6">
      <c r="A827" s="95" t="s">
        <v>1736</v>
      </c>
      <c r="F827" s="95">
        <v>542</v>
      </c>
    </row>
    <row r="828" spans="1:6">
      <c r="A828" s="95" t="s">
        <v>1737</v>
      </c>
      <c r="F828" s="95">
        <v>542</v>
      </c>
    </row>
    <row r="829" spans="1:6">
      <c r="A829" s="95" t="s">
        <v>1738</v>
      </c>
      <c r="E829" s="95" t="str">
        <f t="shared" si="8"/>
        <v>Wampewo</v>
      </c>
      <c r="F829" s="95">
        <v>542</v>
      </c>
    </row>
    <row r="830" spans="1:6">
      <c r="A830" s="95" t="s">
        <v>1739</v>
      </c>
      <c r="F830" s="95">
        <v>542</v>
      </c>
    </row>
    <row r="831" spans="1:6">
      <c r="A831" s="95" t="s">
        <v>394</v>
      </c>
      <c r="F831" s="95">
        <v>542</v>
      </c>
    </row>
    <row r="832" spans="1:6">
      <c r="A832" s="95" t="s">
        <v>1740</v>
      </c>
      <c r="F832" s="95">
        <v>542</v>
      </c>
    </row>
    <row r="833" spans="1:6">
      <c r="A833" s="95" t="s">
        <v>1741</v>
      </c>
      <c r="F833" s="95">
        <v>542</v>
      </c>
    </row>
    <row r="834" spans="1:6">
      <c r="A834" s="95" t="s">
        <v>1742</v>
      </c>
      <c r="B834" s="95" t="s">
        <v>1460</v>
      </c>
      <c r="C834" s="95" t="s">
        <v>1461</v>
      </c>
      <c r="D834" s="95" t="s">
        <v>1492</v>
      </c>
      <c r="E834" s="95" t="str">
        <f t="shared" si="8"/>
        <v>Komamboga</v>
      </c>
      <c r="F834" s="95">
        <v>543</v>
      </c>
    </row>
    <row r="835" spans="1:6">
      <c r="A835" s="96" t="s">
        <v>1743</v>
      </c>
      <c r="B835" s="95" t="s">
        <v>1460</v>
      </c>
      <c r="C835" s="95" t="s">
        <v>1461</v>
      </c>
      <c r="D835" s="95" t="s">
        <v>1462</v>
      </c>
      <c r="E835" s="95" t="str">
        <f t="shared" si="8"/>
        <v>Kyambogo</v>
      </c>
      <c r="F835" s="95">
        <v>544</v>
      </c>
    </row>
    <row r="836" spans="1:6">
      <c r="A836" s="96" t="s">
        <v>845</v>
      </c>
      <c r="F836" s="95">
        <v>544</v>
      </c>
    </row>
    <row r="837" spans="1:6">
      <c r="A837" s="96" t="s">
        <v>526</v>
      </c>
      <c r="F837" s="95">
        <v>544</v>
      </c>
    </row>
    <row r="838" spans="1:6">
      <c r="A838" s="96" t="s">
        <v>1744</v>
      </c>
      <c r="F838" s="95">
        <v>544</v>
      </c>
    </row>
    <row r="839" spans="1:6">
      <c r="A839" s="96" t="s">
        <v>1745</v>
      </c>
      <c r="B839" s="95" t="s">
        <v>1460</v>
      </c>
      <c r="C839" s="95" t="s">
        <v>1461</v>
      </c>
      <c r="D839" s="95" t="s">
        <v>1462</v>
      </c>
      <c r="E839" s="95" t="str">
        <f t="shared" si="8"/>
        <v>Kyanja</v>
      </c>
      <c r="F839" s="95">
        <v>545</v>
      </c>
    </row>
    <row r="840" spans="1:6">
      <c r="A840" s="96" t="s">
        <v>1746</v>
      </c>
      <c r="E840" s="95" t="str">
        <f t="shared" si="8"/>
        <v>Kyanjja</v>
      </c>
      <c r="F840" s="95">
        <v>545</v>
      </c>
    </row>
    <row r="841" spans="1:6">
      <c r="A841" s="96" t="s">
        <v>1747</v>
      </c>
      <c r="E841" s="95" t="str">
        <f t="shared" si="8"/>
        <v>Kumbuzi</v>
      </c>
      <c r="F841" s="95">
        <v>545</v>
      </c>
    </row>
    <row r="842" spans="1:6">
      <c r="A842" s="95" t="s">
        <v>1748</v>
      </c>
      <c r="B842" s="95" t="s">
        <v>1460</v>
      </c>
      <c r="C842" s="95" t="s">
        <v>1461</v>
      </c>
      <c r="D842" s="95" t="s">
        <v>1492</v>
      </c>
      <c r="E842" s="95" t="str">
        <f t="shared" si="8"/>
        <v>Kyebando</v>
      </c>
      <c r="F842" s="95">
        <v>546</v>
      </c>
    </row>
    <row r="843" spans="1:6">
      <c r="A843" s="95" t="s">
        <v>1749</v>
      </c>
      <c r="F843" s="95">
        <v>546</v>
      </c>
    </row>
    <row r="844" spans="1:6">
      <c r="A844" s="95" t="s">
        <v>1750</v>
      </c>
      <c r="F844" s="95">
        <v>546</v>
      </c>
    </row>
    <row r="845" spans="1:6">
      <c r="A845" s="95" t="s">
        <v>1751</v>
      </c>
      <c r="F845" s="95">
        <v>546</v>
      </c>
    </row>
    <row r="846" spans="1:6">
      <c r="A846" s="96" t="s">
        <v>1752</v>
      </c>
      <c r="B846" s="95" t="s">
        <v>1460</v>
      </c>
      <c r="C846" s="95" t="s">
        <v>1461</v>
      </c>
      <c r="D846" s="95" t="s">
        <v>1483</v>
      </c>
      <c r="E846" s="95" t="str">
        <f t="shared" si="8"/>
        <v>Lubaga</v>
      </c>
      <c r="F846" s="95">
        <v>547</v>
      </c>
    </row>
    <row r="847" spans="1:6">
      <c r="A847" s="96" t="s">
        <v>1210</v>
      </c>
      <c r="B847" s="95" t="s">
        <v>1460</v>
      </c>
      <c r="C847" s="95" t="s">
        <v>1461</v>
      </c>
      <c r="D847" s="95" t="s">
        <v>1210</v>
      </c>
      <c r="E847" s="95" t="str">
        <f t="shared" si="8"/>
        <v>Lubya</v>
      </c>
      <c r="F847" s="95">
        <v>548</v>
      </c>
    </row>
    <row r="848" spans="1:6">
      <c r="A848" s="96" t="s">
        <v>1753</v>
      </c>
      <c r="B848" s="95" t="s">
        <v>1460</v>
      </c>
      <c r="C848" s="95" t="s">
        <v>1461</v>
      </c>
      <c r="D848" s="95" t="s">
        <v>1472</v>
      </c>
      <c r="E848" s="95" t="str">
        <f t="shared" si="8"/>
        <v>Lukuli</v>
      </c>
      <c r="F848" s="95">
        <v>549</v>
      </c>
    </row>
    <row r="849" spans="1:6">
      <c r="A849" s="96" t="s">
        <v>1754</v>
      </c>
      <c r="B849" s="95" t="s">
        <v>1460</v>
      </c>
      <c r="C849" s="95" t="s">
        <v>1461</v>
      </c>
      <c r="D849" s="95" t="s">
        <v>1483</v>
      </c>
      <c r="E849" s="95" t="str">
        <f t="shared" si="8"/>
        <v>Lungujja</v>
      </c>
      <c r="F849" s="95">
        <v>550</v>
      </c>
    </row>
    <row r="850" spans="1:6">
      <c r="A850" s="96" t="s">
        <v>1755</v>
      </c>
      <c r="E850" s="95" t="str">
        <f t="shared" si="8"/>
        <v>Lunguja</v>
      </c>
      <c r="F850" s="95">
        <v>550</v>
      </c>
    </row>
    <row r="851" spans="1:6">
      <c r="A851" s="96" t="s">
        <v>1756</v>
      </c>
      <c r="F851" s="95">
        <v>550</v>
      </c>
    </row>
    <row r="852" spans="1:6">
      <c r="A852" s="96" t="s">
        <v>1757</v>
      </c>
      <c r="E852" s="95" t="str">
        <f t="shared" si="8"/>
        <v>Stabex</v>
      </c>
      <c r="F852" s="95">
        <v>550</v>
      </c>
    </row>
    <row r="853" spans="1:6">
      <c r="A853" s="96" t="s">
        <v>1758</v>
      </c>
      <c r="B853" s="95" t="s">
        <v>1460</v>
      </c>
      <c r="C853" s="95" t="s">
        <v>1461</v>
      </c>
      <c r="D853" s="95" t="s">
        <v>1472</v>
      </c>
      <c r="E853" s="95" t="str">
        <f t="shared" si="8"/>
        <v>Luwafu</v>
      </c>
      <c r="F853" s="95">
        <v>551</v>
      </c>
    </row>
    <row r="854" spans="1:6">
      <c r="A854" s="96" t="s">
        <v>1759</v>
      </c>
      <c r="E854" s="95" t="str">
        <f t="shared" si="8"/>
        <v>Mirembe</v>
      </c>
      <c r="F854" s="95">
        <v>551</v>
      </c>
    </row>
    <row r="855" spans="1:6">
      <c r="A855" s="96" t="s">
        <v>1760</v>
      </c>
      <c r="B855" s="95" t="s">
        <v>1460</v>
      </c>
      <c r="C855" s="95" t="s">
        <v>1461</v>
      </c>
      <c r="D855" s="95" t="s">
        <v>1462</v>
      </c>
      <c r="E855" s="95" t="str">
        <f t="shared" si="8"/>
        <v>Luzira</v>
      </c>
      <c r="F855" s="95">
        <v>552</v>
      </c>
    </row>
    <row r="856" spans="1:6">
      <c r="A856" s="96" t="s">
        <v>1761</v>
      </c>
      <c r="B856" s="95" t="s">
        <v>1460</v>
      </c>
      <c r="C856" s="95" t="s">
        <v>1461</v>
      </c>
      <c r="D856" s="95" t="s">
        <v>1462</v>
      </c>
      <c r="E856" s="95" t="str">
        <f t="shared" si="8"/>
        <v>Luzira Prisons</v>
      </c>
      <c r="F856" s="95">
        <v>553</v>
      </c>
    </row>
    <row r="857" spans="1:6">
      <c r="A857" s="95" t="s">
        <v>1762</v>
      </c>
      <c r="B857" s="95" t="s">
        <v>1460</v>
      </c>
      <c r="C857" s="95" t="s">
        <v>1461</v>
      </c>
      <c r="D857" s="95" t="s">
        <v>1492</v>
      </c>
      <c r="E857" s="95" t="str">
        <f t="shared" si="8"/>
        <v>Makerere</v>
      </c>
      <c r="F857" s="95">
        <v>554</v>
      </c>
    </row>
    <row r="858" spans="1:6">
      <c r="A858" s="95" t="s">
        <v>1763</v>
      </c>
      <c r="F858" s="95">
        <v>554</v>
      </c>
    </row>
    <row r="859" spans="1:6">
      <c r="A859" s="95" t="s">
        <v>1764</v>
      </c>
      <c r="E859" s="95" t="str">
        <f t="shared" si="8"/>
        <v>Bila</v>
      </c>
      <c r="F859" s="95">
        <v>554</v>
      </c>
    </row>
    <row r="860" spans="1:6">
      <c r="A860" s="95" t="s">
        <v>1765</v>
      </c>
      <c r="F860" s="95">
        <v>554</v>
      </c>
    </row>
    <row r="861" spans="1:6">
      <c r="A861" s="95" t="s">
        <v>1766</v>
      </c>
      <c r="E861" s="95" t="str">
        <f t="shared" si="8"/>
        <v>KIKONI</v>
      </c>
      <c r="F861" s="95">
        <v>554</v>
      </c>
    </row>
    <row r="862" spans="1:6">
      <c r="A862" s="95" t="s">
        <v>1767</v>
      </c>
      <c r="B862" s="95" t="s">
        <v>1460</v>
      </c>
      <c r="C862" s="95" t="s">
        <v>1461</v>
      </c>
      <c r="D862" s="95" t="s">
        <v>1492</v>
      </c>
      <c r="E862" s="95" t="str">
        <f t="shared" si="8"/>
        <v>Makerere University</v>
      </c>
      <c r="F862" s="95">
        <v>555</v>
      </c>
    </row>
    <row r="863" spans="1:6">
      <c r="A863" s="96" t="s">
        <v>1768</v>
      </c>
      <c r="B863" s="95" t="s">
        <v>1460</v>
      </c>
      <c r="C863" s="95" t="s">
        <v>1461</v>
      </c>
      <c r="D863" s="95" t="s">
        <v>1472</v>
      </c>
      <c r="E863" s="95" t="str">
        <f t="shared" si="8"/>
        <v>Makindye</v>
      </c>
      <c r="F863" s="95">
        <v>556</v>
      </c>
    </row>
    <row r="864" spans="1:6">
      <c r="A864" s="95" t="s">
        <v>1769</v>
      </c>
      <c r="F864" s="95">
        <v>556</v>
      </c>
    </row>
    <row r="865" spans="1:6">
      <c r="A865" s="96" t="s">
        <v>1770</v>
      </c>
      <c r="B865" s="95" t="s">
        <v>1460</v>
      </c>
      <c r="C865" s="95" t="s">
        <v>1461</v>
      </c>
      <c r="D865" s="95" t="s">
        <v>1462</v>
      </c>
      <c r="E865" s="95" t="str">
        <f t="shared" si="8"/>
        <v>Mbuya</v>
      </c>
      <c r="F865" s="95">
        <v>557</v>
      </c>
    </row>
    <row r="866" spans="1:6">
      <c r="A866" s="95" t="s">
        <v>1771</v>
      </c>
      <c r="B866" s="95" t="s">
        <v>1460</v>
      </c>
      <c r="C866" s="95" t="s">
        <v>1461</v>
      </c>
      <c r="D866" s="95" t="s">
        <v>1475</v>
      </c>
      <c r="E866" s="95" t="str">
        <f t="shared" si="8"/>
        <v>Mengo</v>
      </c>
      <c r="F866" s="95">
        <v>558</v>
      </c>
    </row>
    <row r="867" spans="1:6">
      <c r="A867" s="95" t="s">
        <v>1772</v>
      </c>
      <c r="F867" s="95">
        <v>558</v>
      </c>
    </row>
    <row r="868" spans="1:6">
      <c r="A868" s="95" t="s">
        <v>1773</v>
      </c>
      <c r="F868" s="95">
        <v>558</v>
      </c>
    </row>
    <row r="869" spans="1:6">
      <c r="A869" s="95" t="s">
        <v>1774</v>
      </c>
      <c r="E869" s="95" t="str">
        <f t="shared" si="8"/>
        <v>Rubaga</v>
      </c>
      <c r="F869" s="95">
        <v>558</v>
      </c>
    </row>
    <row r="870" spans="1:6">
      <c r="A870" s="95" t="s">
        <v>1775</v>
      </c>
      <c r="E870" s="95" t="str">
        <f t="shared" si="8"/>
        <v>Kayanja</v>
      </c>
      <c r="F870" s="95">
        <v>558</v>
      </c>
    </row>
    <row r="871" spans="1:6">
      <c r="A871" s="95" t="s">
        <v>1776</v>
      </c>
      <c r="B871" s="95" t="s">
        <v>1460</v>
      </c>
      <c r="C871" s="95" t="s">
        <v>1461</v>
      </c>
      <c r="D871" s="95" t="s">
        <v>1492</v>
      </c>
      <c r="E871" s="95" t="str">
        <f t="shared" si="8"/>
        <v>Mpererwe</v>
      </c>
      <c r="F871" s="95">
        <v>559</v>
      </c>
    </row>
    <row r="872" spans="1:6">
      <c r="A872" s="95" t="s">
        <v>1777</v>
      </c>
      <c r="F872" s="95">
        <v>559</v>
      </c>
    </row>
    <row r="873" spans="1:6">
      <c r="A873" s="95" t="s">
        <v>610</v>
      </c>
      <c r="F873" s="95">
        <v>559</v>
      </c>
    </row>
    <row r="874" spans="1:6">
      <c r="A874" s="95" t="s">
        <v>1778</v>
      </c>
      <c r="F874" s="95">
        <v>559</v>
      </c>
    </row>
    <row r="875" spans="1:6">
      <c r="A875" s="95" t="s">
        <v>1779</v>
      </c>
      <c r="F875" s="95">
        <v>559</v>
      </c>
    </row>
    <row r="876" spans="1:6">
      <c r="A876" s="95" t="s">
        <v>1780</v>
      </c>
      <c r="F876" s="95">
        <v>559</v>
      </c>
    </row>
    <row r="877" spans="1:6">
      <c r="A877" s="95" t="s">
        <v>711</v>
      </c>
      <c r="F877" s="95">
        <v>559</v>
      </c>
    </row>
    <row r="878" spans="1:6">
      <c r="A878" s="95" t="s">
        <v>1781</v>
      </c>
      <c r="F878" s="95">
        <v>559</v>
      </c>
    </row>
    <row r="879" spans="1:6">
      <c r="A879" s="95" t="s">
        <v>1782</v>
      </c>
      <c r="F879" s="95">
        <v>559</v>
      </c>
    </row>
    <row r="880" spans="1:6">
      <c r="A880" s="95" t="s">
        <v>1783</v>
      </c>
      <c r="E880" s="95" t="str">
        <f t="shared" si="8"/>
        <v>Kitezi</v>
      </c>
      <c r="F880" s="95">
        <v>559</v>
      </c>
    </row>
    <row r="881" spans="1:6">
      <c r="A881" s="95" t="s">
        <v>1784</v>
      </c>
      <c r="F881" s="95">
        <v>559</v>
      </c>
    </row>
    <row r="882" spans="1:6">
      <c r="A882" s="95" t="s">
        <v>1785</v>
      </c>
      <c r="F882" s="95">
        <v>559</v>
      </c>
    </row>
    <row r="883" spans="1:6">
      <c r="A883" s="95" t="s">
        <v>392</v>
      </c>
      <c r="F883" s="95">
        <v>559</v>
      </c>
    </row>
    <row r="884" spans="1:6">
      <c r="A884" s="95" t="s">
        <v>1786</v>
      </c>
      <c r="B884" s="95" t="s">
        <v>1460</v>
      </c>
      <c r="C884" s="95" t="s">
        <v>1461</v>
      </c>
      <c r="D884" s="95" t="s">
        <v>1492</v>
      </c>
      <c r="E884" s="95" t="str">
        <f t="shared" si="8"/>
        <v>Mulago</v>
      </c>
      <c r="F884" s="95">
        <v>560</v>
      </c>
    </row>
    <row r="885" spans="1:6">
      <c r="A885" s="95" t="s">
        <v>1787</v>
      </c>
      <c r="F885" s="95">
        <v>560</v>
      </c>
    </row>
    <row r="886" spans="1:6">
      <c r="A886" s="95" t="s">
        <v>1788</v>
      </c>
      <c r="F886" s="95">
        <v>560</v>
      </c>
    </row>
    <row r="887" spans="1:6">
      <c r="A887" s="95" t="s">
        <v>1789</v>
      </c>
      <c r="F887" s="95">
        <v>560</v>
      </c>
    </row>
    <row r="888" spans="1:6">
      <c r="A888" s="95" t="s">
        <v>1790</v>
      </c>
      <c r="F888" s="95">
        <v>560</v>
      </c>
    </row>
    <row r="889" spans="1:6">
      <c r="A889" s="96" t="s">
        <v>1791</v>
      </c>
      <c r="B889" s="95" t="s">
        <v>1460</v>
      </c>
      <c r="C889" s="95" t="s">
        <v>1461</v>
      </c>
      <c r="D889" s="95" t="s">
        <v>1483</v>
      </c>
      <c r="E889" s="95" t="str">
        <f t="shared" si="8"/>
        <v>Mutundwe</v>
      </c>
      <c r="F889" s="95">
        <v>561</v>
      </c>
    </row>
    <row r="890" spans="1:6">
      <c r="A890" s="96" t="s">
        <v>1792</v>
      </c>
      <c r="F890" s="95">
        <v>561</v>
      </c>
    </row>
    <row r="891" spans="1:6">
      <c r="A891" s="96" t="s">
        <v>1793</v>
      </c>
      <c r="B891" s="95" t="s">
        <v>1460</v>
      </c>
      <c r="C891" s="95" t="s">
        <v>1461</v>
      </c>
      <c r="D891" s="95" t="s">
        <v>1462</v>
      </c>
      <c r="E891" s="95" t="str">
        <f t="shared" si="8"/>
        <v>Mutungo</v>
      </c>
      <c r="F891" s="95">
        <v>562</v>
      </c>
    </row>
    <row r="892" spans="1:6">
      <c r="A892" s="96" t="s">
        <v>1794</v>
      </c>
      <c r="F892" s="95">
        <v>562</v>
      </c>
    </row>
    <row r="893" spans="1:6">
      <c r="A893" s="96" t="s">
        <v>1795</v>
      </c>
      <c r="F893" s="95">
        <v>562</v>
      </c>
    </row>
    <row r="894" spans="1:6">
      <c r="A894" s="96" t="s">
        <v>1796</v>
      </c>
      <c r="E894" s="95" t="str">
        <f t="shared" si="8"/>
        <v>Mutungu</v>
      </c>
      <c r="F894" s="95">
        <v>562</v>
      </c>
    </row>
    <row r="895" spans="1:6">
      <c r="A895" s="96" t="s">
        <v>1797</v>
      </c>
      <c r="E895" s="95" t="str">
        <f t="shared" si="8"/>
        <v>Kitiko</v>
      </c>
      <c r="F895" s="95">
        <v>562</v>
      </c>
    </row>
    <row r="896" spans="1:6">
      <c r="A896" s="96" t="s">
        <v>1798</v>
      </c>
      <c r="E896" s="95" t="str">
        <f t="shared" si="8"/>
        <v>Mutugo</v>
      </c>
      <c r="F896" s="95">
        <v>562</v>
      </c>
    </row>
    <row r="897" spans="1:6">
      <c r="A897" s="95" t="s">
        <v>1799</v>
      </c>
      <c r="E897" s="95" t="str">
        <f t="shared" si="8"/>
        <v>BWEYA</v>
      </c>
      <c r="F897" s="95">
        <v>562</v>
      </c>
    </row>
    <row r="898" spans="1:6">
      <c r="A898" s="96" t="s">
        <v>1800</v>
      </c>
      <c r="E898" s="95" t="str">
        <f t="shared" si="8"/>
        <v>Kitintale</v>
      </c>
      <c r="F898" s="95">
        <v>562</v>
      </c>
    </row>
    <row r="899" spans="1:6">
      <c r="A899" s="96" t="s">
        <v>1801</v>
      </c>
      <c r="F899" s="95">
        <v>562</v>
      </c>
    </row>
    <row r="900" spans="1:6">
      <c r="A900" s="96" t="s">
        <v>1802</v>
      </c>
      <c r="F900" s="95">
        <v>562</v>
      </c>
    </row>
    <row r="901" spans="1:6">
      <c r="A901" s="96" t="s">
        <v>1803</v>
      </c>
      <c r="E901" s="95" t="str">
        <f t="shared" si="8"/>
        <v>Muntungo</v>
      </c>
      <c r="F901" s="95">
        <v>562</v>
      </c>
    </row>
    <row r="902" spans="1:6">
      <c r="A902" s="96" t="s">
        <v>1804</v>
      </c>
      <c r="B902" s="95" t="s">
        <v>1460</v>
      </c>
      <c r="C902" s="95" t="s">
        <v>1461</v>
      </c>
      <c r="D902" s="95" t="s">
        <v>1462</v>
      </c>
      <c r="E902" s="95" t="str">
        <f t="shared" si="8"/>
        <v>Nabisunsa</v>
      </c>
      <c r="F902" s="95">
        <v>563</v>
      </c>
    </row>
    <row r="903" spans="1:6">
      <c r="A903" s="96" t="s">
        <v>1805</v>
      </c>
      <c r="B903" s="95" t="s">
        <v>1460</v>
      </c>
      <c r="C903" s="95" t="s">
        <v>1461</v>
      </c>
      <c r="D903" s="95" t="s">
        <v>1462</v>
      </c>
      <c r="E903" s="95" t="str">
        <f t="shared" si="8"/>
        <v>Naguru</v>
      </c>
      <c r="F903" s="95">
        <v>564</v>
      </c>
    </row>
    <row r="904" spans="1:6">
      <c r="A904" s="95" t="s">
        <v>1806</v>
      </c>
      <c r="F904" s="95">
        <v>564</v>
      </c>
    </row>
    <row r="905" spans="1:6">
      <c r="A905" s="95" t="s">
        <v>1807</v>
      </c>
      <c r="F905" s="95">
        <v>564</v>
      </c>
    </row>
    <row r="906" spans="1:6">
      <c r="A906" s="95" t="s">
        <v>1808</v>
      </c>
      <c r="F906" s="95">
        <v>564</v>
      </c>
    </row>
    <row r="907" spans="1:6">
      <c r="A907" s="95" t="s">
        <v>1809</v>
      </c>
      <c r="F907" s="95">
        <v>564</v>
      </c>
    </row>
    <row r="908" spans="1:6">
      <c r="A908" s="95" t="s">
        <v>1810</v>
      </c>
      <c r="F908" s="95">
        <v>564</v>
      </c>
    </row>
    <row r="909" spans="1:6">
      <c r="A909" s="95" t="s">
        <v>1811</v>
      </c>
      <c r="F909" s="95">
        <v>564</v>
      </c>
    </row>
    <row r="910" spans="1:6">
      <c r="A910" s="95" t="s">
        <v>1812</v>
      </c>
      <c r="F910" s="95">
        <v>564</v>
      </c>
    </row>
    <row r="911" spans="1:6">
      <c r="A911" s="95" t="s">
        <v>1813</v>
      </c>
      <c r="F911" s="95">
        <v>564</v>
      </c>
    </row>
    <row r="912" spans="1:6">
      <c r="A912" s="95" t="s">
        <v>1814</v>
      </c>
      <c r="F912" s="95">
        <v>564</v>
      </c>
    </row>
    <row r="913" spans="1:6">
      <c r="A913" s="96" t="s">
        <v>1815</v>
      </c>
      <c r="B913" s="95" t="s">
        <v>1460</v>
      </c>
      <c r="C913" s="95" t="s">
        <v>1461</v>
      </c>
      <c r="D913" s="95" t="s">
        <v>1483</v>
      </c>
      <c r="E913" s="95" t="str">
        <f t="shared" si="8"/>
        <v>Najjanankumbi</v>
      </c>
      <c r="F913" s="95">
        <v>565</v>
      </c>
    </row>
    <row r="914" spans="1:6">
      <c r="A914" s="95" t="s">
        <v>1816</v>
      </c>
      <c r="F914" s="95">
        <v>565</v>
      </c>
    </row>
    <row r="915" spans="1:6">
      <c r="A915" s="95" t="s">
        <v>1817</v>
      </c>
      <c r="E915" s="95" t="str">
        <f t="shared" si="8"/>
        <v>Stella</v>
      </c>
      <c r="F915" s="95">
        <v>565</v>
      </c>
    </row>
    <row r="916" spans="1:6">
      <c r="A916" s="95" t="s">
        <v>1818</v>
      </c>
      <c r="F916" s="95">
        <v>565</v>
      </c>
    </row>
    <row r="917" spans="1:6">
      <c r="A917" s="95" t="s">
        <v>1819</v>
      </c>
      <c r="D917" s="95" t="s">
        <v>1483</v>
      </c>
      <c r="F917" s="95">
        <v>565</v>
      </c>
    </row>
    <row r="918" spans="1:6">
      <c r="A918" s="95" t="s">
        <v>1820</v>
      </c>
      <c r="D918" s="95" t="s">
        <v>1483</v>
      </c>
      <c r="F918" s="95">
        <v>565</v>
      </c>
    </row>
    <row r="919" spans="1:6">
      <c r="A919" s="95" t="s">
        <v>1821</v>
      </c>
      <c r="D919" s="95" t="s">
        <v>1483</v>
      </c>
      <c r="F919" s="95">
        <v>565</v>
      </c>
    </row>
    <row r="920" spans="1:6">
      <c r="A920" s="95" t="s">
        <v>1822</v>
      </c>
      <c r="F920" s="95">
        <v>565</v>
      </c>
    </row>
    <row r="921" spans="1:6">
      <c r="A921" s="95" t="s">
        <v>1823</v>
      </c>
      <c r="F921" s="95">
        <v>565</v>
      </c>
    </row>
    <row r="922" spans="1:6">
      <c r="A922" s="95" t="s">
        <v>1824</v>
      </c>
      <c r="F922" s="95">
        <v>565</v>
      </c>
    </row>
    <row r="923" spans="1:6">
      <c r="A923" s="95" t="s">
        <v>1825</v>
      </c>
      <c r="F923" s="95">
        <v>565</v>
      </c>
    </row>
    <row r="924" spans="1:6">
      <c r="A924" s="95" t="s">
        <v>1826</v>
      </c>
      <c r="D924" s="95" t="s">
        <v>1483</v>
      </c>
      <c r="F924" s="95">
        <v>565</v>
      </c>
    </row>
    <row r="925" spans="1:6">
      <c r="A925" s="95" t="s">
        <v>1827</v>
      </c>
      <c r="F925" s="95">
        <v>565</v>
      </c>
    </row>
    <row r="926" spans="1:6">
      <c r="A926" s="96" t="s">
        <v>1828</v>
      </c>
      <c r="D926" s="95" t="s">
        <v>1483</v>
      </c>
      <c r="E926" s="95" t="str">
        <f t="shared" si="8"/>
        <v>Nalukolongo</v>
      </c>
      <c r="F926" s="95">
        <v>565</v>
      </c>
    </row>
    <row r="927" spans="1:6">
      <c r="A927" s="95" t="s">
        <v>1829</v>
      </c>
      <c r="F927" s="95">
        <v>565</v>
      </c>
    </row>
    <row r="928" spans="1:6">
      <c r="A928" s="95" t="s">
        <v>1830</v>
      </c>
      <c r="D928" s="95" t="s">
        <v>1483</v>
      </c>
      <c r="F928" s="95">
        <v>565</v>
      </c>
    </row>
    <row r="929" spans="1:6">
      <c r="A929" s="95" t="s">
        <v>1831</v>
      </c>
      <c r="F929" s="95">
        <v>565</v>
      </c>
    </row>
    <row r="930" spans="1:6">
      <c r="A930" s="95" t="s">
        <v>1832</v>
      </c>
      <c r="D930" s="95" t="s">
        <v>1483</v>
      </c>
      <c r="E930" s="95" t="str">
        <f t="shared" si="8"/>
        <v>Zana</v>
      </c>
      <c r="F930" s="95">
        <v>565</v>
      </c>
    </row>
    <row r="931" spans="1:6">
      <c r="A931" s="95" t="s">
        <v>1833</v>
      </c>
      <c r="F931" s="95">
        <v>565</v>
      </c>
    </row>
    <row r="932" spans="1:6">
      <c r="A932" s="95" t="s">
        <v>1834</v>
      </c>
      <c r="F932" s="95">
        <v>565</v>
      </c>
    </row>
    <row r="933" spans="1:6">
      <c r="A933" s="95" t="s">
        <v>1835</v>
      </c>
      <c r="D933" s="95" t="s">
        <v>1483</v>
      </c>
      <c r="E933" s="95" t="str">
        <f t="shared" si="8"/>
        <v>Namasuba</v>
      </c>
      <c r="F933" s="95">
        <v>565</v>
      </c>
    </row>
    <row r="934" spans="1:6">
      <c r="A934" s="97" t="s">
        <v>1836</v>
      </c>
      <c r="B934" s="95" t="s">
        <v>1460</v>
      </c>
      <c r="C934" s="95" t="s">
        <v>1461</v>
      </c>
      <c r="D934" s="95" t="s">
        <v>1475</v>
      </c>
      <c r="E934" s="95" t="str">
        <f t="shared" si="8"/>
        <v>Nakasero</v>
      </c>
      <c r="F934" s="95">
        <v>566</v>
      </c>
    </row>
    <row r="935" spans="1:6">
      <c r="A935" s="95" t="s">
        <v>1837</v>
      </c>
      <c r="F935" s="95">
        <v>566</v>
      </c>
    </row>
    <row r="936" spans="1:6">
      <c r="A936" s="95" t="s">
        <v>1838</v>
      </c>
      <c r="F936" s="95">
        <v>566</v>
      </c>
    </row>
    <row r="937" spans="1:6">
      <c r="A937" s="95" t="s">
        <v>1839</v>
      </c>
      <c r="F937" s="95">
        <v>566</v>
      </c>
    </row>
    <row r="938" spans="1:6">
      <c r="A938" s="95" t="s">
        <v>689</v>
      </c>
      <c r="F938" s="95">
        <v>566</v>
      </c>
    </row>
    <row r="939" spans="1:6">
      <c r="A939" s="95" t="s">
        <v>1840</v>
      </c>
      <c r="F939" s="95">
        <v>566</v>
      </c>
    </row>
    <row r="940" spans="1:6">
      <c r="A940" s="95" t="s">
        <v>1841</v>
      </c>
      <c r="F940" s="95">
        <v>566</v>
      </c>
    </row>
    <row r="941" spans="1:6">
      <c r="A941" s="95" t="s">
        <v>1842</v>
      </c>
      <c r="E941" s="95" t="str">
        <f t="shared" si="8"/>
        <v>Usafi</v>
      </c>
      <c r="F941" s="95">
        <v>566</v>
      </c>
    </row>
    <row r="942" spans="1:6">
      <c r="A942" s="95" t="s">
        <v>1843</v>
      </c>
      <c r="E942" s="95" t="str">
        <f t="shared" si="8"/>
        <v>Rwenzori courts</v>
      </c>
      <c r="F942" s="95">
        <v>566</v>
      </c>
    </row>
    <row r="943" spans="1:6">
      <c r="A943" s="96" t="s">
        <v>1844</v>
      </c>
      <c r="B943" s="95" t="s">
        <v>1460</v>
      </c>
      <c r="C943" s="95" t="s">
        <v>1461</v>
      </c>
      <c r="D943" s="95" t="s">
        <v>1462</v>
      </c>
      <c r="E943" s="95" t="str">
        <f t="shared" si="8"/>
        <v>Nakawa</v>
      </c>
      <c r="F943" s="95">
        <v>567</v>
      </c>
    </row>
    <row r="944" spans="1:6">
      <c r="A944" s="96" t="s">
        <v>1845</v>
      </c>
      <c r="F944" s="95">
        <v>567</v>
      </c>
    </row>
    <row r="945" spans="1:6" ht="25.5">
      <c r="A945" s="96" t="s">
        <v>1846</v>
      </c>
      <c r="F945" s="95">
        <v>567</v>
      </c>
    </row>
    <row r="946" spans="1:6">
      <c r="A946" s="96" t="s">
        <v>1847</v>
      </c>
      <c r="F946" s="95">
        <v>567</v>
      </c>
    </row>
    <row r="947" spans="1:6">
      <c r="A947" s="96" t="s">
        <v>1848</v>
      </c>
      <c r="E947" s="95" t="str">
        <f t="shared" si="8"/>
        <v>Nakawa stage</v>
      </c>
      <c r="F947" s="95">
        <v>567</v>
      </c>
    </row>
    <row r="948" spans="1:6">
      <c r="A948" s="96" t="s">
        <v>1849</v>
      </c>
      <c r="E948" s="95" t="str">
        <f t="shared" si="8"/>
        <v>Kinawataka</v>
      </c>
      <c r="F948" s="95">
        <v>567</v>
      </c>
    </row>
    <row r="949" spans="1:6">
      <c r="A949" s="96" t="s">
        <v>1850</v>
      </c>
      <c r="E949" s="95" t="str">
        <f t="shared" si="8"/>
        <v>UNRA</v>
      </c>
      <c r="F949" s="95">
        <v>567</v>
      </c>
    </row>
    <row r="950" spans="1:6">
      <c r="A950" s="96" t="s">
        <v>1851</v>
      </c>
      <c r="F950" s="95">
        <v>567</v>
      </c>
    </row>
    <row r="951" spans="1:6">
      <c r="A951" s="96" t="s">
        <v>1852</v>
      </c>
      <c r="E951" s="95" t="str">
        <f t="shared" si="8"/>
        <v>URA</v>
      </c>
      <c r="F951" s="95">
        <v>567</v>
      </c>
    </row>
    <row r="952" spans="1:6">
      <c r="A952" s="96" t="s">
        <v>1853</v>
      </c>
      <c r="B952" s="95" t="s">
        <v>1460</v>
      </c>
      <c r="C952" s="95" t="s">
        <v>1461</v>
      </c>
      <c r="D952" s="95" t="s">
        <v>1462</v>
      </c>
      <c r="E952" s="95" t="str">
        <f t="shared" si="8"/>
        <v>Nakawa Institute</v>
      </c>
      <c r="F952" s="95">
        <v>568</v>
      </c>
    </row>
    <row r="953" spans="1:6">
      <c r="A953" s="95" t="s">
        <v>1854</v>
      </c>
      <c r="B953" s="95" t="s">
        <v>1460</v>
      </c>
      <c r="C953" s="95" t="s">
        <v>1461</v>
      </c>
      <c r="D953" s="95" t="s">
        <v>1475</v>
      </c>
      <c r="E953" s="95" t="str">
        <f t="shared" si="8"/>
        <v>Nakivubo Shauriyaako</v>
      </c>
      <c r="F953" s="95">
        <v>569</v>
      </c>
    </row>
    <row r="954" spans="1:6">
      <c r="A954" s="95" t="s">
        <v>1855</v>
      </c>
      <c r="E954" s="95" t="str">
        <f t="shared" si="8"/>
        <v>Nakivubo</v>
      </c>
      <c r="F954" s="95">
        <v>569</v>
      </c>
    </row>
    <row r="955" spans="1:6">
      <c r="A955" s="96" t="s">
        <v>1856</v>
      </c>
      <c r="B955" s="95" t="s">
        <v>1460</v>
      </c>
      <c r="C955" s="95" t="s">
        <v>1461</v>
      </c>
      <c r="D955" s="95" t="s">
        <v>1483</v>
      </c>
      <c r="E955" s="95" t="str">
        <f t="shared" si="8"/>
        <v>Namirembe</v>
      </c>
      <c r="F955" s="95">
        <v>570</v>
      </c>
    </row>
    <row r="956" spans="1:6">
      <c r="A956" s="96" t="s">
        <v>1857</v>
      </c>
      <c r="E956" s="95" t="str">
        <f t="shared" si="8"/>
        <v>Bakuli</v>
      </c>
      <c r="F956" s="95">
        <v>570</v>
      </c>
    </row>
    <row r="957" spans="1:6">
      <c r="A957" s="96" t="s">
        <v>1858</v>
      </c>
      <c r="E957" s="95" t="str">
        <f t="shared" si="8"/>
        <v>Bukuli</v>
      </c>
      <c r="F957" s="95">
        <v>570</v>
      </c>
    </row>
    <row r="958" spans="1:6">
      <c r="A958" s="96" t="s">
        <v>1859</v>
      </c>
      <c r="F958" s="95">
        <v>570</v>
      </c>
    </row>
    <row r="959" spans="1:6">
      <c r="A959" s="96" t="s">
        <v>1860</v>
      </c>
      <c r="B959" s="95" t="s">
        <v>1460</v>
      </c>
      <c r="C959" s="95" t="s">
        <v>1461</v>
      </c>
      <c r="D959" s="95" t="s">
        <v>1483</v>
      </c>
      <c r="E959" s="95" t="str">
        <f t="shared" si="8"/>
        <v>Nankulabye</v>
      </c>
      <c r="F959" s="95">
        <v>571</v>
      </c>
    </row>
    <row r="960" spans="1:6">
      <c r="A960" s="96" t="s">
        <v>1861</v>
      </c>
      <c r="E960" s="95" t="str">
        <f t="shared" si="8"/>
        <v>Nakulabye</v>
      </c>
      <c r="F960" s="95">
        <v>571</v>
      </c>
    </row>
    <row r="961" spans="1:6">
      <c r="A961" s="96" t="s">
        <v>1862</v>
      </c>
      <c r="F961" s="95">
        <v>571</v>
      </c>
    </row>
    <row r="962" spans="1:6">
      <c r="A962" s="96" t="s">
        <v>1864</v>
      </c>
      <c r="B962" s="95" t="s">
        <v>1460</v>
      </c>
      <c r="C962" s="95" t="s">
        <v>1461</v>
      </c>
      <c r="D962" s="95" t="s">
        <v>1483</v>
      </c>
      <c r="E962" s="95" t="str">
        <f t="shared" si="8"/>
        <v>Nateete</v>
      </c>
      <c r="F962" s="95">
        <v>572</v>
      </c>
    </row>
    <row r="963" spans="1:6">
      <c r="A963" s="96" t="s">
        <v>1865</v>
      </c>
      <c r="E963" s="95" t="str">
        <f t="shared" si="8"/>
        <v>Natete</v>
      </c>
      <c r="F963" s="95">
        <v>572</v>
      </c>
    </row>
    <row r="964" spans="1:6">
      <c r="A964" s="96" t="s">
        <v>1866</v>
      </c>
      <c r="B964" s="95" t="s">
        <v>1460</v>
      </c>
      <c r="C964" s="95" t="s">
        <v>1461</v>
      </c>
      <c r="D964" s="95" t="s">
        <v>1483</v>
      </c>
      <c r="E964" s="95" t="str">
        <f t="shared" ref="E964:E1009" si="9">A964</f>
        <v>Ndeeba</v>
      </c>
      <c r="F964" s="95">
        <v>573</v>
      </c>
    </row>
    <row r="965" spans="1:6">
      <c r="A965" s="96" t="s">
        <v>1867</v>
      </c>
      <c r="F965" s="95">
        <v>573</v>
      </c>
    </row>
    <row r="966" spans="1:6">
      <c r="A966" s="96" t="s">
        <v>1868</v>
      </c>
      <c r="E966" s="95" t="str">
        <f t="shared" si="9"/>
        <v>Mundebba</v>
      </c>
      <c r="F966" s="95">
        <v>573</v>
      </c>
    </row>
    <row r="967" spans="1:6">
      <c r="A967" s="96" t="s">
        <v>1869</v>
      </c>
      <c r="E967" s="95" t="str">
        <f t="shared" si="9"/>
        <v>Ndeba</v>
      </c>
      <c r="F967" s="95">
        <v>573</v>
      </c>
    </row>
    <row r="968" spans="1:6">
      <c r="A968" s="96" t="s">
        <v>1870</v>
      </c>
      <c r="B968" s="95" t="s">
        <v>1460</v>
      </c>
      <c r="C968" s="95" t="s">
        <v>1461</v>
      </c>
      <c r="D968" s="95" t="s">
        <v>1472</v>
      </c>
      <c r="E968" s="95" t="str">
        <f t="shared" si="9"/>
        <v>Nsambya</v>
      </c>
      <c r="F968" s="95">
        <v>574</v>
      </c>
    </row>
    <row r="969" spans="1:6">
      <c r="A969" s="95" t="s">
        <v>1871</v>
      </c>
      <c r="E969" s="95" t="str">
        <f t="shared" si="9"/>
        <v>Nsambya hospital</v>
      </c>
      <c r="F969" s="95">
        <v>574</v>
      </c>
    </row>
    <row r="970" spans="1:6">
      <c r="A970" s="95" t="s">
        <v>1872</v>
      </c>
      <c r="E970" s="95" t="str">
        <f t="shared" si="9"/>
        <v>Nsamya hospital</v>
      </c>
      <c r="F970" s="95">
        <v>574</v>
      </c>
    </row>
    <row r="971" spans="1:6">
      <c r="A971" s="95" t="s">
        <v>1873</v>
      </c>
      <c r="F971" s="95">
        <v>574</v>
      </c>
    </row>
    <row r="972" spans="1:6">
      <c r="A972" s="95" t="s">
        <v>1874</v>
      </c>
      <c r="F972" s="95">
        <v>574</v>
      </c>
    </row>
    <row r="973" spans="1:6">
      <c r="A973" s="96" t="s">
        <v>1875</v>
      </c>
      <c r="B973" s="95" t="s">
        <v>1460</v>
      </c>
      <c r="C973" s="95" t="s">
        <v>1461</v>
      </c>
      <c r="D973" s="95" t="s">
        <v>1472</v>
      </c>
      <c r="E973" s="95" t="str">
        <f t="shared" si="9"/>
        <v>Nsambya Police Barracks</v>
      </c>
      <c r="F973" s="95">
        <v>575</v>
      </c>
    </row>
    <row r="974" spans="1:6">
      <c r="A974" s="96" t="s">
        <v>1876</v>
      </c>
      <c r="B974" s="95" t="s">
        <v>1460</v>
      </c>
      <c r="C974" s="95" t="s">
        <v>1461</v>
      </c>
      <c r="D974" s="95" t="s">
        <v>1472</v>
      </c>
      <c r="E974" s="95" t="str">
        <f t="shared" si="9"/>
        <v>Nsambya Railway</v>
      </c>
      <c r="F974" s="95">
        <v>576</v>
      </c>
    </row>
    <row r="975" spans="1:6">
      <c r="A975" s="96" t="s">
        <v>1877</v>
      </c>
      <c r="B975" s="95" t="s">
        <v>1460</v>
      </c>
      <c r="C975" s="95" t="s">
        <v>1461</v>
      </c>
      <c r="D975" s="95" t="s">
        <v>1462</v>
      </c>
      <c r="E975" s="95" t="str">
        <f t="shared" si="9"/>
        <v>Ntinda</v>
      </c>
      <c r="F975" s="95">
        <v>577</v>
      </c>
    </row>
    <row r="976" spans="1:6" ht="25.5">
      <c r="A976" s="96" t="s">
        <v>1878</v>
      </c>
      <c r="F976" s="95">
        <v>577</v>
      </c>
    </row>
    <row r="977" spans="1:6">
      <c r="A977" s="96" t="s">
        <v>1879</v>
      </c>
      <c r="F977" s="95">
        <v>577</v>
      </c>
    </row>
    <row r="978" spans="1:6">
      <c r="A978" s="96" t="s">
        <v>1880</v>
      </c>
      <c r="F978" s="95">
        <v>577</v>
      </c>
    </row>
    <row r="979" spans="1:6">
      <c r="A979" s="96" t="s">
        <v>1881</v>
      </c>
      <c r="F979" s="95">
        <v>577</v>
      </c>
    </row>
    <row r="980" spans="1:6">
      <c r="A980" s="96" t="s">
        <v>1882</v>
      </c>
      <c r="E980" s="95" t="str">
        <f t="shared" si="9"/>
        <v>Kisasi</v>
      </c>
      <c r="F980" s="95">
        <v>577</v>
      </c>
    </row>
    <row r="981" spans="1:6">
      <c r="A981" s="95" t="s">
        <v>371</v>
      </c>
      <c r="F981" s="95">
        <v>577</v>
      </c>
    </row>
    <row r="982" spans="1:6">
      <c r="A982" s="95" t="s">
        <v>1883</v>
      </c>
      <c r="F982" s="95">
        <v>577</v>
      </c>
    </row>
    <row r="983" spans="1:6">
      <c r="A983" s="95" t="s">
        <v>1884</v>
      </c>
      <c r="F983" s="95">
        <v>577</v>
      </c>
    </row>
    <row r="984" spans="1:6">
      <c r="A984" s="95" t="s">
        <v>1885</v>
      </c>
      <c r="F984" s="95">
        <v>577</v>
      </c>
    </row>
    <row r="985" spans="1:6">
      <c r="A985" s="95" t="s">
        <v>1886</v>
      </c>
      <c r="F985" s="95">
        <v>577</v>
      </c>
    </row>
    <row r="986" spans="1:6">
      <c r="A986" s="95" t="s">
        <v>1887</v>
      </c>
      <c r="B986" s="95" t="s">
        <v>1460</v>
      </c>
      <c r="C986" s="95" t="s">
        <v>1461</v>
      </c>
      <c r="D986" s="95" t="s">
        <v>1475</v>
      </c>
      <c r="E986" s="95" t="str">
        <f t="shared" si="9"/>
        <v>Old Kampala</v>
      </c>
      <c r="F986" s="95">
        <v>578</v>
      </c>
    </row>
    <row r="987" spans="1:6">
      <c r="A987" s="95" t="s">
        <v>1888</v>
      </c>
      <c r="F987" s="95">
        <v>578</v>
      </c>
    </row>
    <row r="988" spans="1:6">
      <c r="A988" s="95" t="s">
        <v>1889</v>
      </c>
      <c r="E988" s="95" t="str">
        <f t="shared" si="9"/>
        <v>Kiseka</v>
      </c>
      <c r="F988" s="95">
        <v>578</v>
      </c>
    </row>
    <row r="989" spans="1:6">
      <c r="A989" s="95" t="s">
        <v>446</v>
      </c>
      <c r="F989" s="95">
        <v>578</v>
      </c>
    </row>
    <row r="990" spans="1:6">
      <c r="A990" s="96" t="s">
        <v>1890</v>
      </c>
      <c r="B990" s="95" t="s">
        <v>1460</v>
      </c>
      <c r="C990" s="95" t="s">
        <v>1461</v>
      </c>
      <c r="D990" s="95" t="s">
        <v>1472</v>
      </c>
      <c r="E990" s="95" t="str">
        <f t="shared" si="9"/>
        <v>Salaama</v>
      </c>
      <c r="F990" s="95">
        <v>579</v>
      </c>
    </row>
    <row r="991" spans="1:6">
      <c r="A991" s="96" t="s">
        <v>1891</v>
      </c>
      <c r="E991" s="95" t="str">
        <f t="shared" si="9"/>
        <v>Saalama</v>
      </c>
      <c r="F991" s="95">
        <v>579</v>
      </c>
    </row>
    <row r="992" spans="1:6">
      <c r="A992" s="96" t="s">
        <v>1892</v>
      </c>
      <c r="E992" s="95" t="str">
        <f t="shared" si="9"/>
        <v>Busiga</v>
      </c>
      <c r="F992" s="95">
        <v>579</v>
      </c>
    </row>
    <row r="993" spans="1:6">
      <c r="A993" s="96" t="s">
        <v>1893</v>
      </c>
      <c r="E993" s="95" t="str">
        <f t="shared" si="9"/>
        <v>Kyamula</v>
      </c>
      <c r="F993" s="95">
        <v>579</v>
      </c>
    </row>
    <row r="994" spans="1:6">
      <c r="A994" s="96" t="s">
        <v>1894</v>
      </c>
      <c r="F994" s="95">
        <v>579</v>
      </c>
    </row>
    <row r="995" spans="1:6">
      <c r="A995" s="96" t="s">
        <v>1895</v>
      </c>
      <c r="E995" s="95" t="str">
        <f t="shared" si="9"/>
        <v>Salama</v>
      </c>
      <c r="F995" s="95">
        <v>579</v>
      </c>
    </row>
    <row r="996" spans="1:6">
      <c r="A996" s="96" t="s">
        <v>1896</v>
      </c>
      <c r="E996" s="95" t="str">
        <f t="shared" si="9"/>
        <v>Wavamuno road</v>
      </c>
      <c r="F996" s="95">
        <v>579</v>
      </c>
    </row>
    <row r="997" spans="1:6">
      <c r="A997" s="96" t="s">
        <v>1897</v>
      </c>
      <c r="E997" s="95" t="str">
        <f t="shared" si="9"/>
        <v>Salaama road</v>
      </c>
      <c r="F997" s="95">
        <v>579</v>
      </c>
    </row>
    <row r="998" spans="1:6">
      <c r="A998" s="96" t="s">
        <v>1898</v>
      </c>
      <c r="E998" s="95" t="str">
        <f t="shared" si="9"/>
        <v>Salama road</v>
      </c>
      <c r="F998" s="95">
        <v>579</v>
      </c>
    </row>
    <row r="999" spans="1:6">
      <c r="A999" s="96" t="s">
        <v>1899</v>
      </c>
      <c r="E999" s="95" t="str">
        <f t="shared" si="9"/>
        <v>Kulekaana</v>
      </c>
      <c r="F999" s="95">
        <v>579</v>
      </c>
    </row>
    <row r="1000" spans="1:6">
      <c r="A1000" s="96" t="s">
        <v>1900</v>
      </c>
      <c r="B1000" s="95" t="s">
        <v>1460</v>
      </c>
      <c r="C1000" s="95" t="s">
        <v>1461</v>
      </c>
      <c r="D1000" s="95" t="s">
        <v>1462</v>
      </c>
      <c r="E1000" s="95" t="str">
        <f t="shared" si="9"/>
        <v>Upk</v>
      </c>
      <c r="F1000" s="95">
        <v>580</v>
      </c>
    </row>
    <row r="1001" spans="1:6">
      <c r="A1001" s="96" t="s">
        <v>1901</v>
      </c>
      <c r="B1001" s="95" t="s">
        <v>1460</v>
      </c>
      <c r="C1001" s="95" t="s">
        <v>1461</v>
      </c>
      <c r="D1001" s="95" t="s">
        <v>1462</v>
      </c>
      <c r="E1001" s="95" t="str">
        <f t="shared" si="9"/>
        <v>Upper Estate</v>
      </c>
      <c r="F1001" s="95">
        <v>581</v>
      </c>
    </row>
    <row r="1002" spans="1:6">
      <c r="A1002" s="96" t="s">
        <v>1902</v>
      </c>
      <c r="B1002" s="95" t="s">
        <v>1460</v>
      </c>
      <c r="C1002" s="95" t="s">
        <v>1461</v>
      </c>
      <c r="D1002" s="95" t="s">
        <v>1472</v>
      </c>
      <c r="E1002" s="95" t="str">
        <f t="shared" si="9"/>
        <v>Wabigalo</v>
      </c>
      <c r="F1002" s="95">
        <v>582</v>
      </c>
    </row>
    <row r="1003" spans="1:6">
      <c r="A1003" s="95" t="s">
        <v>1903</v>
      </c>
      <c r="B1003" s="95" t="s">
        <v>1460</v>
      </c>
      <c r="C1003" s="95" t="s">
        <v>1461</v>
      </c>
      <c r="D1003" s="95" t="s">
        <v>1492</v>
      </c>
      <c r="E1003" s="95" t="str">
        <f t="shared" si="9"/>
        <v>Wandegeya</v>
      </c>
      <c r="F1003" s="95">
        <v>583</v>
      </c>
    </row>
    <row r="1004" spans="1:6">
      <c r="A1004" s="95" t="s">
        <v>1904</v>
      </c>
      <c r="F1004" s="95">
        <v>583</v>
      </c>
    </row>
    <row r="1005" spans="1:6">
      <c r="A1005" s="95" t="s">
        <v>1905</v>
      </c>
      <c r="E1005" s="95" t="str">
        <f t="shared" si="9"/>
        <v>Kavule</v>
      </c>
      <c r="F1005" s="95">
        <v>583</v>
      </c>
    </row>
    <row r="1006" spans="1:6">
      <c r="A1006" s="95" t="s">
        <v>1906</v>
      </c>
      <c r="E1006" s="95" t="str">
        <f t="shared" si="9"/>
        <v xml:space="preserve">WANDEYA </v>
      </c>
      <c r="F1006" s="95">
        <v>583</v>
      </c>
    </row>
    <row r="1007" spans="1:6">
      <c r="A1007" s="95" t="s">
        <v>1907</v>
      </c>
      <c r="E1007" s="95" t="str">
        <f t="shared" si="9"/>
        <v>Wandekeya</v>
      </c>
      <c r="F1007" s="95">
        <v>583</v>
      </c>
    </row>
    <row r="1008" spans="1:6">
      <c r="A1008" s="95" t="s">
        <v>1908</v>
      </c>
      <c r="E1008" s="95" t="str">
        <f t="shared" si="9"/>
        <v>Bombo road</v>
      </c>
      <c r="F1008" s="95">
        <v>583</v>
      </c>
    </row>
    <row r="1009" spans="1:6">
      <c r="A1009" s="95" t="s">
        <v>1909</v>
      </c>
      <c r="E1009" s="95" t="str">
        <f t="shared" si="9"/>
        <v>Case Hospital</v>
      </c>
      <c r="F1009" s="95">
        <v>583</v>
      </c>
    </row>
    <row r="1010" spans="1:6">
      <c r="A1010" s="95" t="s">
        <v>1910</v>
      </c>
      <c r="B1010" s="95" t="s">
        <v>1911</v>
      </c>
      <c r="C1010" s="95" t="s">
        <v>1912</v>
      </c>
      <c r="D1010" s="95" t="str">
        <f>A1010</f>
        <v>Balawoli</v>
      </c>
      <c r="F1010" s="95">
        <v>584</v>
      </c>
    </row>
    <row r="1011" spans="1:6">
      <c r="A1011" s="95" t="s">
        <v>1913</v>
      </c>
      <c r="B1011" s="95" t="s">
        <v>1911</v>
      </c>
      <c r="C1011" s="95" t="s">
        <v>1914</v>
      </c>
      <c r="D1011" s="95" t="str">
        <f t="shared" ref="D1011:D1076" si="10">A1011</f>
        <v>Bugulumbya</v>
      </c>
      <c r="F1011" s="95">
        <v>585</v>
      </c>
    </row>
    <row r="1012" spans="1:6">
      <c r="A1012" s="95" t="s">
        <v>1915</v>
      </c>
      <c r="B1012" s="95" t="s">
        <v>1911</v>
      </c>
      <c r="C1012" s="95" t="s">
        <v>1912</v>
      </c>
      <c r="D1012" s="95" t="str">
        <f t="shared" si="10"/>
        <v>Bulopa</v>
      </c>
      <c r="F1012" s="95">
        <v>586</v>
      </c>
    </row>
    <row r="1013" spans="1:6">
      <c r="A1013" s="95" t="s">
        <v>1916</v>
      </c>
      <c r="B1013" s="95" t="s">
        <v>1911</v>
      </c>
      <c r="C1013" s="95" t="s">
        <v>1912</v>
      </c>
      <c r="D1013" s="95" t="str">
        <f t="shared" si="10"/>
        <v>Butansi</v>
      </c>
      <c r="F1013" s="95">
        <v>587</v>
      </c>
    </row>
    <row r="1014" spans="1:6">
      <c r="A1014" s="95" t="s">
        <v>1917</v>
      </c>
      <c r="B1014" s="95" t="s">
        <v>1911</v>
      </c>
      <c r="C1014" s="95" t="s">
        <v>1917</v>
      </c>
      <c r="D1014" s="95" t="str">
        <f t="shared" si="10"/>
        <v>Kamuli Municipality</v>
      </c>
      <c r="F1014" s="95">
        <v>588</v>
      </c>
    </row>
    <row r="1015" spans="1:6">
      <c r="A1015" s="95" t="s">
        <v>1918</v>
      </c>
      <c r="B1015" s="95" t="s">
        <v>1911</v>
      </c>
      <c r="C1015" s="95" t="s">
        <v>1914</v>
      </c>
      <c r="D1015" s="95" t="str">
        <f t="shared" si="10"/>
        <v>Kisozi</v>
      </c>
      <c r="F1015" s="95">
        <v>589</v>
      </c>
    </row>
    <row r="1016" spans="1:6">
      <c r="A1016" s="95" t="s">
        <v>1919</v>
      </c>
      <c r="B1016" s="95" t="s">
        <v>1911</v>
      </c>
      <c r="C1016" s="95" t="s">
        <v>1912</v>
      </c>
      <c r="D1016" s="95" t="str">
        <f t="shared" si="10"/>
        <v>Kitayunjwa</v>
      </c>
      <c r="F1016" s="95">
        <v>590</v>
      </c>
    </row>
    <row r="1017" spans="1:6">
      <c r="A1017" s="95" t="s">
        <v>1920</v>
      </c>
      <c r="B1017" s="95" t="s">
        <v>1911</v>
      </c>
      <c r="C1017" s="95" t="s">
        <v>1914</v>
      </c>
      <c r="D1017" s="95" t="str">
        <f t="shared" si="10"/>
        <v>Mbulamuti</v>
      </c>
      <c r="F1017" s="95">
        <v>591</v>
      </c>
    </row>
    <row r="1018" spans="1:6">
      <c r="A1018" s="95" t="s">
        <v>1921</v>
      </c>
      <c r="B1018" s="95" t="s">
        <v>1911</v>
      </c>
      <c r="C1018" s="95" t="s">
        <v>1912</v>
      </c>
      <c r="D1018" s="95" t="str">
        <f t="shared" si="10"/>
        <v>Nabwigulu</v>
      </c>
      <c r="F1018" s="95">
        <v>592</v>
      </c>
    </row>
    <row r="1019" spans="1:6">
      <c r="A1019" s="95" t="s">
        <v>1922</v>
      </c>
      <c r="B1019" s="95" t="s">
        <v>1911</v>
      </c>
      <c r="C1019" s="95" t="s">
        <v>1912</v>
      </c>
      <c r="D1019" s="95" t="str">
        <f t="shared" si="10"/>
        <v>Namasagali</v>
      </c>
      <c r="F1019" s="95">
        <v>593</v>
      </c>
    </row>
    <row r="1020" spans="1:6">
      <c r="A1020" s="95" t="s">
        <v>1923</v>
      </c>
      <c r="B1020" s="95" t="s">
        <v>1911</v>
      </c>
      <c r="C1020" s="95" t="s">
        <v>1912</v>
      </c>
      <c r="D1020" s="95" t="str">
        <f t="shared" si="10"/>
        <v>Namwendwa</v>
      </c>
      <c r="F1020" s="95">
        <v>594</v>
      </c>
    </row>
    <row r="1021" spans="1:6">
      <c r="A1021" s="95" t="s">
        <v>1924</v>
      </c>
      <c r="B1021" s="95" t="s">
        <v>1911</v>
      </c>
      <c r="C1021" s="95" t="s">
        <v>1914</v>
      </c>
      <c r="D1021" s="95" t="str">
        <f t="shared" si="10"/>
        <v>Nawanyago</v>
      </c>
      <c r="F1021" s="95">
        <v>595</v>
      </c>
    </row>
    <row r="1022" spans="1:6">
      <c r="A1022" s="95" t="s">
        <v>1925</v>
      </c>
      <c r="B1022" s="95" t="s">
        <v>1911</v>
      </c>
      <c r="C1022" s="95" t="s">
        <v>1914</v>
      </c>
      <c r="D1022" s="95" t="str">
        <f t="shared" si="10"/>
        <v>Wankole</v>
      </c>
      <c r="F1022" s="95">
        <v>596</v>
      </c>
    </row>
    <row r="1023" spans="1:6">
      <c r="A1023" s="95" t="s">
        <v>1926</v>
      </c>
      <c r="B1023" s="95" t="s">
        <v>45</v>
      </c>
      <c r="C1023" s="95" t="s">
        <v>1198</v>
      </c>
      <c r="D1023" s="95" t="str">
        <f t="shared" si="10"/>
        <v>Biguli</v>
      </c>
      <c r="F1023" s="95">
        <v>597</v>
      </c>
    </row>
    <row r="1024" spans="1:6">
      <c r="A1024" s="95" t="s">
        <v>1927</v>
      </c>
      <c r="B1024" s="95" t="s">
        <v>45</v>
      </c>
      <c r="C1024" s="95" t="s">
        <v>1198</v>
      </c>
      <c r="D1024" s="95" t="str">
        <f t="shared" si="10"/>
        <v>Bihanga-Kamwenge</v>
      </c>
      <c r="F1024" s="95">
        <v>598</v>
      </c>
    </row>
    <row r="1025" spans="1:6">
      <c r="A1025" s="95" t="s">
        <v>1928</v>
      </c>
      <c r="B1025" s="95" t="s">
        <v>45</v>
      </c>
      <c r="C1025" s="95" t="s">
        <v>1929</v>
      </c>
      <c r="D1025" s="95" t="str">
        <f t="shared" si="10"/>
        <v>Buhanda</v>
      </c>
      <c r="F1025" s="95">
        <v>599</v>
      </c>
    </row>
    <row r="1026" spans="1:6">
      <c r="A1026" s="95" t="s">
        <v>1930</v>
      </c>
      <c r="B1026" s="95" t="s">
        <v>45</v>
      </c>
      <c r="C1026" s="95" t="s">
        <v>1198</v>
      </c>
      <c r="D1026" s="95" t="str">
        <f t="shared" si="10"/>
        <v>Busiriba</v>
      </c>
      <c r="F1026" s="95">
        <v>600</v>
      </c>
    </row>
    <row r="1027" spans="1:6">
      <c r="A1027" s="95" t="s">
        <v>1931</v>
      </c>
      <c r="B1027" s="95" t="s">
        <v>45</v>
      </c>
      <c r="C1027" s="95" t="s">
        <v>1198</v>
      </c>
      <c r="D1027" s="95" t="str">
        <f t="shared" si="10"/>
        <v>Bwizi</v>
      </c>
      <c r="F1027" s="95">
        <v>601</v>
      </c>
    </row>
    <row r="1028" spans="1:6">
      <c r="A1028" s="95" t="s">
        <v>1932</v>
      </c>
      <c r="B1028" s="95" t="s">
        <v>45</v>
      </c>
      <c r="C1028" s="95" t="s">
        <v>1198</v>
      </c>
      <c r="D1028" s="95" t="str">
        <f t="shared" si="10"/>
        <v>Kabambiro</v>
      </c>
      <c r="F1028" s="95">
        <v>602</v>
      </c>
    </row>
    <row r="1029" spans="1:6">
      <c r="A1029" s="95" t="s">
        <v>1933</v>
      </c>
      <c r="B1029" s="95" t="s">
        <v>45</v>
      </c>
      <c r="C1029" s="95" t="s">
        <v>1198</v>
      </c>
      <c r="D1029" s="95" t="str">
        <f t="shared" si="10"/>
        <v>Kahunge</v>
      </c>
      <c r="F1029" s="95">
        <v>603</v>
      </c>
    </row>
    <row r="1030" spans="1:6">
      <c r="A1030" s="95" t="s">
        <v>45</v>
      </c>
      <c r="B1030" s="95" t="s">
        <v>45</v>
      </c>
      <c r="C1030" s="95" t="s">
        <v>1198</v>
      </c>
      <c r="D1030" s="95" t="str">
        <f t="shared" si="10"/>
        <v>Kamwenge</v>
      </c>
      <c r="F1030" s="95">
        <v>604</v>
      </c>
    </row>
    <row r="1031" spans="1:6">
      <c r="A1031" s="95" t="s">
        <v>1934</v>
      </c>
      <c r="B1031" s="95" t="s">
        <v>45</v>
      </c>
      <c r="C1031" s="95" t="s">
        <v>1198</v>
      </c>
      <c r="D1031" s="95" t="str">
        <f t="shared" si="10"/>
        <v>Kamwenge Town Council</v>
      </c>
      <c r="F1031" s="95">
        <v>605</v>
      </c>
    </row>
    <row r="1032" spans="1:6">
      <c r="A1032" s="95" t="s">
        <v>1935</v>
      </c>
      <c r="B1032" s="95" t="s">
        <v>45</v>
      </c>
      <c r="C1032" s="95" t="s">
        <v>1929</v>
      </c>
      <c r="D1032" s="95" t="str">
        <f t="shared" si="10"/>
        <v>Kanara-Kamwenge</v>
      </c>
      <c r="F1032" s="95">
        <v>606</v>
      </c>
    </row>
    <row r="1033" spans="1:6">
      <c r="A1033" s="95" t="s">
        <v>1936</v>
      </c>
      <c r="B1033" s="95" t="s">
        <v>45</v>
      </c>
      <c r="C1033" s="95" t="s">
        <v>1929</v>
      </c>
      <c r="D1033" s="95" t="str">
        <f t="shared" si="10"/>
        <v>Kicheche</v>
      </c>
      <c r="F1033" s="95">
        <v>607</v>
      </c>
    </row>
    <row r="1034" spans="1:6">
      <c r="A1034" s="95" t="s">
        <v>1937</v>
      </c>
      <c r="B1034" s="95" t="s">
        <v>45</v>
      </c>
      <c r="C1034" s="95" t="s">
        <v>1929</v>
      </c>
      <c r="D1034" s="95" t="str">
        <f t="shared" si="10"/>
        <v>Mahyoro</v>
      </c>
      <c r="F1034" s="95">
        <v>608</v>
      </c>
    </row>
    <row r="1035" spans="1:6">
      <c r="A1035" s="95" t="s">
        <v>1938</v>
      </c>
      <c r="B1035" s="95" t="s">
        <v>45</v>
      </c>
      <c r="C1035" s="95" t="s">
        <v>1198</v>
      </c>
      <c r="D1035" s="95" t="str">
        <f t="shared" si="10"/>
        <v>Nkoma</v>
      </c>
      <c r="F1035" s="95">
        <v>609</v>
      </c>
    </row>
    <row r="1036" spans="1:6">
      <c r="A1036" s="95" t="s">
        <v>1939</v>
      </c>
      <c r="F1036" s="95">
        <v>609</v>
      </c>
    </row>
    <row r="1037" spans="1:6">
      <c r="A1037" s="95" t="s">
        <v>1940</v>
      </c>
      <c r="D1037" s="95" t="str">
        <f t="shared" si="10"/>
        <v>Kungu</v>
      </c>
      <c r="F1037" s="95">
        <v>609</v>
      </c>
    </row>
    <row r="1038" spans="1:6">
      <c r="A1038" s="95" t="s">
        <v>1941</v>
      </c>
      <c r="B1038" s="95" t="s">
        <v>45</v>
      </c>
      <c r="C1038" s="95" t="s">
        <v>1929</v>
      </c>
      <c r="D1038" s="95" t="str">
        <f t="shared" si="10"/>
        <v>Ntara</v>
      </c>
      <c r="F1038" s="95">
        <v>610</v>
      </c>
    </row>
    <row r="1039" spans="1:6">
      <c r="A1039" s="95" t="s">
        <v>1942</v>
      </c>
      <c r="B1039" s="95" t="s">
        <v>45</v>
      </c>
      <c r="C1039" s="95" t="s">
        <v>1929</v>
      </c>
      <c r="D1039" s="95" t="str">
        <f t="shared" si="10"/>
        <v>Nyabbani</v>
      </c>
      <c r="F1039" s="95">
        <v>611</v>
      </c>
    </row>
    <row r="1040" spans="1:6">
      <c r="A1040" s="95" t="s">
        <v>1943</v>
      </c>
      <c r="B1040" s="95" t="s">
        <v>45</v>
      </c>
      <c r="C1040" s="95" t="s">
        <v>1198</v>
      </c>
      <c r="D1040" s="95" t="str">
        <f t="shared" si="10"/>
        <v>Rwamwanja Refugee Camp</v>
      </c>
      <c r="F1040" s="95">
        <v>612</v>
      </c>
    </row>
    <row r="1041" spans="1:6">
      <c r="A1041" s="95" t="s">
        <v>1944</v>
      </c>
      <c r="B1041" s="95" t="s">
        <v>1945</v>
      </c>
      <c r="C1041" s="95" t="s">
        <v>1946</v>
      </c>
      <c r="D1041" s="95" t="str">
        <f t="shared" si="10"/>
        <v>Butogota Town Council</v>
      </c>
      <c r="F1041" s="95">
        <v>613</v>
      </c>
    </row>
    <row r="1042" spans="1:6">
      <c r="A1042" s="95" t="s">
        <v>1947</v>
      </c>
      <c r="B1042" s="95" t="s">
        <v>1945</v>
      </c>
      <c r="C1042" s="95" t="s">
        <v>1946</v>
      </c>
      <c r="D1042" s="95" t="str">
        <f t="shared" si="10"/>
        <v>Kambuga</v>
      </c>
      <c r="F1042" s="95">
        <v>614</v>
      </c>
    </row>
    <row r="1043" spans="1:6">
      <c r="A1043" s="95" t="s">
        <v>1948</v>
      </c>
      <c r="B1043" s="95" t="s">
        <v>1945</v>
      </c>
      <c r="C1043" s="95" t="s">
        <v>1946</v>
      </c>
      <c r="D1043" s="95" t="str">
        <f t="shared" si="10"/>
        <v>Kambuga Town Council</v>
      </c>
      <c r="F1043" s="95">
        <v>615</v>
      </c>
    </row>
    <row r="1044" spans="1:6">
      <c r="A1044" s="95" t="s">
        <v>1949</v>
      </c>
      <c r="B1044" s="95" t="s">
        <v>1945</v>
      </c>
      <c r="C1044" s="95" t="s">
        <v>1946</v>
      </c>
      <c r="D1044" s="95" t="str">
        <f t="shared" si="10"/>
        <v>Kanungu Town Council</v>
      </c>
      <c r="F1044" s="95">
        <v>616</v>
      </c>
    </row>
    <row r="1045" spans="1:6">
      <c r="A1045" s="95" t="s">
        <v>1950</v>
      </c>
      <c r="B1045" s="95" t="s">
        <v>1945</v>
      </c>
      <c r="C1045" s="95" t="s">
        <v>1946</v>
      </c>
      <c r="D1045" s="95" t="str">
        <f t="shared" si="10"/>
        <v>Kanyantorogo</v>
      </c>
      <c r="F1045" s="95">
        <v>617</v>
      </c>
    </row>
    <row r="1046" spans="1:6">
      <c r="A1046" s="95" t="s">
        <v>1951</v>
      </c>
      <c r="B1046" s="95" t="s">
        <v>1945</v>
      </c>
      <c r="C1046" s="95" t="s">
        <v>1946</v>
      </c>
      <c r="D1046" s="95" t="str">
        <f t="shared" si="10"/>
        <v>Katete</v>
      </c>
      <c r="F1046" s="95">
        <v>618</v>
      </c>
    </row>
    <row r="1047" spans="1:6">
      <c r="A1047" s="95" t="s">
        <v>1952</v>
      </c>
      <c r="B1047" s="95" t="s">
        <v>1945</v>
      </c>
      <c r="C1047" s="95" t="s">
        <v>1946</v>
      </c>
      <c r="D1047" s="95" t="str">
        <f t="shared" si="10"/>
        <v>Kayonza-Kanungu</v>
      </c>
      <c r="F1047" s="95">
        <v>619</v>
      </c>
    </row>
    <row r="1048" spans="1:6">
      <c r="A1048" s="95" t="s">
        <v>1953</v>
      </c>
      <c r="B1048" s="95" t="s">
        <v>1945</v>
      </c>
      <c r="C1048" s="95" t="s">
        <v>1946</v>
      </c>
      <c r="D1048" s="95" t="str">
        <f t="shared" si="10"/>
        <v>Kihihi</v>
      </c>
      <c r="F1048" s="95">
        <v>620</v>
      </c>
    </row>
    <row r="1049" spans="1:6">
      <c r="A1049" s="95" t="s">
        <v>1954</v>
      </c>
      <c r="B1049" s="95" t="s">
        <v>1945</v>
      </c>
      <c r="C1049" s="95" t="s">
        <v>1946</v>
      </c>
      <c r="D1049" s="95" t="str">
        <f t="shared" si="10"/>
        <v>Kihiihi Town Council</v>
      </c>
      <c r="F1049" s="95">
        <v>621</v>
      </c>
    </row>
    <row r="1050" spans="1:6">
      <c r="A1050" s="95" t="s">
        <v>1955</v>
      </c>
      <c r="B1050" s="95" t="s">
        <v>1945</v>
      </c>
      <c r="C1050" s="95" t="s">
        <v>1946</v>
      </c>
      <c r="D1050" s="95" t="str">
        <f t="shared" si="10"/>
        <v>Kinaaba</v>
      </c>
      <c r="F1050" s="95">
        <v>622</v>
      </c>
    </row>
    <row r="1051" spans="1:6">
      <c r="A1051" s="95" t="s">
        <v>1956</v>
      </c>
      <c r="B1051" s="95" t="s">
        <v>1945</v>
      </c>
      <c r="C1051" s="95" t="s">
        <v>1946</v>
      </c>
      <c r="D1051" s="95" t="str">
        <f t="shared" si="10"/>
        <v>Kirima</v>
      </c>
      <c r="F1051" s="95">
        <v>623</v>
      </c>
    </row>
    <row r="1052" spans="1:6">
      <c r="A1052" s="95" t="s">
        <v>1957</v>
      </c>
      <c r="B1052" s="95" t="s">
        <v>1945</v>
      </c>
      <c r="C1052" s="95" t="s">
        <v>1946</v>
      </c>
      <c r="D1052" s="95" t="str">
        <f t="shared" si="10"/>
        <v>Mpungu</v>
      </c>
      <c r="F1052" s="95">
        <v>624</v>
      </c>
    </row>
    <row r="1053" spans="1:6">
      <c r="A1053" s="95" t="s">
        <v>1958</v>
      </c>
      <c r="B1053" s="95" t="s">
        <v>1945</v>
      </c>
      <c r="C1053" s="95" t="s">
        <v>1946</v>
      </c>
      <c r="D1053" s="95" t="str">
        <f t="shared" si="10"/>
        <v>Nyakinoni</v>
      </c>
      <c r="F1053" s="95">
        <v>625</v>
      </c>
    </row>
    <row r="1054" spans="1:6">
      <c r="A1054" s="95" t="s">
        <v>1959</v>
      </c>
      <c r="B1054" s="95" t="s">
        <v>1945</v>
      </c>
      <c r="C1054" s="95" t="s">
        <v>1946</v>
      </c>
      <c r="D1054" s="95" t="str">
        <f t="shared" si="10"/>
        <v>Nyamirama</v>
      </c>
      <c r="F1054" s="95">
        <v>626</v>
      </c>
    </row>
    <row r="1055" spans="1:6">
      <c r="A1055" s="95" t="s">
        <v>1960</v>
      </c>
      <c r="B1055" s="95" t="s">
        <v>1945</v>
      </c>
      <c r="C1055" s="95" t="s">
        <v>1946</v>
      </c>
      <c r="D1055" s="95" t="str">
        <f t="shared" si="10"/>
        <v>Nyanga</v>
      </c>
      <c r="F1055" s="95">
        <v>627</v>
      </c>
    </row>
    <row r="1056" spans="1:6">
      <c r="A1056" s="95" t="s">
        <v>1961</v>
      </c>
      <c r="B1056" s="95" t="s">
        <v>1945</v>
      </c>
      <c r="C1056" s="95" t="s">
        <v>1946</v>
      </c>
      <c r="D1056" s="95" t="str">
        <f t="shared" si="10"/>
        <v>Rugyeyo</v>
      </c>
      <c r="F1056" s="95">
        <v>628</v>
      </c>
    </row>
    <row r="1057" spans="1:6">
      <c r="A1057" s="95" t="s">
        <v>1962</v>
      </c>
      <c r="B1057" s="95" t="s">
        <v>1945</v>
      </c>
      <c r="C1057" s="95" t="s">
        <v>1946</v>
      </c>
      <c r="D1057" s="95" t="str">
        <f t="shared" si="10"/>
        <v>Rutenga</v>
      </c>
      <c r="F1057" s="95">
        <v>629</v>
      </c>
    </row>
    <row r="1058" spans="1:6">
      <c r="A1058" s="95" t="s">
        <v>1963</v>
      </c>
      <c r="B1058" s="95" t="s">
        <v>1964</v>
      </c>
      <c r="C1058" s="95" t="s">
        <v>1965</v>
      </c>
      <c r="D1058" s="95" t="str">
        <f t="shared" si="10"/>
        <v>Amukol</v>
      </c>
      <c r="F1058" s="95">
        <v>630</v>
      </c>
    </row>
    <row r="1059" spans="1:6">
      <c r="A1059" s="95" t="s">
        <v>1966</v>
      </c>
      <c r="B1059" s="95" t="s">
        <v>1964</v>
      </c>
      <c r="C1059" s="95" t="s">
        <v>1965</v>
      </c>
      <c r="D1059" s="95" t="str">
        <f t="shared" si="10"/>
        <v>Chema</v>
      </c>
      <c r="F1059" s="95">
        <v>631</v>
      </c>
    </row>
    <row r="1060" spans="1:6">
      <c r="A1060" s="95" t="s">
        <v>1967</v>
      </c>
      <c r="B1060" s="95" t="s">
        <v>1964</v>
      </c>
      <c r="C1060" s="95" t="s">
        <v>1965</v>
      </c>
      <c r="D1060" s="95" t="str">
        <f t="shared" si="10"/>
        <v>Chepterech</v>
      </c>
      <c r="F1060" s="95">
        <v>632</v>
      </c>
    </row>
    <row r="1061" spans="1:6">
      <c r="A1061" s="95" t="s">
        <v>1968</v>
      </c>
      <c r="B1061" s="95" t="s">
        <v>1964</v>
      </c>
      <c r="C1061" s="95" t="s">
        <v>1965</v>
      </c>
      <c r="D1061" s="95" t="str">
        <f t="shared" si="10"/>
        <v>Gamogo</v>
      </c>
      <c r="F1061" s="95">
        <v>633</v>
      </c>
    </row>
    <row r="1062" spans="1:6">
      <c r="A1062" s="95" t="s">
        <v>1969</v>
      </c>
      <c r="B1062" s="95" t="s">
        <v>1964</v>
      </c>
      <c r="C1062" s="95" t="s">
        <v>1965</v>
      </c>
      <c r="D1062" s="95" t="str">
        <f t="shared" si="10"/>
        <v>Kabeywa</v>
      </c>
      <c r="F1062" s="95">
        <v>634</v>
      </c>
    </row>
    <row r="1063" spans="1:6">
      <c r="A1063" s="95" t="s">
        <v>1970</v>
      </c>
      <c r="B1063" s="95" t="s">
        <v>1964</v>
      </c>
      <c r="C1063" s="95" t="s">
        <v>1970</v>
      </c>
      <c r="D1063" s="95" t="str">
        <f t="shared" si="10"/>
        <v>Kapchorwa Municipality</v>
      </c>
      <c r="F1063" s="95">
        <v>635</v>
      </c>
    </row>
    <row r="1064" spans="1:6">
      <c r="A1064" s="95" t="s">
        <v>1971</v>
      </c>
      <c r="B1064" s="95" t="s">
        <v>1964</v>
      </c>
      <c r="C1064" s="95" t="s">
        <v>1965</v>
      </c>
      <c r="D1064" s="95" t="str">
        <f t="shared" si="10"/>
        <v>Kapsinda</v>
      </c>
      <c r="F1064" s="95">
        <v>636</v>
      </c>
    </row>
    <row r="1065" spans="1:6">
      <c r="A1065" s="95" t="s">
        <v>1972</v>
      </c>
      <c r="B1065" s="95" t="s">
        <v>1964</v>
      </c>
      <c r="C1065" s="95" t="s">
        <v>1965</v>
      </c>
      <c r="D1065" s="95" t="str">
        <f t="shared" si="10"/>
        <v>Kaptanya</v>
      </c>
      <c r="F1065" s="95">
        <v>637</v>
      </c>
    </row>
    <row r="1066" spans="1:6">
      <c r="A1066" s="95" t="s">
        <v>1973</v>
      </c>
      <c r="B1066" s="95" t="s">
        <v>1964</v>
      </c>
      <c r="C1066" s="95" t="s">
        <v>1965</v>
      </c>
      <c r="D1066" s="95" t="str">
        <f t="shared" si="10"/>
        <v>Kaserem</v>
      </c>
      <c r="F1066" s="95">
        <v>638</v>
      </c>
    </row>
    <row r="1067" spans="1:6">
      <c r="A1067" s="95" t="s">
        <v>1974</v>
      </c>
      <c r="B1067" s="95" t="s">
        <v>1964</v>
      </c>
      <c r="C1067" s="95" t="s">
        <v>1965</v>
      </c>
      <c r="D1067" s="95" t="str">
        <f t="shared" si="10"/>
        <v>Kawowo</v>
      </c>
      <c r="F1067" s="95">
        <v>639</v>
      </c>
    </row>
    <row r="1068" spans="1:6">
      <c r="A1068" s="95" t="s">
        <v>1975</v>
      </c>
      <c r="B1068" s="95" t="s">
        <v>1964</v>
      </c>
      <c r="C1068" s="95" t="s">
        <v>1965</v>
      </c>
      <c r="D1068" s="95" t="str">
        <f t="shared" si="10"/>
        <v>Munarya</v>
      </c>
      <c r="F1068" s="95">
        <v>640</v>
      </c>
    </row>
    <row r="1069" spans="1:6">
      <c r="A1069" s="95" t="s">
        <v>1976</v>
      </c>
      <c r="B1069" s="95" t="s">
        <v>1964</v>
      </c>
      <c r="C1069" s="95" t="s">
        <v>1965</v>
      </c>
      <c r="D1069" s="95" t="str">
        <f t="shared" si="10"/>
        <v>Sipi</v>
      </c>
      <c r="F1069" s="95">
        <v>641</v>
      </c>
    </row>
    <row r="1070" spans="1:6">
      <c r="A1070" s="95" t="s">
        <v>1977</v>
      </c>
      <c r="B1070" s="95" t="s">
        <v>36</v>
      </c>
      <c r="C1070" s="95" t="s">
        <v>1978</v>
      </c>
      <c r="D1070" s="95" t="str">
        <f t="shared" si="10"/>
        <v>Bugoye</v>
      </c>
      <c r="F1070" s="95">
        <v>642</v>
      </c>
    </row>
    <row r="1071" spans="1:6">
      <c r="A1071" s="95" t="s">
        <v>1979</v>
      </c>
      <c r="B1071" s="95" t="s">
        <v>36</v>
      </c>
      <c r="C1071" s="95" t="s">
        <v>1978</v>
      </c>
      <c r="D1071" s="95" t="str">
        <f t="shared" si="10"/>
        <v>Buhuhira</v>
      </c>
      <c r="F1071" s="95">
        <v>643</v>
      </c>
    </row>
    <row r="1072" spans="1:6">
      <c r="A1072" s="95" t="s">
        <v>37</v>
      </c>
      <c r="B1072" s="95" t="s">
        <v>36</v>
      </c>
      <c r="C1072" s="95" t="s">
        <v>1111</v>
      </c>
      <c r="D1072" s="95" t="str">
        <f t="shared" si="10"/>
        <v>Bwera</v>
      </c>
      <c r="F1072" s="95">
        <v>644</v>
      </c>
    </row>
    <row r="1073" spans="1:6">
      <c r="A1073" s="95" t="s">
        <v>1980</v>
      </c>
      <c r="B1073" s="95" t="s">
        <v>36</v>
      </c>
      <c r="C1073" s="95" t="s">
        <v>1978</v>
      </c>
      <c r="D1073" s="95" t="str">
        <f t="shared" si="10"/>
        <v>Bwesumbu</v>
      </c>
      <c r="F1073" s="95">
        <v>645</v>
      </c>
    </row>
    <row r="1074" spans="1:6">
      <c r="A1074" s="95" t="s">
        <v>1981</v>
      </c>
      <c r="B1074" s="95" t="s">
        <v>36</v>
      </c>
      <c r="C1074" s="95" t="s">
        <v>1978</v>
      </c>
      <c r="D1074" s="95" t="str">
        <f t="shared" si="10"/>
        <v>Hima Town Council</v>
      </c>
      <c r="F1074" s="95">
        <v>646</v>
      </c>
    </row>
    <row r="1075" spans="1:6">
      <c r="A1075" s="95" t="s">
        <v>1982</v>
      </c>
      <c r="B1075" s="95" t="s">
        <v>36</v>
      </c>
      <c r="C1075" s="95" t="s">
        <v>1111</v>
      </c>
      <c r="D1075" s="95" t="str">
        <f t="shared" si="10"/>
        <v>Ihandiro</v>
      </c>
      <c r="F1075" s="95">
        <v>647</v>
      </c>
    </row>
    <row r="1076" spans="1:6">
      <c r="A1076" s="95" t="s">
        <v>1983</v>
      </c>
      <c r="B1076" s="95" t="s">
        <v>36</v>
      </c>
      <c r="C1076" s="95" t="s">
        <v>1111</v>
      </c>
      <c r="D1076" s="95" t="str">
        <f t="shared" si="10"/>
        <v>Isango</v>
      </c>
      <c r="F1076" s="95">
        <v>648</v>
      </c>
    </row>
    <row r="1077" spans="1:6">
      <c r="A1077" s="95" t="s">
        <v>1984</v>
      </c>
      <c r="B1077" s="95" t="s">
        <v>36</v>
      </c>
      <c r="C1077" s="95" t="s">
        <v>1111</v>
      </c>
      <c r="D1077" s="95" t="str">
        <f t="shared" ref="D1077:D1149" si="11">A1077</f>
        <v>Karambi-Kasese</v>
      </c>
      <c r="F1077" s="95">
        <v>649</v>
      </c>
    </row>
    <row r="1078" spans="1:6">
      <c r="A1078" s="95" t="s">
        <v>1985</v>
      </c>
      <c r="B1078" s="95" t="s">
        <v>36</v>
      </c>
      <c r="C1078" s="95" t="s">
        <v>1978</v>
      </c>
      <c r="D1078" s="95" t="str">
        <f t="shared" si="11"/>
        <v>Karusandara</v>
      </c>
      <c r="F1078" s="95">
        <v>650</v>
      </c>
    </row>
    <row r="1079" spans="1:6">
      <c r="A1079" s="95" t="s">
        <v>1986</v>
      </c>
      <c r="B1079" s="95" t="s">
        <v>36</v>
      </c>
      <c r="C1079" s="95" t="s">
        <v>1986</v>
      </c>
      <c r="D1079" s="95" t="str">
        <f t="shared" si="11"/>
        <v>Kasese Municipality</v>
      </c>
      <c r="F1079" s="95">
        <v>651</v>
      </c>
    </row>
    <row r="1080" spans="1:6">
      <c r="A1080" s="95" t="s">
        <v>36</v>
      </c>
      <c r="D1080" s="95" t="str">
        <f t="shared" si="11"/>
        <v>Kasese</v>
      </c>
      <c r="F1080" s="95">
        <v>651</v>
      </c>
    </row>
    <row r="1081" spans="1:6">
      <c r="A1081" s="95" t="s">
        <v>1987</v>
      </c>
      <c r="D1081" s="95" t="str">
        <f t="shared" si="11"/>
        <v>Kasese town</v>
      </c>
      <c r="F1081" s="95">
        <v>651</v>
      </c>
    </row>
    <row r="1082" spans="1:6">
      <c r="A1082" s="95" t="s">
        <v>1988</v>
      </c>
      <c r="B1082" s="95" t="s">
        <v>36</v>
      </c>
      <c r="C1082" s="95" t="s">
        <v>1978</v>
      </c>
      <c r="D1082" s="95" t="str">
        <f t="shared" si="11"/>
        <v>Katwe Kabatoro Town Council</v>
      </c>
      <c r="F1082" s="95">
        <v>652</v>
      </c>
    </row>
    <row r="1083" spans="1:6">
      <c r="A1083" s="95" t="s">
        <v>1989</v>
      </c>
      <c r="B1083" s="95" t="s">
        <v>36</v>
      </c>
      <c r="C1083" s="95" t="s">
        <v>1978</v>
      </c>
      <c r="D1083" s="95" t="str">
        <f t="shared" si="11"/>
        <v>Kilembe</v>
      </c>
      <c r="F1083" s="95">
        <v>653</v>
      </c>
    </row>
    <row r="1084" spans="1:6">
      <c r="A1084" s="95" t="s">
        <v>1990</v>
      </c>
      <c r="B1084" s="95" t="s">
        <v>36</v>
      </c>
      <c r="C1084" s="95" t="s">
        <v>1111</v>
      </c>
      <c r="D1084" s="95" t="str">
        <f t="shared" si="11"/>
        <v>Kisinga</v>
      </c>
      <c r="F1084" s="95">
        <v>654</v>
      </c>
    </row>
    <row r="1085" spans="1:6">
      <c r="A1085" s="95" t="s">
        <v>1991</v>
      </c>
      <c r="B1085" s="95" t="s">
        <v>36</v>
      </c>
      <c r="C1085" s="95" t="s">
        <v>1111</v>
      </c>
      <c r="D1085" s="95" t="str">
        <f t="shared" si="11"/>
        <v>Kisinga Town Council</v>
      </c>
      <c r="F1085" s="95">
        <v>655</v>
      </c>
    </row>
    <row r="1086" spans="1:6">
      <c r="A1086" s="95" t="s">
        <v>1992</v>
      </c>
      <c r="B1086" s="95" t="s">
        <v>36</v>
      </c>
      <c r="C1086" s="95" t="s">
        <v>1111</v>
      </c>
      <c r="D1086" s="95" t="str">
        <f t="shared" si="11"/>
        <v>Kitholhu</v>
      </c>
      <c r="F1086" s="95">
        <v>656</v>
      </c>
    </row>
    <row r="1087" spans="1:6">
      <c r="A1087" s="95" t="s">
        <v>1993</v>
      </c>
      <c r="B1087" s="95" t="s">
        <v>36</v>
      </c>
      <c r="C1087" s="95" t="s">
        <v>1978</v>
      </c>
      <c r="D1087" s="95" t="str">
        <f t="shared" si="11"/>
        <v>Kitswamba</v>
      </c>
      <c r="F1087" s="95">
        <v>657</v>
      </c>
    </row>
    <row r="1088" spans="1:6">
      <c r="A1088" s="95" t="s">
        <v>1994</v>
      </c>
      <c r="B1088" s="95" t="s">
        <v>36</v>
      </c>
      <c r="C1088" s="95" t="s">
        <v>1978</v>
      </c>
      <c r="D1088" s="95" t="str">
        <f t="shared" si="11"/>
        <v>Kyabarungira</v>
      </c>
      <c r="F1088" s="95">
        <v>658</v>
      </c>
    </row>
    <row r="1089" spans="1:6">
      <c r="A1089" s="95" t="s">
        <v>1995</v>
      </c>
      <c r="B1089" s="95" t="s">
        <v>36</v>
      </c>
      <c r="C1089" s="95" t="s">
        <v>1111</v>
      </c>
      <c r="D1089" s="95" t="str">
        <f t="shared" si="11"/>
        <v>Kyarumba</v>
      </c>
      <c r="F1089" s="95">
        <v>659</v>
      </c>
    </row>
    <row r="1090" spans="1:6">
      <c r="A1090" s="95" t="s">
        <v>1996</v>
      </c>
      <c r="B1090" s="95" t="s">
        <v>36</v>
      </c>
      <c r="C1090" s="95" t="s">
        <v>1111</v>
      </c>
      <c r="D1090" s="95" t="str">
        <f t="shared" si="11"/>
        <v>Kyondo</v>
      </c>
      <c r="F1090" s="95">
        <v>660</v>
      </c>
    </row>
    <row r="1091" spans="1:6">
      <c r="A1091" s="95" t="s">
        <v>1997</v>
      </c>
      <c r="B1091" s="95" t="s">
        <v>36</v>
      </c>
      <c r="C1091" s="95" t="s">
        <v>1978</v>
      </c>
      <c r="D1091" s="95" t="str">
        <f t="shared" si="11"/>
        <v>Lake Katwe</v>
      </c>
      <c r="F1091" s="95">
        <v>661</v>
      </c>
    </row>
    <row r="1092" spans="1:6">
      <c r="A1092" s="95" t="s">
        <v>1998</v>
      </c>
      <c r="B1092" s="95" t="s">
        <v>36</v>
      </c>
      <c r="C1092" s="95" t="s">
        <v>1111</v>
      </c>
      <c r="D1092" s="95" t="str">
        <f t="shared" si="11"/>
        <v>Mahango</v>
      </c>
      <c r="F1092" s="95">
        <v>662</v>
      </c>
    </row>
    <row r="1093" spans="1:6">
      <c r="A1093" s="95" t="s">
        <v>1999</v>
      </c>
      <c r="B1093" s="95" t="s">
        <v>36</v>
      </c>
      <c r="C1093" s="95" t="s">
        <v>1978</v>
      </c>
      <c r="D1093" s="95" t="str">
        <f t="shared" si="11"/>
        <v>Maliba</v>
      </c>
      <c r="F1093" s="95">
        <v>663</v>
      </c>
    </row>
    <row r="1094" spans="1:6">
      <c r="A1094" s="95" t="s">
        <v>2000</v>
      </c>
      <c r="B1094" s="95" t="s">
        <v>36</v>
      </c>
      <c r="C1094" s="95" t="s">
        <v>1111</v>
      </c>
      <c r="D1094" s="95" t="str">
        <f t="shared" si="11"/>
        <v>Mpondwe-Lhubiriha</v>
      </c>
      <c r="F1094" s="95">
        <v>664</v>
      </c>
    </row>
    <row r="1095" spans="1:6">
      <c r="A1095" s="95" t="s">
        <v>2001</v>
      </c>
      <c r="B1095" s="95" t="s">
        <v>36</v>
      </c>
      <c r="C1095" s="95" t="s">
        <v>1978</v>
      </c>
      <c r="D1095" s="95" t="str">
        <f t="shared" si="11"/>
        <v>Muhokya</v>
      </c>
      <c r="F1095" s="95">
        <v>665</v>
      </c>
    </row>
    <row r="1096" spans="1:6">
      <c r="A1096" s="95" t="s">
        <v>2002</v>
      </c>
      <c r="B1096" s="95" t="s">
        <v>36</v>
      </c>
      <c r="C1096" s="95" t="s">
        <v>1111</v>
      </c>
      <c r="D1096" s="95" t="str">
        <f t="shared" si="11"/>
        <v>Munkunyu</v>
      </c>
      <c r="F1096" s="95">
        <v>666</v>
      </c>
    </row>
    <row r="1097" spans="1:6">
      <c r="A1097" s="95" t="s">
        <v>2003</v>
      </c>
      <c r="B1097" s="95" t="s">
        <v>36</v>
      </c>
      <c r="C1097" s="95" t="s">
        <v>1111</v>
      </c>
      <c r="D1097" s="95" t="str">
        <f t="shared" si="11"/>
        <v>Nyakatonzi</v>
      </c>
      <c r="F1097" s="95">
        <v>667</v>
      </c>
    </row>
    <row r="1098" spans="1:6">
      <c r="A1098" s="95" t="s">
        <v>2004</v>
      </c>
      <c r="B1098" s="95" t="s">
        <v>36</v>
      </c>
      <c r="C1098" s="95" t="s">
        <v>1111</v>
      </c>
      <c r="D1098" s="95" t="str">
        <f t="shared" si="11"/>
        <v>Nyakiyumbu</v>
      </c>
      <c r="F1098" s="95">
        <v>668</v>
      </c>
    </row>
    <row r="1099" spans="1:6">
      <c r="A1099" s="95" t="s">
        <v>2005</v>
      </c>
      <c r="B1099" s="95" t="s">
        <v>36</v>
      </c>
      <c r="C1099" s="95" t="s">
        <v>1978</v>
      </c>
      <c r="D1099" s="95" t="str">
        <f t="shared" si="11"/>
        <v>Rukoki</v>
      </c>
      <c r="F1099" s="95">
        <v>669</v>
      </c>
    </row>
    <row r="1100" spans="1:6">
      <c r="A1100" s="95" t="s">
        <v>2006</v>
      </c>
      <c r="B1100" s="95" t="s">
        <v>2007</v>
      </c>
      <c r="C1100" s="95" t="s">
        <v>2008</v>
      </c>
      <c r="D1100" s="95" t="str">
        <f t="shared" si="11"/>
        <v>Kapujan</v>
      </c>
      <c r="F1100" s="95">
        <v>670</v>
      </c>
    </row>
    <row r="1101" spans="1:6">
      <c r="A1101" s="95" t="s">
        <v>2007</v>
      </c>
      <c r="B1101" s="95" t="s">
        <v>2007</v>
      </c>
      <c r="C1101" s="95" t="s">
        <v>2009</v>
      </c>
      <c r="D1101" s="95" t="str">
        <f t="shared" si="11"/>
        <v>Katakwi</v>
      </c>
      <c r="F1101" s="95">
        <v>671</v>
      </c>
    </row>
    <row r="1102" spans="1:6">
      <c r="A1102" s="95" t="s">
        <v>2010</v>
      </c>
      <c r="B1102" s="95" t="s">
        <v>2007</v>
      </c>
      <c r="C1102" s="95" t="s">
        <v>2009</v>
      </c>
      <c r="D1102" s="95" t="str">
        <f t="shared" si="11"/>
        <v>Katakwi Town Council</v>
      </c>
      <c r="F1102" s="95">
        <v>672</v>
      </c>
    </row>
    <row r="1103" spans="1:6">
      <c r="A1103" s="95" t="s">
        <v>2011</v>
      </c>
      <c r="B1103" s="95" t="s">
        <v>2007</v>
      </c>
      <c r="C1103" s="95" t="s">
        <v>2008</v>
      </c>
      <c r="D1103" s="95" t="str">
        <f t="shared" si="11"/>
        <v>Magoro</v>
      </c>
      <c r="F1103" s="95">
        <v>673</v>
      </c>
    </row>
    <row r="1104" spans="1:6">
      <c r="A1104" s="95" t="s">
        <v>2012</v>
      </c>
      <c r="B1104" s="95" t="s">
        <v>2007</v>
      </c>
      <c r="C1104" s="95" t="s">
        <v>2009</v>
      </c>
      <c r="D1104" s="95" t="str">
        <f t="shared" si="11"/>
        <v>Ngariam</v>
      </c>
      <c r="F1104" s="95">
        <v>674</v>
      </c>
    </row>
    <row r="1105" spans="1:6">
      <c r="A1105" s="95" t="s">
        <v>2013</v>
      </c>
      <c r="B1105" s="95" t="s">
        <v>2007</v>
      </c>
      <c r="C1105" s="95" t="s">
        <v>2008</v>
      </c>
      <c r="D1105" s="95" t="str">
        <f t="shared" si="11"/>
        <v>Omodoi</v>
      </c>
      <c r="F1105" s="95">
        <v>675</v>
      </c>
    </row>
    <row r="1106" spans="1:6">
      <c r="A1106" s="95" t="s">
        <v>2014</v>
      </c>
      <c r="B1106" s="95" t="s">
        <v>2007</v>
      </c>
      <c r="C1106" s="95" t="s">
        <v>2009</v>
      </c>
      <c r="D1106" s="95" t="str">
        <f t="shared" si="11"/>
        <v>Ongongoja</v>
      </c>
      <c r="F1106" s="95">
        <v>676</v>
      </c>
    </row>
    <row r="1107" spans="1:6">
      <c r="A1107" s="95" t="s">
        <v>2015</v>
      </c>
      <c r="B1107" s="95" t="s">
        <v>2007</v>
      </c>
      <c r="C1107" s="95" t="s">
        <v>2009</v>
      </c>
      <c r="D1107" s="95" t="str">
        <f t="shared" si="11"/>
        <v>Palam</v>
      </c>
      <c r="F1107" s="95">
        <v>677</v>
      </c>
    </row>
    <row r="1108" spans="1:6">
      <c r="A1108" s="95" t="s">
        <v>2008</v>
      </c>
      <c r="B1108" s="95" t="s">
        <v>2007</v>
      </c>
      <c r="C1108" s="95" t="s">
        <v>2008</v>
      </c>
      <c r="D1108" s="95" t="str">
        <f>A1108</f>
        <v>Toroma</v>
      </c>
      <c r="F1108" s="95">
        <v>678</v>
      </c>
    </row>
    <row r="1109" spans="1:6">
      <c r="A1109" s="95" t="s">
        <v>2009</v>
      </c>
      <c r="B1109" s="95" t="s">
        <v>2007</v>
      </c>
      <c r="C1109" s="95" t="s">
        <v>2009</v>
      </c>
      <c r="D1109" s="95" t="str">
        <f t="shared" si="11"/>
        <v>Usuk</v>
      </c>
      <c r="F1109" s="95">
        <v>679</v>
      </c>
    </row>
    <row r="1110" spans="1:6">
      <c r="A1110" s="95" t="s">
        <v>2016</v>
      </c>
      <c r="B1110" s="95" t="s">
        <v>2017</v>
      </c>
      <c r="C1110" s="95" t="s">
        <v>2016</v>
      </c>
      <c r="D1110" s="95" t="str">
        <f t="shared" si="11"/>
        <v>Bbaale</v>
      </c>
      <c r="F1110" s="95">
        <v>680</v>
      </c>
    </row>
    <row r="1111" spans="1:6">
      <c r="A1111" s="95" t="s">
        <v>2018</v>
      </c>
      <c r="B1111" s="95" t="s">
        <v>2017</v>
      </c>
      <c r="C1111" s="95" t="s">
        <v>2019</v>
      </c>
      <c r="D1111" s="95" t="str">
        <f t="shared" si="11"/>
        <v>Busaana</v>
      </c>
      <c r="F1111" s="95">
        <v>681</v>
      </c>
    </row>
    <row r="1112" spans="1:6">
      <c r="A1112" s="95" t="s">
        <v>2020</v>
      </c>
      <c r="B1112" s="95" t="s">
        <v>2017</v>
      </c>
      <c r="C1112" s="95" t="s">
        <v>2016</v>
      </c>
      <c r="D1112" s="95" t="str">
        <f t="shared" si="11"/>
        <v>Galiraya</v>
      </c>
      <c r="F1112" s="95">
        <v>682</v>
      </c>
    </row>
    <row r="1113" spans="1:6">
      <c r="A1113" s="95" t="s">
        <v>2021</v>
      </c>
      <c r="B1113" s="95" t="s">
        <v>2017</v>
      </c>
      <c r="C1113" s="95" t="s">
        <v>2019</v>
      </c>
      <c r="D1113" s="95" t="str">
        <f t="shared" si="11"/>
        <v>Kangulumira</v>
      </c>
      <c r="F1113" s="95">
        <v>683</v>
      </c>
    </row>
    <row r="1114" spans="1:6">
      <c r="A1114" s="95" t="s">
        <v>2022</v>
      </c>
      <c r="B1114" s="95" t="s">
        <v>2017</v>
      </c>
      <c r="C1114" s="95" t="s">
        <v>2016</v>
      </c>
      <c r="D1114" s="95" t="str">
        <f t="shared" si="11"/>
        <v>Kayonza-Kayunga</v>
      </c>
      <c r="F1114" s="95">
        <v>684</v>
      </c>
    </row>
    <row r="1115" spans="1:6">
      <c r="A1115" s="95" t="s">
        <v>2017</v>
      </c>
      <c r="B1115" s="95" t="s">
        <v>2017</v>
      </c>
      <c r="C1115" s="95" t="s">
        <v>2019</v>
      </c>
      <c r="D1115" s="95" t="str">
        <f t="shared" si="11"/>
        <v>Kayunga</v>
      </c>
      <c r="F1115" s="95">
        <v>685</v>
      </c>
    </row>
    <row r="1116" spans="1:6">
      <c r="A1116" s="95" t="s">
        <v>2023</v>
      </c>
      <c r="B1116" s="95" t="s">
        <v>2017</v>
      </c>
      <c r="C1116" s="95" t="s">
        <v>2019</v>
      </c>
      <c r="D1116" s="95" t="str">
        <f t="shared" si="11"/>
        <v>Kayunga Town Council</v>
      </c>
      <c r="F1116" s="95">
        <v>686</v>
      </c>
    </row>
    <row r="1117" spans="1:6">
      <c r="A1117" s="95" t="s">
        <v>2024</v>
      </c>
      <c r="D1117" s="95" t="str">
        <f t="shared" si="11"/>
        <v xml:space="preserve">Kayunga town  </v>
      </c>
      <c r="F1117" s="95">
        <v>686</v>
      </c>
    </row>
    <row r="1118" spans="1:6">
      <c r="A1118" s="95" t="s">
        <v>2025</v>
      </c>
      <c r="F1118" s="95">
        <v>686</v>
      </c>
    </row>
    <row r="1119" spans="1:6">
      <c r="A1119" s="95" t="s">
        <v>2026</v>
      </c>
      <c r="F1119" s="95">
        <v>686</v>
      </c>
    </row>
    <row r="1120" spans="1:6">
      <c r="A1120" s="95" t="s">
        <v>2027</v>
      </c>
      <c r="D1120" s="95" t="str">
        <f t="shared" si="11"/>
        <v>Ssenge</v>
      </c>
      <c r="F1120" s="95">
        <v>686</v>
      </c>
    </row>
    <row r="1121" spans="1:6">
      <c r="A1121" s="95" t="s">
        <v>2028</v>
      </c>
      <c r="B1121" s="95" t="s">
        <v>2017</v>
      </c>
      <c r="C1121" s="95" t="s">
        <v>2016</v>
      </c>
      <c r="D1121" s="95" t="str">
        <f t="shared" si="11"/>
        <v>Kitimbwa</v>
      </c>
      <c r="F1121" s="95">
        <v>687</v>
      </c>
    </row>
    <row r="1122" spans="1:6">
      <c r="A1122" s="95" t="s">
        <v>2029</v>
      </c>
      <c r="B1122" s="95" t="s">
        <v>2017</v>
      </c>
      <c r="C1122" s="95" t="s">
        <v>2019</v>
      </c>
      <c r="D1122" s="95" t="str">
        <f t="shared" si="11"/>
        <v>Nazigo</v>
      </c>
      <c r="F1122" s="95">
        <v>688</v>
      </c>
    </row>
    <row r="1123" spans="1:6">
      <c r="A1123" s="95" t="s">
        <v>2030</v>
      </c>
      <c r="B1123" s="95" t="s">
        <v>2031</v>
      </c>
      <c r="C1123" s="95" t="s">
        <v>2032</v>
      </c>
      <c r="D1123" s="95" t="str">
        <f t="shared" si="11"/>
        <v>Bubango</v>
      </c>
      <c r="F1123" s="95">
        <v>689</v>
      </c>
    </row>
    <row r="1124" spans="1:6">
      <c r="A1124" s="95" t="s">
        <v>2033</v>
      </c>
      <c r="B1124" s="95" t="s">
        <v>2031</v>
      </c>
      <c r="C1124" s="95" t="s">
        <v>2032</v>
      </c>
      <c r="D1124" s="95" t="str">
        <f t="shared" si="11"/>
        <v>Bwamiramira</v>
      </c>
      <c r="F1124" s="95">
        <v>690</v>
      </c>
    </row>
    <row r="1125" spans="1:6">
      <c r="A1125" s="95" t="s">
        <v>2034</v>
      </c>
      <c r="B1125" s="95" t="s">
        <v>2031</v>
      </c>
      <c r="C1125" s="95" t="s">
        <v>2032</v>
      </c>
      <c r="D1125" s="95" t="str">
        <f t="shared" si="11"/>
        <v>Kabasekende</v>
      </c>
      <c r="F1125" s="95">
        <v>691</v>
      </c>
    </row>
    <row r="1126" spans="1:6">
      <c r="A1126" s="95" t="s">
        <v>2035</v>
      </c>
      <c r="B1126" s="95" t="s">
        <v>2031</v>
      </c>
      <c r="C1126" s="95" t="s">
        <v>2032</v>
      </c>
      <c r="D1126" s="95" t="str">
        <f t="shared" si="11"/>
        <v>Kasimbi</v>
      </c>
      <c r="F1126" s="95">
        <v>692</v>
      </c>
    </row>
    <row r="1127" spans="1:6">
      <c r="A1127" s="95" t="s">
        <v>2036</v>
      </c>
      <c r="B1127" s="95" t="s">
        <v>2031</v>
      </c>
      <c r="C1127" s="95" t="s">
        <v>2032</v>
      </c>
      <c r="D1127" s="95" t="str">
        <f t="shared" si="11"/>
        <v>Kibaale Town Council</v>
      </c>
      <c r="F1127" s="95">
        <v>693</v>
      </c>
    </row>
    <row r="1128" spans="1:6">
      <c r="A1128" s="95" t="s">
        <v>1748</v>
      </c>
      <c r="B1128" s="95" t="s">
        <v>2031</v>
      </c>
      <c r="C1128" s="95" t="s">
        <v>2032</v>
      </c>
      <c r="D1128" s="95" t="str">
        <f t="shared" si="11"/>
        <v>Kyebando</v>
      </c>
      <c r="F1128" s="95">
        <v>694</v>
      </c>
    </row>
    <row r="1129" spans="1:6">
      <c r="A1129" s="95" t="s">
        <v>2037</v>
      </c>
      <c r="B1129" s="95" t="s">
        <v>2031</v>
      </c>
      <c r="C1129" s="95" t="s">
        <v>2032</v>
      </c>
      <c r="D1129" s="95" t="str">
        <f t="shared" si="11"/>
        <v>Matale</v>
      </c>
      <c r="F1129" s="95">
        <v>695</v>
      </c>
    </row>
    <row r="1130" spans="1:6">
      <c r="A1130" s="95" t="s">
        <v>2038</v>
      </c>
      <c r="B1130" s="95" t="s">
        <v>2031</v>
      </c>
      <c r="C1130" s="95" t="s">
        <v>2032</v>
      </c>
      <c r="D1130" s="95" t="str">
        <f t="shared" si="11"/>
        <v>Mugarama</v>
      </c>
      <c r="F1130" s="95">
        <v>696</v>
      </c>
    </row>
    <row r="1131" spans="1:6">
      <c r="A1131" s="95" t="s">
        <v>2039</v>
      </c>
      <c r="B1131" s="95" t="s">
        <v>2031</v>
      </c>
      <c r="C1131" s="95" t="s">
        <v>2032</v>
      </c>
      <c r="D1131" s="95" t="str">
        <f t="shared" si="11"/>
        <v>Nyamarunda</v>
      </c>
      <c r="F1131" s="95">
        <v>697</v>
      </c>
    </row>
    <row r="1132" spans="1:6">
      <c r="A1132" s="95" t="s">
        <v>2040</v>
      </c>
      <c r="B1132" s="95" t="s">
        <v>2031</v>
      </c>
      <c r="C1132" s="95" t="s">
        <v>2032</v>
      </c>
      <c r="D1132" s="95" t="str">
        <f t="shared" si="11"/>
        <v>Nyamarwa</v>
      </c>
      <c r="F1132" s="95">
        <v>698</v>
      </c>
    </row>
    <row r="1133" spans="1:6">
      <c r="A1133" s="95" t="s">
        <v>2041</v>
      </c>
      <c r="B1133" s="95" t="s">
        <v>2042</v>
      </c>
      <c r="C1133" s="95" t="s">
        <v>2042</v>
      </c>
      <c r="D1133" s="95" t="str">
        <f t="shared" si="11"/>
        <v>Bukomero</v>
      </c>
      <c r="F1133" s="95">
        <v>699</v>
      </c>
    </row>
    <row r="1134" spans="1:6">
      <c r="A1134" s="95" t="s">
        <v>2043</v>
      </c>
      <c r="D1134" s="95" t="str">
        <f t="shared" si="11"/>
        <v>Bukomelo</v>
      </c>
      <c r="F1134" s="95">
        <v>699</v>
      </c>
    </row>
    <row r="1135" spans="1:6">
      <c r="A1135" s="95" t="s">
        <v>2044</v>
      </c>
      <c r="B1135" s="95" t="s">
        <v>2042</v>
      </c>
      <c r="C1135" s="95" t="s">
        <v>2042</v>
      </c>
      <c r="D1135" s="95" t="str">
        <f t="shared" si="11"/>
        <v>Bukomero Town Council</v>
      </c>
      <c r="F1135" s="95">
        <v>700</v>
      </c>
    </row>
    <row r="1136" spans="1:6">
      <c r="A1136" s="95" t="s">
        <v>2045</v>
      </c>
      <c r="B1136" s="95" t="s">
        <v>2042</v>
      </c>
      <c r="C1136" s="95" t="s">
        <v>2042</v>
      </c>
      <c r="D1136" s="95" t="str">
        <f t="shared" si="11"/>
        <v>Ddwaniro-Kiboga</v>
      </c>
      <c r="F1136" s="95">
        <v>701</v>
      </c>
    </row>
    <row r="1137" spans="1:6">
      <c r="A1137" s="95" t="s">
        <v>2046</v>
      </c>
      <c r="B1137" s="95" t="s">
        <v>2042</v>
      </c>
      <c r="C1137" s="95" t="s">
        <v>2042</v>
      </c>
      <c r="D1137" s="95" t="str">
        <f t="shared" si="11"/>
        <v>Kapeke</v>
      </c>
      <c r="F1137" s="95">
        <v>702</v>
      </c>
    </row>
    <row r="1138" spans="1:6">
      <c r="A1138" s="95" t="s">
        <v>2047</v>
      </c>
      <c r="B1138" s="95" t="s">
        <v>2042</v>
      </c>
      <c r="C1138" s="95" t="s">
        <v>2042</v>
      </c>
      <c r="D1138" s="95" t="str">
        <f t="shared" si="11"/>
        <v>Kibiga</v>
      </c>
      <c r="F1138" s="95">
        <v>703</v>
      </c>
    </row>
    <row r="1139" spans="1:6">
      <c r="A1139" s="95" t="s">
        <v>2048</v>
      </c>
      <c r="B1139" s="95" t="s">
        <v>2042</v>
      </c>
      <c r="C1139" s="95" t="s">
        <v>2042</v>
      </c>
      <c r="D1139" s="95" t="str">
        <f t="shared" si="11"/>
        <v>Kiboga Town Council</v>
      </c>
      <c r="F1139" s="95">
        <v>704</v>
      </c>
    </row>
    <row r="1140" spans="1:6">
      <c r="A1140" s="95" t="s">
        <v>2049</v>
      </c>
      <c r="D1140" s="95" t="str">
        <f t="shared" si="11"/>
        <v>KIBOGA</v>
      </c>
      <c r="F1140" s="95">
        <v>704</v>
      </c>
    </row>
    <row r="1141" spans="1:6">
      <c r="A1141" s="95" t="s">
        <v>2050</v>
      </c>
      <c r="D1141" s="95" t="str">
        <f t="shared" si="11"/>
        <v>KIBOGA TOWN</v>
      </c>
      <c r="F1141" s="95">
        <v>704</v>
      </c>
    </row>
    <row r="1142" spans="1:6">
      <c r="A1142" s="95" t="s">
        <v>2051</v>
      </c>
      <c r="B1142" s="95" t="s">
        <v>2042</v>
      </c>
      <c r="C1142" s="95" t="s">
        <v>2042</v>
      </c>
      <c r="D1142" s="95" t="str">
        <f t="shared" si="11"/>
        <v>Lwamata</v>
      </c>
      <c r="F1142" s="95">
        <v>705</v>
      </c>
    </row>
    <row r="1143" spans="1:6">
      <c r="A1143" s="95" t="s">
        <v>2052</v>
      </c>
      <c r="B1143" s="95" t="s">
        <v>2042</v>
      </c>
      <c r="C1143" s="95" t="s">
        <v>2042</v>
      </c>
      <c r="D1143" s="95" t="str">
        <f t="shared" si="11"/>
        <v>Muwanga</v>
      </c>
      <c r="F1143" s="95">
        <v>706</v>
      </c>
    </row>
    <row r="1144" spans="1:6">
      <c r="A1144" s="95" t="s">
        <v>2053</v>
      </c>
      <c r="B1144" s="95" t="s">
        <v>2054</v>
      </c>
      <c r="C1144" s="95" t="s">
        <v>2054</v>
      </c>
      <c r="D1144" s="95" t="str">
        <f t="shared" si="11"/>
        <v>Bulangira</v>
      </c>
      <c r="F1144" s="95">
        <v>707</v>
      </c>
    </row>
    <row r="1145" spans="1:6">
      <c r="A1145" s="95" t="s">
        <v>2055</v>
      </c>
      <c r="B1145" s="95" t="s">
        <v>2054</v>
      </c>
      <c r="C1145" s="95" t="s">
        <v>2054</v>
      </c>
      <c r="D1145" s="95" t="str">
        <f t="shared" si="11"/>
        <v>Buseta</v>
      </c>
      <c r="F1145" s="95">
        <v>708</v>
      </c>
    </row>
    <row r="1146" spans="1:6">
      <c r="A1146" s="95" t="s">
        <v>2056</v>
      </c>
      <c r="B1146" s="95" t="s">
        <v>2054</v>
      </c>
      <c r="C1146" s="95" t="s">
        <v>2054</v>
      </c>
      <c r="D1146" s="95" t="str">
        <f t="shared" si="11"/>
        <v>Kabweri</v>
      </c>
      <c r="F1146" s="95">
        <v>709</v>
      </c>
    </row>
    <row r="1147" spans="1:6">
      <c r="A1147" s="95" t="s">
        <v>2057</v>
      </c>
      <c r="B1147" s="95" t="s">
        <v>2054</v>
      </c>
      <c r="C1147" s="95" t="s">
        <v>2054</v>
      </c>
      <c r="D1147" s="95" t="str">
        <f t="shared" si="11"/>
        <v>Kadama</v>
      </c>
      <c r="F1147" s="95">
        <v>710</v>
      </c>
    </row>
    <row r="1148" spans="1:6">
      <c r="A1148" s="95" t="s">
        <v>2058</v>
      </c>
      <c r="B1148" s="95" t="s">
        <v>2054</v>
      </c>
      <c r="C1148" s="95" t="s">
        <v>2054</v>
      </c>
      <c r="D1148" s="95" t="str">
        <f t="shared" si="11"/>
        <v>Kagumu</v>
      </c>
      <c r="F1148" s="95">
        <v>711</v>
      </c>
    </row>
    <row r="1149" spans="1:6">
      <c r="A1149" s="95" t="s">
        <v>2059</v>
      </c>
      <c r="B1149" s="95" t="s">
        <v>2054</v>
      </c>
      <c r="C1149" s="95" t="s">
        <v>2054</v>
      </c>
      <c r="D1149" s="95" t="str">
        <f t="shared" si="11"/>
        <v>Kasasira</v>
      </c>
      <c r="F1149" s="95">
        <v>712</v>
      </c>
    </row>
    <row r="1150" spans="1:6">
      <c r="A1150" s="95" t="s">
        <v>2054</v>
      </c>
      <c r="B1150" s="95" t="s">
        <v>2054</v>
      </c>
      <c r="C1150" s="95" t="s">
        <v>2054</v>
      </c>
      <c r="D1150" s="95" t="str">
        <f t="shared" ref="D1150:D1218" si="12">A1150</f>
        <v>Kibuku</v>
      </c>
      <c r="F1150" s="95">
        <v>713</v>
      </c>
    </row>
    <row r="1151" spans="1:6">
      <c r="A1151" s="95" t="s">
        <v>2060</v>
      </c>
      <c r="B1151" s="95" t="s">
        <v>2054</v>
      </c>
      <c r="C1151" s="95" t="s">
        <v>2054</v>
      </c>
      <c r="D1151" s="95" t="str">
        <f t="shared" si="12"/>
        <v>Kibuku Town Council</v>
      </c>
      <c r="F1151" s="95">
        <v>714</v>
      </c>
    </row>
    <row r="1152" spans="1:6">
      <c r="A1152" s="95" t="s">
        <v>2061</v>
      </c>
      <c r="B1152" s="95" t="s">
        <v>2054</v>
      </c>
      <c r="C1152" s="95" t="s">
        <v>2054</v>
      </c>
      <c r="D1152" s="95" t="str">
        <f t="shared" si="12"/>
        <v>Kirika</v>
      </c>
      <c r="F1152" s="95">
        <v>715</v>
      </c>
    </row>
    <row r="1153" spans="1:6">
      <c r="A1153" s="95" t="s">
        <v>2062</v>
      </c>
      <c r="B1153" s="95" t="s">
        <v>2054</v>
      </c>
      <c r="C1153" s="95" t="s">
        <v>2054</v>
      </c>
      <c r="D1153" s="95" t="str">
        <f t="shared" si="12"/>
        <v>Tirinyi</v>
      </c>
      <c r="F1153" s="95">
        <v>716</v>
      </c>
    </row>
    <row r="1154" spans="1:6">
      <c r="A1154" s="95" t="s">
        <v>2063</v>
      </c>
      <c r="B1154" s="95" t="s">
        <v>2064</v>
      </c>
      <c r="C1154" s="95" t="s">
        <v>2065</v>
      </c>
      <c r="D1154" s="95" t="str">
        <f t="shared" si="12"/>
        <v>Buremba</v>
      </c>
      <c r="F1154" s="95">
        <v>717</v>
      </c>
    </row>
    <row r="1155" spans="1:6">
      <c r="A1155" s="95" t="s">
        <v>2066</v>
      </c>
      <c r="B1155" s="95" t="s">
        <v>2064</v>
      </c>
      <c r="C1155" s="95" t="s">
        <v>2065</v>
      </c>
      <c r="D1155" s="95" t="str">
        <f t="shared" si="12"/>
        <v>Burunga</v>
      </c>
      <c r="F1155" s="95">
        <v>718</v>
      </c>
    </row>
    <row r="1156" spans="1:6">
      <c r="A1156" s="95" t="s">
        <v>2067</v>
      </c>
      <c r="B1156" s="95" t="s">
        <v>2064</v>
      </c>
      <c r="C1156" s="95" t="s">
        <v>2065</v>
      </c>
      <c r="D1156" s="95" t="str">
        <f t="shared" si="12"/>
        <v>Engari</v>
      </c>
      <c r="F1156" s="95">
        <v>719</v>
      </c>
    </row>
    <row r="1157" spans="1:6">
      <c r="A1157" s="95" t="s">
        <v>2068</v>
      </c>
      <c r="B1157" s="95" t="s">
        <v>2064</v>
      </c>
      <c r="C1157" s="95" t="s">
        <v>2065</v>
      </c>
      <c r="D1157" s="95" t="str">
        <f t="shared" si="12"/>
        <v>Kanoni</v>
      </c>
      <c r="F1157" s="95">
        <v>720</v>
      </c>
    </row>
    <row r="1158" spans="1:6">
      <c r="A1158" s="95" t="s">
        <v>2069</v>
      </c>
      <c r="B1158" s="95" t="s">
        <v>2064</v>
      </c>
      <c r="C1158" s="95" t="s">
        <v>2070</v>
      </c>
      <c r="D1158" s="95" t="str">
        <f t="shared" si="12"/>
        <v>Kanyaryeru</v>
      </c>
      <c r="F1158" s="95">
        <v>721</v>
      </c>
    </row>
    <row r="1159" spans="1:6">
      <c r="A1159" s="95" t="s">
        <v>2071</v>
      </c>
      <c r="B1159" s="95" t="s">
        <v>2064</v>
      </c>
      <c r="C1159" s="95" t="s">
        <v>2070</v>
      </c>
      <c r="D1159" s="95" t="str">
        <f t="shared" si="12"/>
        <v>Kashongi</v>
      </c>
      <c r="F1159" s="95">
        <v>722</v>
      </c>
    </row>
    <row r="1160" spans="1:6">
      <c r="A1160" s="95" t="s">
        <v>2065</v>
      </c>
      <c r="B1160" s="95" t="s">
        <v>2064</v>
      </c>
      <c r="C1160" s="95" t="s">
        <v>2065</v>
      </c>
      <c r="D1160" s="95" t="str">
        <f t="shared" si="12"/>
        <v>Kazo</v>
      </c>
      <c r="F1160" s="95">
        <v>723</v>
      </c>
    </row>
    <row r="1161" spans="1:6">
      <c r="A1161" s="95" t="s">
        <v>2072</v>
      </c>
      <c r="F1161" s="95">
        <v>723</v>
      </c>
    </row>
    <row r="1162" spans="1:6">
      <c r="A1162" s="95" t="s">
        <v>2073</v>
      </c>
      <c r="B1162" s="95" t="s">
        <v>2064</v>
      </c>
      <c r="C1162" s="95" t="s">
        <v>2065</v>
      </c>
      <c r="D1162" s="95" t="str">
        <f t="shared" si="12"/>
        <v>Kazo Town Council</v>
      </c>
      <c r="F1162" s="95">
        <v>724</v>
      </c>
    </row>
    <row r="1163" spans="1:6">
      <c r="A1163" s="95" t="s">
        <v>2074</v>
      </c>
      <c r="B1163" s="95" t="s">
        <v>2064</v>
      </c>
      <c r="C1163" s="95" t="s">
        <v>2070</v>
      </c>
      <c r="D1163" s="95" t="str">
        <f t="shared" si="12"/>
        <v>Kenshunga</v>
      </c>
      <c r="F1163" s="95">
        <v>725</v>
      </c>
    </row>
    <row r="1164" spans="1:6">
      <c r="A1164" s="95" t="s">
        <v>2075</v>
      </c>
      <c r="B1164" s="95" t="s">
        <v>2064</v>
      </c>
      <c r="C1164" s="95" t="s">
        <v>2070</v>
      </c>
      <c r="D1164" s="95" t="str">
        <f t="shared" si="12"/>
        <v>Kikaatsi</v>
      </c>
      <c r="F1164" s="95">
        <v>726</v>
      </c>
    </row>
    <row r="1165" spans="1:6">
      <c r="A1165" s="95" t="s">
        <v>2076</v>
      </c>
      <c r="B1165" s="95" t="s">
        <v>2064</v>
      </c>
      <c r="C1165" s="95" t="s">
        <v>2070</v>
      </c>
      <c r="D1165" s="95" t="str">
        <f t="shared" si="12"/>
        <v>Kinoni-Kiruhura</v>
      </c>
      <c r="F1165" s="95">
        <v>727</v>
      </c>
    </row>
    <row r="1166" spans="1:6">
      <c r="A1166" s="95" t="s">
        <v>2077</v>
      </c>
      <c r="B1166" s="95" t="s">
        <v>2064</v>
      </c>
      <c r="C1166" s="95" t="s">
        <v>2070</v>
      </c>
      <c r="D1166" s="95" t="str">
        <f t="shared" si="12"/>
        <v>Kiruhura Town Council</v>
      </c>
      <c r="F1166" s="95">
        <v>728</v>
      </c>
    </row>
    <row r="1167" spans="1:6">
      <c r="A1167" s="95" t="s">
        <v>2078</v>
      </c>
      <c r="B1167" s="95" t="s">
        <v>2064</v>
      </c>
      <c r="C1167" s="95" t="s">
        <v>2070</v>
      </c>
      <c r="D1167" s="95" t="str">
        <f t="shared" si="12"/>
        <v>Kitura</v>
      </c>
      <c r="F1167" s="95">
        <v>729</v>
      </c>
    </row>
    <row r="1168" spans="1:6">
      <c r="A1168" s="95" t="s">
        <v>2079</v>
      </c>
      <c r="B1168" s="95" t="s">
        <v>2064</v>
      </c>
      <c r="C1168" s="95" t="s">
        <v>2065</v>
      </c>
      <c r="D1168" s="95" t="str">
        <f t="shared" si="12"/>
        <v>Nkungu</v>
      </c>
      <c r="F1168" s="95">
        <v>730</v>
      </c>
    </row>
    <row r="1169" spans="1:6">
      <c r="A1169" s="95" t="s">
        <v>2080</v>
      </c>
      <c r="B1169" s="95" t="s">
        <v>2064</v>
      </c>
      <c r="C1169" s="95" t="s">
        <v>2070</v>
      </c>
      <c r="D1169" s="95" t="str">
        <f t="shared" si="12"/>
        <v>Nyakashashara</v>
      </c>
      <c r="F1169" s="95">
        <v>731</v>
      </c>
    </row>
    <row r="1170" spans="1:6">
      <c r="A1170" s="95" t="s">
        <v>2081</v>
      </c>
      <c r="B1170" s="95" t="s">
        <v>2064</v>
      </c>
      <c r="C1170" s="95" t="s">
        <v>2065</v>
      </c>
      <c r="D1170" s="95" t="str">
        <f t="shared" si="12"/>
        <v>Rwemikoma</v>
      </c>
      <c r="F1170" s="95">
        <v>732</v>
      </c>
    </row>
    <row r="1171" spans="1:6">
      <c r="A1171" s="95" t="s">
        <v>2082</v>
      </c>
      <c r="B1171" s="95" t="s">
        <v>2064</v>
      </c>
      <c r="C1171" s="95" t="s">
        <v>2070</v>
      </c>
      <c r="D1171" s="95" t="str">
        <f t="shared" si="12"/>
        <v>Sanga</v>
      </c>
      <c r="F1171" s="95">
        <v>733</v>
      </c>
    </row>
    <row r="1172" spans="1:6">
      <c r="A1172" s="95" t="s">
        <v>2083</v>
      </c>
      <c r="B1172" s="95" t="s">
        <v>2064</v>
      </c>
      <c r="C1172" s="95" t="s">
        <v>2070</v>
      </c>
      <c r="D1172" s="95" t="str">
        <f t="shared" si="12"/>
        <v>Sanga Town Council</v>
      </c>
      <c r="F1172" s="95">
        <v>734</v>
      </c>
    </row>
    <row r="1173" spans="1:6">
      <c r="A1173" s="95" t="s">
        <v>2084</v>
      </c>
      <c r="B1173" s="95" t="s">
        <v>2085</v>
      </c>
      <c r="C1173" s="95" t="s">
        <v>2086</v>
      </c>
      <c r="D1173" s="95" t="str">
        <f t="shared" si="12"/>
        <v>Bweyale Town Council</v>
      </c>
      <c r="F1173" s="95">
        <v>735</v>
      </c>
    </row>
    <row r="1174" spans="1:6">
      <c r="A1174" s="95" t="s">
        <v>2087</v>
      </c>
      <c r="F1174" s="95">
        <v>735</v>
      </c>
    </row>
    <row r="1175" spans="1:6">
      <c r="A1175" s="95" t="s">
        <v>2088</v>
      </c>
      <c r="B1175" s="95" t="s">
        <v>2085</v>
      </c>
      <c r="C1175" s="95" t="s">
        <v>2086</v>
      </c>
      <c r="D1175" s="95" t="str">
        <f t="shared" si="12"/>
        <v>Kigumba</v>
      </c>
      <c r="F1175" s="95">
        <v>736</v>
      </c>
    </row>
    <row r="1176" spans="1:6">
      <c r="A1176" s="95" t="s">
        <v>2089</v>
      </c>
      <c r="B1176" s="95" t="s">
        <v>2085</v>
      </c>
      <c r="C1176" s="95" t="s">
        <v>2086</v>
      </c>
      <c r="D1176" s="95" t="str">
        <f t="shared" si="12"/>
        <v>Kigumba Town Council</v>
      </c>
      <c r="F1176" s="95">
        <v>737</v>
      </c>
    </row>
    <row r="1177" spans="1:6">
      <c r="A1177" s="95" t="s">
        <v>2090</v>
      </c>
      <c r="F1177" s="95">
        <v>737</v>
      </c>
    </row>
    <row r="1178" spans="1:6">
      <c r="A1178" s="95" t="s">
        <v>2085</v>
      </c>
      <c r="B1178" s="95" t="s">
        <v>2085</v>
      </c>
      <c r="C1178" s="95" t="s">
        <v>2086</v>
      </c>
      <c r="D1178" s="95" t="str">
        <f t="shared" si="12"/>
        <v>Kiryandongo</v>
      </c>
      <c r="F1178" s="95">
        <v>738</v>
      </c>
    </row>
    <row r="1179" spans="1:6">
      <c r="A1179" s="95" t="s">
        <v>2091</v>
      </c>
      <c r="B1179" s="95" t="s">
        <v>2085</v>
      </c>
      <c r="C1179" s="95" t="s">
        <v>2086</v>
      </c>
      <c r="D1179" s="95" t="str">
        <f t="shared" si="12"/>
        <v>Kiryandongo Refugee Camp</v>
      </c>
      <c r="F1179" s="95">
        <v>739</v>
      </c>
    </row>
    <row r="1180" spans="1:6">
      <c r="A1180" s="95" t="s">
        <v>2092</v>
      </c>
      <c r="B1180" s="95" t="s">
        <v>2085</v>
      </c>
      <c r="C1180" s="95" t="s">
        <v>2086</v>
      </c>
      <c r="D1180" s="95" t="str">
        <f t="shared" si="12"/>
        <v>Kiryandongo Town Council</v>
      </c>
      <c r="F1180" s="95">
        <v>740</v>
      </c>
    </row>
    <row r="1181" spans="1:6">
      <c r="A1181" s="95" t="s">
        <v>2093</v>
      </c>
      <c r="F1181" s="95">
        <v>740</v>
      </c>
    </row>
    <row r="1182" spans="1:6">
      <c r="A1182" s="95" t="s">
        <v>2094</v>
      </c>
      <c r="B1182" s="95" t="s">
        <v>2085</v>
      </c>
      <c r="C1182" s="95" t="s">
        <v>2086</v>
      </c>
      <c r="D1182" s="95" t="str">
        <f t="shared" si="12"/>
        <v>Masindi Port</v>
      </c>
      <c r="F1182" s="95">
        <v>741</v>
      </c>
    </row>
    <row r="1183" spans="1:6">
      <c r="A1183" s="95" t="s">
        <v>2095</v>
      </c>
      <c r="B1183" s="95" t="s">
        <v>2085</v>
      </c>
      <c r="C1183" s="95" t="s">
        <v>2086</v>
      </c>
      <c r="D1183" s="95" t="str">
        <f t="shared" si="12"/>
        <v>Mutunda</v>
      </c>
      <c r="F1183" s="95">
        <v>742</v>
      </c>
    </row>
    <row r="1184" spans="1:6">
      <c r="A1184" s="95" t="s">
        <v>2096</v>
      </c>
      <c r="B1184" s="95" t="s">
        <v>2097</v>
      </c>
      <c r="C1184" s="95" t="s">
        <v>2098</v>
      </c>
      <c r="D1184" s="95" t="str">
        <f t="shared" si="12"/>
        <v>Bukimbiri</v>
      </c>
      <c r="F1184" s="95">
        <v>743</v>
      </c>
    </row>
    <row r="1185" spans="1:6">
      <c r="A1185" s="95" t="s">
        <v>2099</v>
      </c>
      <c r="B1185" s="95" t="s">
        <v>2097</v>
      </c>
      <c r="C1185" s="95" t="s">
        <v>2098</v>
      </c>
      <c r="D1185" s="95" t="str">
        <f t="shared" si="12"/>
        <v>Busanza</v>
      </c>
      <c r="F1185" s="95">
        <v>744</v>
      </c>
    </row>
    <row r="1186" spans="1:6">
      <c r="A1186" s="95" t="s">
        <v>2100</v>
      </c>
      <c r="B1186" s="95" t="s">
        <v>2097</v>
      </c>
      <c r="C1186" s="95" t="s">
        <v>2098</v>
      </c>
      <c r="D1186" s="95" t="str">
        <f t="shared" si="12"/>
        <v>Chahi</v>
      </c>
      <c r="F1186" s="95">
        <v>745</v>
      </c>
    </row>
    <row r="1187" spans="1:6">
      <c r="A1187" s="95" t="s">
        <v>2101</v>
      </c>
      <c r="B1187" s="95" t="s">
        <v>2097</v>
      </c>
      <c r="C1187" s="95" t="s">
        <v>2098</v>
      </c>
      <c r="D1187" s="95" t="str">
        <f t="shared" si="12"/>
        <v>Kanaba</v>
      </c>
      <c r="F1187" s="95">
        <v>746</v>
      </c>
    </row>
    <row r="1188" spans="1:6">
      <c r="A1188" s="95" t="s">
        <v>2102</v>
      </c>
      <c r="B1188" s="95" t="s">
        <v>2097</v>
      </c>
      <c r="C1188" s="95" t="s">
        <v>2098</v>
      </c>
      <c r="D1188" s="95" t="str">
        <f t="shared" si="12"/>
        <v>Kirundo</v>
      </c>
      <c r="F1188" s="95">
        <v>747</v>
      </c>
    </row>
    <row r="1189" spans="1:6">
      <c r="A1189" s="95" t="s">
        <v>2103</v>
      </c>
      <c r="B1189" s="95" t="s">
        <v>2097</v>
      </c>
      <c r="C1189" s="95" t="s">
        <v>2103</v>
      </c>
      <c r="D1189" s="95" t="str">
        <f t="shared" si="12"/>
        <v>Kisoro Municipality</v>
      </c>
      <c r="F1189" s="95">
        <v>748</v>
      </c>
    </row>
    <row r="1190" spans="1:6">
      <c r="A1190" s="95" t="s">
        <v>2104</v>
      </c>
      <c r="B1190" s="95" t="s">
        <v>2097</v>
      </c>
      <c r="C1190" s="95" t="s">
        <v>2098</v>
      </c>
      <c r="D1190" s="95" t="str">
        <f t="shared" si="12"/>
        <v>Muramba</v>
      </c>
      <c r="F1190" s="95">
        <v>749</v>
      </c>
    </row>
    <row r="1191" spans="1:6">
      <c r="A1191" s="95" t="s">
        <v>2105</v>
      </c>
      <c r="B1191" s="95" t="s">
        <v>2097</v>
      </c>
      <c r="C1191" s="95" t="s">
        <v>2098</v>
      </c>
      <c r="D1191" s="95" t="str">
        <f t="shared" si="12"/>
        <v>Murora</v>
      </c>
      <c r="F1191" s="95">
        <v>750</v>
      </c>
    </row>
    <row r="1192" spans="1:6">
      <c r="A1192" s="95" t="s">
        <v>2106</v>
      </c>
      <c r="B1192" s="95" t="s">
        <v>2097</v>
      </c>
      <c r="C1192" s="95" t="s">
        <v>2098</v>
      </c>
      <c r="D1192" s="95" t="str">
        <f t="shared" si="12"/>
        <v>Nyabwishenya</v>
      </c>
      <c r="F1192" s="95">
        <v>751</v>
      </c>
    </row>
    <row r="1193" spans="1:6">
      <c r="A1193" s="95" t="s">
        <v>2107</v>
      </c>
      <c r="B1193" s="95" t="s">
        <v>2097</v>
      </c>
      <c r="C1193" s="95" t="s">
        <v>2098</v>
      </c>
      <c r="D1193" s="95" t="str">
        <f t="shared" si="12"/>
        <v>Nyakabande</v>
      </c>
      <c r="F1193" s="95">
        <v>752</v>
      </c>
    </row>
    <row r="1194" spans="1:6">
      <c r="A1194" s="95" t="s">
        <v>2108</v>
      </c>
      <c r="B1194" s="95" t="s">
        <v>2097</v>
      </c>
      <c r="C1194" s="95" t="s">
        <v>2098</v>
      </c>
      <c r="D1194" s="95" t="str">
        <f t="shared" si="12"/>
        <v>Nyakinama</v>
      </c>
      <c r="F1194" s="95">
        <v>753</v>
      </c>
    </row>
    <row r="1195" spans="1:6">
      <c r="A1195" s="95" t="s">
        <v>2109</v>
      </c>
      <c r="B1195" s="95" t="s">
        <v>2097</v>
      </c>
      <c r="C1195" s="95" t="s">
        <v>2098</v>
      </c>
      <c r="D1195" s="95" t="str">
        <f t="shared" si="12"/>
        <v>Nyarubuye</v>
      </c>
      <c r="F1195" s="95">
        <v>754</v>
      </c>
    </row>
    <row r="1196" spans="1:6">
      <c r="A1196" s="95" t="s">
        <v>2110</v>
      </c>
      <c r="B1196" s="95" t="s">
        <v>2097</v>
      </c>
      <c r="C1196" s="95" t="s">
        <v>2098</v>
      </c>
      <c r="D1196" s="95" t="str">
        <f t="shared" si="12"/>
        <v>Nyarusiza</v>
      </c>
      <c r="F1196" s="95">
        <v>755</v>
      </c>
    </row>
    <row r="1197" spans="1:6">
      <c r="A1197" s="95" t="s">
        <v>2111</v>
      </c>
      <c r="B1197" s="95" t="s">
        <v>2097</v>
      </c>
      <c r="C1197" s="95" t="s">
        <v>2098</v>
      </c>
      <c r="D1197" s="95" t="str">
        <f t="shared" si="12"/>
        <v>Nyundo</v>
      </c>
      <c r="F1197" s="95">
        <v>756</v>
      </c>
    </row>
    <row r="1198" spans="1:6">
      <c r="A1198" s="95" t="s">
        <v>2112</v>
      </c>
      <c r="B1198" s="95" t="s">
        <v>2097</v>
      </c>
      <c r="C1198" s="95" t="s">
        <v>2098</v>
      </c>
      <c r="D1198" s="95" t="str">
        <f t="shared" si="12"/>
        <v>Rubuguri Town Council</v>
      </c>
      <c r="F1198" s="95">
        <v>757</v>
      </c>
    </row>
    <row r="1199" spans="1:6">
      <c r="A1199" s="95" t="s">
        <v>2113</v>
      </c>
      <c r="B1199" s="95" t="s">
        <v>2114</v>
      </c>
      <c r="C1199" s="95" t="s">
        <v>2115</v>
      </c>
      <c r="D1199" s="95" t="str">
        <f t="shared" si="12"/>
        <v>Kitgum Matidi</v>
      </c>
      <c r="F1199" s="95">
        <v>758</v>
      </c>
    </row>
    <row r="1200" spans="1:6">
      <c r="A1200" s="95" t="s">
        <v>2116</v>
      </c>
      <c r="B1200" s="95" t="s">
        <v>2114</v>
      </c>
      <c r="C1200" s="95" t="s">
        <v>2116</v>
      </c>
      <c r="D1200" s="95" t="str">
        <f t="shared" si="12"/>
        <v>Kitgum Municipality</v>
      </c>
      <c r="F1200" s="95">
        <v>759</v>
      </c>
    </row>
    <row r="1201" spans="1:6">
      <c r="A1201" s="95" t="s">
        <v>2114</v>
      </c>
      <c r="F1201" s="95">
        <v>759</v>
      </c>
    </row>
    <row r="1202" spans="1:6">
      <c r="A1202" s="95" t="s">
        <v>2117</v>
      </c>
      <c r="B1202" s="95" t="s">
        <v>2114</v>
      </c>
      <c r="C1202" s="95" t="s">
        <v>2115</v>
      </c>
      <c r="D1202" s="95" t="str">
        <f t="shared" si="12"/>
        <v>Labongo Akwang</v>
      </c>
      <c r="F1202" s="95">
        <v>760</v>
      </c>
    </row>
    <row r="1203" spans="1:6">
      <c r="A1203" s="95" t="s">
        <v>2118</v>
      </c>
      <c r="B1203" s="95" t="s">
        <v>2114</v>
      </c>
      <c r="C1203" s="95" t="s">
        <v>2115</v>
      </c>
      <c r="D1203" s="95" t="str">
        <f t="shared" si="12"/>
        <v>Labongo Amida</v>
      </c>
      <c r="F1203" s="95">
        <v>761</v>
      </c>
    </row>
    <row r="1204" spans="1:6">
      <c r="A1204" s="95" t="s">
        <v>2119</v>
      </c>
      <c r="B1204" s="95" t="s">
        <v>2114</v>
      </c>
      <c r="C1204" s="95" t="s">
        <v>2115</v>
      </c>
      <c r="D1204" s="95" t="str">
        <f t="shared" si="12"/>
        <v>Labongo Layamo</v>
      </c>
      <c r="F1204" s="95">
        <v>762</v>
      </c>
    </row>
    <row r="1205" spans="1:6">
      <c r="A1205" s="95" t="s">
        <v>2120</v>
      </c>
      <c r="B1205" s="95" t="s">
        <v>2114</v>
      </c>
      <c r="C1205" s="95" t="s">
        <v>2115</v>
      </c>
      <c r="D1205" s="95" t="str">
        <f t="shared" si="12"/>
        <v>Lagoro</v>
      </c>
      <c r="F1205" s="95">
        <v>763</v>
      </c>
    </row>
    <row r="1206" spans="1:6">
      <c r="A1206" s="95" t="s">
        <v>2121</v>
      </c>
      <c r="B1206" s="95" t="s">
        <v>2114</v>
      </c>
      <c r="C1206" s="95" t="s">
        <v>2115</v>
      </c>
      <c r="D1206" s="95" t="str">
        <f t="shared" si="12"/>
        <v>Mucwini</v>
      </c>
      <c r="F1206" s="95">
        <v>764</v>
      </c>
    </row>
    <row r="1207" spans="1:6">
      <c r="A1207" s="95" t="s">
        <v>2122</v>
      </c>
      <c r="B1207" s="95" t="s">
        <v>2114</v>
      </c>
      <c r="C1207" s="95" t="s">
        <v>2115</v>
      </c>
      <c r="D1207" s="95" t="str">
        <f t="shared" si="12"/>
        <v>Namokora</v>
      </c>
      <c r="F1207" s="95">
        <v>765</v>
      </c>
    </row>
    <row r="1208" spans="1:6">
      <c r="A1208" s="95" t="s">
        <v>2123</v>
      </c>
      <c r="B1208" s="95" t="s">
        <v>2114</v>
      </c>
      <c r="C1208" s="95" t="s">
        <v>2115</v>
      </c>
      <c r="D1208" s="95" t="str">
        <f t="shared" si="12"/>
        <v>Omiya Anyima</v>
      </c>
      <c r="F1208" s="95">
        <v>766</v>
      </c>
    </row>
    <row r="1209" spans="1:6">
      <c r="A1209" s="95" t="s">
        <v>2124</v>
      </c>
      <c r="B1209" s="95" t="s">
        <v>2114</v>
      </c>
      <c r="C1209" s="95" t="s">
        <v>2115</v>
      </c>
      <c r="D1209" s="95" t="str">
        <f t="shared" si="12"/>
        <v>Orom</v>
      </c>
      <c r="F1209" s="95">
        <v>767</v>
      </c>
    </row>
    <row r="1210" spans="1:6">
      <c r="A1210" s="95" t="s">
        <v>2125</v>
      </c>
      <c r="B1210" s="95" t="s">
        <v>2126</v>
      </c>
      <c r="C1210" s="95" t="s">
        <v>2126</v>
      </c>
      <c r="D1210" s="95" t="str">
        <f t="shared" si="12"/>
        <v>Abuku</v>
      </c>
      <c r="F1210" s="95">
        <v>768</v>
      </c>
    </row>
    <row r="1211" spans="1:6">
      <c r="A1211" s="95" t="s">
        <v>2127</v>
      </c>
      <c r="B1211" s="95" t="s">
        <v>2126</v>
      </c>
      <c r="C1211" s="95" t="s">
        <v>2126</v>
      </c>
      <c r="D1211" s="95" t="str">
        <f t="shared" si="12"/>
        <v>Dranya</v>
      </c>
      <c r="F1211" s="95">
        <v>769</v>
      </c>
    </row>
    <row r="1212" spans="1:6">
      <c r="A1212" s="95" t="s">
        <v>2128</v>
      </c>
      <c r="B1212" s="95" t="s">
        <v>2126</v>
      </c>
      <c r="C1212" s="95" t="s">
        <v>2128</v>
      </c>
      <c r="D1212" s="95" t="str">
        <f t="shared" si="12"/>
        <v>Koboko Municipality</v>
      </c>
      <c r="F1212" s="95">
        <v>770</v>
      </c>
    </row>
    <row r="1213" spans="1:6">
      <c r="A1213" s="95" t="s">
        <v>2129</v>
      </c>
      <c r="B1213" s="95" t="s">
        <v>2126</v>
      </c>
      <c r="C1213" s="95" t="s">
        <v>2126</v>
      </c>
      <c r="D1213" s="95" t="str">
        <f t="shared" si="12"/>
        <v>Kuluba</v>
      </c>
      <c r="F1213" s="95">
        <v>771</v>
      </c>
    </row>
    <row r="1214" spans="1:6">
      <c r="A1214" s="95" t="s">
        <v>2130</v>
      </c>
      <c r="B1214" s="95" t="s">
        <v>2126</v>
      </c>
      <c r="C1214" s="95" t="s">
        <v>2126</v>
      </c>
      <c r="D1214" s="95" t="str">
        <f t="shared" si="12"/>
        <v>Lobule</v>
      </c>
      <c r="F1214" s="95">
        <v>772</v>
      </c>
    </row>
    <row r="1215" spans="1:6">
      <c r="A1215" s="95" t="s">
        <v>2131</v>
      </c>
      <c r="B1215" s="95" t="s">
        <v>2126</v>
      </c>
      <c r="C1215" s="95" t="s">
        <v>2126</v>
      </c>
      <c r="D1215" s="95" t="str">
        <f t="shared" si="12"/>
        <v>Ludara</v>
      </c>
      <c r="F1215" s="95">
        <v>773</v>
      </c>
    </row>
    <row r="1216" spans="1:6">
      <c r="A1216" s="95" t="s">
        <v>2132</v>
      </c>
      <c r="B1216" s="95" t="s">
        <v>2126</v>
      </c>
      <c r="C1216" s="95" t="s">
        <v>2126</v>
      </c>
      <c r="D1216" s="95" t="str">
        <f t="shared" si="12"/>
        <v>Midia</v>
      </c>
      <c r="F1216" s="95">
        <v>774</v>
      </c>
    </row>
    <row r="1217" spans="1:6">
      <c r="A1217" s="95" t="s">
        <v>2133</v>
      </c>
      <c r="B1217" s="95" t="s">
        <v>2134</v>
      </c>
      <c r="C1217" s="95" t="s">
        <v>2134</v>
      </c>
      <c r="D1217" s="95" t="str">
        <f t="shared" si="12"/>
        <v>Aboke</v>
      </c>
      <c r="F1217" s="95">
        <v>775</v>
      </c>
    </row>
    <row r="1218" spans="1:6">
      <c r="A1218" s="95" t="s">
        <v>2135</v>
      </c>
      <c r="B1218" s="95" t="s">
        <v>2134</v>
      </c>
      <c r="C1218" s="95" t="s">
        <v>2134</v>
      </c>
      <c r="D1218" s="95" t="str">
        <f t="shared" si="12"/>
        <v>Akalo</v>
      </c>
      <c r="F1218" s="95">
        <v>776</v>
      </c>
    </row>
    <row r="1219" spans="1:6">
      <c r="A1219" s="95" t="s">
        <v>2136</v>
      </c>
      <c r="B1219" s="95" t="s">
        <v>2134</v>
      </c>
      <c r="C1219" s="95" t="s">
        <v>2134</v>
      </c>
      <c r="D1219" s="95" t="str">
        <f t="shared" ref="D1219:D1290" si="13">A1219</f>
        <v>Alito</v>
      </c>
      <c r="F1219" s="95">
        <v>777</v>
      </c>
    </row>
    <row r="1220" spans="1:6">
      <c r="A1220" s="95" t="s">
        <v>2137</v>
      </c>
      <c r="B1220" s="95" t="s">
        <v>2134</v>
      </c>
      <c r="C1220" s="95" t="s">
        <v>2134</v>
      </c>
      <c r="D1220" s="95" t="str">
        <f t="shared" si="13"/>
        <v>Ayer</v>
      </c>
      <c r="F1220" s="95">
        <v>778</v>
      </c>
    </row>
    <row r="1221" spans="1:6">
      <c r="A1221" s="95" t="s">
        <v>2138</v>
      </c>
      <c r="B1221" s="95" t="s">
        <v>2134</v>
      </c>
      <c r="C1221" s="95" t="s">
        <v>2134</v>
      </c>
      <c r="D1221" s="95" t="str">
        <f t="shared" si="13"/>
        <v>Bala</v>
      </c>
      <c r="F1221" s="95">
        <v>779</v>
      </c>
    </row>
    <row r="1222" spans="1:6">
      <c r="A1222" s="95" t="s">
        <v>2139</v>
      </c>
      <c r="B1222" s="95" t="s">
        <v>2134</v>
      </c>
      <c r="C1222" s="95" t="s">
        <v>2134</v>
      </c>
      <c r="D1222" s="95" t="str">
        <f t="shared" si="13"/>
        <v>Kole Town Council</v>
      </c>
      <c r="F1222" s="95">
        <v>780</v>
      </c>
    </row>
    <row r="1223" spans="1:6">
      <c r="A1223" s="95" t="s">
        <v>2140</v>
      </c>
      <c r="B1223" s="95" t="s">
        <v>2134</v>
      </c>
      <c r="C1223" s="95" t="s">
        <v>2134</v>
      </c>
      <c r="D1223" s="95" t="str">
        <f t="shared" si="13"/>
        <v>Okwerodot</v>
      </c>
      <c r="F1223" s="95">
        <v>781</v>
      </c>
    </row>
    <row r="1224" spans="1:6">
      <c r="A1224" s="95" t="s">
        <v>2141</v>
      </c>
      <c r="B1224" s="95" t="s">
        <v>2142</v>
      </c>
      <c r="C1224" s="95" t="s">
        <v>2143</v>
      </c>
      <c r="D1224" s="95" t="str">
        <f t="shared" si="13"/>
        <v>Kacheri</v>
      </c>
      <c r="F1224" s="95">
        <v>782</v>
      </c>
    </row>
    <row r="1225" spans="1:6">
      <c r="A1225" s="95" t="s">
        <v>2142</v>
      </c>
      <c r="B1225" s="95" t="s">
        <v>2142</v>
      </c>
      <c r="C1225" s="95" t="s">
        <v>2143</v>
      </c>
      <c r="D1225" s="95" t="str">
        <f t="shared" si="13"/>
        <v>Kotido</v>
      </c>
      <c r="F1225" s="95">
        <v>783</v>
      </c>
    </row>
    <row r="1226" spans="1:6">
      <c r="A1226" s="95" t="s">
        <v>2144</v>
      </c>
      <c r="B1226" s="95" t="s">
        <v>2142</v>
      </c>
      <c r="C1226" s="95" t="s">
        <v>2144</v>
      </c>
      <c r="D1226" s="95" t="str">
        <f t="shared" si="13"/>
        <v>Kotido Municipality</v>
      </c>
      <c r="F1226" s="95">
        <v>784</v>
      </c>
    </row>
    <row r="1227" spans="1:6">
      <c r="A1227" s="95" t="s">
        <v>2145</v>
      </c>
      <c r="B1227" s="95" t="s">
        <v>2142</v>
      </c>
      <c r="C1227" s="95" t="s">
        <v>2143</v>
      </c>
      <c r="D1227" s="95" t="str">
        <f t="shared" si="13"/>
        <v>Nakapelimoru</v>
      </c>
      <c r="F1227" s="95">
        <v>785</v>
      </c>
    </row>
    <row r="1228" spans="1:6">
      <c r="A1228" s="95" t="s">
        <v>2146</v>
      </c>
      <c r="B1228" s="95" t="s">
        <v>2142</v>
      </c>
      <c r="C1228" s="95" t="s">
        <v>2143</v>
      </c>
      <c r="D1228" s="95" t="str">
        <f t="shared" si="13"/>
        <v>Panyangara</v>
      </c>
      <c r="F1228" s="95">
        <v>786</v>
      </c>
    </row>
    <row r="1229" spans="1:6">
      <c r="A1229" s="95" t="s">
        <v>2147</v>
      </c>
      <c r="B1229" s="95" t="s">
        <v>2142</v>
      </c>
      <c r="C1229" s="95" t="s">
        <v>2143</v>
      </c>
      <c r="D1229" s="95" t="str">
        <f t="shared" si="13"/>
        <v>Rengen</v>
      </c>
      <c r="F1229" s="95">
        <v>787</v>
      </c>
    </row>
    <row r="1230" spans="1:6">
      <c r="A1230" s="95" t="s">
        <v>2148</v>
      </c>
      <c r="B1230" s="95" t="s">
        <v>2149</v>
      </c>
      <c r="C1230" s="95" t="s">
        <v>2149</v>
      </c>
      <c r="D1230" s="95" t="str">
        <f t="shared" si="13"/>
        <v>Atutur</v>
      </c>
      <c r="F1230" s="95">
        <v>788</v>
      </c>
    </row>
    <row r="1231" spans="1:6">
      <c r="A1231" s="95" t="s">
        <v>2150</v>
      </c>
      <c r="B1231" s="95" t="s">
        <v>2149</v>
      </c>
      <c r="C1231" s="95" t="s">
        <v>2149</v>
      </c>
      <c r="D1231" s="95" t="str">
        <f t="shared" si="13"/>
        <v>Kanyum</v>
      </c>
      <c r="F1231" s="95">
        <v>789</v>
      </c>
    </row>
    <row r="1232" spans="1:6">
      <c r="A1232" s="95" t="s">
        <v>2149</v>
      </c>
      <c r="B1232" s="95" t="s">
        <v>2149</v>
      </c>
      <c r="C1232" s="95" t="s">
        <v>2149</v>
      </c>
      <c r="D1232" s="95" t="str">
        <f t="shared" si="13"/>
        <v>Kumi</v>
      </c>
      <c r="F1232" s="95">
        <v>790</v>
      </c>
    </row>
    <row r="1233" spans="1:6">
      <c r="A1233" s="95" t="s">
        <v>2151</v>
      </c>
      <c r="B1233" s="95" t="s">
        <v>2149</v>
      </c>
      <c r="C1233" s="95" t="s">
        <v>2151</v>
      </c>
      <c r="D1233" s="95" t="str">
        <f t="shared" si="13"/>
        <v>Kumi Municipality</v>
      </c>
      <c r="F1233" s="95">
        <v>791</v>
      </c>
    </row>
    <row r="1234" spans="1:6">
      <c r="A1234" s="95" t="s">
        <v>2152</v>
      </c>
      <c r="B1234" s="95" t="s">
        <v>2149</v>
      </c>
      <c r="C1234" s="95" t="s">
        <v>2149</v>
      </c>
      <c r="D1234" s="95" t="str">
        <f t="shared" si="13"/>
        <v>Mukongoro</v>
      </c>
      <c r="F1234" s="95">
        <v>792</v>
      </c>
    </row>
    <row r="1235" spans="1:6">
      <c r="A1235" s="95" t="s">
        <v>2153</v>
      </c>
      <c r="B1235" s="95" t="s">
        <v>2149</v>
      </c>
      <c r="C1235" s="95" t="s">
        <v>2149</v>
      </c>
      <c r="D1235" s="95" t="str">
        <f t="shared" si="13"/>
        <v>Nyero</v>
      </c>
      <c r="F1235" s="95">
        <v>793</v>
      </c>
    </row>
    <row r="1236" spans="1:6">
      <c r="A1236" s="95" t="s">
        <v>2154</v>
      </c>
      <c r="B1236" s="95" t="s">
        <v>2149</v>
      </c>
      <c r="C1236" s="95" t="s">
        <v>2149</v>
      </c>
      <c r="D1236" s="95" t="str">
        <f t="shared" si="13"/>
        <v>Ongino</v>
      </c>
      <c r="F1236" s="95">
        <v>794</v>
      </c>
    </row>
    <row r="1237" spans="1:6">
      <c r="A1237" s="95" t="s">
        <v>2155</v>
      </c>
      <c r="B1237" s="95" t="s">
        <v>2156</v>
      </c>
      <c r="C1237" s="95" t="s">
        <v>2156</v>
      </c>
      <c r="D1237" s="95" t="str">
        <f t="shared" si="13"/>
        <v>Benet</v>
      </c>
      <c r="F1237" s="95">
        <v>795</v>
      </c>
    </row>
    <row r="1238" spans="1:6">
      <c r="A1238" s="95" t="s">
        <v>2157</v>
      </c>
      <c r="B1238" s="95" t="s">
        <v>2156</v>
      </c>
      <c r="C1238" s="95" t="s">
        <v>2156</v>
      </c>
      <c r="D1238" s="95" t="str">
        <f t="shared" si="13"/>
        <v>Binyiny</v>
      </c>
      <c r="F1238" s="95">
        <v>796</v>
      </c>
    </row>
    <row r="1239" spans="1:6">
      <c r="A1239" s="95" t="s">
        <v>2158</v>
      </c>
      <c r="B1239" s="95" t="s">
        <v>2156</v>
      </c>
      <c r="C1239" s="95" t="s">
        <v>2156</v>
      </c>
      <c r="D1239" s="95" t="str">
        <f t="shared" si="13"/>
        <v>Binyiny Town Council</v>
      </c>
      <c r="F1239" s="95">
        <v>797</v>
      </c>
    </row>
    <row r="1240" spans="1:6">
      <c r="A1240" s="95" t="s">
        <v>2159</v>
      </c>
      <c r="B1240" s="95" t="s">
        <v>2156</v>
      </c>
      <c r="C1240" s="95" t="s">
        <v>2156</v>
      </c>
      <c r="D1240" s="95" t="str">
        <f t="shared" si="13"/>
        <v>Kaproron</v>
      </c>
      <c r="F1240" s="95">
        <v>798</v>
      </c>
    </row>
    <row r="1241" spans="1:6">
      <c r="A1241" s="95" t="s">
        <v>2160</v>
      </c>
      <c r="B1241" s="95" t="s">
        <v>2156</v>
      </c>
      <c r="C1241" s="95" t="s">
        <v>2156</v>
      </c>
      <c r="D1241" s="95" t="str">
        <f t="shared" si="13"/>
        <v>Kaptoyoy</v>
      </c>
      <c r="F1241" s="95">
        <v>799</v>
      </c>
    </row>
    <row r="1242" spans="1:6">
      <c r="A1242" s="95" t="s">
        <v>2161</v>
      </c>
      <c r="B1242" s="95" t="s">
        <v>2156</v>
      </c>
      <c r="C1242" s="95" t="s">
        <v>2156</v>
      </c>
      <c r="D1242" s="95" t="str">
        <f t="shared" si="13"/>
        <v>Kaptum</v>
      </c>
      <c r="F1242" s="95">
        <v>800</v>
      </c>
    </row>
    <row r="1243" spans="1:6">
      <c r="A1243" s="95" t="s">
        <v>2162</v>
      </c>
      <c r="B1243" s="95" t="s">
        <v>2156</v>
      </c>
      <c r="C1243" s="95" t="s">
        <v>2156</v>
      </c>
      <c r="D1243" s="95" t="str">
        <f t="shared" si="13"/>
        <v>Kiriki</v>
      </c>
      <c r="F1243" s="95">
        <v>801</v>
      </c>
    </row>
    <row r="1244" spans="1:6">
      <c r="A1244" s="95" t="s">
        <v>2163</v>
      </c>
      <c r="B1244" s="95" t="s">
        <v>2156</v>
      </c>
      <c r="C1244" s="95" t="s">
        <v>2156</v>
      </c>
      <c r="D1244" s="95" t="str">
        <f t="shared" si="13"/>
        <v>Kitawoi</v>
      </c>
      <c r="F1244" s="95">
        <v>802</v>
      </c>
    </row>
    <row r="1245" spans="1:6">
      <c r="A1245" s="95" t="s">
        <v>2164</v>
      </c>
      <c r="B1245" s="95" t="s">
        <v>2156</v>
      </c>
      <c r="C1245" s="95" t="s">
        <v>2156</v>
      </c>
      <c r="D1245" s="95" t="str">
        <f t="shared" si="13"/>
        <v>Kwanyiy</v>
      </c>
      <c r="F1245" s="95">
        <v>803</v>
      </c>
    </row>
    <row r="1246" spans="1:6">
      <c r="A1246" s="95" t="s">
        <v>2165</v>
      </c>
      <c r="B1246" s="95" t="s">
        <v>2156</v>
      </c>
      <c r="C1246" s="95" t="s">
        <v>2156</v>
      </c>
      <c r="D1246" s="95" t="str">
        <f t="shared" si="13"/>
        <v>Kwosir</v>
      </c>
      <c r="F1246" s="95">
        <v>804</v>
      </c>
    </row>
    <row r="1247" spans="1:6">
      <c r="A1247" s="95" t="s">
        <v>2166</v>
      </c>
      <c r="B1247" s="95" t="s">
        <v>2156</v>
      </c>
      <c r="C1247" s="95" t="s">
        <v>2156</v>
      </c>
      <c r="D1247" s="95" t="str">
        <f t="shared" si="13"/>
        <v>Moyok</v>
      </c>
      <c r="F1247" s="95">
        <v>805</v>
      </c>
    </row>
    <row r="1248" spans="1:6">
      <c r="A1248" s="95" t="s">
        <v>2167</v>
      </c>
      <c r="B1248" s="95" t="s">
        <v>2156</v>
      </c>
      <c r="C1248" s="95" t="s">
        <v>2156</v>
      </c>
      <c r="D1248" s="95" t="str">
        <f t="shared" si="13"/>
        <v>Ngenge</v>
      </c>
      <c r="F1248" s="95">
        <v>806</v>
      </c>
    </row>
    <row r="1249" spans="1:6">
      <c r="A1249" s="95" t="s">
        <v>2168</v>
      </c>
      <c r="B1249" s="95" t="s">
        <v>2169</v>
      </c>
      <c r="C1249" s="95" t="s">
        <v>2042</v>
      </c>
      <c r="D1249" s="95" t="str">
        <f t="shared" si="13"/>
        <v>Bananywa</v>
      </c>
      <c r="F1249" s="95">
        <v>807</v>
      </c>
    </row>
    <row r="1250" spans="1:6">
      <c r="A1250" s="95" t="s">
        <v>2170</v>
      </c>
      <c r="B1250" s="95" t="s">
        <v>2169</v>
      </c>
      <c r="C1250" s="95" t="s">
        <v>2042</v>
      </c>
      <c r="D1250" s="95" t="str">
        <f t="shared" si="13"/>
        <v>Butemba</v>
      </c>
      <c r="F1250" s="95">
        <v>808</v>
      </c>
    </row>
    <row r="1251" spans="1:6">
      <c r="A1251" s="95" t="s">
        <v>2171</v>
      </c>
      <c r="B1251" s="95" t="s">
        <v>2169</v>
      </c>
      <c r="C1251" s="95" t="s">
        <v>2042</v>
      </c>
      <c r="D1251" s="95" t="str">
        <f t="shared" si="13"/>
        <v>Butemba Town Council</v>
      </c>
      <c r="F1251" s="95">
        <v>809</v>
      </c>
    </row>
    <row r="1252" spans="1:6">
      <c r="A1252" s="95" t="s">
        <v>2172</v>
      </c>
      <c r="B1252" s="95" t="s">
        <v>2169</v>
      </c>
      <c r="C1252" s="95" t="s">
        <v>2042</v>
      </c>
      <c r="D1252" s="95" t="str">
        <f t="shared" si="13"/>
        <v>Byerima</v>
      </c>
      <c r="F1252" s="95">
        <v>810</v>
      </c>
    </row>
    <row r="1253" spans="1:6">
      <c r="A1253" s="95" t="s">
        <v>2173</v>
      </c>
      <c r="B1253" s="95" t="s">
        <v>2169</v>
      </c>
      <c r="C1253" s="95" t="s">
        <v>2042</v>
      </c>
      <c r="D1253" s="95" t="str">
        <f t="shared" si="13"/>
        <v>Gayaza</v>
      </c>
      <c r="F1253" s="95">
        <v>811</v>
      </c>
    </row>
    <row r="1254" spans="1:6">
      <c r="A1254" s="95" t="s">
        <v>2174</v>
      </c>
      <c r="F1254" s="95">
        <v>811</v>
      </c>
    </row>
    <row r="1255" spans="1:6">
      <c r="A1255" s="95" t="s">
        <v>2175</v>
      </c>
      <c r="D1255" s="95" t="str">
        <f t="shared" si="13"/>
        <v>Gayaza rd</v>
      </c>
      <c r="F1255" s="95">
        <v>811</v>
      </c>
    </row>
    <row r="1256" spans="1:6">
      <c r="A1256" s="95" t="s">
        <v>226</v>
      </c>
      <c r="F1256" s="95">
        <v>811</v>
      </c>
    </row>
    <row r="1257" spans="1:6">
      <c r="A1257" s="95" t="s">
        <v>2176</v>
      </c>
      <c r="D1257" s="95" t="str">
        <f t="shared" si="13"/>
        <v>Kabumba</v>
      </c>
      <c r="F1257" s="95">
        <v>811</v>
      </c>
    </row>
    <row r="1258" spans="1:6">
      <c r="A1258" s="95" t="s">
        <v>375</v>
      </c>
      <c r="F1258" s="95">
        <v>811</v>
      </c>
    </row>
    <row r="1259" spans="1:6">
      <c r="A1259" s="95" t="s">
        <v>2169</v>
      </c>
      <c r="B1259" s="95" t="s">
        <v>2169</v>
      </c>
      <c r="C1259" s="95" t="s">
        <v>2042</v>
      </c>
      <c r="D1259" s="95" t="str">
        <f t="shared" si="13"/>
        <v>Kyankwanzi</v>
      </c>
      <c r="F1259" s="95">
        <v>812</v>
      </c>
    </row>
    <row r="1260" spans="1:6">
      <c r="A1260" s="95" t="s">
        <v>2177</v>
      </c>
      <c r="F1260" s="95">
        <v>812</v>
      </c>
    </row>
    <row r="1261" spans="1:6">
      <c r="A1261" s="95" t="s">
        <v>2178</v>
      </c>
      <c r="B1261" s="95" t="s">
        <v>2169</v>
      </c>
      <c r="C1261" s="95" t="s">
        <v>2042</v>
      </c>
      <c r="D1261" s="95" t="str">
        <f t="shared" si="13"/>
        <v>Kyankwanzi Town Council</v>
      </c>
      <c r="F1261" s="95">
        <v>813</v>
      </c>
    </row>
    <row r="1262" spans="1:6">
      <c r="A1262" s="95" t="s">
        <v>2179</v>
      </c>
      <c r="F1262" s="95">
        <v>813</v>
      </c>
    </row>
    <row r="1263" spans="1:6">
      <c r="A1263" s="95" t="s">
        <v>2180</v>
      </c>
      <c r="D1263" s="95" t="str">
        <f t="shared" si="13"/>
        <v>KYANKWANZI TOWN</v>
      </c>
      <c r="F1263" s="95">
        <v>813</v>
      </c>
    </row>
    <row r="1264" spans="1:6">
      <c r="A1264" s="95" t="s">
        <v>2181</v>
      </c>
      <c r="B1264" s="95" t="s">
        <v>2169</v>
      </c>
      <c r="C1264" s="95" t="s">
        <v>2042</v>
      </c>
      <c r="D1264" s="95" t="str">
        <f t="shared" si="13"/>
        <v>Mulagi</v>
      </c>
      <c r="F1264" s="95">
        <v>814</v>
      </c>
    </row>
    <row r="1265" spans="1:6">
      <c r="A1265" s="95" t="s">
        <v>2182</v>
      </c>
      <c r="B1265" s="95" t="s">
        <v>2169</v>
      </c>
      <c r="C1265" s="95" t="s">
        <v>2042</v>
      </c>
      <c r="D1265" s="95" t="str">
        <f t="shared" si="13"/>
        <v>Nkandwa</v>
      </c>
      <c r="F1265" s="95">
        <v>815</v>
      </c>
    </row>
    <row r="1266" spans="1:6">
      <c r="A1266" s="95" t="s">
        <v>1870</v>
      </c>
      <c r="B1266" s="95" t="s">
        <v>2169</v>
      </c>
      <c r="C1266" s="95" t="s">
        <v>2042</v>
      </c>
      <c r="D1266" s="95" t="str">
        <f t="shared" si="13"/>
        <v>Nsambya</v>
      </c>
      <c r="F1266" s="95">
        <v>816</v>
      </c>
    </row>
    <row r="1267" spans="1:6">
      <c r="A1267" s="95" t="s">
        <v>2183</v>
      </c>
      <c r="B1267" s="95" t="s">
        <v>2169</v>
      </c>
      <c r="C1267" s="95" t="s">
        <v>2042</v>
      </c>
      <c r="D1267" s="95" t="str">
        <f t="shared" si="13"/>
        <v>Ntwetwe</v>
      </c>
      <c r="F1267" s="95">
        <v>817</v>
      </c>
    </row>
    <row r="1268" spans="1:6">
      <c r="A1268" s="95" t="s">
        <v>2184</v>
      </c>
      <c r="B1268" s="95" t="s">
        <v>2169</v>
      </c>
      <c r="C1268" s="95" t="s">
        <v>2042</v>
      </c>
      <c r="D1268" s="95" t="str">
        <f t="shared" si="13"/>
        <v>Ntwetwe Town Council</v>
      </c>
      <c r="F1268" s="95">
        <v>818</v>
      </c>
    </row>
    <row r="1269" spans="1:6">
      <c r="A1269" s="95" t="s">
        <v>2185</v>
      </c>
      <c r="B1269" s="95" t="s">
        <v>2169</v>
      </c>
      <c r="C1269" s="95" t="s">
        <v>2042</v>
      </c>
      <c r="D1269" s="95" t="str">
        <f t="shared" si="13"/>
        <v>Wattuba</v>
      </c>
      <c r="F1269" s="95">
        <v>819</v>
      </c>
    </row>
    <row r="1270" spans="1:6">
      <c r="A1270" s="95" t="s">
        <v>2186</v>
      </c>
      <c r="B1270" s="95" t="s">
        <v>2187</v>
      </c>
      <c r="C1270" s="95" t="s">
        <v>2188</v>
      </c>
      <c r="D1270" s="95" t="str">
        <f t="shared" si="13"/>
        <v>Hapuuyo</v>
      </c>
      <c r="F1270" s="95">
        <v>820</v>
      </c>
    </row>
    <row r="1271" spans="1:6">
      <c r="A1271" s="95" t="s">
        <v>2189</v>
      </c>
      <c r="B1271" s="95" t="s">
        <v>2187</v>
      </c>
      <c r="C1271" s="95" t="s">
        <v>2188</v>
      </c>
      <c r="D1271" s="95" t="str">
        <f t="shared" si="13"/>
        <v>Kabweza Kyegegwa</v>
      </c>
      <c r="F1271" s="95">
        <v>821</v>
      </c>
    </row>
    <row r="1272" spans="1:6">
      <c r="A1272" s="95" t="s">
        <v>2190</v>
      </c>
      <c r="B1272" s="95" t="s">
        <v>2187</v>
      </c>
      <c r="C1272" s="95" t="s">
        <v>2188</v>
      </c>
      <c r="D1272" s="95" t="str">
        <f t="shared" si="13"/>
        <v>Kakabara</v>
      </c>
      <c r="F1272" s="95">
        <v>822</v>
      </c>
    </row>
    <row r="1273" spans="1:6">
      <c r="A1273" s="95" t="s">
        <v>2191</v>
      </c>
      <c r="B1273" s="95" t="s">
        <v>2187</v>
      </c>
      <c r="C1273" s="95" t="s">
        <v>2188</v>
      </c>
      <c r="D1273" s="95" t="str">
        <f t="shared" si="13"/>
        <v>Kasule</v>
      </c>
      <c r="F1273" s="95">
        <v>823</v>
      </c>
    </row>
    <row r="1274" spans="1:6">
      <c r="A1274" s="95" t="s">
        <v>2192</v>
      </c>
      <c r="B1274" s="95" t="s">
        <v>2187</v>
      </c>
      <c r="C1274" s="95" t="s">
        <v>2188</v>
      </c>
      <c r="D1274" s="95" t="str">
        <f t="shared" si="13"/>
        <v>Kyaka Ii Refugee Camp</v>
      </c>
      <c r="F1274" s="95">
        <v>824</v>
      </c>
    </row>
    <row r="1275" spans="1:6">
      <c r="A1275" s="95" t="s">
        <v>2193</v>
      </c>
      <c r="B1275" s="95" t="s">
        <v>2187</v>
      </c>
      <c r="C1275" s="95" t="s">
        <v>2188</v>
      </c>
      <c r="D1275" s="95" t="str">
        <f t="shared" si="13"/>
        <v>Kyegegwa Town Council</v>
      </c>
      <c r="F1275" s="95">
        <v>825</v>
      </c>
    </row>
    <row r="1276" spans="1:6">
      <c r="A1276" s="95" t="s">
        <v>2194</v>
      </c>
      <c r="B1276" s="95" t="s">
        <v>2187</v>
      </c>
      <c r="C1276" s="95" t="s">
        <v>2188</v>
      </c>
      <c r="D1276" s="95" t="str">
        <f t="shared" si="13"/>
        <v>Mpara</v>
      </c>
      <c r="F1276" s="95">
        <v>826</v>
      </c>
    </row>
    <row r="1277" spans="1:6">
      <c r="A1277" s="95" t="s">
        <v>2195</v>
      </c>
      <c r="B1277" s="95" t="s">
        <v>2187</v>
      </c>
      <c r="C1277" s="95" t="s">
        <v>2188</v>
      </c>
      <c r="D1277" s="95" t="str">
        <f t="shared" si="13"/>
        <v>Ruyonza</v>
      </c>
      <c r="F1277" s="95">
        <v>827</v>
      </c>
    </row>
    <row r="1278" spans="1:6">
      <c r="A1278" s="95" t="s">
        <v>2196</v>
      </c>
      <c r="B1278" s="95" t="s">
        <v>2187</v>
      </c>
      <c r="C1278" s="95" t="s">
        <v>2188</v>
      </c>
      <c r="D1278" s="95" t="str">
        <f t="shared" si="13"/>
        <v>Rwentuha</v>
      </c>
      <c r="F1278" s="95">
        <v>828</v>
      </c>
    </row>
    <row r="1279" spans="1:6">
      <c r="A1279" s="95" t="s">
        <v>2197</v>
      </c>
      <c r="B1279" s="95" t="s">
        <v>2198</v>
      </c>
      <c r="C1279" s="95" t="s">
        <v>2199</v>
      </c>
      <c r="D1279" s="95" t="str">
        <f t="shared" si="13"/>
        <v>Bufunjo</v>
      </c>
      <c r="F1279" s="95">
        <v>829</v>
      </c>
    </row>
    <row r="1280" spans="1:6">
      <c r="A1280" s="95" t="s">
        <v>2200</v>
      </c>
      <c r="B1280" s="95" t="s">
        <v>2198</v>
      </c>
      <c r="C1280" s="95" t="s">
        <v>2199</v>
      </c>
      <c r="D1280" s="95" t="str">
        <f t="shared" si="13"/>
        <v>Bugaaki</v>
      </c>
      <c r="F1280" s="95">
        <v>830</v>
      </c>
    </row>
    <row r="1281" spans="1:6">
      <c r="A1281" s="95" t="s">
        <v>2201</v>
      </c>
      <c r="B1281" s="95" t="s">
        <v>2198</v>
      </c>
      <c r="C1281" s="95" t="s">
        <v>2199</v>
      </c>
      <c r="D1281" s="95" t="str">
        <f t="shared" si="13"/>
        <v>Butiiti</v>
      </c>
      <c r="F1281" s="95">
        <v>831</v>
      </c>
    </row>
    <row r="1282" spans="1:6">
      <c r="A1282" s="95" t="s">
        <v>2202</v>
      </c>
      <c r="B1282" s="95" t="s">
        <v>2198</v>
      </c>
      <c r="C1282" s="95" t="s">
        <v>2199</v>
      </c>
      <c r="D1282" s="95" t="str">
        <f t="shared" si="13"/>
        <v>Butunduzi</v>
      </c>
      <c r="F1282" s="95">
        <v>832</v>
      </c>
    </row>
    <row r="1283" spans="1:6">
      <c r="A1283" s="95" t="s">
        <v>2203</v>
      </c>
      <c r="B1283" s="95" t="s">
        <v>2198</v>
      </c>
      <c r="C1283" s="95" t="s">
        <v>2199</v>
      </c>
      <c r="D1283" s="95" t="str">
        <f t="shared" si="13"/>
        <v>Butunduzi Town Council</v>
      </c>
      <c r="F1283" s="95">
        <v>833</v>
      </c>
    </row>
    <row r="1284" spans="1:6">
      <c r="A1284" s="95" t="s">
        <v>2204</v>
      </c>
      <c r="B1284" s="95" t="s">
        <v>2198</v>
      </c>
      <c r="C1284" s="95" t="s">
        <v>2199</v>
      </c>
      <c r="D1284" s="95" t="str">
        <f t="shared" si="13"/>
        <v>Katooke</v>
      </c>
      <c r="F1284" s="95">
        <v>834</v>
      </c>
    </row>
    <row r="1285" spans="1:6">
      <c r="A1285" s="95" t="s">
        <v>2205</v>
      </c>
      <c r="B1285" s="95" t="s">
        <v>2198</v>
      </c>
      <c r="C1285" s="95" t="s">
        <v>2199</v>
      </c>
      <c r="D1285" s="95" t="str">
        <f t="shared" si="13"/>
        <v>Katooke Town Council</v>
      </c>
      <c r="F1285" s="95">
        <v>835</v>
      </c>
    </row>
    <row r="1286" spans="1:6">
      <c r="A1286" s="95" t="s">
        <v>2206</v>
      </c>
      <c r="B1286" s="95" t="s">
        <v>2198</v>
      </c>
      <c r="C1286" s="95" t="s">
        <v>2199</v>
      </c>
      <c r="D1286" s="95" t="str">
        <f t="shared" si="13"/>
        <v>Kigaraale</v>
      </c>
      <c r="F1286" s="95">
        <v>836</v>
      </c>
    </row>
    <row r="1287" spans="1:6">
      <c r="A1287" s="95" t="s">
        <v>2207</v>
      </c>
      <c r="B1287" s="95" t="s">
        <v>2198</v>
      </c>
      <c r="C1287" s="95" t="s">
        <v>2199</v>
      </c>
      <c r="D1287" s="95" t="str">
        <f t="shared" si="13"/>
        <v>Kihuura</v>
      </c>
      <c r="F1287" s="95">
        <v>837</v>
      </c>
    </row>
    <row r="1288" spans="1:6">
      <c r="A1288" s="95" t="s">
        <v>2208</v>
      </c>
      <c r="B1288" s="95" t="s">
        <v>2198</v>
      </c>
      <c r="C1288" s="95" t="s">
        <v>2199</v>
      </c>
      <c r="D1288" s="95" t="str">
        <f t="shared" si="13"/>
        <v>Kisojo</v>
      </c>
      <c r="F1288" s="95">
        <v>838</v>
      </c>
    </row>
    <row r="1289" spans="1:6">
      <c r="A1289" s="95" t="s">
        <v>2209</v>
      </c>
      <c r="B1289" s="95" t="s">
        <v>2198</v>
      </c>
      <c r="C1289" s="95" t="s">
        <v>2199</v>
      </c>
      <c r="D1289" s="95" t="str">
        <f t="shared" si="13"/>
        <v>Kyarusozi</v>
      </c>
      <c r="F1289" s="95">
        <v>839</v>
      </c>
    </row>
    <row r="1290" spans="1:6">
      <c r="A1290" s="95" t="s">
        <v>2210</v>
      </c>
      <c r="B1290" s="95" t="s">
        <v>2198</v>
      </c>
      <c r="C1290" s="95" t="s">
        <v>2199</v>
      </c>
      <c r="D1290" s="95" t="str">
        <f t="shared" si="13"/>
        <v>Kyarusozi Town Council</v>
      </c>
      <c r="F1290" s="95">
        <v>840</v>
      </c>
    </row>
    <row r="1291" spans="1:6">
      <c r="A1291" s="95" t="s">
        <v>2211</v>
      </c>
      <c r="B1291" s="95" t="s">
        <v>2198</v>
      </c>
      <c r="C1291" s="95" t="s">
        <v>2199</v>
      </c>
      <c r="D1291" s="95" t="str">
        <f t="shared" ref="D1291:D1368" si="14">A1291</f>
        <v>Kyenjojo Town Council</v>
      </c>
      <c r="F1291" s="95">
        <v>841</v>
      </c>
    </row>
    <row r="1292" spans="1:6">
      <c r="A1292" s="95" t="s">
        <v>2212</v>
      </c>
      <c r="B1292" s="95" t="s">
        <v>2198</v>
      </c>
      <c r="C1292" s="95" t="s">
        <v>2199</v>
      </c>
      <c r="D1292" s="95" t="str">
        <f t="shared" si="14"/>
        <v>Nyabuharwa</v>
      </c>
      <c r="F1292" s="95">
        <v>842</v>
      </c>
    </row>
    <row r="1293" spans="1:6">
      <c r="A1293" s="95" t="s">
        <v>2213</v>
      </c>
      <c r="B1293" s="95" t="s">
        <v>2198</v>
      </c>
      <c r="C1293" s="95" t="s">
        <v>2199</v>
      </c>
      <c r="D1293" s="95" t="str">
        <f t="shared" si="14"/>
        <v>Nyankwanzi</v>
      </c>
      <c r="F1293" s="95">
        <v>843</v>
      </c>
    </row>
    <row r="1294" spans="1:6">
      <c r="A1294" s="95" t="s">
        <v>2214</v>
      </c>
      <c r="B1294" s="95" t="s">
        <v>2198</v>
      </c>
      <c r="C1294" s="95" t="s">
        <v>2199</v>
      </c>
      <c r="D1294" s="95" t="str">
        <f t="shared" si="14"/>
        <v>Nyantungo</v>
      </c>
      <c r="F1294" s="95">
        <v>844</v>
      </c>
    </row>
    <row r="1295" spans="1:6">
      <c r="A1295" s="95" t="s">
        <v>2215</v>
      </c>
      <c r="B1295" s="95" t="s">
        <v>2216</v>
      </c>
      <c r="C1295" s="95" t="s">
        <v>2216</v>
      </c>
      <c r="D1295" s="95" t="str">
        <f t="shared" si="14"/>
        <v>Kabira</v>
      </c>
      <c r="F1295" s="95">
        <v>845</v>
      </c>
    </row>
    <row r="1296" spans="1:6">
      <c r="A1296" s="95" t="s">
        <v>2217</v>
      </c>
      <c r="B1296" s="95" t="s">
        <v>2216</v>
      </c>
      <c r="C1296" s="95" t="s">
        <v>2216</v>
      </c>
      <c r="D1296" s="95" t="str">
        <f t="shared" si="14"/>
        <v>Kalisizo</v>
      </c>
      <c r="F1296" s="95">
        <v>846</v>
      </c>
    </row>
    <row r="1297" spans="1:6">
      <c r="A1297" s="95" t="s">
        <v>2218</v>
      </c>
      <c r="B1297" s="95" t="s">
        <v>2216</v>
      </c>
      <c r="C1297" s="95" t="s">
        <v>2216</v>
      </c>
      <c r="D1297" s="95" t="str">
        <f t="shared" si="14"/>
        <v>Kalisizo Town Council</v>
      </c>
      <c r="F1297" s="95">
        <v>847</v>
      </c>
    </row>
    <row r="1298" spans="1:6">
      <c r="A1298" s="95" t="s">
        <v>2219</v>
      </c>
      <c r="B1298" s="95" t="s">
        <v>2216</v>
      </c>
      <c r="C1298" s="95" t="s">
        <v>2220</v>
      </c>
      <c r="D1298" s="95" t="str">
        <f t="shared" si="14"/>
        <v>Kasasa</v>
      </c>
      <c r="F1298" s="95">
        <v>848</v>
      </c>
    </row>
    <row r="1299" spans="1:6">
      <c r="A1299" s="95" t="s">
        <v>2086</v>
      </c>
      <c r="B1299" s="95" t="s">
        <v>2216</v>
      </c>
      <c r="C1299" s="95" t="s">
        <v>2220</v>
      </c>
      <c r="D1299" s="95" t="str">
        <f t="shared" si="14"/>
        <v>Kibanda</v>
      </c>
      <c r="F1299" s="95">
        <v>849</v>
      </c>
    </row>
    <row r="1300" spans="1:6">
      <c r="A1300" s="95" t="s">
        <v>2221</v>
      </c>
      <c r="B1300" s="95" t="s">
        <v>2216</v>
      </c>
      <c r="C1300" s="95" t="s">
        <v>2216</v>
      </c>
      <c r="D1300" s="95" t="str">
        <f t="shared" si="14"/>
        <v>Kirumba</v>
      </c>
      <c r="F1300" s="95">
        <v>850</v>
      </c>
    </row>
    <row r="1301" spans="1:6">
      <c r="A1301" s="95" t="s">
        <v>2222</v>
      </c>
      <c r="B1301" s="95" t="s">
        <v>2216</v>
      </c>
      <c r="C1301" s="95" t="s">
        <v>2220</v>
      </c>
      <c r="D1301" s="95" t="str">
        <f t="shared" si="14"/>
        <v>Kyebe</v>
      </c>
      <c r="F1301" s="95">
        <v>851</v>
      </c>
    </row>
    <row r="1302" spans="1:6">
      <c r="A1302" s="95" t="s">
        <v>2223</v>
      </c>
      <c r="B1302" s="95" t="s">
        <v>2216</v>
      </c>
      <c r="C1302" s="95" t="s">
        <v>2216</v>
      </c>
      <c r="D1302" s="95" t="str">
        <f t="shared" si="14"/>
        <v>Kyotera Town Council</v>
      </c>
      <c r="F1302" s="95">
        <v>852</v>
      </c>
    </row>
    <row r="1303" spans="1:6">
      <c r="A1303" s="95" t="s">
        <v>2224</v>
      </c>
      <c r="D1303" s="95" t="str">
        <f t="shared" si="14"/>
        <v xml:space="preserve">KYOTERA </v>
      </c>
      <c r="F1303" s="95">
        <v>852</v>
      </c>
    </row>
    <row r="1304" spans="1:6">
      <c r="A1304" s="95" t="s">
        <v>2225</v>
      </c>
      <c r="B1304" s="95" t="s">
        <v>2216</v>
      </c>
      <c r="C1304" s="95" t="s">
        <v>2216</v>
      </c>
      <c r="D1304" s="95" t="str">
        <f t="shared" si="14"/>
        <v>Lwankoni</v>
      </c>
      <c r="F1304" s="95">
        <v>853</v>
      </c>
    </row>
    <row r="1305" spans="1:6">
      <c r="A1305" s="95" t="s">
        <v>2226</v>
      </c>
      <c r="B1305" s="95" t="s">
        <v>2216</v>
      </c>
      <c r="C1305" s="95" t="s">
        <v>2216</v>
      </c>
      <c r="D1305" s="95" t="str">
        <f t="shared" si="14"/>
        <v>Nabigasa</v>
      </c>
      <c r="F1305" s="95">
        <v>854</v>
      </c>
    </row>
    <row r="1306" spans="1:6">
      <c r="A1306" s="95" t="s">
        <v>2227</v>
      </c>
      <c r="B1306" s="95" t="s">
        <v>2228</v>
      </c>
      <c r="C1306" s="95" t="s">
        <v>2228</v>
      </c>
      <c r="D1306" s="95" t="str">
        <f t="shared" si="14"/>
        <v>Agoro</v>
      </c>
      <c r="F1306" s="95">
        <v>855</v>
      </c>
    </row>
    <row r="1307" spans="1:6">
      <c r="A1307" s="95" t="s">
        <v>2229</v>
      </c>
      <c r="B1307" s="95" t="s">
        <v>2228</v>
      </c>
      <c r="C1307" s="95" t="s">
        <v>2228</v>
      </c>
      <c r="D1307" s="95" t="str">
        <f t="shared" si="14"/>
        <v>Lamwo Town Council</v>
      </c>
      <c r="F1307" s="95">
        <v>856</v>
      </c>
    </row>
    <row r="1308" spans="1:6">
      <c r="A1308" s="95" t="s">
        <v>2230</v>
      </c>
      <c r="B1308" s="95" t="s">
        <v>2228</v>
      </c>
      <c r="C1308" s="95" t="s">
        <v>2228</v>
      </c>
      <c r="D1308" s="95" t="str">
        <f t="shared" si="14"/>
        <v>Lokung</v>
      </c>
      <c r="F1308" s="95">
        <v>857</v>
      </c>
    </row>
    <row r="1309" spans="1:6">
      <c r="A1309" s="95" t="s">
        <v>2231</v>
      </c>
      <c r="B1309" s="95" t="s">
        <v>2228</v>
      </c>
      <c r="C1309" s="95" t="s">
        <v>2228</v>
      </c>
      <c r="D1309" s="95" t="str">
        <f t="shared" si="14"/>
        <v>Madi Opei</v>
      </c>
      <c r="F1309" s="95">
        <v>858</v>
      </c>
    </row>
    <row r="1310" spans="1:6">
      <c r="A1310" s="96" t="s">
        <v>2232</v>
      </c>
      <c r="B1310" s="95" t="s">
        <v>2228</v>
      </c>
      <c r="C1310" s="95" t="s">
        <v>2228</v>
      </c>
      <c r="D1310" s="95" t="str">
        <f t="shared" si="14"/>
        <v>Padibe</v>
      </c>
      <c r="F1310" s="95">
        <v>859</v>
      </c>
    </row>
    <row r="1311" spans="1:6">
      <c r="A1311" s="96" t="s">
        <v>2233</v>
      </c>
      <c r="B1311" s="95" t="s">
        <v>2228</v>
      </c>
      <c r="C1311" s="95" t="s">
        <v>2228</v>
      </c>
      <c r="D1311" s="95" t="str">
        <f t="shared" si="14"/>
        <v>Palabek</v>
      </c>
      <c r="F1311" s="95">
        <v>860</v>
      </c>
    </row>
    <row r="1312" spans="1:6">
      <c r="A1312" s="95" t="s">
        <v>2234</v>
      </c>
      <c r="B1312" s="95" t="s">
        <v>2228</v>
      </c>
      <c r="C1312" s="95" t="s">
        <v>2228</v>
      </c>
      <c r="D1312" s="95" t="str">
        <f t="shared" si="14"/>
        <v>Paloga</v>
      </c>
      <c r="F1312" s="95">
        <v>861</v>
      </c>
    </row>
    <row r="1313" spans="1:6">
      <c r="A1313" s="95" t="s">
        <v>2235</v>
      </c>
      <c r="B1313" s="95" t="s">
        <v>2236</v>
      </c>
      <c r="C1313" s="95" t="s">
        <v>2237</v>
      </c>
      <c r="D1313" s="95" t="str">
        <f t="shared" si="14"/>
        <v>Adekokwok</v>
      </c>
      <c r="F1313" s="95">
        <v>862</v>
      </c>
    </row>
    <row r="1314" spans="1:6">
      <c r="A1314" s="95" t="s">
        <v>2238</v>
      </c>
      <c r="B1314" s="95" t="s">
        <v>2236</v>
      </c>
      <c r="C1314" s="95" t="s">
        <v>2237</v>
      </c>
      <c r="D1314" s="95" t="str">
        <f t="shared" si="14"/>
        <v>Agali</v>
      </c>
      <c r="F1314" s="95">
        <v>863</v>
      </c>
    </row>
    <row r="1315" spans="1:6">
      <c r="A1315" s="95" t="s">
        <v>2239</v>
      </c>
      <c r="B1315" s="95" t="s">
        <v>2236</v>
      </c>
      <c r="C1315" s="95" t="s">
        <v>2237</v>
      </c>
      <c r="D1315" s="95" t="str">
        <f t="shared" si="14"/>
        <v>Agweng</v>
      </c>
      <c r="F1315" s="95">
        <v>864</v>
      </c>
    </row>
    <row r="1316" spans="1:6">
      <c r="A1316" s="95" t="s">
        <v>2240</v>
      </c>
      <c r="B1316" s="95" t="s">
        <v>2236</v>
      </c>
      <c r="C1316" s="95" t="s">
        <v>2237</v>
      </c>
      <c r="D1316" s="95" t="str">
        <f t="shared" si="14"/>
        <v>Amach</v>
      </c>
      <c r="F1316" s="95">
        <v>865</v>
      </c>
    </row>
    <row r="1317" spans="1:6">
      <c r="A1317" s="95" t="s">
        <v>2241</v>
      </c>
      <c r="B1317" s="95" t="s">
        <v>2236</v>
      </c>
      <c r="C1317" s="95" t="s">
        <v>2237</v>
      </c>
      <c r="D1317" s="95" t="str">
        <f t="shared" si="14"/>
        <v>Aromo</v>
      </c>
      <c r="F1317" s="95">
        <v>866</v>
      </c>
    </row>
    <row r="1318" spans="1:6">
      <c r="A1318" s="95" t="s">
        <v>2242</v>
      </c>
      <c r="B1318" s="95" t="s">
        <v>2236</v>
      </c>
      <c r="C1318" s="95" t="s">
        <v>2237</v>
      </c>
      <c r="D1318" s="95" t="str">
        <f t="shared" si="14"/>
        <v>Barr</v>
      </c>
      <c r="F1318" s="95">
        <v>867</v>
      </c>
    </row>
    <row r="1319" spans="1:6">
      <c r="A1319" s="95" t="s">
        <v>2236</v>
      </c>
      <c r="B1319" s="95" t="s">
        <v>2236</v>
      </c>
      <c r="C1319" s="95" t="s">
        <v>2237</v>
      </c>
      <c r="D1319" s="95" t="str">
        <f t="shared" si="14"/>
        <v>Lira</v>
      </c>
      <c r="F1319" s="95">
        <v>868</v>
      </c>
    </row>
    <row r="1320" spans="1:6">
      <c r="A1320" s="95" t="s">
        <v>2243</v>
      </c>
      <c r="B1320" s="95" t="s">
        <v>2236</v>
      </c>
      <c r="C1320" s="95" t="s">
        <v>2243</v>
      </c>
      <c r="D1320" s="95" t="str">
        <f t="shared" si="14"/>
        <v>Lira Municipality</v>
      </c>
      <c r="F1320" s="95">
        <v>869</v>
      </c>
    </row>
    <row r="1321" spans="1:6">
      <c r="A1321" s="95" t="s">
        <v>2244</v>
      </c>
      <c r="B1321" s="95" t="s">
        <v>2236</v>
      </c>
      <c r="C1321" s="95" t="s">
        <v>2237</v>
      </c>
      <c r="D1321" s="95" t="str">
        <f t="shared" si="14"/>
        <v>Ngetta</v>
      </c>
      <c r="F1321" s="95">
        <v>870</v>
      </c>
    </row>
    <row r="1322" spans="1:6">
      <c r="A1322" s="95" t="s">
        <v>2245</v>
      </c>
      <c r="B1322" s="95" t="s">
        <v>2236</v>
      </c>
      <c r="C1322" s="95" t="s">
        <v>2237</v>
      </c>
      <c r="D1322" s="95" t="str">
        <f t="shared" si="14"/>
        <v>Ogur</v>
      </c>
      <c r="F1322" s="95">
        <v>871</v>
      </c>
    </row>
    <row r="1323" spans="1:6">
      <c r="A1323" s="95" t="s">
        <v>1299</v>
      </c>
      <c r="B1323" s="95" t="s">
        <v>2246</v>
      </c>
      <c r="C1323" s="95" t="s">
        <v>2246</v>
      </c>
      <c r="D1323" s="95" t="str">
        <f t="shared" si="14"/>
        <v>Bukanga</v>
      </c>
      <c r="F1323" s="95">
        <v>872</v>
      </c>
    </row>
    <row r="1324" spans="1:6">
      <c r="A1324" s="95" t="s">
        <v>2247</v>
      </c>
      <c r="B1324" s="95" t="s">
        <v>2246</v>
      </c>
      <c r="C1324" s="95" t="s">
        <v>2246</v>
      </c>
      <c r="D1324" s="95" t="str">
        <f t="shared" si="14"/>
        <v>Bukooma</v>
      </c>
      <c r="F1324" s="95">
        <v>873</v>
      </c>
    </row>
    <row r="1325" spans="1:6">
      <c r="A1325" s="95" t="s">
        <v>2248</v>
      </c>
      <c r="B1325" s="95" t="s">
        <v>2246</v>
      </c>
      <c r="C1325" s="95" t="s">
        <v>2246</v>
      </c>
      <c r="D1325" s="95" t="str">
        <f t="shared" si="14"/>
        <v>Bulongo</v>
      </c>
      <c r="F1325" s="95">
        <v>874</v>
      </c>
    </row>
    <row r="1326" spans="1:6">
      <c r="A1326" s="95" t="s">
        <v>2249</v>
      </c>
      <c r="B1326" s="95" t="s">
        <v>2246</v>
      </c>
      <c r="C1326" s="95" t="s">
        <v>2246</v>
      </c>
      <c r="D1326" s="95" t="str">
        <f t="shared" si="14"/>
        <v>Ikumbya</v>
      </c>
      <c r="F1326" s="95">
        <v>875</v>
      </c>
    </row>
    <row r="1327" spans="1:6">
      <c r="A1327" s="95" t="s">
        <v>2250</v>
      </c>
      <c r="B1327" s="95" t="s">
        <v>2246</v>
      </c>
      <c r="C1327" s="95" t="s">
        <v>2246</v>
      </c>
      <c r="D1327" s="95" t="str">
        <f t="shared" si="14"/>
        <v>Irongo</v>
      </c>
      <c r="F1327" s="95">
        <v>876</v>
      </c>
    </row>
    <row r="1328" spans="1:6">
      <c r="A1328" s="95" t="s">
        <v>2251</v>
      </c>
      <c r="B1328" s="95" t="s">
        <v>2246</v>
      </c>
      <c r="C1328" s="95" t="s">
        <v>2246</v>
      </c>
      <c r="D1328" s="95" t="str">
        <f t="shared" si="14"/>
        <v>Luuka Town Council</v>
      </c>
      <c r="F1328" s="95">
        <v>877</v>
      </c>
    </row>
    <row r="1329" spans="1:6">
      <c r="A1329" s="95" t="s">
        <v>2252</v>
      </c>
      <c r="B1329" s="95" t="s">
        <v>2246</v>
      </c>
      <c r="C1329" s="95" t="s">
        <v>2246</v>
      </c>
      <c r="D1329" s="95" t="str">
        <f t="shared" si="14"/>
        <v>Nawampiti</v>
      </c>
      <c r="F1329" s="95">
        <v>878</v>
      </c>
    </row>
    <row r="1330" spans="1:6">
      <c r="A1330" s="95" t="s">
        <v>2253</v>
      </c>
      <c r="B1330" s="95" t="s">
        <v>2246</v>
      </c>
      <c r="C1330" s="95" t="s">
        <v>2246</v>
      </c>
      <c r="D1330" s="95" t="str">
        <f t="shared" si="14"/>
        <v>Waibuga</v>
      </c>
      <c r="F1330" s="95">
        <v>879</v>
      </c>
    </row>
    <row r="1331" spans="1:6">
      <c r="A1331" s="95" t="s">
        <v>2254</v>
      </c>
      <c r="B1331" s="95" t="s">
        <v>2255</v>
      </c>
      <c r="C1331" s="95" t="s">
        <v>2254</v>
      </c>
      <c r="D1331" s="95" t="str">
        <f t="shared" si="14"/>
        <v>Bamunanika</v>
      </c>
      <c r="F1331" s="95">
        <v>880</v>
      </c>
    </row>
    <row r="1332" spans="1:6">
      <c r="A1332" s="95" t="s">
        <v>2256</v>
      </c>
      <c r="B1332" s="95" t="s">
        <v>2255</v>
      </c>
      <c r="C1332" s="95" t="s">
        <v>2257</v>
      </c>
      <c r="D1332" s="95" t="str">
        <f t="shared" si="14"/>
        <v>Bombo Town Council</v>
      </c>
      <c r="F1332" s="95">
        <v>881</v>
      </c>
    </row>
    <row r="1333" spans="1:6">
      <c r="A1333" s="95" t="s">
        <v>2258</v>
      </c>
      <c r="D1333" s="95" t="str">
        <f t="shared" si="14"/>
        <v>Bombo</v>
      </c>
      <c r="F1333" s="95">
        <v>881</v>
      </c>
    </row>
    <row r="1334" spans="1:6">
      <c r="A1334" s="95" t="s">
        <v>2259</v>
      </c>
      <c r="D1334" s="95" t="str">
        <f t="shared" si="14"/>
        <v>Bombo barax</v>
      </c>
      <c r="F1334" s="95">
        <v>881</v>
      </c>
    </row>
    <row r="1335" spans="1:6">
      <c r="A1335" s="95" t="s">
        <v>2260</v>
      </c>
      <c r="F1335" s="95">
        <v>881</v>
      </c>
    </row>
    <row r="1336" spans="1:6">
      <c r="A1336" s="95" t="s">
        <v>2261</v>
      </c>
      <c r="B1336" s="95" t="s">
        <v>2255</v>
      </c>
      <c r="C1336" s="95" t="s">
        <v>2257</v>
      </c>
      <c r="D1336" s="95" t="str">
        <f t="shared" si="14"/>
        <v>Butuntumula</v>
      </c>
      <c r="F1336" s="95">
        <v>882</v>
      </c>
    </row>
    <row r="1337" spans="1:6">
      <c r="A1337" s="95" t="s">
        <v>2262</v>
      </c>
      <c r="F1337" s="95">
        <v>882</v>
      </c>
    </row>
    <row r="1338" spans="1:6">
      <c r="A1338" s="95" t="s">
        <v>2263</v>
      </c>
      <c r="B1338" s="95" t="s">
        <v>2255</v>
      </c>
      <c r="C1338" s="95" t="s">
        <v>2254</v>
      </c>
      <c r="D1338" s="95" t="str">
        <f t="shared" si="14"/>
        <v>Kalagala</v>
      </c>
      <c r="F1338" s="95">
        <v>883</v>
      </c>
    </row>
    <row r="1339" spans="1:6">
      <c r="A1339" s="95" t="s">
        <v>2264</v>
      </c>
      <c r="B1339" s="95" t="s">
        <v>2255</v>
      </c>
      <c r="C1339" s="95" t="s">
        <v>2254</v>
      </c>
      <c r="D1339" s="95" t="str">
        <f t="shared" si="14"/>
        <v>Kamira</v>
      </c>
      <c r="F1339" s="95">
        <v>884</v>
      </c>
    </row>
    <row r="1340" spans="1:6">
      <c r="A1340" s="95" t="s">
        <v>2257</v>
      </c>
      <c r="B1340" s="95" t="s">
        <v>2255</v>
      </c>
      <c r="C1340" s="95" t="s">
        <v>2257</v>
      </c>
      <c r="D1340" s="95" t="str">
        <f t="shared" si="14"/>
        <v>Katikamu</v>
      </c>
      <c r="F1340" s="95">
        <v>885</v>
      </c>
    </row>
    <row r="1341" spans="1:6">
      <c r="A1341" s="95" t="s">
        <v>2265</v>
      </c>
      <c r="F1341" s="95">
        <v>885</v>
      </c>
    </row>
    <row r="1342" spans="1:6">
      <c r="A1342" s="95" t="s">
        <v>2266</v>
      </c>
      <c r="B1342" s="95" t="s">
        <v>2255</v>
      </c>
      <c r="C1342" s="95" t="s">
        <v>2254</v>
      </c>
      <c r="D1342" s="95" t="str">
        <f t="shared" si="14"/>
        <v>Kikyusa</v>
      </c>
      <c r="F1342" s="95">
        <v>886</v>
      </c>
    </row>
    <row r="1343" spans="1:6">
      <c r="A1343" s="95" t="s">
        <v>2255</v>
      </c>
      <c r="B1343" s="95" t="s">
        <v>2255</v>
      </c>
      <c r="C1343" s="95" t="s">
        <v>2257</v>
      </c>
      <c r="D1343" s="95" t="str">
        <f t="shared" si="14"/>
        <v>Luwero</v>
      </c>
      <c r="F1343" s="95">
        <v>887</v>
      </c>
    </row>
    <row r="1344" spans="1:6">
      <c r="A1344" s="95" t="s">
        <v>639</v>
      </c>
      <c r="F1344" s="95">
        <v>887</v>
      </c>
    </row>
    <row r="1345" spans="1:6">
      <c r="A1345" s="95" t="s">
        <v>2267</v>
      </c>
      <c r="D1345" s="95" t="str">
        <f t="shared" si="14"/>
        <v>LUWERO TOWN</v>
      </c>
      <c r="F1345" s="95">
        <v>887</v>
      </c>
    </row>
    <row r="1346" spans="1:6">
      <c r="A1346" s="95" t="s">
        <v>2268</v>
      </c>
      <c r="B1346" s="95" t="s">
        <v>2255</v>
      </c>
      <c r="C1346" s="95" t="s">
        <v>2257</v>
      </c>
      <c r="D1346" s="95" t="str">
        <f t="shared" si="14"/>
        <v>Luwero Town Council</v>
      </c>
      <c r="F1346" s="95">
        <v>888</v>
      </c>
    </row>
    <row r="1347" spans="1:6">
      <c r="A1347" s="95" t="s">
        <v>2269</v>
      </c>
      <c r="D1347" s="95" t="str">
        <f t="shared" si="14"/>
        <v>Kalule</v>
      </c>
      <c r="F1347" s="95">
        <v>888</v>
      </c>
    </row>
    <row r="1348" spans="1:6">
      <c r="A1348" s="95" t="s">
        <v>2270</v>
      </c>
      <c r="B1348" s="95" t="s">
        <v>2255</v>
      </c>
      <c r="C1348" s="95" t="s">
        <v>2257</v>
      </c>
      <c r="D1348" s="95" t="str">
        <f t="shared" si="14"/>
        <v>Makulubita</v>
      </c>
      <c r="F1348" s="95">
        <v>889</v>
      </c>
    </row>
    <row r="1349" spans="1:6">
      <c r="A1349" s="95" t="s">
        <v>2271</v>
      </c>
      <c r="B1349" s="95" t="s">
        <v>2255</v>
      </c>
      <c r="C1349" s="95" t="s">
        <v>2257</v>
      </c>
      <c r="D1349" s="95" t="str">
        <f t="shared" si="14"/>
        <v>Nyimbwa</v>
      </c>
      <c r="F1349" s="95">
        <v>890</v>
      </c>
    </row>
    <row r="1350" spans="1:6">
      <c r="A1350" s="95" t="s">
        <v>2272</v>
      </c>
      <c r="B1350" s="95" t="s">
        <v>2255</v>
      </c>
      <c r="C1350" s="95" t="s">
        <v>2257</v>
      </c>
      <c r="D1350" s="95" t="str">
        <f t="shared" si="14"/>
        <v>Wobulenzi Town Council</v>
      </c>
      <c r="F1350" s="95">
        <v>891</v>
      </c>
    </row>
    <row r="1351" spans="1:6">
      <c r="A1351" s="95" t="s">
        <v>2273</v>
      </c>
      <c r="D1351" s="95" t="str">
        <f t="shared" si="14"/>
        <v xml:space="preserve">Wobulenzi  </v>
      </c>
      <c r="F1351" s="95">
        <v>891</v>
      </c>
    </row>
    <row r="1352" spans="1:6">
      <c r="A1352" s="95" t="s">
        <v>2274</v>
      </c>
      <c r="F1352" s="95">
        <v>891</v>
      </c>
    </row>
    <row r="1353" spans="1:6">
      <c r="A1353" s="95" t="s">
        <v>2275</v>
      </c>
      <c r="F1353" s="95">
        <v>891</v>
      </c>
    </row>
    <row r="1354" spans="1:6">
      <c r="A1354" s="95" t="s">
        <v>2276</v>
      </c>
      <c r="B1354" s="95" t="s">
        <v>2255</v>
      </c>
      <c r="C1354" s="95" t="s">
        <v>2254</v>
      </c>
      <c r="D1354" s="95" t="str">
        <f t="shared" si="14"/>
        <v>Zirobwe</v>
      </c>
      <c r="F1354" s="95">
        <v>892</v>
      </c>
    </row>
    <row r="1355" spans="1:6">
      <c r="A1355" s="95" t="s">
        <v>205</v>
      </c>
      <c r="F1355" s="95">
        <v>892</v>
      </c>
    </row>
    <row r="1356" spans="1:6">
      <c r="A1356" s="95" t="s">
        <v>700</v>
      </c>
      <c r="F1356" s="95">
        <v>892</v>
      </c>
    </row>
    <row r="1357" spans="1:6">
      <c r="A1357" s="95" t="s">
        <v>2277</v>
      </c>
      <c r="B1357" s="95" t="s">
        <v>2278</v>
      </c>
      <c r="C1357" s="95" t="s">
        <v>23</v>
      </c>
      <c r="D1357" s="95" t="str">
        <f t="shared" si="14"/>
        <v>Kisekka</v>
      </c>
      <c r="F1357" s="95">
        <v>893</v>
      </c>
    </row>
    <row r="1358" spans="1:6">
      <c r="A1358" s="95" t="s">
        <v>2279</v>
      </c>
      <c r="B1358" s="95" t="s">
        <v>2278</v>
      </c>
      <c r="C1358" s="95" t="s">
        <v>23</v>
      </c>
      <c r="D1358" s="95" t="str">
        <f t="shared" si="14"/>
        <v>Kkingo</v>
      </c>
      <c r="F1358" s="95">
        <v>894</v>
      </c>
    </row>
    <row r="1359" spans="1:6">
      <c r="A1359" s="95" t="s">
        <v>2280</v>
      </c>
      <c r="B1359" s="95" t="s">
        <v>2278</v>
      </c>
      <c r="C1359" s="95" t="s">
        <v>23</v>
      </c>
      <c r="D1359" s="95" t="str">
        <f t="shared" si="14"/>
        <v>Kyazanga</v>
      </c>
      <c r="F1359" s="95">
        <v>895</v>
      </c>
    </row>
    <row r="1360" spans="1:6">
      <c r="A1360" s="95" t="s">
        <v>2281</v>
      </c>
      <c r="B1360" s="95" t="s">
        <v>2278</v>
      </c>
      <c r="C1360" s="95" t="s">
        <v>23</v>
      </c>
      <c r="D1360" s="95" t="str">
        <f t="shared" si="14"/>
        <v>Kyazanga Town Council</v>
      </c>
      <c r="F1360" s="95">
        <v>896</v>
      </c>
    </row>
    <row r="1361" spans="1:6">
      <c r="A1361" s="95" t="s">
        <v>2278</v>
      </c>
      <c r="B1361" s="95" t="s">
        <v>2278</v>
      </c>
      <c r="C1361" s="95" t="s">
        <v>23</v>
      </c>
      <c r="D1361" s="95" t="str">
        <f t="shared" si="14"/>
        <v>Lwengo</v>
      </c>
      <c r="F1361" s="95">
        <v>897</v>
      </c>
    </row>
    <row r="1362" spans="1:6">
      <c r="A1362" s="95" t="s">
        <v>2282</v>
      </c>
      <c r="B1362" s="95" t="s">
        <v>2278</v>
      </c>
      <c r="C1362" s="95" t="s">
        <v>23</v>
      </c>
      <c r="D1362" s="95" t="str">
        <f t="shared" si="14"/>
        <v>Lwengo Town Council</v>
      </c>
      <c r="F1362" s="95">
        <v>898</v>
      </c>
    </row>
    <row r="1363" spans="1:6">
      <c r="A1363" s="95" t="s">
        <v>2283</v>
      </c>
      <c r="B1363" s="95" t="s">
        <v>2278</v>
      </c>
      <c r="C1363" s="95" t="s">
        <v>23</v>
      </c>
      <c r="D1363" s="95" t="str">
        <f t="shared" si="14"/>
        <v>Malongo-Lwengo</v>
      </c>
      <c r="F1363" s="95">
        <v>899</v>
      </c>
    </row>
    <row r="1364" spans="1:6">
      <c r="A1364" s="95" t="s">
        <v>2284</v>
      </c>
      <c r="B1364" s="95" t="s">
        <v>2278</v>
      </c>
      <c r="C1364" s="95" t="s">
        <v>23</v>
      </c>
      <c r="D1364" s="95" t="str">
        <f t="shared" si="14"/>
        <v>Ndagwe</v>
      </c>
      <c r="F1364" s="95">
        <v>900</v>
      </c>
    </row>
    <row r="1365" spans="1:6">
      <c r="A1365" s="95" t="s">
        <v>2285</v>
      </c>
      <c r="B1365" s="95" t="s">
        <v>2286</v>
      </c>
      <c r="C1365" s="95" t="s">
        <v>2287</v>
      </c>
      <c r="D1365" s="95" t="str">
        <f t="shared" si="14"/>
        <v>Kaliiro</v>
      </c>
      <c r="F1365" s="95">
        <v>901</v>
      </c>
    </row>
    <row r="1366" spans="1:6">
      <c r="A1366" s="95" t="s">
        <v>2288</v>
      </c>
      <c r="B1366" s="95" t="s">
        <v>2286</v>
      </c>
      <c r="C1366" s="95" t="s">
        <v>2287</v>
      </c>
      <c r="D1366" s="95" t="str">
        <f t="shared" si="14"/>
        <v>Kasagama</v>
      </c>
      <c r="F1366" s="95">
        <v>902</v>
      </c>
    </row>
    <row r="1367" spans="1:6">
      <c r="A1367" s="95" t="s">
        <v>2289</v>
      </c>
      <c r="B1367" s="95" t="s">
        <v>2286</v>
      </c>
      <c r="C1367" s="95" t="s">
        <v>2287</v>
      </c>
      <c r="D1367" s="95" t="str">
        <f t="shared" si="14"/>
        <v>Kinuuka</v>
      </c>
      <c r="F1367" s="95">
        <v>903</v>
      </c>
    </row>
    <row r="1368" spans="1:6">
      <c r="A1368" s="95" t="s">
        <v>2286</v>
      </c>
      <c r="B1368" s="95" t="s">
        <v>2286</v>
      </c>
      <c r="C1368" s="95" t="s">
        <v>2287</v>
      </c>
      <c r="D1368" s="95" t="str">
        <f t="shared" si="14"/>
        <v>Lyantonde</v>
      </c>
      <c r="F1368" s="95">
        <v>904</v>
      </c>
    </row>
    <row r="1369" spans="1:6">
      <c r="A1369" s="95" t="s">
        <v>2290</v>
      </c>
      <c r="B1369" s="95" t="s">
        <v>2286</v>
      </c>
      <c r="C1369" s="95" t="s">
        <v>2287</v>
      </c>
      <c r="D1369" s="95" t="str">
        <f t="shared" ref="D1369:D1442" si="15">A1369</f>
        <v>Lyantonde Town Council</v>
      </c>
      <c r="F1369" s="95">
        <v>905</v>
      </c>
    </row>
    <row r="1370" spans="1:6">
      <c r="A1370" s="95" t="s">
        <v>2291</v>
      </c>
      <c r="B1370" s="95" t="s">
        <v>2286</v>
      </c>
      <c r="C1370" s="95" t="s">
        <v>2287</v>
      </c>
      <c r="D1370" s="95" t="str">
        <f t="shared" si="15"/>
        <v>Mpumudde-Lyantonde</v>
      </c>
      <c r="F1370" s="95">
        <v>906</v>
      </c>
    </row>
    <row r="1371" spans="1:6">
      <c r="A1371" s="95" t="s">
        <v>2292</v>
      </c>
      <c r="D1371" s="95" t="str">
        <f t="shared" si="15"/>
        <v>Nakawuka</v>
      </c>
      <c r="F1371" s="95">
        <v>906</v>
      </c>
    </row>
    <row r="1372" spans="1:6">
      <c r="A1372" s="95" t="s">
        <v>2293</v>
      </c>
      <c r="B1372" s="95" t="s">
        <v>2294</v>
      </c>
      <c r="C1372" s="95" t="s">
        <v>2295</v>
      </c>
      <c r="D1372" s="95" t="str">
        <f t="shared" si="15"/>
        <v>Bugobero</v>
      </c>
      <c r="F1372" s="95">
        <v>907</v>
      </c>
    </row>
    <row r="1373" spans="1:6">
      <c r="A1373" s="95" t="s">
        <v>2296</v>
      </c>
      <c r="B1373" s="95" t="s">
        <v>2294</v>
      </c>
      <c r="C1373" s="95" t="s">
        <v>2295</v>
      </c>
      <c r="D1373" s="95" t="str">
        <f t="shared" si="15"/>
        <v>Bukhofu</v>
      </c>
      <c r="F1373" s="95">
        <v>908</v>
      </c>
    </row>
    <row r="1374" spans="1:6">
      <c r="A1374" s="95" t="s">
        <v>2297</v>
      </c>
      <c r="B1374" s="95" t="s">
        <v>2294</v>
      </c>
      <c r="C1374" s="95" t="s">
        <v>2295</v>
      </c>
      <c r="D1374" s="95" t="str">
        <f t="shared" si="15"/>
        <v>Bukusu</v>
      </c>
      <c r="F1374" s="95">
        <v>909</v>
      </c>
    </row>
    <row r="1375" spans="1:6">
      <c r="A1375" s="95" t="s">
        <v>2298</v>
      </c>
      <c r="B1375" s="95" t="s">
        <v>2294</v>
      </c>
      <c r="C1375" s="95" t="s">
        <v>2295</v>
      </c>
      <c r="D1375" s="95" t="str">
        <f t="shared" si="15"/>
        <v>Bunabwana</v>
      </c>
      <c r="F1375" s="95">
        <v>910</v>
      </c>
    </row>
    <row r="1376" spans="1:6">
      <c r="A1376" s="95" t="s">
        <v>2299</v>
      </c>
      <c r="B1376" s="95" t="s">
        <v>2294</v>
      </c>
      <c r="C1376" s="95" t="s">
        <v>2295</v>
      </c>
      <c r="D1376" s="95" t="str">
        <f t="shared" si="15"/>
        <v>Bunyinza Town Council</v>
      </c>
      <c r="F1376" s="95">
        <v>911</v>
      </c>
    </row>
    <row r="1377" spans="1:6">
      <c r="A1377" s="95" t="s">
        <v>2300</v>
      </c>
      <c r="B1377" s="95" t="s">
        <v>2294</v>
      </c>
      <c r="C1377" s="95" t="s">
        <v>2295</v>
      </c>
      <c r="D1377" s="95" t="str">
        <f t="shared" si="15"/>
        <v>Busukuya</v>
      </c>
      <c r="F1377" s="95">
        <v>912</v>
      </c>
    </row>
    <row r="1378" spans="1:6">
      <c r="A1378" s="95" t="s">
        <v>2301</v>
      </c>
      <c r="B1378" s="95" t="s">
        <v>2294</v>
      </c>
      <c r="C1378" s="95" t="s">
        <v>2295</v>
      </c>
      <c r="D1378" s="95" t="str">
        <f t="shared" si="15"/>
        <v>Butiru</v>
      </c>
      <c r="F1378" s="95">
        <v>913</v>
      </c>
    </row>
    <row r="1379" spans="1:6">
      <c r="A1379" s="95" t="s">
        <v>2302</v>
      </c>
      <c r="B1379" s="95" t="s">
        <v>2294</v>
      </c>
      <c r="C1379" s="95" t="s">
        <v>2295</v>
      </c>
      <c r="D1379" s="95" t="str">
        <f t="shared" si="15"/>
        <v>Butta</v>
      </c>
      <c r="F1379" s="95">
        <v>914</v>
      </c>
    </row>
    <row r="1380" spans="1:6">
      <c r="A1380" s="95" t="s">
        <v>2303</v>
      </c>
      <c r="B1380" s="95" t="s">
        <v>2294</v>
      </c>
      <c r="C1380" s="95" t="s">
        <v>2295</v>
      </c>
      <c r="D1380" s="95" t="str">
        <f t="shared" si="15"/>
        <v>Buwagogo</v>
      </c>
      <c r="F1380" s="95">
        <v>915</v>
      </c>
    </row>
    <row r="1381" spans="1:6">
      <c r="A1381" s="95" t="s">
        <v>2304</v>
      </c>
      <c r="B1381" s="95" t="s">
        <v>2294</v>
      </c>
      <c r="C1381" s="95" t="s">
        <v>2295</v>
      </c>
      <c r="D1381" s="95" t="str">
        <f t="shared" si="15"/>
        <v>Buwangani Town Council</v>
      </c>
      <c r="F1381" s="95">
        <v>916</v>
      </c>
    </row>
    <row r="1382" spans="1:6">
      <c r="A1382" s="95" t="s">
        <v>2305</v>
      </c>
      <c r="B1382" s="95" t="s">
        <v>2294</v>
      </c>
      <c r="C1382" s="95" t="s">
        <v>2295</v>
      </c>
      <c r="D1382" s="95" t="str">
        <f t="shared" si="15"/>
        <v>Kaato</v>
      </c>
      <c r="F1382" s="95">
        <v>917</v>
      </c>
    </row>
    <row r="1383" spans="1:6">
      <c r="A1383" s="95" t="s">
        <v>2306</v>
      </c>
      <c r="B1383" s="95" t="s">
        <v>2294</v>
      </c>
      <c r="C1383" s="95" t="s">
        <v>2295</v>
      </c>
      <c r="D1383" s="95" t="str">
        <f t="shared" si="15"/>
        <v>Khabutoola</v>
      </c>
      <c r="F1383" s="95">
        <v>918</v>
      </c>
    </row>
    <row r="1384" spans="1:6">
      <c r="A1384" s="95" t="s">
        <v>2307</v>
      </c>
      <c r="B1384" s="95" t="s">
        <v>2294</v>
      </c>
      <c r="C1384" s="95" t="s">
        <v>2295</v>
      </c>
      <c r="D1384" s="95" t="str">
        <f t="shared" si="15"/>
        <v>Manafwa Town Council</v>
      </c>
      <c r="F1384" s="95">
        <v>919</v>
      </c>
    </row>
    <row r="1385" spans="1:6">
      <c r="A1385" s="95" t="s">
        <v>2308</v>
      </c>
      <c r="B1385" s="95" t="s">
        <v>2294</v>
      </c>
      <c r="C1385" s="95" t="s">
        <v>2295</v>
      </c>
      <c r="D1385" s="95" t="str">
        <f t="shared" si="15"/>
        <v>Nalondo</v>
      </c>
      <c r="F1385" s="95">
        <v>920</v>
      </c>
    </row>
    <row r="1386" spans="1:6">
      <c r="A1386" s="95" t="s">
        <v>2309</v>
      </c>
      <c r="B1386" s="95" t="s">
        <v>2294</v>
      </c>
      <c r="C1386" s="95" t="s">
        <v>2295</v>
      </c>
      <c r="D1386" s="95" t="str">
        <f t="shared" si="15"/>
        <v>Sibanga</v>
      </c>
      <c r="F1386" s="95">
        <v>921</v>
      </c>
    </row>
    <row r="1387" spans="1:6">
      <c r="A1387" s="95" t="s">
        <v>2310</v>
      </c>
      <c r="B1387" s="95" t="s">
        <v>2294</v>
      </c>
      <c r="C1387" s="95" t="s">
        <v>2295</v>
      </c>
      <c r="D1387" s="95" t="str">
        <f t="shared" si="15"/>
        <v>Sisuni</v>
      </c>
      <c r="F1387" s="95">
        <v>922</v>
      </c>
    </row>
    <row r="1388" spans="1:6">
      <c r="A1388" s="95" t="s">
        <v>2311</v>
      </c>
      <c r="B1388" s="95" t="s">
        <v>2294</v>
      </c>
      <c r="C1388" s="95" t="s">
        <v>2295</v>
      </c>
      <c r="D1388" s="95" t="str">
        <f t="shared" si="15"/>
        <v>Weswa</v>
      </c>
      <c r="F1388" s="95">
        <v>923</v>
      </c>
    </row>
    <row r="1389" spans="1:6">
      <c r="A1389" s="95" t="s">
        <v>2312</v>
      </c>
      <c r="B1389" s="95" t="s">
        <v>2313</v>
      </c>
      <c r="C1389" s="95" t="s">
        <v>2313</v>
      </c>
      <c r="D1389" s="95" t="str">
        <f t="shared" si="15"/>
        <v>Kijomoro</v>
      </c>
      <c r="F1389" s="95">
        <v>924</v>
      </c>
    </row>
    <row r="1390" spans="1:6">
      <c r="A1390" s="95" t="s">
        <v>2314</v>
      </c>
      <c r="B1390" s="95" t="s">
        <v>2313</v>
      </c>
      <c r="C1390" s="95" t="s">
        <v>2313</v>
      </c>
      <c r="D1390" s="95" t="str">
        <f t="shared" si="15"/>
        <v>Maracha Town Council</v>
      </c>
      <c r="F1390" s="95">
        <v>925</v>
      </c>
    </row>
    <row r="1391" spans="1:6">
      <c r="A1391" s="95" t="s">
        <v>2315</v>
      </c>
      <c r="B1391" s="95" t="s">
        <v>2313</v>
      </c>
      <c r="C1391" s="95" t="s">
        <v>2313</v>
      </c>
      <c r="D1391" s="95" t="str">
        <f t="shared" si="15"/>
        <v>Nyadri</v>
      </c>
      <c r="F1391" s="95">
        <v>926</v>
      </c>
    </row>
    <row r="1392" spans="1:6">
      <c r="A1392" s="95" t="s">
        <v>2316</v>
      </c>
      <c r="B1392" s="95" t="s">
        <v>2313</v>
      </c>
      <c r="C1392" s="95" t="s">
        <v>2313</v>
      </c>
      <c r="D1392" s="95" t="str">
        <f t="shared" si="15"/>
        <v>Oleba</v>
      </c>
      <c r="F1392" s="95">
        <v>927</v>
      </c>
    </row>
    <row r="1393" spans="1:6">
      <c r="A1393" s="95" t="s">
        <v>2317</v>
      </c>
      <c r="B1393" s="95" t="s">
        <v>2313</v>
      </c>
      <c r="C1393" s="95" t="s">
        <v>2313</v>
      </c>
      <c r="D1393" s="95" t="str">
        <f t="shared" si="15"/>
        <v>Oluffe</v>
      </c>
      <c r="F1393" s="95">
        <v>928</v>
      </c>
    </row>
    <row r="1394" spans="1:6">
      <c r="A1394" s="95" t="s">
        <v>2318</v>
      </c>
      <c r="B1394" s="95" t="s">
        <v>2313</v>
      </c>
      <c r="C1394" s="95" t="s">
        <v>2313</v>
      </c>
      <c r="D1394" s="95" t="str">
        <f t="shared" si="15"/>
        <v>Oluvu</v>
      </c>
      <c r="F1394" s="95">
        <v>929</v>
      </c>
    </row>
    <row r="1395" spans="1:6">
      <c r="A1395" s="95" t="s">
        <v>2319</v>
      </c>
      <c r="B1395" s="95" t="s">
        <v>2313</v>
      </c>
      <c r="C1395" s="95" t="s">
        <v>2313</v>
      </c>
      <c r="D1395" s="95" t="str">
        <f t="shared" si="15"/>
        <v>Tara</v>
      </c>
      <c r="F1395" s="95">
        <v>930</v>
      </c>
    </row>
    <row r="1396" spans="1:6">
      <c r="A1396" s="95" t="s">
        <v>2320</v>
      </c>
      <c r="B1396" s="95" t="s">
        <v>2313</v>
      </c>
      <c r="C1396" s="95" t="s">
        <v>2313</v>
      </c>
      <c r="D1396" s="95" t="str">
        <f t="shared" si="15"/>
        <v>Yivu</v>
      </c>
      <c r="F1396" s="95">
        <v>931</v>
      </c>
    </row>
    <row r="1397" spans="1:6">
      <c r="A1397" s="95" t="s">
        <v>2321</v>
      </c>
      <c r="B1397" s="95" t="s">
        <v>39</v>
      </c>
      <c r="C1397" s="95" t="s">
        <v>23</v>
      </c>
      <c r="D1397" s="95" t="str">
        <f t="shared" si="15"/>
        <v>Bukakata</v>
      </c>
      <c r="F1397" s="95">
        <v>932</v>
      </c>
    </row>
    <row r="1398" spans="1:6">
      <c r="A1398" s="95" t="s">
        <v>2322</v>
      </c>
      <c r="B1398" s="95" t="s">
        <v>39</v>
      </c>
      <c r="C1398" s="95" t="s">
        <v>23</v>
      </c>
      <c r="D1398" s="95" t="str">
        <f t="shared" si="15"/>
        <v>Buwunga-Masaka</v>
      </c>
      <c r="F1398" s="95">
        <v>933</v>
      </c>
    </row>
    <row r="1399" spans="1:6">
      <c r="A1399" s="95" t="s">
        <v>2323</v>
      </c>
      <c r="B1399" s="95" t="s">
        <v>39</v>
      </c>
      <c r="C1399" s="95" t="s">
        <v>23</v>
      </c>
      <c r="D1399" s="95" t="str">
        <f t="shared" si="15"/>
        <v>Kabonera</v>
      </c>
      <c r="F1399" s="95">
        <v>934</v>
      </c>
    </row>
    <row r="1400" spans="1:6">
      <c r="A1400" s="95" t="s">
        <v>2324</v>
      </c>
      <c r="B1400" s="95" t="s">
        <v>39</v>
      </c>
      <c r="C1400" s="95" t="s">
        <v>23</v>
      </c>
      <c r="D1400" s="95" t="str">
        <f t="shared" si="15"/>
        <v>Kyanamukaaka</v>
      </c>
      <c r="F1400" s="95">
        <v>935</v>
      </c>
    </row>
    <row r="1401" spans="1:6">
      <c r="A1401" s="95" t="s">
        <v>2325</v>
      </c>
      <c r="B1401" s="95" t="s">
        <v>39</v>
      </c>
      <c r="C1401" s="95" t="s">
        <v>23</v>
      </c>
      <c r="D1401" s="95" t="str">
        <f t="shared" si="15"/>
        <v>Kyesiiga</v>
      </c>
      <c r="F1401" s="95">
        <v>936</v>
      </c>
    </row>
    <row r="1402" spans="1:6">
      <c r="A1402" s="95" t="s">
        <v>2326</v>
      </c>
      <c r="B1402" s="95" t="s">
        <v>39</v>
      </c>
      <c r="C1402" s="95" t="s">
        <v>2326</v>
      </c>
      <c r="D1402" s="95" t="str">
        <f t="shared" si="15"/>
        <v>Masaka Municipality</v>
      </c>
      <c r="F1402" s="95">
        <v>937</v>
      </c>
    </row>
    <row r="1403" spans="1:6">
      <c r="A1403" s="95" t="s">
        <v>2327</v>
      </c>
      <c r="D1403" s="95" t="str">
        <f t="shared" si="15"/>
        <v>MAYA</v>
      </c>
      <c r="F1403" s="95">
        <v>937</v>
      </c>
    </row>
    <row r="1404" spans="1:6">
      <c r="A1404" s="95" t="s">
        <v>2328</v>
      </c>
      <c r="F1404" s="95">
        <v>937</v>
      </c>
    </row>
    <row r="1405" spans="1:6">
      <c r="A1405" s="95" t="s">
        <v>2329</v>
      </c>
      <c r="F1405" s="95">
        <v>937</v>
      </c>
    </row>
    <row r="1406" spans="1:6">
      <c r="A1406" s="95" t="s">
        <v>2330</v>
      </c>
      <c r="D1406" s="95" t="str">
        <f t="shared" si="15"/>
        <v>masaka town</v>
      </c>
      <c r="F1406" s="95">
        <v>937</v>
      </c>
    </row>
    <row r="1407" spans="1:6">
      <c r="A1407" s="95" t="s">
        <v>2331</v>
      </c>
      <c r="D1407" s="95" t="str">
        <f t="shared" si="15"/>
        <v>Nabugabo</v>
      </c>
      <c r="F1407" s="95">
        <v>937</v>
      </c>
    </row>
    <row r="1408" spans="1:6">
      <c r="A1408" s="95" t="s">
        <v>2332</v>
      </c>
      <c r="D1408" s="95" t="str">
        <f t="shared" si="15"/>
        <v>Masaka road</v>
      </c>
      <c r="F1408" s="95">
        <v>937</v>
      </c>
    </row>
    <row r="1409" spans="1:6">
      <c r="A1409" s="95" t="s">
        <v>2333</v>
      </c>
      <c r="D1409" s="95" t="str">
        <f t="shared" si="15"/>
        <v xml:space="preserve">Masaka  </v>
      </c>
      <c r="F1409" s="95">
        <v>937</v>
      </c>
    </row>
    <row r="1410" spans="1:6">
      <c r="A1410" s="95" t="s">
        <v>2334</v>
      </c>
      <c r="F1410" s="95">
        <v>937</v>
      </c>
    </row>
    <row r="1411" spans="1:6">
      <c r="A1411" s="95" t="s">
        <v>2335</v>
      </c>
      <c r="B1411" s="95" t="s">
        <v>39</v>
      </c>
      <c r="C1411" s="95" t="s">
        <v>23</v>
      </c>
      <c r="D1411" s="95" t="str">
        <f t="shared" si="15"/>
        <v>Mukungwe</v>
      </c>
      <c r="F1411" s="95">
        <v>938</v>
      </c>
    </row>
    <row r="1412" spans="1:6">
      <c r="A1412" s="95" t="s">
        <v>2336</v>
      </c>
      <c r="B1412" s="95" t="s">
        <v>2337</v>
      </c>
      <c r="C1412" s="95" t="s">
        <v>2338</v>
      </c>
      <c r="D1412" s="95" t="str">
        <f t="shared" si="15"/>
        <v>Budongo</v>
      </c>
      <c r="F1412" s="95">
        <v>939</v>
      </c>
    </row>
    <row r="1413" spans="1:6">
      <c r="A1413" s="95" t="s">
        <v>2339</v>
      </c>
      <c r="B1413" s="95" t="s">
        <v>2337</v>
      </c>
      <c r="C1413" s="95" t="s">
        <v>2338</v>
      </c>
      <c r="D1413" s="95" t="str">
        <f t="shared" si="15"/>
        <v>Bwijanga</v>
      </c>
      <c r="F1413" s="95">
        <v>940</v>
      </c>
    </row>
    <row r="1414" spans="1:6">
      <c r="A1414" s="95" t="s">
        <v>2340</v>
      </c>
      <c r="B1414" s="95" t="s">
        <v>2337</v>
      </c>
      <c r="C1414" s="95" t="s">
        <v>2341</v>
      </c>
      <c r="D1414" s="95" t="str">
        <f t="shared" si="15"/>
        <v>Kimengo</v>
      </c>
      <c r="F1414" s="95">
        <v>941</v>
      </c>
    </row>
    <row r="1415" spans="1:6">
      <c r="A1415" s="95" t="s">
        <v>2342</v>
      </c>
      <c r="B1415" s="95" t="s">
        <v>2337</v>
      </c>
      <c r="C1415" s="95" t="s">
        <v>2342</v>
      </c>
      <c r="D1415" s="95" t="str">
        <f t="shared" si="15"/>
        <v>Masindi Municipality</v>
      </c>
      <c r="F1415" s="95">
        <v>942</v>
      </c>
    </row>
    <row r="1416" spans="1:6">
      <c r="A1416" s="95" t="s">
        <v>2337</v>
      </c>
      <c r="F1416" s="95">
        <v>942</v>
      </c>
    </row>
    <row r="1417" spans="1:6">
      <c r="A1417" s="95" t="s">
        <v>2343</v>
      </c>
      <c r="B1417" s="95" t="s">
        <v>2337</v>
      </c>
      <c r="C1417" s="95" t="s">
        <v>2341</v>
      </c>
      <c r="D1417" s="95" t="str">
        <f t="shared" si="15"/>
        <v>Miirya</v>
      </c>
      <c r="F1417" s="95">
        <v>943</v>
      </c>
    </row>
    <row r="1418" spans="1:6">
      <c r="A1418" s="95" t="s">
        <v>2344</v>
      </c>
      <c r="B1418" s="95" t="s">
        <v>2337</v>
      </c>
      <c r="C1418" s="95" t="s">
        <v>2341</v>
      </c>
      <c r="D1418" s="95" t="str">
        <f t="shared" si="15"/>
        <v>Pakanyi</v>
      </c>
      <c r="F1418" s="95">
        <v>944</v>
      </c>
    </row>
    <row r="1419" spans="1:6">
      <c r="A1419" s="95" t="s">
        <v>2345</v>
      </c>
      <c r="B1419" s="95" t="s">
        <v>2346</v>
      </c>
      <c r="C1419" s="95" t="s">
        <v>2347</v>
      </c>
      <c r="D1419" s="95" t="str">
        <f t="shared" si="15"/>
        <v>Baitambogwe</v>
      </c>
      <c r="F1419" s="95">
        <v>945</v>
      </c>
    </row>
    <row r="1420" spans="1:6">
      <c r="A1420" s="95" t="s">
        <v>2348</v>
      </c>
      <c r="B1420" s="95" t="s">
        <v>2346</v>
      </c>
      <c r="C1420" s="95" t="s">
        <v>2347</v>
      </c>
      <c r="D1420" s="95" t="str">
        <f t="shared" si="15"/>
        <v>Bukabooli</v>
      </c>
      <c r="F1420" s="95">
        <v>946</v>
      </c>
    </row>
    <row r="1421" spans="1:6">
      <c r="A1421" s="95" t="s">
        <v>2349</v>
      </c>
      <c r="B1421" s="95" t="s">
        <v>2346</v>
      </c>
      <c r="C1421" s="95" t="s">
        <v>2347</v>
      </c>
      <c r="D1421" s="95" t="str">
        <f t="shared" si="15"/>
        <v>Bukatube</v>
      </c>
      <c r="F1421" s="95">
        <v>947</v>
      </c>
    </row>
    <row r="1422" spans="1:6">
      <c r="A1422" s="95" t="s">
        <v>2350</v>
      </c>
      <c r="B1422" s="95" t="s">
        <v>2346</v>
      </c>
      <c r="C1422" s="95" t="s">
        <v>2347</v>
      </c>
      <c r="D1422" s="95" t="str">
        <f t="shared" si="15"/>
        <v>Busakira</v>
      </c>
      <c r="F1422" s="95">
        <v>948</v>
      </c>
    </row>
    <row r="1423" spans="1:6">
      <c r="A1423" s="95" t="s">
        <v>2351</v>
      </c>
      <c r="B1423" s="95" t="s">
        <v>2346</v>
      </c>
      <c r="C1423" s="95" t="s">
        <v>2347</v>
      </c>
      <c r="D1423" s="95" t="str">
        <f t="shared" si="15"/>
        <v>Buwaaya</v>
      </c>
      <c r="F1423" s="95">
        <v>949</v>
      </c>
    </row>
    <row r="1424" spans="1:6">
      <c r="A1424" s="95" t="s">
        <v>2352</v>
      </c>
      <c r="B1424" s="95" t="s">
        <v>2346</v>
      </c>
      <c r="C1424" s="95" t="s">
        <v>2347</v>
      </c>
      <c r="D1424" s="95" t="str">
        <f t="shared" si="15"/>
        <v>Imanyiro</v>
      </c>
      <c r="F1424" s="95">
        <v>950</v>
      </c>
    </row>
    <row r="1425" spans="1:6">
      <c r="A1425" s="95" t="s">
        <v>2353</v>
      </c>
      <c r="B1425" s="95" t="s">
        <v>2346</v>
      </c>
      <c r="C1425" s="95" t="s">
        <v>2347</v>
      </c>
      <c r="D1425" s="95" t="str">
        <f t="shared" si="15"/>
        <v>Jaguzi</v>
      </c>
      <c r="F1425" s="95">
        <v>951</v>
      </c>
    </row>
    <row r="1426" spans="1:6">
      <c r="A1426" s="95" t="s">
        <v>2354</v>
      </c>
      <c r="B1426" s="95" t="s">
        <v>2346</v>
      </c>
      <c r="C1426" s="95" t="s">
        <v>2347</v>
      </c>
      <c r="D1426" s="95" t="str">
        <f t="shared" si="15"/>
        <v>Kigandalo</v>
      </c>
      <c r="F1426" s="95">
        <v>952</v>
      </c>
    </row>
    <row r="1427" spans="1:6">
      <c r="A1427" s="95" t="s">
        <v>2355</v>
      </c>
      <c r="B1427" s="95" t="s">
        <v>2346</v>
      </c>
      <c r="C1427" s="95" t="s">
        <v>2347</v>
      </c>
      <c r="D1427" s="95" t="str">
        <f t="shared" si="15"/>
        <v>Kityerera</v>
      </c>
      <c r="F1427" s="95">
        <v>953</v>
      </c>
    </row>
    <row r="1428" spans="1:6">
      <c r="A1428" s="95" t="s">
        <v>2356</v>
      </c>
      <c r="B1428" s="95" t="s">
        <v>2346</v>
      </c>
      <c r="C1428" s="95" t="s">
        <v>2347</v>
      </c>
      <c r="D1428" s="95" t="str">
        <f t="shared" si="15"/>
        <v>Magamaga Town Council</v>
      </c>
      <c r="F1428" s="95">
        <v>954</v>
      </c>
    </row>
    <row r="1429" spans="1:6">
      <c r="A1429" s="95" t="s">
        <v>2357</v>
      </c>
      <c r="B1429" s="95" t="s">
        <v>2346</v>
      </c>
      <c r="C1429" s="95" t="s">
        <v>2347</v>
      </c>
      <c r="D1429" s="95" t="str">
        <f t="shared" si="15"/>
        <v>Malongo-Mayuge</v>
      </c>
      <c r="F1429" s="95">
        <v>955</v>
      </c>
    </row>
    <row r="1430" spans="1:6">
      <c r="A1430" s="95" t="s">
        <v>2358</v>
      </c>
      <c r="B1430" s="95" t="s">
        <v>2346</v>
      </c>
      <c r="C1430" s="95" t="s">
        <v>2347</v>
      </c>
      <c r="D1430" s="95" t="str">
        <f t="shared" si="15"/>
        <v>Mayuge Town Council</v>
      </c>
      <c r="F1430" s="95">
        <v>956</v>
      </c>
    </row>
    <row r="1431" spans="1:6">
      <c r="A1431" s="95" t="s">
        <v>2359</v>
      </c>
      <c r="B1431" s="95" t="s">
        <v>2346</v>
      </c>
      <c r="C1431" s="95" t="s">
        <v>2347</v>
      </c>
      <c r="D1431" s="95" t="str">
        <f t="shared" si="15"/>
        <v>Mpungwe</v>
      </c>
      <c r="F1431" s="95">
        <v>957</v>
      </c>
    </row>
    <row r="1432" spans="1:6">
      <c r="A1432" s="95" t="s">
        <v>2360</v>
      </c>
      <c r="B1432" s="95" t="s">
        <v>2346</v>
      </c>
      <c r="C1432" s="95" t="s">
        <v>2347</v>
      </c>
      <c r="D1432" s="95" t="str">
        <f t="shared" si="15"/>
        <v>Wairasa</v>
      </c>
      <c r="F1432" s="95">
        <v>958</v>
      </c>
    </row>
    <row r="1433" spans="1:6">
      <c r="A1433" s="95" t="s">
        <v>2361</v>
      </c>
      <c r="B1433" s="95" t="s">
        <v>2362</v>
      </c>
      <c r="C1433" s="95" t="s">
        <v>2363</v>
      </c>
      <c r="D1433" s="95" t="str">
        <f t="shared" si="15"/>
        <v>Bubyangu</v>
      </c>
      <c r="F1433" s="95">
        <v>959</v>
      </c>
    </row>
    <row r="1434" spans="1:6">
      <c r="A1434" s="95" t="s">
        <v>2364</v>
      </c>
      <c r="B1434" s="95" t="s">
        <v>2362</v>
      </c>
      <c r="C1434" s="95" t="s">
        <v>2363</v>
      </c>
      <c r="D1434" s="95" t="str">
        <f t="shared" si="15"/>
        <v>Budwale</v>
      </c>
      <c r="F1434" s="95">
        <v>960</v>
      </c>
    </row>
    <row r="1435" spans="1:6">
      <c r="A1435" s="95" t="s">
        <v>2365</v>
      </c>
      <c r="B1435" s="95" t="s">
        <v>2362</v>
      </c>
      <c r="C1435" s="95" t="s">
        <v>2363</v>
      </c>
      <c r="D1435" s="95" t="str">
        <f t="shared" si="15"/>
        <v>Bufumbo</v>
      </c>
      <c r="F1435" s="95">
        <v>961</v>
      </c>
    </row>
    <row r="1436" spans="1:6">
      <c r="A1436" s="95" t="s">
        <v>2366</v>
      </c>
      <c r="B1436" s="95" t="s">
        <v>2362</v>
      </c>
      <c r="C1436" s="95" t="s">
        <v>2363</v>
      </c>
      <c r="D1436" s="95" t="str">
        <f t="shared" si="15"/>
        <v>Bukasakya</v>
      </c>
      <c r="F1436" s="95">
        <v>962</v>
      </c>
    </row>
    <row r="1437" spans="1:6">
      <c r="A1437" s="95" t="s">
        <v>2367</v>
      </c>
      <c r="B1437" s="95" t="s">
        <v>2362</v>
      </c>
      <c r="C1437" s="95" t="s">
        <v>2363</v>
      </c>
      <c r="D1437" s="95" t="str">
        <f t="shared" si="15"/>
        <v>Bukiende</v>
      </c>
      <c r="F1437" s="95">
        <v>963</v>
      </c>
    </row>
    <row r="1438" spans="1:6">
      <c r="A1438" s="95" t="s">
        <v>2368</v>
      </c>
      <c r="B1438" s="95" t="s">
        <v>2362</v>
      </c>
      <c r="C1438" s="95" t="s">
        <v>2363</v>
      </c>
      <c r="D1438" s="95" t="str">
        <f t="shared" si="15"/>
        <v>Bukonde</v>
      </c>
      <c r="F1438" s="95">
        <v>964</v>
      </c>
    </row>
    <row r="1439" spans="1:6">
      <c r="A1439" s="95" t="s">
        <v>2369</v>
      </c>
      <c r="B1439" s="95" t="s">
        <v>2362</v>
      </c>
      <c r="C1439" s="95" t="s">
        <v>2363</v>
      </c>
      <c r="D1439" s="95" t="str">
        <f t="shared" si="15"/>
        <v>Bumasikye</v>
      </c>
      <c r="F1439" s="95">
        <v>965</v>
      </c>
    </row>
    <row r="1440" spans="1:6">
      <c r="A1440" s="95" t="s">
        <v>2370</v>
      </c>
      <c r="B1440" s="95" t="s">
        <v>2362</v>
      </c>
      <c r="C1440" s="95" t="s">
        <v>2363</v>
      </c>
      <c r="D1440" s="95" t="str">
        <f t="shared" si="15"/>
        <v>Bumbobi</v>
      </c>
      <c r="F1440" s="95">
        <v>966</v>
      </c>
    </row>
    <row r="1441" spans="1:6">
      <c r="A1441" s="95" t="s">
        <v>2363</v>
      </c>
      <c r="B1441" s="95" t="s">
        <v>2362</v>
      </c>
      <c r="C1441" s="95" t="s">
        <v>2363</v>
      </c>
      <c r="D1441" s="95" t="str">
        <f t="shared" si="15"/>
        <v>Bungokho</v>
      </c>
      <c r="F1441" s="95">
        <v>967</v>
      </c>
    </row>
    <row r="1442" spans="1:6">
      <c r="A1442" s="95" t="s">
        <v>2371</v>
      </c>
      <c r="B1442" s="95" t="s">
        <v>2362</v>
      </c>
      <c r="C1442" s="95" t="s">
        <v>2363</v>
      </c>
      <c r="D1442" s="95" t="str">
        <f t="shared" si="15"/>
        <v>Bungokho Mutoto</v>
      </c>
      <c r="F1442" s="95">
        <v>968</v>
      </c>
    </row>
    <row r="1443" spans="1:6">
      <c r="A1443" s="95" t="s">
        <v>2372</v>
      </c>
      <c r="B1443" s="95" t="s">
        <v>2362</v>
      </c>
      <c r="C1443" s="95" t="s">
        <v>2363</v>
      </c>
      <c r="D1443" s="95" t="str">
        <f t="shared" ref="D1443:D1525" si="16">A1443</f>
        <v>Busano</v>
      </c>
      <c r="F1443" s="95">
        <v>969</v>
      </c>
    </row>
    <row r="1444" spans="1:6">
      <c r="A1444" s="95" t="s">
        <v>2373</v>
      </c>
      <c r="B1444" s="95" t="s">
        <v>2362</v>
      </c>
      <c r="C1444" s="95" t="s">
        <v>2363</v>
      </c>
      <c r="D1444" s="95" t="str">
        <f t="shared" si="16"/>
        <v>Busiu</v>
      </c>
      <c r="F1444" s="95">
        <v>970</v>
      </c>
    </row>
    <row r="1445" spans="1:6">
      <c r="A1445" s="95" t="s">
        <v>2374</v>
      </c>
      <c r="B1445" s="95" t="s">
        <v>2362</v>
      </c>
      <c r="C1445" s="95" t="s">
        <v>2363</v>
      </c>
      <c r="D1445" s="95" t="str">
        <f t="shared" si="16"/>
        <v>Busiu Town Council</v>
      </c>
      <c r="F1445" s="95">
        <v>971</v>
      </c>
    </row>
    <row r="1446" spans="1:6">
      <c r="A1446" s="95" t="s">
        <v>2375</v>
      </c>
      <c r="B1446" s="95" t="s">
        <v>2362</v>
      </c>
      <c r="C1446" s="95" t="s">
        <v>2363</v>
      </c>
      <c r="D1446" s="95" t="str">
        <f t="shared" si="16"/>
        <v>Busoba</v>
      </c>
      <c r="F1446" s="95">
        <v>972</v>
      </c>
    </row>
    <row r="1447" spans="1:6">
      <c r="A1447" s="95" t="s">
        <v>2376</v>
      </c>
      <c r="B1447" s="95" t="s">
        <v>2362</v>
      </c>
      <c r="C1447" s="95" t="s">
        <v>2363</v>
      </c>
      <c r="D1447" s="95" t="str">
        <f t="shared" si="16"/>
        <v>Lukhonge</v>
      </c>
      <c r="F1447" s="95">
        <v>973</v>
      </c>
    </row>
    <row r="1448" spans="1:6">
      <c r="A1448" s="95" t="s">
        <v>2377</v>
      </c>
      <c r="B1448" s="95" t="s">
        <v>2362</v>
      </c>
      <c r="C1448" s="95" t="s">
        <v>2363</v>
      </c>
      <c r="D1448" s="95" t="str">
        <f t="shared" si="16"/>
        <v>Lwasso</v>
      </c>
      <c r="F1448" s="95">
        <v>974</v>
      </c>
    </row>
    <row r="1449" spans="1:6">
      <c r="A1449" s="95" t="s">
        <v>2378</v>
      </c>
      <c r="B1449" s="95" t="s">
        <v>2362</v>
      </c>
      <c r="C1449" s="95" t="s">
        <v>2378</v>
      </c>
      <c r="D1449" s="95" t="str">
        <f t="shared" si="16"/>
        <v>Mbale Municipality</v>
      </c>
      <c r="F1449" s="95">
        <v>975</v>
      </c>
    </row>
    <row r="1450" spans="1:6">
      <c r="A1450" s="95" t="s">
        <v>2379</v>
      </c>
      <c r="D1450" s="95" t="str">
        <f t="shared" si="16"/>
        <v>Mbale town</v>
      </c>
      <c r="F1450" s="95">
        <v>975</v>
      </c>
    </row>
    <row r="1451" spans="1:6">
      <c r="A1451" s="95" t="s">
        <v>2380</v>
      </c>
      <c r="F1451" s="95">
        <v>975</v>
      </c>
    </row>
    <row r="1452" spans="1:6">
      <c r="A1452" s="95" t="s">
        <v>2362</v>
      </c>
      <c r="F1452" s="95">
        <v>975</v>
      </c>
    </row>
    <row r="1453" spans="1:6">
      <c r="A1453" s="95" t="s">
        <v>2381</v>
      </c>
      <c r="B1453" s="95" t="s">
        <v>2362</v>
      </c>
      <c r="C1453" s="95" t="s">
        <v>2363</v>
      </c>
      <c r="D1453" s="95" t="str">
        <f t="shared" si="16"/>
        <v>Nabumali Town Council</v>
      </c>
      <c r="F1453" s="95">
        <v>976</v>
      </c>
    </row>
    <row r="1454" spans="1:6">
      <c r="A1454" s="95" t="s">
        <v>2382</v>
      </c>
      <c r="B1454" s="95" t="s">
        <v>2362</v>
      </c>
      <c r="C1454" s="95" t="s">
        <v>2363</v>
      </c>
      <c r="D1454" s="95" t="str">
        <f t="shared" si="16"/>
        <v>Nakaloke</v>
      </c>
      <c r="F1454" s="95">
        <v>977</v>
      </c>
    </row>
    <row r="1455" spans="1:6">
      <c r="A1455" s="95" t="s">
        <v>2383</v>
      </c>
      <c r="B1455" s="95" t="s">
        <v>2362</v>
      </c>
      <c r="C1455" s="95" t="s">
        <v>2363</v>
      </c>
      <c r="D1455" s="95" t="str">
        <f t="shared" si="16"/>
        <v>Nakaloke Town Council</v>
      </c>
      <c r="F1455" s="95">
        <v>978</v>
      </c>
    </row>
    <row r="1456" spans="1:6">
      <c r="A1456" s="95" t="s">
        <v>2384</v>
      </c>
      <c r="B1456" s="95" t="s">
        <v>2362</v>
      </c>
      <c r="C1456" s="95" t="s">
        <v>2363</v>
      </c>
      <c r="D1456" s="95" t="str">
        <f t="shared" si="16"/>
        <v>Namanyonyi</v>
      </c>
      <c r="F1456" s="95">
        <v>979</v>
      </c>
    </row>
    <row r="1457" spans="1:6">
      <c r="A1457" s="95" t="s">
        <v>2385</v>
      </c>
      <c r="B1457" s="95" t="s">
        <v>2362</v>
      </c>
      <c r="C1457" s="95" t="s">
        <v>2363</v>
      </c>
      <c r="D1457" s="95" t="str">
        <f t="shared" si="16"/>
        <v>Nyondo</v>
      </c>
      <c r="F1457" s="95">
        <v>980</v>
      </c>
    </row>
    <row r="1458" spans="1:6">
      <c r="A1458" s="95" t="s">
        <v>2386</v>
      </c>
      <c r="B1458" s="95" t="s">
        <v>2362</v>
      </c>
      <c r="C1458" s="95" t="s">
        <v>2363</v>
      </c>
      <c r="D1458" s="95" t="str">
        <f t="shared" si="16"/>
        <v>Wanale</v>
      </c>
      <c r="F1458" s="95">
        <v>981</v>
      </c>
    </row>
    <row r="1459" spans="1:6">
      <c r="A1459" s="95" t="s">
        <v>2387</v>
      </c>
      <c r="B1459" s="95" t="s">
        <v>2388</v>
      </c>
      <c r="C1459" s="95" t="s">
        <v>2389</v>
      </c>
      <c r="D1459" s="95" t="str">
        <f t="shared" si="16"/>
        <v>Bubaare-Mbarara</v>
      </c>
      <c r="F1459" s="95">
        <v>982</v>
      </c>
    </row>
    <row r="1460" spans="1:6">
      <c r="A1460" s="95" t="s">
        <v>2390</v>
      </c>
      <c r="B1460" s="95" t="s">
        <v>2388</v>
      </c>
      <c r="C1460" s="95" t="s">
        <v>2391</v>
      </c>
      <c r="D1460" s="95" t="str">
        <f t="shared" si="16"/>
        <v>Bugamba</v>
      </c>
      <c r="F1460" s="95">
        <v>983</v>
      </c>
    </row>
    <row r="1461" spans="1:6">
      <c r="A1461" s="95" t="s">
        <v>2392</v>
      </c>
      <c r="B1461" s="95" t="s">
        <v>2388</v>
      </c>
      <c r="C1461" s="95" t="s">
        <v>2389</v>
      </c>
      <c r="D1461" s="95" t="str">
        <f t="shared" si="16"/>
        <v>Bukiro</v>
      </c>
      <c r="F1461" s="95">
        <v>984</v>
      </c>
    </row>
    <row r="1462" spans="1:6">
      <c r="A1462" s="95" t="s">
        <v>2393</v>
      </c>
      <c r="B1462" s="95" t="s">
        <v>2388</v>
      </c>
      <c r="C1462" s="95" t="s">
        <v>2389</v>
      </c>
      <c r="D1462" s="95" t="str">
        <f t="shared" si="16"/>
        <v>Kagongi</v>
      </c>
      <c r="F1462" s="95">
        <v>985</v>
      </c>
    </row>
    <row r="1463" spans="1:6">
      <c r="A1463" s="95" t="s">
        <v>2394</v>
      </c>
      <c r="B1463" s="95" t="s">
        <v>2388</v>
      </c>
      <c r="C1463" s="95" t="s">
        <v>2389</v>
      </c>
      <c r="D1463" s="95" t="str">
        <f t="shared" si="16"/>
        <v>Kashare</v>
      </c>
      <c r="F1463" s="95">
        <v>986</v>
      </c>
    </row>
    <row r="1464" spans="1:6">
      <c r="A1464" s="95" t="s">
        <v>2395</v>
      </c>
      <c r="B1464" s="95" t="s">
        <v>2388</v>
      </c>
      <c r="C1464" s="95" t="s">
        <v>2395</v>
      </c>
      <c r="D1464" s="95" t="str">
        <f t="shared" si="16"/>
        <v>Mbarara Municipality</v>
      </c>
      <c r="F1464" s="95">
        <v>987</v>
      </c>
    </row>
    <row r="1465" spans="1:6">
      <c r="A1465" s="95" t="s">
        <v>2396</v>
      </c>
      <c r="D1465" s="95" t="str">
        <f t="shared" si="16"/>
        <v>Mbarara town</v>
      </c>
      <c r="F1465" s="95">
        <v>987</v>
      </c>
    </row>
    <row r="1466" spans="1:6">
      <c r="A1466" s="95" t="s">
        <v>2397</v>
      </c>
      <c r="D1466" s="95" t="str">
        <f t="shared" si="16"/>
        <v>MBARARA</v>
      </c>
      <c r="F1466" s="95">
        <v>987</v>
      </c>
    </row>
    <row r="1467" spans="1:6">
      <c r="A1467" s="95" t="s">
        <v>2398</v>
      </c>
      <c r="B1467" s="95" t="s">
        <v>2388</v>
      </c>
      <c r="C1467" s="95" t="s">
        <v>2391</v>
      </c>
      <c r="D1467" s="95" t="str">
        <f t="shared" si="16"/>
        <v>Mwizi</v>
      </c>
      <c r="F1467" s="95">
        <v>988</v>
      </c>
    </row>
    <row r="1468" spans="1:6">
      <c r="A1468" s="95" t="s">
        <v>2399</v>
      </c>
      <c r="B1468" s="95" t="s">
        <v>2388</v>
      </c>
      <c r="C1468" s="95" t="s">
        <v>2391</v>
      </c>
      <c r="D1468" s="95" t="str">
        <f t="shared" si="16"/>
        <v>Ndeija</v>
      </c>
      <c r="F1468" s="95">
        <v>989</v>
      </c>
    </row>
    <row r="1469" spans="1:6">
      <c r="A1469" s="95" t="s">
        <v>2400</v>
      </c>
      <c r="B1469" s="95" t="s">
        <v>2388</v>
      </c>
      <c r="C1469" s="95" t="s">
        <v>2389</v>
      </c>
      <c r="D1469" s="95" t="str">
        <f t="shared" si="16"/>
        <v>Rubaya-Mbarara</v>
      </c>
      <c r="F1469" s="95">
        <v>990</v>
      </c>
    </row>
    <row r="1470" spans="1:6">
      <c r="A1470" s="95" t="s">
        <v>2401</v>
      </c>
      <c r="B1470" s="95" t="s">
        <v>2388</v>
      </c>
      <c r="C1470" s="95" t="s">
        <v>2389</v>
      </c>
      <c r="D1470" s="95" t="str">
        <f t="shared" si="16"/>
        <v>Rubindi</v>
      </c>
      <c r="F1470" s="95">
        <v>991</v>
      </c>
    </row>
    <row r="1471" spans="1:6">
      <c r="A1471" s="95" t="s">
        <v>2402</v>
      </c>
      <c r="B1471" s="95" t="s">
        <v>2388</v>
      </c>
      <c r="C1471" s="95" t="s">
        <v>2391</v>
      </c>
      <c r="D1471" s="95" t="str">
        <f t="shared" si="16"/>
        <v>Rugando</v>
      </c>
      <c r="F1471" s="95">
        <v>992</v>
      </c>
    </row>
    <row r="1472" spans="1:6">
      <c r="A1472" s="95" t="s">
        <v>2403</v>
      </c>
      <c r="B1472" s="95" t="s">
        <v>2388</v>
      </c>
      <c r="C1472" s="95" t="s">
        <v>2389</v>
      </c>
      <c r="D1472" s="95" t="str">
        <f t="shared" si="16"/>
        <v>Rwanyamahembe</v>
      </c>
      <c r="F1472" s="95">
        <v>993</v>
      </c>
    </row>
    <row r="1473" spans="1:6">
      <c r="A1473" s="95" t="s">
        <v>2404</v>
      </c>
      <c r="B1473" s="95" t="s">
        <v>46</v>
      </c>
      <c r="C1473" s="95" t="s">
        <v>2405</v>
      </c>
      <c r="D1473" s="95" t="str">
        <f t="shared" si="16"/>
        <v>Bitereko</v>
      </c>
      <c r="F1473" s="95">
        <v>994</v>
      </c>
    </row>
    <row r="1474" spans="1:6">
      <c r="A1474" s="95" t="s">
        <v>2215</v>
      </c>
      <c r="B1474" s="95" t="s">
        <v>46</v>
      </c>
      <c r="C1474" s="95" t="s">
        <v>2405</v>
      </c>
      <c r="D1474" s="95" t="str">
        <f t="shared" si="16"/>
        <v>Kabira</v>
      </c>
      <c r="F1474" s="95">
        <v>995</v>
      </c>
    </row>
    <row r="1475" spans="1:6">
      <c r="A1475" s="95" t="s">
        <v>2406</v>
      </c>
      <c r="B1475" s="95" t="s">
        <v>46</v>
      </c>
      <c r="C1475" s="95" t="s">
        <v>2405</v>
      </c>
      <c r="D1475" s="95" t="str">
        <f t="shared" si="16"/>
        <v>Kanyabwanga</v>
      </c>
      <c r="F1475" s="95">
        <v>996</v>
      </c>
    </row>
    <row r="1476" spans="1:6">
      <c r="A1476" s="95" t="s">
        <v>2407</v>
      </c>
      <c r="B1476" s="95" t="s">
        <v>46</v>
      </c>
      <c r="C1476" s="95" t="s">
        <v>2405</v>
      </c>
      <c r="D1476" s="95" t="str">
        <f t="shared" si="16"/>
        <v>Kashenshero</v>
      </c>
      <c r="F1476" s="95">
        <v>997</v>
      </c>
    </row>
    <row r="1477" spans="1:6">
      <c r="A1477" s="95" t="s">
        <v>2408</v>
      </c>
      <c r="B1477" s="95" t="s">
        <v>46</v>
      </c>
      <c r="C1477" s="95" t="s">
        <v>2405</v>
      </c>
      <c r="D1477" s="95" t="str">
        <f t="shared" si="16"/>
        <v>Kashenshero Town Council</v>
      </c>
      <c r="F1477" s="95">
        <v>998</v>
      </c>
    </row>
    <row r="1478" spans="1:6">
      <c r="A1478" s="95" t="s">
        <v>2409</v>
      </c>
      <c r="B1478" s="95" t="s">
        <v>46</v>
      </c>
      <c r="C1478" s="95" t="s">
        <v>2405</v>
      </c>
      <c r="D1478" s="95" t="str">
        <f t="shared" si="16"/>
        <v>Katenga</v>
      </c>
      <c r="F1478" s="95">
        <v>999</v>
      </c>
    </row>
    <row r="1479" spans="1:6">
      <c r="A1479" s="95" t="s">
        <v>2410</v>
      </c>
      <c r="B1479" s="95" t="s">
        <v>46</v>
      </c>
      <c r="C1479" s="95" t="s">
        <v>2405</v>
      </c>
      <c r="D1479" s="95" t="str">
        <f t="shared" si="16"/>
        <v>Kiyanga</v>
      </c>
      <c r="F1479" s="95">
        <v>1000</v>
      </c>
    </row>
    <row r="1480" spans="1:6">
      <c r="A1480" s="95" t="s">
        <v>2411</v>
      </c>
      <c r="B1480" s="95" t="s">
        <v>46</v>
      </c>
      <c r="C1480" s="95" t="s">
        <v>2405</v>
      </c>
      <c r="D1480" s="95" t="str">
        <f t="shared" si="16"/>
        <v>Mayanga</v>
      </c>
      <c r="F1480" s="95">
        <v>1001</v>
      </c>
    </row>
    <row r="1481" spans="1:6">
      <c r="A1481" s="95" t="s">
        <v>46</v>
      </c>
      <c r="B1481" s="95" t="s">
        <v>46</v>
      </c>
      <c r="C1481" s="95" t="s">
        <v>2405</v>
      </c>
      <c r="D1481" s="95" t="str">
        <f t="shared" si="16"/>
        <v>Mitooma</v>
      </c>
      <c r="F1481" s="95">
        <v>1002</v>
      </c>
    </row>
    <row r="1482" spans="1:6">
      <c r="A1482" s="95" t="s">
        <v>2412</v>
      </c>
      <c r="B1482" s="95" t="s">
        <v>46</v>
      </c>
      <c r="C1482" s="95" t="s">
        <v>2405</v>
      </c>
      <c r="D1482" s="95" t="str">
        <f t="shared" si="16"/>
        <v>Mitooma Town Council</v>
      </c>
      <c r="F1482" s="95">
        <v>1003</v>
      </c>
    </row>
    <row r="1483" spans="1:6">
      <c r="A1483" s="95" t="s">
        <v>2413</v>
      </c>
      <c r="B1483" s="95" t="s">
        <v>46</v>
      </c>
      <c r="C1483" s="95" t="s">
        <v>2405</v>
      </c>
      <c r="D1483" s="95" t="str">
        <f t="shared" si="16"/>
        <v>Mutara</v>
      </c>
      <c r="F1483" s="95">
        <v>1004</v>
      </c>
    </row>
    <row r="1484" spans="1:6">
      <c r="A1484" s="95" t="s">
        <v>2414</v>
      </c>
      <c r="B1484" s="95" t="s">
        <v>46</v>
      </c>
      <c r="C1484" s="95" t="s">
        <v>2405</v>
      </c>
      <c r="D1484" s="95" t="str">
        <f t="shared" si="16"/>
        <v>Rurehe</v>
      </c>
      <c r="F1484" s="95">
        <v>1005</v>
      </c>
    </row>
    <row r="1485" spans="1:6">
      <c r="A1485" s="95" t="s">
        <v>2415</v>
      </c>
      <c r="B1485" s="95" t="s">
        <v>2416</v>
      </c>
      <c r="C1485" s="95" t="s">
        <v>2417</v>
      </c>
      <c r="D1485" s="95" t="str">
        <f t="shared" si="16"/>
        <v>Bbanda</v>
      </c>
      <c r="F1485" s="95">
        <v>1006</v>
      </c>
    </row>
    <row r="1486" spans="1:6">
      <c r="A1486" s="95" t="s">
        <v>2417</v>
      </c>
      <c r="D1486" s="95" t="str">
        <f t="shared" si="16"/>
        <v>Busujju</v>
      </c>
      <c r="F1486" s="95">
        <v>1006</v>
      </c>
    </row>
    <row r="1487" spans="1:6">
      <c r="A1487" s="95" t="s">
        <v>2418</v>
      </c>
      <c r="B1487" s="95" t="s">
        <v>2416</v>
      </c>
      <c r="C1487" s="95" t="s">
        <v>2416</v>
      </c>
      <c r="D1487" s="95" t="str">
        <f t="shared" si="16"/>
        <v>Bulera</v>
      </c>
      <c r="F1487" s="95">
        <v>1007</v>
      </c>
    </row>
    <row r="1488" spans="1:6">
      <c r="A1488" s="95" t="s">
        <v>2419</v>
      </c>
      <c r="B1488" s="95" t="s">
        <v>2416</v>
      </c>
      <c r="C1488" s="95" t="s">
        <v>2420</v>
      </c>
      <c r="D1488" s="95" t="str">
        <f t="shared" si="16"/>
        <v>Busimbi Division</v>
      </c>
      <c r="F1488" s="95">
        <v>1008</v>
      </c>
    </row>
    <row r="1489" spans="1:6">
      <c r="A1489" s="95" t="s">
        <v>2421</v>
      </c>
      <c r="B1489" s="95" t="s">
        <v>2416</v>
      </c>
      <c r="C1489" s="95" t="s">
        <v>2416</v>
      </c>
      <c r="D1489" s="95" t="str">
        <f t="shared" si="16"/>
        <v>Busunju Town Council</v>
      </c>
      <c r="F1489" s="95">
        <v>1009</v>
      </c>
    </row>
    <row r="1490" spans="1:6">
      <c r="A1490" s="95" t="s">
        <v>2422</v>
      </c>
      <c r="D1490" s="95" t="str">
        <f t="shared" si="16"/>
        <v>Busunju</v>
      </c>
      <c r="F1490" s="95">
        <v>1009</v>
      </c>
    </row>
    <row r="1491" spans="1:6">
      <c r="A1491" s="95" t="s">
        <v>2423</v>
      </c>
      <c r="D1491" s="95" t="str">
        <f t="shared" si="16"/>
        <v>Busunjo</v>
      </c>
      <c r="F1491" s="95">
        <v>1009</v>
      </c>
    </row>
    <row r="1492" spans="1:6">
      <c r="A1492" s="95" t="s">
        <v>2424</v>
      </c>
      <c r="F1492" s="95">
        <v>1009</v>
      </c>
    </row>
    <row r="1493" spans="1:6">
      <c r="A1493" s="95" t="s">
        <v>2425</v>
      </c>
      <c r="D1493" s="95" t="str">
        <f t="shared" si="16"/>
        <v>Busunjju</v>
      </c>
      <c r="F1493" s="95">
        <v>1009</v>
      </c>
    </row>
    <row r="1494" spans="1:6">
      <c r="A1494" s="95" t="s">
        <v>2426</v>
      </c>
      <c r="B1494" s="95" t="s">
        <v>2416</v>
      </c>
      <c r="C1494" s="95" t="s">
        <v>2417</v>
      </c>
      <c r="D1494" s="95" t="str">
        <f t="shared" si="16"/>
        <v>Butayunja</v>
      </c>
      <c r="F1494" s="95">
        <v>1010</v>
      </c>
    </row>
    <row r="1495" spans="1:6">
      <c r="A1495" s="95" t="s">
        <v>2427</v>
      </c>
      <c r="B1495" s="95" t="s">
        <v>2416</v>
      </c>
      <c r="C1495" s="95" t="s">
        <v>2417</v>
      </c>
      <c r="D1495" s="95" t="str">
        <f t="shared" si="16"/>
        <v>Kakindu</v>
      </c>
      <c r="F1495" s="95">
        <v>1011</v>
      </c>
    </row>
    <row r="1496" spans="1:6">
      <c r="A1496" s="95" t="s">
        <v>2428</v>
      </c>
      <c r="B1496" s="95" t="s">
        <v>2416</v>
      </c>
      <c r="C1496" s="95" t="s">
        <v>2416</v>
      </c>
      <c r="D1496" s="95" t="str">
        <f t="shared" si="16"/>
        <v>Kalangaalo</v>
      </c>
      <c r="F1496" s="95">
        <v>1012</v>
      </c>
    </row>
    <row r="1497" spans="1:6">
      <c r="A1497" s="95" t="s">
        <v>2429</v>
      </c>
      <c r="B1497" s="95" t="s">
        <v>2416</v>
      </c>
      <c r="C1497" s="95" t="s">
        <v>2416</v>
      </c>
      <c r="D1497" s="95" t="str">
        <f t="shared" si="16"/>
        <v>Kikandwa</v>
      </c>
      <c r="F1497" s="95">
        <v>1013</v>
      </c>
    </row>
    <row r="1498" spans="1:6">
      <c r="A1498" s="95" t="s">
        <v>2430</v>
      </c>
      <c r="B1498" s="95" t="s">
        <v>2416</v>
      </c>
      <c r="C1498" s="95" t="s">
        <v>2417</v>
      </c>
      <c r="D1498" s="95" t="str">
        <f t="shared" si="16"/>
        <v>Maanyi</v>
      </c>
      <c r="F1498" s="95">
        <v>1014</v>
      </c>
    </row>
    <row r="1499" spans="1:6">
      <c r="A1499" s="95" t="s">
        <v>2431</v>
      </c>
      <c r="B1499" s="95" t="s">
        <v>2416</v>
      </c>
      <c r="C1499" s="95" t="s">
        <v>2417</v>
      </c>
      <c r="D1499" s="95" t="str">
        <f t="shared" si="16"/>
        <v>Malangala</v>
      </c>
      <c r="F1499" s="95">
        <v>1015</v>
      </c>
    </row>
    <row r="1500" spans="1:6">
      <c r="A1500" s="95" t="s">
        <v>2420</v>
      </c>
      <c r="B1500" s="95" t="s">
        <v>2416</v>
      </c>
      <c r="C1500" s="95" t="s">
        <v>2420</v>
      </c>
      <c r="D1500" s="95" t="str">
        <f t="shared" si="16"/>
        <v>Mityana Municipality</v>
      </c>
      <c r="F1500" s="95">
        <v>1016</v>
      </c>
    </row>
    <row r="1501" spans="1:6">
      <c r="A1501" s="95" t="s">
        <v>2432</v>
      </c>
      <c r="D1501" s="95" t="str">
        <f t="shared" si="16"/>
        <v xml:space="preserve">Mityana  </v>
      </c>
      <c r="F1501" s="95">
        <v>1016</v>
      </c>
    </row>
    <row r="1502" spans="1:6">
      <c r="A1502" s="95" t="s">
        <v>2433</v>
      </c>
      <c r="F1502" s="95">
        <v>1016</v>
      </c>
    </row>
    <row r="1503" spans="1:6">
      <c r="A1503" s="95" t="s">
        <v>2434</v>
      </c>
      <c r="F1503" s="95">
        <v>1016</v>
      </c>
    </row>
    <row r="1504" spans="1:6">
      <c r="A1504" s="95" t="s">
        <v>2435</v>
      </c>
      <c r="F1504" s="95">
        <v>1016</v>
      </c>
    </row>
    <row r="1505" spans="1:6">
      <c r="A1505" s="95" t="s">
        <v>2436</v>
      </c>
      <c r="F1505" s="95">
        <v>1016</v>
      </c>
    </row>
    <row r="1506" spans="1:6">
      <c r="A1506" s="95" t="s">
        <v>2416</v>
      </c>
      <c r="F1506" s="95">
        <v>1016</v>
      </c>
    </row>
    <row r="1507" spans="1:6">
      <c r="A1507" s="95" t="s">
        <v>2437</v>
      </c>
      <c r="F1507" s="95">
        <v>1016</v>
      </c>
    </row>
    <row r="1508" spans="1:6">
      <c r="A1508" s="95" t="s">
        <v>2438</v>
      </c>
      <c r="F1508" s="95">
        <v>1016</v>
      </c>
    </row>
    <row r="1509" spans="1:6">
      <c r="A1509" s="95" t="s">
        <v>2439</v>
      </c>
      <c r="B1509" s="95" t="s">
        <v>2416</v>
      </c>
      <c r="C1509" s="95" t="s">
        <v>2416</v>
      </c>
      <c r="D1509" s="95" t="str">
        <f t="shared" si="16"/>
        <v>Namungo</v>
      </c>
      <c r="F1509" s="95">
        <v>1017</v>
      </c>
    </row>
    <row r="1510" spans="1:6">
      <c r="A1510" s="95" t="s">
        <v>2440</v>
      </c>
      <c r="B1510" s="95" t="s">
        <v>2416</v>
      </c>
      <c r="C1510" s="95" t="s">
        <v>2416</v>
      </c>
      <c r="D1510" s="95" t="str">
        <f t="shared" si="16"/>
        <v>Ssekanyonyi</v>
      </c>
      <c r="F1510" s="95">
        <v>1018</v>
      </c>
    </row>
    <row r="1511" spans="1:6">
      <c r="A1511" s="95" t="s">
        <v>2441</v>
      </c>
      <c r="B1511" s="95" t="s">
        <v>893</v>
      </c>
      <c r="C1511" s="95" t="s">
        <v>2442</v>
      </c>
      <c r="D1511" s="95" t="str">
        <f t="shared" si="16"/>
        <v>Katikekile</v>
      </c>
      <c r="F1511" s="95">
        <v>1019</v>
      </c>
    </row>
    <row r="1512" spans="1:6">
      <c r="A1512" s="95" t="s">
        <v>2443</v>
      </c>
      <c r="B1512" s="95" t="s">
        <v>893</v>
      </c>
      <c r="C1512" s="95" t="s">
        <v>2443</v>
      </c>
      <c r="D1512" s="95" t="str">
        <f t="shared" si="16"/>
        <v>Moroto Municipality</v>
      </c>
      <c r="F1512" s="95">
        <v>1020</v>
      </c>
    </row>
    <row r="1513" spans="1:6">
      <c r="A1513" s="95" t="s">
        <v>2444</v>
      </c>
      <c r="D1513" s="95" t="str">
        <f t="shared" si="16"/>
        <v>MOROTO</v>
      </c>
      <c r="F1513" s="95">
        <v>1020</v>
      </c>
    </row>
    <row r="1514" spans="1:6">
      <c r="A1514" s="95" t="s">
        <v>2445</v>
      </c>
      <c r="B1514" s="95" t="s">
        <v>893</v>
      </c>
      <c r="C1514" s="95" t="s">
        <v>2442</v>
      </c>
      <c r="D1514" s="95" t="str">
        <f t="shared" si="16"/>
        <v>Nadunget</v>
      </c>
      <c r="F1514" s="95">
        <v>1021</v>
      </c>
    </row>
    <row r="1515" spans="1:6">
      <c r="A1515" s="95" t="s">
        <v>2446</v>
      </c>
      <c r="B1515" s="95" t="s">
        <v>893</v>
      </c>
      <c r="C1515" s="95" t="s">
        <v>2442</v>
      </c>
      <c r="D1515" s="95" t="str">
        <f t="shared" si="16"/>
        <v>Rupa</v>
      </c>
      <c r="F1515" s="95">
        <v>1022</v>
      </c>
    </row>
    <row r="1516" spans="1:6">
      <c r="A1516" s="95" t="s">
        <v>2447</v>
      </c>
      <c r="B1516" s="95" t="s">
        <v>893</v>
      </c>
      <c r="C1516" s="95" t="s">
        <v>2442</v>
      </c>
      <c r="D1516" s="95" t="str">
        <f t="shared" si="16"/>
        <v>Tapac</v>
      </c>
      <c r="F1516" s="95">
        <v>1023</v>
      </c>
    </row>
    <row r="1517" spans="1:6">
      <c r="A1517" s="95" t="s">
        <v>2448</v>
      </c>
      <c r="B1517" s="95" t="s">
        <v>2449</v>
      </c>
      <c r="C1517" s="95" t="s">
        <v>2450</v>
      </c>
      <c r="D1517" s="95" t="str">
        <f t="shared" si="16"/>
        <v>Aliba</v>
      </c>
      <c r="F1517" s="95">
        <v>1024</v>
      </c>
    </row>
    <row r="1518" spans="1:6">
      <c r="A1518" s="95" t="s">
        <v>2451</v>
      </c>
      <c r="B1518" s="95" t="s">
        <v>2449</v>
      </c>
      <c r="C1518" s="95" t="s">
        <v>2452</v>
      </c>
      <c r="D1518" s="95" t="str">
        <f t="shared" si="16"/>
        <v>Difule</v>
      </c>
      <c r="F1518" s="95">
        <v>1025</v>
      </c>
    </row>
    <row r="1519" spans="1:6">
      <c r="A1519" s="95" t="s">
        <v>2453</v>
      </c>
      <c r="B1519" s="95" t="s">
        <v>2449</v>
      </c>
      <c r="C1519" s="95" t="s">
        <v>2450</v>
      </c>
      <c r="D1519" s="95" t="str">
        <f t="shared" si="16"/>
        <v>Gimara</v>
      </c>
      <c r="F1519" s="95">
        <v>1026</v>
      </c>
    </row>
    <row r="1520" spans="1:6">
      <c r="A1520" s="95" t="s">
        <v>2454</v>
      </c>
      <c r="B1520" s="95" t="s">
        <v>2449</v>
      </c>
      <c r="C1520" s="95" t="s">
        <v>2450</v>
      </c>
      <c r="D1520" s="95" t="str">
        <f t="shared" si="16"/>
        <v>Itula</v>
      </c>
      <c r="F1520" s="95">
        <v>1027</v>
      </c>
    </row>
    <row r="1521" spans="1:6">
      <c r="A1521" s="95" t="s">
        <v>2455</v>
      </c>
      <c r="B1521" s="95" t="s">
        <v>2449</v>
      </c>
      <c r="C1521" s="95" t="s">
        <v>2452</v>
      </c>
      <c r="D1521" s="95" t="str">
        <f t="shared" si="16"/>
        <v>Laropi</v>
      </c>
      <c r="F1521" s="95">
        <v>1028</v>
      </c>
    </row>
    <row r="1522" spans="1:6">
      <c r="A1522" s="95" t="s">
        <v>2456</v>
      </c>
      <c r="B1522" s="95" t="s">
        <v>2449</v>
      </c>
      <c r="C1522" s="95" t="s">
        <v>2452</v>
      </c>
      <c r="D1522" s="95" t="str">
        <f t="shared" si="16"/>
        <v>Lefori</v>
      </c>
      <c r="F1522" s="95">
        <v>1029</v>
      </c>
    </row>
    <row r="1523" spans="1:6">
      <c r="A1523" s="95" t="s">
        <v>2457</v>
      </c>
      <c r="B1523" s="95" t="s">
        <v>2449</v>
      </c>
      <c r="C1523" s="95" t="s">
        <v>2452</v>
      </c>
      <c r="D1523" s="95" t="str">
        <f t="shared" si="16"/>
        <v>Metu</v>
      </c>
      <c r="F1523" s="95">
        <v>1030</v>
      </c>
    </row>
    <row r="1524" spans="1:6">
      <c r="A1524" s="95" t="s">
        <v>2449</v>
      </c>
      <c r="B1524" s="95" t="s">
        <v>2449</v>
      </c>
      <c r="C1524" s="95" t="s">
        <v>2452</v>
      </c>
      <c r="D1524" s="95" t="str">
        <f t="shared" si="16"/>
        <v>Moyo</v>
      </c>
      <c r="F1524" s="95">
        <v>1031</v>
      </c>
    </row>
    <row r="1525" spans="1:6">
      <c r="A1525" s="95" t="s">
        <v>2458</v>
      </c>
      <c r="B1525" s="95" t="s">
        <v>2449</v>
      </c>
      <c r="C1525" s="95" t="s">
        <v>2452</v>
      </c>
      <c r="D1525" s="95" t="str">
        <f t="shared" si="16"/>
        <v>Moyo Town Council</v>
      </c>
      <c r="F1525" s="95">
        <v>1032</v>
      </c>
    </row>
    <row r="1526" spans="1:6">
      <c r="A1526" s="95" t="s">
        <v>2459</v>
      </c>
      <c r="B1526" s="95" t="s">
        <v>2460</v>
      </c>
      <c r="C1526" s="95" t="s">
        <v>2461</v>
      </c>
      <c r="D1526" s="95" t="str">
        <f t="shared" ref="D1526:D1616" si="17">A1526</f>
        <v>Buwama</v>
      </c>
      <c r="F1526" s="95">
        <v>1033</v>
      </c>
    </row>
    <row r="1527" spans="1:6">
      <c r="A1527" s="95" t="s">
        <v>2462</v>
      </c>
      <c r="B1527" s="95" t="s">
        <v>2460</v>
      </c>
      <c r="C1527" s="95" t="s">
        <v>2461</v>
      </c>
      <c r="D1527" s="95" t="str">
        <f t="shared" si="17"/>
        <v>Kammengo</v>
      </c>
      <c r="F1527" s="95">
        <v>1034</v>
      </c>
    </row>
    <row r="1528" spans="1:6">
      <c r="A1528" s="95" t="s">
        <v>2463</v>
      </c>
      <c r="B1528" s="95" t="s">
        <v>2460</v>
      </c>
      <c r="C1528" s="95" t="s">
        <v>2461</v>
      </c>
      <c r="D1528" s="95" t="str">
        <f t="shared" si="17"/>
        <v>Kiringente</v>
      </c>
      <c r="F1528" s="95">
        <v>1035</v>
      </c>
    </row>
    <row r="1529" spans="1:6">
      <c r="A1529" s="95" t="s">
        <v>2464</v>
      </c>
      <c r="B1529" s="95" t="s">
        <v>2460</v>
      </c>
      <c r="C1529" s="95" t="s">
        <v>2461</v>
      </c>
      <c r="D1529" s="95" t="str">
        <f t="shared" si="17"/>
        <v>Kituntu</v>
      </c>
      <c r="F1529" s="95">
        <v>1036</v>
      </c>
    </row>
    <row r="1530" spans="1:6">
      <c r="A1530" s="95" t="s">
        <v>2465</v>
      </c>
      <c r="B1530" s="95" t="s">
        <v>2460</v>
      </c>
      <c r="C1530" s="95" t="s">
        <v>2461</v>
      </c>
      <c r="D1530" s="95" t="str">
        <f t="shared" si="17"/>
        <v>Mpigi Town Council</v>
      </c>
      <c r="F1530" s="95">
        <v>1037</v>
      </c>
    </row>
    <row r="1531" spans="1:6">
      <c r="A1531" s="95" t="s">
        <v>2466</v>
      </c>
      <c r="F1531" s="95">
        <v>1037</v>
      </c>
    </row>
    <row r="1532" spans="1:6">
      <c r="A1532" s="95" t="s">
        <v>2467</v>
      </c>
      <c r="D1532" s="95" t="str">
        <f t="shared" si="17"/>
        <v>Kayabwe</v>
      </c>
      <c r="F1532" s="95">
        <v>1037</v>
      </c>
    </row>
    <row r="1533" spans="1:6">
      <c r="A1533" s="95" t="s">
        <v>2468</v>
      </c>
      <c r="F1533" s="95">
        <v>1037</v>
      </c>
    </row>
    <row r="1534" spans="1:6">
      <c r="A1534" s="95" t="s">
        <v>2469</v>
      </c>
      <c r="D1534" s="95" t="str">
        <f t="shared" si="17"/>
        <v>Kayebwe</v>
      </c>
      <c r="F1534" s="95">
        <v>1037</v>
      </c>
    </row>
    <row r="1535" spans="1:6">
      <c r="A1535" s="95" t="s">
        <v>628</v>
      </c>
      <c r="D1535" s="95" t="str">
        <f t="shared" si="17"/>
        <v>MPIGI</v>
      </c>
      <c r="F1535" s="95">
        <v>1037</v>
      </c>
    </row>
    <row r="1536" spans="1:6">
      <c r="A1536" s="95" t="s">
        <v>2470</v>
      </c>
      <c r="B1536" s="95" t="s">
        <v>2460</v>
      </c>
      <c r="C1536" s="95" t="s">
        <v>2461</v>
      </c>
      <c r="D1536" s="95" t="str">
        <f t="shared" si="17"/>
        <v>Muduuma</v>
      </c>
      <c r="F1536" s="95">
        <v>1038</v>
      </c>
    </row>
    <row r="1537" spans="1:6">
      <c r="A1537" s="95" t="s">
        <v>2471</v>
      </c>
      <c r="B1537" s="95" t="s">
        <v>2460</v>
      </c>
      <c r="C1537" s="95" t="s">
        <v>2461</v>
      </c>
      <c r="D1537" s="95" t="str">
        <f t="shared" si="17"/>
        <v>Nkozi</v>
      </c>
      <c r="F1537" s="95">
        <v>1039</v>
      </c>
    </row>
    <row r="1538" spans="1:6">
      <c r="A1538" s="95" t="s">
        <v>2472</v>
      </c>
      <c r="B1538" s="95" t="s">
        <v>2473</v>
      </c>
      <c r="C1538" s="95" t="s">
        <v>2474</v>
      </c>
      <c r="D1538" s="95" t="str">
        <f t="shared" si="17"/>
        <v>Bagezza</v>
      </c>
      <c r="F1538" s="95">
        <v>1040</v>
      </c>
    </row>
    <row r="1539" spans="1:6">
      <c r="A1539" s="95" t="s">
        <v>2475</v>
      </c>
      <c r="B1539" s="95" t="s">
        <v>2473</v>
      </c>
      <c r="C1539" s="95" t="s">
        <v>2476</v>
      </c>
      <c r="D1539" s="95" t="str">
        <f t="shared" si="17"/>
        <v>Bukuya</v>
      </c>
      <c r="F1539" s="95">
        <v>1041</v>
      </c>
    </row>
    <row r="1540" spans="1:6">
      <c r="A1540" s="95" t="s">
        <v>2477</v>
      </c>
      <c r="D1540" s="95" t="str">
        <f t="shared" si="17"/>
        <v>Kamengo</v>
      </c>
      <c r="F1540" s="95">
        <v>1041</v>
      </c>
    </row>
    <row r="1541" spans="1:6">
      <c r="A1541" s="95" t="s">
        <v>2478</v>
      </c>
      <c r="B1541" s="95" t="s">
        <v>2473</v>
      </c>
      <c r="C1541" s="95" t="s">
        <v>2479</v>
      </c>
      <c r="D1541" s="95" t="str">
        <f t="shared" si="17"/>
        <v>Butoloogo</v>
      </c>
      <c r="F1541" s="95">
        <v>1042</v>
      </c>
    </row>
    <row r="1542" spans="1:6">
      <c r="A1542" s="95" t="s">
        <v>2480</v>
      </c>
      <c r="B1542" s="95" t="s">
        <v>2473</v>
      </c>
      <c r="C1542" s="95" t="s">
        <v>2476</v>
      </c>
      <c r="D1542" s="95" t="str">
        <f t="shared" si="17"/>
        <v>Kalwana</v>
      </c>
      <c r="F1542" s="95">
        <v>1043</v>
      </c>
    </row>
    <row r="1543" spans="1:6">
      <c r="A1543" s="95" t="s">
        <v>2481</v>
      </c>
      <c r="B1543" s="95" t="s">
        <v>2473</v>
      </c>
      <c r="C1543" s="95" t="s">
        <v>2474</v>
      </c>
      <c r="D1543" s="95" t="str">
        <f t="shared" si="17"/>
        <v>Kasambya-Mubende</v>
      </c>
      <c r="F1543" s="95">
        <v>1044</v>
      </c>
    </row>
    <row r="1544" spans="1:6">
      <c r="A1544" s="95" t="s">
        <v>2476</v>
      </c>
      <c r="B1544" s="95" t="s">
        <v>2473</v>
      </c>
      <c r="C1544" s="95" t="s">
        <v>2476</v>
      </c>
      <c r="D1544" s="95" t="str">
        <f t="shared" si="17"/>
        <v>Kassanda</v>
      </c>
      <c r="F1544" s="95">
        <v>1045</v>
      </c>
    </row>
    <row r="1545" spans="1:6">
      <c r="A1545" s="95" t="s">
        <v>2482</v>
      </c>
      <c r="F1545" s="95">
        <v>1045</v>
      </c>
    </row>
    <row r="1546" spans="1:6">
      <c r="A1546" s="95" t="s">
        <v>2483</v>
      </c>
      <c r="B1546" s="95" t="s">
        <v>2473</v>
      </c>
      <c r="C1546" s="95" t="s">
        <v>2474</v>
      </c>
      <c r="D1546" s="95" t="str">
        <f t="shared" si="17"/>
        <v>Kibalinga</v>
      </c>
      <c r="F1546" s="95">
        <v>1046</v>
      </c>
    </row>
    <row r="1547" spans="1:6">
      <c r="A1547" s="95" t="s">
        <v>2484</v>
      </c>
      <c r="B1547" s="95" t="s">
        <v>2473</v>
      </c>
      <c r="C1547" s="95" t="s">
        <v>2476</v>
      </c>
      <c r="D1547" s="95" t="str">
        <f t="shared" si="17"/>
        <v>Kiganda</v>
      </c>
      <c r="F1547" s="95">
        <v>1047</v>
      </c>
    </row>
    <row r="1548" spans="1:6">
      <c r="A1548" s="95" t="s">
        <v>2485</v>
      </c>
      <c r="B1548" s="95" t="s">
        <v>2473</v>
      </c>
      <c r="C1548" s="95" t="s">
        <v>2474</v>
      </c>
      <c r="D1548" s="95" t="str">
        <f t="shared" si="17"/>
        <v>Kigando</v>
      </c>
      <c r="F1548" s="95">
        <v>1048</v>
      </c>
    </row>
    <row r="1549" spans="1:6">
      <c r="A1549" s="95" t="s">
        <v>2486</v>
      </c>
      <c r="B1549" s="95" t="s">
        <v>2473</v>
      </c>
      <c r="C1549" s="95" t="s">
        <v>2479</v>
      </c>
      <c r="D1549" s="95" t="str">
        <f t="shared" si="17"/>
        <v>Kitenga</v>
      </c>
      <c r="F1549" s="95">
        <v>1049</v>
      </c>
    </row>
    <row r="1550" spans="1:6">
      <c r="A1550" s="95" t="s">
        <v>2487</v>
      </c>
      <c r="B1550" s="95" t="s">
        <v>2473</v>
      </c>
      <c r="C1550" s="95" t="s">
        <v>2476</v>
      </c>
      <c r="D1550" s="95" t="str">
        <f t="shared" si="17"/>
        <v>Kitumbi</v>
      </c>
      <c r="F1550" s="95">
        <v>1050</v>
      </c>
    </row>
    <row r="1551" spans="1:6">
      <c r="A1551" s="95" t="s">
        <v>2488</v>
      </c>
      <c r="B1551" s="95" t="s">
        <v>2473</v>
      </c>
      <c r="C1551" s="95" t="s">
        <v>2479</v>
      </c>
      <c r="D1551" s="95" t="str">
        <f t="shared" si="17"/>
        <v>Kiyuni</v>
      </c>
      <c r="F1551" s="95">
        <v>1051</v>
      </c>
    </row>
    <row r="1552" spans="1:6">
      <c r="A1552" s="95" t="s">
        <v>2489</v>
      </c>
      <c r="B1552" s="95" t="s">
        <v>2473</v>
      </c>
      <c r="C1552" s="95" t="s">
        <v>2479</v>
      </c>
      <c r="D1552" s="95" t="str">
        <f t="shared" si="17"/>
        <v>Madudu</v>
      </c>
      <c r="F1552" s="95">
        <v>1052</v>
      </c>
    </row>
    <row r="1553" spans="1:6">
      <c r="A1553" s="95" t="s">
        <v>2490</v>
      </c>
      <c r="B1553" s="95" t="s">
        <v>2473</v>
      </c>
      <c r="C1553" s="95" t="s">
        <v>2476</v>
      </c>
      <c r="D1553" s="95" t="str">
        <f t="shared" si="17"/>
        <v>Makokoto</v>
      </c>
      <c r="F1553" s="95">
        <v>1053</v>
      </c>
    </row>
    <row r="1554" spans="1:6">
      <c r="A1554" s="95" t="s">
        <v>2491</v>
      </c>
      <c r="B1554" s="95" t="s">
        <v>2473</v>
      </c>
      <c r="C1554" s="95" t="s">
        <v>2476</v>
      </c>
      <c r="D1554" s="95" t="str">
        <f t="shared" si="17"/>
        <v>Manyogaseka</v>
      </c>
      <c r="F1554" s="95">
        <v>1054</v>
      </c>
    </row>
    <row r="1555" spans="1:6">
      <c r="A1555" s="95" t="s">
        <v>2492</v>
      </c>
      <c r="B1555" s="95" t="s">
        <v>2473</v>
      </c>
      <c r="C1555" s="95" t="s">
        <v>2492</v>
      </c>
      <c r="D1555" s="95" t="str">
        <f t="shared" si="17"/>
        <v>Mubende Municipality</v>
      </c>
      <c r="F1555" s="95">
        <v>1055</v>
      </c>
    </row>
    <row r="1556" spans="1:6">
      <c r="A1556" s="95" t="s">
        <v>2493</v>
      </c>
      <c r="D1556" s="95" t="str">
        <f t="shared" si="17"/>
        <v>Mubende town</v>
      </c>
      <c r="F1556" s="95">
        <v>1055</v>
      </c>
    </row>
    <row r="1557" spans="1:6">
      <c r="A1557" s="95" t="s">
        <v>2494</v>
      </c>
      <c r="D1557" s="95" t="str">
        <f t="shared" si="17"/>
        <v>Kigezi</v>
      </c>
      <c r="F1557" s="95">
        <v>1055</v>
      </c>
    </row>
    <row r="1558" spans="1:6">
      <c r="A1558" s="95" t="s">
        <v>1233</v>
      </c>
      <c r="D1558" s="95" t="str">
        <f t="shared" si="17"/>
        <v>Gomba</v>
      </c>
      <c r="F1558" s="95">
        <v>1055</v>
      </c>
    </row>
    <row r="1559" spans="1:6">
      <c r="A1559" s="95" t="s">
        <v>2495</v>
      </c>
      <c r="D1559" s="95" t="str">
        <f t="shared" si="17"/>
        <v>FORTPOTAL</v>
      </c>
      <c r="F1559" s="95">
        <v>1055</v>
      </c>
    </row>
    <row r="1560" spans="1:6">
      <c r="A1560" s="95" t="s">
        <v>2496</v>
      </c>
      <c r="D1560" s="95" t="str">
        <f t="shared" si="17"/>
        <v>MUBENDE</v>
      </c>
      <c r="F1560" s="95">
        <v>1055</v>
      </c>
    </row>
    <row r="1561" spans="1:6">
      <c r="A1561" s="95" t="s">
        <v>2497</v>
      </c>
      <c r="B1561" s="95" t="s">
        <v>2473</v>
      </c>
      <c r="C1561" s="95" t="s">
        <v>2476</v>
      </c>
      <c r="D1561" s="95" t="str">
        <f t="shared" si="17"/>
        <v>Myanzi</v>
      </c>
      <c r="F1561" s="95">
        <v>1056</v>
      </c>
    </row>
    <row r="1562" spans="1:6">
      <c r="A1562" s="95" t="s">
        <v>2498</v>
      </c>
      <c r="B1562" s="95" t="s">
        <v>2473</v>
      </c>
      <c r="C1562" s="95" t="s">
        <v>2474</v>
      </c>
      <c r="D1562" s="95" t="str">
        <f t="shared" si="17"/>
        <v>Nabingoola</v>
      </c>
      <c r="F1562" s="95">
        <v>1057</v>
      </c>
    </row>
    <row r="1563" spans="1:6">
      <c r="A1563" s="95" t="s">
        <v>2499</v>
      </c>
      <c r="B1563" s="95" t="s">
        <v>2500</v>
      </c>
      <c r="C1563" s="95" t="s">
        <v>2501</v>
      </c>
      <c r="D1563" s="95" t="str">
        <f t="shared" si="17"/>
        <v>Kasawo</v>
      </c>
      <c r="F1563" s="95">
        <v>1058</v>
      </c>
    </row>
    <row r="1564" spans="1:6">
      <c r="A1564" s="95" t="s">
        <v>2502</v>
      </c>
      <c r="B1564" s="95" t="s">
        <v>2500</v>
      </c>
      <c r="C1564" s="95" t="s">
        <v>2501</v>
      </c>
      <c r="D1564" s="95" t="str">
        <f t="shared" si="17"/>
        <v>Kimenyedde</v>
      </c>
      <c r="F1564" s="95">
        <v>1059</v>
      </c>
    </row>
    <row r="1565" spans="1:6">
      <c r="A1565" s="95" t="s">
        <v>2503</v>
      </c>
      <c r="B1565" s="95" t="s">
        <v>2500</v>
      </c>
      <c r="C1565" s="95" t="s">
        <v>2500</v>
      </c>
      <c r="D1565" s="95" t="str">
        <f t="shared" si="17"/>
        <v>Koome Island</v>
      </c>
      <c r="F1565" s="95">
        <v>1060</v>
      </c>
    </row>
    <row r="1566" spans="1:6">
      <c r="A1566" s="95" t="s">
        <v>2504</v>
      </c>
      <c r="B1566" s="95" t="s">
        <v>2500</v>
      </c>
      <c r="C1566" s="95" t="s">
        <v>2500</v>
      </c>
      <c r="D1566" s="95" t="str">
        <f t="shared" si="17"/>
        <v>Kyampisi</v>
      </c>
      <c r="F1566" s="95">
        <v>1061</v>
      </c>
    </row>
    <row r="1567" spans="1:6">
      <c r="A1567" s="95" t="s">
        <v>2505</v>
      </c>
      <c r="B1567" s="95" t="s">
        <v>2500</v>
      </c>
      <c r="C1567" s="95" t="s">
        <v>2500</v>
      </c>
      <c r="D1567" s="95" t="str">
        <f t="shared" si="17"/>
        <v>Mpatta</v>
      </c>
      <c r="F1567" s="95">
        <v>1062</v>
      </c>
    </row>
    <row r="1568" spans="1:6">
      <c r="A1568" s="95" t="s">
        <v>2506</v>
      </c>
      <c r="B1568" s="95" t="s">
        <v>2500</v>
      </c>
      <c r="C1568" s="95" t="s">
        <v>2500</v>
      </c>
      <c r="D1568" s="95" t="str">
        <f t="shared" si="17"/>
        <v>Mpunge</v>
      </c>
      <c r="F1568" s="95">
        <v>1063</v>
      </c>
    </row>
    <row r="1569" spans="1:6">
      <c r="A1569" s="95" t="s">
        <v>2507</v>
      </c>
      <c r="B1569" s="95" t="s">
        <v>2500</v>
      </c>
      <c r="C1569" s="95" t="s">
        <v>2507</v>
      </c>
      <c r="D1569" s="95" t="str">
        <f t="shared" si="17"/>
        <v>Mukono Municipality</v>
      </c>
      <c r="F1569" s="95">
        <v>1064</v>
      </c>
    </row>
    <row r="1570" spans="1:6">
      <c r="A1570" s="95" t="s">
        <v>2508</v>
      </c>
      <c r="F1570" s="95">
        <v>1064</v>
      </c>
    </row>
    <row r="1571" spans="1:6">
      <c r="A1571" s="95" t="s">
        <v>2509</v>
      </c>
      <c r="F1571" s="95">
        <v>1064</v>
      </c>
    </row>
    <row r="1572" spans="1:6">
      <c r="A1572" s="95" t="s">
        <v>2510</v>
      </c>
      <c r="F1572" s="95">
        <v>1064</v>
      </c>
    </row>
    <row r="1573" spans="1:6">
      <c r="A1573" s="95" t="s">
        <v>3276</v>
      </c>
      <c r="F1573" s="95">
        <v>1064</v>
      </c>
    </row>
    <row r="1574" spans="1:6">
      <c r="A1574" s="95" t="s">
        <v>2511</v>
      </c>
      <c r="D1574" s="95" t="str">
        <f t="shared" si="17"/>
        <v>Namanve</v>
      </c>
      <c r="F1574" s="95">
        <v>1064</v>
      </c>
    </row>
    <row r="1575" spans="1:6">
      <c r="A1575" s="95" t="s">
        <v>842</v>
      </c>
      <c r="F1575" s="95">
        <v>1064</v>
      </c>
    </row>
    <row r="1576" spans="1:6">
      <c r="A1576" s="95" t="s">
        <v>2512</v>
      </c>
      <c r="F1576" s="95">
        <v>1064</v>
      </c>
    </row>
    <row r="1577" spans="1:6">
      <c r="A1577" s="95" t="s">
        <v>2513</v>
      </c>
      <c r="F1577" s="95">
        <v>1064</v>
      </c>
    </row>
    <row r="1578" spans="1:6">
      <c r="A1578" s="95" t="s">
        <v>2514</v>
      </c>
      <c r="D1578" s="95" t="str">
        <f t="shared" si="17"/>
        <v>Mbalala</v>
      </c>
      <c r="F1578" s="95">
        <v>1064</v>
      </c>
    </row>
    <row r="1579" spans="1:6">
      <c r="A1579" s="95" t="s">
        <v>2515</v>
      </c>
      <c r="D1579" s="95" t="str">
        <f t="shared" si="17"/>
        <v>Mukono park</v>
      </c>
      <c r="F1579" s="95">
        <v>1064</v>
      </c>
    </row>
    <row r="1580" spans="1:6">
      <c r="A1580" s="95" t="s">
        <v>163</v>
      </c>
      <c r="D1580" s="95" t="str">
        <f t="shared" si="17"/>
        <v>MUKONO</v>
      </c>
      <c r="F1580" s="95">
        <v>1064</v>
      </c>
    </row>
    <row r="1581" spans="1:6">
      <c r="A1581" s="95" t="s">
        <v>2516</v>
      </c>
      <c r="D1581" s="95" t="str">
        <f t="shared" si="17"/>
        <v>Mukono Town</v>
      </c>
      <c r="F1581" s="95">
        <v>1064</v>
      </c>
    </row>
    <row r="1582" spans="1:6">
      <c r="A1582" s="95" t="s">
        <v>2517</v>
      </c>
      <c r="B1582" s="95" t="s">
        <v>2500</v>
      </c>
      <c r="C1582" s="95" t="s">
        <v>2501</v>
      </c>
      <c r="D1582" s="95" t="str">
        <f t="shared" si="17"/>
        <v>Nabbaale</v>
      </c>
      <c r="F1582" s="95">
        <v>1065</v>
      </c>
    </row>
    <row r="1583" spans="1:6">
      <c r="A1583" s="95" t="s">
        <v>2518</v>
      </c>
      <c r="B1583" s="95" t="s">
        <v>2500</v>
      </c>
      <c r="C1583" s="95" t="s">
        <v>2501</v>
      </c>
      <c r="D1583" s="95" t="str">
        <f t="shared" si="17"/>
        <v>Nagojje</v>
      </c>
      <c r="F1583" s="95">
        <v>1066</v>
      </c>
    </row>
    <row r="1584" spans="1:6">
      <c r="A1584" s="95" t="s">
        <v>2519</v>
      </c>
      <c r="B1584" s="95" t="s">
        <v>2500</v>
      </c>
      <c r="C1584" s="95" t="s">
        <v>2500</v>
      </c>
      <c r="D1584" s="95" t="str">
        <f t="shared" si="17"/>
        <v>Nakisunga</v>
      </c>
      <c r="F1584" s="95">
        <v>1067</v>
      </c>
    </row>
    <row r="1585" spans="1:6">
      <c r="A1585" s="95" t="s">
        <v>2520</v>
      </c>
      <c r="B1585" s="95" t="s">
        <v>2500</v>
      </c>
      <c r="C1585" s="95" t="s">
        <v>2500</v>
      </c>
      <c r="D1585" s="95" t="str">
        <f t="shared" si="17"/>
        <v>Nama</v>
      </c>
      <c r="F1585" s="95">
        <v>1068</v>
      </c>
    </row>
    <row r="1586" spans="1:6">
      <c r="A1586" s="95" t="s">
        <v>2521</v>
      </c>
      <c r="D1586" s="95" t="str">
        <f t="shared" si="17"/>
        <v>Kubiiri</v>
      </c>
      <c r="F1586" s="95">
        <v>1068</v>
      </c>
    </row>
    <row r="1587" spans="1:6">
      <c r="A1587" s="95" t="s">
        <v>2019</v>
      </c>
      <c r="B1587" s="95" t="s">
        <v>2500</v>
      </c>
      <c r="C1587" s="95" t="s">
        <v>2500</v>
      </c>
      <c r="D1587" s="95" t="str">
        <f t="shared" si="17"/>
        <v>Ntenjeru</v>
      </c>
      <c r="F1587" s="95">
        <v>1069</v>
      </c>
    </row>
    <row r="1588" spans="1:6">
      <c r="A1588" s="95" t="s">
        <v>2522</v>
      </c>
      <c r="B1588" s="95" t="s">
        <v>2500</v>
      </c>
      <c r="C1588" s="95" t="s">
        <v>2501</v>
      </c>
      <c r="D1588" s="95" t="str">
        <f t="shared" si="17"/>
        <v>Ntunda</v>
      </c>
      <c r="F1588" s="95">
        <v>1070</v>
      </c>
    </row>
    <row r="1589" spans="1:6">
      <c r="A1589" s="95" t="s">
        <v>615</v>
      </c>
      <c r="D1589" s="95" t="str">
        <f t="shared" si="17"/>
        <v>SEETA</v>
      </c>
      <c r="F1589" s="95">
        <v>1071</v>
      </c>
    </row>
    <row r="1590" spans="1:6">
      <c r="A1590" s="95" t="s">
        <v>2523</v>
      </c>
      <c r="F1590" s="95">
        <v>1071</v>
      </c>
    </row>
    <row r="1591" spans="1:6">
      <c r="A1591" s="95" t="s">
        <v>723</v>
      </c>
      <c r="F1591" s="95">
        <v>1071</v>
      </c>
    </row>
    <row r="1592" spans="1:6">
      <c r="A1592" s="95" t="s">
        <v>31</v>
      </c>
      <c r="F1592" s="95">
        <v>1071</v>
      </c>
    </row>
    <row r="1593" spans="1:6">
      <c r="A1593" s="95" t="s">
        <v>2524</v>
      </c>
      <c r="B1593" s="95" t="s">
        <v>2500</v>
      </c>
      <c r="C1593" s="95" t="s">
        <v>2501</v>
      </c>
      <c r="D1593" s="95" t="str">
        <f t="shared" si="17"/>
        <v>Seeta Namuganga</v>
      </c>
      <c r="F1593" s="95">
        <v>1071</v>
      </c>
    </row>
    <row r="1594" spans="1:6">
      <c r="A1594" s="95" t="s">
        <v>2525</v>
      </c>
      <c r="B1594" s="95" t="s">
        <v>2526</v>
      </c>
      <c r="C1594" s="95" t="s">
        <v>2527</v>
      </c>
      <c r="D1594" s="95" t="str">
        <f t="shared" si="17"/>
        <v>Kakomongole</v>
      </c>
      <c r="F1594" s="95">
        <v>1072</v>
      </c>
    </row>
    <row r="1595" spans="1:6">
      <c r="A1595" s="95" t="s">
        <v>2528</v>
      </c>
      <c r="B1595" s="95" t="s">
        <v>2526</v>
      </c>
      <c r="C1595" s="95" t="s">
        <v>2529</v>
      </c>
      <c r="D1595" s="95" t="str">
        <f t="shared" si="17"/>
        <v>Lolachat</v>
      </c>
      <c r="F1595" s="95">
        <v>1073</v>
      </c>
    </row>
    <row r="1596" spans="1:6">
      <c r="A1596" s="95" t="s">
        <v>2530</v>
      </c>
      <c r="B1596" s="95" t="s">
        <v>2526</v>
      </c>
      <c r="C1596" s="95" t="s">
        <v>2527</v>
      </c>
      <c r="D1596" s="95" t="str">
        <f t="shared" si="17"/>
        <v>Loregae</v>
      </c>
      <c r="F1596" s="95">
        <v>1074</v>
      </c>
    </row>
    <row r="1597" spans="1:6">
      <c r="A1597" s="95" t="s">
        <v>2531</v>
      </c>
      <c r="B1597" s="95" t="s">
        <v>2526</v>
      </c>
      <c r="C1597" s="95" t="s">
        <v>2529</v>
      </c>
      <c r="D1597" s="95" t="str">
        <f t="shared" si="17"/>
        <v>Lorengedwat</v>
      </c>
      <c r="F1597" s="95">
        <v>1075</v>
      </c>
    </row>
    <row r="1598" spans="1:6">
      <c r="A1598" s="95" t="s">
        <v>2532</v>
      </c>
      <c r="B1598" s="95" t="s">
        <v>2526</v>
      </c>
      <c r="C1598" s="95" t="s">
        <v>2527</v>
      </c>
      <c r="D1598" s="95" t="str">
        <f t="shared" si="17"/>
        <v>Moruita</v>
      </c>
      <c r="F1598" s="95">
        <v>1076</v>
      </c>
    </row>
    <row r="1599" spans="1:6">
      <c r="A1599" s="95" t="s">
        <v>2533</v>
      </c>
      <c r="B1599" s="95" t="s">
        <v>2526</v>
      </c>
      <c r="C1599" s="95" t="s">
        <v>2529</v>
      </c>
      <c r="D1599" s="95" t="str">
        <f t="shared" si="17"/>
        <v>Nabilatuk</v>
      </c>
      <c r="F1599" s="95">
        <v>1077</v>
      </c>
    </row>
    <row r="1600" spans="1:6">
      <c r="A1600" s="95" t="s">
        <v>2534</v>
      </c>
      <c r="B1600" s="95" t="s">
        <v>2526</v>
      </c>
      <c r="C1600" s="95" t="s">
        <v>2527</v>
      </c>
      <c r="D1600" s="95" t="str">
        <f t="shared" si="17"/>
        <v>Nakapiripirit Town Council</v>
      </c>
      <c r="F1600" s="95">
        <v>1078</v>
      </c>
    </row>
    <row r="1601" spans="1:6">
      <c r="A1601" s="95" t="s">
        <v>2535</v>
      </c>
      <c r="B1601" s="95" t="s">
        <v>2526</v>
      </c>
      <c r="C1601" s="95" t="s">
        <v>2527</v>
      </c>
      <c r="D1601" s="95" t="str">
        <f t="shared" si="17"/>
        <v>Namalu</v>
      </c>
      <c r="F1601" s="95">
        <v>1079</v>
      </c>
    </row>
    <row r="1602" spans="1:6">
      <c r="A1602" s="95" t="s">
        <v>2536</v>
      </c>
      <c r="B1602" s="95" t="s">
        <v>2537</v>
      </c>
      <c r="C1602" s="95" t="s">
        <v>2537</v>
      </c>
      <c r="D1602" s="95" t="str">
        <f t="shared" si="17"/>
        <v>Butalangu Town Council</v>
      </c>
      <c r="F1602" s="95">
        <v>1080</v>
      </c>
    </row>
    <row r="1603" spans="1:6">
      <c r="A1603" s="95" t="s">
        <v>2538</v>
      </c>
      <c r="B1603" s="95" t="s">
        <v>2537</v>
      </c>
      <c r="C1603" s="95" t="s">
        <v>2537</v>
      </c>
      <c r="D1603" s="95" t="str">
        <f t="shared" si="17"/>
        <v>Kapeeka</v>
      </c>
      <c r="F1603" s="95">
        <v>1081</v>
      </c>
    </row>
    <row r="1604" spans="1:6">
      <c r="A1604" s="95" t="s">
        <v>2539</v>
      </c>
      <c r="B1604" s="95" t="s">
        <v>2537</v>
      </c>
      <c r="C1604" s="95" t="s">
        <v>2537</v>
      </c>
      <c r="D1604" s="95" t="str">
        <f t="shared" si="17"/>
        <v>Kasangombe</v>
      </c>
      <c r="F1604" s="95">
        <v>1082</v>
      </c>
    </row>
    <row r="1605" spans="1:6">
      <c r="A1605" s="95" t="s">
        <v>2540</v>
      </c>
      <c r="B1605" s="95" t="s">
        <v>2537</v>
      </c>
      <c r="C1605" s="95" t="s">
        <v>2537</v>
      </c>
      <c r="D1605" s="95" t="str">
        <f t="shared" si="17"/>
        <v>Kikamulo</v>
      </c>
      <c r="F1605" s="95">
        <v>1083</v>
      </c>
    </row>
    <row r="1606" spans="1:6">
      <c r="A1606" s="95" t="s">
        <v>2541</v>
      </c>
      <c r="B1606" s="95" t="s">
        <v>2537</v>
      </c>
      <c r="C1606" s="95" t="s">
        <v>2537</v>
      </c>
      <c r="D1606" s="95" t="str">
        <f t="shared" si="17"/>
        <v>Kinoni-Nakaseke</v>
      </c>
      <c r="F1606" s="95">
        <v>1084</v>
      </c>
    </row>
    <row r="1607" spans="1:6">
      <c r="A1607" s="95" t="s">
        <v>2542</v>
      </c>
      <c r="B1607" s="95" t="s">
        <v>2537</v>
      </c>
      <c r="C1607" s="95" t="s">
        <v>2537</v>
      </c>
      <c r="D1607" s="95" t="str">
        <f t="shared" si="17"/>
        <v>Kinyogoga</v>
      </c>
      <c r="F1607" s="95">
        <v>1085</v>
      </c>
    </row>
    <row r="1608" spans="1:6">
      <c r="A1608" s="95" t="s">
        <v>2543</v>
      </c>
      <c r="B1608" s="95" t="s">
        <v>2537</v>
      </c>
      <c r="C1608" s="95" t="s">
        <v>2537</v>
      </c>
      <c r="D1608" s="95" t="str">
        <f t="shared" si="17"/>
        <v>Kito</v>
      </c>
      <c r="F1608" s="95">
        <v>1086</v>
      </c>
    </row>
    <row r="1609" spans="1:6">
      <c r="A1609" s="95" t="s">
        <v>2544</v>
      </c>
      <c r="B1609" s="95" t="s">
        <v>2537</v>
      </c>
      <c r="C1609" s="95" t="s">
        <v>2537</v>
      </c>
      <c r="D1609" s="95" t="str">
        <f t="shared" si="17"/>
        <v>Kiwoko Town Council</v>
      </c>
      <c r="F1609" s="95">
        <v>1087</v>
      </c>
    </row>
    <row r="1610" spans="1:6">
      <c r="A1610" s="95" t="s">
        <v>2537</v>
      </c>
      <c r="B1610" s="95" t="s">
        <v>2537</v>
      </c>
      <c r="C1610" s="95" t="s">
        <v>2537</v>
      </c>
      <c r="D1610" s="95" t="str">
        <f t="shared" si="17"/>
        <v>Nakaseke</v>
      </c>
      <c r="F1610" s="95">
        <v>1088</v>
      </c>
    </row>
    <row r="1611" spans="1:6">
      <c r="A1611" s="95" t="s">
        <v>2545</v>
      </c>
      <c r="B1611" s="95" t="s">
        <v>2537</v>
      </c>
      <c r="C1611" s="95" t="s">
        <v>2537</v>
      </c>
      <c r="D1611" s="95" t="str">
        <f t="shared" si="17"/>
        <v>Nakaseke Town Council</v>
      </c>
      <c r="F1611" s="95">
        <v>1089</v>
      </c>
    </row>
    <row r="1612" spans="1:6">
      <c r="A1612" s="95" t="s">
        <v>2546</v>
      </c>
      <c r="F1612" s="95">
        <v>1089</v>
      </c>
    </row>
    <row r="1613" spans="1:6">
      <c r="A1613" s="95" t="s">
        <v>2547</v>
      </c>
      <c r="B1613" s="95" t="s">
        <v>2537</v>
      </c>
      <c r="C1613" s="95" t="s">
        <v>2537</v>
      </c>
      <c r="D1613" s="95" t="str">
        <f t="shared" si="17"/>
        <v>Ngoma Town Council</v>
      </c>
      <c r="F1613" s="95">
        <v>1090</v>
      </c>
    </row>
    <row r="1614" spans="1:6">
      <c r="A1614" s="95" t="s">
        <v>2548</v>
      </c>
      <c r="F1614" s="95">
        <v>1090</v>
      </c>
    </row>
    <row r="1615" spans="1:6">
      <c r="A1615" s="95" t="s">
        <v>2549</v>
      </c>
      <c r="B1615" s="95" t="s">
        <v>2537</v>
      </c>
      <c r="C1615" s="95" t="s">
        <v>2537</v>
      </c>
      <c r="D1615" s="95" t="str">
        <f t="shared" si="17"/>
        <v>Ngoma-Nakaseke</v>
      </c>
      <c r="F1615" s="95">
        <v>1091</v>
      </c>
    </row>
    <row r="1616" spans="1:6">
      <c r="A1616" s="95" t="s">
        <v>2550</v>
      </c>
      <c r="B1616" s="95" t="s">
        <v>2537</v>
      </c>
      <c r="C1616" s="95" t="s">
        <v>2537</v>
      </c>
      <c r="D1616" s="95" t="str">
        <f t="shared" si="17"/>
        <v>Semuto</v>
      </c>
      <c r="F1616" s="95">
        <v>1092</v>
      </c>
    </row>
    <row r="1617" spans="1:6">
      <c r="A1617" s="95" t="s">
        <v>2551</v>
      </c>
      <c r="F1617" s="95">
        <v>1092</v>
      </c>
    </row>
    <row r="1618" spans="1:6">
      <c r="A1618" s="95" t="s">
        <v>2552</v>
      </c>
      <c r="B1618" s="95" t="s">
        <v>2537</v>
      </c>
      <c r="C1618" s="95" t="s">
        <v>2537</v>
      </c>
      <c r="D1618" s="95" t="str">
        <f t="shared" ref="D1618:D1684" si="18">A1618</f>
        <v>Semuto Town Council</v>
      </c>
      <c r="F1618" s="95">
        <v>1093</v>
      </c>
    </row>
    <row r="1619" spans="1:6">
      <c r="A1619" s="95" t="s">
        <v>2553</v>
      </c>
      <c r="B1619" s="95" t="s">
        <v>2537</v>
      </c>
      <c r="C1619" s="95" t="s">
        <v>2537</v>
      </c>
      <c r="D1619" s="95" t="str">
        <f t="shared" si="18"/>
        <v>Wakyato</v>
      </c>
      <c r="F1619" s="95">
        <v>1094</v>
      </c>
    </row>
    <row r="1620" spans="1:6">
      <c r="A1620" s="95" t="s">
        <v>2554</v>
      </c>
      <c r="B1620" s="95" t="s">
        <v>2555</v>
      </c>
      <c r="C1620" s="95" t="s">
        <v>2341</v>
      </c>
      <c r="D1620" s="95" t="str">
        <f t="shared" si="18"/>
        <v>Kakooge</v>
      </c>
      <c r="F1620" s="95">
        <v>1095</v>
      </c>
    </row>
    <row r="1621" spans="1:6">
      <c r="A1621" s="95" t="s">
        <v>2556</v>
      </c>
      <c r="B1621" s="95" t="s">
        <v>2555</v>
      </c>
      <c r="C1621" s="95" t="s">
        <v>2341</v>
      </c>
      <c r="D1621" s="95" t="str">
        <f t="shared" si="18"/>
        <v>Kakooge Town Council</v>
      </c>
      <c r="F1621" s="95">
        <v>1096</v>
      </c>
    </row>
    <row r="1622" spans="1:6">
      <c r="A1622" s="95" t="s">
        <v>2557</v>
      </c>
      <c r="B1622" s="95" t="s">
        <v>2555</v>
      </c>
      <c r="C1622" s="95" t="s">
        <v>2341</v>
      </c>
      <c r="D1622" s="95" t="str">
        <f t="shared" si="18"/>
        <v>Kalongo</v>
      </c>
      <c r="F1622" s="95">
        <v>1097</v>
      </c>
    </row>
    <row r="1623" spans="1:6">
      <c r="A1623" s="95" t="s">
        <v>2558</v>
      </c>
      <c r="B1623" s="95" t="s">
        <v>2555</v>
      </c>
      <c r="C1623" s="95" t="s">
        <v>2341</v>
      </c>
      <c r="D1623" s="95" t="str">
        <f t="shared" si="18"/>
        <v>Kalungi</v>
      </c>
      <c r="F1623" s="95">
        <v>1098</v>
      </c>
    </row>
    <row r="1624" spans="1:6">
      <c r="A1624" s="95" t="s">
        <v>2559</v>
      </c>
      <c r="B1624" s="95" t="s">
        <v>2555</v>
      </c>
      <c r="C1624" s="95" t="s">
        <v>2341</v>
      </c>
      <c r="D1624" s="95" t="str">
        <f t="shared" si="18"/>
        <v>Lwabiyata</v>
      </c>
      <c r="F1624" s="95">
        <v>1099</v>
      </c>
    </row>
    <row r="1625" spans="1:6">
      <c r="A1625" s="95" t="s">
        <v>2560</v>
      </c>
      <c r="B1625" s="95" t="s">
        <v>2555</v>
      </c>
      <c r="C1625" s="95" t="s">
        <v>2341</v>
      </c>
      <c r="D1625" s="95" t="str">
        <f t="shared" si="18"/>
        <v>Lwampanga</v>
      </c>
      <c r="F1625" s="95">
        <v>1100</v>
      </c>
    </row>
    <row r="1626" spans="1:6">
      <c r="A1626" s="95" t="s">
        <v>2561</v>
      </c>
      <c r="B1626" s="95" t="s">
        <v>2555</v>
      </c>
      <c r="C1626" s="95" t="s">
        <v>2341</v>
      </c>
      <c r="D1626" s="95" t="str">
        <f t="shared" si="18"/>
        <v>Migeera Town Council</v>
      </c>
      <c r="F1626" s="95">
        <v>1101</v>
      </c>
    </row>
    <row r="1627" spans="1:6">
      <c r="A1627" s="95" t="s">
        <v>2562</v>
      </c>
      <c r="B1627" s="95" t="s">
        <v>2555</v>
      </c>
      <c r="C1627" s="95" t="s">
        <v>2341</v>
      </c>
      <c r="D1627" s="95" t="str">
        <f t="shared" si="18"/>
        <v>Nabisweera</v>
      </c>
      <c r="F1627" s="95">
        <v>1102</v>
      </c>
    </row>
    <row r="1628" spans="1:6">
      <c r="A1628" s="95" t="s">
        <v>2563</v>
      </c>
      <c r="B1628" s="95" t="s">
        <v>2555</v>
      </c>
      <c r="C1628" s="95" t="s">
        <v>2341</v>
      </c>
      <c r="D1628" s="95" t="str">
        <f t="shared" si="18"/>
        <v>Nakasongola Town Council</v>
      </c>
      <c r="F1628" s="95">
        <v>1103</v>
      </c>
    </row>
    <row r="1629" spans="1:6">
      <c r="A1629" s="95" t="s">
        <v>2564</v>
      </c>
      <c r="F1629" s="95">
        <v>1103</v>
      </c>
    </row>
    <row r="1630" spans="1:6">
      <c r="A1630" s="95" t="s">
        <v>321</v>
      </c>
      <c r="D1630" s="95" t="str">
        <f t="shared" si="18"/>
        <v>NAKASONGOLA</v>
      </c>
      <c r="F1630" s="95">
        <v>1103</v>
      </c>
    </row>
    <row r="1631" spans="1:6">
      <c r="A1631" s="95" t="s">
        <v>2565</v>
      </c>
      <c r="B1631" s="95" t="s">
        <v>2555</v>
      </c>
      <c r="C1631" s="95" t="s">
        <v>2341</v>
      </c>
      <c r="D1631" s="95" t="str">
        <f t="shared" si="18"/>
        <v>Nakitoma</v>
      </c>
      <c r="F1631" s="95">
        <v>1104</v>
      </c>
    </row>
    <row r="1632" spans="1:6">
      <c r="A1632" s="95" t="s">
        <v>2566</v>
      </c>
      <c r="B1632" s="95" t="s">
        <v>2555</v>
      </c>
      <c r="C1632" s="95" t="s">
        <v>2341</v>
      </c>
      <c r="D1632" s="95" t="str">
        <f t="shared" si="18"/>
        <v>Wabinyonyi</v>
      </c>
      <c r="F1632" s="95">
        <v>1105</v>
      </c>
    </row>
    <row r="1633" spans="1:6">
      <c r="A1633" s="95" t="s">
        <v>1459</v>
      </c>
      <c r="B1633" s="95" t="s">
        <v>2567</v>
      </c>
      <c r="C1633" s="95" t="s">
        <v>2568</v>
      </c>
      <c r="D1633" s="95" t="str">
        <f t="shared" si="18"/>
        <v>Banda</v>
      </c>
      <c r="F1633" s="95">
        <v>1106</v>
      </c>
    </row>
    <row r="1634" spans="1:6">
      <c r="A1634" s="95" t="s">
        <v>2569</v>
      </c>
      <c r="F1634" s="95">
        <v>1106</v>
      </c>
    </row>
    <row r="1635" spans="1:6">
      <c r="A1635" s="95" t="s">
        <v>2570</v>
      </c>
      <c r="B1635" s="95" t="s">
        <v>2567</v>
      </c>
      <c r="C1635" s="95" t="s">
        <v>2568</v>
      </c>
      <c r="D1635" s="95" t="str">
        <f t="shared" si="18"/>
        <v>Buhemba</v>
      </c>
      <c r="F1635" s="95">
        <v>1107</v>
      </c>
    </row>
    <row r="1636" spans="1:6">
      <c r="A1636" s="95" t="s">
        <v>2571</v>
      </c>
      <c r="B1636" s="95" t="s">
        <v>2567</v>
      </c>
      <c r="C1636" s="95" t="s">
        <v>2568</v>
      </c>
      <c r="D1636" s="95" t="str">
        <f t="shared" si="18"/>
        <v>Bukana</v>
      </c>
      <c r="F1636" s="95">
        <v>1108</v>
      </c>
    </row>
    <row r="1637" spans="1:6">
      <c r="A1637" s="95" t="s">
        <v>2572</v>
      </c>
      <c r="B1637" s="95" t="s">
        <v>2567</v>
      </c>
      <c r="C1637" s="95" t="s">
        <v>2568</v>
      </c>
      <c r="D1637" s="95" t="str">
        <f t="shared" si="18"/>
        <v>Buswale</v>
      </c>
      <c r="F1637" s="95">
        <v>1109</v>
      </c>
    </row>
    <row r="1638" spans="1:6">
      <c r="A1638" s="95" t="s">
        <v>2573</v>
      </c>
      <c r="B1638" s="95" t="s">
        <v>2567</v>
      </c>
      <c r="C1638" s="95" t="s">
        <v>2568</v>
      </c>
      <c r="D1638" s="95" t="str">
        <f t="shared" si="18"/>
        <v>Buyinja</v>
      </c>
      <c r="F1638" s="95">
        <v>1110</v>
      </c>
    </row>
    <row r="1639" spans="1:6">
      <c r="A1639" s="95" t="s">
        <v>2574</v>
      </c>
      <c r="B1639" s="95" t="s">
        <v>2567</v>
      </c>
      <c r="C1639" s="95" t="s">
        <v>2568</v>
      </c>
      <c r="D1639" s="95" t="str">
        <f t="shared" si="18"/>
        <v>Lolwe</v>
      </c>
      <c r="F1639" s="95">
        <v>1111</v>
      </c>
    </row>
    <row r="1640" spans="1:6">
      <c r="A1640" s="95" t="s">
        <v>2575</v>
      </c>
      <c r="B1640" s="95" t="s">
        <v>2567</v>
      </c>
      <c r="C1640" s="95" t="s">
        <v>2568</v>
      </c>
      <c r="D1640" s="95" t="str">
        <f t="shared" si="18"/>
        <v>Mutumba</v>
      </c>
      <c r="F1640" s="95">
        <v>1112</v>
      </c>
    </row>
    <row r="1641" spans="1:6">
      <c r="A1641" s="95" t="s">
        <v>2576</v>
      </c>
      <c r="B1641" s="95" t="s">
        <v>2567</v>
      </c>
      <c r="C1641" s="95" t="s">
        <v>2568</v>
      </c>
      <c r="D1641" s="95" t="str">
        <f t="shared" si="18"/>
        <v>Namayingo Town Council</v>
      </c>
      <c r="F1641" s="95">
        <v>1113</v>
      </c>
    </row>
    <row r="1642" spans="1:6">
      <c r="A1642" s="95" t="s">
        <v>2577</v>
      </c>
      <c r="B1642" s="95" t="s">
        <v>2567</v>
      </c>
      <c r="C1642" s="95" t="s">
        <v>2568</v>
      </c>
      <c r="D1642" s="95" t="str">
        <f t="shared" si="18"/>
        <v>Sigulu Island</v>
      </c>
      <c r="F1642" s="95">
        <v>1114</v>
      </c>
    </row>
    <row r="1643" spans="1:6">
      <c r="A1643" s="95" t="s">
        <v>2578</v>
      </c>
      <c r="B1643" s="95" t="s">
        <v>2579</v>
      </c>
      <c r="C1643" s="95" t="s">
        <v>2579</v>
      </c>
      <c r="D1643" s="95" t="str">
        <f t="shared" si="18"/>
        <v>Bubutu</v>
      </c>
      <c r="F1643" s="95">
        <v>1115</v>
      </c>
    </row>
    <row r="1644" spans="1:6">
      <c r="A1644" s="95" t="s">
        <v>2580</v>
      </c>
      <c r="B1644" s="95" t="s">
        <v>2579</v>
      </c>
      <c r="C1644" s="95" t="s">
        <v>2579</v>
      </c>
      <c r="D1644" s="95" t="str">
        <f t="shared" si="18"/>
        <v>Bukhabusi</v>
      </c>
      <c r="F1644" s="95">
        <v>1116</v>
      </c>
    </row>
    <row r="1645" spans="1:6">
      <c r="A1645" s="95" t="s">
        <v>2581</v>
      </c>
      <c r="B1645" s="95" t="s">
        <v>2579</v>
      </c>
      <c r="C1645" s="95" t="s">
        <v>2579</v>
      </c>
      <c r="D1645" s="95" t="str">
        <f t="shared" si="18"/>
        <v>Bukhaweka</v>
      </c>
      <c r="F1645" s="95">
        <v>1117</v>
      </c>
    </row>
    <row r="1646" spans="1:6">
      <c r="A1646" s="95" t="s">
        <v>2582</v>
      </c>
      <c r="B1646" s="95" t="s">
        <v>2579</v>
      </c>
      <c r="C1646" s="95" t="s">
        <v>2579</v>
      </c>
      <c r="D1646" s="95" t="str">
        <f t="shared" si="18"/>
        <v>Bukiabi</v>
      </c>
      <c r="F1646" s="95">
        <v>1118</v>
      </c>
    </row>
    <row r="1647" spans="1:6">
      <c r="A1647" s="95" t="s">
        <v>2583</v>
      </c>
      <c r="B1647" s="95" t="s">
        <v>2579</v>
      </c>
      <c r="C1647" s="95" t="s">
        <v>2579</v>
      </c>
      <c r="D1647" s="95" t="str">
        <f t="shared" si="18"/>
        <v>Bukokho</v>
      </c>
      <c r="F1647" s="95">
        <v>1119</v>
      </c>
    </row>
    <row r="1648" spans="1:6">
      <c r="A1648" s="95" t="s">
        <v>2584</v>
      </c>
      <c r="B1648" s="95" t="s">
        <v>2579</v>
      </c>
      <c r="C1648" s="95" t="s">
        <v>2579</v>
      </c>
      <c r="D1648" s="95" t="str">
        <f t="shared" si="18"/>
        <v>Bumbo</v>
      </c>
      <c r="F1648" s="95">
        <v>1120</v>
      </c>
    </row>
    <row r="1649" spans="1:6">
      <c r="A1649" s="95" t="s">
        <v>2585</v>
      </c>
      <c r="B1649" s="95" t="s">
        <v>2579</v>
      </c>
      <c r="C1649" s="95" t="s">
        <v>2579</v>
      </c>
      <c r="D1649" s="95" t="str">
        <f t="shared" si="18"/>
        <v>Bumwoni</v>
      </c>
      <c r="F1649" s="95">
        <v>1121</v>
      </c>
    </row>
    <row r="1650" spans="1:6">
      <c r="A1650" s="95" t="s">
        <v>2586</v>
      </c>
      <c r="B1650" s="95" t="s">
        <v>2579</v>
      </c>
      <c r="C1650" s="95" t="s">
        <v>2579</v>
      </c>
      <c r="D1650" s="95" t="str">
        <f t="shared" si="18"/>
        <v>Bupoto</v>
      </c>
      <c r="F1650" s="95">
        <v>1122</v>
      </c>
    </row>
    <row r="1651" spans="1:6">
      <c r="A1651" s="95" t="s">
        <v>2587</v>
      </c>
      <c r="B1651" s="95" t="s">
        <v>2579</v>
      </c>
      <c r="C1651" s="95" t="s">
        <v>2579</v>
      </c>
      <c r="D1651" s="95" t="str">
        <f t="shared" si="18"/>
        <v>Buwabwala</v>
      </c>
      <c r="F1651" s="95">
        <v>1123</v>
      </c>
    </row>
    <row r="1652" spans="1:6">
      <c r="A1652" s="95" t="s">
        <v>2588</v>
      </c>
      <c r="B1652" s="95" t="s">
        <v>2579</v>
      </c>
      <c r="C1652" s="95" t="s">
        <v>2579</v>
      </c>
      <c r="D1652" s="95" t="str">
        <f t="shared" si="18"/>
        <v>Lwakhakha Town Council</v>
      </c>
      <c r="F1652" s="95">
        <v>1124</v>
      </c>
    </row>
    <row r="1653" spans="1:6">
      <c r="A1653" s="95" t="s">
        <v>2589</v>
      </c>
      <c r="B1653" s="95" t="s">
        <v>2579</v>
      </c>
      <c r="C1653" s="95" t="s">
        <v>2579</v>
      </c>
      <c r="D1653" s="95" t="str">
        <f t="shared" si="18"/>
        <v>Magale</v>
      </c>
      <c r="F1653" s="95">
        <v>1125</v>
      </c>
    </row>
    <row r="1654" spans="1:6">
      <c r="A1654" s="95" t="s">
        <v>2590</v>
      </c>
      <c r="B1654" s="95" t="s">
        <v>2579</v>
      </c>
      <c r="C1654" s="95" t="s">
        <v>2579</v>
      </c>
      <c r="D1654" s="95" t="str">
        <f t="shared" si="18"/>
        <v>Magale Town Council</v>
      </c>
      <c r="F1654" s="95">
        <v>1126</v>
      </c>
    </row>
    <row r="1655" spans="1:6">
      <c r="A1655" s="95" t="s">
        <v>2591</v>
      </c>
      <c r="B1655" s="95" t="s">
        <v>2579</v>
      </c>
      <c r="C1655" s="95" t="s">
        <v>2579</v>
      </c>
      <c r="D1655" s="95" t="str">
        <f t="shared" si="18"/>
        <v>Mukoto</v>
      </c>
      <c r="F1655" s="95">
        <v>1127</v>
      </c>
    </row>
    <row r="1656" spans="1:6">
      <c r="A1656" s="95" t="s">
        <v>2592</v>
      </c>
      <c r="B1656" s="95" t="s">
        <v>2579</v>
      </c>
      <c r="C1656" s="95" t="s">
        <v>2579</v>
      </c>
      <c r="D1656" s="95" t="str">
        <f t="shared" si="18"/>
        <v>Namabya</v>
      </c>
      <c r="F1656" s="95">
        <v>1128</v>
      </c>
    </row>
    <row r="1657" spans="1:6">
      <c r="A1657" s="95" t="s">
        <v>2593</v>
      </c>
      <c r="B1657" s="95" t="s">
        <v>2579</v>
      </c>
      <c r="C1657" s="95" t="s">
        <v>2579</v>
      </c>
      <c r="D1657" s="95" t="str">
        <f t="shared" si="18"/>
        <v>Namboko</v>
      </c>
      <c r="F1657" s="95">
        <v>1129</v>
      </c>
    </row>
    <row r="1658" spans="1:6">
      <c r="A1658" s="95" t="s">
        <v>2594</v>
      </c>
      <c r="B1658" s="95" t="s">
        <v>2579</v>
      </c>
      <c r="C1658" s="95" t="s">
        <v>2579</v>
      </c>
      <c r="D1658" s="95" t="str">
        <f t="shared" si="18"/>
        <v>Namisindwa Town Council</v>
      </c>
      <c r="F1658" s="95">
        <v>1130</v>
      </c>
    </row>
    <row r="1659" spans="1:6">
      <c r="A1659" s="95" t="s">
        <v>2595</v>
      </c>
      <c r="B1659" s="95" t="s">
        <v>2579</v>
      </c>
      <c r="C1659" s="95" t="s">
        <v>2579</v>
      </c>
      <c r="D1659" s="95" t="str">
        <f t="shared" si="18"/>
        <v>Tsekululu</v>
      </c>
      <c r="F1659" s="95">
        <v>1131</v>
      </c>
    </row>
    <row r="1660" spans="1:6">
      <c r="A1660" s="95" t="s">
        <v>2596</v>
      </c>
      <c r="B1660" s="95" t="s">
        <v>2597</v>
      </c>
      <c r="C1660" s="95" t="s">
        <v>2598</v>
      </c>
      <c r="D1660" s="95" t="str">
        <f t="shared" si="18"/>
        <v>Bulange</v>
      </c>
      <c r="F1660" s="95">
        <v>1132</v>
      </c>
    </row>
    <row r="1661" spans="1:6">
      <c r="A1661" s="95" t="s">
        <v>2599</v>
      </c>
      <c r="B1661" s="95" t="s">
        <v>2597</v>
      </c>
      <c r="C1661" s="95" t="s">
        <v>2598</v>
      </c>
      <c r="D1661" s="95" t="str">
        <f t="shared" si="18"/>
        <v>Ivukula</v>
      </c>
      <c r="F1661" s="95">
        <v>1133</v>
      </c>
    </row>
    <row r="1662" spans="1:6">
      <c r="A1662" s="95" t="s">
        <v>2031</v>
      </c>
      <c r="B1662" s="95" t="s">
        <v>2597</v>
      </c>
      <c r="C1662" s="95" t="s">
        <v>2598</v>
      </c>
      <c r="D1662" s="95" t="str">
        <f t="shared" si="18"/>
        <v>Kibaale</v>
      </c>
      <c r="F1662" s="95">
        <v>1134</v>
      </c>
    </row>
    <row r="1663" spans="1:6">
      <c r="A1663" s="95" t="s">
        <v>2600</v>
      </c>
      <c r="B1663" s="95" t="s">
        <v>2597</v>
      </c>
      <c r="C1663" s="95" t="s">
        <v>2598</v>
      </c>
      <c r="D1663" s="95" t="str">
        <f t="shared" si="18"/>
        <v>Magada</v>
      </c>
      <c r="F1663" s="95">
        <v>1135</v>
      </c>
    </row>
    <row r="1664" spans="1:6">
      <c r="A1664" s="95" t="s">
        <v>2601</v>
      </c>
      <c r="B1664" s="95" t="s">
        <v>2597</v>
      </c>
      <c r="C1664" s="95" t="s">
        <v>2598</v>
      </c>
      <c r="D1664" s="95" t="str">
        <f t="shared" si="18"/>
        <v>Nabweyo</v>
      </c>
      <c r="F1664" s="95">
        <v>1136</v>
      </c>
    </row>
    <row r="1665" spans="1:6">
      <c r="A1665" s="95" t="s">
        <v>2597</v>
      </c>
      <c r="B1665" s="95" t="s">
        <v>2597</v>
      </c>
      <c r="C1665" s="95" t="s">
        <v>2598</v>
      </c>
      <c r="D1665" s="95" t="str">
        <f t="shared" si="18"/>
        <v>Namutumba</v>
      </c>
      <c r="F1665" s="95">
        <v>1137</v>
      </c>
    </row>
    <row r="1666" spans="1:6">
      <c r="A1666" s="95" t="s">
        <v>2602</v>
      </c>
      <c r="B1666" s="95" t="s">
        <v>2597</v>
      </c>
      <c r="C1666" s="95" t="s">
        <v>2598</v>
      </c>
      <c r="D1666" s="95" t="str">
        <f t="shared" si="18"/>
        <v>Namutumba Town Council</v>
      </c>
      <c r="F1666" s="95">
        <v>1138</v>
      </c>
    </row>
    <row r="1667" spans="1:6">
      <c r="A1667" s="95" t="s">
        <v>2603</v>
      </c>
      <c r="B1667" s="95" t="s">
        <v>2597</v>
      </c>
      <c r="C1667" s="95" t="s">
        <v>2598</v>
      </c>
      <c r="D1667" s="95" t="str">
        <f t="shared" si="18"/>
        <v>Nangonde</v>
      </c>
      <c r="F1667" s="95">
        <v>1139</v>
      </c>
    </row>
    <row r="1668" spans="1:6">
      <c r="A1668" s="95" t="s">
        <v>2604</v>
      </c>
      <c r="B1668" s="95" t="s">
        <v>2597</v>
      </c>
      <c r="C1668" s="95" t="s">
        <v>2598</v>
      </c>
      <c r="D1668" s="95" t="str">
        <f t="shared" si="18"/>
        <v>Nsinze</v>
      </c>
      <c r="F1668" s="95">
        <v>1140</v>
      </c>
    </row>
    <row r="1669" spans="1:6">
      <c r="A1669" s="95" t="s">
        <v>2605</v>
      </c>
      <c r="B1669" s="95" t="s">
        <v>2606</v>
      </c>
      <c r="C1669" s="95" t="s">
        <v>2607</v>
      </c>
      <c r="D1669" s="95" t="str">
        <f t="shared" si="18"/>
        <v>Iriiri</v>
      </c>
      <c r="F1669" s="95">
        <v>1141</v>
      </c>
    </row>
    <row r="1670" spans="1:6">
      <c r="A1670" s="95" t="s">
        <v>2608</v>
      </c>
      <c r="B1670" s="95" t="s">
        <v>2606</v>
      </c>
      <c r="C1670" s="95" t="s">
        <v>2607</v>
      </c>
      <c r="D1670" s="95" t="str">
        <f t="shared" si="18"/>
        <v>Lokopo</v>
      </c>
      <c r="F1670" s="95">
        <v>1142</v>
      </c>
    </row>
    <row r="1671" spans="1:6">
      <c r="A1671" s="95" t="s">
        <v>2609</v>
      </c>
      <c r="B1671" s="95" t="s">
        <v>2606</v>
      </c>
      <c r="C1671" s="95" t="s">
        <v>2607</v>
      </c>
      <c r="D1671" s="95" t="str">
        <f t="shared" si="18"/>
        <v>Lopeei</v>
      </c>
      <c r="F1671" s="95">
        <v>1143</v>
      </c>
    </row>
    <row r="1672" spans="1:6">
      <c r="A1672" s="95" t="s">
        <v>2610</v>
      </c>
      <c r="B1672" s="95" t="s">
        <v>2606</v>
      </c>
      <c r="C1672" s="95" t="s">
        <v>2607</v>
      </c>
      <c r="D1672" s="95" t="str">
        <f t="shared" si="18"/>
        <v>Lorengecora</v>
      </c>
      <c r="F1672" s="95">
        <v>1144</v>
      </c>
    </row>
    <row r="1673" spans="1:6">
      <c r="A1673" s="95" t="s">
        <v>2611</v>
      </c>
      <c r="B1673" s="95" t="s">
        <v>2606</v>
      </c>
      <c r="C1673" s="95" t="s">
        <v>2607</v>
      </c>
      <c r="D1673" s="95" t="str">
        <f t="shared" si="18"/>
        <v>Lotome</v>
      </c>
      <c r="F1673" s="95">
        <v>1145</v>
      </c>
    </row>
    <row r="1674" spans="1:6">
      <c r="A1674" s="95" t="s">
        <v>2612</v>
      </c>
      <c r="B1674" s="95" t="s">
        <v>2606</v>
      </c>
      <c r="C1674" s="95" t="s">
        <v>2607</v>
      </c>
      <c r="D1674" s="95" t="str">
        <f t="shared" si="18"/>
        <v>Matany</v>
      </c>
      <c r="F1674" s="95">
        <v>1146</v>
      </c>
    </row>
    <row r="1675" spans="1:6">
      <c r="A1675" s="95" t="s">
        <v>2613</v>
      </c>
      <c r="B1675" s="95" t="s">
        <v>2606</v>
      </c>
      <c r="C1675" s="95" t="s">
        <v>2607</v>
      </c>
      <c r="D1675" s="95" t="str">
        <f t="shared" si="18"/>
        <v>Napak Town Council</v>
      </c>
      <c r="F1675" s="95">
        <v>1147</v>
      </c>
    </row>
    <row r="1676" spans="1:6">
      <c r="A1676" s="95" t="s">
        <v>2614</v>
      </c>
      <c r="B1676" s="95" t="s">
        <v>2606</v>
      </c>
      <c r="C1676" s="95" t="s">
        <v>2607</v>
      </c>
      <c r="D1676" s="95" t="str">
        <f t="shared" si="18"/>
        <v>Ngoleriet</v>
      </c>
      <c r="F1676" s="95">
        <v>1148</v>
      </c>
    </row>
    <row r="1677" spans="1:6">
      <c r="A1677" s="95" t="s">
        <v>2615</v>
      </c>
      <c r="B1677" s="95" t="s">
        <v>2616</v>
      </c>
      <c r="C1677" s="95" t="s">
        <v>2617</v>
      </c>
      <c r="D1677" s="95" t="str">
        <f t="shared" si="18"/>
        <v>Akworo</v>
      </c>
      <c r="F1677" s="95">
        <v>1149</v>
      </c>
    </row>
    <row r="1678" spans="1:6">
      <c r="A1678" s="95" t="s">
        <v>2618</v>
      </c>
      <c r="B1678" s="95" t="s">
        <v>2616</v>
      </c>
      <c r="C1678" s="95" t="s">
        <v>2617</v>
      </c>
      <c r="D1678" s="95" t="str">
        <f t="shared" si="18"/>
        <v>Atego</v>
      </c>
      <c r="F1678" s="95">
        <v>1150</v>
      </c>
    </row>
    <row r="1679" spans="1:6">
      <c r="A1679" s="95" t="s">
        <v>2619</v>
      </c>
      <c r="B1679" s="95" t="s">
        <v>2616</v>
      </c>
      <c r="C1679" s="95" t="s">
        <v>2617</v>
      </c>
      <c r="D1679" s="95" t="str">
        <f t="shared" si="18"/>
        <v>Erussi</v>
      </c>
      <c r="F1679" s="95">
        <v>1151</v>
      </c>
    </row>
    <row r="1680" spans="1:6">
      <c r="A1680" s="95" t="s">
        <v>2620</v>
      </c>
      <c r="B1680" s="95" t="s">
        <v>2616</v>
      </c>
      <c r="C1680" s="95" t="s">
        <v>2617</v>
      </c>
      <c r="D1680" s="95" t="str">
        <f t="shared" si="18"/>
        <v>Kucwiny</v>
      </c>
      <c r="F1680" s="95">
        <v>1152</v>
      </c>
    </row>
    <row r="1681" spans="1:6">
      <c r="A1681" s="95" t="s">
        <v>2621</v>
      </c>
      <c r="B1681" s="95" t="s">
        <v>2616</v>
      </c>
      <c r="C1681" s="95" t="s">
        <v>2617</v>
      </c>
      <c r="D1681" s="95" t="str">
        <f t="shared" si="18"/>
        <v>Ndhew</v>
      </c>
      <c r="F1681" s="95">
        <v>1153</v>
      </c>
    </row>
    <row r="1682" spans="1:6">
      <c r="A1682" s="95" t="s">
        <v>2616</v>
      </c>
      <c r="B1682" s="95" t="s">
        <v>2616</v>
      </c>
      <c r="C1682" s="95" t="s">
        <v>2617</v>
      </c>
      <c r="D1682" s="95" t="str">
        <f t="shared" si="18"/>
        <v>Nebbi</v>
      </c>
      <c r="F1682" s="95">
        <v>1154</v>
      </c>
    </row>
    <row r="1683" spans="1:6">
      <c r="A1683" s="95" t="s">
        <v>2622</v>
      </c>
      <c r="B1683" s="95" t="s">
        <v>2616</v>
      </c>
      <c r="C1683" s="95" t="s">
        <v>2622</v>
      </c>
      <c r="D1683" s="95" t="str">
        <f t="shared" si="18"/>
        <v>Nebbi Municipality</v>
      </c>
      <c r="F1683" s="95">
        <v>1155</v>
      </c>
    </row>
    <row r="1684" spans="1:6">
      <c r="A1684" s="95" t="s">
        <v>2623</v>
      </c>
      <c r="B1684" s="95" t="s">
        <v>2616</v>
      </c>
      <c r="C1684" s="95" t="s">
        <v>2617</v>
      </c>
      <c r="D1684" s="95" t="str">
        <f t="shared" si="18"/>
        <v>Nyaravur</v>
      </c>
      <c r="F1684" s="95">
        <v>1156</v>
      </c>
    </row>
    <row r="1685" spans="1:6">
      <c r="A1685" s="95" t="s">
        <v>2624</v>
      </c>
      <c r="B1685" s="95" t="s">
        <v>2616</v>
      </c>
      <c r="C1685" s="95" t="s">
        <v>2617</v>
      </c>
      <c r="D1685" s="95" t="str">
        <f t="shared" ref="D1685:D1751" si="19">A1685</f>
        <v>Parombo</v>
      </c>
      <c r="F1685" s="95">
        <v>1157</v>
      </c>
    </row>
    <row r="1686" spans="1:6">
      <c r="A1686" s="95" t="s">
        <v>2625</v>
      </c>
      <c r="B1686" s="95" t="s">
        <v>2626</v>
      </c>
      <c r="C1686" s="95" t="s">
        <v>2626</v>
      </c>
      <c r="D1686" s="95" t="str">
        <f t="shared" si="19"/>
        <v>Kapir</v>
      </c>
      <c r="F1686" s="95">
        <v>1158</v>
      </c>
    </row>
    <row r="1687" spans="1:6">
      <c r="A1687" s="95" t="s">
        <v>2627</v>
      </c>
      <c r="B1687" s="95" t="s">
        <v>2626</v>
      </c>
      <c r="C1687" s="95" t="s">
        <v>2626</v>
      </c>
      <c r="D1687" s="95" t="str">
        <f t="shared" si="19"/>
        <v>Kobwin</v>
      </c>
      <c r="F1687" s="95">
        <v>1159</v>
      </c>
    </row>
    <row r="1688" spans="1:6">
      <c r="A1688" s="95" t="s">
        <v>2628</v>
      </c>
      <c r="B1688" s="95" t="s">
        <v>2626</v>
      </c>
      <c r="C1688" s="95" t="s">
        <v>2626</v>
      </c>
      <c r="D1688" s="95" t="str">
        <f t="shared" si="19"/>
        <v>Mukura</v>
      </c>
      <c r="F1688" s="95">
        <v>1160</v>
      </c>
    </row>
    <row r="1689" spans="1:6">
      <c r="A1689" s="95" t="s">
        <v>2626</v>
      </c>
      <c r="B1689" s="95" t="s">
        <v>2626</v>
      </c>
      <c r="C1689" s="95" t="s">
        <v>2626</v>
      </c>
      <c r="D1689" s="95" t="str">
        <f t="shared" si="19"/>
        <v>Ngora</v>
      </c>
      <c r="F1689" s="95">
        <v>1161</v>
      </c>
    </row>
    <row r="1690" spans="1:6">
      <c r="A1690" s="95" t="s">
        <v>2629</v>
      </c>
      <c r="B1690" s="95" t="s">
        <v>2626</v>
      </c>
      <c r="C1690" s="95" t="s">
        <v>2626</v>
      </c>
      <c r="D1690" s="95" t="str">
        <f t="shared" si="19"/>
        <v>Ngora Town Council</v>
      </c>
      <c r="F1690" s="95">
        <v>1162</v>
      </c>
    </row>
    <row r="1691" spans="1:6">
      <c r="A1691" s="95" t="s">
        <v>2630</v>
      </c>
      <c r="B1691" s="95" t="s">
        <v>2631</v>
      </c>
      <c r="C1691" s="95" t="s">
        <v>2631</v>
      </c>
      <c r="D1691" s="95" t="str">
        <f t="shared" si="19"/>
        <v>Butungama</v>
      </c>
      <c r="F1691" s="95">
        <v>1163</v>
      </c>
    </row>
    <row r="1692" spans="1:6">
      <c r="A1692" s="95" t="s">
        <v>2632</v>
      </c>
      <c r="B1692" s="95" t="s">
        <v>2631</v>
      </c>
      <c r="C1692" s="95" t="s">
        <v>2631</v>
      </c>
      <c r="D1692" s="95" t="str">
        <f t="shared" si="19"/>
        <v>Bweramule</v>
      </c>
      <c r="F1692" s="95">
        <v>1164</v>
      </c>
    </row>
    <row r="1693" spans="1:6">
      <c r="A1693" s="95" t="s">
        <v>2633</v>
      </c>
      <c r="B1693" s="95" t="s">
        <v>2631</v>
      </c>
      <c r="C1693" s="95" t="s">
        <v>2631</v>
      </c>
      <c r="D1693" s="95" t="str">
        <f t="shared" si="19"/>
        <v>Kanara Town Council</v>
      </c>
      <c r="F1693" s="95">
        <v>1165</v>
      </c>
    </row>
    <row r="1694" spans="1:6">
      <c r="A1694" s="95" t="s">
        <v>2634</v>
      </c>
      <c r="B1694" s="95" t="s">
        <v>2631</v>
      </c>
      <c r="C1694" s="95" t="s">
        <v>2631</v>
      </c>
      <c r="D1694" s="95" t="str">
        <f t="shared" si="19"/>
        <v>Kanara-Ntoroko</v>
      </c>
      <c r="F1694" s="95">
        <v>1166</v>
      </c>
    </row>
    <row r="1695" spans="1:6">
      <c r="A1695" s="95" t="s">
        <v>2635</v>
      </c>
      <c r="B1695" s="95" t="s">
        <v>2631</v>
      </c>
      <c r="C1695" s="95" t="s">
        <v>2631</v>
      </c>
      <c r="D1695" s="95" t="str">
        <f t="shared" si="19"/>
        <v>Karugutu</v>
      </c>
      <c r="F1695" s="95">
        <v>1167</v>
      </c>
    </row>
    <row r="1696" spans="1:6">
      <c r="A1696" s="95" t="s">
        <v>2636</v>
      </c>
      <c r="B1696" s="95" t="s">
        <v>2631</v>
      </c>
      <c r="C1696" s="95" t="s">
        <v>2631</v>
      </c>
      <c r="D1696" s="95" t="str">
        <f t="shared" si="19"/>
        <v>Karugutu Town Council</v>
      </c>
      <c r="F1696" s="95">
        <v>1168</v>
      </c>
    </row>
    <row r="1697" spans="1:6">
      <c r="A1697" s="95" t="s">
        <v>2637</v>
      </c>
      <c r="B1697" s="95" t="s">
        <v>2631</v>
      </c>
      <c r="C1697" s="95" t="s">
        <v>2631</v>
      </c>
      <c r="D1697" s="95" t="str">
        <f t="shared" si="19"/>
        <v>Kibuuku Town Council</v>
      </c>
      <c r="F1697" s="95">
        <v>1169</v>
      </c>
    </row>
    <row r="1698" spans="1:6">
      <c r="A1698" s="95" t="s">
        <v>2638</v>
      </c>
      <c r="B1698" s="95" t="s">
        <v>2631</v>
      </c>
      <c r="C1698" s="95" t="s">
        <v>2631</v>
      </c>
      <c r="D1698" s="95" t="str">
        <f t="shared" si="19"/>
        <v>Nombe</v>
      </c>
      <c r="F1698" s="95">
        <v>1170</v>
      </c>
    </row>
    <row r="1699" spans="1:6">
      <c r="A1699" s="95" t="s">
        <v>2639</v>
      </c>
      <c r="B1699" s="95" t="s">
        <v>2631</v>
      </c>
      <c r="C1699" s="95" t="s">
        <v>2631</v>
      </c>
      <c r="D1699" s="95" t="str">
        <f t="shared" si="19"/>
        <v>Rwebisengo</v>
      </c>
      <c r="F1699" s="95">
        <v>1171</v>
      </c>
    </row>
    <row r="1700" spans="1:6">
      <c r="A1700" s="95" t="s">
        <v>2640</v>
      </c>
      <c r="B1700" s="95" t="s">
        <v>2631</v>
      </c>
      <c r="C1700" s="95" t="s">
        <v>2631</v>
      </c>
      <c r="D1700" s="95" t="str">
        <f t="shared" si="19"/>
        <v>Rwebisengo Town Council</v>
      </c>
      <c r="F1700" s="95">
        <v>1172</v>
      </c>
    </row>
    <row r="1701" spans="1:6">
      <c r="A1701" s="95" t="s">
        <v>2641</v>
      </c>
      <c r="B1701" s="95" t="s">
        <v>47</v>
      </c>
      <c r="C1701" s="95" t="s">
        <v>2642</v>
      </c>
      <c r="D1701" s="95" t="str">
        <f t="shared" si="19"/>
        <v>Bwongyera</v>
      </c>
      <c r="F1701" s="95">
        <v>1173</v>
      </c>
    </row>
    <row r="1702" spans="1:6">
      <c r="A1702" s="95" t="s">
        <v>2643</v>
      </c>
      <c r="B1702" s="95" t="s">
        <v>47</v>
      </c>
      <c r="C1702" s="95" t="s">
        <v>2642</v>
      </c>
      <c r="D1702" s="95" t="str">
        <f t="shared" si="19"/>
        <v>Ihunga</v>
      </c>
      <c r="F1702" s="95">
        <v>1174</v>
      </c>
    </row>
    <row r="1703" spans="1:6">
      <c r="A1703" s="95" t="s">
        <v>2644</v>
      </c>
      <c r="B1703" s="95" t="s">
        <v>47</v>
      </c>
      <c r="C1703" s="95" t="s">
        <v>2645</v>
      </c>
      <c r="D1703" s="95" t="str">
        <f t="shared" si="19"/>
        <v>Itojo</v>
      </c>
      <c r="F1703" s="95">
        <v>1175</v>
      </c>
    </row>
    <row r="1704" spans="1:6">
      <c r="A1704" s="95" t="s">
        <v>2646</v>
      </c>
      <c r="B1704" s="95" t="s">
        <v>47</v>
      </c>
      <c r="C1704" s="95" t="s">
        <v>2642</v>
      </c>
      <c r="D1704" s="95" t="str">
        <f t="shared" si="19"/>
        <v>Kagarama Town Council</v>
      </c>
      <c r="F1704" s="95">
        <v>1176</v>
      </c>
    </row>
    <row r="1705" spans="1:6">
      <c r="A1705" s="95" t="s">
        <v>2647</v>
      </c>
      <c r="B1705" s="95" t="s">
        <v>47</v>
      </c>
      <c r="C1705" s="95" t="s">
        <v>2648</v>
      </c>
      <c r="D1705" s="95" t="str">
        <f t="shared" si="19"/>
        <v>Kayonza-Ntungamo</v>
      </c>
      <c r="F1705" s="95">
        <v>1177</v>
      </c>
    </row>
    <row r="1706" spans="1:6">
      <c r="A1706" s="95" t="s">
        <v>2649</v>
      </c>
      <c r="B1706" s="95" t="s">
        <v>47</v>
      </c>
      <c r="C1706" s="95" t="s">
        <v>2642</v>
      </c>
      <c r="D1706" s="95" t="str">
        <f t="shared" si="19"/>
        <v>Kibatsi</v>
      </c>
      <c r="F1706" s="95">
        <v>1178</v>
      </c>
    </row>
    <row r="1707" spans="1:6">
      <c r="A1707" s="95" t="s">
        <v>2650</v>
      </c>
      <c r="B1707" s="95" t="s">
        <v>47</v>
      </c>
      <c r="C1707" s="95" t="s">
        <v>2645</v>
      </c>
      <c r="D1707" s="95" t="str">
        <f t="shared" si="19"/>
        <v>Kitwe Town Council</v>
      </c>
      <c r="F1707" s="95">
        <v>1179</v>
      </c>
    </row>
    <row r="1708" spans="1:6">
      <c r="A1708" s="95" t="s">
        <v>2651</v>
      </c>
      <c r="B1708" s="95" t="s">
        <v>47</v>
      </c>
      <c r="C1708" s="95" t="s">
        <v>2648</v>
      </c>
      <c r="D1708" s="95" t="str">
        <f t="shared" si="19"/>
        <v>Ngoma-Ntungamo</v>
      </c>
      <c r="F1708" s="95">
        <v>1180</v>
      </c>
    </row>
    <row r="1709" spans="1:6">
      <c r="A1709" s="95" t="s">
        <v>47</v>
      </c>
      <c r="B1709" s="95" t="s">
        <v>47</v>
      </c>
      <c r="C1709" s="95" t="s">
        <v>2645</v>
      </c>
      <c r="D1709" s="95" t="str">
        <f t="shared" si="19"/>
        <v>Ntungamo</v>
      </c>
      <c r="F1709" s="95">
        <v>1181</v>
      </c>
    </row>
    <row r="1710" spans="1:6">
      <c r="A1710" s="95" t="s">
        <v>2652</v>
      </c>
      <c r="B1710" s="95" t="s">
        <v>47</v>
      </c>
      <c r="C1710" s="95" t="s">
        <v>2652</v>
      </c>
      <c r="D1710" s="95" t="str">
        <f t="shared" si="19"/>
        <v>Ntungamo Municipality</v>
      </c>
      <c r="F1710" s="95">
        <v>1182</v>
      </c>
    </row>
    <row r="1711" spans="1:6">
      <c r="A1711" s="95" t="s">
        <v>2653</v>
      </c>
      <c r="D1711" s="95" t="str">
        <f t="shared" si="19"/>
        <v>Ntugamo</v>
      </c>
      <c r="F1711" s="95">
        <v>1182</v>
      </c>
    </row>
    <row r="1712" spans="1:6">
      <c r="A1712" s="95" t="s">
        <v>2654</v>
      </c>
      <c r="F1712" s="95">
        <v>1182</v>
      </c>
    </row>
    <row r="1713" spans="1:6">
      <c r="A1713" s="95" t="s">
        <v>2655</v>
      </c>
      <c r="B1713" s="95" t="s">
        <v>47</v>
      </c>
      <c r="C1713" s="95" t="s">
        <v>2642</v>
      </c>
      <c r="D1713" s="95" t="str">
        <f t="shared" si="19"/>
        <v>Nyabihoko</v>
      </c>
      <c r="F1713" s="95">
        <v>1183</v>
      </c>
    </row>
    <row r="1714" spans="1:6">
      <c r="A1714" s="95" t="s">
        <v>2656</v>
      </c>
      <c r="B1714" s="95" t="s">
        <v>47</v>
      </c>
      <c r="C1714" s="95" t="s">
        <v>2645</v>
      </c>
      <c r="D1714" s="95" t="str">
        <f t="shared" si="19"/>
        <v>Nyakyera</v>
      </c>
      <c r="F1714" s="95">
        <v>1184</v>
      </c>
    </row>
    <row r="1715" spans="1:6">
      <c r="A1715" s="95" t="s">
        <v>55</v>
      </c>
      <c r="B1715" s="95" t="s">
        <v>47</v>
      </c>
      <c r="C1715" s="95" t="s">
        <v>2648</v>
      </c>
      <c r="D1715" s="95" t="str">
        <f t="shared" si="19"/>
        <v>Rubaare</v>
      </c>
      <c r="F1715" s="95">
        <v>1185</v>
      </c>
    </row>
    <row r="1716" spans="1:6">
      <c r="A1716" s="95" t="s">
        <v>2657</v>
      </c>
      <c r="B1716" s="95" t="s">
        <v>47</v>
      </c>
      <c r="C1716" s="95" t="s">
        <v>2648</v>
      </c>
      <c r="D1716" s="95" t="str">
        <f t="shared" si="19"/>
        <v>Rubaare Town Council</v>
      </c>
      <c r="F1716" s="95">
        <v>1186</v>
      </c>
    </row>
    <row r="1717" spans="1:6">
      <c r="A1717" s="95" t="s">
        <v>2658</v>
      </c>
      <c r="B1717" s="95" t="s">
        <v>47</v>
      </c>
      <c r="C1717" s="95" t="s">
        <v>2648</v>
      </c>
      <c r="D1717" s="95" t="str">
        <f t="shared" si="19"/>
        <v>Rugarama-Ntungamo</v>
      </c>
      <c r="F1717" s="95">
        <v>1187</v>
      </c>
    </row>
    <row r="1718" spans="1:6">
      <c r="A1718" s="95" t="s">
        <v>2645</v>
      </c>
      <c r="B1718" s="95" t="s">
        <v>47</v>
      </c>
      <c r="C1718" s="95" t="s">
        <v>2645</v>
      </c>
      <c r="D1718" s="95" t="str">
        <f t="shared" si="19"/>
        <v>Ruhaama</v>
      </c>
      <c r="F1718" s="95">
        <v>1188</v>
      </c>
    </row>
    <row r="1719" spans="1:6">
      <c r="A1719" s="95" t="s">
        <v>2659</v>
      </c>
      <c r="B1719" s="95" t="s">
        <v>47</v>
      </c>
      <c r="C1719" s="95" t="s">
        <v>2645</v>
      </c>
      <c r="D1719" s="95" t="str">
        <f t="shared" si="19"/>
        <v>Rukoni East</v>
      </c>
      <c r="F1719" s="95">
        <v>1189</v>
      </c>
    </row>
    <row r="1720" spans="1:6">
      <c r="A1720" s="95" t="s">
        <v>2660</v>
      </c>
      <c r="B1720" s="95" t="s">
        <v>47</v>
      </c>
      <c r="C1720" s="95" t="s">
        <v>2645</v>
      </c>
      <c r="D1720" s="95" t="str">
        <f t="shared" si="19"/>
        <v>Rukoni West</v>
      </c>
      <c r="F1720" s="95">
        <v>1190</v>
      </c>
    </row>
    <row r="1721" spans="1:6">
      <c r="A1721" s="95" t="s">
        <v>2661</v>
      </c>
      <c r="B1721" s="95" t="s">
        <v>47</v>
      </c>
      <c r="C1721" s="95" t="s">
        <v>2642</v>
      </c>
      <c r="D1721" s="95" t="str">
        <f t="shared" si="19"/>
        <v>Rwashamaire Town Council</v>
      </c>
      <c r="F1721" s="95">
        <v>1191</v>
      </c>
    </row>
    <row r="1722" spans="1:6">
      <c r="A1722" s="95" t="s">
        <v>2662</v>
      </c>
      <c r="B1722" s="95" t="s">
        <v>47</v>
      </c>
      <c r="C1722" s="95" t="s">
        <v>2645</v>
      </c>
      <c r="D1722" s="95" t="str">
        <f t="shared" si="19"/>
        <v>Rweikiniro</v>
      </c>
      <c r="F1722" s="95">
        <v>1192</v>
      </c>
    </row>
    <row r="1723" spans="1:6">
      <c r="A1723" s="95" t="s">
        <v>2663</v>
      </c>
      <c r="B1723" s="95" t="s">
        <v>2664</v>
      </c>
      <c r="C1723" s="95" t="s">
        <v>2664</v>
      </c>
      <c r="D1723" s="95" t="str">
        <f t="shared" si="19"/>
        <v>Alero</v>
      </c>
      <c r="F1723" s="95">
        <v>1193</v>
      </c>
    </row>
    <row r="1724" spans="1:6">
      <c r="A1724" s="95" t="s">
        <v>2665</v>
      </c>
      <c r="B1724" s="95" t="s">
        <v>2664</v>
      </c>
      <c r="C1724" s="95" t="s">
        <v>2664</v>
      </c>
      <c r="D1724" s="95" t="str">
        <f t="shared" si="19"/>
        <v>Anaka Payira</v>
      </c>
      <c r="F1724" s="95">
        <v>1194</v>
      </c>
    </row>
    <row r="1725" spans="1:6">
      <c r="A1725" s="95" t="s">
        <v>2666</v>
      </c>
      <c r="B1725" s="95" t="s">
        <v>2664</v>
      </c>
      <c r="C1725" s="95" t="s">
        <v>2664</v>
      </c>
      <c r="D1725" s="95" t="str">
        <f t="shared" si="19"/>
        <v>Anaka Town Council</v>
      </c>
      <c r="F1725" s="95">
        <v>1195</v>
      </c>
    </row>
    <row r="1726" spans="1:6">
      <c r="A1726" s="95" t="s">
        <v>2667</v>
      </c>
      <c r="B1726" s="95" t="s">
        <v>2664</v>
      </c>
      <c r="C1726" s="95" t="s">
        <v>2664</v>
      </c>
      <c r="D1726" s="95" t="str">
        <f t="shared" si="19"/>
        <v>Koch-Goma</v>
      </c>
      <c r="F1726" s="95">
        <v>1196</v>
      </c>
    </row>
    <row r="1727" spans="1:6">
      <c r="A1727" s="95" t="s">
        <v>2668</v>
      </c>
      <c r="B1727" s="95" t="s">
        <v>2664</v>
      </c>
      <c r="C1727" s="95" t="s">
        <v>2664</v>
      </c>
      <c r="D1727" s="95" t="str">
        <f t="shared" si="19"/>
        <v>Purongo</v>
      </c>
      <c r="F1727" s="95">
        <v>1197</v>
      </c>
    </row>
    <row r="1728" spans="1:6">
      <c r="A1728" s="95" t="s">
        <v>2669</v>
      </c>
      <c r="B1728" s="95" t="s">
        <v>901</v>
      </c>
      <c r="C1728" s="95" t="s">
        <v>901</v>
      </c>
      <c r="D1728" s="95" t="str">
        <f t="shared" si="19"/>
        <v>Bobi</v>
      </c>
      <c r="F1728" s="95">
        <v>1198</v>
      </c>
    </row>
    <row r="1729" spans="1:6">
      <c r="A1729" s="95" t="s">
        <v>2670</v>
      </c>
      <c r="B1729" s="95" t="s">
        <v>901</v>
      </c>
      <c r="C1729" s="95" t="s">
        <v>901</v>
      </c>
      <c r="D1729" s="95" t="str">
        <f t="shared" si="19"/>
        <v>Koro</v>
      </c>
      <c r="F1729" s="95">
        <v>1199</v>
      </c>
    </row>
    <row r="1730" spans="1:6">
      <c r="A1730" s="95" t="s">
        <v>2671</v>
      </c>
      <c r="B1730" s="95" t="s">
        <v>901</v>
      </c>
      <c r="C1730" s="95" t="s">
        <v>901</v>
      </c>
      <c r="D1730" s="95" t="str">
        <f t="shared" si="19"/>
        <v>Lakwana</v>
      </c>
      <c r="F1730" s="95">
        <v>1200</v>
      </c>
    </row>
    <row r="1731" spans="1:6">
      <c r="A1731" s="95" t="s">
        <v>2672</v>
      </c>
      <c r="B1731" s="95" t="s">
        <v>901</v>
      </c>
      <c r="C1731" s="95" t="s">
        <v>901</v>
      </c>
      <c r="D1731" s="95" t="str">
        <f t="shared" si="19"/>
        <v>Lalogi</v>
      </c>
      <c r="F1731" s="95">
        <v>1201</v>
      </c>
    </row>
    <row r="1732" spans="1:6">
      <c r="A1732" s="95" t="s">
        <v>2673</v>
      </c>
      <c r="B1732" s="95" t="s">
        <v>901</v>
      </c>
      <c r="C1732" s="95" t="s">
        <v>901</v>
      </c>
      <c r="D1732" s="95" t="str">
        <f t="shared" si="19"/>
        <v>Odek</v>
      </c>
      <c r="F1732" s="95">
        <v>1202</v>
      </c>
    </row>
    <row r="1733" spans="1:6">
      <c r="A1733" s="95" t="s">
        <v>2674</v>
      </c>
      <c r="B1733" s="95" t="s">
        <v>901</v>
      </c>
      <c r="C1733" s="95" t="s">
        <v>901</v>
      </c>
      <c r="D1733" s="95" t="str">
        <f t="shared" si="19"/>
        <v>Omoro Town Council</v>
      </c>
      <c r="F1733" s="95">
        <v>1203</v>
      </c>
    </row>
    <row r="1734" spans="1:6">
      <c r="A1734" s="95" t="s">
        <v>2675</v>
      </c>
      <c r="B1734" s="95" t="s">
        <v>901</v>
      </c>
      <c r="C1734" s="95" t="s">
        <v>901</v>
      </c>
      <c r="D1734" s="95" t="str">
        <f t="shared" si="19"/>
        <v>Ongako</v>
      </c>
      <c r="F1734" s="95">
        <v>1204</v>
      </c>
    </row>
    <row r="1735" spans="1:6">
      <c r="A1735" s="95" t="s">
        <v>2676</v>
      </c>
      <c r="B1735" s="95" t="s">
        <v>2677</v>
      </c>
      <c r="C1735" s="95" t="s">
        <v>2677</v>
      </c>
      <c r="D1735" s="95" t="str">
        <f t="shared" si="19"/>
        <v>Adwari</v>
      </c>
      <c r="F1735" s="95">
        <v>1205</v>
      </c>
    </row>
    <row r="1736" spans="1:6">
      <c r="A1736" s="95" t="s">
        <v>2678</v>
      </c>
      <c r="B1736" s="95" t="s">
        <v>2677</v>
      </c>
      <c r="C1736" s="95" t="s">
        <v>2677</v>
      </c>
      <c r="D1736" s="95" t="str">
        <f t="shared" si="19"/>
        <v>Alango</v>
      </c>
      <c r="F1736" s="95">
        <v>1206</v>
      </c>
    </row>
    <row r="1737" spans="1:6">
      <c r="A1737" s="95" t="s">
        <v>2679</v>
      </c>
      <c r="B1737" s="95" t="s">
        <v>2677</v>
      </c>
      <c r="C1737" s="95" t="s">
        <v>2677</v>
      </c>
      <c r="D1737" s="95" t="str">
        <f t="shared" si="19"/>
        <v>Ogor</v>
      </c>
      <c r="F1737" s="95">
        <v>1207</v>
      </c>
    </row>
    <row r="1738" spans="1:6">
      <c r="A1738" s="95" t="s">
        <v>2680</v>
      </c>
      <c r="B1738" s="95" t="s">
        <v>2677</v>
      </c>
      <c r="C1738" s="95" t="s">
        <v>2677</v>
      </c>
      <c r="D1738" s="95" t="str">
        <f t="shared" si="19"/>
        <v>Ogwette</v>
      </c>
      <c r="F1738" s="95">
        <v>1208</v>
      </c>
    </row>
    <row r="1739" spans="1:6">
      <c r="A1739" s="95" t="s">
        <v>2681</v>
      </c>
      <c r="B1739" s="95" t="s">
        <v>2677</v>
      </c>
      <c r="C1739" s="95" t="s">
        <v>2677</v>
      </c>
      <c r="D1739" s="95" t="str">
        <f t="shared" si="19"/>
        <v>Okwang</v>
      </c>
      <c r="F1739" s="95">
        <v>1209</v>
      </c>
    </row>
    <row r="1740" spans="1:6">
      <c r="A1740" s="95" t="s">
        <v>2682</v>
      </c>
      <c r="B1740" s="95" t="s">
        <v>2677</v>
      </c>
      <c r="C1740" s="95" t="s">
        <v>2677</v>
      </c>
      <c r="D1740" s="95" t="str">
        <f t="shared" si="19"/>
        <v>Olilim</v>
      </c>
      <c r="F1740" s="95">
        <v>1210</v>
      </c>
    </row>
    <row r="1741" spans="1:6">
      <c r="A1741" s="95" t="s">
        <v>2683</v>
      </c>
      <c r="B1741" s="95" t="s">
        <v>2677</v>
      </c>
      <c r="C1741" s="95" t="s">
        <v>2677</v>
      </c>
      <c r="D1741" s="95" t="str">
        <f t="shared" si="19"/>
        <v>Orum</v>
      </c>
      <c r="F1741" s="95">
        <v>1211</v>
      </c>
    </row>
    <row r="1742" spans="1:6">
      <c r="A1742" s="95" t="s">
        <v>2684</v>
      </c>
      <c r="B1742" s="95" t="s">
        <v>2677</v>
      </c>
      <c r="C1742" s="95" t="s">
        <v>2677</v>
      </c>
      <c r="D1742" s="95" t="str">
        <f t="shared" si="19"/>
        <v>Otuke Town Council</v>
      </c>
      <c r="F1742" s="95">
        <v>1212</v>
      </c>
    </row>
    <row r="1743" spans="1:6">
      <c r="A1743" s="95" t="s">
        <v>2685</v>
      </c>
      <c r="B1743" s="95" t="s">
        <v>2686</v>
      </c>
      <c r="C1743" s="95" t="s">
        <v>2686</v>
      </c>
      <c r="D1743" s="95" t="str">
        <f t="shared" si="19"/>
        <v>Aber</v>
      </c>
      <c r="F1743" s="95">
        <v>1213</v>
      </c>
    </row>
    <row r="1744" spans="1:6">
      <c r="A1744" s="95" t="s">
        <v>2687</v>
      </c>
      <c r="B1744" s="95" t="s">
        <v>2686</v>
      </c>
      <c r="C1744" s="95" t="s">
        <v>2686</v>
      </c>
      <c r="D1744" s="95" t="str">
        <f t="shared" si="19"/>
        <v>Abok</v>
      </c>
      <c r="F1744" s="95">
        <v>1214</v>
      </c>
    </row>
    <row r="1745" spans="1:6">
      <c r="A1745" s="95" t="s">
        <v>2688</v>
      </c>
      <c r="B1745" s="95" t="s">
        <v>2686</v>
      </c>
      <c r="C1745" s="95" t="s">
        <v>2686</v>
      </c>
      <c r="D1745" s="95" t="str">
        <f t="shared" si="19"/>
        <v>Acaba</v>
      </c>
      <c r="F1745" s="95">
        <v>1215</v>
      </c>
    </row>
    <row r="1746" spans="1:6">
      <c r="A1746" s="95" t="s">
        <v>2689</v>
      </c>
      <c r="B1746" s="95" t="s">
        <v>2686</v>
      </c>
      <c r="C1746" s="95" t="s">
        <v>2686</v>
      </c>
      <c r="D1746" s="95" t="str">
        <f t="shared" si="19"/>
        <v>Aleka</v>
      </c>
      <c r="F1746" s="95">
        <v>1216</v>
      </c>
    </row>
    <row r="1747" spans="1:6">
      <c r="A1747" s="95" t="s">
        <v>2690</v>
      </c>
      <c r="B1747" s="95" t="s">
        <v>2686</v>
      </c>
      <c r="C1747" s="95" t="s">
        <v>2686</v>
      </c>
      <c r="D1747" s="95" t="str">
        <f t="shared" si="19"/>
        <v>Iceme</v>
      </c>
      <c r="F1747" s="95">
        <v>1217</v>
      </c>
    </row>
    <row r="1748" spans="1:6">
      <c r="A1748" s="95" t="s">
        <v>2691</v>
      </c>
      <c r="B1748" s="95" t="s">
        <v>2686</v>
      </c>
      <c r="C1748" s="95" t="s">
        <v>2686</v>
      </c>
      <c r="D1748" s="95" t="str">
        <f t="shared" si="19"/>
        <v>Kamdini</v>
      </c>
      <c r="F1748" s="95">
        <v>1218</v>
      </c>
    </row>
    <row r="1749" spans="1:6">
      <c r="A1749" s="95" t="s">
        <v>2692</v>
      </c>
      <c r="F1749" s="95">
        <v>1218</v>
      </c>
    </row>
    <row r="1750" spans="1:6">
      <c r="A1750" s="95" t="s">
        <v>2693</v>
      </c>
      <c r="B1750" s="95" t="s">
        <v>2686</v>
      </c>
      <c r="C1750" s="95" t="s">
        <v>2686</v>
      </c>
      <c r="D1750" s="95" t="str">
        <f t="shared" si="19"/>
        <v>Loro</v>
      </c>
      <c r="F1750" s="95">
        <v>1219</v>
      </c>
    </row>
    <row r="1751" spans="1:6">
      <c r="A1751" s="95" t="s">
        <v>2694</v>
      </c>
      <c r="B1751" s="95" t="s">
        <v>2686</v>
      </c>
      <c r="C1751" s="95" t="s">
        <v>2686</v>
      </c>
      <c r="D1751" s="95" t="str">
        <f t="shared" si="19"/>
        <v>Minakulu</v>
      </c>
      <c r="F1751" s="95">
        <v>1220</v>
      </c>
    </row>
    <row r="1752" spans="1:6">
      <c r="A1752" s="95" t="s">
        <v>2695</v>
      </c>
      <c r="B1752" s="95" t="s">
        <v>2686</v>
      </c>
      <c r="C1752" s="95" t="s">
        <v>2686</v>
      </c>
      <c r="D1752" s="95" t="str">
        <f t="shared" ref="D1752:D1817" si="20">A1752</f>
        <v>Myene</v>
      </c>
      <c r="F1752" s="95">
        <v>1221</v>
      </c>
    </row>
    <row r="1753" spans="1:6">
      <c r="A1753" s="95" t="s">
        <v>2696</v>
      </c>
      <c r="B1753" s="95" t="s">
        <v>2686</v>
      </c>
      <c r="C1753" s="95" t="s">
        <v>2686</v>
      </c>
      <c r="D1753" s="95" t="str">
        <f t="shared" si="20"/>
        <v>Ngai</v>
      </c>
      <c r="F1753" s="95">
        <v>1222</v>
      </c>
    </row>
    <row r="1754" spans="1:6">
      <c r="A1754" s="95" t="s">
        <v>2697</v>
      </c>
      <c r="B1754" s="95" t="s">
        <v>2686</v>
      </c>
      <c r="C1754" s="95" t="s">
        <v>2686</v>
      </c>
      <c r="D1754" s="95" t="str">
        <f t="shared" si="20"/>
        <v>Otwal</v>
      </c>
      <c r="F1754" s="95">
        <v>1223</v>
      </c>
    </row>
    <row r="1755" spans="1:6">
      <c r="A1755" s="95" t="s">
        <v>2698</v>
      </c>
      <c r="B1755" s="95" t="s">
        <v>2686</v>
      </c>
      <c r="C1755" s="95" t="s">
        <v>2686</v>
      </c>
      <c r="D1755" s="95" t="str">
        <f t="shared" si="20"/>
        <v>Oyam Town Council</v>
      </c>
      <c r="F1755" s="95">
        <v>1224</v>
      </c>
    </row>
    <row r="1756" spans="1:6">
      <c r="A1756" s="95" t="s">
        <v>2699</v>
      </c>
      <c r="B1756" s="95" t="s">
        <v>2700</v>
      </c>
      <c r="C1756" s="95" t="s">
        <v>2701</v>
      </c>
      <c r="D1756" s="95" t="str">
        <f t="shared" si="20"/>
        <v>Acholibur</v>
      </c>
      <c r="F1756" s="95">
        <v>1225</v>
      </c>
    </row>
    <row r="1757" spans="1:6">
      <c r="A1757" s="95" t="s">
        <v>2702</v>
      </c>
      <c r="B1757" s="95" t="s">
        <v>2700</v>
      </c>
      <c r="C1757" s="95" t="s">
        <v>2701</v>
      </c>
      <c r="D1757" s="95" t="str">
        <f t="shared" si="20"/>
        <v>Angagura</v>
      </c>
      <c r="F1757" s="95">
        <v>1226</v>
      </c>
    </row>
    <row r="1758" spans="1:6">
      <c r="A1758" s="95" t="s">
        <v>2703</v>
      </c>
      <c r="B1758" s="95" t="s">
        <v>2700</v>
      </c>
      <c r="C1758" s="95" t="s">
        <v>2701</v>
      </c>
      <c r="D1758" s="95" t="str">
        <f t="shared" si="20"/>
        <v>Atanga</v>
      </c>
      <c r="F1758" s="95">
        <v>1227</v>
      </c>
    </row>
    <row r="1759" spans="1:6">
      <c r="A1759" s="95" t="s">
        <v>2704</v>
      </c>
      <c r="B1759" s="95" t="s">
        <v>2700</v>
      </c>
      <c r="C1759" s="95" t="s">
        <v>2701</v>
      </c>
      <c r="D1759" s="95" t="str">
        <f t="shared" si="20"/>
        <v>Awere</v>
      </c>
      <c r="F1759" s="95">
        <v>1228</v>
      </c>
    </row>
    <row r="1760" spans="1:6">
      <c r="A1760" s="95" t="s">
        <v>2705</v>
      </c>
      <c r="B1760" s="95" t="s">
        <v>2700</v>
      </c>
      <c r="C1760" s="95" t="s">
        <v>2701</v>
      </c>
      <c r="D1760" s="95" t="str">
        <f t="shared" si="20"/>
        <v>Laguti</v>
      </c>
      <c r="F1760" s="95">
        <v>1229</v>
      </c>
    </row>
    <row r="1761" spans="1:6">
      <c r="A1761" s="95" t="s">
        <v>2706</v>
      </c>
      <c r="B1761" s="95" t="s">
        <v>2700</v>
      </c>
      <c r="C1761" s="95" t="s">
        <v>2701</v>
      </c>
      <c r="D1761" s="95" t="str">
        <f t="shared" si="20"/>
        <v>Lapul</v>
      </c>
      <c r="F1761" s="95">
        <v>1230</v>
      </c>
    </row>
    <row r="1762" spans="1:6">
      <c r="A1762" s="95" t="s">
        <v>2707</v>
      </c>
      <c r="B1762" s="95" t="s">
        <v>2700</v>
      </c>
      <c r="C1762" s="95" t="s">
        <v>2701</v>
      </c>
      <c r="D1762" s="95" t="str">
        <f t="shared" si="20"/>
        <v>Latanya</v>
      </c>
      <c r="F1762" s="95">
        <v>1231</v>
      </c>
    </row>
    <row r="1763" spans="1:6">
      <c r="A1763" s="95" t="s">
        <v>2708</v>
      </c>
      <c r="B1763" s="95" t="s">
        <v>2700</v>
      </c>
      <c r="C1763" s="95" t="s">
        <v>2701</v>
      </c>
      <c r="D1763" s="95" t="str">
        <f t="shared" si="20"/>
        <v>Ogom</v>
      </c>
      <c r="F1763" s="95">
        <v>1232</v>
      </c>
    </row>
    <row r="1764" spans="1:6">
      <c r="A1764" s="95" t="s">
        <v>2700</v>
      </c>
      <c r="B1764" s="95" t="s">
        <v>2700</v>
      </c>
      <c r="C1764" s="95" t="s">
        <v>2701</v>
      </c>
      <c r="D1764" s="95" t="str">
        <f t="shared" si="20"/>
        <v>Pader</v>
      </c>
      <c r="F1764" s="95">
        <v>1233</v>
      </c>
    </row>
    <row r="1765" spans="1:6">
      <c r="A1765" s="95" t="s">
        <v>2709</v>
      </c>
      <c r="B1765" s="95" t="s">
        <v>2700</v>
      </c>
      <c r="C1765" s="95" t="s">
        <v>2701</v>
      </c>
      <c r="D1765" s="95" t="str">
        <f t="shared" si="20"/>
        <v>Pader Town Council</v>
      </c>
      <c r="F1765" s="95">
        <v>1234</v>
      </c>
    </row>
    <row r="1766" spans="1:6">
      <c r="A1766" s="95" t="s">
        <v>2710</v>
      </c>
      <c r="B1766" s="95" t="s">
        <v>2700</v>
      </c>
      <c r="C1766" s="95" t="s">
        <v>2701</v>
      </c>
      <c r="D1766" s="95" t="str">
        <f t="shared" si="20"/>
        <v>Pajule</v>
      </c>
      <c r="F1766" s="95">
        <v>1235</v>
      </c>
    </row>
    <row r="1767" spans="1:6">
      <c r="A1767" s="95" t="s">
        <v>2711</v>
      </c>
      <c r="B1767" s="95" t="s">
        <v>2700</v>
      </c>
      <c r="C1767" s="95" t="s">
        <v>2701</v>
      </c>
      <c r="D1767" s="95" t="str">
        <f t="shared" si="20"/>
        <v>Puranga</v>
      </c>
      <c r="F1767" s="95">
        <v>1236</v>
      </c>
    </row>
    <row r="1768" spans="1:6">
      <c r="A1768" s="95" t="s">
        <v>2712</v>
      </c>
      <c r="B1768" s="95" t="s">
        <v>2713</v>
      </c>
      <c r="C1768" s="95" t="s">
        <v>2714</v>
      </c>
      <c r="D1768" s="95" t="str">
        <f t="shared" si="20"/>
        <v>Alwi</v>
      </c>
      <c r="F1768" s="95">
        <v>1237</v>
      </c>
    </row>
    <row r="1769" spans="1:6">
      <c r="A1769" s="95" t="s">
        <v>2713</v>
      </c>
      <c r="B1769" s="95" t="s">
        <v>2713</v>
      </c>
      <c r="C1769" s="95" t="s">
        <v>2714</v>
      </c>
      <c r="D1769" s="95" t="str">
        <f t="shared" si="20"/>
        <v>Pakwach</v>
      </c>
      <c r="F1769" s="95">
        <v>1238</v>
      </c>
    </row>
    <row r="1770" spans="1:6">
      <c r="A1770" s="95" t="s">
        <v>2715</v>
      </c>
      <c r="F1770" s="95">
        <v>1238</v>
      </c>
    </row>
    <row r="1771" spans="1:6">
      <c r="A1771" s="95" t="s">
        <v>2716</v>
      </c>
      <c r="B1771" s="95" t="s">
        <v>2713</v>
      </c>
      <c r="C1771" s="95" t="s">
        <v>2714</v>
      </c>
      <c r="D1771" s="95" t="str">
        <f t="shared" si="20"/>
        <v>Pakwach Town Council</v>
      </c>
      <c r="F1771" s="95">
        <v>1239</v>
      </c>
    </row>
    <row r="1772" spans="1:6">
      <c r="A1772" s="95" t="s">
        <v>2717</v>
      </c>
      <c r="B1772" s="95" t="s">
        <v>2713</v>
      </c>
      <c r="C1772" s="95" t="s">
        <v>2714</v>
      </c>
      <c r="D1772" s="95" t="str">
        <f t="shared" si="20"/>
        <v>Panyango</v>
      </c>
      <c r="F1772" s="95">
        <v>1240</v>
      </c>
    </row>
    <row r="1773" spans="1:6">
      <c r="A1773" s="95" t="s">
        <v>2718</v>
      </c>
      <c r="B1773" s="95" t="s">
        <v>2713</v>
      </c>
      <c r="C1773" s="95" t="s">
        <v>2714</v>
      </c>
      <c r="D1773" s="95" t="str">
        <f t="shared" si="20"/>
        <v>Panyimur</v>
      </c>
      <c r="F1773" s="95">
        <v>1241</v>
      </c>
    </row>
    <row r="1774" spans="1:6">
      <c r="A1774" s="95" t="s">
        <v>2719</v>
      </c>
      <c r="B1774" s="95" t="s">
        <v>2713</v>
      </c>
      <c r="C1774" s="95" t="s">
        <v>2714</v>
      </c>
      <c r="D1774" s="95" t="str">
        <f t="shared" si="20"/>
        <v>Wadelai</v>
      </c>
      <c r="F1774" s="95">
        <v>1242</v>
      </c>
    </row>
    <row r="1775" spans="1:6">
      <c r="A1775" s="95" t="s">
        <v>2720</v>
      </c>
      <c r="B1775" s="95" t="s">
        <v>2721</v>
      </c>
      <c r="C1775" s="95" t="s">
        <v>2720</v>
      </c>
      <c r="D1775" s="95" t="str">
        <f t="shared" si="20"/>
        <v>Agule</v>
      </c>
      <c r="F1775" s="95">
        <v>1243</v>
      </c>
    </row>
    <row r="1776" spans="1:6">
      <c r="A1776" s="95" t="s">
        <v>2722</v>
      </c>
      <c r="B1776" s="95" t="s">
        <v>2721</v>
      </c>
      <c r="C1776" s="95" t="s">
        <v>2720</v>
      </c>
      <c r="D1776" s="95" t="str">
        <f t="shared" si="20"/>
        <v>Akisim</v>
      </c>
      <c r="F1776" s="95">
        <v>1244</v>
      </c>
    </row>
    <row r="1777" spans="1:6">
      <c r="A1777" s="95" t="s">
        <v>2723</v>
      </c>
      <c r="B1777" s="95" t="s">
        <v>2721</v>
      </c>
      <c r="C1777" s="95" t="s">
        <v>2720</v>
      </c>
      <c r="D1777" s="95" t="str">
        <f t="shared" si="20"/>
        <v>Apopong</v>
      </c>
      <c r="F1777" s="95">
        <v>1245</v>
      </c>
    </row>
    <row r="1778" spans="1:6">
      <c r="A1778" s="95" t="s">
        <v>2724</v>
      </c>
      <c r="B1778" s="95" t="s">
        <v>2721</v>
      </c>
      <c r="C1778" s="95" t="s">
        <v>2720</v>
      </c>
      <c r="D1778" s="95" t="str">
        <f t="shared" si="20"/>
        <v>Chelekura</v>
      </c>
      <c r="F1778" s="95">
        <v>1246</v>
      </c>
    </row>
    <row r="1779" spans="1:6">
      <c r="A1779" s="95" t="s">
        <v>2725</v>
      </c>
      <c r="B1779" s="95" t="s">
        <v>2721</v>
      </c>
      <c r="C1779" s="95" t="s">
        <v>2720</v>
      </c>
      <c r="D1779" s="95" t="str">
        <f t="shared" si="20"/>
        <v>Gogonyo</v>
      </c>
      <c r="F1779" s="95">
        <v>1247</v>
      </c>
    </row>
    <row r="1780" spans="1:6">
      <c r="A1780" s="95" t="s">
        <v>2726</v>
      </c>
      <c r="B1780" s="95" t="s">
        <v>2721</v>
      </c>
      <c r="C1780" s="95" t="s">
        <v>2720</v>
      </c>
      <c r="D1780" s="95" t="str">
        <f t="shared" si="20"/>
        <v>Kameke</v>
      </c>
      <c r="F1780" s="95">
        <v>1248</v>
      </c>
    </row>
    <row r="1781" spans="1:6">
      <c r="A1781" s="95" t="s">
        <v>2727</v>
      </c>
      <c r="B1781" s="95" t="s">
        <v>2721</v>
      </c>
      <c r="C1781" s="95" t="s">
        <v>2721</v>
      </c>
      <c r="D1781" s="95" t="str">
        <f t="shared" si="20"/>
        <v>Kamuge</v>
      </c>
      <c r="F1781" s="95">
        <v>1249</v>
      </c>
    </row>
    <row r="1782" spans="1:6">
      <c r="A1782" s="95" t="s">
        <v>2728</v>
      </c>
      <c r="B1782" s="95" t="s">
        <v>2721</v>
      </c>
      <c r="C1782" s="95" t="s">
        <v>2721</v>
      </c>
      <c r="D1782" s="95" t="str">
        <f t="shared" si="20"/>
        <v>Kasodo</v>
      </c>
      <c r="F1782" s="95">
        <v>1250</v>
      </c>
    </row>
    <row r="1783" spans="1:6">
      <c r="A1783" s="95" t="s">
        <v>2729</v>
      </c>
      <c r="B1783" s="95" t="s">
        <v>2721</v>
      </c>
      <c r="C1783" s="95" t="s">
        <v>2721</v>
      </c>
      <c r="D1783" s="95" t="str">
        <f t="shared" si="20"/>
        <v>Olok</v>
      </c>
      <c r="F1783" s="95">
        <v>1251</v>
      </c>
    </row>
    <row r="1784" spans="1:6">
      <c r="A1784" s="95" t="s">
        <v>2721</v>
      </c>
      <c r="B1784" s="95" t="s">
        <v>2721</v>
      </c>
      <c r="C1784" s="95" t="s">
        <v>2721</v>
      </c>
      <c r="D1784" s="95" t="str">
        <f t="shared" si="20"/>
        <v>Pallisa</v>
      </c>
      <c r="F1784" s="95">
        <v>1252</v>
      </c>
    </row>
    <row r="1785" spans="1:6">
      <c r="A1785" s="95" t="s">
        <v>2730</v>
      </c>
      <c r="B1785" s="95" t="s">
        <v>2721</v>
      </c>
      <c r="C1785" s="95" t="s">
        <v>2721</v>
      </c>
      <c r="D1785" s="95" t="str">
        <f t="shared" si="20"/>
        <v>Pallisa Town Council</v>
      </c>
      <c r="F1785" s="95">
        <v>1253</v>
      </c>
    </row>
    <row r="1786" spans="1:6">
      <c r="A1786" s="95" t="s">
        <v>2731</v>
      </c>
      <c r="B1786" s="95" t="s">
        <v>2721</v>
      </c>
      <c r="C1786" s="95" t="s">
        <v>2721</v>
      </c>
      <c r="D1786" s="95" t="str">
        <f t="shared" si="20"/>
        <v>Puti-Puti</v>
      </c>
      <c r="F1786" s="95">
        <v>1254</v>
      </c>
    </row>
    <row r="1787" spans="1:6">
      <c r="A1787" s="95" t="s">
        <v>2732</v>
      </c>
      <c r="B1787" s="95" t="s">
        <v>2733</v>
      </c>
      <c r="C1787" s="95" t="s">
        <v>2220</v>
      </c>
      <c r="D1787" s="95" t="str">
        <f t="shared" si="20"/>
        <v>Byakabanda</v>
      </c>
      <c r="F1787" s="95">
        <v>1255</v>
      </c>
    </row>
    <row r="1788" spans="1:6">
      <c r="A1788" s="95" t="s">
        <v>2734</v>
      </c>
      <c r="B1788" s="95" t="s">
        <v>2733</v>
      </c>
      <c r="C1788" s="95" t="s">
        <v>2220</v>
      </c>
      <c r="D1788" s="95" t="str">
        <f t="shared" si="20"/>
        <v>Ddwaniro-Rakai</v>
      </c>
      <c r="F1788" s="95">
        <v>1256</v>
      </c>
    </row>
    <row r="1789" spans="1:6">
      <c r="A1789" s="95" t="s">
        <v>2735</v>
      </c>
      <c r="B1789" s="95" t="s">
        <v>2733</v>
      </c>
      <c r="C1789" s="95" t="s">
        <v>2220</v>
      </c>
      <c r="D1789" s="95" t="str">
        <f t="shared" si="20"/>
        <v>Kacheera</v>
      </c>
      <c r="F1789" s="95">
        <v>1257</v>
      </c>
    </row>
    <row r="1790" spans="1:6">
      <c r="A1790" s="95" t="s">
        <v>2736</v>
      </c>
      <c r="B1790" s="95" t="s">
        <v>2733</v>
      </c>
      <c r="C1790" s="95" t="s">
        <v>2220</v>
      </c>
      <c r="D1790" s="95" t="str">
        <f t="shared" si="20"/>
        <v>Kagamba</v>
      </c>
      <c r="F1790" s="95">
        <v>1258</v>
      </c>
    </row>
    <row r="1791" spans="1:6">
      <c r="A1791" s="95" t="s">
        <v>2737</v>
      </c>
      <c r="B1791" s="95" t="s">
        <v>2733</v>
      </c>
      <c r="C1791" s="95" t="s">
        <v>2737</v>
      </c>
      <c r="D1791" s="95" t="str">
        <f t="shared" si="20"/>
        <v>Kakuuto</v>
      </c>
      <c r="F1791" s="95">
        <v>1259</v>
      </c>
    </row>
    <row r="1792" spans="1:6">
      <c r="A1792" s="95" t="s">
        <v>2738</v>
      </c>
      <c r="B1792" s="95" t="s">
        <v>2733</v>
      </c>
      <c r="C1792" s="95" t="s">
        <v>2737</v>
      </c>
      <c r="D1792" s="95" t="str">
        <f t="shared" si="20"/>
        <v>Kifamba</v>
      </c>
      <c r="F1792" s="95">
        <v>1260</v>
      </c>
    </row>
    <row r="1793" spans="1:6">
      <c r="A1793" s="95" t="s">
        <v>2739</v>
      </c>
      <c r="B1793" s="95" t="s">
        <v>2733</v>
      </c>
      <c r="C1793" s="95" t="s">
        <v>2220</v>
      </c>
      <c r="D1793" s="95" t="str">
        <f t="shared" si="20"/>
        <v>Kiziba</v>
      </c>
      <c r="F1793" s="95">
        <v>1261</v>
      </c>
    </row>
    <row r="1794" spans="1:6">
      <c r="A1794" s="95" t="s">
        <v>2740</v>
      </c>
      <c r="B1794" s="95" t="s">
        <v>2733</v>
      </c>
      <c r="C1794" s="95" t="s">
        <v>2220</v>
      </c>
      <c r="D1794" s="95" t="str">
        <f t="shared" si="20"/>
        <v>Kyalulangira</v>
      </c>
      <c r="F1794" s="95">
        <v>1262</v>
      </c>
    </row>
    <row r="1795" spans="1:6">
      <c r="A1795" s="95" t="s">
        <v>2741</v>
      </c>
      <c r="B1795" s="95" t="s">
        <v>2733</v>
      </c>
      <c r="C1795" s="95" t="s">
        <v>2220</v>
      </c>
      <c r="D1795" s="95" t="str">
        <f t="shared" si="20"/>
        <v>Lwamaggwa</v>
      </c>
      <c r="F1795" s="95">
        <v>1263</v>
      </c>
    </row>
    <row r="1796" spans="1:6">
      <c r="A1796" s="95" t="s">
        <v>2742</v>
      </c>
      <c r="B1796" s="95" t="s">
        <v>2733</v>
      </c>
      <c r="C1796" s="95" t="s">
        <v>2220</v>
      </c>
      <c r="D1796" s="95" t="str">
        <f t="shared" si="20"/>
        <v>Lwanda</v>
      </c>
      <c r="F1796" s="95">
        <v>1264</v>
      </c>
    </row>
    <row r="1797" spans="1:6">
      <c r="A1797" s="95" t="s">
        <v>2743</v>
      </c>
      <c r="B1797" s="95" t="s">
        <v>2733</v>
      </c>
      <c r="C1797" s="95" t="s">
        <v>2220</v>
      </c>
      <c r="D1797" s="95" t="str">
        <f t="shared" si="20"/>
        <v>Rakai Town Council</v>
      </c>
      <c r="F1797" s="95">
        <v>1265</v>
      </c>
    </row>
    <row r="1798" spans="1:6">
      <c r="A1798" s="95" t="s">
        <v>2744</v>
      </c>
      <c r="F1798" s="95">
        <v>1265</v>
      </c>
    </row>
    <row r="1799" spans="1:6">
      <c r="A1799" s="95" t="s">
        <v>2745</v>
      </c>
      <c r="B1799" s="95" t="s">
        <v>2746</v>
      </c>
      <c r="C1799" s="95" t="s">
        <v>2746</v>
      </c>
      <c r="D1799" s="95" t="str">
        <f t="shared" si="20"/>
        <v>Bubaare-Rubanda</v>
      </c>
      <c r="F1799" s="95">
        <v>1266</v>
      </c>
    </row>
    <row r="1800" spans="1:6">
      <c r="A1800" s="95" t="s">
        <v>2747</v>
      </c>
      <c r="B1800" s="95" t="s">
        <v>2746</v>
      </c>
      <c r="C1800" s="95" t="s">
        <v>2746</v>
      </c>
      <c r="D1800" s="95" t="str">
        <f t="shared" si="20"/>
        <v>Bufundi</v>
      </c>
      <c r="F1800" s="95">
        <v>1267</v>
      </c>
    </row>
    <row r="1801" spans="1:6">
      <c r="A1801" s="95" t="s">
        <v>2748</v>
      </c>
      <c r="B1801" s="95" t="s">
        <v>2746</v>
      </c>
      <c r="C1801" s="95" t="s">
        <v>2746</v>
      </c>
      <c r="D1801" s="95" t="str">
        <f t="shared" si="20"/>
        <v>Hamurwa</v>
      </c>
      <c r="F1801" s="95">
        <v>1268</v>
      </c>
    </row>
    <row r="1802" spans="1:6">
      <c r="A1802" s="95" t="s">
        <v>2749</v>
      </c>
      <c r="B1802" s="95" t="s">
        <v>2746</v>
      </c>
      <c r="C1802" s="95" t="s">
        <v>2746</v>
      </c>
      <c r="D1802" s="95" t="str">
        <f t="shared" si="20"/>
        <v>Hamurwa Town Council</v>
      </c>
      <c r="F1802" s="95">
        <v>1269</v>
      </c>
    </row>
    <row r="1803" spans="1:6">
      <c r="A1803" s="95" t="s">
        <v>2750</v>
      </c>
      <c r="B1803" s="95" t="s">
        <v>2746</v>
      </c>
      <c r="C1803" s="95" t="s">
        <v>2746</v>
      </c>
      <c r="D1803" s="95" t="str">
        <f t="shared" si="20"/>
        <v>Ikumba</v>
      </c>
      <c r="F1803" s="95">
        <v>1270</v>
      </c>
    </row>
    <row r="1804" spans="1:6">
      <c r="A1804" s="95" t="s">
        <v>2751</v>
      </c>
      <c r="B1804" s="95" t="s">
        <v>2746</v>
      </c>
      <c r="C1804" s="95" t="s">
        <v>2746</v>
      </c>
      <c r="D1804" s="95" t="str">
        <f t="shared" si="20"/>
        <v>Muko</v>
      </c>
      <c r="F1804" s="95">
        <v>1271</v>
      </c>
    </row>
    <row r="1805" spans="1:6">
      <c r="A1805" s="95" t="s">
        <v>2752</v>
      </c>
      <c r="B1805" s="95" t="s">
        <v>2746</v>
      </c>
      <c r="C1805" s="95" t="s">
        <v>2746</v>
      </c>
      <c r="D1805" s="95" t="str">
        <f t="shared" si="20"/>
        <v>Nyamweru</v>
      </c>
      <c r="F1805" s="95">
        <v>1272</v>
      </c>
    </row>
    <row r="1806" spans="1:6">
      <c r="A1806" s="95" t="s">
        <v>2753</v>
      </c>
      <c r="B1806" s="95" t="s">
        <v>2746</v>
      </c>
      <c r="C1806" s="95" t="s">
        <v>2746</v>
      </c>
      <c r="D1806" s="95" t="str">
        <f t="shared" si="20"/>
        <v>Rubanda Town Council</v>
      </c>
      <c r="F1806" s="95">
        <v>1273</v>
      </c>
    </row>
    <row r="1807" spans="1:6">
      <c r="A1807" s="95" t="s">
        <v>2754</v>
      </c>
      <c r="B1807" s="95" t="s">
        <v>2746</v>
      </c>
      <c r="C1807" s="95" t="s">
        <v>2746</v>
      </c>
      <c r="D1807" s="95" t="str">
        <f t="shared" si="20"/>
        <v>Ruhija</v>
      </c>
      <c r="F1807" s="95">
        <v>1274</v>
      </c>
    </row>
    <row r="1808" spans="1:6">
      <c r="A1808" s="95" t="s">
        <v>2755</v>
      </c>
      <c r="B1808" s="95" t="s">
        <v>2756</v>
      </c>
      <c r="C1808" s="95" t="s">
        <v>2757</v>
      </c>
      <c r="D1808" s="95" t="str">
        <f t="shared" si="20"/>
        <v>Katanda</v>
      </c>
      <c r="F1808" s="95">
        <v>1275</v>
      </c>
    </row>
    <row r="1809" spans="1:6">
      <c r="A1809" s="95" t="s">
        <v>2757</v>
      </c>
      <c r="B1809" s="95" t="s">
        <v>2756</v>
      </c>
      <c r="C1809" s="95" t="s">
        <v>2757</v>
      </c>
      <c r="D1809" s="95" t="str">
        <f t="shared" si="20"/>
        <v>Katerera</v>
      </c>
      <c r="F1809" s="95">
        <v>1276</v>
      </c>
    </row>
    <row r="1810" spans="1:6">
      <c r="A1810" s="95" t="s">
        <v>2758</v>
      </c>
      <c r="B1810" s="95" t="s">
        <v>2756</v>
      </c>
      <c r="C1810" s="95" t="s">
        <v>2757</v>
      </c>
      <c r="D1810" s="95" t="str">
        <f t="shared" si="20"/>
        <v>Katerera Town Council</v>
      </c>
      <c r="F1810" s="95">
        <v>1277</v>
      </c>
    </row>
    <row r="1811" spans="1:6">
      <c r="A1811" s="95" t="s">
        <v>2759</v>
      </c>
      <c r="B1811" s="95" t="s">
        <v>2756</v>
      </c>
      <c r="C1811" s="95" t="s">
        <v>49</v>
      </c>
      <c r="D1811" s="95" t="str">
        <f t="shared" si="20"/>
        <v>Katunguru</v>
      </c>
      <c r="F1811" s="95">
        <v>1278</v>
      </c>
    </row>
    <row r="1812" spans="1:6">
      <c r="A1812" s="95" t="s">
        <v>52</v>
      </c>
      <c r="B1812" s="95" t="s">
        <v>2756</v>
      </c>
      <c r="C1812" s="95" t="s">
        <v>49</v>
      </c>
      <c r="D1812" s="95" t="str">
        <f t="shared" si="20"/>
        <v>Kichwamba</v>
      </c>
      <c r="F1812" s="95">
        <v>1279</v>
      </c>
    </row>
    <row r="1813" spans="1:6">
      <c r="A1813" s="95" t="s">
        <v>2760</v>
      </c>
      <c r="B1813" s="95" t="s">
        <v>2756</v>
      </c>
      <c r="C1813" s="95" t="s">
        <v>2757</v>
      </c>
      <c r="D1813" s="95" t="str">
        <f t="shared" si="20"/>
        <v>Kirugu</v>
      </c>
      <c r="F1813" s="95">
        <v>1280</v>
      </c>
    </row>
    <row r="1814" spans="1:6">
      <c r="A1814" s="95" t="s">
        <v>2761</v>
      </c>
      <c r="B1814" s="95" t="s">
        <v>2756</v>
      </c>
      <c r="C1814" s="95" t="s">
        <v>2757</v>
      </c>
      <c r="D1814" s="95" t="str">
        <f t="shared" si="20"/>
        <v>Kyabakara</v>
      </c>
      <c r="F1814" s="95">
        <v>1281</v>
      </c>
    </row>
    <row r="1815" spans="1:6">
      <c r="A1815" s="95" t="s">
        <v>2762</v>
      </c>
      <c r="B1815" s="95" t="s">
        <v>2756</v>
      </c>
      <c r="C1815" s="95" t="s">
        <v>49</v>
      </c>
      <c r="D1815" s="95" t="str">
        <f t="shared" si="20"/>
        <v>Magambo</v>
      </c>
      <c r="F1815" s="95">
        <v>1282</v>
      </c>
    </row>
    <row r="1816" spans="1:6">
      <c r="A1816" s="95" t="s">
        <v>2763</v>
      </c>
      <c r="B1816" s="95" t="s">
        <v>2756</v>
      </c>
      <c r="C1816" s="95" t="s">
        <v>49</v>
      </c>
      <c r="D1816" s="95" t="str">
        <f t="shared" si="20"/>
        <v>Rubiriziri Town Council</v>
      </c>
      <c r="F1816" s="95">
        <v>1283</v>
      </c>
    </row>
    <row r="1817" spans="1:6">
      <c r="A1817" s="95" t="s">
        <v>2764</v>
      </c>
      <c r="B1817" s="95" t="s">
        <v>2756</v>
      </c>
      <c r="C1817" s="95" t="s">
        <v>49</v>
      </c>
      <c r="D1817" s="95" t="str">
        <f t="shared" si="20"/>
        <v>Rutoto</v>
      </c>
      <c r="F1817" s="95">
        <v>1284</v>
      </c>
    </row>
    <row r="1818" spans="1:6">
      <c r="A1818" s="95" t="s">
        <v>2765</v>
      </c>
      <c r="B1818" s="95" t="s">
        <v>2756</v>
      </c>
      <c r="C1818" s="95" t="s">
        <v>49</v>
      </c>
      <c r="D1818" s="95" t="str">
        <f t="shared" ref="D1818:D1883" si="21">A1818</f>
        <v>Ryeru</v>
      </c>
      <c r="F1818" s="95">
        <v>1285</v>
      </c>
    </row>
    <row r="1819" spans="1:6">
      <c r="A1819" s="95" t="s">
        <v>2766</v>
      </c>
      <c r="B1819" s="95" t="s">
        <v>2767</v>
      </c>
      <c r="C1819" s="95" t="s">
        <v>2767</v>
      </c>
      <c r="D1819" s="95" t="str">
        <f t="shared" si="21"/>
        <v>Bukinda</v>
      </c>
      <c r="F1819" s="95">
        <v>1286</v>
      </c>
    </row>
    <row r="1820" spans="1:6">
      <c r="A1820" s="95" t="s">
        <v>2768</v>
      </c>
      <c r="B1820" s="95" t="s">
        <v>2767</v>
      </c>
      <c r="C1820" s="95" t="s">
        <v>2767</v>
      </c>
      <c r="D1820" s="95" t="str">
        <f t="shared" si="21"/>
        <v>Kamwezi</v>
      </c>
      <c r="F1820" s="95">
        <v>1287</v>
      </c>
    </row>
    <row r="1821" spans="1:6">
      <c r="A1821" s="95" t="s">
        <v>2769</v>
      </c>
      <c r="B1821" s="95" t="s">
        <v>2767</v>
      </c>
      <c r="C1821" s="95" t="s">
        <v>2767</v>
      </c>
      <c r="D1821" s="95" t="str">
        <f t="shared" si="21"/>
        <v>Kashambya</v>
      </c>
      <c r="F1821" s="95">
        <v>1288</v>
      </c>
    </row>
    <row r="1822" spans="1:6">
      <c r="A1822" s="95" t="s">
        <v>2770</v>
      </c>
      <c r="B1822" s="95" t="s">
        <v>2767</v>
      </c>
      <c r="C1822" s="95" t="s">
        <v>2767</v>
      </c>
      <c r="D1822" s="95" t="str">
        <f t="shared" si="21"/>
        <v>Mparo Town Council</v>
      </c>
      <c r="F1822" s="95">
        <v>1289</v>
      </c>
    </row>
    <row r="1823" spans="1:6">
      <c r="A1823" s="95" t="s">
        <v>2771</v>
      </c>
      <c r="B1823" s="95" t="s">
        <v>2767</v>
      </c>
      <c r="C1823" s="95" t="s">
        <v>2767</v>
      </c>
      <c r="D1823" s="95" t="str">
        <f t="shared" si="21"/>
        <v>Muhanga Town Council</v>
      </c>
      <c r="F1823" s="95">
        <v>1290</v>
      </c>
    </row>
    <row r="1824" spans="1:6">
      <c r="A1824" s="95" t="s">
        <v>2772</v>
      </c>
      <c r="B1824" s="95" t="s">
        <v>2767</v>
      </c>
      <c r="C1824" s="95" t="s">
        <v>2767</v>
      </c>
      <c r="D1824" s="95" t="str">
        <f t="shared" si="21"/>
        <v>Rwamucucu</v>
      </c>
      <c r="F1824" s="95">
        <v>1291</v>
      </c>
    </row>
    <row r="1825" spans="1:6">
      <c r="A1825" s="95" t="s">
        <v>2773</v>
      </c>
      <c r="B1825" s="95" t="s">
        <v>40</v>
      </c>
      <c r="C1825" s="95" t="s">
        <v>2774</v>
      </c>
      <c r="D1825" s="95" t="str">
        <f t="shared" si="21"/>
        <v>Bugangari</v>
      </c>
      <c r="F1825" s="95">
        <v>1292</v>
      </c>
    </row>
    <row r="1826" spans="1:6">
      <c r="A1826" s="95" t="s">
        <v>2775</v>
      </c>
      <c r="B1826" s="95" t="s">
        <v>40</v>
      </c>
      <c r="C1826" s="95" t="s">
        <v>2774</v>
      </c>
      <c r="D1826" s="95" t="str">
        <f t="shared" si="21"/>
        <v>Buhunga</v>
      </c>
      <c r="F1826" s="95">
        <v>1293</v>
      </c>
    </row>
    <row r="1827" spans="1:6">
      <c r="A1827" s="95" t="s">
        <v>2032</v>
      </c>
      <c r="B1827" s="95" t="s">
        <v>40</v>
      </c>
      <c r="C1827" s="95" t="s">
        <v>2776</v>
      </c>
      <c r="D1827" s="95" t="str">
        <f t="shared" si="21"/>
        <v>Buyanja</v>
      </c>
      <c r="F1827" s="95">
        <v>1294</v>
      </c>
    </row>
    <row r="1828" spans="1:6">
      <c r="A1828" s="95" t="s">
        <v>2777</v>
      </c>
      <c r="B1828" s="95" t="s">
        <v>40</v>
      </c>
      <c r="C1828" s="95" t="s">
        <v>2776</v>
      </c>
      <c r="D1828" s="95" t="str">
        <f t="shared" si="21"/>
        <v>Buyanja Town Council</v>
      </c>
      <c r="F1828" s="95">
        <v>1295</v>
      </c>
    </row>
    <row r="1829" spans="1:6">
      <c r="A1829" s="95" t="s">
        <v>2778</v>
      </c>
      <c r="B1829" s="95" t="s">
        <v>40</v>
      </c>
      <c r="C1829" s="95" t="s">
        <v>2774</v>
      </c>
      <c r="D1829" s="95" t="str">
        <f t="shared" si="21"/>
        <v>Bwambara</v>
      </c>
      <c r="F1829" s="95">
        <v>1296</v>
      </c>
    </row>
    <row r="1830" spans="1:6">
      <c r="A1830" s="95" t="s">
        <v>2779</v>
      </c>
      <c r="B1830" s="95" t="s">
        <v>40</v>
      </c>
      <c r="C1830" s="95" t="s">
        <v>2776</v>
      </c>
      <c r="D1830" s="95" t="str">
        <f t="shared" si="21"/>
        <v>Kebisoni</v>
      </c>
      <c r="F1830" s="95">
        <v>1297</v>
      </c>
    </row>
    <row r="1831" spans="1:6">
      <c r="A1831" s="95" t="s">
        <v>2780</v>
      </c>
      <c r="B1831" s="95" t="s">
        <v>40</v>
      </c>
      <c r="C1831" s="95" t="s">
        <v>2776</v>
      </c>
      <c r="D1831" s="95" t="str">
        <f t="shared" si="21"/>
        <v>Kebisoni Town Council</v>
      </c>
      <c r="F1831" s="95">
        <v>1298</v>
      </c>
    </row>
    <row r="1832" spans="1:6">
      <c r="A1832" s="95" t="s">
        <v>2781</v>
      </c>
      <c r="B1832" s="95" t="s">
        <v>40</v>
      </c>
      <c r="C1832" s="95" t="s">
        <v>2774</v>
      </c>
      <c r="D1832" s="95" t="str">
        <f t="shared" si="21"/>
        <v>Nyakagyeme</v>
      </c>
      <c r="F1832" s="95">
        <v>1299</v>
      </c>
    </row>
    <row r="1833" spans="1:6">
      <c r="A1833" s="95" t="s">
        <v>2782</v>
      </c>
      <c r="B1833" s="95" t="s">
        <v>40</v>
      </c>
      <c r="C1833" s="95" t="s">
        <v>2776</v>
      </c>
      <c r="D1833" s="95" t="str">
        <f t="shared" si="21"/>
        <v>Nyakishenyi</v>
      </c>
      <c r="F1833" s="95">
        <v>1300</v>
      </c>
    </row>
    <row r="1834" spans="1:6">
      <c r="A1834" s="95" t="s">
        <v>2783</v>
      </c>
      <c r="B1834" s="95" t="s">
        <v>40</v>
      </c>
      <c r="C1834" s="95" t="s">
        <v>2776</v>
      </c>
      <c r="D1834" s="95" t="str">
        <f t="shared" si="21"/>
        <v>Nyarushanje</v>
      </c>
      <c r="F1834" s="95">
        <v>1301</v>
      </c>
    </row>
    <row r="1835" spans="1:6">
      <c r="A1835" s="95" t="s">
        <v>2405</v>
      </c>
      <c r="B1835" s="95" t="s">
        <v>40</v>
      </c>
      <c r="C1835" s="95" t="s">
        <v>2774</v>
      </c>
      <c r="D1835" s="95" t="str">
        <f t="shared" si="21"/>
        <v>Ruhinda</v>
      </c>
      <c r="F1835" s="95">
        <v>1302</v>
      </c>
    </row>
    <row r="1836" spans="1:6">
      <c r="A1836" s="95" t="s">
        <v>2784</v>
      </c>
      <c r="B1836" s="95" t="s">
        <v>40</v>
      </c>
      <c r="C1836" s="95" t="s">
        <v>2784</v>
      </c>
      <c r="D1836" s="95" t="str">
        <f t="shared" si="21"/>
        <v>Rukungiri Municipality</v>
      </c>
      <c r="F1836" s="95">
        <v>1303</v>
      </c>
    </row>
    <row r="1837" spans="1:6">
      <c r="A1837" s="95" t="s">
        <v>2785</v>
      </c>
      <c r="B1837" s="95" t="s">
        <v>2786</v>
      </c>
      <c r="C1837" s="95" t="s">
        <v>2786</v>
      </c>
      <c r="D1837" s="95" t="str">
        <f t="shared" si="21"/>
        <v>Atiira</v>
      </c>
      <c r="F1837" s="95">
        <v>1304</v>
      </c>
    </row>
    <row r="1838" spans="1:6">
      <c r="A1838" s="95" t="s">
        <v>2787</v>
      </c>
      <c r="B1838" s="95" t="s">
        <v>2786</v>
      </c>
      <c r="C1838" s="95" t="s">
        <v>2788</v>
      </c>
      <c r="D1838" s="95" t="str">
        <f t="shared" si="21"/>
        <v>Bugondo</v>
      </c>
      <c r="F1838" s="95">
        <v>1305</v>
      </c>
    </row>
    <row r="1839" spans="1:6">
      <c r="A1839" s="95" t="s">
        <v>2789</v>
      </c>
      <c r="B1839" s="95" t="s">
        <v>2786</v>
      </c>
      <c r="C1839" s="95" t="s">
        <v>2788</v>
      </c>
      <c r="D1839" s="95" t="str">
        <f t="shared" si="21"/>
        <v>Kadungulu</v>
      </c>
      <c r="F1839" s="95">
        <v>1306</v>
      </c>
    </row>
    <row r="1840" spans="1:6">
      <c r="A1840" s="95" t="s">
        <v>2790</v>
      </c>
      <c r="B1840" s="95" t="s">
        <v>2786</v>
      </c>
      <c r="C1840" s="95" t="s">
        <v>2788</v>
      </c>
      <c r="D1840" s="95" t="str">
        <f t="shared" si="21"/>
        <v>Kasilo Town Council</v>
      </c>
      <c r="F1840" s="95">
        <v>1307</v>
      </c>
    </row>
    <row r="1841" spans="1:6">
      <c r="A1841" s="95" t="s">
        <v>2791</v>
      </c>
      <c r="B1841" s="95" t="s">
        <v>2786</v>
      </c>
      <c r="C1841" s="95" t="s">
        <v>2786</v>
      </c>
      <c r="D1841" s="95" t="str">
        <f t="shared" si="21"/>
        <v>Kateta</v>
      </c>
      <c r="F1841" s="95">
        <v>1308</v>
      </c>
    </row>
    <row r="1842" spans="1:6">
      <c r="A1842" s="95" t="s">
        <v>2792</v>
      </c>
      <c r="B1842" s="95" t="s">
        <v>2786</v>
      </c>
      <c r="C1842" s="95" t="s">
        <v>2786</v>
      </c>
      <c r="D1842" s="95" t="str">
        <f t="shared" si="21"/>
        <v>Kyere</v>
      </c>
      <c r="F1842" s="95">
        <v>1309</v>
      </c>
    </row>
    <row r="1843" spans="1:6">
      <c r="A1843" s="95" t="s">
        <v>2793</v>
      </c>
      <c r="B1843" s="95" t="s">
        <v>2786</v>
      </c>
      <c r="C1843" s="95" t="s">
        <v>2788</v>
      </c>
      <c r="D1843" s="95" t="str">
        <f t="shared" si="21"/>
        <v>Labori</v>
      </c>
      <c r="F1843" s="95">
        <v>1310</v>
      </c>
    </row>
    <row r="1844" spans="1:6">
      <c r="A1844" s="95" t="s">
        <v>2794</v>
      </c>
      <c r="B1844" s="95" t="s">
        <v>2786</v>
      </c>
      <c r="C1844" s="95" t="s">
        <v>2786</v>
      </c>
      <c r="D1844" s="95" t="str">
        <f t="shared" si="21"/>
        <v>Olio</v>
      </c>
      <c r="F1844" s="95">
        <v>1311</v>
      </c>
    </row>
    <row r="1845" spans="1:6">
      <c r="A1845" s="95" t="s">
        <v>2795</v>
      </c>
      <c r="B1845" s="95" t="s">
        <v>2786</v>
      </c>
      <c r="C1845" s="95" t="s">
        <v>2788</v>
      </c>
      <c r="D1845" s="95" t="str">
        <f t="shared" si="21"/>
        <v>Pingire</v>
      </c>
      <c r="F1845" s="95">
        <v>1312</v>
      </c>
    </row>
    <row r="1846" spans="1:6">
      <c r="A1846" s="95" t="s">
        <v>2796</v>
      </c>
      <c r="B1846" s="95" t="s">
        <v>2786</v>
      </c>
      <c r="C1846" s="95" t="s">
        <v>2786</v>
      </c>
      <c r="D1846" s="95" t="str">
        <f t="shared" si="21"/>
        <v>Serere Town Council</v>
      </c>
      <c r="F1846" s="95">
        <v>1313</v>
      </c>
    </row>
    <row r="1847" spans="1:6">
      <c r="A1847" s="95" t="s">
        <v>2797</v>
      </c>
      <c r="B1847" s="95" t="s">
        <v>41</v>
      </c>
      <c r="C1847" s="95" t="s">
        <v>41</v>
      </c>
      <c r="D1847" s="95" t="str">
        <f t="shared" si="21"/>
        <v>Bugongi Town Council</v>
      </c>
      <c r="F1847" s="95">
        <v>1314</v>
      </c>
    </row>
    <row r="1848" spans="1:6">
      <c r="A1848" s="95" t="s">
        <v>2798</v>
      </c>
      <c r="B1848" s="95" t="s">
        <v>41</v>
      </c>
      <c r="C1848" s="95" t="s">
        <v>2799</v>
      </c>
      <c r="D1848" s="95" t="str">
        <f t="shared" si="21"/>
        <v>Kagango Division-Sheema</v>
      </c>
      <c r="F1848" s="95">
        <v>1315</v>
      </c>
    </row>
    <row r="1849" spans="1:6">
      <c r="A1849" s="95" t="s">
        <v>2800</v>
      </c>
      <c r="B1849" s="95" t="s">
        <v>41</v>
      </c>
      <c r="C1849" s="95" t="s">
        <v>41</v>
      </c>
      <c r="D1849" s="95" t="str">
        <f t="shared" si="21"/>
        <v>Kakindo Town Council</v>
      </c>
      <c r="F1849" s="95">
        <v>1316</v>
      </c>
    </row>
    <row r="1850" spans="1:6">
      <c r="A1850" s="95" t="s">
        <v>2801</v>
      </c>
      <c r="D1850" s="95" t="str">
        <f t="shared" si="21"/>
        <v>Kabwohe</v>
      </c>
      <c r="F1850" s="95">
        <v>1316</v>
      </c>
    </row>
    <row r="1851" spans="1:6">
      <c r="A1851" s="95" t="s">
        <v>2802</v>
      </c>
      <c r="B1851" s="95" t="s">
        <v>41</v>
      </c>
      <c r="C1851" s="95" t="s">
        <v>41</v>
      </c>
      <c r="D1851" s="95" t="str">
        <f t="shared" si="21"/>
        <v>Kasaana</v>
      </c>
      <c r="F1851" s="95">
        <v>1317</v>
      </c>
    </row>
    <row r="1852" spans="1:6">
      <c r="A1852" s="95" t="s">
        <v>2803</v>
      </c>
      <c r="B1852" s="95" t="s">
        <v>41</v>
      </c>
      <c r="C1852" s="95" t="s">
        <v>41</v>
      </c>
      <c r="D1852" s="95" t="str">
        <f t="shared" si="21"/>
        <v>Kigarama</v>
      </c>
      <c r="F1852" s="95">
        <v>1318</v>
      </c>
    </row>
    <row r="1853" spans="1:6">
      <c r="A1853" s="95" t="s">
        <v>2804</v>
      </c>
      <c r="B1853" s="95" t="s">
        <v>41</v>
      </c>
      <c r="C1853" s="95" t="s">
        <v>41</v>
      </c>
      <c r="D1853" s="95" t="str">
        <f t="shared" si="21"/>
        <v>Kitagata</v>
      </c>
      <c r="F1853" s="95">
        <v>1319</v>
      </c>
    </row>
    <row r="1854" spans="1:6">
      <c r="A1854" s="95" t="s">
        <v>2805</v>
      </c>
      <c r="B1854" s="95" t="s">
        <v>41</v>
      </c>
      <c r="C1854" s="95" t="s">
        <v>41</v>
      </c>
      <c r="D1854" s="95" t="str">
        <f t="shared" si="21"/>
        <v>Kyangyenyi</v>
      </c>
      <c r="F1854" s="95">
        <v>1320</v>
      </c>
    </row>
    <row r="1855" spans="1:6">
      <c r="A1855" s="95" t="s">
        <v>2806</v>
      </c>
      <c r="B1855" s="95" t="s">
        <v>41</v>
      </c>
      <c r="C1855" s="95" t="s">
        <v>41</v>
      </c>
      <c r="D1855" s="95" t="str">
        <f t="shared" si="21"/>
        <v>Masheruka</v>
      </c>
      <c r="F1855" s="95">
        <v>1321</v>
      </c>
    </row>
    <row r="1856" spans="1:6">
      <c r="A1856" s="95" t="s">
        <v>2807</v>
      </c>
      <c r="B1856" s="95" t="s">
        <v>41</v>
      </c>
      <c r="C1856" s="95" t="s">
        <v>41</v>
      </c>
      <c r="D1856" s="95" t="str">
        <f t="shared" si="21"/>
        <v>Rugarama-Sheema</v>
      </c>
      <c r="F1856" s="95">
        <v>1322</v>
      </c>
    </row>
    <row r="1857" spans="1:6">
      <c r="A1857" s="95" t="s">
        <v>2799</v>
      </c>
      <c r="B1857" s="95" t="s">
        <v>41</v>
      </c>
      <c r="C1857" s="95" t="s">
        <v>2799</v>
      </c>
      <c r="D1857" s="95" t="str">
        <f t="shared" si="21"/>
        <v>Sheema Municipality</v>
      </c>
      <c r="F1857" s="95">
        <v>1323</v>
      </c>
    </row>
    <row r="1858" spans="1:6">
      <c r="A1858" s="95" t="s">
        <v>2808</v>
      </c>
      <c r="D1858" s="95" t="str">
        <f t="shared" si="21"/>
        <v>SHEEMA</v>
      </c>
      <c r="F1858" s="95">
        <v>1323</v>
      </c>
    </row>
    <row r="1859" spans="1:6">
      <c r="A1859" s="95" t="s">
        <v>2809</v>
      </c>
      <c r="B1859" s="95" t="s">
        <v>41</v>
      </c>
      <c r="C1859" s="95" t="s">
        <v>41</v>
      </c>
      <c r="D1859" s="95" t="str">
        <f t="shared" si="21"/>
        <v>Shuuku</v>
      </c>
      <c r="F1859" s="95">
        <v>1324</v>
      </c>
    </row>
    <row r="1860" spans="1:6">
      <c r="A1860" s="95" t="s">
        <v>2810</v>
      </c>
      <c r="B1860" s="95" t="s">
        <v>41</v>
      </c>
      <c r="C1860" s="95" t="s">
        <v>41</v>
      </c>
      <c r="D1860" s="95" t="str">
        <f t="shared" si="21"/>
        <v>Shuuku Town Council</v>
      </c>
      <c r="F1860" s="95">
        <v>1325</v>
      </c>
    </row>
    <row r="1861" spans="1:6">
      <c r="A1861" s="95" t="s">
        <v>2811</v>
      </c>
      <c r="B1861" s="95" t="s">
        <v>2812</v>
      </c>
      <c r="C1861" s="95" t="s">
        <v>2813</v>
      </c>
      <c r="D1861" s="95" t="str">
        <f t="shared" si="21"/>
        <v>Budadiri Town Council</v>
      </c>
      <c r="F1861" s="95">
        <v>1326</v>
      </c>
    </row>
    <row r="1862" spans="1:6">
      <c r="A1862" s="95" t="s">
        <v>2814</v>
      </c>
      <c r="B1862" s="95" t="s">
        <v>2812</v>
      </c>
      <c r="C1862" s="95" t="s">
        <v>2813</v>
      </c>
      <c r="D1862" s="95" t="str">
        <f t="shared" si="21"/>
        <v>Bugitimwa</v>
      </c>
      <c r="F1862" s="95">
        <v>1327</v>
      </c>
    </row>
    <row r="1863" spans="1:6">
      <c r="A1863" s="95" t="s">
        <v>2815</v>
      </c>
      <c r="B1863" s="95" t="s">
        <v>2812</v>
      </c>
      <c r="C1863" s="95" t="s">
        <v>2813</v>
      </c>
      <c r="D1863" s="95" t="str">
        <f t="shared" si="21"/>
        <v>Buhugu</v>
      </c>
      <c r="F1863" s="95">
        <v>1328</v>
      </c>
    </row>
    <row r="1864" spans="1:6">
      <c r="A1864" s="95" t="s">
        <v>2816</v>
      </c>
      <c r="B1864" s="95" t="s">
        <v>2812</v>
      </c>
      <c r="C1864" s="95" t="s">
        <v>2813</v>
      </c>
      <c r="D1864" s="95" t="str">
        <f t="shared" si="21"/>
        <v>Bukhulo</v>
      </c>
      <c r="F1864" s="95">
        <v>1329</v>
      </c>
    </row>
    <row r="1865" spans="1:6">
      <c r="A1865" s="95" t="s">
        <v>2817</v>
      </c>
      <c r="B1865" s="95" t="s">
        <v>2812</v>
      </c>
      <c r="C1865" s="95" t="s">
        <v>2813</v>
      </c>
      <c r="D1865" s="95" t="str">
        <f t="shared" si="21"/>
        <v>Bukiise</v>
      </c>
      <c r="F1865" s="95">
        <v>1330</v>
      </c>
    </row>
    <row r="1866" spans="1:6">
      <c r="A1866" s="95" t="s">
        <v>2818</v>
      </c>
      <c r="B1866" s="95" t="s">
        <v>2812</v>
      </c>
      <c r="C1866" s="95" t="s">
        <v>2813</v>
      </c>
      <c r="D1866" s="95" t="str">
        <f t="shared" si="21"/>
        <v>Bukiyi</v>
      </c>
      <c r="F1866" s="95">
        <v>1331</v>
      </c>
    </row>
    <row r="1867" spans="1:6">
      <c r="A1867" s="95" t="s">
        <v>2819</v>
      </c>
      <c r="B1867" s="95" t="s">
        <v>2812</v>
      </c>
      <c r="C1867" s="95" t="s">
        <v>2813</v>
      </c>
      <c r="D1867" s="95" t="str">
        <f t="shared" si="21"/>
        <v>Bukyabo</v>
      </c>
      <c r="F1867" s="95">
        <v>1332</v>
      </c>
    </row>
    <row r="1868" spans="1:6">
      <c r="A1868" s="95" t="s">
        <v>2820</v>
      </c>
      <c r="B1868" s="95" t="s">
        <v>2812</v>
      </c>
      <c r="C1868" s="95" t="s">
        <v>2813</v>
      </c>
      <c r="D1868" s="95" t="str">
        <f t="shared" si="21"/>
        <v>Bukyambi</v>
      </c>
      <c r="F1868" s="95">
        <v>1333</v>
      </c>
    </row>
    <row r="1869" spans="1:6">
      <c r="A1869" s="95" t="s">
        <v>2821</v>
      </c>
      <c r="B1869" s="95" t="s">
        <v>2812</v>
      </c>
      <c r="C1869" s="95" t="s">
        <v>2813</v>
      </c>
      <c r="D1869" s="95" t="str">
        <f t="shared" si="21"/>
        <v>Bumalimba</v>
      </c>
      <c r="F1869" s="95">
        <v>1334</v>
      </c>
    </row>
    <row r="1870" spans="1:6">
      <c r="A1870" s="95" t="s">
        <v>2822</v>
      </c>
      <c r="B1870" s="95" t="s">
        <v>2812</v>
      </c>
      <c r="C1870" s="95" t="s">
        <v>2813</v>
      </c>
      <c r="D1870" s="95" t="str">
        <f t="shared" si="21"/>
        <v>Bumasifwa</v>
      </c>
      <c r="F1870" s="95">
        <v>1335</v>
      </c>
    </row>
    <row r="1871" spans="1:6">
      <c r="A1871" s="95" t="s">
        <v>2823</v>
      </c>
      <c r="B1871" s="95" t="s">
        <v>2812</v>
      </c>
      <c r="C1871" s="95" t="s">
        <v>2813</v>
      </c>
      <c r="D1871" s="95" t="str">
        <f t="shared" si="21"/>
        <v>Bunyafa</v>
      </c>
      <c r="F1871" s="95">
        <v>1336</v>
      </c>
    </row>
    <row r="1872" spans="1:6">
      <c r="A1872" s="95" t="s">
        <v>2824</v>
      </c>
      <c r="B1872" s="95" t="s">
        <v>2812</v>
      </c>
      <c r="C1872" s="95" t="s">
        <v>2813</v>
      </c>
      <c r="D1872" s="95" t="str">
        <f t="shared" si="21"/>
        <v>Busulani</v>
      </c>
      <c r="F1872" s="95">
        <v>1337</v>
      </c>
    </row>
    <row r="1873" spans="1:6">
      <c r="A1873" s="95" t="s">
        <v>2825</v>
      </c>
      <c r="B1873" s="95" t="s">
        <v>2812</v>
      </c>
      <c r="C1873" s="95" t="s">
        <v>2813</v>
      </c>
      <c r="D1873" s="95" t="str">
        <f t="shared" si="21"/>
        <v>Butandiga</v>
      </c>
      <c r="F1873" s="95">
        <v>1338</v>
      </c>
    </row>
    <row r="1874" spans="1:6">
      <c r="A1874" s="95" t="s">
        <v>2826</v>
      </c>
      <c r="B1874" s="95" t="s">
        <v>2812</v>
      </c>
      <c r="C1874" s="95" t="s">
        <v>2813</v>
      </c>
      <c r="D1874" s="95" t="str">
        <f t="shared" si="21"/>
        <v>Buteza</v>
      </c>
      <c r="F1874" s="95">
        <v>1339</v>
      </c>
    </row>
    <row r="1875" spans="1:6">
      <c r="A1875" s="95" t="s">
        <v>2827</v>
      </c>
      <c r="B1875" s="95" t="s">
        <v>2812</v>
      </c>
      <c r="C1875" s="95" t="s">
        <v>2813</v>
      </c>
      <c r="D1875" s="95" t="str">
        <f t="shared" si="21"/>
        <v>Buwalasi</v>
      </c>
      <c r="F1875" s="95">
        <v>1340</v>
      </c>
    </row>
    <row r="1876" spans="1:6">
      <c r="A1876" s="95" t="s">
        <v>2828</v>
      </c>
      <c r="B1876" s="95" t="s">
        <v>2812</v>
      </c>
      <c r="C1876" s="95" t="s">
        <v>2813</v>
      </c>
      <c r="D1876" s="95" t="str">
        <f t="shared" si="21"/>
        <v>Buwasa</v>
      </c>
      <c r="F1876" s="95">
        <v>1341</v>
      </c>
    </row>
    <row r="1877" spans="1:6">
      <c r="A1877" s="95" t="s">
        <v>2829</v>
      </c>
      <c r="B1877" s="95" t="s">
        <v>2812</v>
      </c>
      <c r="C1877" s="95" t="s">
        <v>2813</v>
      </c>
      <c r="D1877" s="95" t="str">
        <f t="shared" si="21"/>
        <v>Buyobo</v>
      </c>
      <c r="F1877" s="95">
        <v>1342</v>
      </c>
    </row>
    <row r="1878" spans="1:6">
      <c r="A1878" s="95" t="s">
        <v>2830</v>
      </c>
      <c r="B1878" s="95" t="s">
        <v>2812</v>
      </c>
      <c r="C1878" s="95" t="s">
        <v>2813</v>
      </c>
      <c r="D1878" s="95" t="str">
        <f t="shared" si="21"/>
        <v>Masaba-Sironko</v>
      </c>
      <c r="F1878" s="95">
        <v>1343</v>
      </c>
    </row>
    <row r="1879" spans="1:6">
      <c r="A1879" s="95" t="s">
        <v>2831</v>
      </c>
      <c r="B1879" s="95" t="s">
        <v>2812</v>
      </c>
      <c r="C1879" s="95" t="s">
        <v>2813</v>
      </c>
      <c r="D1879" s="95" t="str">
        <f t="shared" si="21"/>
        <v>Nalusala</v>
      </c>
      <c r="F1879" s="95">
        <v>1344</v>
      </c>
    </row>
    <row r="1880" spans="1:6">
      <c r="A1880" s="95" t="s">
        <v>2832</v>
      </c>
      <c r="B1880" s="95" t="s">
        <v>2812</v>
      </c>
      <c r="C1880" s="95" t="s">
        <v>2813</v>
      </c>
      <c r="D1880" s="95" t="str">
        <f t="shared" si="21"/>
        <v>Sironko Town Council</v>
      </c>
      <c r="F1880" s="95">
        <v>1345</v>
      </c>
    </row>
    <row r="1881" spans="1:6">
      <c r="A1881" s="95" t="s">
        <v>2833</v>
      </c>
      <c r="B1881" s="95" t="s">
        <v>2812</v>
      </c>
      <c r="C1881" s="95" t="s">
        <v>2813</v>
      </c>
      <c r="D1881" s="95" t="str">
        <f t="shared" si="21"/>
        <v>Zesui</v>
      </c>
      <c r="F1881" s="95">
        <v>1346</v>
      </c>
    </row>
    <row r="1882" spans="1:6">
      <c r="A1882" s="95" t="s">
        <v>2834</v>
      </c>
      <c r="B1882" s="95" t="s">
        <v>2835</v>
      </c>
      <c r="C1882" s="95" t="s">
        <v>2835</v>
      </c>
      <c r="D1882" s="95" t="str">
        <f t="shared" si="21"/>
        <v>Arapai</v>
      </c>
      <c r="F1882" s="95">
        <v>1347</v>
      </c>
    </row>
    <row r="1883" spans="1:6">
      <c r="A1883" s="95" t="s">
        <v>2836</v>
      </c>
      <c r="B1883" s="95" t="s">
        <v>2835</v>
      </c>
      <c r="C1883" s="95" t="s">
        <v>2835</v>
      </c>
      <c r="D1883" s="95" t="str">
        <f t="shared" si="21"/>
        <v>Asuret</v>
      </c>
      <c r="F1883" s="95">
        <v>1348</v>
      </c>
    </row>
    <row r="1884" spans="1:6">
      <c r="A1884" s="95" t="s">
        <v>2837</v>
      </c>
      <c r="B1884" s="95" t="s">
        <v>2835</v>
      </c>
      <c r="C1884" s="95" t="s">
        <v>2835</v>
      </c>
      <c r="D1884" s="95" t="str">
        <f t="shared" ref="D1884:D2058" si="22">A1884</f>
        <v>Gweri</v>
      </c>
      <c r="F1884" s="95">
        <v>1349</v>
      </c>
    </row>
    <row r="1885" spans="1:6">
      <c r="A1885" s="95" t="s">
        <v>2838</v>
      </c>
      <c r="B1885" s="95" t="s">
        <v>2835</v>
      </c>
      <c r="C1885" s="95" t="s">
        <v>2835</v>
      </c>
      <c r="D1885" s="95" t="str">
        <f t="shared" si="22"/>
        <v>Kamuda</v>
      </c>
      <c r="F1885" s="95">
        <v>1350</v>
      </c>
    </row>
    <row r="1886" spans="1:6">
      <c r="A1886" s="95" t="s">
        <v>2839</v>
      </c>
      <c r="B1886" s="95" t="s">
        <v>2835</v>
      </c>
      <c r="C1886" s="95" t="s">
        <v>2835</v>
      </c>
      <c r="D1886" s="95" t="str">
        <f t="shared" si="22"/>
        <v>Katine</v>
      </c>
      <c r="F1886" s="95">
        <v>1351</v>
      </c>
    </row>
    <row r="1887" spans="1:6">
      <c r="A1887" s="95" t="s">
        <v>2835</v>
      </c>
      <c r="B1887" s="95" t="s">
        <v>2835</v>
      </c>
      <c r="C1887" s="95" t="s">
        <v>2835</v>
      </c>
      <c r="D1887" s="95" t="str">
        <f t="shared" si="22"/>
        <v>Soroti</v>
      </c>
      <c r="F1887" s="95">
        <v>1352</v>
      </c>
    </row>
    <row r="1888" spans="1:6">
      <c r="A1888" s="95" t="s">
        <v>2840</v>
      </c>
      <c r="B1888" s="95" t="s">
        <v>2835</v>
      </c>
      <c r="C1888" s="95" t="s">
        <v>2840</v>
      </c>
      <c r="D1888" s="95" t="str">
        <f t="shared" si="22"/>
        <v>Soroti Municipality</v>
      </c>
      <c r="F1888" s="95">
        <v>1353</v>
      </c>
    </row>
    <row r="1889" spans="1:6">
      <c r="A1889" s="95" t="s">
        <v>2841</v>
      </c>
      <c r="D1889" s="95" t="str">
        <f t="shared" si="22"/>
        <v>Soroti town</v>
      </c>
      <c r="F1889" s="95">
        <v>1353</v>
      </c>
    </row>
    <row r="1890" spans="1:6">
      <c r="A1890" s="95" t="s">
        <v>2842</v>
      </c>
      <c r="B1890" s="95" t="s">
        <v>2835</v>
      </c>
      <c r="C1890" s="95" t="s">
        <v>2835</v>
      </c>
      <c r="D1890" s="95" t="str">
        <f t="shared" si="22"/>
        <v>Tubur</v>
      </c>
      <c r="F1890" s="95">
        <v>1354</v>
      </c>
    </row>
    <row r="1891" spans="1:6">
      <c r="A1891" s="95" t="s">
        <v>2843</v>
      </c>
      <c r="B1891" s="95" t="s">
        <v>2844</v>
      </c>
      <c r="C1891" s="95" t="s">
        <v>2845</v>
      </c>
      <c r="D1891" s="95" t="str">
        <f t="shared" si="22"/>
        <v>Lugusulu</v>
      </c>
      <c r="F1891" s="95">
        <v>1355</v>
      </c>
    </row>
    <row r="1892" spans="1:6">
      <c r="A1892" s="95" t="s">
        <v>2846</v>
      </c>
      <c r="B1892" s="95" t="s">
        <v>2844</v>
      </c>
      <c r="C1892" s="95" t="s">
        <v>2845</v>
      </c>
      <c r="D1892" s="95" t="str">
        <f t="shared" si="22"/>
        <v>Lwebitakuli</v>
      </c>
      <c r="F1892" s="95">
        <v>1356</v>
      </c>
    </row>
    <row r="1893" spans="1:6">
      <c r="A1893" s="95" t="s">
        <v>2847</v>
      </c>
      <c r="B1893" s="95" t="s">
        <v>2844</v>
      </c>
      <c r="C1893" s="95" t="s">
        <v>2847</v>
      </c>
      <c r="D1893" s="95" t="str">
        <f t="shared" si="22"/>
        <v>Lwemiyaga</v>
      </c>
      <c r="F1893" s="95">
        <v>1357</v>
      </c>
    </row>
    <row r="1894" spans="1:6">
      <c r="A1894" s="95" t="s">
        <v>2848</v>
      </c>
      <c r="B1894" s="95" t="s">
        <v>2844</v>
      </c>
      <c r="C1894" s="95" t="s">
        <v>2845</v>
      </c>
      <c r="D1894" s="95" t="str">
        <f t="shared" si="22"/>
        <v>Mateete</v>
      </c>
      <c r="F1894" s="95">
        <v>1358</v>
      </c>
    </row>
    <row r="1895" spans="1:6">
      <c r="A1895" s="95" t="s">
        <v>2849</v>
      </c>
      <c r="B1895" s="95" t="s">
        <v>2844</v>
      </c>
      <c r="C1895" s="95" t="s">
        <v>2845</v>
      </c>
      <c r="D1895" s="95" t="str">
        <f t="shared" si="22"/>
        <v>Mateete Town Council</v>
      </c>
      <c r="F1895" s="95">
        <v>1359</v>
      </c>
    </row>
    <row r="1896" spans="1:6">
      <c r="A1896" s="95" t="s">
        <v>2850</v>
      </c>
      <c r="B1896" s="95" t="s">
        <v>2844</v>
      </c>
      <c r="C1896" s="95" t="s">
        <v>2845</v>
      </c>
      <c r="D1896" s="95" t="str">
        <f t="shared" si="22"/>
        <v>Mijwala</v>
      </c>
      <c r="F1896" s="95">
        <v>1360</v>
      </c>
    </row>
    <row r="1897" spans="1:6">
      <c r="A1897" s="95" t="s">
        <v>2851</v>
      </c>
      <c r="B1897" s="95" t="s">
        <v>2844</v>
      </c>
      <c r="C1897" s="95" t="s">
        <v>2847</v>
      </c>
      <c r="D1897" s="95" t="str">
        <f t="shared" si="22"/>
        <v>Ntuusi</v>
      </c>
      <c r="F1897" s="95">
        <v>1361</v>
      </c>
    </row>
    <row r="1898" spans="1:6">
      <c r="A1898" s="95" t="s">
        <v>2852</v>
      </c>
      <c r="B1898" s="95" t="s">
        <v>2844</v>
      </c>
      <c r="C1898" s="95" t="s">
        <v>2845</v>
      </c>
      <c r="D1898" s="95" t="str">
        <f t="shared" si="22"/>
        <v>Sembabule Town Council</v>
      </c>
      <c r="F1898" s="95">
        <v>1362</v>
      </c>
    </row>
    <row r="1899" spans="1:6">
      <c r="A1899" s="95" t="s">
        <v>2844</v>
      </c>
      <c r="D1899" s="95" t="str">
        <f t="shared" si="22"/>
        <v>Ssembabule</v>
      </c>
      <c r="F1899" s="95">
        <v>1362</v>
      </c>
    </row>
    <row r="1900" spans="1:6">
      <c r="A1900" s="95" t="s">
        <v>2853</v>
      </c>
      <c r="D1900" s="95" t="str">
        <f t="shared" si="22"/>
        <v>Ganda</v>
      </c>
      <c r="F1900" s="95">
        <v>1362</v>
      </c>
    </row>
    <row r="1901" spans="1:6">
      <c r="A1901" s="95" t="s">
        <v>2854</v>
      </c>
      <c r="D1901" s="95" t="str">
        <f t="shared" si="22"/>
        <v>Gganda</v>
      </c>
      <c r="F1901" s="95">
        <v>1362</v>
      </c>
    </row>
    <row r="1902" spans="1:6">
      <c r="A1902" s="95" t="s">
        <v>2855</v>
      </c>
      <c r="B1902" s="95" t="s">
        <v>2856</v>
      </c>
      <c r="C1902" s="95" t="s">
        <v>2857</v>
      </c>
      <c r="D1902" s="95" t="str">
        <f t="shared" si="22"/>
        <v>Iyolwa</v>
      </c>
      <c r="F1902" s="95">
        <v>1363</v>
      </c>
    </row>
    <row r="1903" spans="1:6">
      <c r="A1903" s="95" t="s">
        <v>2858</v>
      </c>
      <c r="B1903" s="95" t="s">
        <v>2856</v>
      </c>
      <c r="C1903" s="95" t="s">
        <v>2857</v>
      </c>
      <c r="D1903" s="95" t="str">
        <f t="shared" si="22"/>
        <v>Kirewa</v>
      </c>
      <c r="F1903" s="95">
        <v>1364</v>
      </c>
    </row>
    <row r="1904" spans="1:6">
      <c r="A1904" s="95" t="s">
        <v>2859</v>
      </c>
      <c r="B1904" s="95" t="s">
        <v>2856</v>
      </c>
      <c r="C1904" s="95" t="s">
        <v>2857</v>
      </c>
      <c r="D1904" s="95" t="str">
        <f t="shared" si="22"/>
        <v>Kisoko</v>
      </c>
      <c r="F1904" s="95">
        <v>1365</v>
      </c>
    </row>
    <row r="1905" spans="1:6">
      <c r="A1905" s="95" t="s">
        <v>2860</v>
      </c>
      <c r="B1905" s="95" t="s">
        <v>2856</v>
      </c>
      <c r="C1905" s="95" t="s">
        <v>2856</v>
      </c>
      <c r="D1905" s="95" t="str">
        <f t="shared" si="22"/>
        <v>Kwapa</v>
      </c>
      <c r="F1905" s="95">
        <v>1366</v>
      </c>
    </row>
    <row r="1906" spans="1:6">
      <c r="A1906" s="95" t="s">
        <v>2861</v>
      </c>
      <c r="B1906" s="95" t="s">
        <v>2856</v>
      </c>
      <c r="C1906" s="95" t="s">
        <v>2857</v>
      </c>
      <c r="D1906" s="95" t="str">
        <f t="shared" si="22"/>
        <v>Magola</v>
      </c>
      <c r="F1906" s="95">
        <v>1367</v>
      </c>
    </row>
    <row r="1907" spans="1:6">
      <c r="A1907" s="95" t="s">
        <v>2862</v>
      </c>
      <c r="B1907" s="95" t="s">
        <v>2856</v>
      </c>
      <c r="C1907" s="95" t="s">
        <v>2856</v>
      </c>
      <c r="D1907" s="95" t="str">
        <f t="shared" si="22"/>
        <v>Malaba Town Council</v>
      </c>
      <c r="F1907" s="95">
        <v>1368</v>
      </c>
    </row>
    <row r="1908" spans="1:6">
      <c r="A1908" s="95" t="s">
        <v>2863</v>
      </c>
      <c r="B1908" s="95" t="s">
        <v>2856</v>
      </c>
      <c r="C1908" s="95" t="s">
        <v>2856</v>
      </c>
      <c r="D1908" s="95" t="str">
        <f t="shared" si="22"/>
        <v>Mella</v>
      </c>
      <c r="F1908" s="95">
        <v>1369</v>
      </c>
    </row>
    <row r="1909" spans="1:6">
      <c r="A1909" s="95" t="s">
        <v>2864</v>
      </c>
      <c r="B1909" s="95" t="s">
        <v>2856</v>
      </c>
      <c r="C1909" s="95" t="s">
        <v>2856</v>
      </c>
      <c r="D1909" s="95" t="str">
        <f t="shared" si="22"/>
        <v>Merikit</v>
      </c>
      <c r="F1909" s="95">
        <v>1370</v>
      </c>
    </row>
    <row r="1910" spans="1:6">
      <c r="A1910" s="95" t="s">
        <v>2865</v>
      </c>
      <c r="B1910" s="95" t="s">
        <v>2856</v>
      </c>
      <c r="C1910" s="95" t="s">
        <v>2856</v>
      </c>
      <c r="D1910" s="95" t="str">
        <f t="shared" si="22"/>
        <v>Molo</v>
      </c>
      <c r="F1910" s="95">
        <v>1371</v>
      </c>
    </row>
    <row r="1911" spans="1:6">
      <c r="A1911" s="95" t="s">
        <v>2866</v>
      </c>
      <c r="B1911" s="95" t="s">
        <v>2856</v>
      </c>
      <c r="C1911" s="95" t="s">
        <v>2856</v>
      </c>
      <c r="D1911" s="95" t="str">
        <f t="shared" si="22"/>
        <v>Mukuju</v>
      </c>
      <c r="F1911" s="95">
        <v>1372</v>
      </c>
    </row>
    <row r="1912" spans="1:6">
      <c r="A1912" s="95" t="s">
        <v>2867</v>
      </c>
      <c r="B1912" s="95" t="s">
        <v>2856</v>
      </c>
      <c r="C1912" s="95" t="s">
        <v>2857</v>
      </c>
      <c r="D1912" s="95" t="str">
        <f t="shared" si="22"/>
        <v>Mulanda</v>
      </c>
      <c r="F1912" s="95">
        <v>1373</v>
      </c>
    </row>
    <row r="1913" spans="1:6">
      <c r="A1913" s="95" t="s">
        <v>2868</v>
      </c>
      <c r="B1913" s="95" t="s">
        <v>2856</v>
      </c>
      <c r="C1913" s="95" t="s">
        <v>2857</v>
      </c>
      <c r="D1913" s="95" t="str">
        <f t="shared" si="22"/>
        <v>Nabuyoga</v>
      </c>
      <c r="F1913" s="95">
        <v>1374</v>
      </c>
    </row>
    <row r="1914" spans="1:6">
      <c r="A1914" s="95" t="s">
        <v>2869</v>
      </c>
      <c r="B1914" s="95" t="s">
        <v>2856</v>
      </c>
      <c r="C1914" s="95" t="s">
        <v>2857</v>
      </c>
      <c r="D1914" s="95" t="str">
        <f t="shared" si="22"/>
        <v>Nagongera</v>
      </c>
      <c r="F1914" s="95">
        <v>1375</v>
      </c>
    </row>
    <row r="1915" spans="1:6">
      <c r="A1915" s="95" t="s">
        <v>2870</v>
      </c>
      <c r="B1915" s="95" t="s">
        <v>2856</v>
      </c>
      <c r="C1915" s="95" t="s">
        <v>2857</v>
      </c>
      <c r="D1915" s="95" t="str">
        <f t="shared" si="22"/>
        <v>Nagongera Town Council</v>
      </c>
      <c r="F1915" s="95">
        <v>1376</v>
      </c>
    </row>
    <row r="1916" spans="1:6">
      <c r="A1916" s="95" t="s">
        <v>2871</v>
      </c>
      <c r="B1916" s="95" t="s">
        <v>2856</v>
      </c>
      <c r="C1916" s="95" t="s">
        <v>2856</v>
      </c>
      <c r="D1916" s="95" t="str">
        <f t="shared" si="22"/>
        <v>Osukuru</v>
      </c>
      <c r="F1916" s="95">
        <v>1377</v>
      </c>
    </row>
    <row r="1917" spans="1:6">
      <c r="A1917" s="95" t="s">
        <v>2872</v>
      </c>
      <c r="B1917" s="95" t="s">
        <v>2856</v>
      </c>
      <c r="C1917" s="95" t="s">
        <v>2857</v>
      </c>
      <c r="D1917" s="95" t="str">
        <f t="shared" si="22"/>
        <v>Paya</v>
      </c>
      <c r="F1917" s="95">
        <v>1378</v>
      </c>
    </row>
    <row r="1918" spans="1:6">
      <c r="A1918" s="95" t="s">
        <v>2873</v>
      </c>
      <c r="B1918" s="95" t="s">
        <v>2856</v>
      </c>
      <c r="C1918" s="95" t="s">
        <v>2857</v>
      </c>
      <c r="D1918" s="95" t="str">
        <f t="shared" si="22"/>
        <v>Petta</v>
      </c>
      <c r="F1918" s="95">
        <v>1379</v>
      </c>
    </row>
    <row r="1919" spans="1:6">
      <c r="A1919" s="95" t="s">
        <v>2874</v>
      </c>
      <c r="B1919" s="95" t="s">
        <v>2856</v>
      </c>
      <c r="C1919" s="95" t="s">
        <v>2857</v>
      </c>
      <c r="D1919" s="95" t="str">
        <f t="shared" si="22"/>
        <v>Rubongi</v>
      </c>
      <c r="F1919" s="95">
        <v>1380</v>
      </c>
    </row>
    <row r="1920" spans="1:6">
      <c r="A1920" s="95" t="s">
        <v>2875</v>
      </c>
      <c r="B1920" s="95" t="s">
        <v>2856</v>
      </c>
      <c r="C1920" s="95" t="s">
        <v>2857</v>
      </c>
      <c r="D1920" s="95" t="str">
        <f t="shared" si="22"/>
        <v>Sop-Sop</v>
      </c>
      <c r="F1920" s="95">
        <v>1381</v>
      </c>
    </row>
    <row r="1921" spans="1:6">
      <c r="A1921" s="95" t="s">
        <v>2876</v>
      </c>
      <c r="B1921" s="95" t="s">
        <v>2856</v>
      </c>
      <c r="C1921" s="95" t="s">
        <v>2876</v>
      </c>
      <c r="D1921" s="95" t="str">
        <f t="shared" si="22"/>
        <v>Tororo Municipality</v>
      </c>
      <c r="F1921" s="95">
        <v>1382</v>
      </c>
    </row>
    <row r="1922" spans="1:6">
      <c r="A1922" s="95" t="s">
        <v>2877</v>
      </c>
      <c r="D1922" s="95" t="str">
        <f t="shared" si="22"/>
        <v>Tororo town</v>
      </c>
      <c r="F1922" s="95">
        <v>1382</v>
      </c>
    </row>
    <row r="1923" spans="1:6">
      <c r="A1923" s="95" t="s">
        <v>2856</v>
      </c>
      <c r="D1923" s="95" t="str">
        <f t="shared" si="22"/>
        <v>Tororo</v>
      </c>
      <c r="F1923" s="95">
        <v>1382</v>
      </c>
    </row>
    <row r="1924" spans="1:6">
      <c r="A1924" s="95" t="s">
        <v>2878</v>
      </c>
      <c r="B1924" s="95" t="s">
        <v>2879</v>
      </c>
      <c r="C1924" s="95" t="s">
        <v>2880</v>
      </c>
      <c r="D1924" s="95" t="str">
        <f t="shared" si="22"/>
        <v>Bunamwaya</v>
      </c>
      <c r="F1924" s="95">
        <v>1383</v>
      </c>
    </row>
    <row r="1925" spans="1:6">
      <c r="A1925" s="95" t="s">
        <v>399</v>
      </c>
      <c r="F1925" s="95">
        <v>1383</v>
      </c>
    </row>
    <row r="1926" spans="1:6">
      <c r="A1926" s="95" t="s">
        <v>2881</v>
      </c>
      <c r="B1926" s="95" t="s">
        <v>2879</v>
      </c>
      <c r="C1926" s="95" t="s">
        <v>2882</v>
      </c>
      <c r="D1926" s="95" t="str">
        <f t="shared" si="22"/>
        <v>Bussi</v>
      </c>
      <c r="F1926" s="95">
        <v>1384</v>
      </c>
    </row>
    <row r="1927" spans="1:6">
      <c r="A1927" s="95" t="s">
        <v>2883</v>
      </c>
      <c r="B1927" s="95" t="s">
        <v>2879</v>
      </c>
      <c r="C1927" s="95" t="s">
        <v>2884</v>
      </c>
      <c r="D1927" s="95" t="str">
        <f t="shared" si="22"/>
        <v>Busukuma</v>
      </c>
      <c r="F1927" s="95">
        <v>1385</v>
      </c>
    </row>
    <row r="1928" spans="1:6">
      <c r="A1928" s="95" t="s">
        <v>28</v>
      </c>
      <c r="B1928" s="95" t="s">
        <v>2879</v>
      </c>
      <c r="C1928" s="95" t="s">
        <v>2885</v>
      </c>
      <c r="D1928" s="95" t="str">
        <f t="shared" si="22"/>
        <v>Bweyogerere</v>
      </c>
      <c r="F1928" s="95">
        <v>1386</v>
      </c>
    </row>
    <row r="1929" spans="1:6">
      <c r="A1929" s="95" t="s">
        <v>2886</v>
      </c>
      <c r="F1929" s="95">
        <v>1386</v>
      </c>
    </row>
    <row r="1930" spans="1:6">
      <c r="A1930" s="95" t="s">
        <v>2887</v>
      </c>
      <c r="F1930" s="95">
        <v>1386</v>
      </c>
    </row>
    <row r="1931" spans="1:6">
      <c r="A1931" s="95" t="s">
        <v>2888</v>
      </c>
      <c r="F1931" s="95">
        <v>1386</v>
      </c>
    </row>
    <row r="1932" spans="1:6">
      <c r="A1932" s="95" t="s">
        <v>2889</v>
      </c>
      <c r="F1932" s="95">
        <v>1386</v>
      </c>
    </row>
    <row r="1933" spans="1:6">
      <c r="A1933" s="95" t="s">
        <v>2890</v>
      </c>
      <c r="F1933" s="95">
        <v>1386</v>
      </c>
    </row>
    <row r="1934" spans="1:6">
      <c r="A1934" s="95" t="s">
        <v>2891</v>
      </c>
      <c r="D1934" s="95" t="str">
        <f t="shared" si="22"/>
        <v>Nambole</v>
      </c>
      <c r="F1934" s="95">
        <v>1386</v>
      </c>
    </row>
    <row r="1935" spans="1:6">
      <c r="A1935" s="95" t="s">
        <v>2892</v>
      </c>
      <c r="F1935" s="95">
        <v>1386</v>
      </c>
    </row>
    <row r="1936" spans="1:6">
      <c r="A1936" s="95" t="s">
        <v>2893</v>
      </c>
      <c r="D1936" s="95" t="str">
        <f t="shared" si="22"/>
        <v>Namboole</v>
      </c>
      <c r="F1936" s="95">
        <v>1386</v>
      </c>
    </row>
    <row r="1937" spans="1:6">
      <c r="A1937" s="95" t="s">
        <v>2894</v>
      </c>
      <c r="B1937" s="95" t="s">
        <v>2879</v>
      </c>
      <c r="C1937" s="95" t="s">
        <v>2895</v>
      </c>
      <c r="D1937" s="95" t="str">
        <f t="shared" si="22"/>
        <v>Entebbe Airport</v>
      </c>
      <c r="F1937" s="95">
        <v>1387</v>
      </c>
    </row>
    <row r="1938" spans="1:6">
      <c r="A1938" s="95" t="s">
        <v>2896</v>
      </c>
      <c r="D1938" s="95" t="str">
        <f t="shared" si="22"/>
        <v>Airport</v>
      </c>
      <c r="F1938" s="95">
        <v>1387</v>
      </c>
    </row>
    <row r="1939" spans="1:6">
      <c r="A1939" s="95" t="s">
        <v>221</v>
      </c>
      <c r="F1939" s="95">
        <v>1387</v>
      </c>
    </row>
    <row r="1940" spans="1:6">
      <c r="A1940" s="95" t="s">
        <v>2897</v>
      </c>
      <c r="F1940" s="95">
        <v>1387</v>
      </c>
    </row>
    <row r="1941" spans="1:6">
      <c r="A1941" s="95" t="s">
        <v>2898</v>
      </c>
      <c r="F1941" s="95">
        <v>1387</v>
      </c>
    </row>
    <row r="1942" spans="1:6">
      <c r="A1942" s="95" t="s">
        <v>2899</v>
      </c>
      <c r="F1942" s="95">
        <v>1387</v>
      </c>
    </row>
    <row r="1943" spans="1:6">
      <c r="A1943" s="95" t="s">
        <v>2900</v>
      </c>
      <c r="F1943" s="95">
        <v>1387</v>
      </c>
    </row>
    <row r="1944" spans="1:6">
      <c r="A1944" s="95" t="s">
        <v>2901</v>
      </c>
      <c r="D1944" s="95" t="str">
        <f t="shared" si="22"/>
        <v>Enttebe</v>
      </c>
      <c r="F1944" s="95">
        <v>1387</v>
      </c>
    </row>
    <row r="1945" spans="1:6">
      <c r="A1945" s="95" t="s">
        <v>2902</v>
      </c>
      <c r="D1945" s="95" t="str">
        <f t="shared" si="22"/>
        <v>Kitoro</v>
      </c>
      <c r="F1945" s="95">
        <v>1387</v>
      </c>
    </row>
    <row r="1946" spans="1:6">
      <c r="A1946" s="95" t="s">
        <v>2903</v>
      </c>
      <c r="F1946" s="95">
        <v>1387</v>
      </c>
    </row>
    <row r="1947" spans="1:6">
      <c r="A1947" s="95" t="s">
        <v>2904</v>
      </c>
      <c r="D1947" s="95" t="str">
        <f t="shared" si="22"/>
        <v>Kawuku</v>
      </c>
      <c r="F1947" s="95">
        <v>1387</v>
      </c>
    </row>
    <row r="1948" spans="1:6">
      <c r="A1948" s="95" t="s">
        <v>2905</v>
      </c>
      <c r="F1948" s="95">
        <v>1387</v>
      </c>
    </row>
    <row r="1949" spans="1:6">
      <c r="A1949" s="95" t="s">
        <v>2906</v>
      </c>
      <c r="D1949" s="95" t="str">
        <f t="shared" si="22"/>
        <v>Namulanda</v>
      </c>
      <c r="F1949" s="95">
        <v>1387</v>
      </c>
    </row>
    <row r="1950" spans="1:6">
      <c r="A1950" s="95" t="s">
        <v>30</v>
      </c>
      <c r="D1950" s="95" t="str">
        <f t="shared" si="22"/>
        <v>Entebbe</v>
      </c>
      <c r="F1950" s="95">
        <v>1387</v>
      </c>
    </row>
    <row r="1951" spans="1:6">
      <c r="A1951" s="95" t="s">
        <v>2895</v>
      </c>
      <c r="B1951" s="95" t="s">
        <v>2879</v>
      </c>
      <c r="C1951" s="95" t="s">
        <v>2895</v>
      </c>
      <c r="D1951" s="95" t="str">
        <f t="shared" si="22"/>
        <v>Entebbe Municipality</v>
      </c>
      <c r="F1951" s="95">
        <v>1388</v>
      </c>
    </row>
    <row r="1952" spans="1:6">
      <c r="A1952" s="95" t="s">
        <v>2907</v>
      </c>
      <c r="B1952" s="95" t="s">
        <v>2879</v>
      </c>
      <c r="C1952" s="95" t="s">
        <v>2884</v>
      </c>
      <c r="D1952" s="95" t="str">
        <f t="shared" si="22"/>
        <v>Gombe</v>
      </c>
      <c r="F1952" s="95">
        <v>1389</v>
      </c>
    </row>
    <row r="1953" spans="1:6">
      <c r="A1953" s="95" t="s">
        <v>2908</v>
      </c>
      <c r="B1953" s="95" t="s">
        <v>2879</v>
      </c>
      <c r="C1953" s="95" t="s">
        <v>2882</v>
      </c>
      <c r="D1953" s="95" t="str">
        <f t="shared" si="22"/>
        <v>Kajjansi Town Council</v>
      </c>
      <c r="F1953" s="95">
        <v>1390</v>
      </c>
    </row>
    <row r="1954" spans="1:6">
      <c r="A1954" s="95" t="s">
        <v>2909</v>
      </c>
      <c r="D1954" s="95" t="str">
        <f t="shared" si="22"/>
        <v xml:space="preserve">Kajjansi  </v>
      </c>
      <c r="F1954" s="95">
        <v>1390</v>
      </c>
    </row>
    <row r="1955" spans="1:6">
      <c r="A1955" s="95" t="s">
        <v>2910</v>
      </c>
      <c r="F1955" s="95">
        <v>1390</v>
      </c>
    </row>
    <row r="1956" spans="1:6">
      <c r="A1956" s="95" t="s">
        <v>2911</v>
      </c>
      <c r="F1956" s="95">
        <v>1390</v>
      </c>
    </row>
    <row r="1957" spans="1:6">
      <c r="A1957" s="95" t="s">
        <v>2912</v>
      </c>
      <c r="F1957" s="95">
        <v>1390</v>
      </c>
    </row>
    <row r="1958" spans="1:6">
      <c r="A1958" s="95" t="s">
        <v>2913</v>
      </c>
      <c r="D1958" s="95" t="str">
        <f t="shared" si="22"/>
        <v>Sseguku</v>
      </c>
      <c r="F1958" s="95">
        <v>1390</v>
      </c>
    </row>
    <row r="1959" spans="1:6">
      <c r="A1959" s="95" t="s">
        <v>2914</v>
      </c>
      <c r="F1959" s="95">
        <v>1390</v>
      </c>
    </row>
    <row r="1960" spans="1:6">
      <c r="A1960" s="95" t="s">
        <v>2915</v>
      </c>
      <c r="D1960" s="95" t="str">
        <f t="shared" si="22"/>
        <v>Lunya</v>
      </c>
      <c r="F1960" s="95">
        <v>1390</v>
      </c>
    </row>
    <row r="1961" spans="1:6">
      <c r="A1961" s="95" t="s">
        <v>2916</v>
      </c>
      <c r="D1961" s="95" t="str">
        <f t="shared" si="22"/>
        <v>Bwebajja</v>
      </c>
      <c r="F1961" s="95">
        <v>1390</v>
      </c>
    </row>
    <row r="1962" spans="1:6">
      <c r="A1962" s="95" t="s">
        <v>2917</v>
      </c>
      <c r="F1962" s="95">
        <v>1390</v>
      </c>
    </row>
    <row r="1963" spans="1:6">
      <c r="A1963" s="95" t="s">
        <v>2918</v>
      </c>
      <c r="F1963" s="95">
        <v>1390</v>
      </c>
    </row>
    <row r="1964" spans="1:6">
      <c r="A1964" s="95" t="s">
        <v>2919</v>
      </c>
      <c r="D1964" s="95" t="str">
        <f t="shared" si="22"/>
        <v>Lweza</v>
      </c>
      <c r="F1964" s="95">
        <v>1390</v>
      </c>
    </row>
    <row r="1965" spans="1:6">
      <c r="A1965" s="95" t="s">
        <v>2920</v>
      </c>
      <c r="F1965" s="95">
        <v>1390</v>
      </c>
    </row>
    <row r="1966" spans="1:6">
      <c r="A1966" s="95" t="s">
        <v>2921</v>
      </c>
      <c r="F1966" s="95">
        <v>1390</v>
      </c>
    </row>
    <row r="1967" spans="1:6">
      <c r="A1967" s="95" t="s">
        <v>2922</v>
      </c>
      <c r="F1967" s="95">
        <v>1390</v>
      </c>
    </row>
    <row r="1968" spans="1:6">
      <c r="A1968" s="95" t="s">
        <v>2923</v>
      </c>
      <c r="F1968" s="95">
        <v>1390</v>
      </c>
    </row>
    <row r="1969" spans="1:6">
      <c r="A1969" s="95" t="s">
        <v>2924</v>
      </c>
      <c r="F1969" s="95">
        <v>1390</v>
      </c>
    </row>
    <row r="1970" spans="1:6">
      <c r="A1970" s="95" t="s">
        <v>2925</v>
      </c>
      <c r="D1970" s="95" t="str">
        <f t="shared" si="22"/>
        <v>Kitende</v>
      </c>
      <c r="F1970" s="95">
        <v>1390</v>
      </c>
    </row>
    <row r="1971" spans="1:6">
      <c r="A1971" s="95" t="s">
        <v>2926</v>
      </c>
      <c r="F1971" s="95">
        <v>1390</v>
      </c>
    </row>
    <row r="1972" spans="1:6">
      <c r="A1972" s="95" t="s">
        <v>2927</v>
      </c>
      <c r="B1972" s="95" t="s">
        <v>2879</v>
      </c>
      <c r="C1972" s="95" t="s">
        <v>2882</v>
      </c>
      <c r="D1972" s="95" t="str">
        <f t="shared" si="22"/>
        <v>Kakiri</v>
      </c>
      <c r="F1972" s="95">
        <v>1391</v>
      </c>
    </row>
    <row r="1973" spans="1:6">
      <c r="A1973" s="95" t="s">
        <v>2928</v>
      </c>
      <c r="F1973" s="95">
        <v>1391</v>
      </c>
    </row>
    <row r="1974" spans="1:6">
      <c r="A1974" s="95" t="s">
        <v>2929</v>
      </c>
      <c r="F1974" s="95">
        <v>1391</v>
      </c>
    </row>
    <row r="1975" spans="1:6">
      <c r="A1975" s="95" t="s">
        <v>2930</v>
      </c>
      <c r="F1975" s="95">
        <v>1391</v>
      </c>
    </row>
    <row r="1976" spans="1:6">
      <c r="A1976" s="95" t="s">
        <v>2931</v>
      </c>
      <c r="F1976" s="95">
        <v>1391</v>
      </c>
    </row>
    <row r="1977" spans="1:6">
      <c r="A1977" s="95" t="s">
        <v>2932</v>
      </c>
      <c r="B1977" s="95" t="s">
        <v>2879</v>
      </c>
      <c r="C1977" s="95" t="s">
        <v>2882</v>
      </c>
      <c r="D1977" s="95" t="str">
        <f t="shared" si="22"/>
        <v>Kakiri Town Council</v>
      </c>
      <c r="F1977" s="95">
        <v>1392</v>
      </c>
    </row>
    <row r="1978" spans="1:6">
      <c r="A1978" s="95" t="s">
        <v>2933</v>
      </c>
      <c r="B1978" s="95" t="s">
        <v>2879</v>
      </c>
      <c r="C1978" s="95" t="s">
        <v>1733</v>
      </c>
      <c r="D1978" s="95" t="str">
        <f t="shared" si="22"/>
        <v>Kasangati Town Council</v>
      </c>
      <c r="F1978" s="95">
        <v>1393</v>
      </c>
    </row>
    <row r="1979" spans="1:6">
      <c r="A1979" s="95" t="s">
        <v>2934</v>
      </c>
      <c r="F1979" s="95">
        <v>1393</v>
      </c>
    </row>
    <row r="1980" spans="1:6">
      <c r="A1980" s="95" t="s">
        <v>564</v>
      </c>
      <c r="F1980" s="95">
        <v>1393</v>
      </c>
    </row>
    <row r="1981" spans="1:6">
      <c r="A1981" s="95" t="s">
        <v>239</v>
      </c>
      <c r="F1981" s="95">
        <v>1393</v>
      </c>
    </row>
    <row r="1982" spans="1:6">
      <c r="A1982" s="95" t="s">
        <v>376</v>
      </c>
      <c r="F1982" s="95">
        <v>1393</v>
      </c>
    </row>
    <row r="1983" spans="1:6">
      <c r="A1983" s="95" t="s">
        <v>404</v>
      </c>
      <c r="F1983" s="95">
        <v>1393</v>
      </c>
    </row>
    <row r="1984" spans="1:6">
      <c r="A1984" s="95" t="s">
        <v>337</v>
      </c>
      <c r="F1984" s="95">
        <v>1393</v>
      </c>
    </row>
    <row r="1985" spans="1:6">
      <c r="A1985" s="95" t="s">
        <v>517</v>
      </c>
      <c r="F1985" s="95">
        <v>1393</v>
      </c>
    </row>
    <row r="1986" spans="1:6">
      <c r="A1986" s="95" t="s">
        <v>168</v>
      </c>
      <c r="F1986" s="95">
        <v>1393</v>
      </c>
    </row>
    <row r="1987" spans="1:6">
      <c r="A1987" s="95" t="s">
        <v>490</v>
      </c>
      <c r="F1987" s="95">
        <v>1393</v>
      </c>
    </row>
    <row r="1988" spans="1:6">
      <c r="A1988" s="95" t="s">
        <v>160</v>
      </c>
      <c r="F1988" s="95">
        <v>1393</v>
      </c>
    </row>
    <row r="1989" spans="1:6">
      <c r="A1989" s="95" t="s">
        <v>2935</v>
      </c>
      <c r="F1989" s="95">
        <v>1393</v>
      </c>
    </row>
    <row r="1990" spans="1:6">
      <c r="A1990" s="95" t="s">
        <v>2936</v>
      </c>
      <c r="F1990" s="95">
        <v>1393</v>
      </c>
    </row>
    <row r="1991" spans="1:6">
      <c r="A1991" s="95" t="s">
        <v>146</v>
      </c>
      <c r="D1991" s="95" t="str">
        <f t="shared" si="22"/>
        <v>KASANGATI</v>
      </c>
      <c r="F1991" s="95">
        <v>1393</v>
      </c>
    </row>
    <row r="1992" spans="1:6">
      <c r="A1992" s="95" t="s">
        <v>2937</v>
      </c>
      <c r="D1992" s="95" t="str">
        <f t="shared" si="22"/>
        <v>Kansangati</v>
      </c>
      <c r="F1992" s="95">
        <v>1393</v>
      </c>
    </row>
    <row r="1993" spans="1:6">
      <c r="A1993" s="95" t="s">
        <v>2938</v>
      </c>
      <c r="B1993" s="95" t="s">
        <v>2879</v>
      </c>
      <c r="C1993" s="95" t="s">
        <v>2882</v>
      </c>
      <c r="D1993" s="95" t="str">
        <f t="shared" si="22"/>
        <v>Kasanje</v>
      </c>
      <c r="F1993" s="95">
        <v>1394</v>
      </c>
    </row>
    <row r="1994" spans="1:6">
      <c r="A1994" s="95" t="s">
        <v>2939</v>
      </c>
      <c r="D1994" s="95" t="str">
        <f t="shared" si="22"/>
        <v>Kawoko</v>
      </c>
      <c r="F1994" s="95">
        <v>1394</v>
      </c>
    </row>
    <row r="1995" spans="1:6">
      <c r="A1995" s="95" t="s">
        <v>2940</v>
      </c>
      <c r="B1995" s="95" t="s">
        <v>2879</v>
      </c>
      <c r="C1995" s="95" t="s">
        <v>2882</v>
      </c>
      <c r="D1995" s="95" t="str">
        <f t="shared" si="22"/>
        <v>Katabi Town Council</v>
      </c>
      <c r="F1995" s="95">
        <v>1395</v>
      </c>
    </row>
    <row r="1996" spans="1:6">
      <c r="A1996" s="95" t="s">
        <v>2941</v>
      </c>
      <c r="D1996" s="95" t="str">
        <f t="shared" si="22"/>
        <v>Gombolola</v>
      </c>
      <c r="F1996" s="95">
        <v>1395</v>
      </c>
    </row>
    <row r="1997" spans="1:6">
      <c r="A1997" s="95" t="s">
        <v>2942</v>
      </c>
      <c r="B1997" s="95" t="s">
        <v>2879</v>
      </c>
      <c r="C1997" s="95" t="s">
        <v>2885</v>
      </c>
      <c r="D1997" s="95" t="str">
        <f t="shared" si="22"/>
        <v>Kira</v>
      </c>
      <c r="F1997" s="95">
        <v>1396</v>
      </c>
    </row>
    <row r="1998" spans="1:6">
      <c r="A1998" s="95" t="s">
        <v>2943</v>
      </c>
      <c r="D1998" s="95" t="str">
        <f t="shared" si="22"/>
        <v>KIRA MUNICIPAL</v>
      </c>
      <c r="F1998" s="95">
        <v>1396</v>
      </c>
    </row>
    <row r="1999" spans="1:6">
      <c r="A1999" s="95" t="s">
        <v>2944</v>
      </c>
      <c r="D1999" s="95" t="str">
        <f t="shared" si="22"/>
        <v>Mulawa</v>
      </c>
      <c r="F1999" s="95">
        <v>1396</v>
      </c>
    </row>
    <row r="2000" spans="1:6">
      <c r="A2000" s="95" t="s">
        <v>2945</v>
      </c>
      <c r="D2000" s="95" t="str">
        <f t="shared" si="22"/>
        <v>Kireka</v>
      </c>
      <c r="F2000" s="95">
        <v>1396</v>
      </c>
    </row>
    <row r="2001" spans="1:6">
      <c r="A2001" s="95" t="s">
        <v>2946</v>
      </c>
      <c r="F2001" s="95">
        <v>1396</v>
      </c>
    </row>
    <row r="2002" spans="1:6">
      <c r="A2002" s="95" t="s">
        <v>1911</v>
      </c>
      <c r="F2002" s="95">
        <v>1396</v>
      </c>
    </row>
    <row r="2003" spans="1:6">
      <c r="A2003" s="95" t="s">
        <v>2947</v>
      </c>
      <c r="D2003" s="95" t="str">
        <f t="shared" si="22"/>
        <v>Agenda</v>
      </c>
      <c r="F2003" s="95">
        <v>1396</v>
      </c>
    </row>
    <row r="2004" spans="1:6">
      <c r="A2004" s="95" t="s">
        <v>2948</v>
      </c>
      <c r="D2004" s="95" t="str">
        <f t="shared" si="22"/>
        <v>Kiira</v>
      </c>
      <c r="F2004" s="95">
        <v>1396</v>
      </c>
    </row>
    <row r="2005" spans="1:6">
      <c r="A2005" s="95" t="s">
        <v>2949</v>
      </c>
      <c r="D2005" s="95" t="str">
        <f t="shared" si="22"/>
        <v>Bulindo</v>
      </c>
      <c r="F2005" s="95">
        <v>1396</v>
      </c>
    </row>
    <row r="2006" spans="1:6">
      <c r="A2006" s="95" t="s">
        <v>153</v>
      </c>
      <c r="F2006" s="95">
        <v>1396</v>
      </c>
    </row>
    <row r="2007" spans="1:6">
      <c r="A2007" s="95" t="s">
        <v>2950</v>
      </c>
      <c r="F2007" s="95">
        <v>1396</v>
      </c>
    </row>
    <row r="2008" spans="1:6">
      <c r="A2008" s="95" t="s">
        <v>2951</v>
      </c>
      <c r="F2008" s="95">
        <v>1396</v>
      </c>
    </row>
    <row r="2009" spans="1:6">
      <c r="A2009" s="95" t="s">
        <v>2952</v>
      </c>
      <c r="F2009" s="95">
        <v>1396</v>
      </c>
    </row>
    <row r="2010" spans="1:6">
      <c r="A2010" s="95" t="s">
        <v>2953</v>
      </c>
      <c r="F2010" s="95">
        <v>1396</v>
      </c>
    </row>
    <row r="2011" spans="1:6">
      <c r="A2011" s="95" t="s">
        <v>2954</v>
      </c>
      <c r="F2011" s="95">
        <v>1396</v>
      </c>
    </row>
    <row r="2012" spans="1:6">
      <c r="A2012" s="95" t="s">
        <v>2955</v>
      </c>
      <c r="B2012" s="95" t="s">
        <v>2879</v>
      </c>
      <c r="C2012" s="95" t="s">
        <v>2882</v>
      </c>
      <c r="D2012" s="95" t="str">
        <f t="shared" si="22"/>
        <v>Kyengera Town Council</v>
      </c>
      <c r="F2012" s="95">
        <v>1397</v>
      </c>
    </row>
    <row r="2013" spans="1:6">
      <c r="A2013" s="95" t="s">
        <v>2956</v>
      </c>
      <c r="B2013" s="95" t="s">
        <v>2879</v>
      </c>
      <c r="D2013" s="95" t="str">
        <f t="shared" si="22"/>
        <v>KYENGERA</v>
      </c>
      <c r="F2013" s="95">
        <v>1397</v>
      </c>
    </row>
    <row r="2014" spans="1:6">
      <c r="A2014" s="95" t="s">
        <v>2957</v>
      </c>
      <c r="B2014" s="95" t="s">
        <v>2879</v>
      </c>
      <c r="D2014" s="95" t="str">
        <f t="shared" si="22"/>
        <v>NABINGO</v>
      </c>
      <c r="F2014" s="95">
        <v>1397</v>
      </c>
    </row>
    <row r="2015" spans="1:6">
      <c r="A2015" s="95" t="s">
        <v>2958</v>
      </c>
      <c r="D2015" s="95" t="str">
        <f t="shared" si="22"/>
        <v>Namagoma</v>
      </c>
      <c r="F2015" s="95">
        <v>1397</v>
      </c>
    </row>
    <row r="2016" spans="1:6">
      <c r="A2016" s="95" t="s">
        <v>2959</v>
      </c>
      <c r="D2016" s="95" t="str">
        <f t="shared" si="22"/>
        <v>Nsangi</v>
      </c>
      <c r="F2016" s="95">
        <v>1397</v>
      </c>
    </row>
    <row r="2017" spans="1:6">
      <c r="A2017" s="95" t="s">
        <v>2960</v>
      </c>
      <c r="D2017" s="95" t="str">
        <f t="shared" si="22"/>
        <v>Buddo</v>
      </c>
      <c r="F2017" s="95">
        <v>1397</v>
      </c>
    </row>
    <row r="2018" spans="1:6">
      <c r="A2018" s="95" t="s">
        <v>2961</v>
      </c>
      <c r="D2018" s="95" t="str">
        <f t="shared" si="22"/>
        <v>Nsanji</v>
      </c>
      <c r="F2018" s="95">
        <v>1397</v>
      </c>
    </row>
    <row r="2019" spans="1:6">
      <c r="A2019" s="95" t="s">
        <v>2962</v>
      </c>
      <c r="D2019" s="95" t="str">
        <f t="shared" si="22"/>
        <v>Kitaala</v>
      </c>
      <c r="F2019" s="95">
        <v>1397</v>
      </c>
    </row>
    <row r="2020" spans="1:6">
      <c r="A2020" s="95" t="s">
        <v>2963</v>
      </c>
      <c r="D2020" s="95" t="str">
        <f t="shared" si="22"/>
        <v>Kasenge</v>
      </c>
      <c r="F2020" s="95">
        <v>1397</v>
      </c>
    </row>
    <row r="2021" spans="1:6">
      <c r="A2021" s="95" t="s">
        <v>2964</v>
      </c>
      <c r="D2021" s="95" t="str">
        <f t="shared" si="22"/>
        <v>Kayembe</v>
      </c>
      <c r="F2021" s="95">
        <v>1397</v>
      </c>
    </row>
    <row r="2022" spans="1:6">
      <c r="A2022" s="95" t="s">
        <v>2965</v>
      </c>
      <c r="B2022" s="95" t="s">
        <v>2879</v>
      </c>
      <c r="C2022" s="95" t="s">
        <v>2880</v>
      </c>
      <c r="D2022" s="95" t="str">
        <f t="shared" si="22"/>
        <v>Masajja</v>
      </c>
      <c r="F2022" s="95">
        <v>1398</v>
      </c>
    </row>
    <row r="2023" spans="1:6">
      <c r="A2023" s="95" t="s">
        <v>2966</v>
      </c>
      <c r="D2023" s="95" t="str">
        <f t="shared" si="22"/>
        <v>Masjja</v>
      </c>
      <c r="F2023" s="95">
        <v>1398</v>
      </c>
    </row>
    <row r="2024" spans="1:6">
      <c r="A2024" s="95" t="s">
        <v>2967</v>
      </c>
      <c r="D2024" s="95" t="str">
        <f t="shared" si="22"/>
        <v>Massajja</v>
      </c>
      <c r="F2024" s="95">
        <v>1398</v>
      </c>
    </row>
    <row r="2025" spans="1:6">
      <c r="A2025" s="95" t="s">
        <v>2968</v>
      </c>
      <c r="F2025" s="95">
        <v>1398</v>
      </c>
    </row>
    <row r="2026" spans="1:6">
      <c r="A2026" s="95" t="s">
        <v>2969</v>
      </c>
      <c r="B2026" s="95" t="s">
        <v>2879</v>
      </c>
      <c r="C2026" s="95" t="s">
        <v>2882</v>
      </c>
      <c r="D2026" s="95" t="str">
        <f t="shared" si="22"/>
        <v>Masuliita</v>
      </c>
      <c r="F2026" s="95">
        <v>1399</v>
      </c>
    </row>
    <row r="2027" spans="1:6">
      <c r="A2027" s="95" t="s">
        <v>2970</v>
      </c>
      <c r="B2027" s="95" t="s">
        <v>2879</v>
      </c>
      <c r="C2027" s="95" t="s">
        <v>2882</v>
      </c>
      <c r="D2027" s="95" t="str">
        <f t="shared" si="22"/>
        <v>Masulita Town Council</v>
      </c>
      <c r="F2027" s="95">
        <v>1400</v>
      </c>
    </row>
    <row r="2028" spans="1:6">
      <c r="A2028" s="95" t="s">
        <v>2971</v>
      </c>
      <c r="B2028" s="95" t="s">
        <v>2879</v>
      </c>
      <c r="C2028" s="95" t="s">
        <v>2882</v>
      </c>
      <c r="D2028" s="95" t="str">
        <f t="shared" si="22"/>
        <v>Mende</v>
      </c>
      <c r="F2028" s="95">
        <v>1401</v>
      </c>
    </row>
    <row r="2029" spans="1:6">
      <c r="A2029" s="95" t="s">
        <v>2972</v>
      </c>
      <c r="B2029" s="95" t="s">
        <v>2879</v>
      </c>
      <c r="C2029" s="95" t="s">
        <v>2884</v>
      </c>
      <c r="D2029" s="95" t="str">
        <f t="shared" si="22"/>
        <v>Nabweru</v>
      </c>
      <c r="F2029" s="95">
        <v>1402</v>
      </c>
    </row>
    <row r="2030" spans="1:6">
      <c r="A2030" s="95" t="s">
        <v>2973</v>
      </c>
      <c r="D2030" s="95" t="str">
        <f t="shared" si="22"/>
        <v>Nabwera</v>
      </c>
      <c r="F2030" s="95">
        <v>1402</v>
      </c>
    </row>
    <row r="2031" spans="1:6">
      <c r="A2031" s="95" t="s">
        <v>2974</v>
      </c>
      <c r="F2031" s="95">
        <v>1402</v>
      </c>
    </row>
    <row r="2032" spans="1:6">
      <c r="A2032" s="95" t="s">
        <v>2975</v>
      </c>
      <c r="D2032" s="95" t="str">
        <f t="shared" si="22"/>
        <v>Lubigi</v>
      </c>
      <c r="F2032" s="95">
        <v>1402</v>
      </c>
    </row>
    <row r="2033" spans="1:6">
      <c r="A2033" s="95" t="s">
        <v>2976</v>
      </c>
      <c r="D2033" s="95" t="str">
        <f t="shared" si="22"/>
        <v>Rubigi town</v>
      </c>
      <c r="F2033" s="95">
        <v>1402</v>
      </c>
    </row>
    <row r="2034" spans="1:6">
      <c r="A2034" s="95" t="s">
        <v>2977</v>
      </c>
      <c r="D2034" s="95" t="str">
        <f t="shared" si="22"/>
        <v>LIBINGI</v>
      </c>
      <c r="F2034" s="95">
        <v>1402</v>
      </c>
    </row>
    <row r="2035" spans="1:6">
      <c r="A2035" s="95" t="s">
        <v>2978</v>
      </c>
      <c r="D2035" s="95" t="str">
        <f t="shared" si="22"/>
        <v>Rubigi</v>
      </c>
      <c r="F2035" s="95">
        <v>1402</v>
      </c>
    </row>
    <row r="2036" spans="1:6">
      <c r="A2036" s="95" t="s">
        <v>2979</v>
      </c>
      <c r="D2036" s="95" t="str">
        <f t="shared" si="22"/>
        <v>Kawanda</v>
      </c>
      <c r="F2036" s="95">
        <v>1402</v>
      </c>
    </row>
    <row r="2037" spans="1:6">
      <c r="A2037" s="95" t="s">
        <v>2980</v>
      </c>
      <c r="D2037" s="95" t="str">
        <f t="shared" si="22"/>
        <v>Maganjo</v>
      </c>
      <c r="F2037" s="95">
        <v>1402</v>
      </c>
    </row>
    <row r="2038" spans="1:6">
      <c r="A2038" s="95" t="s">
        <v>2981</v>
      </c>
      <c r="D2038" s="95" t="str">
        <f t="shared" si="22"/>
        <v>Senge</v>
      </c>
      <c r="F2038" s="95">
        <v>1402</v>
      </c>
    </row>
    <row r="2039" spans="1:6">
      <c r="A2039" s="95" t="s">
        <v>2982</v>
      </c>
      <c r="D2039" s="95" t="str">
        <f t="shared" si="22"/>
        <v>Matugo</v>
      </c>
      <c r="F2039" s="95">
        <v>1402</v>
      </c>
    </row>
    <row r="2040" spans="1:6">
      <c r="A2040" s="95" t="s">
        <v>2983</v>
      </c>
      <c r="D2040" s="95" t="str">
        <f t="shared" si="22"/>
        <v>Matugga</v>
      </c>
      <c r="F2040" s="95">
        <v>1402</v>
      </c>
    </row>
    <row r="2041" spans="1:6">
      <c r="A2041" s="95" t="s">
        <v>2984</v>
      </c>
      <c r="F2041" s="95">
        <v>1402</v>
      </c>
    </row>
    <row r="2042" spans="1:6">
      <c r="A2042" s="95" t="s">
        <v>2985</v>
      </c>
      <c r="F2042" s="95">
        <v>1402</v>
      </c>
    </row>
    <row r="2043" spans="1:6">
      <c r="A2043" s="95" t="s">
        <v>2986</v>
      </c>
      <c r="F2043" s="95">
        <v>1402</v>
      </c>
    </row>
    <row r="2044" spans="1:6">
      <c r="A2044" s="95" t="s">
        <v>2987</v>
      </c>
      <c r="F2044" s="95">
        <v>1402</v>
      </c>
    </row>
    <row r="2045" spans="1:6">
      <c r="A2045" s="95" t="s">
        <v>2988</v>
      </c>
      <c r="F2045" s="95">
        <v>1402</v>
      </c>
    </row>
    <row r="2046" spans="1:6">
      <c r="A2046" s="95" t="s">
        <v>2989</v>
      </c>
      <c r="F2046" s="95">
        <v>1402</v>
      </c>
    </row>
    <row r="2047" spans="1:6">
      <c r="A2047" s="95" t="s">
        <v>2990</v>
      </c>
      <c r="F2047" s="95">
        <v>1402</v>
      </c>
    </row>
    <row r="2048" spans="1:6">
      <c r="A2048" s="95" t="s">
        <v>245</v>
      </c>
      <c r="F2048" s="95">
        <v>1402</v>
      </c>
    </row>
    <row r="2049" spans="1:6">
      <c r="A2049" s="95" t="s">
        <v>2991</v>
      </c>
      <c r="D2049" s="95" t="str">
        <f t="shared" si="22"/>
        <v>Kasengejje</v>
      </c>
      <c r="F2049" s="95">
        <v>1402</v>
      </c>
    </row>
    <row r="2050" spans="1:6">
      <c r="A2050" s="95" t="s">
        <v>2992</v>
      </c>
      <c r="F2050" s="95">
        <v>1402</v>
      </c>
    </row>
    <row r="2051" spans="1:6">
      <c r="A2051" s="95" t="s">
        <v>2993</v>
      </c>
      <c r="D2051" s="95" t="str">
        <f t="shared" si="22"/>
        <v>Kasengeje</v>
      </c>
      <c r="F2051" s="95">
        <v>1402</v>
      </c>
    </row>
    <row r="2052" spans="1:6">
      <c r="A2052" s="95" t="s">
        <v>2994</v>
      </c>
      <c r="F2052" s="95">
        <v>1402</v>
      </c>
    </row>
    <row r="2053" spans="1:6">
      <c r="A2053" s="95" t="s">
        <v>2995</v>
      </c>
      <c r="D2053" s="95" t="str">
        <f t="shared" si="22"/>
        <v>Matuga</v>
      </c>
      <c r="F2053" s="95">
        <v>1402</v>
      </c>
    </row>
    <row r="2054" spans="1:6">
      <c r="A2054" s="95" t="s">
        <v>2996</v>
      </c>
      <c r="F2054" s="95">
        <v>1402</v>
      </c>
    </row>
    <row r="2055" spans="1:6">
      <c r="A2055" s="95" t="s">
        <v>2997</v>
      </c>
      <c r="F2055" s="95">
        <v>1402</v>
      </c>
    </row>
    <row r="2056" spans="1:6">
      <c r="A2056" s="95" t="s">
        <v>2998</v>
      </c>
      <c r="D2056" s="95" t="str">
        <f t="shared" si="22"/>
        <v>Ssemuto</v>
      </c>
      <c r="F2056" s="95">
        <v>1402</v>
      </c>
    </row>
    <row r="2057" spans="1:6">
      <c r="A2057" s="95" t="s">
        <v>2999</v>
      </c>
      <c r="D2057" s="95" t="str">
        <f t="shared" si="22"/>
        <v>Namengo</v>
      </c>
      <c r="F2057" s="95">
        <v>1402</v>
      </c>
    </row>
    <row r="2058" spans="1:6">
      <c r="A2058" s="95" t="s">
        <v>3000</v>
      </c>
      <c r="D2058" s="95" t="str">
        <f t="shared" si="22"/>
        <v>Green valley</v>
      </c>
      <c r="F2058" s="95">
        <v>1402</v>
      </c>
    </row>
    <row r="2059" spans="1:6">
      <c r="A2059" s="95" t="s">
        <v>3001</v>
      </c>
      <c r="B2059" s="95" t="s">
        <v>2879</v>
      </c>
      <c r="C2059" s="95" t="s">
        <v>2882</v>
      </c>
      <c r="D2059" s="95" t="str">
        <f t="shared" ref="D2059:D2164" si="23">A2059</f>
        <v>Namayumba</v>
      </c>
      <c r="F2059" s="95">
        <v>1403</v>
      </c>
    </row>
    <row r="2060" spans="1:6">
      <c r="A2060" s="95" t="s">
        <v>3002</v>
      </c>
      <c r="B2060" s="95" t="s">
        <v>2879</v>
      </c>
      <c r="C2060" s="95" t="s">
        <v>2882</v>
      </c>
      <c r="D2060" s="95" t="str">
        <f t="shared" si="23"/>
        <v>Namayumba Town Council</v>
      </c>
      <c r="F2060" s="95">
        <v>1404</v>
      </c>
    </row>
    <row r="2061" spans="1:6">
      <c r="A2061" s="95" t="s">
        <v>3003</v>
      </c>
      <c r="B2061" s="95" t="s">
        <v>2879</v>
      </c>
      <c r="C2061" s="95" t="s">
        <v>2885</v>
      </c>
      <c r="D2061" s="95" t="str">
        <f t="shared" si="23"/>
        <v>Namugongo</v>
      </c>
      <c r="F2061" s="95">
        <v>1405</v>
      </c>
    </row>
    <row r="2062" spans="1:6">
      <c r="A2062" s="95" t="s">
        <v>840</v>
      </c>
      <c r="F2062" s="95">
        <v>1405</v>
      </c>
    </row>
    <row r="2063" spans="1:6">
      <c r="A2063" s="95" t="s">
        <v>3004</v>
      </c>
      <c r="F2063" s="95">
        <v>1405</v>
      </c>
    </row>
    <row r="2064" spans="1:6">
      <c r="A2064" s="95" t="s">
        <v>3005</v>
      </c>
      <c r="F2064" s="95">
        <v>1405</v>
      </c>
    </row>
    <row r="2065" spans="1:6">
      <c r="A2065" s="95" t="s">
        <v>3006</v>
      </c>
      <c r="D2065" s="95" t="str">
        <f t="shared" si="23"/>
        <v>Sonde</v>
      </c>
      <c r="F2065" s="95">
        <v>1405</v>
      </c>
    </row>
    <row r="2066" spans="1:6">
      <c r="A2066" s="95" t="s">
        <v>3007</v>
      </c>
      <c r="D2066" s="95" t="str">
        <f t="shared" si="23"/>
        <v>Naalya</v>
      </c>
      <c r="F2066" s="95">
        <v>1405</v>
      </c>
    </row>
    <row r="2067" spans="1:6">
      <c r="A2067" s="95" t="s">
        <v>3008</v>
      </c>
      <c r="F2067" s="95">
        <v>1405</v>
      </c>
    </row>
    <row r="2068" spans="1:6">
      <c r="A2068" s="95" t="s">
        <v>3009</v>
      </c>
      <c r="D2068" s="95" t="str">
        <f t="shared" si="23"/>
        <v>Nalya</v>
      </c>
      <c r="F2068" s="95">
        <v>1405</v>
      </c>
    </row>
    <row r="2069" spans="1:6">
      <c r="A2069" s="95" t="s">
        <v>3010</v>
      </c>
      <c r="D2069" s="95" t="str">
        <f t="shared" si="23"/>
        <v>Kyaliwajala</v>
      </c>
      <c r="F2069" s="95">
        <v>1405</v>
      </c>
    </row>
    <row r="2070" spans="1:6">
      <c r="A2070" s="95" t="s">
        <v>3011</v>
      </c>
      <c r="F2070" s="95">
        <v>1405</v>
      </c>
    </row>
    <row r="2071" spans="1:6">
      <c r="A2071" s="95" t="s">
        <v>3012</v>
      </c>
      <c r="F2071" s="95">
        <v>1405</v>
      </c>
    </row>
    <row r="2072" spans="1:6">
      <c r="A2072" s="95" t="s">
        <v>209</v>
      </c>
      <c r="F2072" s="95">
        <v>1405</v>
      </c>
    </row>
    <row r="2073" spans="1:6">
      <c r="A2073" s="95" t="s">
        <v>3013</v>
      </c>
      <c r="F2073" s="95">
        <v>1405</v>
      </c>
    </row>
    <row r="2074" spans="1:6">
      <c r="A2074" s="95" t="s">
        <v>825</v>
      </c>
      <c r="F2074" s="95">
        <v>1405</v>
      </c>
    </row>
    <row r="2075" spans="1:6">
      <c r="A2075" s="95" t="s">
        <v>3014</v>
      </c>
      <c r="D2075" s="95" t="str">
        <f t="shared" si="23"/>
        <v>Najera</v>
      </c>
      <c r="F2075" s="95">
        <v>1405</v>
      </c>
    </row>
    <row r="2076" spans="1:6">
      <c r="A2076" s="95" t="s">
        <v>3015</v>
      </c>
      <c r="D2076" s="95" t="str">
        <f t="shared" si="23"/>
        <v>Najjera</v>
      </c>
      <c r="F2076" s="95">
        <v>1405</v>
      </c>
    </row>
    <row r="2077" spans="1:6">
      <c r="A2077" s="95" t="s">
        <v>3016</v>
      </c>
      <c r="D2077" s="95" t="str">
        <f t="shared" si="23"/>
        <v>Najeera</v>
      </c>
      <c r="F2077" s="95">
        <v>1405</v>
      </c>
    </row>
    <row r="2078" spans="1:6">
      <c r="A2078" s="95" t="s">
        <v>3017</v>
      </c>
      <c r="D2078" s="95" t="str">
        <f t="shared" si="23"/>
        <v>Najeera 1</v>
      </c>
      <c r="F2078" s="95">
        <v>1405</v>
      </c>
    </row>
    <row r="2079" spans="1:6">
      <c r="A2079" s="95" t="s">
        <v>3018</v>
      </c>
      <c r="D2079" s="95" t="str">
        <f t="shared" si="23"/>
        <v>Najeera 2</v>
      </c>
      <c r="F2079" s="95">
        <v>1405</v>
      </c>
    </row>
    <row r="2080" spans="1:6">
      <c r="A2080" s="95" t="s">
        <v>3019</v>
      </c>
      <c r="F2080" s="95">
        <v>1405</v>
      </c>
    </row>
    <row r="2081" spans="1:6">
      <c r="A2081" s="95" t="s">
        <v>3020</v>
      </c>
      <c r="F2081" s="95">
        <v>1405</v>
      </c>
    </row>
    <row r="2082" spans="1:6">
      <c r="A2082" s="95" t="s">
        <v>3021</v>
      </c>
      <c r="F2082" s="95">
        <v>1405</v>
      </c>
    </row>
    <row r="2083" spans="1:6">
      <c r="A2083" s="95" t="s">
        <v>3022</v>
      </c>
      <c r="F2083" s="95">
        <v>1405</v>
      </c>
    </row>
    <row r="2084" spans="1:6">
      <c r="A2084" s="95" t="s">
        <v>3023</v>
      </c>
      <c r="D2084" s="95" t="str">
        <f t="shared" si="23"/>
        <v>Buwate</v>
      </c>
      <c r="F2084" s="95">
        <v>1405</v>
      </c>
    </row>
    <row r="2085" spans="1:6">
      <c r="A2085" s="95" t="s">
        <v>3024</v>
      </c>
      <c r="D2085" s="95" t="str">
        <f t="shared" si="23"/>
        <v>Buwaate</v>
      </c>
      <c r="F2085" s="95">
        <v>1405</v>
      </c>
    </row>
    <row r="2086" spans="1:6">
      <c r="A2086" s="95" t="s">
        <v>292</v>
      </c>
      <c r="F2086" s="95">
        <v>1405</v>
      </c>
    </row>
    <row r="2087" spans="1:6">
      <c r="A2087" s="95" t="s">
        <v>3025</v>
      </c>
      <c r="F2087" s="95">
        <v>1405</v>
      </c>
    </row>
    <row r="2088" spans="1:6">
      <c r="A2088" s="96" t="s">
        <v>3026</v>
      </c>
      <c r="B2088" s="95" t="s">
        <v>2879</v>
      </c>
      <c r="C2088" s="95" t="s">
        <v>2884</v>
      </c>
      <c r="D2088" s="95" t="str">
        <f t="shared" si="23"/>
        <v>Nansana</v>
      </c>
      <c r="F2088" s="95">
        <v>1406</v>
      </c>
    </row>
    <row r="2089" spans="1:6">
      <c r="A2089" s="95" t="s">
        <v>3027</v>
      </c>
      <c r="F2089" s="95">
        <v>1406</v>
      </c>
    </row>
    <row r="2090" spans="1:6">
      <c r="A2090" s="95" t="s">
        <v>311</v>
      </c>
      <c r="F2090" s="95">
        <v>1406</v>
      </c>
    </row>
    <row r="2091" spans="1:6">
      <c r="A2091" s="95" t="s">
        <v>3028</v>
      </c>
      <c r="F2091" s="95">
        <v>1406</v>
      </c>
    </row>
    <row r="2092" spans="1:6">
      <c r="A2092" s="95" t="s">
        <v>3029</v>
      </c>
      <c r="F2092" s="95">
        <v>1406</v>
      </c>
    </row>
    <row r="2093" spans="1:6">
      <c r="A2093" s="95" t="s">
        <v>3030</v>
      </c>
      <c r="F2093" s="95">
        <v>1406</v>
      </c>
    </row>
    <row r="2094" spans="1:6">
      <c r="A2094" s="95" t="s">
        <v>3031</v>
      </c>
      <c r="F2094" s="95">
        <v>1406</v>
      </c>
    </row>
    <row r="2095" spans="1:6">
      <c r="A2095" s="95" t="s">
        <v>3032</v>
      </c>
      <c r="F2095" s="95">
        <v>1406</v>
      </c>
    </row>
    <row r="2096" spans="1:6">
      <c r="A2096" s="95" t="s">
        <v>3033</v>
      </c>
      <c r="F2096" s="95">
        <v>1406</v>
      </c>
    </row>
    <row r="2097" spans="1:6">
      <c r="A2097" s="95" t="s">
        <v>3034</v>
      </c>
      <c r="F2097" s="95">
        <v>1406</v>
      </c>
    </row>
    <row r="2098" spans="1:6">
      <c r="A2098" s="95" t="s">
        <v>3035</v>
      </c>
      <c r="F2098" s="95">
        <v>1406</v>
      </c>
    </row>
    <row r="2099" spans="1:6">
      <c r="A2099" s="95" t="s">
        <v>3036</v>
      </c>
      <c r="F2099" s="95">
        <v>1406</v>
      </c>
    </row>
    <row r="2100" spans="1:6">
      <c r="A2100" s="95" t="s">
        <v>3037</v>
      </c>
      <c r="D2100" s="95" t="str">
        <f t="shared" si="23"/>
        <v>Ssemakula</v>
      </c>
      <c r="F2100" s="95">
        <v>1406</v>
      </c>
    </row>
    <row r="2101" spans="1:6">
      <c r="A2101" s="95" t="s">
        <v>3038</v>
      </c>
      <c r="D2101" s="95" t="str">
        <f t="shared" si="23"/>
        <v>MAGERE</v>
      </c>
      <c r="F2101" s="95">
        <v>1406</v>
      </c>
    </row>
    <row r="2102" spans="1:6">
      <c r="A2102" s="96" t="s">
        <v>3039</v>
      </c>
      <c r="D2102" s="95" t="str">
        <f t="shared" si="23"/>
        <v>Nasana</v>
      </c>
      <c r="F2102" s="95">
        <v>1406</v>
      </c>
    </row>
    <row r="2103" spans="1:6">
      <c r="A2103" s="95" t="s">
        <v>3040</v>
      </c>
      <c r="B2103" s="95" t="s">
        <v>2879</v>
      </c>
      <c r="C2103" s="95" t="s">
        <v>2880</v>
      </c>
      <c r="D2103" s="95" t="str">
        <f t="shared" si="23"/>
        <v>Ndejje</v>
      </c>
      <c r="F2103" s="95">
        <v>1407</v>
      </c>
    </row>
    <row r="2104" spans="1:6">
      <c r="A2104" s="95" t="s">
        <v>3041</v>
      </c>
      <c r="F2104" s="95">
        <v>1407</v>
      </c>
    </row>
    <row r="2105" spans="1:6">
      <c r="A2105" s="95" t="s">
        <v>3042</v>
      </c>
      <c r="F2105" s="95">
        <v>1407</v>
      </c>
    </row>
    <row r="2106" spans="1:6">
      <c r="A2106" s="95" t="s">
        <v>2879</v>
      </c>
      <c r="B2106" s="95" t="s">
        <v>2879</v>
      </c>
      <c r="C2106" s="95" t="s">
        <v>2882</v>
      </c>
      <c r="D2106" s="95" t="str">
        <f t="shared" si="23"/>
        <v>Wakiso</v>
      </c>
      <c r="F2106" s="95">
        <v>1408</v>
      </c>
    </row>
    <row r="2107" spans="1:6">
      <c r="A2107" s="95" t="s">
        <v>3043</v>
      </c>
      <c r="F2107" s="95">
        <v>1408</v>
      </c>
    </row>
    <row r="2108" spans="1:6">
      <c r="A2108" s="95" t="s">
        <v>479</v>
      </c>
      <c r="F2108" s="95">
        <v>1408</v>
      </c>
    </row>
    <row r="2109" spans="1:6">
      <c r="A2109" s="95" t="s">
        <v>3044</v>
      </c>
      <c r="F2109" s="95">
        <v>1408</v>
      </c>
    </row>
    <row r="2110" spans="1:6">
      <c r="A2110" s="95" t="s">
        <v>3045</v>
      </c>
      <c r="F2110" s="95">
        <v>1408</v>
      </c>
    </row>
    <row r="2111" spans="1:6">
      <c r="A2111" s="95" t="s">
        <v>3046</v>
      </c>
      <c r="F2111" s="95">
        <v>1408</v>
      </c>
    </row>
    <row r="2112" spans="1:6">
      <c r="A2112" s="95" t="s">
        <v>3047</v>
      </c>
      <c r="F2112" s="95">
        <v>1408</v>
      </c>
    </row>
    <row r="2113" spans="1:6">
      <c r="A2113" s="95" t="s">
        <v>463</v>
      </c>
      <c r="F2113" s="95">
        <v>1408</v>
      </c>
    </row>
    <row r="2114" spans="1:6">
      <c r="A2114" s="95" t="s">
        <v>173</v>
      </c>
      <c r="F2114" s="95">
        <v>1408</v>
      </c>
    </row>
    <row r="2115" spans="1:6">
      <c r="A2115" s="95" t="s">
        <v>350</v>
      </c>
      <c r="F2115" s="95">
        <v>1408</v>
      </c>
    </row>
    <row r="2116" spans="1:6">
      <c r="A2116" s="95" t="s">
        <v>364</v>
      </c>
      <c r="F2116" s="95">
        <v>1408</v>
      </c>
    </row>
    <row r="2117" spans="1:6">
      <c r="A2117" s="95" t="s">
        <v>341</v>
      </c>
      <c r="F2117" s="95">
        <v>1408</v>
      </c>
    </row>
    <row r="2118" spans="1:6">
      <c r="A2118" s="95" t="s">
        <v>3048</v>
      </c>
      <c r="F2118" s="95">
        <v>1408</v>
      </c>
    </row>
    <row r="2119" spans="1:6">
      <c r="A2119" s="95" t="s">
        <v>3049</v>
      </c>
      <c r="F2119" s="95">
        <v>1408</v>
      </c>
    </row>
    <row r="2120" spans="1:6">
      <c r="A2120" s="95" t="s">
        <v>3050</v>
      </c>
      <c r="F2120" s="95">
        <v>1408</v>
      </c>
    </row>
    <row r="2121" spans="1:6">
      <c r="A2121" s="95" t="s">
        <v>3051</v>
      </c>
      <c r="F2121" s="95">
        <v>1408</v>
      </c>
    </row>
    <row r="2122" spans="1:6">
      <c r="A2122" s="95" t="s">
        <v>3052</v>
      </c>
      <c r="F2122" s="95">
        <v>1408</v>
      </c>
    </row>
    <row r="2123" spans="1:6">
      <c r="A2123" s="95" t="s">
        <v>3053</v>
      </c>
      <c r="F2123" s="95">
        <v>1408</v>
      </c>
    </row>
    <row r="2124" spans="1:6">
      <c r="A2124" s="95" t="s">
        <v>3054</v>
      </c>
      <c r="B2124" s="95" t="s">
        <v>2879</v>
      </c>
      <c r="C2124" s="95" t="s">
        <v>2882</v>
      </c>
      <c r="D2124" s="95" t="str">
        <f t="shared" si="23"/>
        <v>Bulenga</v>
      </c>
      <c r="F2124" s="95">
        <v>1408</v>
      </c>
    </row>
    <row r="2125" spans="1:6">
      <c r="A2125" s="95" t="s">
        <v>3055</v>
      </c>
      <c r="F2125" s="95">
        <v>1408</v>
      </c>
    </row>
    <row r="2126" spans="1:6">
      <c r="A2126" s="95" t="s">
        <v>3056</v>
      </c>
      <c r="F2126" s="95">
        <v>1408</v>
      </c>
    </row>
    <row r="2127" spans="1:6">
      <c r="A2127" s="95" t="s">
        <v>3057</v>
      </c>
      <c r="F2127" s="95">
        <v>1408</v>
      </c>
    </row>
    <row r="2128" spans="1:6">
      <c r="A2128" s="95" t="s">
        <v>3058</v>
      </c>
      <c r="F2128" s="95">
        <v>1408</v>
      </c>
    </row>
    <row r="2129" spans="1:6">
      <c r="A2129" s="95" t="s">
        <v>3059</v>
      </c>
      <c r="F2129" s="95">
        <v>1408</v>
      </c>
    </row>
    <row r="2130" spans="1:6">
      <c r="A2130" s="95" t="s">
        <v>3060</v>
      </c>
      <c r="F2130" s="95">
        <v>1408</v>
      </c>
    </row>
    <row r="2131" spans="1:6">
      <c r="A2131" s="95" t="s">
        <v>3061</v>
      </c>
      <c r="F2131" s="95">
        <v>1408</v>
      </c>
    </row>
    <row r="2132" spans="1:6">
      <c r="A2132" s="95" t="s">
        <v>3062</v>
      </c>
      <c r="F2132" s="95">
        <v>1408</v>
      </c>
    </row>
    <row r="2133" spans="1:6">
      <c r="A2133" s="95" t="s">
        <v>3063</v>
      </c>
      <c r="B2133" s="95" t="s">
        <v>2879</v>
      </c>
      <c r="C2133" s="95" t="s">
        <v>2882</v>
      </c>
      <c r="D2133" s="95" t="str">
        <f t="shared" si="23"/>
        <v>Buloba</v>
      </c>
      <c r="F2133" s="95">
        <v>1408</v>
      </c>
    </row>
    <row r="2134" spans="1:6">
      <c r="A2134" s="95" t="s">
        <v>3064</v>
      </c>
      <c r="F2134" s="95">
        <v>1408</v>
      </c>
    </row>
    <row r="2135" spans="1:6">
      <c r="A2135" s="95" t="s">
        <v>3065</v>
      </c>
      <c r="F2135" s="95">
        <v>1408</v>
      </c>
    </row>
    <row r="2136" spans="1:6">
      <c r="A2136" s="95" t="s">
        <v>3066</v>
      </c>
      <c r="F2136" s="95">
        <v>1408</v>
      </c>
    </row>
    <row r="2137" spans="1:6">
      <c r="A2137" s="95" t="s">
        <v>3067</v>
      </c>
      <c r="F2137" s="95">
        <v>1408</v>
      </c>
    </row>
    <row r="2138" spans="1:6">
      <c r="A2138" s="95" t="s">
        <v>3068</v>
      </c>
      <c r="F2138" s="95">
        <v>1408</v>
      </c>
    </row>
    <row r="2139" spans="1:6">
      <c r="A2139" s="95" t="s">
        <v>3069</v>
      </c>
      <c r="B2139" s="95" t="s">
        <v>2879</v>
      </c>
      <c r="C2139" s="95" t="s">
        <v>2882</v>
      </c>
      <c r="D2139" s="95" t="str">
        <f t="shared" si="23"/>
        <v>Wakiso Town Council</v>
      </c>
      <c r="F2139" s="95">
        <v>1409</v>
      </c>
    </row>
    <row r="2140" spans="1:6">
      <c r="A2140" s="95" t="s">
        <v>3070</v>
      </c>
      <c r="D2140" s="95" t="str">
        <f t="shared" si="23"/>
        <v xml:space="preserve">Wakiso town  </v>
      </c>
      <c r="F2140" s="95">
        <v>1409</v>
      </c>
    </row>
    <row r="2141" spans="1:6">
      <c r="A2141" s="95" t="s">
        <v>3071</v>
      </c>
      <c r="B2141" s="95" t="s">
        <v>3072</v>
      </c>
      <c r="C2141" s="95" t="s">
        <v>3073</v>
      </c>
      <c r="D2141" s="95" t="str">
        <f t="shared" si="23"/>
        <v>Apo</v>
      </c>
      <c r="F2141" s="95">
        <v>1410</v>
      </c>
    </row>
    <row r="2142" spans="1:6">
      <c r="A2142" s="95" t="s">
        <v>3074</v>
      </c>
      <c r="B2142" s="95" t="s">
        <v>3072</v>
      </c>
      <c r="C2142" s="95" t="s">
        <v>3073</v>
      </c>
      <c r="D2142" s="95" t="str">
        <f t="shared" si="23"/>
        <v>Ariwa</v>
      </c>
      <c r="F2142" s="95">
        <v>1411</v>
      </c>
    </row>
    <row r="2143" spans="1:6">
      <c r="A2143" s="95" t="s">
        <v>3075</v>
      </c>
      <c r="B2143" s="95" t="s">
        <v>3072</v>
      </c>
      <c r="C2143" s="95" t="s">
        <v>3073</v>
      </c>
      <c r="D2143" s="95" t="str">
        <f t="shared" si="23"/>
        <v>Drajini</v>
      </c>
      <c r="F2143" s="95">
        <v>1412</v>
      </c>
    </row>
    <row r="2144" spans="1:6">
      <c r="A2144" s="95" t="s">
        <v>3076</v>
      </c>
      <c r="B2144" s="95" t="s">
        <v>3072</v>
      </c>
      <c r="C2144" s="95" t="s">
        <v>3073</v>
      </c>
      <c r="D2144" s="95" t="str">
        <f t="shared" si="23"/>
        <v>Kei</v>
      </c>
      <c r="F2144" s="95">
        <v>1413</v>
      </c>
    </row>
    <row r="2145" spans="1:6">
      <c r="A2145" s="95" t="s">
        <v>3077</v>
      </c>
      <c r="B2145" s="95" t="s">
        <v>3072</v>
      </c>
      <c r="C2145" s="95" t="s">
        <v>3073</v>
      </c>
      <c r="D2145" s="95" t="str">
        <f t="shared" si="23"/>
        <v>Kerwa</v>
      </c>
      <c r="F2145" s="95">
        <v>1414</v>
      </c>
    </row>
    <row r="2146" spans="1:6">
      <c r="A2146" s="95" t="s">
        <v>3078</v>
      </c>
      <c r="B2146" s="95" t="s">
        <v>3072</v>
      </c>
      <c r="C2146" s="95" t="s">
        <v>3073</v>
      </c>
      <c r="D2146" s="95" t="str">
        <f t="shared" si="23"/>
        <v>Kochi</v>
      </c>
      <c r="F2146" s="95">
        <v>1415</v>
      </c>
    </row>
    <row r="2147" spans="1:6">
      <c r="A2147" s="95" t="s">
        <v>3079</v>
      </c>
      <c r="B2147" s="95" t="s">
        <v>3072</v>
      </c>
      <c r="C2147" s="95" t="s">
        <v>3073</v>
      </c>
      <c r="D2147" s="95" t="str">
        <f t="shared" si="23"/>
        <v>Kululu</v>
      </c>
      <c r="F2147" s="95">
        <v>1416</v>
      </c>
    </row>
    <row r="2148" spans="1:6">
      <c r="A2148" s="95" t="s">
        <v>3080</v>
      </c>
      <c r="B2148" s="95" t="s">
        <v>3072</v>
      </c>
      <c r="C2148" s="95" t="s">
        <v>3073</v>
      </c>
      <c r="D2148" s="95" t="str">
        <f t="shared" si="23"/>
        <v>Kuru</v>
      </c>
      <c r="F2148" s="95">
        <v>1417</v>
      </c>
    </row>
    <row r="2149" spans="1:6">
      <c r="A2149" s="95" t="s">
        <v>3081</v>
      </c>
      <c r="B2149" s="95" t="s">
        <v>3072</v>
      </c>
      <c r="C2149" s="95" t="s">
        <v>3073</v>
      </c>
      <c r="D2149" s="95" t="str">
        <f t="shared" si="23"/>
        <v>Lodonga</v>
      </c>
      <c r="F2149" s="95">
        <v>1418</v>
      </c>
    </row>
    <row r="2150" spans="1:6">
      <c r="A2150" s="95" t="s">
        <v>3082</v>
      </c>
      <c r="B2150" s="95" t="s">
        <v>3072</v>
      </c>
      <c r="C2150" s="95" t="s">
        <v>3073</v>
      </c>
      <c r="D2150" s="95" t="str">
        <f t="shared" si="23"/>
        <v>Midigo</v>
      </c>
      <c r="F2150" s="95">
        <v>1419</v>
      </c>
    </row>
    <row r="2151" spans="1:6">
      <c r="A2151" s="95" t="s">
        <v>3083</v>
      </c>
      <c r="B2151" s="95" t="s">
        <v>3072</v>
      </c>
      <c r="C2151" s="95" t="s">
        <v>3073</v>
      </c>
      <c r="D2151" s="95" t="str">
        <f t="shared" si="23"/>
        <v>Odravu</v>
      </c>
      <c r="F2151" s="95">
        <v>1420</v>
      </c>
    </row>
    <row r="2152" spans="1:6">
      <c r="A2152" s="95" t="s">
        <v>3084</v>
      </c>
      <c r="B2152" s="95" t="s">
        <v>3072</v>
      </c>
      <c r="C2152" s="95" t="s">
        <v>3073</v>
      </c>
      <c r="D2152" s="95" t="str">
        <f t="shared" si="23"/>
        <v>Romogi</v>
      </c>
      <c r="F2152" s="95">
        <v>1421</v>
      </c>
    </row>
    <row r="2153" spans="1:6">
      <c r="A2153" s="95" t="s">
        <v>3085</v>
      </c>
      <c r="B2153" s="95" t="s">
        <v>3072</v>
      </c>
      <c r="C2153" s="95" t="s">
        <v>3073</v>
      </c>
      <c r="D2153" s="95" t="str">
        <f t="shared" si="23"/>
        <v>Yumbe Town Council</v>
      </c>
      <c r="F2153" s="95">
        <v>1422</v>
      </c>
    </row>
    <row r="2154" spans="1:6">
      <c r="A2154" s="95" t="s">
        <v>3072</v>
      </c>
      <c r="F2154" s="95">
        <v>1422</v>
      </c>
    </row>
    <row r="2155" spans="1:6">
      <c r="A2155" s="95" t="s">
        <v>3086</v>
      </c>
      <c r="B2155" s="95" t="s">
        <v>3087</v>
      </c>
      <c r="C2155" s="95" t="s">
        <v>3088</v>
      </c>
      <c r="D2155" s="95" t="str">
        <f t="shared" si="23"/>
        <v>Abanga</v>
      </c>
      <c r="F2155" s="95">
        <v>1423</v>
      </c>
    </row>
    <row r="2156" spans="1:6">
      <c r="A2156" s="95" t="s">
        <v>3089</v>
      </c>
      <c r="B2156" s="95" t="s">
        <v>3087</v>
      </c>
      <c r="C2156" s="95" t="s">
        <v>3088</v>
      </c>
      <c r="D2156" s="95" t="str">
        <f t="shared" si="23"/>
        <v>Atyak</v>
      </c>
      <c r="F2156" s="95">
        <v>1424</v>
      </c>
    </row>
    <row r="2157" spans="1:6">
      <c r="A2157" s="95" t="s">
        <v>3090</v>
      </c>
      <c r="B2157" s="95" t="s">
        <v>3087</v>
      </c>
      <c r="C2157" s="95" t="s">
        <v>3088</v>
      </c>
      <c r="D2157" s="95" t="str">
        <f t="shared" si="23"/>
        <v>Jangokoro</v>
      </c>
      <c r="F2157" s="95">
        <v>1425</v>
      </c>
    </row>
    <row r="2158" spans="1:6">
      <c r="A2158" s="95" t="s">
        <v>3091</v>
      </c>
      <c r="B2158" s="95" t="s">
        <v>3087</v>
      </c>
      <c r="C2158" s="95" t="s">
        <v>3088</v>
      </c>
      <c r="D2158" s="95" t="str">
        <f t="shared" si="23"/>
        <v>Kango</v>
      </c>
      <c r="F2158" s="95">
        <v>1426</v>
      </c>
    </row>
    <row r="2159" spans="1:6">
      <c r="A2159" s="95" t="s">
        <v>3092</v>
      </c>
      <c r="B2159" s="95" t="s">
        <v>3087</v>
      </c>
      <c r="C2159" s="95" t="s">
        <v>3088</v>
      </c>
      <c r="D2159" s="95" t="str">
        <f t="shared" si="23"/>
        <v>Nyapea</v>
      </c>
      <c r="F2159" s="95">
        <v>1427</v>
      </c>
    </row>
    <row r="2160" spans="1:6">
      <c r="A2160" s="95" t="s">
        <v>3093</v>
      </c>
      <c r="B2160" s="95" t="s">
        <v>3087</v>
      </c>
      <c r="C2160" s="95" t="s">
        <v>3088</v>
      </c>
      <c r="D2160" s="95" t="str">
        <f t="shared" si="23"/>
        <v>Paidha</v>
      </c>
      <c r="F2160" s="95">
        <v>1428</v>
      </c>
    </row>
    <row r="2161" spans="1:6">
      <c r="A2161" s="95" t="s">
        <v>3094</v>
      </c>
      <c r="B2161" s="95" t="s">
        <v>3087</v>
      </c>
      <c r="C2161" s="95" t="s">
        <v>3088</v>
      </c>
      <c r="D2161" s="95" t="str">
        <f t="shared" si="23"/>
        <v>Paidha Town Council</v>
      </c>
      <c r="F2161" s="95">
        <v>1429</v>
      </c>
    </row>
    <row r="2162" spans="1:6">
      <c r="A2162" s="95" t="s">
        <v>3095</v>
      </c>
      <c r="B2162" s="95" t="s">
        <v>3087</v>
      </c>
      <c r="C2162" s="95" t="s">
        <v>3088</v>
      </c>
      <c r="D2162" s="95" t="str">
        <f t="shared" si="23"/>
        <v>Warr</v>
      </c>
      <c r="F2162" s="95">
        <v>1430</v>
      </c>
    </row>
    <row r="2163" spans="1:6">
      <c r="A2163" s="95" t="s">
        <v>3096</v>
      </c>
      <c r="B2163" s="95" t="s">
        <v>3087</v>
      </c>
      <c r="C2163" s="95" t="s">
        <v>3088</v>
      </c>
      <c r="D2163" s="95" t="str">
        <f t="shared" si="23"/>
        <v>Zeu</v>
      </c>
      <c r="F2163" s="95">
        <v>1431</v>
      </c>
    </row>
    <row r="2164" spans="1:6">
      <c r="A2164" s="95" t="s">
        <v>3097</v>
      </c>
      <c r="B2164" s="95" t="s">
        <v>3087</v>
      </c>
      <c r="C2164" s="95" t="s">
        <v>3088</v>
      </c>
      <c r="D2164" s="95" t="str">
        <f t="shared" si="23"/>
        <v>Zombo Town Council</v>
      </c>
      <c r="F2164" s="95">
        <v>1432</v>
      </c>
    </row>
    <row r="2165" spans="1:6" s="99" customFormat="1">
      <c r="A2165" s="101" t="s">
        <v>3098</v>
      </c>
      <c r="B2165" s="102"/>
      <c r="C2165" s="102"/>
      <c r="D2165" s="102"/>
      <c r="E2165" s="102"/>
      <c r="F2165" s="102"/>
    </row>
    <row r="2166" spans="1:6">
      <c r="A2166" s="95" t="s">
        <v>3099</v>
      </c>
      <c r="B2166" s="95" t="s">
        <v>50</v>
      </c>
      <c r="C2166" s="95" t="s">
        <v>2856</v>
      </c>
      <c r="F2166" s="95">
        <v>1433</v>
      </c>
    </row>
    <row r="2167" spans="1:6">
      <c r="A2167" s="95" t="s">
        <v>1156</v>
      </c>
      <c r="B2167" s="95" t="s">
        <v>50</v>
      </c>
      <c r="C2167" s="95" t="s">
        <v>1156</v>
      </c>
      <c r="F2167" s="95">
        <v>1434</v>
      </c>
    </row>
    <row r="2168" spans="1:6">
      <c r="A2168" s="95" t="s">
        <v>3100</v>
      </c>
      <c r="F2168" s="95">
        <v>1434</v>
      </c>
    </row>
    <row r="2169" spans="1:6">
      <c r="A2169" s="95" t="s">
        <v>3101</v>
      </c>
      <c r="B2169" s="95" t="s">
        <v>53</v>
      </c>
      <c r="C2169" s="95" t="s">
        <v>2216</v>
      </c>
      <c r="F2169" s="95">
        <v>1435</v>
      </c>
    </row>
    <row r="2170" spans="1:6">
      <c r="A2170" s="95" t="s">
        <v>3102</v>
      </c>
      <c r="B2170" s="95" t="s">
        <v>42</v>
      </c>
      <c r="C2170" s="95" t="s">
        <v>1353</v>
      </c>
      <c r="F2170" s="95">
        <v>1436</v>
      </c>
    </row>
    <row r="2171" spans="1:6">
      <c r="A2171" s="95" t="s">
        <v>3103</v>
      </c>
      <c r="F2171" s="95">
        <v>1436</v>
      </c>
    </row>
    <row r="2172" spans="1:6">
      <c r="A2172" s="95" t="s">
        <v>3104</v>
      </c>
      <c r="B2172" s="95" t="s">
        <v>42</v>
      </c>
      <c r="C2172" s="95" t="s">
        <v>2097</v>
      </c>
      <c r="F2172" s="95">
        <v>1437</v>
      </c>
    </row>
    <row r="2173" spans="1:6">
      <c r="A2173" s="95" t="s">
        <v>3105</v>
      </c>
      <c r="B2173" s="95" t="s">
        <v>3106</v>
      </c>
      <c r="C2173" s="95" t="s">
        <v>2097</v>
      </c>
      <c r="F2173" s="95">
        <v>1438</v>
      </c>
    </row>
    <row r="2174" spans="1:6">
      <c r="A2174" s="95" t="s">
        <v>44</v>
      </c>
      <c r="F2174" s="95">
        <v>1438</v>
      </c>
    </row>
    <row r="2175" spans="1:6">
      <c r="A2175" s="95" t="s">
        <v>54</v>
      </c>
      <c r="B2175" s="95" t="s">
        <v>3106</v>
      </c>
      <c r="C2175" s="95" t="s">
        <v>1945</v>
      </c>
      <c r="F2175" s="95">
        <v>1439</v>
      </c>
    </row>
    <row r="2176" spans="1:6">
      <c r="A2176" s="95" t="s">
        <v>3107</v>
      </c>
      <c r="B2176" s="95" t="s">
        <v>3106</v>
      </c>
      <c r="C2176" s="95" t="s">
        <v>3108</v>
      </c>
      <c r="F2176" s="95">
        <v>1440</v>
      </c>
    </row>
    <row r="2177" spans="1:6">
      <c r="A2177" s="95" t="s">
        <v>3109</v>
      </c>
      <c r="B2177" s="95" t="s">
        <v>3106</v>
      </c>
      <c r="C2177" s="95" t="s">
        <v>3110</v>
      </c>
      <c r="F2177" s="95">
        <v>1441</v>
      </c>
    </row>
    <row r="2178" spans="1:6">
      <c r="A2178" s="95" t="s">
        <v>1078</v>
      </c>
      <c r="B2178" s="95" t="s">
        <v>50</v>
      </c>
      <c r="C2178" s="95" t="s">
        <v>1067</v>
      </c>
      <c r="F2178" s="95">
        <v>1442</v>
      </c>
    </row>
    <row r="2179" spans="1:6">
      <c r="A2179" s="95" t="s">
        <v>3111</v>
      </c>
      <c r="B2179" s="95" t="s">
        <v>3112</v>
      </c>
      <c r="C2179" s="95" t="s">
        <v>937</v>
      </c>
      <c r="F2179" s="95">
        <v>1443</v>
      </c>
    </row>
    <row r="2180" spans="1:6">
      <c r="A2180" s="95" t="s">
        <v>3113</v>
      </c>
      <c r="F2180" s="95">
        <v>1443</v>
      </c>
    </row>
    <row r="2181" spans="1:6">
      <c r="A2181" s="95" t="s">
        <v>3114</v>
      </c>
      <c r="F2181" s="95">
        <v>1443</v>
      </c>
    </row>
    <row r="2182" spans="1:6">
      <c r="A2182" s="95" t="s">
        <v>3115</v>
      </c>
      <c r="B2182" s="95" t="s">
        <v>3112</v>
      </c>
      <c r="C2182" s="95" t="s">
        <v>937</v>
      </c>
      <c r="F2182" s="95">
        <v>1443</v>
      </c>
    </row>
    <row r="2183" spans="1:6">
      <c r="A2183" s="95" t="s">
        <v>3116</v>
      </c>
      <c r="B2183" s="95" t="s">
        <v>42</v>
      </c>
      <c r="C2183" s="95" t="s">
        <v>3117</v>
      </c>
      <c r="F2183" s="95">
        <v>1444</v>
      </c>
    </row>
    <row r="2184" spans="1:6">
      <c r="A2184" s="95" t="s">
        <v>3118</v>
      </c>
      <c r="B2184" s="95" t="s">
        <v>3112</v>
      </c>
      <c r="C2184" s="95" t="s">
        <v>2126</v>
      </c>
      <c r="F2184" s="95">
        <v>1445</v>
      </c>
    </row>
    <row r="2185" spans="1:6">
      <c r="A2185" s="95" t="s">
        <v>3119</v>
      </c>
      <c r="B2185" s="95" t="s">
        <v>3106</v>
      </c>
      <c r="C2185" s="95" t="s">
        <v>3087</v>
      </c>
      <c r="F2185" s="95">
        <v>1446</v>
      </c>
    </row>
    <row r="2186" spans="1:6">
      <c r="A2186" s="95" t="s">
        <v>964</v>
      </c>
      <c r="B2186" s="95" t="s">
        <v>3106</v>
      </c>
      <c r="C2186" s="95" t="s">
        <v>959</v>
      </c>
      <c r="F2186" s="95">
        <v>1447</v>
      </c>
    </row>
  </sheetData>
  <pageMargins left="0.7" right="0.7" top="0.75" bottom="0.75" header="0.3" footer="0.3"/>
  <pageSetup orientation="portrait" horizontalDpi="1200" verticalDpi="120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I1532"/>
  <sheetViews>
    <sheetView topLeftCell="A410" workbookViewId="0">
      <selection activeCell="C421" sqref="C421"/>
    </sheetView>
  </sheetViews>
  <sheetFormatPr defaultRowHeight="15"/>
  <cols>
    <col min="1" max="1" width="6.5703125" style="91" customWidth="1"/>
    <col min="2" max="2" width="17.42578125" style="92" customWidth="1"/>
    <col min="3" max="3" width="16.42578125" style="92" customWidth="1"/>
    <col min="4" max="4" width="25.140625" style="92" customWidth="1"/>
    <col min="5" max="5" width="17" style="92" customWidth="1"/>
    <col min="6" max="7" width="23.28515625" style="75" customWidth="1"/>
    <col min="8" max="8" width="25.140625" style="92" customWidth="1"/>
    <col min="9" max="16384" width="9.140625" style="75"/>
  </cols>
  <sheetData>
    <row r="1" spans="1:8" ht="16.5" thickTop="1" thickBot="1">
      <c r="A1" s="77" t="s">
        <v>3120</v>
      </c>
      <c r="B1" s="78" t="s">
        <v>57</v>
      </c>
      <c r="C1" s="78" t="s">
        <v>3121</v>
      </c>
      <c r="D1" s="78" t="s">
        <v>3122</v>
      </c>
      <c r="E1" s="78" t="s">
        <v>853</v>
      </c>
      <c r="F1" s="73" t="s">
        <v>3123</v>
      </c>
      <c r="G1" s="74" t="s">
        <v>850</v>
      </c>
      <c r="H1" s="78" t="s">
        <v>3122</v>
      </c>
    </row>
    <row r="2" spans="1:8" ht="15.75" thickTop="1">
      <c r="A2" s="79">
        <v>243</v>
      </c>
      <c r="B2" s="80" t="s">
        <v>892</v>
      </c>
      <c r="C2" s="80" t="s">
        <v>893</v>
      </c>
      <c r="D2" s="80" t="s">
        <v>891</v>
      </c>
      <c r="E2" s="80"/>
      <c r="F2" s="75" t="str">
        <f>D2</f>
        <v>Abako</v>
      </c>
      <c r="G2" s="75" t="str">
        <f>B2</f>
        <v>Alebtong</v>
      </c>
      <c r="H2" s="80" t="s">
        <v>891</v>
      </c>
    </row>
    <row r="3" spans="1:8">
      <c r="A3" s="81">
        <v>295</v>
      </c>
      <c r="B3" s="82" t="s">
        <v>3087</v>
      </c>
      <c r="C3" s="82" t="s">
        <v>3088</v>
      </c>
      <c r="D3" s="82" t="s">
        <v>3086</v>
      </c>
      <c r="E3" s="82"/>
      <c r="F3" s="75" t="str">
        <f t="shared" ref="F3:F66" si="0">D3</f>
        <v>Abanga</v>
      </c>
      <c r="G3" s="75" t="str">
        <f t="shared" ref="G3:G66" si="1">B3</f>
        <v>Zombo</v>
      </c>
      <c r="H3" s="82" t="s">
        <v>3086</v>
      </c>
    </row>
    <row r="4" spans="1:8">
      <c r="A4" s="81">
        <v>886</v>
      </c>
      <c r="B4" s="82" t="s">
        <v>921</v>
      </c>
      <c r="C4" s="82" t="s">
        <v>921</v>
      </c>
      <c r="D4" s="82" t="s">
        <v>920</v>
      </c>
      <c r="E4" s="82"/>
      <c r="F4" s="75" t="str">
        <f t="shared" si="0"/>
        <v>Abarilela</v>
      </c>
      <c r="G4" s="75" t="str">
        <f t="shared" si="1"/>
        <v>Amuria</v>
      </c>
      <c r="H4" s="82" t="s">
        <v>920</v>
      </c>
    </row>
    <row r="5" spans="1:8">
      <c r="A5" s="81">
        <v>215</v>
      </c>
      <c r="B5" s="82" t="s">
        <v>2686</v>
      </c>
      <c r="C5" s="82" t="s">
        <v>2686</v>
      </c>
      <c r="D5" s="82" t="s">
        <v>2685</v>
      </c>
      <c r="E5" s="82"/>
      <c r="F5" s="75" t="str">
        <f t="shared" si="0"/>
        <v>Aber</v>
      </c>
      <c r="G5" s="75" t="str">
        <f t="shared" si="1"/>
        <v>Oyam</v>
      </c>
      <c r="H5" s="82" t="s">
        <v>2685</v>
      </c>
    </row>
    <row r="6" spans="1:8">
      <c r="A6" s="81">
        <v>244</v>
      </c>
      <c r="B6" s="82" t="s">
        <v>892</v>
      </c>
      <c r="C6" s="82" t="s">
        <v>893</v>
      </c>
      <c r="D6" s="82" t="s">
        <v>894</v>
      </c>
      <c r="E6" s="82"/>
      <c r="F6" s="75" t="str">
        <f t="shared" si="0"/>
        <v>Abia</v>
      </c>
      <c r="G6" s="75" t="str">
        <f t="shared" si="1"/>
        <v>Alebtong</v>
      </c>
      <c r="H6" s="82" t="s">
        <v>894</v>
      </c>
    </row>
    <row r="7" spans="1:8">
      <c r="A7" s="81">
        <v>151</v>
      </c>
      <c r="B7" s="82" t="s">
        <v>855</v>
      </c>
      <c r="C7" s="82" t="s">
        <v>856</v>
      </c>
      <c r="D7" s="82" t="s">
        <v>855</v>
      </c>
      <c r="E7" s="82"/>
      <c r="F7" s="75" t="str">
        <f t="shared" si="0"/>
        <v>Abim</v>
      </c>
      <c r="G7" s="75" t="str">
        <f t="shared" si="1"/>
        <v>Abim</v>
      </c>
      <c r="H7" s="82" t="s">
        <v>855</v>
      </c>
    </row>
    <row r="8" spans="1:8">
      <c r="A8" s="81">
        <v>152</v>
      </c>
      <c r="B8" s="82" t="s">
        <v>855</v>
      </c>
      <c r="C8" s="82" t="s">
        <v>856</v>
      </c>
      <c r="D8" s="82" t="s">
        <v>857</v>
      </c>
      <c r="E8" s="82"/>
      <c r="F8" s="75" t="str">
        <f t="shared" si="0"/>
        <v>Abim Town Council</v>
      </c>
      <c r="G8" s="75" t="str">
        <f t="shared" si="1"/>
        <v>Abim</v>
      </c>
      <c r="H8" s="82" t="s">
        <v>857</v>
      </c>
    </row>
    <row r="9" spans="1:8">
      <c r="A9" s="81">
        <v>107</v>
      </c>
      <c r="B9" s="82" t="s">
        <v>2616</v>
      </c>
      <c r="C9" s="83" t="s">
        <v>2622</v>
      </c>
      <c r="D9" s="82" t="s">
        <v>3124</v>
      </c>
      <c r="E9" s="82"/>
      <c r="F9" s="76" t="str">
        <f>VLOOKUP(C9,[2]Municipalities!$C$9:$F$1522,4,FALSE)</f>
        <v>Nebbi Municipality</v>
      </c>
      <c r="G9" s="75" t="str">
        <f t="shared" si="1"/>
        <v>Nebbi</v>
      </c>
      <c r="H9" s="82" t="s">
        <v>3124</v>
      </c>
    </row>
    <row r="10" spans="1:8">
      <c r="A10" s="81">
        <v>216</v>
      </c>
      <c r="B10" s="82" t="s">
        <v>2686</v>
      </c>
      <c r="C10" s="82" t="s">
        <v>2686</v>
      </c>
      <c r="D10" s="82" t="s">
        <v>2687</v>
      </c>
      <c r="E10" s="82"/>
      <c r="F10" s="75" t="str">
        <f t="shared" si="0"/>
        <v>Abok</v>
      </c>
      <c r="G10" s="75" t="str">
        <f t="shared" si="1"/>
        <v>Oyam</v>
      </c>
      <c r="H10" s="82" t="s">
        <v>2687</v>
      </c>
    </row>
    <row r="11" spans="1:8">
      <c r="A11" s="81">
        <v>256</v>
      </c>
      <c r="B11" s="82" t="s">
        <v>2134</v>
      </c>
      <c r="C11" s="82" t="s">
        <v>2134</v>
      </c>
      <c r="D11" s="82" t="s">
        <v>2133</v>
      </c>
      <c r="E11" s="82"/>
      <c r="F11" s="75" t="str">
        <f t="shared" si="0"/>
        <v>Aboke</v>
      </c>
      <c r="G11" s="75" t="str">
        <f t="shared" si="1"/>
        <v>Kole</v>
      </c>
      <c r="H11" s="82" t="s">
        <v>2133</v>
      </c>
    </row>
    <row r="12" spans="1:8">
      <c r="A12" s="81">
        <v>11</v>
      </c>
      <c r="B12" s="82" t="s">
        <v>945</v>
      </c>
      <c r="C12" s="82" t="s">
        <v>946</v>
      </c>
      <c r="D12" s="82" t="s">
        <v>3125</v>
      </c>
      <c r="E12" s="82"/>
      <c r="F12" s="75" t="str">
        <f t="shared" si="0"/>
        <v>Abongomola</v>
      </c>
      <c r="G12" s="75" t="str">
        <f t="shared" si="1"/>
        <v>Apac</v>
      </c>
      <c r="H12" s="82" t="s">
        <v>3125</v>
      </c>
    </row>
    <row r="13" spans="1:8">
      <c r="A13" s="81">
        <v>198</v>
      </c>
      <c r="B13" s="82" t="s">
        <v>2126</v>
      </c>
      <c r="C13" s="82" t="s">
        <v>2126</v>
      </c>
      <c r="D13" s="82" t="s">
        <v>2125</v>
      </c>
      <c r="E13" s="82"/>
      <c r="F13" s="75" t="str">
        <f t="shared" si="0"/>
        <v>Abuku</v>
      </c>
      <c r="G13" s="75" t="str">
        <f t="shared" si="1"/>
        <v>Koboko</v>
      </c>
      <c r="H13" s="82" t="s">
        <v>2125</v>
      </c>
    </row>
    <row r="14" spans="1:8">
      <c r="A14" s="81">
        <v>217</v>
      </c>
      <c r="B14" s="82" t="s">
        <v>2686</v>
      </c>
      <c r="C14" s="82" t="s">
        <v>2686</v>
      </c>
      <c r="D14" s="82" t="s">
        <v>2688</v>
      </c>
      <c r="E14" s="82"/>
      <c r="F14" s="75" t="str">
        <f t="shared" si="0"/>
        <v>Acaba</v>
      </c>
      <c r="G14" s="75" t="str">
        <f t="shared" si="1"/>
        <v>Oyam</v>
      </c>
      <c r="H14" s="82" t="s">
        <v>2688</v>
      </c>
    </row>
    <row r="15" spans="1:8">
      <c r="A15" s="81">
        <v>126</v>
      </c>
      <c r="B15" s="82" t="s">
        <v>2700</v>
      </c>
      <c r="C15" s="82" t="s">
        <v>2701</v>
      </c>
      <c r="D15" s="82" t="s">
        <v>2699</v>
      </c>
      <c r="E15" s="82"/>
      <c r="F15" s="75" t="str">
        <f t="shared" si="0"/>
        <v>Acholibur</v>
      </c>
      <c r="G15" s="75" t="str">
        <f t="shared" si="1"/>
        <v>Pader</v>
      </c>
      <c r="H15" s="82" t="s">
        <v>2699</v>
      </c>
    </row>
    <row r="16" spans="1:8">
      <c r="A16" s="81">
        <v>897</v>
      </c>
      <c r="B16" s="82" t="s">
        <v>921</v>
      </c>
      <c r="C16" s="82" t="s">
        <v>923</v>
      </c>
      <c r="D16" s="82" t="s">
        <v>922</v>
      </c>
      <c r="E16" s="82"/>
      <c r="F16" s="75" t="str">
        <f t="shared" si="0"/>
        <v>Acowa</v>
      </c>
      <c r="G16" s="75" t="str">
        <f t="shared" si="1"/>
        <v>Amuria</v>
      </c>
      <c r="H16" s="82" t="s">
        <v>922</v>
      </c>
    </row>
    <row r="17" spans="1:8">
      <c r="A17" s="81">
        <v>173</v>
      </c>
      <c r="B17" s="82" t="s">
        <v>1222</v>
      </c>
      <c r="C17" s="82" t="s">
        <v>1222</v>
      </c>
      <c r="D17" s="82" t="s">
        <v>1221</v>
      </c>
      <c r="E17" s="82"/>
      <c r="F17" s="75" t="str">
        <f t="shared" si="0"/>
        <v>Adeknino</v>
      </c>
      <c r="G17" s="75" t="str">
        <f t="shared" si="1"/>
        <v>Dokolo</v>
      </c>
      <c r="H17" s="82" t="s">
        <v>1221</v>
      </c>
    </row>
    <row r="18" spans="1:8">
      <c r="A18" s="81">
        <v>79</v>
      </c>
      <c r="B18" s="82" t="s">
        <v>2236</v>
      </c>
      <c r="C18" s="82" t="s">
        <v>2237</v>
      </c>
      <c r="D18" s="82" t="s">
        <v>2235</v>
      </c>
      <c r="E18" s="82"/>
      <c r="F18" s="75" t="str">
        <f t="shared" si="0"/>
        <v>Adekokwok</v>
      </c>
      <c r="G18" s="75" t="str">
        <f t="shared" si="1"/>
        <v>Lira</v>
      </c>
      <c r="H18" s="82" t="s">
        <v>2235</v>
      </c>
    </row>
    <row r="19" spans="1:8">
      <c r="A19" s="81">
        <v>227</v>
      </c>
      <c r="B19" s="82" t="s">
        <v>875</v>
      </c>
      <c r="C19" s="82" t="s">
        <v>875</v>
      </c>
      <c r="D19" s="82" t="s">
        <v>874</v>
      </c>
      <c r="E19" s="82"/>
      <c r="F19" s="75" t="str">
        <f t="shared" si="0"/>
        <v>Adilang</v>
      </c>
      <c r="G19" s="75" t="str">
        <f t="shared" si="1"/>
        <v>Agago</v>
      </c>
      <c r="H19" s="82" t="s">
        <v>874</v>
      </c>
    </row>
    <row r="20" spans="1:8">
      <c r="A20" s="81">
        <v>1</v>
      </c>
      <c r="B20" s="82" t="s">
        <v>863</v>
      </c>
      <c r="C20" s="82" t="s">
        <v>864</v>
      </c>
      <c r="D20" s="82" t="s">
        <v>862</v>
      </c>
      <c r="E20" s="82"/>
      <c r="F20" s="75" t="str">
        <f t="shared" si="0"/>
        <v>Adjumani Town Council</v>
      </c>
      <c r="G20" s="75" t="str">
        <f t="shared" si="1"/>
        <v>Adjumani</v>
      </c>
      <c r="H20" s="82" t="s">
        <v>862</v>
      </c>
    </row>
    <row r="21" spans="1:8">
      <c r="A21" s="81">
        <v>174</v>
      </c>
      <c r="B21" s="82" t="s">
        <v>1222</v>
      </c>
      <c r="C21" s="82" t="s">
        <v>1222</v>
      </c>
      <c r="D21" s="82" t="s">
        <v>1223</v>
      </c>
      <c r="E21" s="82"/>
      <c r="F21" s="75" t="str">
        <f t="shared" si="0"/>
        <v>Adok</v>
      </c>
      <c r="G21" s="75" t="str">
        <f t="shared" si="1"/>
        <v>Dokolo</v>
      </c>
      <c r="H21" s="82" t="s">
        <v>1223</v>
      </c>
    </row>
    <row r="22" spans="1:8">
      <c r="A22" s="81">
        <v>2</v>
      </c>
      <c r="B22" s="82" t="s">
        <v>863</v>
      </c>
      <c r="C22" s="82" t="s">
        <v>864</v>
      </c>
      <c r="D22" s="82" t="s">
        <v>865</v>
      </c>
      <c r="E22" s="82"/>
      <c r="F22" s="75" t="str">
        <f t="shared" si="0"/>
        <v>Adropi</v>
      </c>
      <c r="G22" s="75" t="str">
        <f t="shared" si="1"/>
        <v>Adjumani</v>
      </c>
      <c r="H22" s="82" t="s">
        <v>865</v>
      </c>
    </row>
    <row r="23" spans="1:8">
      <c r="A23" s="81">
        <v>12</v>
      </c>
      <c r="B23" s="82" t="s">
        <v>945</v>
      </c>
      <c r="C23" s="82" t="s">
        <v>946</v>
      </c>
      <c r="D23" s="82" t="s">
        <v>947</v>
      </c>
      <c r="E23" s="82"/>
      <c r="F23" s="75" t="str">
        <f t="shared" si="0"/>
        <v>Aduku</v>
      </c>
      <c r="G23" s="75" t="str">
        <f t="shared" si="1"/>
        <v>Apac</v>
      </c>
      <c r="H23" s="82" t="s">
        <v>947</v>
      </c>
    </row>
    <row r="24" spans="1:8">
      <c r="A24" s="81">
        <v>13</v>
      </c>
      <c r="B24" s="82" t="s">
        <v>945</v>
      </c>
      <c r="C24" s="82" t="s">
        <v>946</v>
      </c>
      <c r="D24" s="82" t="s">
        <v>948</v>
      </c>
      <c r="E24" s="82"/>
      <c r="F24" s="75" t="str">
        <f t="shared" si="0"/>
        <v>Aduku Town Council</v>
      </c>
      <c r="G24" s="75" t="str">
        <f t="shared" si="1"/>
        <v>Apac</v>
      </c>
      <c r="H24" s="82" t="s">
        <v>948</v>
      </c>
    </row>
    <row r="25" spans="1:8">
      <c r="A25" s="81">
        <v>24</v>
      </c>
      <c r="B25" s="82" t="s">
        <v>959</v>
      </c>
      <c r="C25" s="82" t="s">
        <v>960</v>
      </c>
      <c r="D25" s="82" t="s">
        <v>958</v>
      </c>
      <c r="E25" s="82"/>
      <c r="F25" s="75" t="str">
        <f t="shared" si="0"/>
        <v>Adumi</v>
      </c>
      <c r="G25" s="75" t="str">
        <f t="shared" si="1"/>
        <v>Arua</v>
      </c>
      <c r="H25" s="82" t="s">
        <v>958</v>
      </c>
    </row>
    <row r="26" spans="1:8">
      <c r="A26" s="81">
        <v>287</v>
      </c>
      <c r="B26" s="82" t="s">
        <v>2677</v>
      </c>
      <c r="C26" s="82" t="s">
        <v>2677</v>
      </c>
      <c r="D26" s="82" t="s">
        <v>2676</v>
      </c>
      <c r="E26" s="82"/>
      <c r="F26" s="75" t="str">
        <f t="shared" si="0"/>
        <v>Adwari</v>
      </c>
      <c r="G26" s="75" t="str">
        <f t="shared" si="1"/>
        <v>Otuke</v>
      </c>
      <c r="H26" s="82" t="s">
        <v>2676</v>
      </c>
    </row>
    <row r="27" spans="1:8">
      <c r="A27" s="81">
        <v>88</v>
      </c>
      <c r="B27" s="82" t="s">
        <v>2236</v>
      </c>
      <c r="C27" s="83" t="s">
        <v>2243</v>
      </c>
      <c r="D27" s="82" t="s">
        <v>3126</v>
      </c>
      <c r="E27" s="82"/>
      <c r="F27" s="76" t="str">
        <f>VLOOKUP(C27,[2]Municipalities!$C$9:$F$1522,4,FALSE)</f>
        <v>Lira Municipality</v>
      </c>
      <c r="G27" s="75" t="str">
        <f t="shared" si="1"/>
        <v>Lira</v>
      </c>
      <c r="H27" s="82" t="s">
        <v>3126</v>
      </c>
    </row>
    <row r="28" spans="1:8">
      <c r="A28" s="81">
        <v>228</v>
      </c>
      <c r="B28" s="82" t="s">
        <v>875</v>
      </c>
      <c r="C28" s="82" t="s">
        <v>875</v>
      </c>
      <c r="D28" s="82" t="s">
        <v>876</v>
      </c>
      <c r="E28" s="82"/>
      <c r="F28" s="75" t="str">
        <f t="shared" si="0"/>
        <v>Agago Town Council</v>
      </c>
      <c r="G28" s="75" t="str">
        <f t="shared" si="1"/>
        <v>Agago</v>
      </c>
      <c r="H28" s="82" t="s">
        <v>876</v>
      </c>
    </row>
    <row r="29" spans="1:8">
      <c r="A29" s="81">
        <v>80</v>
      </c>
      <c r="B29" s="82" t="s">
        <v>2236</v>
      </c>
      <c r="C29" s="82" t="s">
        <v>2237</v>
      </c>
      <c r="D29" s="82" t="s">
        <v>2238</v>
      </c>
      <c r="E29" s="82"/>
      <c r="F29" s="75" t="str">
        <f t="shared" si="0"/>
        <v>Agali</v>
      </c>
      <c r="G29" s="75" t="str">
        <f t="shared" si="1"/>
        <v>Lira</v>
      </c>
      <c r="H29" s="82" t="s">
        <v>2238</v>
      </c>
    </row>
    <row r="30" spans="1:8">
      <c r="A30" s="81">
        <v>157</v>
      </c>
      <c r="B30" s="82" t="s">
        <v>903</v>
      </c>
      <c r="C30" s="82" t="s">
        <v>904</v>
      </c>
      <c r="D30" s="82" t="s">
        <v>902</v>
      </c>
      <c r="E30" s="82"/>
      <c r="F30" s="75" t="str">
        <f t="shared" si="0"/>
        <v>Agikdak</v>
      </c>
      <c r="G30" s="75" t="str">
        <f t="shared" si="1"/>
        <v>Amolatar</v>
      </c>
      <c r="H30" s="82" t="s">
        <v>902</v>
      </c>
    </row>
    <row r="31" spans="1:8">
      <c r="A31" s="81">
        <v>263</v>
      </c>
      <c r="B31" s="82" t="s">
        <v>2228</v>
      </c>
      <c r="C31" s="82" t="s">
        <v>2228</v>
      </c>
      <c r="D31" s="82" t="s">
        <v>2227</v>
      </c>
      <c r="E31" s="82"/>
      <c r="F31" s="75" t="str">
        <f t="shared" si="0"/>
        <v>Agoro</v>
      </c>
      <c r="G31" s="75" t="str">
        <f t="shared" si="1"/>
        <v>Lamwo</v>
      </c>
      <c r="H31" s="82" t="s">
        <v>2227</v>
      </c>
    </row>
    <row r="32" spans="1:8">
      <c r="A32" s="81">
        <v>802</v>
      </c>
      <c r="B32" s="82" t="s">
        <v>2721</v>
      </c>
      <c r="C32" s="82" t="s">
        <v>2720</v>
      </c>
      <c r="D32" s="82" t="s">
        <v>2720</v>
      </c>
      <c r="E32" s="82"/>
      <c r="F32" s="75" t="str">
        <f t="shared" si="0"/>
        <v>Agule</v>
      </c>
      <c r="G32" s="75" t="str">
        <f t="shared" si="1"/>
        <v>Pallisa</v>
      </c>
      <c r="H32" s="82" t="s">
        <v>2720</v>
      </c>
    </row>
    <row r="33" spans="1:8">
      <c r="A33" s="81">
        <v>175</v>
      </c>
      <c r="B33" s="82" t="s">
        <v>1222</v>
      </c>
      <c r="C33" s="82" t="s">
        <v>1222</v>
      </c>
      <c r="D33" s="82" t="s">
        <v>1224</v>
      </c>
      <c r="E33" s="82"/>
      <c r="F33" s="75" t="str">
        <f t="shared" si="0"/>
        <v>Agwata</v>
      </c>
      <c r="G33" s="75" t="str">
        <f t="shared" si="1"/>
        <v>Dokolo</v>
      </c>
      <c r="H33" s="82" t="s">
        <v>1224</v>
      </c>
    </row>
    <row r="34" spans="1:8">
      <c r="A34" s="81">
        <v>81</v>
      </c>
      <c r="B34" s="82" t="s">
        <v>2236</v>
      </c>
      <c r="C34" s="82" t="s">
        <v>2237</v>
      </c>
      <c r="D34" s="82" t="s">
        <v>2239</v>
      </c>
      <c r="E34" s="82"/>
      <c r="F34" s="75" t="str">
        <f t="shared" si="0"/>
        <v>Agweng</v>
      </c>
      <c r="G34" s="75" t="str">
        <f t="shared" si="1"/>
        <v>Lira</v>
      </c>
      <c r="H34" s="82" t="s">
        <v>2239</v>
      </c>
    </row>
    <row r="35" spans="1:8">
      <c r="A35" s="81">
        <v>158</v>
      </c>
      <c r="B35" s="82" t="s">
        <v>903</v>
      </c>
      <c r="C35" s="82" t="s">
        <v>904</v>
      </c>
      <c r="D35" s="82" t="s">
        <v>905</v>
      </c>
      <c r="E35" s="82"/>
      <c r="F35" s="75" t="str">
        <f t="shared" si="0"/>
        <v>Agwingiri</v>
      </c>
      <c r="G35" s="75" t="str">
        <f t="shared" si="1"/>
        <v>Amolatar</v>
      </c>
      <c r="H35" s="82" t="s">
        <v>905</v>
      </c>
    </row>
    <row r="36" spans="1:8">
      <c r="A36" s="81">
        <v>40</v>
      </c>
      <c r="B36" s="82" t="s">
        <v>959</v>
      </c>
      <c r="C36" s="82" t="s">
        <v>962</v>
      </c>
      <c r="D36" s="82" t="s">
        <v>961</v>
      </c>
      <c r="E36" s="82"/>
      <c r="F36" s="75" t="str">
        <f t="shared" si="0"/>
        <v>Aii-Vu</v>
      </c>
      <c r="G36" s="75" t="str">
        <f t="shared" si="1"/>
        <v>Arua</v>
      </c>
      <c r="H36" s="82" t="s">
        <v>961</v>
      </c>
    </row>
    <row r="37" spans="1:8">
      <c r="A37" s="81">
        <v>46</v>
      </c>
      <c r="B37" s="82" t="s">
        <v>959</v>
      </c>
      <c r="C37" s="82" t="s">
        <v>964</v>
      </c>
      <c r="D37" s="82" t="s">
        <v>963</v>
      </c>
      <c r="E37" s="82"/>
      <c r="F37" s="75" t="str">
        <f t="shared" si="0"/>
        <v>Ajia</v>
      </c>
      <c r="G37" s="75" t="str">
        <f t="shared" si="1"/>
        <v>Arua</v>
      </c>
      <c r="H37" s="82" t="s">
        <v>963</v>
      </c>
    </row>
    <row r="38" spans="1:8">
      <c r="A38" s="81">
        <v>257</v>
      </c>
      <c r="B38" s="82" t="s">
        <v>2134</v>
      </c>
      <c r="C38" s="82" t="s">
        <v>2134</v>
      </c>
      <c r="D38" s="82" t="s">
        <v>2135</v>
      </c>
      <c r="E38" s="82"/>
      <c r="F38" s="75" t="str">
        <f t="shared" si="0"/>
        <v>Akalo</v>
      </c>
      <c r="G38" s="75" t="str">
        <f t="shared" si="1"/>
        <v>Kole</v>
      </c>
      <c r="H38" s="82" t="s">
        <v>2135</v>
      </c>
    </row>
    <row r="39" spans="1:8">
      <c r="A39" s="81">
        <v>887</v>
      </c>
      <c r="B39" s="82" t="s">
        <v>921</v>
      </c>
      <c r="C39" s="82" t="s">
        <v>921</v>
      </c>
      <c r="D39" s="82" t="s">
        <v>924</v>
      </c>
      <c r="E39" s="82"/>
      <c r="F39" s="75" t="str">
        <f t="shared" si="0"/>
        <v>Akeriau</v>
      </c>
      <c r="G39" s="75" t="str">
        <f t="shared" si="1"/>
        <v>Amuria</v>
      </c>
      <c r="H39" s="82" t="s">
        <v>924</v>
      </c>
    </row>
    <row r="40" spans="1:8">
      <c r="A40" s="81">
        <v>803</v>
      </c>
      <c r="B40" s="82" t="s">
        <v>2721</v>
      </c>
      <c r="C40" s="82" t="s">
        <v>2720</v>
      </c>
      <c r="D40" s="82" t="s">
        <v>2722</v>
      </c>
      <c r="E40" s="82"/>
      <c r="F40" s="75" t="str">
        <f t="shared" si="0"/>
        <v>Akisim</v>
      </c>
      <c r="G40" s="75" t="str">
        <f t="shared" si="1"/>
        <v>Pallisa</v>
      </c>
      <c r="H40" s="82" t="s">
        <v>2722</v>
      </c>
    </row>
    <row r="41" spans="1:8">
      <c r="A41" s="81">
        <v>17</v>
      </c>
      <c r="B41" s="82" t="s">
        <v>945</v>
      </c>
      <c r="C41" s="82" t="s">
        <v>950</v>
      </c>
      <c r="D41" s="82" t="s">
        <v>949</v>
      </c>
      <c r="E41" s="82"/>
      <c r="F41" s="75" t="str">
        <f t="shared" si="0"/>
        <v>Akokoro</v>
      </c>
      <c r="G41" s="75" t="str">
        <f t="shared" si="1"/>
        <v>Apac</v>
      </c>
      <c r="H41" s="82" t="s">
        <v>949</v>
      </c>
    </row>
    <row r="42" spans="1:8">
      <c r="A42" s="81">
        <v>898</v>
      </c>
      <c r="B42" s="82" t="s">
        <v>921</v>
      </c>
      <c r="C42" s="82" t="s">
        <v>923</v>
      </c>
      <c r="D42" s="82" t="s">
        <v>925</v>
      </c>
      <c r="E42" s="82"/>
      <c r="F42" s="75" t="str">
        <f t="shared" si="0"/>
        <v>Akoromit</v>
      </c>
      <c r="G42" s="75" t="str">
        <f t="shared" si="1"/>
        <v>Amuria</v>
      </c>
      <c r="H42" s="82" t="s">
        <v>925</v>
      </c>
    </row>
    <row r="43" spans="1:8">
      <c r="A43" s="81">
        <v>245</v>
      </c>
      <c r="B43" s="82" t="s">
        <v>892</v>
      </c>
      <c r="C43" s="82" t="s">
        <v>893</v>
      </c>
      <c r="D43" s="82" t="s">
        <v>895</v>
      </c>
      <c r="E43" s="82"/>
      <c r="F43" s="75" t="str">
        <f t="shared" si="0"/>
        <v>Akura</v>
      </c>
      <c r="G43" s="75" t="str">
        <f t="shared" si="1"/>
        <v>Alebtong</v>
      </c>
      <c r="H43" s="82" t="s">
        <v>895</v>
      </c>
    </row>
    <row r="44" spans="1:8">
      <c r="A44" s="81">
        <v>159</v>
      </c>
      <c r="B44" s="82" t="s">
        <v>903</v>
      </c>
      <c r="C44" s="82" t="s">
        <v>904</v>
      </c>
      <c r="D44" s="82" t="s">
        <v>906</v>
      </c>
      <c r="E44" s="82"/>
      <c r="F44" s="75" t="str">
        <f t="shared" si="0"/>
        <v>Akwon</v>
      </c>
      <c r="G44" s="75" t="str">
        <f t="shared" si="1"/>
        <v>Amolatar</v>
      </c>
      <c r="H44" s="82" t="s">
        <v>906</v>
      </c>
    </row>
    <row r="45" spans="1:8">
      <c r="A45" s="81">
        <v>110</v>
      </c>
      <c r="B45" s="82" t="s">
        <v>2616</v>
      </c>
      <c r="C45" s="82" t="s">
        <v>2617</v>
      </c>
      <c r="D45" s="82" t="s">
        <v>2615</v>
      </c>
      <c r="E45" s="82"/>
      <c r="F45" s="75" t="str">
        <f t="shared" si="0"/>
        <v>Akworo</v>
      </c>
      <c r="G45" s="75" t="str">
        <f t="shared" si="1"/>
        <v>Nebbi</v>
      </c>
      <c r="H45" s="82" t="s">
        <v>2615</v>
      </c>
    </row>
    <row r="46" spans="1:8">
      <c r="A46" s="81">
        <v>288</v>
      </c>
      <c r="B46" s="82" t="s">
        <v>2677</v>
      </c>
      <c r="C46" s="82" t="s">
        <v>2677</v>
      </c>
      <c r="D46" s="82" t="s">
        <v>2678</v>
      </c>
      <c r="E46" s="82"/>
      <c r="F46" s="75" t="str">
        <f t="shared" si="0"/>
        <v>Alango</v>
      </c>
      <c r="G46" s="75" t="str">
        <f t="shared" si="1"/>
        <v>Otuke</v>
      </c>
      <c r="H46" s="82" t="s">
        <v>2678</v>
      </c>
    </row>
    <row r="47" spans="1:8">
      <c r="A47" s="81">
        <v>246</v>
      </c>
      <c r="B47" s="82" t="s">
        <v>892</v>
      </c>
      <c r="C47" s="82" t="s">
        <v>893</v>
      </c>
      <c r="D47" s="82" t="s">
        <v>896</v>
      </c>
      <c r="E47" s="82"/>
      <c r="F47" s="75" t="str">
        <f t="shared" si="0"/>
        <v>Alebtong Town Council</v>
      </c>
      <c r="G47" s="75" t="str">
        <f t="shared" si="1"/>
        <v>Alebtong</v>
      </c>
      <c r="H47" s="82" t="s">
        <v>896</v>
      </c>
    </row>
    <row r="48" spans="1:8">
      <c r="A48" s="81">
        <v>218</v>
      </c>
      <c r="B48" s="82" t="s">
        <v>2686</v>
      </c>
      <c r="C48" s="82" t="s">
        <v>2686</v>
      </c>
      <c r="D48" s="82" t="s">
        <v>2689</v>
      </c>
      <c r="E48" s="82"/>
      <c r="F48" s="75" t="str">
        <f t="shared" si="0"/>
        <v>Aleka</v>
      </c>
      <c r="G48" s="75" t="str">
        <f t="shared" si="1"/>
        <v>Oyam</v>
      </c>
      <c r="H48" s="82" t="s">
        <v>2689</v>
      </c>
    </row>
    <row r="49" spans="1:8">
      <c r="A49" s="81">
        <v>153</v>
      </c>
      <c r="B49" s="82" t="s">
        <v>855</v>
      </c>
      <c r="C49" s="82" t="s">
        <v>856</v>
      </c>
      <c r="D49" s="82" t="s">
        <v>858</v>
      </c>
      <c r="E49" s="82"/>
      <c r="F49" s="75" t="str">
        <f t="shared" si="0"/>
        <v>Alerek</v>
      </c>
      <c r="G49" s="75" t="str">
        <f t="shared" si="1"/>
        <v>Abim</v>
      </c>
      <c r="H49" s="82" t="s">
        <v>858</v>
      </c>
    </row>
    <row r="50" spans="1:8">
      <c r="A50" s="81">
        <v>282</v>
      </c>
      <c r="B50" s="82" t="s">
        <v>2664</v>
      </c>
      <c r="C50" s="82" t="s">
        <v>2664</v>
      </c>
      <c r="D50" s="82" t="s">
        <v>2663</v>
      </c>
      <c r="E50" s="82"/>
      <c r="F50" s="75" t="str">
        <f t="shared" si="0"/>
        <v>Alero</v>
      </c>
      <c r="G50" s="75" t="str">
        <f t="shared" si="1"/>
        <v>Nwoya</v>
      </c>
      <c r="H50" s="82" t="s">
        <v>2663</v>
      </c>
    </row>
    <row r="51" spans="1:8">
      <c r="A51" s="81">
        <v>98</v>
      </c>
      <c r="B51" s="82" t="s">
        <v>2449</v>
      </c>
      <c r="C51" s="82" t="s">
        <v>2450</v>
      </c>
      <c r="D51" s="82" t="s">
        <v>2448</v>
      </c>
      <c r="E51" s="82"/>
      <c r="F51" s="75" t="str">
        <f t="shared" si="0"/>
        <v>Aliba</v>
      </c>
      <c r="G51" s="75" t="str">
        <f t="shared" si="1"/>
        <v>Moyo</v>
      </c>
      <c r="H51" s="82" t="s">
        <v>2448</v>
      </c>
    </row>
    <row r="52" spans="1:8">
      <c r="A52" s="81">
        <v>258</v>
      </c>
      <c r="B52" s="82" t="s">
        <v>2134</v>
      </c>
      <c r="C52" s="82" t="s">
        <v>2134</v>
      </c>
      <c r="D52" s="82" t="s">
        <v>2136</v>
      </c>
      <c r="E52" s="82"/>
      <c r="F52" s="75" t="str">
        <f t="shared" si="0"/>
        <v>Alito</v>
      </c>
      <c r="G52" s="75" t="str">
        <f t="shared" si="1"/>
        <v>Kole</v>
      </c>
      <c r="H52" s="82" t="s">
        <v>2136</v>
      </c>
    </row>
    <row r="53" spans="1:8">
      <c r="A53" s="81">
        <v>247</v>
      </c>
      <c r="B53" s="82" t="s">
        <v>892</v>
      </c>
      <c r="C53" s="82" t="s">
        <v>893</v>
      </c>
      <c r="D53" s="82" t="s">
        <v>897</v>
      </c>
      <c r="E53" s="82"/>
      <c r="F53" s="75" t="str">
        <f t="shared" si="0"/>
        <v>Aloi</v>
      </c>
      <c r="G53" s="75" t="str">
        <f t="shared" si="1"/>
        <v>Alebtong</v>
      </c>
      <c r="H53" s="82" t="s">
        <v>897</v>
      </c>
    </row>
    <row r="54" spans="1:8">
      <c r="A54" s="81">
        <v>839</v>
      </c>
      <c r="B54" s="82" t="s">
        <v>1386</v>
      </c>
      <c r="C54" s="82" t="s">
        <v>1386</v>
      </c>
      <c r="D54" s="82" t="s">
        <v>1385</v>
      </c>
      <c r="E54" s="82"/>
      <c r="F54" s="75" t="str">
        <f t="shared" si="0"/>
        <v>Alwa</v>
      </c>
      <c r="G54" s="75" t="str">
        <f t="shared" si="1"/>
        <v>Kaberamaido</v>
      </c>
      <c r="H54" s="82" t="s">
        <v>1385</v>
      </c>
    </row>
    <row r="55" spans="1:8">
      <c r="A55" s="81">
        <v>312</v>
      </c>
      <c r="B55" s="82" t="s">
        <v>2713</v>
      </c>
      <c r="C55" s="82" t="s">
        <v>2714</v>
      </c>
      <c r="D55" s="82" t="s">
        <v>2712</v>
      </c>
      <c r="E55" s="82"/>
      <c r="F55" s="75" t="str">
        <f t="shared" si="0"/>
        <v>Alwi</v>
      </c>
      <c r="G55" s="75" t="str">
        <f t="shared" si="1"/>
        <v>Pakwach</v>
      </c>
      <c r="H55" s="82" t="s">
        <v>2712</v>
      </c>
    </row>
    <row r="56" spans="1:8">
      <c r="A56" s="81">
        <v>82</v>
      </c>
      <c r="B56" s="82" t="s">
        <v>2236</v>
      </c>
      <c r="C56" s="82" t="s">
        <v>2237</v>
      </c>
      <c r="D56" s="82" t="s">
        <v>2240</v>
      </c>
      <c r="E56" s="82"/>
      <c r="F56" s="75" t="str">
        <f t="shared" si="0"/>
        <v>Amach</v>
      </c>
      <c r="G56" s="75" t="str">
        <f t="shared" si="1"/>
        <v>Lira</v>
      </c>
      <c r="H56" s="82" t="s">
        <v>2240</v>
      </c>
    </row>
    <row r="57" spans="1:8">
      <c r="A57" s="81">
        <v>160</v>
      </c>
      <c r="B57" s="82" t="s">
        <v>903</v>
      </c>
      <c r="C57" s="82" t="s">
        <v>904</v>
      </c>
      <c r="D57" s="82" t="s">
        <v>907</v>
      </c>
      <c r="E57" s="82"/>
      <c r="F57" s="75" t="str">
        <f t="shared" si="0"/>
        <v>Amolatar Town Council</v>
      </c>
      <c r="G57" s="75" t="str">
        <f t="shared" si="1"/>
        <v>Amolatar</v>
      </c>
      <c r="H57" s="82" t="s">
        <v>907</v>
      </c>
    </row>
    <row r="58" spans="1:8">
      <c r="A58" s="81">
        <v>252</v>
      </c>
      <c r="B58" s="82" t="s">
        <v>915</v>
      </c>
      <c r="C58" s="82" t="s">
        <v>916</v>
      </c>
      <c r="D58" s="82" t="s">
        <v>915</v>
      </c>
      <c r="E58" s="82"/>
      <c r="F58" s="75" t="str">
        <f t="shared" si="0"/>
        <v>Amudat</v>
      </c>
      <c r="G58" s="75" t="str">
        <f t="shared" si="1"/>
        <v>Amudat</v>
      </c>
      <c r="H58" s="82" t="s">
        <v>915</v>
      </c>
    </row>
    <row r="59" spans="1:8">
      <c r="A59" s="81">
        <v>253</v>
      </c>
      <c r="B59" s="82" t="s">
        <v>915</v>
      </c>
      <c r="C59" s="82" t="s">
        <v>916</v>
      </c>
      <c r="D59" s="82" t="s">
        <v>917</v>
      </c>
      <c r="E59" s="82"/>
      <c r="F59" s="75" t="str">
        <f t="shared" si="0"/>
        <v>Amudat Town Council</v>
      </c>
      <c r="G59" s="75" t="str">
        <f t="shared" si="1"/>
        <v>Amudat</v>
      </c>
      <c r="H59" s="82" t="s">
        <v>917</v>
      </c>
    </row>
    <row r="60" spans="1:8">
      <c r="A60" s="81">
        <v>248</v>
      </c>
      <c r="B60" s="82" t="s">
        <v>892</v>
      </c>
      <c r="C60" s="82" t="s">
        <v>893</v>
      </c>
      <c r="D60" s="82" t="s">
        <v>898</v>
      </c>
      <c r="E60" s="82"/>
      <c r="F60" s="75" t="str">
        <f t="shared" si="0"/>
        <v>Amugu</v>
      </c>
      <c r="G60" s="75" t="str">
        <f t="shared" si="1"/>
        <v>Alebtong</v>
      </c>
      <c r="H60" s="82" t="s">
        <v>898</v>
      </c>
    </row>
    <row r="61" spans="1:8">
      <c r="A61" s="81">
        <v>739</v>
      </c>
      <c r="B61" s="82" t="s">
        <v>1964</v>
      </c>
      <c r="C61" s="82" t="s">
        <v>1965</v>
      </c>
      <c r="D61" s="82" t="s">
        <v>1963</v>
      </c>
      <c r="E61" s="82"/>
      <c r="F61" s="75" t="str">
        <f t="shared" si="0"/>
        <v>Amukol</v>
      </c>
      <c r="G61" s="75" t="str">
        <f t="shared" si="1"/>
        <v>Kapchorwa</v>
      </c>
      <c r="H61" s="82" t="s">
        <v>1963</v>
      </c>
    </row>
    <row r="62" spans="1:8">
      <c r="A62" s="81">
        <v>888</v>
      </c>
      <c r="B62" s="82" t="s">
        <v>921</v>
      </c>
      <c r="C62" s="82" t="s">
        <v>921</v>
      </c>
      <c r="D62" s="82" t="s">
        <v>926</v>
      </c>
      <c r="E62" s="82"/>
      <c r="F62" s="75" t="str">
        <f t="shared" si="0"/>
        <v>Amuria Town Council</v>
      </c>
      <c r="G62" s="75" t="str">
        <f t="shared" si="1"/>
        <v>Amuria</v>
      </c>
      <c r="H62" s="82" t="s">
        <v>926</v>
      </c>
    </row>
    <row r="63" spans="1:8">
      <c r="A63" s="81">
        <v>168</v>
      </c>
      <c r="B63" s="82" t="s">
        <v>937</v>
      </c>
      <c r="C63" s="82" t="s">
        <v>938</v>
      </c>
      <c r="D63" s="82" t="s">
        <v>937</v>
      </c>
      <c r="E63" s="82"/>
      <c r="F63" s="75" t="str">
        <f t="shared" si="0"/>
        <v>Amuru</v>
      </c>
      <c r="G63" s="75" t="str">
        <f t="shared" si="1"/>
        <v>Amuru</v>
      </c>
      <c r="H63" s="82" t="s">
        <v>937</v>
      </c>
    </row>
    <row r="64" spans="1:8">
      <c r="A64" s="81">
        <v>169</v>
      </c>
      <c r="B64" s="82" t="s">
        <v>937</v>
      </c>
      <c r="C64" s="82" t="s">
        <v>938</v>
      </c>
      <c r="D64" s="82" t="s">
        <v>939</v>
      </c>
      <c r="E64" s="82"/>
      <c r="F64" s="75" t="str">
        <f t="shared" si="0"/>
        <v>Amuru Town Council</v>
      </c>
      <c r="G64" s="75" t="str">
        <f t="shared" si="1"/>
        <v>Amuru</v>
      </c>
      <c r="H64" s="82" t="s">
        <v>939</v>
      </c>
    </row>
    <row r="65" spans="1:8">
      <c r="A65" s="81">
        <v>176</v>
      </c>
      <c r="B65" s="82" t="s">
        <v>1222</v>
      </c>
      <c r="C65" s="82" t="s">
        <v>1222</v>
      </c>
      <c r="D65" s="82" t="s">
        <v>1225</v>
      </c>
      <c r="E65" s="82"/>
      <c r="F65" s="75" t="str">
        <f t="shared" si="0"/>
        <v>Amwoma</v>
      </c>
      <c r="G65" s="75" t="str">
        <f t="shared" si="1"/>
        <v>Dokolo</v>
      </c>
      <c r="H65" s="82" t="s">
        <v>1225</v>
      </c>
    </row>
    <row r="66" spans="1:8">
      <c r="A66" s="81">
        <v>283</v>
      </c>
      <c r="B66" s="82" t="s">
        <v>2664</v>
      </c>
      <c r="C66" s="82" t="s">
        <v>2664</v>
      </c>
      <c r="D66" s="82" t="s">
        <v>2665</v>
      </c>
      <c r="E66" s="82"/>
      <c r="F66" s="75" t="str">
        <f t="shared" si="0"/>
        <v>Anaka Payira</v>
      </c>
      <c r="G66" s="75" t="str">
        <f t="shared" si="1"/>
        <v>Nwoya</v>
      </c>
      <c r="H66" s="82" t="s">
        <v>2665</v>
      </c>
    </row>
    <row r="67" spans="1:8">
      <c r="A67" s="81">
        <v>285</v>
      </c>
      <c r="B67" s="82" t="s">
        <v>2664</v>
      </c>
      <c r="C67" s="82" t="s">
        <v>2664</v>
      </c>
      <c r="D67" s="82" t="s">
        <v>2666</v>
      </c>
      <c r="E67" s="82"/>
      <c r="F67" s="75" t="str">
        <f t="shared" ref="F67:F117" si="2">D67</f>
        <v>Anaka Town Council</v>
      </c>
      <c r="G67" s="75" t="str">
        <f t="shared" ref="G67:G72" si="3">B67</f>
        <v>Nwoya</v>
      </c>
      <c r="H67" s="82" t="s">
        <v>2666</v>
      </c>
    </row>
    <row r="68" spans="1:8">
      <c r="A68" s="81">
        <v>127</v>
      </c>
      <c r="B68" s="82" t="s">
        <v>2700</v>
      </c>
      <c r="C68" s="82" t="s">
        <v>2701</v>
      </c>
      <c r="D68" s="82" t="s">
        <v>2702</v>
      </c>
      <c r="E68" s="82"/>
      <c r="F68" s="75" t="str">
        <f t="shared" si="2"/>
        <v>Angagura</v>
      </c>
      <c r="G68" s="75" t="str">
        <f t="shared" si="3"/>
        <v>Pader</v>
      </c>
      <c r="H68" s="82" t="s">
        <v>2702</v>
      </c>
    </row>
    <row r="69" spans="1:8">
      <c r="A69" s="81">
        <v>845</v>
      </c>
      <c r="B69" s="82" t="s">
        <v>1386</v>
      </c>
      <c r="C69" s="82" t="s">
        <v>1388</v>
      </c>
      <c r="D69" s="82" t="s">
        <v>1387</v>
      </c>
      <c r="E69" s="82"/>
      <c r="F69" s="75" t="str">
        <f t="shared" si="2"/>
        <v>Anyara</v>
      </c>
      <c r="G69" s="75" t="str">
        <f t="shared" si="3"/>
        <v>Kaberamaido</v>
      </c>
      <c r="H69" s="82" t="s">
        <v>1387</v>
      </c>
    </row>
    <row r="70" spans="1:8">
      <c r="A70" s="81">
        <v>31</v>
      </c>
      <c r="B70" s="82" t="s">
        <v>959</v>
      </c>
      <c r="C70" s="82" t="s">
        <v>966</v>
      </c>
      <c r="D70" s="82" t="s">
        <v>965</v>
      </c>
      <c r="E70" s="82"/>
      <c r="F70" s="75" t="str">
        <f t="shared" si="2"/>
        <v>Anyiribu</v>
      </c>
      <c r="G70" s="75" t="str">
        <f t="shared" si="3"/>
        <v>Arua</v>
      </c>
      <c r="H70" s="82" t="s">
        <v>965</v>
      </c>
    </row>
    <row r="71" spans="1:8">
      <c r="A71" s="81">
        <v>20</v>
      </c>
      <c r="B71" s="84" t="s">
        <v>945</v>
      </c>
      <c r="C71" s="85" t="s">
        <v>952</v>
      </c>
      <c r="D71" s="84" t="s">
        <v>945</v>
      </c>
      <c r="E71" s="84"/>
      <c r="F71" s="76" t="str">
        <f>VLOOKUP(C71,[2]Municipalities!$C$9:$F$1522,4,FALSE)</f>
        <v>Apac Muicipality</v>
      </c>
      <c r="G71" s="75" t="str">
        <f t="shared" si="3"/>
        <v>Apac</v>
      </c>
      <c r="H71" s="84" t="s">
        <v>945</v>
      </c>
    </row>
    <row r="72" spans="1:8">
      <c r="A72" s="81">
        <v>21</v>
      </c>
      <c r="B72" s="84" t="s">
        <v>945</v>
      </c>
      <c r="C72" s="85" t="s">
        <v>952</v>
      </c>
      <c r="D72" s="84" t="s">
        <v>3127</v>
      </c>
      <c r="E72" s="84"/>
      <c r="F72" s="76" t="str">
        <f>VLOOKUP(C72,[2]Municipalities!$C$9:$F$1522,4,FALSE)</f>
        <v>Apac Muicipality</v>
      </c>
      <c r="G72" s="75" t="str">
        <f t="shared" si="3"/>
        <v>Apac</v>
      </c>
      <c r="H72" s="84" t="s">
        <v>3127</v>
      </c>
    </row>
    <row r="73" spans="1:8">
      <c r="A73" s="81">
        <v>249</v>
      </c>
      <c r="B73" s="82" t="s">
        <v>892</v>
      </c>
      <c r="C73" s="82" t="s">
        <v>893</v>
      </c>
      <c r="D73" s="82" t="s">
        <v>899</v>
      </c>
      <c r="E73" s="82"/>
      <c r="F73" s="75" t="str">
        <f t="shared" si="2"/>
        <v>Apala</v>
      </c>
      <c r="G73" s="75" t="str">
        <f>B73</f>
        <v>Alebtong</v>
      </c>
      <c r="H73" s="82" t="s">
        <v>899</v>
      </c>
    </row>
    <row r="74" spans="1:8">
      <c r="A74" s="81">
        <v>846</v>
      </c>
      <c r="B74" s="82" t="s">
        <v>1386</v>
      </c>
      <c r="C74" s="82" t="s">
        <v>1388</v>
      </c>
      <c r="D74" s="82" t="s">
        <v>1389</v>
      </c>
      <c r="E74" s="82"/>
      <c r="F74" s="75" t="str">
        <f t="shared" si="2"/>
        <v>Apapai</v>
      </c>
      <c r="G74" s="75" t="str">
        <f t="shared" ref="G74:G137" si="4">B74</f>
        <v>Kaberamaido</v>
      </c>
      <c r="H74" s="82" t="s">
        <v>1389</v>
      </c>
    </row>
    <row r="75" spans="1:8">
      <c r="A75" s="81">
        <v>889</v>
      </c>
      <c r="B75" s="82" t="s">
        <v>921</v>
      </c>
      <c r="C75" s="82" t="s">
        <v>921</v>
      </c>
      <c r="D75" s="82" t="s">
        <v>927</v>
      </c>
      <c r="E75" s="82"/>
      <c r="F75" s="75" t="str">
        <f t="shared" si="2"/>
        <v>Apeduru</v>
      </c>
      <c r="G75" s="75" t="str">
        <f t="shared" si="4"/>
        <v>Amuria</v>
      </c>
      <c r="H75" s="82" t="s">
        <v>927</v>
      </c>
    </row>
    <row r="76" spans="1:8">
      <c r="A76" s="81">
        <v>840</v>
      </c>
      <c r="B76" s="82" t="s">
        <v>1386</v>
      </c>
      <c r="C76" s="82" t="s">
        <v>1386</v>
      </c>
      <c r="D76" s="82" t="s">
        <v>1390</v>
      </c>
      <c r="E76" s="82"/>
      <c r="F76" s="75" t="str">
        <f t="shared" si="2"/>
        <v>Aperkira</v>
      </c>
      <c r="G76" s="75" t="str">
        <f t="shared" si="4"/>
        <v>Kaberamaido</v>
      </c>
      <c r="H76" s="82" t="s">
        <v>1390</v>
      </c>
    </row>
    <row r="77" spans="1:8">
      <c r="A77" s="81">
        <v>138</v>
      </c>
      <c r="B77" s="82" t="s">
        <v>3072</v>
      </c>
      <c r="C77" s="82" t="s">
        <v>3073</v>
      </c>
      <c r="D77" s="82" t="s">
        <v>3071</v>
      </c>
      <c r="E77" s="82"/>
      <c r="F77" s="75" t="str">
        <f t="shared" si="2"/>
        <v>Apo</v>
      </c>
      <c r="G77" s="75" t="str">
        <f t="shared" si="4"/>
        <v>Yumbe</v>
      </c>
      <c r="H77" s="82" t="s">
        <v>3071</v>
      </c>
    </row>
    <row r="78" spans="1:8">
      <c r="A78" s="81">
        <v>804</v>
      </c>
      <c r="B78" s="82" t="s">
        <v>2721</v>
      </c>
      <c r="C78" s="82" t="s">
        <v>2720</v>
      </c>
      <c r="D78" s="82" t="s">
        <v>2723</v>
      </c>
      <c r="E78" s="82"/>
      <c r="F78" s="75" t="str">
        <f t="shared" si="2"/>
        <v>Apopong</v>
      </c>
      <c r="G78" s="75" t="str">
        <f t="shared" si="4"/>
        <v>Pallisa</v>
      </c>
      <c r="H78" s="82" t="s">
        <v>2723</v>
      </c>
    </row>
    <row r="79" spans="1:8">
      <c r="A79" s="81">
        <v>161</v>
      </c>
      <c r="B79" s="82" t="s">
        <v>903</v>
      </c>
      <c r="C79" s="82" t="s">
        <v>904</v>
      </c>
      <c r="D79" s="82" t="s">
        <v>908</v>
      </c>
      <c r="E79" s="82"/>
      <c r="F79" s="75" t="str">
        <f t="shared" si="2"/>
        <v>Aputi</v>
      </c>
      <c r="G79" s="75" t="str">
        <f t="shared" si="4"/>
        <v>Amolatar</v>
      </c>
      <c r="H79" s="82" t="s">
        <v>908</v>
      </c>
    </row>
    <row r="80" spans="1:8">
      <c r="A80" s="81">
        <v>813</v>
      </c>
      <c r="B80" s="82" t="s">
        <v>2835</v>
      </c>
      <c r="C80" s="82" t="s">
        <v>2835</v>
      </c>
      <c r="D80" s="82" t="s">
        <v>2834</v>
      </c>
      <c r="E80" s="82"/>
      <c r="F80" s="75" t="str">
        <f t="shared" si="2"/>
        <v>Arapai</v>
      </c>
      <c r="G80" s="75" t="str">
        <f t="shared" si="4"/>
        <v>Soroti</v>
      </c>
      <c r="H80" s="82" t="s">
        <v>2834</v>
      </c>
    </row>
    <row r="81" spans="1:8">
      <c r="A81" s="81">
        <v>3</v>
      </c>
      <c r="B81" s="82" t="s">
        <v>863</v>
      </c>
      <c r="C81" s="82" t="s">
        <v>864</v>
      </c>
      <c r="D81" s="82" t="s">
        <v>866</v>
      </c>
      <c r="E81" s="82"/>
      <c r="F81" s="75" t="str">
        <f t="shared" si="2"/>
        <v>Arinyapi</v>
      </c>
      <c r="G81" s="75" t="str">
        <f t="shared" si="4"/>
        <v>Adjumani</v>
      </c>
      <c r="H81" s="82" t="s">
        <v>866</v>
      </c>
    </row>
    <row r="82" spans="1:8">
      <c r="A82" s="81">
        <v>47</v>
      </c>
      <c r="B82" s="82" t="s">
        <v>959</v>
      </c>
      <c r="C82" s="82" t="s">
        <v>964</v>
      </c>
      <c r="D82" s="82" t="s">
        <v>967</v>
      </c>
      <c r="E82" s="82"/>
      <c r="F82" s="75" t="str">
        <f t="shared" si="2"/>
        <v>Arivu</v>
      </c>
      <c r="G82" s="75" t="str">
        <f t="shared" si="4"/>
        <v>Arua</v>
      </c>
      <c r="H82" s="82" t="s">
        <v>967</v>
      </c>
    </row>
    <row r="83" spans="1:8">
      <c r="A83" s="81">
        <v>139</v>
      </c>
      <c r="B83" s="82" t="s">
        <v>3072</v>
      </c>
      <c r="C83" s="82" t="s">
        <v>3073</v>
      </c>
      <c r="D83" s="82" t="s">
        <v>3074</v>
      </c>
      <c r="E83" s="82"/>
      <c r="F83" s="75" t="str">
        <f t="shared" si="2"/>
        <v>Ariwa</v>
      </c>
      <c r="G83" s="75" t="str">
        <f t="shared" si="4"/>
        <v>Yumbe</v>
      </c>
      <c r="H83" s="82" t="s">
        <v>3074</v>
      </c>
    </row>
    <row r="84" spans="1:8">
      <c r="A84" s="81">
        <v>25</v>
      </c>
      <c r="B84" s="82" t="s">
        <v>959</v>
      </c>
      <c r="C84" s="82" t="s">
        <v>960</v>
      </c>
      <c r="D84" s="82" t="s">
        <v>968</v>
      </c>
      <c r="E84" s="82"/>
      <c r="F84" s="75" t="str">
        <f t="shared" si="2"/>
        <v>Aroi</v>
      </c>
      <c r="G84" s="75" t="str">
        <f t="shared" si="4"/>
        <v>Arua</v>
      </c>
      <c r="H84" s="82" t="s">
        <v>968</v>
      </c>
    </row>
    <row r="85" spans="1:8">
      <c r="A85" s="81">
        <v>83</v>
      </c>
      <c r="B85" s="82" t="s">
        <v>2236</v>
      </c>
      <c r="C85" s="82" t="s">
        <v>2237</v>
      </c>
      <c r="D85" s="82" t="s">
        <v>2241</v>
      </c>
      <c r="E85" s="82"/>
      <c r="F85" s="75" t="str">
        <f t="shared" si="2"/>
        <v>Aromo</v>
      </c>
      <c r="G85" s="75" t="str">
        <f t="shared" si="4"/>
        <v>Lira</v>
      </c>
      <c r="H85" s="82" t="s">
        <v>2241</v>
      </c>
    </row>
    <row r="86" spans="1:8">
      <c r="A86" s="81">
        <v>22</v>
      </c>
      <c r="B86" s="84" t="s">
        <v>959</v>
      </c>
      <c r="C86" s="85" t="s">
        <v>969</v>
      </c>
      <c r="D86" s="84" t="s">
        <v>3128</v>
      </c>
      <c r="E86" s="84"/>
      <c r="F86" s="76" t="str">
        <f>VLOOKUP(C86,[2]Municipalities!$C$9:$F$1522,4,FALSE)</f>
        <v>Arua Municipality</v>
      </c>
      <c r="G86" s="75" t="str">
        <f t="shared" si="4"/>
        <v>Arua</v>
      </c>
      <c r="H86" s="84" t="s">
        <v>3128</v>
      </c>
    </row>
    <row r="87" spans="1:8">
      <c r="A87" s="81">
        <v>229</v>
      </c>
      <c r="B87" s="82" t="s">
        <v>875</v>
      </c>
      <c r="C87" s="82" t="s">
        <v>875</v>
      </c>
      <c r="D87" s="82" t="s">
        <v>877</v>
      </c>
      <c r="E87" s="82"/>
      <c r="F87" s="75" t="str">
        <f t="shared" si="2"/>
        <v>Arum</v>
      </c>
      <c r="G87" s="75" t="str">
        <f t="shared" si="4"/>
        <v>Agago</v>
      </c>
      <c r="H87" s="82" t="s">
        <v>877</v>
      </c>
    </row>
    <row r="88" spans="1:8">
      <c r="A88" s="81">
        <v>162</v>
      </c>
      <c r="B88" s="82" t="s">
        <v>903</v>
      </c>
      <c r="C88" s="82" t="s">
        <v>904</v>
      </c>
      <c r="D88" s="82" t="s">
        <v>909</v>
      </c>
      <c r="E88" s="82"/>
      <c r="F88" s="75" t="str">
        <f t="shared" si="2"/>
        <v>Arwotcek</v>
      </c>
      <c r="G88" s="75" t="str">
        <f t="shared" si="4"/>
        <v>Amolatar</v>
      </c>
      <c r="H88" s="82" t="s">
        <v>909</v>
      </c>
    </row>
    <row r="89" spans="1:8">
      <c r="A89" s="81">
        <v>890</v>
      </c>
      <c r="B89" s="82" t="s">
        <v>921</v>
      </c>
      <c r="C89" s="82" t="s">
        <v>921</v>
      </c>
      <c r="D89" s="82" t="s">
        <v>928</v>
      </c>
      <c r="E89" s="82"/>
      <c r="F89" s="75" t="str">
        <f t="shared" si="2"/>
        <v>Asamuk</v>
      </c>
      <c r="G89" s="75" t="str">
        <f t="shared" si="4"/>
        <v>Amuria</v>
      </c>
      <c r="H89" s="82" t="s">
        <v>928</v>
      </c>
    </row>
    <row r="90" spans="1:8">
      <c r="A90" s="81">
        <v>810</v>
      </c>
      <c r="B90" s="82" t="s">
        <v>2835</v>
      </c>
      <c r="C90" s="82" t="s">
        <v>2835</v>
      </c>
      <c r="D90" s="82" t="s">
        <v>2836</v>
      </c>
      <c r="E90" s="82"/>
      <c r="F90" s="75" t="str">
        <f t="shared" si="2"/>
        <v>Asuret</v>
      </c>
      <c r="G90" s="75" t="str">
        <f t="shared" si="4"/>
        <v>Soroti</v>
      </c>
      <c r="H90" s="82" t="s">
        <v>2836</v>
      </c>
    </row>
    <row r="91" spans="1:8">
      <c r="A91" s="81">
        <v>128</v>
      </c>
      <c r="B91" s="82" t="s">
        <v>2700</v>
      </c>
      <c r="C91" s="82" t="s">
        <v>2701</v>
      </c>
      <c r="D91" s="82" t="s">
        <v>2703</v>
      </c>
      <c r="E91" s="82"/>
      <c r="F91" s="75" t="str">
        <f t="shared" si="2"/>
        <v>Atanga</v>
      </c>
      <c r="G91" s="75" t="str">
        <f t="shared" si="4"/>
        <v>Pader</v>
      </c>
      <c r="H91" s="82" t="s">
        <v>2703</v>
      </c>
    </row>
    <row r="92" spans="1:8">
      <c r="A92" s="81">
        <v>111</v>
      </c>
      <c r="B92" s="82" t="s">
        <v>2616</v>
      </c>
      <c r="C92" s="82" t="s">
        <v>2617</v>
      </c>
      <c r="D92" s="82" t="s">
        <v>2618</v>
      </c>
      <c r="E92" s="82"/>
      <c r="F92" s="75" t="str">
        <f t="shared" si="2"/>
        <v>Atego</v>
      </c>
      <c r="G92" s="75" t="str">
        <f t="shared" si="4"/>
        <v>Nebbi</v>
      </c>
      <c r="H92" s="82" t="s">
        <v>2618</v>
      </c>
    </row>
    <row r="93" spans="1:8">
      <c r="A93" s="81">
        <v>1073</v>
      </c>
      <c r="B93" s="82" t="s">
        <v>2786</v>
      </c>
      <c r="C93" s="82" t="s">
        <v>2786</v>
      </c>
      <c r="D93" s="82" t="s">
        <v>2785</v>
      </c>
      <c r="E93" s="82"/>
      <c r="F93" s="75" t="str">
        <f t="shared" si="2"/>
        <v>Atiira</v>
      </c>
      <c r="G93" s="75" t="str">
        <f t="shared" si="4"/>
        <v>Serere</v>
      </c>
      <c r="H93" s="82" t="s">
        <v>2785</v>
      </c>
    </row>
    <row r="94" spans="1:8">
      <c r="A94" s="81">
        <v>170</v>
      </c>
      <c r="B94" s="82" t="s">
        <v>937</v>
      </c>
      <c r="C94" s="82" t="s">
        <v>938</v>
      </c>
      <c r="D94" s="82" t="s">
        <v>941</v>
      </c>
      <c r="E94" s="82"/>
      <c r="F94" s="75" t="str">
        <f t="shared" si="2"/>
        <v>Attiak</v>
      </c>
      <c r="G94" s="75" t="str">
        <f t="shared" si="4"/>
        <v>Amuru</v>
      </c>
      <c r="H94" s="82" t="s">
        <v>941</v>
      </c>
    </row>
    <row r="95" spans="1:8">
      <c r="A95" s="81">
        <v>763</v>
      </c>
      <c r="B95" s="82" t="s">
        <v>2149</v>
      </c>
      <c r="C95" s="82" t="s">
        <v>2149</v>
      </c>
      <c r="D95" s="82" t="s">
        <v>2148</v>
      </c>
      <c r="E95" s="82"/>
      <c r="F95" s="75" t="str">
        <f t="shared" si="2"/>
        <v>Atutur</v>
      </c>
      <c r="G95" s="75" t="str">
        <f t="shared" si="4"/>
        <v>Kumi</v>
      </c>
      <c r="H95" s="82" t="s">
        <v>2148</v>
      </c>
    </row>
    <row r="96" spans="1:8">
      <c r="A96" s="81">
        <v>296</v>
      </c>
      <c r="B96" s="82" t="s">
        <v>3087</v>
      </c>
      <c r="C96" s="82" t="s">
        <v>3088</v>
      </c>
      <c r="D96" s="82" t="s">
        <v>3089</v>
      </c>
      <c r="E96" s="82"/>
      <c r="F96" s="75" t="str">
        <f t="shared" si="2"/>
        <v>Atyak</v>
      </c>
      <c r="G96" s="75" t="str">
        <f t="shared" si="4"/>
        <v>Zombo</v>
      </c>
      <c r="H96" s="82" t="s">
        <v>3089</v>
      </c>
    </row>
    <row r="97" spans="1:8">
      <c r="A97" s="81">
        <v>50</v>
      </c>
      <c r="B97" s="82" t="s">
        <v>1239</v>
      </c>
      <c r="C97" s="82" t="s">
        <v>1240</v>
      </c>
      <c r="D97" s="82" t="s">
        <v>1238</v>
      </c>
      <c r="E97" s="82"/>
      <c r="F97" s="75" t="str">
        <f t="shared" si="2"/>
        <v>Awach</v>
      </c>
      <c r="G97" s="75" t="str">
        <f t="shared" si="4"/>
        <v>Gulu</v>
      </c>
      <c r="H97" s="82" t="s">
        <v>1238</v>
      </c>
    </row>
    <row r="98" spans="1:8">
      <c r="A98" s="81">
        <v>250</v>
      </c>
      <c r="B98" s="82" t="s">
        <v>892</v>
      </c>
      <c r="C98" s="82" t="s">
        <v>893</v>
      </c>
      <c r="D98" s="82" t="s">
        <v>900</v>
      </c>
      <c r="E98" s="82"/>
      <c r="F98" s="75" t="str">
        <f t="shared" si="2"/>
        <v>Awei</v>
      </c>
      <c r="G98" s="75" t="str">
        <f t="shared" si="4"/>
        <v>Alebtong</v>
      </c>
      <c r="H98" s="82" t="s">
        <v>900</v>
      </c>
    </row>
    <row r="99" spans="1:8">
      <c r="A99" s="81">
        <v>163</v>
      </c>
      <c r="B99" s="82" t="s">
        <v>903</v>
      </c>
      <c r="C99" s="82" t="s">
        <v>904</v>
      </c>
      <c r="D99" s="82" t="s">
        <v>910</v>
      </c>
      <c r="E99" s="82"/>
      <c r="F99" s="75" t="str">
        <f t="shared" si="2"/>
        <v>Awelo</v>
      </c>
      <c r="G99" s="75" t="str">
        <f t="shared" si="4"/>
        <v>Amolatar</v>
      </c>
      <c r="H99" s="82" t="s">
        <v>910</v>
      </c>
    </row>
    <row r="100" spans="1:8">
      <c r="A100" s="81">
        <v>129</v>
      </c>
      <c r="B100" s="82" t="s">
        <v>2700</v>
      </c>
      <c r="C100" s="82" t="s">
        <v>2701</v>
      </c>
      <c r="D100" s="82" t="s">
        <v>2704</v>
      </c>
      <c r="E100" s="82"/>
      <c r="F100" s="75" t="str">
        <f t="shared" si="2"/>
        <v>Awere</v>
      </c>
      <c r="G100" s="75" t="str">
        <f t="shared" si="4"/>
        <v>Pader</v>
      </c>
      <c r="H100" s="82" t="s">
        <v>2704</v>
      </c>
    </row>
    <row r="101" spans="1:8">
      <c r="A101" s="81">
        <v>259</v>
      </c>
      <c r="B101" s="82" t="s">
        <v>2134</v>
      </c>
      <c r="C101" s="82" t="s">
        <v>2134</v>
      </c>
      <c r="D101" s="82" t="s">
        <v>2137</v>
      </c>
      <c r="E101" s="82"/>
      <c r="F101" s="75" t="str">
        <f t="shared" si="2"/>
        <v>Ayer</v>
      </c>
      <c r="G101" s="75" t="str">
        <f t="shared" si="4"/>
        <v>Kole</v>
      </c>
      <c r="H101" s="82" t="s">
        <v>2137</v>
      </c>
    </row>
    <row r="102" spans="1:8">
      <c r="A102" s="81">
        <v>26</v>
      </c>
      <c r="B102" s="82" t="s">
        <v>959</v>
      </c>
      <c r="C102" s="82" t="s">
        <v>960</v>
      </c>
      <c r="D102" s="82" t="s">
        <v>970</v>
      </c>
      <c r="E102" s="82"/>
      <c r="F102" s="75" t="str">
        <f t="shared" si="2"/>
        <v>Ayivuni</v>
      </c>
      <c r="G102" s="75" t="str">
        <f t="shared" si="4"/>
        <v>Arua</v>
      </c>
      <c r="H102" s="82" t="s">
        <v>970</v>
      </c>
    </row>
    <row r="103" spans="1:8">
      <c r="A103" s="81">
        <v>462</v>
      </c>
      <c r="B103" s="82" t="s">
        <v>2473</v>
      </c>
      <c r="C103" s="82" t="s">
        <v>2474</v>
      </c>
      <c r="D103" s="82" t="s">
        <v>2472</v>
      </c>
      <c r="E103" s="82"/>
      <c r="F103" s="75" t="str">
        <f t="shared" si="2"/>
        <v>Bagezza</v>
      </c>
      <c r="G103" s="75" t="str">
        <f t="shared" si="4"/>
        <v>Mubende</v>
      </c>
      <c r="H103" s="82" t="s">
        <v>2472</v>
      </c>
    </row>
    <row r="104" spans="1:8">
      <c r="A104" s="81">
        <v>851</v>
      </c>
      <c r="B104" s="82" t="s">
        <v>2346</v>
      </c>
      <c r="C104" s="82" t="s">
        <v>2347</v>
      </c>
      <c r="D104" s="82" t="s">
        <v>2345</v>
      </c>
      <c r="E104" s="82"/>
      <c r="F104" s="75" t="str">
        <f t="shared" si="2"/>
        <v>Baitambogwe</v>
      </c>
      <c r="G104" s="75" t="str">
        <f t="shared" si="4"/>
        <v>Mayuge</v>
      </c>
      <c r="H104" s="82" t="s">
        <v>2345</v>
      </c>
    </row>
    <row r="105" spans="1:8">
      <c r="A105" s="81">
        <v>260</v>
      </c>
      <c r="B105" s="82" t="s">
        <v>2134</v>
      </c>
      <c r="C105" s="82" t="s">
        <v>2134</v>
      </c>
      <c r="D105" s="82" t="s">
        <v>2138</v>
      </c>
      <c r="E105" s="82"/>
      <c r="F105" s="75" t="str">
        <f t="shared" si="2"/>
        <v>Bala</v>
      </c>
      <c r="G105" s="75" t="str">
        <f t="shared" si="4"/>
        <v>Kole</v>
      </c>
      <c r="H105" s="82" t="s">
        <v>2138</v>
      </c>
    </row>
    <row r="106" spans="1:8">
      <c r="A106" s="81">
        <v>725</v>
      </c>
      <c r="B106" s="82" t="s">
        <v>1911</v>
      </c>
      <c r="C106" s="82" t="s">
        <v>1912</v>
      </c>
      <c r="D106" s="82" t="s">
        <v>1910</v>
      </c>
      <c r="E106" s="82"/>
      <c r="F106" s="75" t="str">
        <f t="shared" si="2"/>
        <v>Balawoli</v>
      </c>
      <c r="G106" s="75" t="str">
        <f t="shared" si="4"/>
        <v>Kamuli</v>
      </c>
      <c r="H106" s="82" t="s">
        <v>1910</v>
      </c>
    </row>
    <row r="107" spans="1:8">
      <c r="A107" s="81">
        <v>429</v>
      </c>
      <c r="B107" s="82" t="s">
        <v>2255</v>
      </c>
      <c r="C107" s="82" t="s">
        <v>2254</v>
      </c>
      <c r="D107" s="82" t="s">
        <v>2254</v>
      </c>
      <c r="E107" s="82"/>
      <c r="F107" s="75" t="str">
        <f t="shared" si="2"/>
        <v>Bamunanika</v>
      </c>
      <c r="G107" s="75" t="str">
        <f t="shared" si="4"/>
        <v>Luwero</v>
      </c>
      <c r="H107" s="82" t="s">
        <v>2254</v>
      </c>
    </row>
    <row r="108" spans="1:8">
      <c r="A108" s="81">
        <v>638</v>
      </c>
      <c r="B108" s="82" t="s">
        <v>2169</v>
      </c>
      <c r="C108" s="82" t="s">
        <v>2042</v>
      </c>
      <c r="D108" s="82" t="s">
        <v>2168</v>
      </c>
      <c r="E108" s="82"/>
      <c r="F108" s="75" t="str">
        <f t="shared" si="2"/>
        <v>Bananywa</v>
      </c>
      <c r="G108" s="75" t="str">
        <f t="shared" si="4"/>
        <v>Kyankwanzi</v>
      </c>
      <c r="H108" s="82" t="s">
        <v>2168</v>
      </c>
    </row>
    <row r="109" spans="1:8">
      <c r="A109" s="81">
        <v>1054</v>
      </c>
      <c r="B109" s="82" t="s">
        <v>2567</v>
      </c>
      <c r="C109" s="82" t="s">
        <v>2568</v>
      </c>
      <c r="D109" s="82" t="s">
        <v>1459</v>
      </c>
      <c r="E109" s="82"/>
      <c r="F109" s="75" t="str">
        <f t="shared" si="2"/>
        <v>Banda</v>
      </c>
      <c r="G109" s="75" t="str">
        <f t="shared" si="4"/>
        <v>Namayingo</v>
      </c>
      <c r="H109" s="82" t="s">
        <v>1459</v>
      </c>
    </row>
    <row r="110" spans="1:8">
      <c r="A110" s="81">
        <v>54</v>
      </c>
      <c r="B110" s="82" t="s">
        <v>1239</v>
      </c>
      <c r="C110" s="83" t="s">
        <v>1242</v>
      </c>
      <c r="D110" s="82" t="s">
        <v>3129</v>
      </c>
      <c r="E110" s="82"/>
      <c r="F110" s="76" t="str">
        <f>VLOOKUP(C110,[2]Municipalities!$C$9:$F$1522,4,FALSE)</f>
        <v>Gulu Municipality</v>
      </c>
      <c r="G110" s="75" t="str">
        <f t="shared" si="4"/>
        <v>Gulu</v>
      </c>
      <c r="H110" s="82" t="s">
        <v>3129</v>
      </c>
    </row>
    <row r="111" spans="1:8">
      <c r="A111" s="81">
        <v>84</v>
      </c>
      <c r="B111" s="82" t="s">
        <v>2236</v>
      </c>
      <c r="C111" s="82" t="s">
        <v>2237</v>
      </c>
      <c r="D111" s="82" t="s">
        <v>2242</v>
      </c>
      <c r="E111" s="82"/>
      <c r="F111" s="75" t="str">
        <f t="shared" si="2"/>
        <v>Barr</v>
      </c>
      <c r="G111" s="75" t="str">
        <f t="shared" si="4"/>
        <v>Lira</v>
      </c>
      <c r="H111" s="82" t="s">
        <v>2242</v>
      </c>
    </row>
    <row r="112" spans="1:8">
      <c r="A112" s="81">
        <v>177</v>
      </c>
      <c r="B112" s="82" t="s">
        <v>1222</v>
      </c>
      <c r="C112" s="82" t="s">
        <v>1222</v>
      </c>
      <c r="D112" s="82" t="s">
        <v>1226</v>
      </c>
      <c r="E112" s="82"/>
      <c r="F112" s="75" t="str">
        <f t="shared" si="2"/>
        <v>Batta</v>
      </c>
      <c r="G112" s="75" t="str">
        <f t="shared" si="4"/>
        <v>Dokolo</v>
      </c>
      <c r="H112" s="82" t="s">
        <v>1226</v>
      </c>
    </row>
    <row r="113" spans="1:8">
      <c r="A113" s="81">
        <v>523</v>
      </c>
      <c r="B113" s="82" t="s">
        <v>2017</v>
      </c>
      <c r="C113" s="82" t="s">
        <v>2016</v>
      </c>
      <c r="D113" s="82" t="s">
        <v>2016</v>
      </c>
      <c r="E113" s="82"/>
      <c r="F113" s="75" t="str">
        <f t="shared" si="2"/>
        <v>Bbaale</v>
      </c>
      <c r="G113" s="75" t="str">
        <f t="shared" si="4"/>
        <v>Kayunga</v>
      </c>
      <c r="H113" s="82" t="s">
        <v>2016</v>
      </c>
    </row>
    <row r="114" spans="1:8">
      <c r="A114" s="81">
        <v>565</v>
      </c>
      <c r="B114" s="82" t="s">
        <v>2416</v>
      </c>
      <c r="C114" s="82" t="s">
        <v>2417</v>
      </c>
      <c r="D114" s="82" t="s">
        <v>2415</v>
      </c>
      <c r="E114" s="82"/>
      <c r="F114" s="75" t="str">
        <f t="shared" si="2"/>
        <v>Bbanda</v>
      </c>
      <c r="G114" s="75" t="str">
        <f t="shared" si="4"/>
        <v>Mityana</v>
      </c>
      <c r="H114" s="82" t="s">
        <v>2415</v>
      </c>
    </row>
    <row r="115" spans="1:8">
      <c r="A115" s="81">
        <v>1034</v>
      </c>
      <c r="B115" s="82" t="s">
        <v>2156</v>
      </c>
      <c r="C115" s="82" t="s">
        <v>2156</v>
      </c>
      <c r="D115" s="82" t="s">
        <v>2155</v>
      </c>
      <c r="E115" s="82"/>
      <c r="F115" s="75" t="str">
        <f t="shared" si="2"/>
        <v>Benet</v>
      </c>
      <c r="G115" s="75" t="str">
        <f t="shared" si="4"/>
        <v>Kween</v>
      </c>
      <c r="H115" s="82" t="s">
        <v>2155</v>
      </c>
    </row>
    <row r="116" spans="1:8">
      <c r="A116" s="81">
        <v>606</v>
      </c>
      <c r="B116" s="82" t="s">
        <v>1062</v>
      </c>
      <c r="C116" s="82" t="s">
        <v>1062</v>
      </c>
      <c r="D116" s="82" t="s">
        <v>1061</v>
      </c>
      <c r="E116" s="82"/>
      <c r="F116" s="75" t="str">
        <f t="shared" si="2"/>
        <v>Bigasa</v>
      </c>
      <c r="G116" s="75" t="str">
        <f t="shared" si="4"/>
        <v>Bukomansimbi</v>
      </c>
      <c r="H116" s="82" t="s">
        <v>1061</v>
      </c>
    </row>
    <row r="117" spans="1:8">
      <c r="A117" s="81">
        <v>1297</v>
      </c>
      <c r="B117" s="82" t="s">
        <v>45</v>
      </c>
      <c r="C117" s="82" t="s">
        <v>1198</v>
      </c>
      <c r="D117" s="82" t="s">
        <v>1926</v>
      </c>
      <c r="E117" s="82"/>
      <c r="F117" s="75" t="str">
        <f t="shared" si="2"/>
        <v>Biguli</v>
      </c>
      <c r="G117" s="75" t="str">
        <f t="shared" si="4"/>
        <v>Kamwenge</v>
      </c>
      <c r="H117" s="82" t="s">
        <v>1926</v>
      </c>
    </row>
    <row r="118" spans="1:8">
      <c r="A118" s="81">
        <v>1304</v>
      </c>
      <c r="B118" s="82" t="s">
        <v>45</v>
      </c>
      <c r="C118" s="82" t="s">
        <v>1198</v>
      </c>
      <c r="D118" s="86" t="s">
        <v>3130</v>
      </c>
      <c r="E118" s="82"/>
      <c r="F118" s="75" t="str">
        <f>D118&amp;"-"&amp;B118</f>
        <v>Bihanga-Kamwenge</v>
      </c>
      <c r="G118" s="75" t="str">
        <f t="shared" si="4"/>
        <v>Kamwenge</v>
      </c>
      <c r="H118" s="86" t="s">
        <v>3130</v>
      </c>
    </row>
    <row r="119" spans="1:8">
      <c r="A119" s="81">
        <v>1405</v>
      </c>
      <c r="B119" s="82" t="s">
        <v>1033</v>
      </c>
      <c r="C119" s="82" t="s">
        <v>1033</v>
      </c>
      <c r="D119" s="86" t="s">
        <v>3130</v>
      </c>
      <c r="E119" s="82"/>
      <c r="F119" s="75" t="str">
        <f>D119&amp;"-"&amp;B119</f>
        <v>Bihanga-Buhweju</v>
      </c>
      <c r="G119" s="75" t="str">
        <f t="shared" si="4"/>
        <v>Buhweju</v>
      </c>
      <c r="H119" s="86" t="s">
        <v>3130</v>
      </c>
    </row>
    <row r="120" spans="1:8" ht="25.5">
      <c r="A120" s="81">
        <v>1254</v>
      </c>
      <c r="B120" s="82" t="s">
        <v>2388</v>
      </c>
      <c r="C120" s="83" t="s">
        <v>2395</v>
      </c>
      <c r="D120" s="82" t="s">
        <v>3131</v>
      </c>
      <c r="E120" s="82"/>
      <c r="F120" s="76" t="str">
        <f>VLOOKUP(C120,[2]Municipalities!$C$9:$F$1522,4,FALSE)</f>
        <v>Mbarara Municipality</v>
      </c>
      <c r="G120" s="75" t="str">
        <f t="shared" si="4"/>
        <v>Mbarara</v>
      </c>
      <c r="H120" s="82" t="s">
        <v>3131</v>
      </c>
    </row>
    <row r="121" spans="1:8">
      <c r="A121" s="81">
        <v>1346</v>
      </c>
      <c r="B121" s="82" t="s">
        <v>1101</v>
      </c>
      <c r="C121" s="82" t="s">
        <v>1101</v>
      </c>
      <c r="D121" s="82" t="s">
        <v>1100</v>
      </c>
      <c r="E121" s="82"/>
      <c r="F121" s="75" t="str">
        <f t="shared" ref="F121:F132" si="5">D121</f>
        <v>Biiso</v>
      </c>
      <c r="G121" s="75" t="str">
        <f t="shared" si="4"/>
        <v>Buliisa</v>
      </c>
      <c r="H121" s="82" t="s">
        <v>1100</v>
      </c>
    </row>
    <row r="122" spans="1:8">
      <c r="A122" s="81">
        <v>41</v>
      </c>
      <c r="B122" s="82" t="s">
        <v>959</v>
      </c>
      <c r="C122" s="82" t="s">
        <v>962</v>
      </c>
      <c r="D122" s="82" t="s">
        <v>971</v>
      </c>
      <c r="E122" s="82"/>
      <c r="F122" s="75" t="str">
        <f t="shared" si="5"/>
        <v>Bileafe</v>
      </c>
      <c r="G122" s="75" t="str">
        <f t="shared" si="4"/>
        <v>Arua</v>
      </c>
      <c r="H122" s="82" t="s">
        <v>971</v>
      </c>
    </row>
    <row r="123" spans="1:8">
      <c r="A123" s="81">
        <v>1035</v>
      </c>
      <c r="B123" s="82" t="s">
        <v>2156</v>
      </c>
      <c r="C123" s="82" t="s">
        <v>2156</v>
      </c>
      <c r="D123" s="82" t="s">
        <v>2157</v>
      </c>
      <c r="E123" s="82"/>
      <c r="F123" s="75" t="str">
        <f t="shared" si="5"/>
        <v>Binyiny</v>
      </c>
      <c r="G123" s="75" t="str">
        <f t="shared" si="4"/>
        <v>Kween</v>
      </c>
      <c r="H123" s="82" t="s">
        <v>2157</v>
      </c>
    </row>
    <row r="124" spans="1:8">
      <c r="A124" s="81">
        <v>1036</v>
      </c>
      <c r="B124" s="82" t="s">
        <v>2156</v>
      </c>
      <c r="C124" s="82" t="s">
        <v>2156</v>
      </c>
      <c r="D124" s="82" t="s">
        <v>2158</v>
      </c>
      <c r="E124" s="82"/>
      <c r="F124" s="75" t="str">
        <f t="shared" si="5"/>
        <v>Binyiny Town Council</v>
      </c>
      <c r="G124" s="75" t="str">
        <f t="shared" si="4"/>
        <v>Kween</v>
      </c>
      <c r="H124" s="82" t="s">
        <v>2158</v>
      </c>
    </row>
    <row r="125" spans="1:8">
      <c r="A125" s="81">
        <v>1495</v>
      </c>
      <c r="B125" s="82" t="s">
        <v>1417</v>
      </c>
      <c r="C125" s="82" t="s">
        <v>1418</v>
      </c>
      <c r="D125" s="82" t="s">
        <v>1416</v>
      </c>
      <c r="E125" s="82"/>
      <c r="F125" s="75" t="str">
        <f t="shared" si="5"/>
        <v>Birembo</v>
      </c>
      <c r="G125" s="75" t="str">
        <f t="shared" si="4"/>
        <v>Kakumiro</v>
      </c>
      <c r="H125" s="82" t="s">
        <v>1416</v>
      </c>
    </row>
    <row r="126" spans="1:8">
      <c r="A126" s="81">
        <v>1375</v>
      </c>
      <c r="B126" s="82" t="s">
        <v>48</v>
      </c>
      <c r="C126" s="82" t="s">
        <v>48</v>
      </c>
      <c r="D126" s="82" t="s">
        <v>1297</v>
      </c>
      <c r="E126" s="82"/>
      <c r="F126" s="75" t="str">
        <f t="shared" si="5"/>
        <v>Birere</v>
      </c>
      <c r="G126" s="75" t="str">
        <f t="shared" si="4"/>
        <v>Isingiro</v>
      </c>
      <c r="H126" s="82" t="s">
        <v>1297</v>
      </c>
    </row>
    <row r="127" spans="1:8" ht="25.5">
      <c r="A127" s="81">
        <v>1363</v>
      </c>
      <c r="B127" s="82" t="s">
        <v>43</v>
      </c>
      <c r="C127" s="83" t="s">
        <v>1265</v>
      </c>
      <c r="D127" s="82" t="s">
        <v>3132</v>
      </c>
      <c r="E127" s="82"/>
      <c r="F127" s="76" t="str">
        <f>VLOOKUP(C127,[2]Municipalities!$C$9:$F$1522,4,FALSE)</f>
        <v>Ibanda Municipality</v>
      </c>
      <c r="G127" s="75" t="str">
        <f t="shared" si="4"/>
        <v>Ibanda</v>
      </c>
      <c r="H127" s="82" t="s">
        <v>3132</v>
      </c>
    </row>
    <row r="128" spans="1:8">
      <c r="A128" s="81">
        <v>1430</v>
      </c>
      <c r="B128" s="82" t="s">
        <v>46</v>
      </c>
      <c r="C128" s="82" t="s">
        <v>2405</v>
      </c>
      <c r="D128" s="82" t="s">
        <v>2404</v>
      </c>
      <c r="E128" s="82"/>
      <c r="F128" s="75" t="str">
        <f t="shared" si="5"/>
        <v>Bitereko</v>
      </c>
      <c r="G128" s="75" t="str">
        <f t="shared" si="4"/>
        <v>Mitooma</v>
      </c>
      <c r="H128" s="82" t="s">
        <v>2404</v>
      </c>
    </row>
    <row r="129" spans="1:8">
      <c r="A129" s="81">
        <v>1125</v>
      </c>
      <c r="B129" s="82" t="s">
        <v>38</v>
      </c>
      <c r="C129" s="82" t="s">
        <v>1143</v>
      </c>
      <c r="D129" s="82" t="s">
        <v>1142</v>
      </c>
      <c r="E129" s="82"/>
      <c r="F129" s="75" t="str">
        <f t="shared" si="5"/>
        <v>Bitooma</v>
      </c>
      <c r="G129" s="75" t="str">
        <f t="shared" si="4"/>
        <v>Bushenyi</v>
      </c>
      <c r="H129" s="82" t="s">
        <v>1142</v>
      </c>
    </row>
    <row r="130" spans="1:8">
      <c r="A130" s="81">
        <v>1406</v>
      </c>
      <c r="B130" s="82" t="s">
        <v>1033</v>
      </c>
      <c r="C130" s="82" t="s">
        <v>1033</v>
      </c>
      <c r="D130" s="82" t="s">
        <v>1034</v>
      </c>
      <c r="E130" s="82"/>
      <c r="F130" s="75" t="str">
        <f t="shared" si="5"/>
        <v>Bitsya</v>
      </c>
      <c r="G130" s="75" t="str">
        <f t="shared" si="4"/>
        <v>Buhweju</v>
      </c>
      <c r="H130" s="82" t="s">
        <v>1034</v>
      </c>
    </row>
    <row r="131" spans="1:8">
      <c r="A131" s="81">
        <v>305</v>
      </c>
      <c r="B131" s="82" t="s">
        <v>901</v>
      </c>
      <c r="C131" s="82" t="s">
        <v>901</v>
      </c>
      <c r="D131" s="82" t="s">
        <v>2669</v>
      </c>
      <c r="E131" s="82"/>
      <c r="F131" s="75" t="str">
        <f t="shared" si="5"/>
        <v>Bobi</v>
      </c>
      <c r="G131" s="75" t="str">
        <f t="shared" si="4"/>
        <v>Omoro</v>
      </c>
      <c r="H131" s="82" t="s">
        <v>2669</v>
      </c>
    </row>
    <row r="132" spans="1:8">
      <c r="A132" s="81">
        <v>434</v>
      </c>
      <c r="B132" s="82" t="s">
        <v>2255</v>
      </c>
      <c r="C132" s="82" t="s">
        <v>2257</v>
      </c>
      <c r="D132" s="82" t="s">
        <v>2256</v>
      </c>
      <c r="E132" s="82"/>
      <c r="F132" s="75" t="str">
        <f t="shared" si="5"/>
        <v>Bombo Town Council</v>
      </c>
      <c r="G132" s="75" t="str">
        <f t="shared" si="4"/>
        <v>Luwero</v>
      </c>
      <c r="H132" s="82" t="s">
        <v>2256</v>
      </c>
    </row>
    <row r="133" spans="1:8">
      <c r="A133" s="81">
        <v>1244</v>
      </c>
      <c r="B133" s="82" t="s">
        <v>2388</v>
      </c>
      <c r="C133" s="82" t="s">
        <v>2389</v>
      </c>
      <c r="D133" s="86" t="s">
        <v>3133</v>
      </c>
      <c r="E133" s="82"/>
      <c r="F133" s="75" t="str">
        <f t="shared" ref="F133:F134" si="6">D133&amp;"-"&amp;B133</f>
        <v>Bubaare-Mbarara</v>
      </c>
      <c r="G133" s="75" t="str">
        <f t="shared" si="4"/>
        <v>Mbarara</v>
      </c>
      <c r="H133" s="86" t="s">
        <v>3133</v>
      </c>
    </row>
    <row r="134" spans="1:8">
      <c r="A134" s="81">
        <v>1506</v>
      </c>
      <c r="B134" s="82" t="s">
        <v>2746</v>
      </c>
      <c r="C134" s="82" t="s">
        <v>2746</v>
      </c>
      <c r="D134" s="86" t="s">
        <v>3133</v>
      </c>
      <c r="E134" s="82"/>
      <c r="F134" s="75" t="str">
        <f t="shared" si="6"/>
        <v>Bubaare-Rubanda</v>
      </c>
      <c r="G134" s="75" t="str">
        <f t="shared" si="4"/>
        <v>Rubanda</v>
      </c>
      <c r="H134" s="86" t="s">
        <v>3133</v>
      </c>
    </row>
    <row r="135" spans="1:8">
      <c r="A135" s="81">
        <v>1112</v>
      </c>
      <c r="B135" s="82" t="s">
        <v>1108</v>
      </c>
      <c r="C135" s="82" t="s">
        <v>1109</v>
      </c>
      <c r="D135" s="82" t="s">
        <v>1107</v>
      </c>
      <c r="E135" s="82"/>
      <c r="F135" s="75" t="str">
        <f t="shared" ref="F135:F162" si="7">D135</f>
        <v>Bubandi</v>
      </c>
      <c r="G135" s="75" t="str">
        <f t="shared" si="4"/>
        <v>Bundibugyo</v>
      </c>
      <c r="H135" s="82" t="s">
        <v>1107</v>
      </c>
    </row>
    <row r="136" spans="1:8">
      <c r="A136" s="81">
        <v>1208</v>
      </c>
      <c r="B136" s="82" t="s">
        <v>2031</v>
      </c>
      <c r="C136" s="82" t="s">
        <v>2032</v>
      </c>
      <c r="D136" s="82" t="s">
        <v>2030</v>
      </c>
      <c r="E136" s="82"/>
      <c r="F136" s="75" t="str">
        <f t="shared" si="7"/>
        <v>Bubango</v>
      </c>
      <c r="G136" s="75" t="str">
        <f t="shared" si="4"/>
        <v>Kibaale</v>
      </c>
      <c r="H136" s="82" t="s">
        <v>2030</v>
      </c>
    </row>
    <row r="137" spans="1:8">
      <c r="A137" s="81">
        <v>321</v>
      </c>
      <c r="B137" s="82" t="s">
        <v>1431</v>
      </c>
      <c r="C137" s="82" t="s">
        <v>1432</v>
      </c>
      <c r="D137" s="82" t="s">
        <v>1430</v>
      </c>
      <c r="E137" s="82"/>
      <c r="F137" s="75" t="str">
        <f t="shared" si="7"/>
        <v>Bubeke</v>
      </c>
      <c r="G137" s="75" t="str">
        <f t="shared" si="4"/>
        <v>Kalangala</v>
      </c>
      <c r="H137" s="82" t="s">
        <v>1430</v>
      </c>
    </row>
    <row r="138" spans="1:8">
      <c r="A138" s="81">
        <v>915</v>
      </c>
      <c r="B138" s="82" t="s">
        <v>1003</v>
      </c>
      <c r="C138" s="82" t="s">
        <v>1004</v>
      </c>
      <c r="D138" s="82" t="s">
        <v>1002</v>
      </c>
      <c r="E138" s="82"/>
      <c r="F138" s="75" t="str">
        <f t="shared" si="7"/>
        <v>Bubiita</v>
      </c>
      <c r="G138" s="75" t="str">
        <f t="shared" ref="G138:G201" si="8">B138</f>
        <v>Bududa</v>
      </c>
      <c r="H138" s="82" t="s">
        <v>1002</v>
      </c>
    </row>
    <row r="139" spans="1:8">
      <c r="A139" s="81">
        <v>1113</v>
      </c>
      <c r="B139" s="82" t="s">
        <v>1108</v>
      </c>
      <c r="C139" s="82" t="s">
        <v>1109</v>
      </c>
      <c r="D139" s="82" t="s">
        <v>1110</v>
      </c>
      <c r="E139" s="82"/>
      <c r="F139" s="75" t="str">
        <f t="shared" si="7"/>
        <v>Bubukwanga</v>
      </c>
      <c r="G139" s="75" t="str">
        <f t="shared" si="8"/>
        <v>Bundibugyo</v>
      </c>
      <c r="H139" s="82" t="s">
        <v>1110</v>
      </c>
    </row>
    <row r="140" spans="1:8">
      <c r="A140" s="81">
        <v>1085</v>
      </c>
      <c r="B140" s="82" t="s">
        <v>2579</v>
      </c>
      <c r="C140" s="82" t="s">
        <v>2579</v>
      </c>
      <c r="D140" s="82" t="s">
        <v>2578</v>
      </c>
      <c r="E140" s="82"/>
      <c r="F140" s="75" t="str">
        <f t="shared" si="7"/>
        <v>Bubutu</v>
      </c>
      <c r="G140" s="75" t="str">
        <f t="shared" si="8"/>
        <v>Namisindwa</v>
      </c>
      <c r="H140" s="82" t="s">
        <v>2578</v>
      </c>
    </row>
    <row r="141" spans="1:8">
      <c r="A141" s="81">
        <v>771</v>
      </c>
      <c r="B141" s="82" t="s">
        <v>2362</v>
      </c>
      <c r="C141" s="82" t="s">
        <v>2363</v>
      </c>
      <c r="D141" s="82" t="s">
        <v>2361</v>
      </c>
      <c r="E141" s="82"/>
      <c r="F141" s="75" t="str">
        <f t="shared" si="7"/>
        <v>Bubyangu</v>
      </c>
      <c r="G141" s="75" t="str">
        <f t="shared" si="8"/>
        <v>Mbale</v>
      </c>
      <c r="H141" s="82" t="s">
        <v>2361</v>
      </c>
    </row>
    <row r="142" spans="1:8">
      <c r="A142" s="81">
        <v>865</v>
      </c>
      <c r="B142" s="82" t="s">
        <v>2812</v>
      </c>
      <c r="C142" s="82" t="s">
        <v>2813</v>
      </c>
      <c r="D142" s="82" t="s">
        <v>2811</v>
      </c>
      <c r="E142" s="82"/>
      <c r="F142" s="75" t="str">
        <f t="shared" si="7"/>
        <v>Budadiri Town Council</v>
      </c>
      <c r="G142" s="75" t="str">
        <f t="shared" si="8"/>
        <v>Sironko</v>
      </c>
      <c r="H142" s="82" t="s">
        <v>2811</v>
      </c>
    </row>
    <row r="143" spans="1:8">
      <c r="A143" s="81">
        <v>902</v>
      </c>
      <c r="B143" s="82" t="s">
        <v>989</v>
      </c>
      <c r="C143" s="82" t="s">
        <v>989</v>
      </c>
      <c r="D143" s="82" t="s">
        <v>989</v>
      </c>
      <c r="E143" s="82"/>
      <c r="F143" s="75" t="str">
        <f t="shared" si="7"/>
        <v>Budaka</v>
      </c>
      <c r="G143" s="75" t="str">
        <f t="shared" si="8"/>
        <v>Budaka</v>
      </c>
      <c r="H143" s="82" t="s">
        <v>989</v>
      </c>
    </row>
    <row r="144" spans="1:8">
      <c r="A144" s="81">
        <v>903</v>
      </c>
      <c r="B144" s="82" t="s">
        <v>989</v>
      </c>
      <c r="C144" s="82" t="s">
        <v>989</v>
      </c>
      <c r="D144" s="82" t="s">
        <v>990</v>
      </c>
      <c r="E144" s="82"/>
      <c r="F144" s="75" t="str">
        <f t="shared" si="7"/>
        <v>Budaka Town Council</v>
      </c>
      <c r="G144" s="75" t="str">
        <f t="shared" si="8"/>
        <v>Budaka</v>
      </c>
      <c r="H144" s="82" t="s">
        <v>990</v>
      </c>
    </row>
    <row r="145" spans="1:8">
      <c r="A145" s="81">
        <v>611</v>
      </c>
      <c r="B145" s="82" t="s">
        <v>1187</v>
      </c>
      <c r="C145" s="82" t="s">
        <v>1187</v>
      </c>
      <c r="D145" s="82" t="s">
        <v>1186</v>
      </c>
      <c r="E145" s="82"/>
      <c r="F145" s="75" t="str">
        <f t="shared" si="7"/>
        <v>Budde</v>
      </c>
      <c r="G145" s="75" t="str">
        <f t="shared" si="8"/>
        <v>Butambala</v>
      </c>
      <c r="H145" s="82" t="s">
        <v>1186</v>
      </c>
    </row>
    <row r="146" spans="1:8">
      <c r="A146" s="81">
        <v>671</v>
      </c>
      <c r="B146" s="82" t="s">
        <v>1020</v>
      </c>
      <c r="C146" s="82" t="s">
        <v>1021</v>
      </c>
      <c r="D146" s="82" t="s">
        <v>1019</v>
      </c>
      <c r="E146" s="82"/>
      <c r="F146" s="75" t="str">
        <f t="shared" si="7"/>
        <v>Budhaya</v>
      </c>
      <c r="G146" s="75" t="str">
        <f t="shared" si="8"/>
        <v>Bugiri</v>
      </c>
      <c r="H146" s="82" t="s">
        <v>1019</v>
      </c>
    </row>
    <row r="147" spans="1:8">
      <c r="A147" s="81">
        <v>961</v>
      </c>
      <c r="B147" s="82" t="s">
        <v>1439</v>
      </c>
      <c r="C147" s="82" t="s">
        <v>1278</v>
      </c>
      <c r="D147" s="82" t="s">
        <v>1438</v>
      </c>
      <c r="E147" s="82"/>
      <c r="F147" s="75" t="str">
        <f t="shared" si="7"/>
        <v>Budomero</v>
      </c>
      <c r="G147" s="75" t="str">
        <f t="shared" si="8"/>
        <v>Kaliro</v>
      </c>
      <c r="H147" s="82" t="s">
        <v>1438</v>
      </c>
    </row>
    <row r="148" spans="1:8">
      <c r="A148" s="81">
        <v>720</v>
      </c>
      <c r="B148" s="82" t="s">
        <v>1320</v>
      </c>
      <c r="C148" s="82" t="s">
        <v>1321</v>
      </c>
      <c r="D148" s="82" t="s">
        <v>1319</v>
      </c>
      <c r="E148" s="82"/>
      <c r="F148" s="75" t="str">
        <f t="shared" si="7"/>
        <v>Budondo</v>
      </c>
      <c r="G148" s="75" t="str">
        <f t="shared" si="8"/>
        <v>Jinja</v>
      </c>
      <c r="H148" s="82" t="s">
        <v>1319</v>
      </c>
    </row>
    <row r="149" spans="1:8">
      <c r="A149" s="81">
        <v>1235</v>
      </c>
      <c r="B149" s="82" t="s">
        <v>2337</v>
      </c>
      <c r="C149" s="82" t="s">
        <v>2338</v>
      </c>
      <c r="D149" s="82" t="s">
        <v>2336</v>
      </c>
      <c r="E149" s="82"/>
      <c r="F149" s="75" t="str">
        <f t="shared" si="7"/>
        <v>Budongo</v>
      </c>
      <c r="G149" s="75" t="str">
        <f t="shared" si="8"/>
        <v>Masindi</v>
      </c>
      <c r="H149" s="82" t="s">
        <v>2336</v>
      </c>
    </row>
    <row r="150" spans="1:8">
      <c r="A150" s="81">
        <v>917</v>
      </c>
      <c r="B150" s="82" t="s">
        <v>1003</v>
      </c>
      <c r="C150" s="82" t="s">
        <v>1004</v>
      </c>
      <c r="D150" s="82" t="s">
        <v>1003</v>
      </c>
      <c r="E150" s="82"/>
      <c r="F150" s="75" t="str">
        <f t="shared" si="7"/>
        <v>Bududa</v>
      </c>
      <c r="G150" s="75" t="str">
        <f t="shared" si="8"/>
        <v>Bududa</v>
      </c>
      <c r="H150" s="82" t="s">
        <v>1003</v>
      </c>
    </row>
    <row r="151" spans="1:8">
      <c r="A151" s="81">
        <v>916</v>
      </c>
      <c r="B151" s="82" t="s">
        <v>1003</v>
      </c>
      <c r="C151" s="82" t="s">
        <v>1004</v>
      </c>
      <c r="D151" s="82" t="s">
        <v>1005</v>
      </c>
      <c r="E151" s="82"/>
      <c r="F151" s="75" t="str">
        <f t="shared" si="7"/>
        <v>Bududa Town Council</v>
      </c>
      <c r="G151" s="75" t="str">
        <f t="shared" si="8"/>
        <v>Bududa</v>
      </c>
      <c r="H151" s="82" t="s">
        <v>1005</v>
      </c>
    </row>
    <row r="152" spans="1:8">
      <c r="A152" s="81">
        <v>949</v>
      </c>
      <c r="B152" s="82" t="s">
        <v>1174</v>
      </c>
      <c r="C152" s="82" t="s">
        <v>1175</v>
      </c>
      <c r="D152" s="82" t="s">
        <v>1173</v>
      </c>
      <c r="E152" s="82"/>
      <c r="F152" s="75" t="str">
        <f t="shared" si="7"/>
        <v>Budumba</v>
      </c>
      <c r="G152" s="75" t="str">
        <f t="shared" si="8"/>
        <v>Butaleja</v>
      </c>
      <c r="H152" s="82" t="s">
        <v>1173</v>
      </c>
    </row>
    <row r="153" spans="1:8">
      <c r="A153" s="81">
        <v>772</v>
      </c>
      <c r="B153" s="82" t="s">
        <v>2362</v>
      </c>
      <c r="C153" s="82" t="s">
        <v>2363</v>
      </c>
      <c r="D153" s="82" t="s">
        <v>2364</v>
      </c>
      <c r="E153" s="82"/>
      <c r="F153" s="75" t="str">
        <f t="shared" si="7"/>
        <v>Budwale</v>
      </c>
      <c r="G153" s="75" t="str">
        <f t="shared" si="8"/>
        <v>Mbale</v>
      </c>
      <c r="H153" s="82" t="s">
        <v>2364</v>
      </c>
    </row>
    <row r="154" spans="1:8">
      <c r="A154" s="81">
        <v>773</v>
      </c>
      <c r="B154" s="82" t="s">
        <v>2362</v>
      </c>
      <c r="C154" s="82" t="s">
        <v>2363</v>
      </c>
      <c r="D154" s="82" t="s">
        <v>2365</v>
      </c>
      <c r="E154" s="82"/>
      <c r="F154" s="75" t="str">
        <f t="shared" si="7"/>
        <v>Bufumbo</v>
      </c>
      <c r="G154" s="75" t="str">
        <f t="shared" si="8"/>
        <v>Mbale</v>
      </c>
      <c r="H154" s="82" t="s">
        <v>2365</v>
      </c>
    </row>
    <row r="155" spans="1:8">
      <c r="A155" s="81">
        <v>322</v>
      </c>
      <c r="B155" s="82" t="s">
        <v>1431</v>
      </c>
      <c r="C155" s="82" t="s">
        <v>1432</v>
      </c>
      <c r="D155" s="82" t="s">
        <v>1433</v>
      </c>
      <c r="E155" s="82"/>
      <c r="F155" s="75" t="str">
        <f t="shared" si="7"/>
        <v>Bufumira</v>
      </c>
      <c r="G155" s="75" t="str">
        <f t="shared" si="8"/>
        <v>Kalangala</v>
      </c>
      <c r="H155" s="82" t="s">
        <v>1433</v>
      </c>
    </row>
    <row r="156" spans="1:8" ht="25.5">
      <c r="A156" s="81">
        <v>1364</v>
      </c>
      <c r="B156" s="82" t="s">
        <v>43</v>
      </c>
      <c r="C156" s="83" t="s">
        <v>1265</v>
      </c>
      <c r="D156" s="82" t="s">
        <v>3134</v>
      </c>
      <c r="E156" s="82"/>
      <c r="F156" s="76" t="str">
        <f>VLOOKUP(C156,[2]Municipalities!$C$9:$F$1522,4,FALSE)</f>
        <v>Ibanda Municipality</v>
      </c>
      <c r="G156" s="75" t="str">
        <f t="shared" si="8"/>
        <v>Ibanda</v>
      </c>
      <c r="H156" s="82" t="s">
        <v>3134</v>
      </c>
    </row>
    <row r="157" spans="1:8">
      <c r="A157" s="81">
        <v>1507</v>
      </c>
      <c r="B157" s="82" t="s">
        <v>2746</v>
      </c>
      <c r="C157" s="82" t="s">
        <v>2746</v>
      </c>
      <c r="D157" s="82" t="s">
        <v>2747</v>
      </c>
      <c r="E157" s="82"/>
      <c r="F157" s="75" t="str">
        <f t="shared" si="7"/>
        <v>Bufundi</v>
      </c>
      <c r="G157" s="75" t="str">
        <f t="shared" si="8"/>
        <v>Rubanda</v>
      </c>
      <c r="H157" s="82" t="s">
        <v>2747</v>
      </c>
    </row>
    <row r="158" spans="1:8">
      <c r="A158" s="81">
        <v>1330</v>
      </c>
      <c r="B158" s="82" t="s">
        <v>2198</v>
      </c>
      <c r="C158" s="82" t="s">
        <v>2199</v>
      </c>
      <c r="D158" s="82" t="s">
        <v>2197</v>
      </c>
      <c r="E158" s="82"/>
      <c r="F158" s="75" t="str">
        <f t="shared" si="7"/>
        <v>Bufunjo</v>
      </c>
      <c r="G158" s="75" t="str">
        <f t="shared" si="8"/>
        <v>Kyenjojo</v>
      </c>
      <c r="H158" s="82" t="s">
        <v>2197</v>
      </c>
    </row>
    <row r="159" spans="1:8">
      <c r="A159" s="81">
        <v>1331</v>
      </c>
      <c r="B159" s="82" t="s">
        <v>2198</v>
      </c>
      <c r="C159" s="82" t="s">
        <v>2199</v>
      </c>
      <c r="D159" s="82" t="s">
        <v>2200</v>
      </c>
      <c r="E159" s="82"/>
      <c r="F159" s="75" t="str">
        <f t="shared" si="7"/>
        <v>Bugaaki</v>
      </c>
      <c r="G159" s="75" t="str">
        <f t="shared" si="8"/>
        <v>Kyenjojo</v>
      </c>
      <c r="H159" s="82" t="s">
        <v>2200</v>
      </c>
    </row>
    <row r="160" spans="1:8">
      <c r="A160" s="81">
        <v>1257</v>
      </c>
      <c r="B160" s="82" t="s">
        <v>2388</v>
      </c>
      <c r="C160" s="82" t="s">
        <v>2391</v>
      </c>
      <c r="D160" s="82" t="s">
        <v>2390</v>
      </c>
      <c r="E160" s="82"/>
      <c r="F160" s="75" t="str">
        <f t="shared" si="7"/>
        <v>Bugamba</v>
      </c>
      <c r="G160" s="75" t="str">
        <f t="shared" si="8"/>
        <v>Mbarara</v>
      </c>
      <c r="H160" s="82" t="s">
        <v>2390</v>
      </c>
    </row>
    <row r="161" spans="1:8">
      <c r="A161" s="81">
        <v>1140</v>
      </c>
      <c r="B161" s="82" t="s">
        <v>1248</v>
      </c>
      <c r="C161" s="82" t="s">
        <v>1249</v>
      </c>
      <c r="D161" s="82" t="s">
        <v>1247</v>
      </c>
      <c r="E161" s="82"/>
      <c r="F161" s="75" t="str">
        <f t="shared" si="7"/>
        <v>Bugambe</v>
      </c>
      <c r="G161" s="75" t="str">
        <f t="shared" si="8"/>
        <v>Hoima</v>
      </c>
      <c r="H161" s="82" t="s">
        <v>1247</v>
      </c>
    </row>
    <row r="162" spans="1:8">
      <c r="A162" s="81">
        <v>1289</v>
      </c>
      <c r="B162" s="82" t="s">
        <v>40</v>
      </c>
      <c r="C162" s="82" t="s">
        <v>2774</v>
      </c>
      <c r="D162" s="82" t="s">
        <v>2773</v>
      </c>
      <c r="E162" s="82"/>
      <c r="F162" s="75" t="str">
        <f t="shared" si="7"/>
        <v>Bugangari</v>
      </c>
      <c r="G162" s="75" t="str">
        <f t="shared" si="8"/>
        <v>Rukungiri</v>
      </c>
      <c r="H162" s="82" t="s">
        <v>2773</v>
      </c>
    </row>
    <row r="163" spans="1:8">
      <c r="A163" s="81">
        <v>617</v>
      </c>
      <c r="B163" s="82" t="s">
        <v>1204</v>
      </c>
      <c r="C163" s="82" t="s">
        <v>1205</v>
      </c>
      <c r="D163" s="86" t="s">
        <v>3135</v>
      </c>
      <c r="E163" s="82"/>
      <c r="F163" s="75" t="str">
        <f t="shared" ref="F163:F164" si="9">D163&amp;"-"&amp;B163</f>
        <v>Bugaya-Buvuma</v>
      </c>
      <c r="G163" s="75" t="str">
        <f t="shared" si="8"/>
        <v>Buvuma</v>
      </c>
      <c r="H163" s="86" t="s">
        <v>3135</v>
      </c>
    </row>
    <row r="164" spans="1:8">
      <c r="A164" s="81">
        <v>1018</v>
      </c>
      <c r="B164" s="82" t="s">
        <v>1215</v>
      </c>
      <c r="C164" s="82" t="s">
        <v>1216</v>
      </c>
      <c r="D164" s="86" t="s">
        <v>3135</v>
      </c>
      <c r="E164" s="82"/>
      <c r="F164" s="75" t="str">
        <f t="shared" si="9"/>
        <v>Bugaya-Buyende</v>
      </c>
      <c r="G164" s="75" t="str">
        <f t="shared" si="8"/>
        <v>Buyende</v>
      </c>
      <c r="H164" s="86" t="s">
        <v>3135</v>
      </c>
    </row>
    <row r="165" spans="1:8">
      <c r="A165" s="81">
        <v>713</v>
      </c>
      <c r="B165" s="82" t="s">
        <v>1320</v>
      </c>
      <c r="C165" s="82" t="s">
        <v>1323</v>
      </c>
      <c r="D165" s="82" t="s">
        <v>1322</v>
      </c>
      <c r="E165" s="82"/>
      <c r="F165" s="75" t="str">
        <f t="shared" ref="F165:F228" si="10">D165</f>
        <v>Bugembe Town Council</v>
      </c>
      <c r="G165" s="75" t="str">
        <f t="shared" si="8"/>
        <v>Jinja</v>
      </c>
      <c r="H165" s="82" t="s">
        <v>1322</v>
      </c>
    </row>
    <row r="166" spans="1:8">
      <c r="A166" s="81">
        <v>999</v>
      </c>
      <c r="B166" s="82" t="s">
        <v>1081</v>
      </c>
      <c r="C166" s="82" t="s">
        <v>1081</v>
      </c>
      <c r="D166" s="82" t="s">
        <v>1080</v>
      </c>
      <c r="E166" s="82"/>
      <c r="F166" s="75" t="str">
        <f t="shared" si="10"/>
        <v>Buginyanya</v>
      </c>
      <c r="G166" s="75" t="str">
        <f t="shared" si="8"/>
        <v>Bulambuli</v>
      </c>
      <c r="H166" s="82" t="s">
        <v>1080</v>
      </c>
    </row>
    <row r="167" spans="1:8">
      <c r="A167" s="81">
        <v>866</v>
      </c>
      <c r="B167" s="82" t="s">
        <v>2812</v>
      </c>
      <c r="C167" s="82" t="s">
        <v>2813</v>
      </c>
      <c r="D167" s="82" t="s">
        <v>2814</v>
      </c>
      <c r="E167" s="82"/>
      <c r="F167" s="75" t="str">
        <f t="shared" si="10"/>
        <v>Bugitimwa</v>
      </c>
      <c r="G167" s="75" t="str">
        <f t="shared" si="8"/>
        <v>Sironko</v>
      </c>
      <c r="H167" s="82" t="s">
        <v>2814</v>
      </c>
    </row>
    <row r="168" spans="1:8">
      <c r="A168" s="81">
        <v>973</v>
      </c>
      <c r="B168" s="82" t="s">
        <v>2294</v>
      </c>
      <c r="C168" s="82" t="s">
        <v>2295</v>
      </c>
      <c r="D168" s="82" t="s">
        <v>2293</v>
      </c>
      <c r="E168" s="82"/>
      <c r="F168" s="75" t="str">
        <f t="shared" si="10"/>
        <v>Bugobero</v>
      </c>
      <c r="G168" s="75" t="str">
        <f t="shared" si="8"/>
        <v>Manafwa</v>
      </c>
      <c r="H168" s="82" t="s">
        <v>2293</v>
      </c>
    </row>
    <row r="169" spans="1:8">
      <c r="A169" s="81">
        <v>1068</v>
      </c>
      <c r="B169" s="82" t="s">
        <v>2786</v>
      </c>
      <c r="C169" s="82" t="s">
        <v>2788</v>
      </c>
      <c r="D169" s="82" t="s">
        <v>2787</v>
      </c>
      <c r="E169" s="82"/>
      <c r="F169" s="75" t="str">
        <f t="shared" si="10"/>
        <v>Bugondo</v>
      </c>
      <c r="G169" s="75" t="str">
        <f t="shared" si="8"/>
        <v>Serere</v>
      </c>
      <c r="H169" s="82" t="s">
        <v>2787</v>
      </c>
    </row>
    <row r="170" spans="1:8">
      <c r="A170" s="81">
        <v>1463</v>
      </c>
      <c r="B170" s="82" t="s">
        <v>41</v>
      </c>
      <c r="C170" s="82" t="s">
        <v>41</v>
      </c>
      <c r="D170" s="82" t="s">
        <v>2797</v>
      </c>
      <c r="E170" s="82"/>
      <c r="F170" s="75" t="str">
        <f t="shared" si="10"/>
        <v>Bugongi Town Council</v>
      </c>
      <c r="G170" s="75" t="str">
        <f t="shared" si="8"/>
        <v>Sheema</v>
      </c>
      <c r="H170" s="82" t="s">
        <v>2797</v>
      </c>
    </row>
    <row r="171" spans="1:8">
      <c r="A171" s="81">
        <v>1192</v>
      </c>
      <c r="B171" s="82" t="s">
        <v>36</v>
      </c>
      <c r="C171" s="82" t="s">
        <v>1978</v>
      </c>
      <c r="D171" s="82" t="s">
        <v>1977</v>
      </c>
      <c r="E171" s="82"/>
      <c r="F171" s="75" t="str">
        <f t="shared" si="10"/>
        <v>Bugoye</v>
      </c>
      <c r="G171" s="75" t="str">
        <f t="shared" si="8"/>
        <v>Kasese</v>
      </c>
      <c r="H171" s="82" t="s">
        <v>1977</v>
      </c>
    </row>
    <row r="172" spans="1:8">
      <c r="A172" s="81">
        <v>732</v>
      </c>
      <c r="B172" s="82" t="s">
        <v>1911</v>
      </c>
      <c r="C172" s="82" t="s">
        <v>1914</v>
      </c>
      <c r="D172" s="82" t="s">
        <v>1913</v>
      </c>
      <c r="E172" s="82"/>
      <c r="F172" s="75" t="str">
        <f t="shared" si="10"/>
        <v>Bugulumbya</v>
      </c>
      <c r="G172" s="75" t="str">
        <f t="shared" si="8"/>
        <v>Kamuli</v>
      </c>
      <c r="H172" s="82" t="s">
        <v>1913</v>
      </c>
    </row>
    <row r="173" spans="1:8">
      <c r="A173" s="81">
        <v>1307</v>
      </c>
      <c r="B173" s="82" t="s">
        <v>45</v>
      </c>
      <c r="C173" s="82" t="s">
        <v>1929</v>
      </c>
      <c r="D173" s="82" t="s">
        <v>1928</v>
      </c>
      <c r="E173" s="82"/>
      <c r="F173" s="75" t="str">
        <f t="shared" si="10"/>
        <v>Buhanda</v>
      </c>
      <c r="G173" s="75" t="str">
        <f t="shared" si="8"/>
        <v>Kamwenge</v>
      </c>
      <c r="H173" s="82" t="s">
        <v>1928</v>
      </c>
    </row>
    <row r="174" spans="1:8">
      <c r="A174" s="81">
        <v>1135</v>
      </c>
      <c r="B174" s="82" t="s">
        <v>1248</v>
      </c>
      <c r="C174" s="82" t="s">
        <v>1252</v>
      </c>
      <c r="D174" s="82" t="s">
        <v>1251</v>
      </c>
      <c r="E174" s="82"/>
      <c r="F174" s="75" t="str">
        <f t="shared" si="10"/>
        <v>Buhanika</v>
      </c>
      <c r="G174" s="75" t="str">
        <f t="shared" si="8"/>
        <v>Hoima</v>
      </c>
      <c r="H174" s="82" t="s">
        <v>1251</v>
      </c>
    </row>
    <row r="175" spans="1:8">
      <c r="A175" s="81">
        <v>1152</v>
      </c>
      <c r="B175" s="82" t="s">
        <v>1353</v>
      </c>
      <c r="C175" s="82" t="s">
        <v>1354</v>
      </c>
      <c r="D175" s="82" t="s">
        <v>1352</v>
      </c>
      <c r="E175" s="82"/>
      <c r="F175" s="75" t="str">
        <f t="shared" si="10"/>
        <v>Buhara</v>
      </c>
      <c r="G175" s="75" t="str">
        <f t="shared" si="8"/>
        <v>Kabale</v>
      </c>
      <c r="H175" s="82" t="s">
        <v>1352</v>
      </c>
    </row>
    <row r="176" spans="1:8">
      <c r="A176" s="81">
        <v>1515</v>
      </c>
      <c r="B176" s="82" t="s">
        <v>1131</v>
      </c>
      <c r="C176" s="82" t="s">
        <v>1131</v>
      </c>
      <c r="D176" s="82" t="s">
        <v>1130</v>
      </c>
      <c r="E176" s="82"/>
      <c r="F176" s="75" t="str">
        <f t="shared" si="10"/>
        <v>Buheesi</v>
      </c>
      <c r="G176" s="75" t="str">
        <f t="shared" si="8"/>
        <v>Bunyangabu</v>
      </c>
      <c r="H176" s="82" t="s">
        <v>1130</v>
      </c>
    </row>
    <row r="177" spans="1:8">
      <c r="A177" s="81">
        <v>1524</v>
      </c>
      <c r="B177" s="82" t="s">
        <v>1131</v>
      </c>
      <c r="C177" s="82" t="s">
        <v>1131</v>
      </c>
      <c r="D177" s="82" t="s">
        <v>1132</v>
      </c>
      <c r="E177" s="82"/>
      <c r="F177" s="75" t="str">
        <f t="shared" si="10"/>
        <v>Buheesi Town Council</v>
      </c>
      <c r="G177" s="75" t="str">
        <f t="shared" si="8"/>
        <v>Bunyangabu</v>
      </c>
      <c r="H177" s="82" t="s">
        <v>1132</v>
      </c>
    </row>
    <row r="178" spans="1:8">
      <c r="A178" s="81">
        <v>683</v>
      </c>
      <c r="B178" s="82" t="s">
        <v>1156</v>
      </c>
      <c r="C178" s="82" t="s">
        <v>1157</v>
      </c>
      <c r="D178" s="82" t="s">
        <v>1155</v>
      </c>
      <c r="E178" s="82"/>
      <c r="F178" s="75" t="str">
        <f t="shared" si="10"/>
        <v>Buhehe</v>
      </c>
      <c r="G178" s="75" t="str">
        <f t="shared" si="8"/>
        <v>Busia</v>
      </c>
      <c r="H178" s="82" t="s">
        <v>1155</v>
      </c>
    </row>
    <row r="179" spans="1:8">
      <c r="A179" s="81">
        <v>1056</v>
      </c>
      <c r="B179" s="82" t="s">
        <v>2567</v>
      </c>
      <c r="C179" s="82" t="s">
        <v>2568</v>
      </c>
      <c r="D179" s="82" t="s">
        <v>2570</v>
      </c>
      <c r="E179" s="82"/>
      <c r="F179" s="75" t="str">
        <f t="shared" si="10"/>
        <v>Buhemba</v>
      </c>
      <c r="G179" s="75" t="str">
        <f t="shared" si="8"/>
        <v>Namayingo</v>
      </c>
      <c r="H179" s="82" t="s">
        <v>2570</v>
      </c>
    </row>
    <row r="180" spans="1:8">
      <c r="A180" s="81">
        <v>1141</v>
      </c>
      <c r="B180" s="82" t="s">
        <v>1248</v>
      </c>
      <c r="C180" s="82" t="s">
        <v>1249</v>
      </c>
      <c r="D180" s="82" t="s">
        <v>1253</v>
      </c>
      <c r="E180" s="82"/>
      <c r="F180" s="75" t="str">
        <f t="shared" si="10"/>
        <v>Buhimba</v>
      </c>
      <c r="G180" s="75" t="str">
        <f t="shared" si="8"/>
        <v>Hoima</v>
      </c>
      <c r="H180" s="82" t="s">
        <v>1253</v>
      </c>
    </row>
    <row r="181" spans="1:8">
      <c r="A181" s="81">
        <v>867</v>
      </c>
      <c r="B181" s="82" t="s">
        <v>2812</v>
      </c>
      <c r="C181" s="82" t="s">
        <v>2813</v>
      </c>
      <c r="D181" s="82" t="s">
        <v>2815</v>
      </c>
      <c r="E181" s="82"/>
      <c r="F181" s="75" t="str">
        <f t="shared" si="10"/>
        <v>Buhugu</v>
      </c>
      <c r="G181" s="75" t="str">
        <f t="shared" si="8"/>
        <v>Sironko</v>
      </c>
      <c r="H181" s="82" t="s">
        <v>2815</v>
      </c>
    </row>
    <row r="182" spans="1:8">
      <c r="A182" s="81">
        <v>1193</v>
      </c>
      <c r="B182" s="82" t="s">
        <v>36</v>
      </c>
      <c r="C182" s="82" t="s">
        <v>1978</v>
      </c>
      <c r="D182" s="82" t="s">
        <v>1979</v>
      </c>
      <c r="E182" s="82"/>
      <c r="F182" s="75" t="str">
        <f t="shared" si="10"/>
        <v>Buhuhira</v>
      </c>
      <c r="G182" s="75" t="str">
        <f t="shared" si="8"/>
        <v>Kasese</v>
      </c>
      <c r="H182" s="82" t="s">
        <v>1979</v>
      </c>
    </row>
    <row r="183" spans="1:8">
      <c r="A183" s="81">
        <v>1290</v>
      </c>
      <c r="B183" s="82" t="s">
        <v>40</v>
      </c>
      <c r="C183" s="82" t="s">
        <v>2774</v>
      </c>
      <c r="D183" s="82" t="s">
        <v>2775</v>
      </c>
      <c r="E183" s="82"/>
      <c r="F183" s="75" t="str">
        <f t="shared" si="10"/>
        <v>Buhunga</v>
      </c>
      <c r="G183" s="75" t="str">
        <f t="shared" si="8"/>
        <v>Rukungiri</v>
      </c>
      <c r="H183" s="82" t="s">
        <v>2775</v>
      </c>
    </row>
    <row r="184" spans="1:8">
      <c r="A184" s="81">
        <v>594</v>
      </c>
      <c r="B184" s="82" t="s">
        <v>1041</v>
      </c>
      <c r="C184" s="82" t="s">
        <v>1041</v>
      </c>
      <c r="D184" s="82" t="s">
        <v>1041</v>
      </c>
      <c r="E184" s="82"/>
      <c r="F184" s="75" t="str">
        <f t="shared" si="10"/>
        <v>Buikwe</v>
      </c>
      <c r="G184" s="75" t="str">
        <f t="shared" si="8"/>
        <v>Buikwe</v>
      </c>
      <c r="H184" s="82" t="s">
        <v>1041</v>
      </c>
    </row>
    <row r="185" spans="1:8">
      <c r="A185" s="81">
        <v>595</v>
      </c>
      <c r="B185" s="82" t="s">
        <v>1041</v>
      </c>
      <c r="C185" s="82" t="s">
        <v>1041</v>
      </c>
      <c r="D185" s="82" t="s">
        <v>1043</v>
      </c>
      <c r="E185" s="82"/>
      <c r="F185" s="75" t="str">
        <f t="shared" si="10"/>
        <v>Buikwe Town Council</v>
      </c>
      <c r="G185" s="75" t="str">
        <f t="shared" si="8"/>
        <v>Buikwe</v>
      </c>
      <c r="H185" s="82" t="s">
        <v>1043</v>
      </c>
    </row>
    <row r="186" spans="1:8">
      <c r="A186" s="81">
        <v>318</v>
      </c>
      <c r="B186" s="82" t="s">
        <v>1431</v>
      </c>
      <c r="C186" s="82" t="s">
        <v>1434</v>
      </c>
      <c r="D186" s="82" t="s">
        <v>1434</v>
      </c>
      <c r="E186" s="82"/>
      <c r="F186" s="75" t="str">
        <f t="shared" si="10"/>
        <v>Bujumba</v>
      </c>
      <c r="G186" s="75" t="str">
        <f t="shared" si="8"/>
        <v>Kalangala</v>
      </c>
      <c r="H186" s="82" t="s">
        <v>1434</v>
      </c>
    </row>
    <row r="187" spans="1:8" ht="16.5" customHeight="1">
      <c r="A187" s="81">
        <v>1145</v>
      </c>
      <c r="B187" s="84" t="s">
        <v>1248</v>
      </c>
      <c r="C187" s="85" t="s">
        <v>1254</v>
      </c>
      <c r="D187" s="84" t="s">
        <v>3136</v>
      </c>
      <c r="E187" s="84"/>
      <c r="F187" s="76" t="str">
        <f>VLOOKUP(C187,[2]Municipalities!$C$9:$F$1522,4,FALSE)</f>
        <v>Hoima Municipality</v>
      </c>
      <c r="G187" s="75" t="str">
        <f t="shared" si="8"/>
        <v>Hoima</v>
      </c>
      <c r="H187" s="84" t="s">
        <v>3136</v>
      </c>
    </row>
    <row r="188" spans="1:8">
      <c r="A188" s="81">
        <v>852</v>
      </c>
      <c r="B188" s="82" t="s">
        <v>2346</v>
      </c>
      <c r="C188" s="82" t="s">
        <v>2347</v>
      </c>
      <c r="D188" s="82" t="s">
        <v>2348</v>
      </c>
      <c r="E188" s="82"/>
      <c r="F188" s="75" t="str">
        <f t="shared" si="10"/>
        <v>Bukabooli</v>
      </c>
      <c r="G188" s="75" t="str">
        <f t="shared" si="8"/>
        <v>Mayuge</v>
      </c>
      <c r="H188" s="82" t="s">
        <v>2348</v>
      </c>
    </row>
    <row r="189" spans="1:8">
      <c r="A189" s="81">
        <v>442</v>
      </c>
      <c r="B189" s="82" t="s">
        <v>39</v>
      </c>
      <c r="C189" s="82" t="s">
        <v>23</v>
      </c>
      <c r="D189" s="82" t="s">
        <v>2321</v>
      </c>
      <c r="E189" s="82"/>
      <c r="F189" s="75" t="str">
        <f t="shared" si="10"/>
        <v>Bukakata</v>
      </c>
      <c r="G189" s="75" t="str">
        <f t="shared" si="8"/>
        <v>Masaka</v>
      </c>
      <c r="H189" s="82" t="s">
        <v>2321</v>
      </c>
    </row>
    <row r="190" spans="1:8">
      <c r="A190" s="81">
        <v>918</v>
      </c>
      <c r="B190" s="82" t="s">
        <v>1003</v>
      </c>
      <c r="C190" s="82" t="s">
        <v>1004</v>
      </c>
      <c r="D190" s="82" t="s">
        <v>1006</v>
      </c>
      <c r="E190" s="82"/>
      <c r="F190" s="75" t="str">
        <f t="shared" si="10"/>
        <v>Bukalasi</v>
      </c>
      <c r="G190" s="75" t="str">
        <f t="shared" si="8"/>
        <v>Bududa</v>
      </c>
      <c r="H190" s="82" t="s">
        <v>1006</v>
      </c>
    </row>
    <row r="191" spans="1:8">
      <c r="A191" s="81">
        <v>962</v>
      </c>
      <c r="B191" s="82" t="s">
        <v>1439</v>
      </c>
      <c r="C191" s="82" t="s">
        <v>1278</v>
      </c>
      <c r="D191" s="82" t="s">
        <v>1440</v>
      </c>
      <c r="E191" s="82"/>
      <c r="F191" s="75" t="str">
        <f t="shared" si="10"/>
        <v>Bukamba</v>
      </c>
      <c r="G191" s="75" t="str">
        <f t="shared" si="8"/>
        <v>Kaliro</v>
      </c>
      <c r="H191" s="82" t="s">
        <v>1440</v>
      </c>
    </row>
    <row r="192" spans="1:8">
      <c r="A192" s="81">
        <v>1055</v>
      </c>
      <c r="B192" s="82" t="s">
        <v>2567</v>
      </c>
      <c r="C192" s="82" t="s">
        <v>2568</v>
      </c>
      <c r="D192" s="82" t="s">
        <v>2571</v>
      </c>
      <c r="E192" s="82"/>
      <c r="F192" s="75" t="str">
        <f t="shared" si="10"/>
        <v>Bukana</v>
      </c>
      <c r="G192" s="75" t="str">
        <f t="shared" si="8"/>
        <v>Namayingo</v>
      </c>
      <c r="H192" s="82" t="s">
        <v>2571</v>
      </c>
    </row>
    <row r="193" spans="1:8">
      <c r="A193" s="81">
        <v>1046</v>
      </c>
      <c r="B193" s="82" t="s">
        <v>2246</v>
      </c>
      <c r="C193" s="82" t="s">
        <v>2246</v>
      </c>
      <c r="D193" s="82" t="s">
        <v>1299</v>
      </c>
      <c r="E193" s="82"/>
      <c r="F193" s="75" t="str">
        <f t="shared" si="10"/>
        <v>Bukanga</v>
      </c>
      <c r="G193" s="75" t="str">
        <f t="shared" si="8"/>
        <v>Luuka</v>
      </c>
      <c r="H193" s="82" t="s">
        <v>1299</v>
      </c>
    </row>
    <row r="194" spans="1:8">
      <c r="A194" s="81">
        <v>774</v>
      </c>
      <c r="B194" s="82" t="s">
        <v>2362</v>
      </c>
      <c r="C194" s="82" t="s">
        <v>2363</v>
      </c>
      <c r="D194" s="82" t="s">
        <v>2366</v>
      </c>
      <c r="E194" s="82"/>
      <c r="F194" s="75" t="str">
        <f t="shared" si="10"/>
        <v>Bukasakya</v>
      </c>
      <c r="G194" s="75" t="str">
        <f t="shared" si="8"/>
        <v>Mbale</v>
      </c>
      <c r="H194" s="82" t="s">
        <v>2366</v>
      </c>
    </row>
    <row r="195" spans="1:8">
      <c r="A195" s="81">
        <v>853</v>
      </c>
      <c r="B195" s="82" t="s">
        <v>2346</v>
      </c>
      <c r="C195" s="82" t="s">
        <v>2347</v>
      </c>
      <c r="D195" s="82" t="s">
        <v>2349</v>
      </c>
      <c r="E195" s="82"/>
      <c r="F195" s="75" t="str">
        <f t="shared" si="10"/>
        <v>Bukatube</v>
      </c>
      <c r="G195" s="75" t="str">
        <f t="shared" si="8"/>
        <v>Mayuge</v>
      </c>
      <c r="H195" s="82" t="s">
        <v>2349</v>
      </c>
    </row>
    <row r="196" spans="1:8">
      <c r="A196" s="81">
        <v>931</v>
      </c>
      <c r="B196" s="82" t="s">
        <v>1055</v>
      </c>
      <c r="C196" s="82" t="s">
        <v>1055</v>
      </c>
      <c r="D196" s="82" t="s">
        <v>1055</v>
      </c>
      <c r="E196" s="82"/>
      <c r="F196" s="75" t="str">
        <f t="shared" si="10"/>
        <v>Bukedea</v>
      </c>
      <c r="G196" s="75" t="str">
        <f t="shared" si="8"/>
        <v>Bukedea</v>
      </c>
      <c r="H196" s="82" t="s">
        <v>1055</v>
      </c>
    </row>
    <row r="197" spans="1:8">
      <c r="A197" s="81">
        <v>932</v>
      </c>
      <c r="B197" s="82" t="s">
        <v>1055</v>
      </c>
      <c r="C197" s="82" t="s">
        <v>1055</v>
      </c>
      <c r="D197" s="82" t="s">
        <v>1056</v>
      </c>
      <c r="E197" s="82"/>
      <c r="F197" s="75" t="str">
        <f t="shared" si="10"/>
        <v>Bukedea Town Council</v>
      </c>
      <c r="G197" s="75" t="str">
        <f t="shared" si="8"/>
        <v>Bukedea</v>
      </c>
      <c r="H197" s="82" t="s">
        <v>1056</v>
      </c>
    </row>
    <row r="198" spans="1:8">
      <c r="A198" s="81">
        <v>1086</v>
      </c>
      <c r="B198" s="82" t="s">
        <v>2579</v>
      </c>
      <c r="C198" s="82" t="s">
        <v>2579</v>
      </c>
      <c r="D198" s="82" t="s">
        <v>2580</v>
      </c>
      <c r="E198" s="82"/>
      <c r="F198" s="75" t="str">
        <f t="shared" si="10"/>
        <v>Bukhabusi</v>
      </c>
      <c r="G198" s="75" t="str">
        <f t="shared" si="8"/>
        <v>Namisindwa</v>
      </c>
      <c r="H198" s="82" t="s">
        <v>2580</v>
      </c>
    </row>
    <row r="199" spans="1:8">
      <c r="A199" s="81">
        <v>1000</v>
      </c>
      <c r="B199" s="82" t="s">
        <v>1081</v>
      </c>
      <c r="C199" s="82" t="s">
        <v>1081</v>
      </c>
      <c r="D199" s="82" t="s">
        <v>1082</v>
      </c>
      <c r="E199" s="82"/>
      <c r="F199" s="75" t="str">
        <f t="shared" si="10"/>
        <v>Bukhalu</v>
      </c>
      <c r="G199" s="75" t="str">
        <f t="shared" si="8"/>
        <v>Bulambuli</v>
      </c>
      <c r="H199" s="82" t="s">
        <v>1082</v>
      </c>
    </row>
    <row r="200" spans="1:8">
      <c r="A200" s="81">
        <v>1087</v>
      </c>
      <c r="B200" s="82" t="s">
        <v>2579</v>
      </c>
      <c r="C200" s="82" t="s">
        <v>2579</v>
      </c>
      <c r="D200" s="82" t="s">
        <v>2581</v>
      </c>
      <c r="E200" s="82"/>
      <c r="F200" s="75" t="str">
        <f t="shared" si="10"/>
        <v>Bukhaweka</v>
      </c>
      <c r="G200" s="75" t="str">
        <f t="shared" si="8"/>
        <v>Namisindwa</v>
      </c>
      <c r="H200" s="82" t="s">
        <v>2581</v>
      </c>
    </row>
    <row r="201" spans="1:8">
      <c r="A201" s="81">
        <v>974</v>
      </c>
      <c r="B201" s="82" t="s">
        <v>2294</v>
      </c>
      <c r="C201" s="82" t="s">
        <v>2295</v>
      </c>
      <c r="D201" s="82" t="s">
        <v>2296</v>
      </c>
      <c r="E201" s="82"/>
      <c r="F201" s="75" t="str">
        <f t="shared" si="10"/>
        <v>Bukhofu</v>
      </c>
      <c r="G201" s="75" t="str">
        <f t="shared" si="8"/>
        <v>Manafwa</v>
      </c>
      <c r="H201" s="82" t="s">
        <v>2296</v>
      </c>
    </row>
    <row r="202" spans="1:8">
      <c r="A202" s="81">
        <v>868</v>
      </c>
      <c r="B202" s="82" t="s">
        <v>2812</v>
      </c>
      <c r="C202" s="82" t="s">
        <v>2813</v>
      </c>
      <c r="D202" s="82" t="s">
        <v>2816</v>
      </c>
      <c r="E202" s="82"/>
      <c r="F202" s="75" t="str">
        <f t="shared" si="10"/>
        <v>Bukhulo</v>
      </c>
      <c r="G202" s="75" t="str">
        <f t="shared" ref="G202:G265" si="11">B202</f>
        <v>Sironko</v>
      </c>
      <c r="H202" s="82" t="s">
        <v>2816</v>
      </c>
    </row>
    <row r="203" spans="1:8">
      <c r="A203" s="81">
        <v>1088</v>
      </c>
      <c r="B203" s="82" t="s">
        <v>2579</v>
      </c>
      <c r="C203" s="82" t="s">
        <v>2579</v>
      </c>
      <c r="D203" s="82" t="s">
        <v>2582</v>
      </c>
      <c r="E203" s="82"/>
      <c r="F203" s="75" t="str">
        <f t="shared" si="10"/>
        <v>Bukiabi</v>
      </c>
      <c r="G203" s="75" t="str">
        <f t="shared" si="11"/>
        <v>Namisindwa</v>
      </c>
      <c r="H203" s="82" t="s">
        <v>2582</v>
      </c>
    </row>
    <row r="204" spans="1:8">
      <c r="A204" s="81">
        <v>919</v>
      </c>
      <c r="B204" s="82" t="s">
        <v>1003</v>
      </c>
      <c r="C204" s="82" t="s">
        <v>1004</v>
      </c>
      <c r="D204" s="82" t="s">
        <v>1007</v>
      </c>
      <c r="E204" s="82"/>
      <c r="F204" s="75" t="str">
        <f t="shared" si="10"/>
        <v>Bukibokolo</v>
      </c>
      <c r="G204" s="75" t="str">
        <f t="shared" si="11"/>
        <v>Bududa</v>
      </c>
      <c r="H204" s="82" t="s">
        <v>1007</v>
      </c>
    </row>
    <row r="205" spans="1:8">
      <c r="A205" s="81">
        <v>775</v>
      </c>
      <c r="B205" s="82" t="s">
        <v>2362</v>
      </c>
      <c r="C205" s="82" t="s">
        <v>2363</v>
      </c>
      <c r="D205" s="82" t="s">
        <v>2367</v>
      </c>
      <c r="E205" s="82"/>
      <c r="F205" s="75" t="str">
        <f t="shared" si="10"/>
        <v>Bukiende</v>
      </c>
      <c r="G205" s="75" t="str">
        <f t="shared" si="11"/>
        <v>Mbale</v>
      </c>
      <c r="H205" s="82" t="s">
        <v>2367</v>
      </c>
    </row>
    <row r="206" spans="1:8">
      <c r="A206" s="81">
        <v>920</v>
      </c>
      <c r="B206" s="82" t="s">
        <v>1003</v>
      </c>
      <c r="C206" s="82" t="s">
        <v>1004</v>
      </c>
      <c r="D206" s="82" t="s">
        <v>1008</v>
      </c>
      <c r="E206" s="82"/>
      <c r="F206" s="75" t="str">
        <f t="shared" si="10"/>
        <v>Bukigai</v>
      </c>
      <c r="G206" s="75" t="str">
        <f t="shared" si="11"/>
        <v>Bududa</v>
      </c>
      <c r="H206" s="82" t="s">
        <v>1008</v>
      </c>
    </row>
    <row r="207" spans="1:8">
      <c r="A207" s="81">
        <v>869</v>
      </c>
      <c r="B207" s="82" t="s">
        <v>2812</v>
      </c>
      <c r="C207" s="82" t="s">
        <v>2813</v>
      </c>
      <c r="D207" s="82" t="s">
        <v>2817</v>
      </c>
      <c r="E207" s="82"/>
      <c r="F207" s="75" t="str">
        <f t="shared" si="10"/>
        <v>Bukiise</v>
      </c>
      <c r="G207" s="75" t="str">
        <f t="shared" si="11"/>
        <v>Sironko</v>
      </c>
      <c r="H207" s="82" t="s">
        <v>2817</v>
      </c>
    </row>
    <row r="208" spans="1:8">
      <c r="A208" s="81">
        <v>1218</v>
      </c>
      <c r="B208" s="82" t="s">
        <v>2097</v>
      </c>
      <c r="C208" s="82" t="s">
        <v>2098</v>
      </c>
      <c r="D208" s="82" t="s">
        <v>2096</v>
      </c>
      <c r="E208" s="82"/>
      <c r="F208" s="75" t="str">
        <f t="shared" si="10"/>
        <v>Bukimbiri</v>
      </c>
      <c r="G208" s="75" t="str">
        <f t="shared" si="11"/>
        <v>Kisoro</v>
      </c>
      <c r="H208" s="82" t="s">
        <v>2096</v>
      </c>
    </row>
    <row r="209" spans="1:8">
      <c r="A209" s="81">
        <v>1526</v>
      </c>
      <c r="B209" s="82" t="s">
        <v>2767</v>
      </c>
      <c r="C209" s="82" t="s">
        <v>2767</v>
      </c>
      <c r="D209" s="82" t="s">
        <v>3137</v>
      </c>
      <c r="E209" s="82"/>
      <c r="F209" s="75" t="str">
        <f t="shared" si="10"/>
        <v>Bukinda</v>
      </c>
      <c r="G209" s="75" t="str">
        <f t="shared" si="11"/>
        <v>Rukiga</v>
      </c>
      <c r="H209" s="82" t="s">
        <v>3137</v>
      </c>
    </row>
    <row r="210" spans="1:8">
      <c r="A210" s="81">
        <v>1245</v>
      </c>
      <c r="B210" s="82" t="s">
        <v>2388</v>
      </c>
      <c r="C210" s="82" t="s">
        <v>2389</v>
      </c>
      <c r="D210" s="82" t="s">
        <v>2392</v>
      </c>
      <c r="E210" s="82"/>
      <c r="F210" s="75" t="str">
        <f t="shared" si="10"/>
        <v>Bukiro</v>
      </c>
      <c r="G210" s="75" t="str">
        <f t="shared" si="11"/>
        <v>Mbarara</v>
      </c>
      <c r="H210" s="82" t="s">
        <v>2392</v>
      </c>
    </row>
    <row r="211" spans="1:8">
      <c r="A211" s="81">
        <v>870</v>
      </c>
      <c r="B211" s="82" t="s">
        <v>2812</v>
      </c>
      <c r="C211" s="82" t="s">
        <v>2813</v>
      </c>
      <c r="D211" s="82" t="s">
        <v>2818</v>
      </c>
      <c r="E211" s="82"/>
      <c r="F211" s="75" t="str">
        <f t="shared" si="10"/>
        <v>Bukiyi</v>
      </c>
      <c r="G211" s="75" t="str">
        <f t="shared" si="11"/>
        <v>Sironko</v>
      </c>
      <c r="H211" s="82" t="s">
        <v>2818</v>
      </c>
    </row>
    <row r="212" spans="1:8">
      <c r="A212" s="81">
        <v>1089</v>
      </c>
      <c r="B212" s="82" t="s">
        <v>2579</v>
      </c>
      <c r="C212" s="82" t="s">
        <v>2579</v>
      </c>
      <c r="D212" s="82" t="s">
        <v>2583</v>
      </c>
      <c r="E212" s="82"/>
      <c r="F212" s="75" t="str">
        <f t="shared" si="10"/>
        <v>Bukokho</v>
      </c>
      <c r="G212" s="75" t="str">
        <f t="shared" si="11"/>
        <v>Namisindwa</v>
      </c>
      <c r="H212" s="82" t="s">
        <v>2583</v>
      </c>
    </row>
    <row r="213" spans="1:8" ht="15" customHeight="1">
      <c r="A213" s="81">
        <v>607</v>
      </c>
      <c r="B213" s="84" t="s">
        <v>1062</v>
      </c>
      <c r="C213" s="84" t="s">
        <v>1062</v>
      </c>
      <c r="D213" s="84" t="s">
        <v>1063</v>
      </c>
      <c r="E213" s="82"/>
      <c r="F213" s="75" t="str">
        <f t="shared" si="10"/>
        <v>Bukomansimbi Town Council</v>
      </c>
      <c r="G213" s="75" t="str">
        <f t="shared" si="11"/>
        <v>Bukomansimbi</v>
      </c>
      <c r="H213" s="84" t="s">
        <v>1063</v>
      </c>
    </row>
    <row r="214" spans="1:8">
      <c r="A214" s="81">
        <v>421</v>
      </c>
      <c r="B214" s="82" t="s">
        <v>2042</v>
      </c>
      <c r="C214" s="82" t="s">
        <v>2042</v>
      </c>
      <c r="D214" s="82" t="s">
        <v>2041</v>
      </c>
      <c r="E214" s="82"/>
      <c r="F214" s="75" t="str">
        <f t="shared" si="10"/>
        <v>Bukomero</v>
      </c>
      <c r="G214" s="75" t="str">
        <f t="shared" si="11"/>
        <v>Kiboga</v>
      </c>
      <c r="H214" s="82" t="s">
        <v>2041</v>
      </c>
    </row>
    <row r="215" spans="1:8">
      <c r="A215" s="81">
        <v>422</v>
      </c>
      <c r="B215" s="82" t="s">
        <v>2042</v>
      </c>
      <c r="C215" s="82" t="s">
        <v>2042</v>
      </c>
      <c r="D215" s="82" t="s">
        <v>2044</v>
      </c>
      <c r="E215" s="82"/>
      <c r="F215" s="75" t="str">
        <f t="shared" si="10"/>
        <v>Bukomero Town Council</v>
      </c>
      <c r="G215" s="75" t="str">
        <f t="shared" si="11"/>
        <v>Kiboga</v>
      </c>
      <c r="H215" s="82" t="s">
        <v>2044</v>
      </c>
    </row>
    <row r="216" spans="1:8">
      <c r="A216" s="81">
        <v>776</v>
      </c>
      <c r="B216" s="82" t="s">
        <v>2362</v>
      </c>
      <c r="C216" s="82" t="s">
        <v>2363</v>
      </c>
      <c r="D216" s="82" t="s">
        <v>2368</v>
      </c>
      <c r="E216" s="82"/>
      <c r="F216" s="75" t="str">
        <f t="shared" si="10"/>
        <v>Bukonde</v>
      </c>
      <c r="G216" s="75" t="str">
        <f t="shared" si="11"/>
        <v>Mbale</v>
      </c>
      <c r="H216" s="82" t="s">
        <v>2368</v>
      </c>
    </row>
    <row r="217" spans="1:8">
      <c r="A217" s="81">
        <v>1102</v>
      </c>
      <c r="B217" s="82" t="s">
        <v>1108</v>
      </c>
      <c r="C217" s="82" t="s">
        <v>1112</v>
      </c>
      <c r="D217" s="82" t="s">
        <v>1111</v>
      </c>
      <c r="E217" s="82"/>
      <c r="F217" s="75" t="str">
        <f t="shared" si="10"/>
        <v>Bukonzo</v>
      </c>
      <c r="G217" s="75" t="str">
        <f t="shared" si="11"/>
        <v>Bundibugyo</v>
      </c>
      <c r="H217" s="82" t="s">
        <v>1111</v>
      </c>
    </row>
    <row r="218" spans="1:8">
      <c r="A218" s="81">
        <v>1047</v>
      </c>
      <c r="B218" s="82" t="s">
        <v>2246</v>
      </c>
      <c r="C218" s="82" t="s">
        <v>2246</v>
      </c>
      <c r="D218" s="82" t="s">
        <v>2247</v>
      </c>
      <c r="E218" s="82"/>
      <c r="F218" s="75" t="str">
        <f t="shared" si="10"/>
        <v>Bukooma</v>
      </c>
      <c r="G218" s="75" t="str">
        <f t="shared" si="11"/>
        <v>Luuka</v>
      </c>
      <c r="H218" s="82" t="s">
        <v>2247</v>
      </c>
    </row>
    <row r="219" spans="1:8">
      <c r="A219" s="81">
        <v>631</v>
      </c>
      <c r="B219" s="82" t="s">
        <v>1453</v>
      </c>
      <c r="C219" s="82" t="s">
        <v>1453</v>
      </c>
      <c r="D219" s="82" t="s">
        <v>1452</v>
      </c>
      <c r="E219" s="82"/>
      <c r="F219" s="75" t="str">
        <f t="shared" si="10"/>
        <v>Bukulula</v>
      </c>
      <c r="G219" s="75" t="str">
        <f t="shared" si="11"/>
        <v>Kalungu</v>
      </c>
      <c r="H219" s="82" t="s">
        <v>1452</v>
      </c>
    </row>
    <row r="220" spans="1:8">
      <c r="A220" s="81">
        <v>975</v>
      </c>
      <c r="B220" s="82" t="s">
        <v>2294</v>
      </c>
      <c r="C220" s="82" t="s">
        <v>2295</v>
      </c>
      <c r="D220" s="82" t="s">
        <v>2297</v>
      </c>
      <c r="E220" s="82"/>
      <c r="F220" s="75" t="str">
        <f t="shared" si="10"/>
        <v>Bukusu</v>
      </c>
      <c r="G220" s="75" t="str">
        <f t="shared" si="11"/>
        <v>Manafwa</v>
      </c>
      <c r="H220" s="82" t="s">
        <v>2297</v>
      </c>
    </row>
    <row r="221" spans="1:8">
      <c r="A221" s="81">
        <v>1162</v>
      </c>
      <c r="B221" s="82" t="s">
        <v>1367</v>
      </c>
      <c r="C221" s="82" t="s">
        <v>1368</v>
      </c>
      <c r="D221" s="82" t="s">
        <v>1366</v>
      </c>
      <c r="E221" s="82"/>
      <c r="F221" s="75" t="str">
        <f t="shared" si="10"/>
        <v>Bukuuku</v>
      </c>
      <c r="G221" s="75" t="str">
        <f t="shared" si="11"/>
        <v>Kabarole</v>
      </c>
      <c r="H221" s="82" t="s">
        <v>1366</v>
      </c>
    </row>
    <row r="222" spans="1:8">
      <c r="A222" s="81">
        <v>467</v>
      </c>
      <c r="B222" s="82" t="s">
        <v>2473</v>
      </c>
      <c r="C222" s="82" t="s">
        <v>2476</v>
      </c>
      <c r="D222" s="82" t="s">
        <v>2475</v>
      </c>
      <c r="E222" s="82"/>
      <c r="F222" s="75" t="str">
        <f t="shared" si="10"/>
        <v>Bukuya</v>
      </c>
      <c r="G222" s="75" t="str">
        <f t="shared" si="11"/>
        <v>Mubende</v>
      </c>
      <c r="H222" s="82" t="s">
        <v>2475</v>
      </c>
    </row>
    <row r="223" spans="1:8">
      <c r="A223" s="81">
        <v>937</v>
      </c>
      <c r="B223" s="82" t="s">
        <v>1067</v>
      </c>
      <c r="C223" s="82" t="s">
        <v>1068</v>
      </c>
      <c r="D223" s="82" t="s">
        <v>1067</v>
      </c>
      <c r="E223" s="82"/>
      <c r="F223" s="75" t="str">
        <f t="shared" si="10"/>
        <v>Bukwo</v>
      </c>
      <c r="G223" s="75" t="str">
        <f t="shared" si="11"/>
        <v>Bukwo</v>
      </c>
      <c r="H223" s="82" t="s">
        <v>1067</v>
      </c>
    </row>
    <row r="224" spans="1:8">
      <c r="A224" s="81">
        <v>938</v>
      </c>
      <c r="B224" s="82" t="s">
        <v>1067</v>
      </c>
      <c r="C224" s="82" t="s">
        <v>1068</v>
      </c>
      <c r="D224" s="82" t="s">
        <v>1069</v>
      </c>
      <c r="E224" s="82"/>
      <c r="F224" s="75" t="str">
        <f t="shared" si="10"/>
        <v>Bukwo Town Council</v>
      </c>
      <c r="G224" s="75" t="str">
        <f t="shared" si="11"/>
        <v>Bukwo</v>
      </c>
      <c r="H224" s="82" t="s">
        <v>1069</v>
      </c>
    </row>
    <row r="225" spans="1:8">
      <c r="A225" s="81">
        <v>871</v>
      </c>
      <c r="B225" s="82" t="s">
        <v>2812</v>
      </c>
      <c r="C225" s="82" t="s">
        <v>2813</v>
      </c>
      <c r="D225" s="82" t="s">
        <v>2819</v>
      </c>
      <c r="E225" s="82"/>
      <c r="F225" s="75" t="str">
        <f t="shared" si="10"/>
        <v>Bukyabo</v>
      </c>
      <c r="G225" s="75" t="str">
        <f t="shared" si="11"/>
        <v>Sironko</v>
      </c>
      <c r="H225" s="82" t="s">
        <v>2819</v>
      </c>
    </row>
    <row r="226" spans="1:8">
      <c r="A226" s="81">
        <v>872</v>
      </c>
      <c r="B226" s="82" t="s">
        <v>2812</v>
      </c>
      <c r="C226" s="82" t="s">
        <v>2813</v>
      </c>
      <c r="D226" s="82" t="s">
        <v>2820</v>
      </c>
      <c r="E226" s="82"/>
      <c r="F226" s="75" t="str">
        <f t="shared" si="10"/>
        <v>Bukyambi</v>
      </c>
      <c r="G226" s="75" t="str">
        <f t="shared" si="11"/>
        <v>Sironko</v>
      </c>
      <c r="H226" s="82" t="s">
        <v>2820</v>
      </c>
    </row>
    <row r="227" spans="1:8">
      <c r="A227" s="81">
        <v>1001</v>
      </c>
      <c r="B227" s="82" t="s">
        <v>1081</v>
      </c>
      <c r="C227" s="82" t="s">
        <v>1081</v>
      </c>
      <c r="D227" s="82" t="s">
        <v>1083</v>
      </c>
      <c r="E227" s="82"/>
      <c r="F227" s="75" t="str">
        <f t="shared" si="10"/>
        <v>Bulaago</v>
      </c>
      <c r="G227" s="75" t="str">
        <f t="shared" si="11"/>
        <v>Bulambuli</v>
      </c>
      <c r="H227" s="82" t="s">
        <v>1083</v>
      </c>
    </row>
    <row r="228" spans="1:8">
      <c r="A228" s="81">
        <v>1002</v>
      </c>
      <c r="B228" s="82" t="s">
        <v>1081</v>
      </c>
      <c r="C228" s="82" t="s">
        <v>1081</v>
      </c>
      <c r="D228" s="82" t="s">
        <v>1084</v>
      </c>
      <c r="E228" s="82"/>
      <c r="F228" s="75" t="str">
        <f t="shared" si="10"/>
        <v>Bulambuli Town Council</v>
      </c>
      <c r="G228" s="75" t="str">
        <f t="shared" si="11"/>
        <v>Bulambuli</v>
      </c>
      <c r="H228" s="82" t="s">
        <v>1084</v>
      </c>
    </row>
    <row r="229" spans="1:8">
      <c r="A229" s="81">
        <v>705</v>
      </c>
      <c r="B229" s="82" t="s">
        <v>1279</v>
      </c>
      <c r="C229" s="82" t="s">
        <v>1280</v>
      </c>
      <c r="D229" s="82" t="s">
        <v>1278</v>
      </c>
      <c r="E229" s="82"/>
      <c r="F229" s="75" t="str">
        <f t="shared" ref="F229:F292" si="12">D229</f>
        <v>Bulamogi</v>
      </c>
      <c r="G229" s="75" t="str">
        <f t="shared" si="11"/>
        <v>Iganga</v>
      </c>
      <c r="H229" s="82" t="s">
        <v>1278</v>
      </c>
    </row>
    <row r="230" spans="1:8">
      <c r="A230" s="81">
        <v>990</v>
      </c>
      <c r="B230" s="82" t="s">
        <v>2597</v>
      </c>
      <c r="C230" s="82" t="s">
        <v>2598</v>
      </c>
      <c r="D230" s="82" t="s">
        <v>2596</v>
      </c>
      <c r="E230" s="82"/>
      <c r="F230" s="75" t="str">
        <f t="shared" si="12"/>
        <v>Bulange</v>
      </c>
      <c r="G230" s="75" t="str">
        <f t="shared" si="11"/>
        <v>Namutumba</v>
      </c>
      <c r="H230" s="82" t="s">
        <v>2596</v>
      </c>
    </row>
    <row r="231" spans="1:8">
      <c r="A231" s="81">
        <v>1024</v>
      </c>
      <c r="B231" s="82" t="s">
        <v>2054</v>
      </c>
      <c r="C231" s="82" t="s">
        <v>2054</v>
      </c>
      <c r="D231" s="82" t="s">
        <v>2053</v>
      </c>
      <c r="E231" s="82"/>
      <c r="F231" s="75" t="str">
        <f t="shared" si="12"/>
        <v>Bulangira</v>
      </c>
      <c r="G231" s="75" t="str">
        <f t="shared" si="11"/>
        <v>Kibuku</v>
      </c>
      <c r="H231" s="82" t="s">
        <v>2053</v>
      </c>
    </row>
    <row r="232" spans="1:8">
      <c r="A232" s="81">
        <v>1003</v>
      </c>
      <c r="B232" s="82" t="s">
        <v>1081</v>
      </c>
      <c r="C232" s="82" t="s">
        <v>1081</v>
      </c>
      <c r="D232" s="82" t="s">
        <v>1085</v>
      </c>
      <c r="E232" s="82"/>
      <c r="F232" s="75" t="str">
        <f t="shared" si="12"/>
        <v>Bulegeni</v>
      </c>
      <c r="G232" s="75" t="str">
        <f t="shared" si="11"/>
        <v>Bulambuli</v>
      </c>
      <c r="H232" s="82" t="s">
        <v>1085</v>
      </c>
    </row>
    <row r="233" spans="1:8">
      <c r="A233" s="81">
        <v>1017</v>
      </c>
      <c r="B233" s="82" t="s">
        <v>1081</v>
      </c>
      <c r="C233" s="82" t="s">
        <v>1081</v>
      </c>
      <c r="D233" s="82" t="s">
        <v>1086</v>
      </c>
      <c r="E233" s="82"/>
      <c r="F233" s="75" t="str">
        <f t="shared" si="12"/>
        <v>Bulegeni Town Council</v>
      </c>
      <c r="G233" s="75" t="str">
        <f t="shared" si="11"/>
        <v>Bulambuli</v>
      </c>
      <c r="H233" s="82" t="s">
        <v>1086</v>
      </c>
    </row>
    <row r="234" spans="1:8" ht="25.5">
      <c r="A234" s="81">
        <v>1205</v>
      </c>
      <c r="B234" s="84" t="s">
        <v>36</v>
      </c>
      <c r="C234" s="85" t="s">
        <v>1986</v>
      </c>
      <c r="D234" s="84" t="s">
        <v>3138</v>
      </c>
      <c r="E234" s="84"/>
      <c r="F234" s="76" t="str">
        <f>VLOOKUP(C234,[2]Municipalities!$C$9:$F$1522,4,FALSE)</f>
        <v>Kasese Municipality</v>
      </c>
      <c r="G234" s="75" t="str">
        <f t="shared" si="11"/>
        <v>Kasese</v>
      </c>
      <c r="H234" s="84" t="s">
        <v>3138</v>
      </c>
    </row>
    <row r="235" spans="1:8">
      <c r="A235" s="81">
        <v>570</v>
      </c>
      <c r="B235" s="82" t="s">
        <v>2416</v>
      </c>
      <c r="C235" s="82" t="s">
        <v>2416</v>
      </c>
      <c r="D235" s="82" t="s">
        <v>2418</v>
      </c>
      <c r="E235" s="82"/>
      <c r="F235" s="75" t="str">
        <f t="shared" si="12"/>
        <v>Bulera</v>
      </c>
      <c r="G235" s="75" t="str">
        <f t="shared" si="11"/>
        <v>Mityana</v>
      </c>
      <c r="H235" s="82" t="s">
        <v>2418</v>
      </c>
    </row>
    <row r="236" spans="1:8">
      <c r="A236" s="81">
        <v>672</v>
      </c>
      <c r="B236" s="82" t="s">
        <v>1020</v>
      </c>
      <c r="C236" s="82" t="s">
        <v>1021</v>
      </c>
      <c r="D236" s="82" t="s">
        <v>1023</v>
      </c>
      <c r="E236" s="82"/>
      <c r="F236" s="75" t="str">
        <f t="shared" si="12"/>
        <v>Bulesa</v>
      </c>
      <c r="G236" s="75" t="str">
        <f t="shared" si="11"/>
        <v>Bugiri</v>
      </c>
      <c r="H236" s="82" t="s">
        <v>1023</v>
      </c>
    </row>
    <row r="237" spans="1:8">
      <c r="A237" s="81">
        <v>673</v>
      </c>
      <c r="B237" s="82" t="s">
        <v>1020</v>
      </c>
      <c r="C237" s="82" t="s">
        <v>1021</v>
      </c>
      <c r="D237" s="82" t="s">
        <v>1024</v>
      </c>
      <c r="E237" s="82"/>
      <c r="F237" s="75" t="str">
        <f t="shared" si="12"/>
        <v>Bulidha</v>
      </c>
      <c r="G237" s="75" t="str">
        <f t="shared" si="11"/>
        <v>Bugiri</v>
      </c>
      <c r="H237" s="82" t="s">
        <v>1024</v>
      </c>
    </row>
    <row r="238" spans="1:8">
      <c r="A238" s="81">
        <v>1347</v>
      </c>
      <c r="B238" s="82" t="s">
        <v>1101</v>
      </c>
      <c r="C238" s="82" t="s">
        <v>1101</v>
      </c>
      <c r="D238" s="82" t="s">
        <v>1101</v>
      </c>
      <c r="E238" s="82"/>
      <c r="F238" s="75" t="str">
        <f t="shared" si="12"/>
        <v>Buliisa</v>
      </c>
      <c r="G238" s="75" t="str">
        <f t="shared" si="11"/>
        <v>Buliisa</v>
      </c>
      <c r="H238" s="82" t="s">
        <v>1101</v>
      </c>
    </row>
    <row r="239" spans="1:8">
      <c r="A239" s="81">
        <v>1348</v>
      </c>
      <c r="B239" s="82" t="s">
        <v>1101</v>
      </c>
      <c r="C239" s="82" t="s">
        <v>1101</v>
      </c>
      <c r="D239" s="82" t="s">
        <v>1102</v>
      </c>
      <c r="E239" s="82"/>
      <c r="F239" s="75" t="str">
        <f t="shared" si="12"/>
        <v>Buliisa Town Council</v>
      </c>
      <c r="G239" s="75" t="str">
        <f t="shared" si="11"/>
        <v>Buliisa</v>
      </c>
      <c r="H239" s="82" t="s">
        <v>1102</v>
      </c>
    </row>
    <row r="240" spans="1:8">
      <c r="A240" s="81">
        <v>612</v>
      </c>
      <c r="B240" s="82" t="s">
        <v>1187</v>
      </c>
      <c r="C240" s="82" t="s">
        <v>1187</v>
      </c>
      <c r="D240" s="82" t="s">
        <v>1188</v>
      </c>
      <c r="E240" s="82"/>
      <c r="F240" s="75" t="str">
        <f t="shared" si="12"/>
        <v>Bulo</v>
      </c>
      <c r="G240" s="75" t="str">
        <f t="shared" si="11"/>
        <v>Butambala</v>
      </c>
      <c r="H240" s="82" t="s">
        <v>1188</v>
      </c>
    </row>
    <row r="241" spans="1:8">
      <c r="A241" s="81">
        <v>1048</v>
      </c>
      <c r="B241" s="82" t="s">
        <v>2246</v>
      </c>
      <c r="C241" s="82" t="s">
        <v>2246</v>
      </c>
      <c r="D241" s="82" t="s">
        <v>2248</v>
      </c>
      <c r="E241" s="82"/>
      <c r="F241" s="75" t="str">
        <f t="shared" si="12"/>
        <v>Bulongo</v>
      </c>
      <c r="G241" s="75" t="str">
        <f t="shared" si="11"/>
        <v>Luuka</v>
      </c>
      <c r="H241" s="82" t="s">
        <v>2248</v>
      </c>
    </row>
    <row r="242" spans="1:8">
      <c r="A242" s="81">
        <v>726</v>
      </c>
      <c r="B242" s="82" t="s">
        <v>1911</v>
      </c>
      <c r="C242" s="82" t="s">
        <v>1912</v>
      </c>
      <c r="D242" s="82" t="s">
        <v>1915</v>
      </c>
      <c r="E242" s="82"/>
      <c r="F242" s="75" t="str">
        <f t="shared" si="12"/>
        <v>Bulopa</v>
      </c>
      <c r="G242" s="75" t="str">
        <f t="shared" si="11"/>
        <v>Kamuli</v>
      </c>
      <c r="H242" s="82" t="s">
        <v>1915</v>
      </c>
    </row>
    <row r="243" spans="1:8">
      <c r="A243" s="81">
        <v>921</v>
      </c>
      <c r="B243" s="82" t="s">
        <v>1003</v>
      </c>
      <c r="C243" s="82" t="s">
        <v>1004</v>
      </c>
      <c r="D243" s="82" t="s">
        <v>1009</v>
      </c>
      <c r="E243" s="82"/>
      <c r="F243" s="75" t="str">
        <f t="shared" si="12"/>
        <v>Bulucheke</v>
      </c>
      <c r="G243" s="75" t="str">
        <f t="shared" si="11"/>
        <v>Bududa</v>
      </c>
      <c r="H243" s="82" t="s">
        <v>1009</v>
      </c>
    </row>
    <row r="244" spans="1:8">
      <c r="A244" s="81">
        <v>1005</v>
      </c>
      <c r="B244" s="82" t="s">
        <v>1081</v>
      </c>
      <c r="C244" s="82" t="s">
        <v>1081</v>
      </c>
      <c r="D244" s="82" t="s">
        <v>1087</v>
      </c>
      <c r="E244" s="82"/>
      <c r="F244" s="75" t="str">
        <f t="shared" si="12"/>
        <v>Buluganya</v>
      </c>
      <c r="G244" s="75" t="str">
        <f t="shared" si="11"/>
        <v>Bulambuli</v>
      </c>
      <c r="H244" s="82" t="s">
        <v>1087</v>
      </c>
    </row>
    <row r="245" spans="1:8">
      <c r="A245" s="81">
        <v>674</v>
      </c>
      <c r="B245" s="82" t="s">
        <v>1020</v>
      </c>
      <c r="C245" s="82" t="s">
        <v>1021</v>
      </c>
      <c r="D245" s="82" t="s">
        <v>1025</v>
      </c>
      <c r="E245" s="82"/>
      <c r="F245" s="75" t="str">
        <f t="shared" si="12"/>
        <v>Buluguyi</v>
      </c>
      <c r="G245" s="75" t="str">
        <f t="shared" si="11"/>
        <v>Bugiri</v>
      </c>
      <c r="H245" s="82" t="s">
        <v>1025</v>
      </c>
    </row>
    <row r="246" spans="1:8">
      <c r="A246" s="81">
        <v>847</v>
      </c>
      <c r="B246" s="82" t="s">
        <v>1386</v>
      </c>
      <c r="C246" s="82" t="s">
        <v>1388</v>
      </c>
      <c r="D246" s="82" t="s">
        <v>1391</v>
      </c>
      <c r="E246" s="82"/>
      <c r="F246" s="75" t="str">
        <f t="shared" si="12"/>
        <v>Bululu</v>
      </c>
      <c r="G246" s="75" t="str">
        <f t="shared" si="11"/>
        <v>Kaberamaido</v>
      </c>
      <c r="H246" s="82" t="s">
        <v>1391</v>
      </c>
    </row>
    <row r="247" spans="1:8">
      <c r="A247" s="81">
        <v>684</v>
      </c>
      <c r="B247" s="82" t="s">
        <v>1156</v>
      </c>
      <c r="C247" s="82" t="s">
        <v>1157</v>
      </c>
      <c r="D247" s="82" t="s">
        <v>1158</v>
      </c>
      <c r="E247" s="82"/>
      <c r="F247" s="75" t="str">
        <f t="shared" si="12"/>
        <v>Bulumbi</v>
      </c>
      <c r="G247" s="75" t="str">
        <f t="shared" si="11"/>
        <v>Busia</v>
      </c>
      <c r="H247" s="82" t="s">
        <v>1158</v>
      </c>
    </row>
    <row r="248" spans="1:8">
      <c r="A248" s="81">
        <v>873</v>
      </c>
      <c r="B248" s="82" t="s">
        <v>2812</v>
      </c>
      <c r="C248" s="82" t="s">
        <v>2813</v>
      </c>
      <c r="D248" s="82" t="s">
        <v>2821</v>
      </c>
      <c r="E248" s="82"/>
      <c r="F248" s="75" t="str">
        <f t="shared" si="12"/>
        <v>Bumalimba</v>
      </c>
      <c r="G248" s="75" t="str">
        <f t="shared" si="11"/>
        <v>Sironko</v>
      </c>
      <c r="H248" s="82" t="s">
        <v>2821</v>
      </c>
    </row>
    <row r="249" spans="1:8">
      <c r="A249" s="81">
        <v>963</v>
      </c>
      <c r="B249" s="82" t="s">
        <v>1439</v>
      </c>
      <c r="C249" s="82" t="s">
        <v>1278</v>
      </c>
      <c r="D249" s="82" t="s">
        <v>1441</v>
      </c>
      <c r="E249" s="82"/>
      <c r="F249" s="75" t="str">
        <f t="shared" si="12"/>
        <v>Bumanya</v>
      </c>
      <c r="G249" s="75" t="str">
        <f t="shared" si="11"/>
        <v>Kaliro</v>
      </c>
      <c r="H249" s="82" t="s">
        <v>1441</v>
      </c>
    </row>
    <row r="250" spans="1:8">
      <c r="A250" s="81">
        <v>922</v>
      </c>
      <c r="B250" s="82" t="s">
        <v>1003</v>
      </c>
      <c r="C250" s="82" t="s">
        <v>1004</v>
      </c>
      <c r="D250" s="82" t="s">
        <v>1010</v>
      </c>
      <c r="E250" s="82"/>
      <c r="F250" s="75" t="str">
        <f t="shared" si="12"/>
        <v>Bumasheti</v>
      </c>
      <c r="G250" s="75" t="str">
        <f t="shared" si="11"/>
        <v>Bududa</v>
      </c>
      <c r="H250" s="82" t="s">
        <v>1010</v>
      </c>
    </row>
    <row r="251" spans="1:8">
      <c r="A251" s="81">
        <v>874</v>
      </c>
      <c r="B251" s="82" t="s">
        <v>2812</v>
      </c>
      <c r="C251" s="82" t="s">
        <v>2813</v>
      </c>
      <c r="D251" s="82" t="s">
        <v>2822</v>
      </c>
      <c r="E251" s="82"/>
      <c r="F251" s="75" t="str">
        <f t="shared" si="12"/>
        <v>Bumasifwa</v>
      </c>
      <c r="G251" s="75" t="str">
        <f t="shared" si="11"/>
        <v>Sironko</v>
      </c>
      <c r="H251" s="82" t="s">
        <v>2822</v>
      </c>
    </row>
    <row r="252" spans="1:8">
      <c r="A252" s="81">
        <v>777</v>
      </c>
      <c r="B252" s="82" t="s">
        <v>2362</v>
      </c>
      <c r="C252" s="82" t="s">
        <v>2363</v>
      </c>
      <c r="D252" s="82" t="s">
        <v>2369</v>
      </c>
      <c r="E252" s="82"/>
      <c r="F252" s="75" t="str">
        <f t="shared" si="12"/>
        <v>Bumasikye</v>
      </c>
      <c r="G252" s="75" t="str">
        <f t="shared" si="11"/>
        <v>Mbale</v>
      </c>
      <c r="H252" s="82" t="s">
        <v>2369</v>
      </c>
    </row>
    <row r="253" spans="1:8">
      <c r="A253" s="81">
        <v>1006</v>
      </c>
      <c r="B253" s="82" t="s">
        <v>1081</v>
      </c>
      <c r="C253" s="82" t="s">
        <v>1081</v>
      </c>
      <c r="D253" s="82" t="s">
        <v>1088</v>
      </c>
      <c r="E253" s="82"/>
      <c r="F253" s="75" t="str">
        <f t="shared" si="12"/>
        <v>Bumasobo</v>
      </c>
      <c r="G253" s="75" t="str">
        <f t="shared" si="11"/>
        <v>Bulambuli</v>
      </c>
      <c r="H253" s="82" t="s">
        <v>1088</v>
      </c>
    </row>
    <row r="254" spans="1:8">
      <c r="A254" s="81">
        <v>923</v>
      </c>
      <c r="B254" s="82" t="s">
        <v>1003</v>
      </c>
      <c r="C254" s="82" t="s">
        <v>1004</v>
      </c>
      <c r="D254" s="82" t="s">
        <v>1011</v>
      </c>
      <c r="E254" s="82"/>
      <c r="F254" s="75" t="str">
        <f t="shared" si="12"/>
        <v>Bumayoka</v>
      </c>
      <c r="G254" s="75" t="str">
        <f t="shared" si="11"/>
        <v>Bududa</v>
      </c>
      <c r="H254" s="82" t="s">
        <v>1011</v>
      </c>
    </row>
    <row r="255" spans="1:8">
      <c r="A255" s="81">
        <v>1126</v>
      </c>
      <c r="B255" s="82" t="s">
        <v>38</v>
      </c>
      <c r="C255" s="82" t="s">
        <v>1143</v>
      </c>
      <c r="D255" s="82" t="s">
        <v>1144</v>
      </c>
      <c r="E255" s="82"/>
      <c r="F255" s="75" t="str">
        <f t="shared" si="12"/>
        <v>Bumbaire</v>
      </c>
      <c r="G255" s="75" t="str">
        <f t="shared" si="11"/>
        <v>Bushenyi</v>
      </c>
      <c r="H255" s="82" t="s">
        <v>1144</v>
      </c>
    </row>
    <row r="256" spans="1:8">
      <c r="A256" s="81">
        <v>1090</v>
      </c>
      <c r="B256" s="82" t="s">
        <v>2579</v>
      </c>
      <c r="C256" s="82" t="s">
        <v>2579</v>
      </c>
      <c r="D256" s="82" t="s">
        <v>2584</v>
      </c>
      <c r="E256" s="82"/>
      <c r="F256" s="75" t="str">
        <f t="shared" si="12"/>
        <v>Bumbo</v>
      </c>
      <c r="G256" s="75" t="str">
        <f t="shared" si="11"/>
        <v>Namisindwa</v>
      </c>
      <c r="H256" s="82" t="s">
        <v>2584</v>
      </c>
    </row>
    <row r="257" spans="1:8">
      <c r="A257" s="81">
        <v>778</v>
      </c>
      <c r="B257" s="82" t="s">
        <v>2362</v>
      </c>
      <c r="C257" s="82" t="s">
        <v>2363</v>
      </c>
      <c r="D257" s="82" t="s">
        <v>2370</v>
      </c>
      <c r="E257" s="82"/>
      <c r="F257" s="75" t="str">
        <f t="shared" si="12"/>
        <v>Bumbobi</v>
      </c>
      <c r="G257" s="75" t="str">
        <f t="shared" si="11"/>
        <v>Mbale</v>
      </c>
      <c r="H257" s="82" t="s">
        <v>2370</v>
      </c>
    </row>
    <row r="258" spans="1:8">
      <c r="A258" s="81">
        <v>1007</v>
      </c>
      <c r="B258" s="82" t="s">
        <v>1081</v>
      </c>
      <c r="C258" s="82" t="s">
        <v>1081</v>
      </c>
      <c r="D258" s="82" t="s">
        <v>1089</v>
      </c>
      <c r="E258" s="82"/>
      <c r="F258" s="75" t="str">
        <f t="shared" si="12"/>
        <v>Bumugibole</v>
      </c>
      <c r="G258" s="75" t="str">
        <f t="shared" si="11"/>
        <v>Bulambuli</v>
      </c>
      <c r="H258" s="82" t="s">
        <v>1089</v>
      </c>
    </row>
    <row r="259" spans="1:8">
      <c r="A259" s="81">
        <v>1091</v>
      </c>
      <c r="B259" s="82" t="s">
        <v>2579</v>
      </c>
      <c r="C259" s="82" t="s">
        <v>2579</v>
      </c>
      <c r="D259" s="82" t="s">
        <v>2585</v>
      </c>
      <c r="E259" s="82"/>
      <c r="F259" s="75" t="str">
        <f t="shared" si="12"/>
        <v>Bumwoni</v>
      </c>
      <c r="G259" s="75" t="str">
        <f t="shared" si="11"/>
        <v>Namisindwa</v>
      </c>
      <c r="H259" s="82" t="s">
        <v>2585</v>
      </c>
    </row>
    <row r="260" spans="1:8">
      <c r="A260" s="81">
        <v>976</v>
      </c>
      <c r="B260" s="82" t="s">
        <v>2294</v>
      </c>
      <c r="C260" s="82" t="s">
        <v>2295</v>
      </c>
      <c r="D260" s="82" t="s">
        <v>2298</v>
      </c>
      <c r="E260" s="82"/>
      <c r="F260" s="75" t="str">
        <f t="shared" si="12"/>
        <v>Bunabwana</v>
      </c>
      <c r="G260" s="75" t="str">
        <f t="shared" si="11"/>
        <v>Manafwa</v>
      </c>
      <c r="H260" s="82" t="s">
        <v>2298</v>
      </c>
    </row>
    <row r="261" spans="1:8">
      <c r="A261" s="81">
        <v>1008</v>
      </c>
      <c r="B261" s="82" t="s">
        <v>1081</v>
      </c>
      <c r="C261" s="82" t="s">
        <v>1081</v>
      </c>
      <c r="D261" s="82" t="s">
        <v>1090</v>
      </c>
      <c r="E261" s="82"/>
      <c r="F261" s="75" t="str">
        <f t="shared" si="12"/>
        <v>Bunambutye</v>
      </c>
      <c r="G261" s="75" t="str">
        <f t="shared" si="11"/>
        <v>Bulambuli</v>
      </c>
      <c r="H261" s="82" t="s">
        <v>1090</v>
      </c>
    </row>
    <row r="262" spans="1:8" ht="38.25">
      <c r="A262" s="81">
        <v>552</v>
      </c>
      <c r="B262" s="84" t="s">
        <v>2879</v>
      </c>
      <c r="C262" s="85" t="s">
        <v>2880</v>
      </c>
      <c r="D262" s="84" t="s">
        <v>3139</v>
      </c>
      <c r="E262" s="84"/>
      <c r="F262" s="76" t="str">
        <f>VLOOKUP(C262,[2]Municipalities!$C$9:$F$1522,4,FALSE)</f>
        <v>Bunamwaya</v>
      </c>
      <c r="G262" s="75" t="str">
        <f t="shared" si="11"/>
        <v>Wakiso</v>
      </c>
      <c r="H262" s="84" t="s">
        <v>3139</v>
      </c>
    </row>
    <row r="263" spans="1:8">
      <c r="A263" s="81">
        <v>1114</v>
      </c>
      <c r="B263" s="82" t="s">
        <v>1108</v>
      </c>
      <c r="C263" s="82" t="s">
        <v>1109</v>
      </c>
      <c r="D263" s="82" t="s">
        <v>1113</v>
      </c>
      <c r="E263" s="82"/>
      <c r="F263" s="75" t="str">
        <f t="shared" si="12"/>
        <v>Bundibugyo Town Council</v>
      </c>
      <c r="G263" s="75" t="str">
        <f t="shared" si="11"/>
        <v>Bundibugyo</v>
      </c>
      <c r="H263" s="82" t="s">
        <v>1113</v>
      </c>
    </row>
    <row r="264" spans="1:8">
      <c r="A264" s="81">
        <v>1116</v>
      </c>
      <c r="B264" s="82" t="s">
        <v>1108</v>
      </c>
      <c r="C264" s="82" t="s">
        <v>1109</v>
      </c>
      <c r="D264" s="82" t="s">
        <v>1114</v>
      </c>
      <c r="E264" s="82"/>
      <c r="F264" s="75" t="str">
        <f t="shared" si="12"/>
        <v>Bundingoma</v>
      </c>
      <c r="G264" s="75" t="str">
        <f t="shared" si="11"/>
        <v>Bundibugyo</v>
      </c>
      <c r="H264" s="82" t="s">
        <v>1114</v>
      </c>
    </row>
    <row r="265" spans="1:8">
      <c r="A265" s="81">
        <v>51</v>
      </c>
      <c r="B265" s="82" t="s">
        <v>1239</v>
      </c>
      <c r="C265" s="82" t="s">
        <v>1240</v>
      </c>
      <c r="D265" s="82" t="s">
        <v>1241</v>
      </c>
      <c r="E265" s="82"/>
      <c r="F265" s="75" t="str">
        <f t="shared" si="12"/>
        <v>Bungatira</v>
      </c>
      <c r="G265" s="75" t="str">
        <f t="shared" si="11"/>
        <v>Gulu</v>
      </c>
      <c r="H265" s="82" t="s">
        <v>1241</v>
      </c>
    </row>
    <row r="266" spans="1:8">
      <c r="A266" s="81">
        <v>779</v>
      </c>
      <c r="B266" s="82" t="s">
        <v>2362</v>
      </c>
      <c r="C266" s="82" t="s">
        <v>2363</v>
      </c>
      <c r="D266" s="82" t="s">
        <v>2363</v>
      </c>
      <c r="E266" s="82"/>
      <c r="F266" s="75" t="str">
        <f t="shared" si="12"/>
        <v>Bungokho</v>
      </c>
      <c r="G266" s="75" t="str">
        <f t="shared" ref="G266:G329" si="13">B266</f>
        <v>Mbale</v>
      </c>
      <c r="H266" s="82" t="s">
        <v>2363</v>
      </c>
    </row>
    <row r="267" spans="1:8">
      <c r="A267" s="81">
        <v>780</v>
      </c>
      <c r="B267" s="82" t="s">
        <v>2362</v>
      </c>
      <c r="C267" s="82" t="s">
        <v>2363</v>
      </c>
      <c r="D267" s="82" t="s">
        <v>2371</v>
      </c>
      <c r="E267" s="82"/>
      <c r="F267" s="75" t="str">
        <f t="shared" si="12"/>
        <v>Bungokho Mutoto</v>
      </c>
      <c r="G267" s="75" t="str">
        <f t="shared" si="13"/>
        <v>Mbale</v>
      </c>
      <c r="H267" s="82" t="s">
        <v>2371</v>
      </c>
    </row>
    <row r="268" spans="1:8">
      <c r="A268" s="81">
        <v>875</v>
      </c>
      <c r="B268" s="82" t="s">
        <v>2812</v>
      </c>
      <c r="C268" s="82" t="s">
        <v>2813</v>
      </c>
      <c r="D268" s="82" t="s">
        <v>2823</v>
      </c>
      <c r="E268" s="82"/>
      <c r="F268" s="75" t="str">
        <f t="shared" si="12"/>
        <v>Bunyafa</v>
      </c>
      <c r="G268" s="75" t="str">
        <f t="shared" si="13"/>
        <v>Sironko</v>
      </c>
      <c r="H268" s="82" t="s">
        <v>2823</v>
      </c>
    </row>
    <row r="269" spans="1:8">
      <c r="A269" s="81">
        <v>988</v>
      </c>
      <c r="B269" s="82" t="s">
        <v>2294</v>
      </c>
      <c r="C269" s="82" t="s">
        <v>2295</v>
      </c>
      <c r="D269" s="82" t="s">
        <v>2299</v>
      </c>
      <c r="E269" s="82"/>
      <c r="F269" s="75" t="str">
        <f t="shared" si="12"/>
        <v>Bunyinza Town Council</v>
      </c>
      <c r="G269" s="75" t="str">
        <f t="shared" si="13"/>
        <v>Manafwa</v>
      </c>
      <c r="H269" s="82" t="s">
        <v>2299</v>
      </c>
    </row>
    <row r="270" spans="1:8">
      <c r="A270" s="81">
        <v>1092</v>
      </c>
      <c r="B270" s="82" t="s">
        <v>2579</v>
      </c>
      <c r="C270" s="82" t="s">
        <v>2579</v>
      </c>
      <c r="D270" s="82" t="s">
        <v>2586</v>
      </c>
      <c r="E270" s="82"/>
      <c r="F270" s="75" t="str">
        <f t="shared" si="12"/>
        <v>Bupoto</v>
      </c>
      <c r="G270" s="75" t="str">
        <f t="shared" si="13"/>
        <v>Namisindwa</v>
      </c>
      <c r="H270" s="82" t="s">
        <v>2586</v>
      </c>
    </row>
    <row r="271" spans="1:8">
      <c r="A271" s="81">
        <v>1387</v>
      </c>
      <c r="B271" s="82" t="s">
        <v>2064</v>
      </c>
      <c r="C271" s="82" t="s">
        <v>2065</v>
      </c>
      <c r="D271" s="82" t="s">
        <v>2063</v>
      </c>
      <c r="E271" s="82"/>
      <c r="F271" s="75" t="str">
        <f t="shared" si="12"/>
        <v>Buremba</v>
      </c>
      <c r="G271" s="75" t="str">
        <f t="shared" si="13"/>
        <v>Kiruhura</v>
      </c>
      <c r="H271" s="82" t="s">
        <v>2063</v>
      </c>
    </row>
    <row r="272" spans="1:8">
      <c r="A272" s="81">
        <v>1407</v>
      </c>
      <c r="B272" s="82" t="s">
        <v>1033</v>
      </c>
      <c r="C272" s="82" t="s">
        <v>1033</v>
      </c>
      <c r="D272" s="82" t="s">
        <v>1035</v>
      </c>
      <c r="E272" s="82"/>
      <c r="F272" s="75" t="str">
        <f t="shared" si="12"/>
        <v>Burere</v>
      </c>
      <c r="G272" s="75" t="str">
        <f t="shared" si="13"/>
        <v>Buhweju</v>
      </c>
      <c r="H272" s="82" t="s">
        <v>1035</v>
      </c>
    </row>
    <row r="273" spans="1:8">
      <c r="A273" s="81">
        <v>1109</v>
      </c>
      <c r="B273" s="82" t="s">
        <v>1108</v>
      </c>
      <c r="C273" s="82" t="s">
        <v>1112</v>
      </c>
      <c r="D273" s="82" t="s">
        <v>1115</v>
      </c>
      <c r="E273" s="82"/>
      <c r="F273" s="75" t="str">
        <f t="shared" si="12"/>
        <v>Burondo</v>
      </c>
      <c r="G273" s="75" t="str">
        <f t="shared" si="13"/>
        <v>Bundibugyo</v>
      </c>
      <c r="H273" s="82" t="s">
        <v>1115</v>
      </c>
    </row>
    <row r="274" spans="1:8">
      <c r="A274" s="81">
        <v>1477</v>
      </c>
      <c r="B274" s="82" t="s">
        <v>1398</v>
      </c>
      <c r="C274" s="82" t="s">
        <v>1399</v>
      </c>
      <c r="D274" s="82" t="s">
        <v>1397</v>
      </c>
      <c r="E274" s="82"/>
      <c r="F274" s="75" t="str">
        <f t="shared" si="12"/>
        <v>Burora</v>
      </c>
      <c r="G274" s="75" t="str">
        <f t="shared" si="13"/>
        <v>Kagadi</v>
      </c>
      <c r="H274" s="82" t="s">
        <v>1397</v>
      </c>
    </row>
    <row r="275" spans="1:8">
      <c r="A275" s="81">
        <v>1388</v>
      </c>
      <c r="B275" s="82" t="s">
        <v>2064</v>
      </c>
      <c r="C275" s="82" t="s">
        <v>2065</v>
      </c>
      <c r="D275" s="82" t="s">
        <v>2066</v>
      </c>
      <c r="E275" s="82"/>
      <c r="F275" s="75" t="str">
        <f t="shared" si="12"/>
        <v>Burunga</v>
      </c>
      <c r="G275" s="75" t="str">
        <f t="shared" si="13"/>
        <v>Kiruhura</v>
      </c>
      <c r="H275" s="82" t="s">
        <v>2066</v>
      </c>
    </row>
    <row r="276" spans="1:8">
      <c r="A276" s="81">
        <v>527</v>
      </c>
      <c r="B276" s="82" t="s">
        <v>2017</v>
      </c>
      <c r="C276" s="82" t="s">
        <v>2019</v>
      </c>
      <c r="D276" s="82" t="s">
        <v>2018</v>
      </c>
      <c r="E276" s="82"/>
      <c r="F276" s="75" t="str">
        <f t="shared" si="12"/>
        <v>Busaana</v>
      </c>
      <c r="G276" s="75" t="str">
        <f t="shared" si="13"/>
        <v>Kayunga</v>
      </c>
      <c r="H276" s="82" t="s">
        <v>2018</v>
      </c>
    </row>
    <row r="277" spans="1:8">
      <c r="A277" s="81">
        <v>950</v>
      </c>
      <c r="B277" s="82" t="s">
        <v>1174</v>
      </c>
      <c r="C277" s="82" t="s">
        <v>1175</v>
      </c>
      <c r="D277" s="82" t="s">
        <v>1176</v>
      </c>
      <c r="E277" s="82"/>
      <c r="F277" s="75" t="str">
        <f t="shared" si="12"/>
        <v>Busaba</v>
      </c>
      <c r="G277" s="75" t="str">
        <f t="shared" si="13"/>
        <v>Butaleja</v>
      </c>
      <c r="H277" s="82" t="s">
        <v>1176</v>
      </c>
    </row>
    <row r="278" spans="1:8">
      <c r="A278" s="81">
        <v>951</v>
      </c>
      <c r="B278" s="82" t="s">
        <v>1174</v>
      </c>
      <c r="C278" s="82" t="s">
        <v>1175</v>
      </c>
      <c r="D278" s="82" t="s">
        <v>1177</v>
      </c>
      <c r="E278" s="82"/>
      <c r="F278" s="75" t="str">
        <f t="shared" si="12"/>
        <v>Busabi</v>
      </c>
      <c r="G278" s="75" t="str">
        <f t="shared" si="13"/>
        <v>Butaleja</v>
      </c>
      <c r="H278" s="82" t="s">
        <v>1177</v>
      </c>
    </row>
    <row r="279" spans="1:8">
      <c r="A279" s="81">
        <v>854</v>
      </c>
      <c r="B279" s="82" t="s">
        <v>2346</v>
      </c>
      <c r="C279" s="82" t="s">
        <v>2347</v>
      </c>
      <c r="D279" s="82" t="s">
        <v>2350</v>
      </c>
      <c r="E279" s="82"/>
      <c r="F279" s="75" t="str">
        <f t="shared" si="12"/>
        <v>Busakira</v>
      </c>
      <c r="G279" s="75" t="str">
        <f t="shared" si="13"/>
        <v>Mayuge</v>
      </c>
      <c r="H279" s="82" t="s">
        <v>2350</v>
      </c>
    </row>
    <row r="280" spans="1:8">
      <c r="A280" s="81">
        <v>618</v>
      </c>
      <c r="B280" s="82" t="s">
        <v>1204</v>
      </c>
      <c r="C280" s="82" t="s">
        <v>1205</v>
      </c>
      <c r="D280" s="82" t="s">
        <v>1206</v>
      </c>
      <c r="E280" s="82"/>
      <c r="F280" s="75" t="str">
        <f t="shared" si="12"/>
        <v>Busamuzi</v>
      </c>
      <c r="G280" s="75" t="str">
        <f t="shared" si="13"/>
        <v>Buvuma</v>
      </c>
      <c r="H280" s="82" t="s">
        <v>1206</v>
      </c>
    </row>
    <row r="281" spans="1:8">
      <c r="A281" s="81">
        <v>781</v>
      </c>
      <c r="B281" s="82" t="s">
        <v>2362</v>
      </c>
      <c r="C281" s="82" t="s">
        <v>2363</v>
      </c>
      <c r="D281" s="82" t="s">
        <v>2372</v>
      </c>
      <c r="E281" s="82"/>
      <c r="F281" s="75" t="str">
        <f t="shared" si="12"/>
        <v>Busano</v>
      </c>
      <c r="G281" s="75" t="str">
        <f t="shared" si="13"/>
        <v>Mbale</v>
      </c>
      <c r="H281" s="82" t="s">
        <v>2372</v>
      </c>
    </row>
    <row r="282" spans="1:8">
      <c r="A282" s="81">
        <v>1219</v>
      </c>
      <c r="B282" s="82" t="s">
        <v>2097</v>
      </c>
      <c r="C282" s="82" t="s">
        <v>2098</v>
      </c>
      <c r="D282" s="82" t="s">
        <v>2099</v>
      </c>
      <c r="E282" s="82"/>
      <c r="F282" s="75" t="str">
        <f t="shared" si="12"/>
        <v>Busanza</v>
      </c>
      <c r="G282" s="75" t="str">
        <f t="shared" si="13"/>
        <v>Kisoro</v>
      </c>
      <c r="H282" s="82" t="s">
        <v>2099</v>
      </c>
    </row>
    <row r="283" spans="1:8">
      <c r="A283" s="81">
        <v>1115</v>
      </c>
      <c r="B283" s="82" t="s">
        <v>1108</v>
      </c>
      <c r="C283" s="82" t="s">
        <v>1109</v>
      </c>
      <c r="D283" s="82" t="s">
        <v>1116</v>
      </c>
      <c r="E283" s="82"/>
      <c r="F283" s="75" t="str">
        <f t="shared" si="12"/>
        <v>Busaru</v>
      </c>
      <c r="G283" s="75" t="str">
        <f t="shared" si="13"/>
        <v>Bundibugyo</v>
      </c>
      <c r="H283" s="82" t="s">
        <v>1116</v>
      </c>
    </row>
    <row r="284" spans="1:8">
      <c r="A284" s="81">
        <v>714</v>
      </c>
      <c r="B284" s="82" t="s">
        <v>1320</v>
      </c>
      <c r="C284" s="82" t="s">
        <v>1323</v>
      </c>
      <c r="D284" s="82" t="s">
        <v>1324</v>
      </c>
      <c r="E284" s="82"/>
      <c r="F284" s="75" t="str">
        <f t="shared" si="12"/>
        <v>Busedde</v>
      </c>
      <c r="G284" s="75" t="str">
        <f t="shared" si="13"/>
        <v>Jinja</v>
      </c>
      <c r="H284" s="82" t="s">
        <v>1324</v>
      </c>
    </row>
    <row r="285" spans="1:8">
      <c r="A285" s="81">
        <v>697</v>
      </c>
      <c r="B285" s="82" t="s">
        <v>1279</v>
      </c>
      <c r="C285" s="82" t="s">
        <v>1282</v>
      </c>
      <c r="D285" s="82" t="s">
        <v>1281</v>
      </c>
      <c r="E285" s="82"/>
      <c r="F285" s="75" t="str">
        <f t="shared" si="12"/>
        <v>Busembatia Town Council</v>
      </c>
      <c r="G285" s="75" t="str">
        <f t="shared" si="13"/>
        <v>Iganga</v>
      </c>
      <c r="H285" s="82" t="s">
        <v>1281</v>
      </c>
    </row>
    <row r="286" spans="1:8">
      <c r="A286" s="81">
        <v>1025</v>
      </c>
      <c r="B286" s="82" t="s">
        <v>2054</v>
      </c>
      <c r="C286" s="82" t="s">
        <v>2054</v>
      </c>
      <c r="D286" s="82" t="s">
        <v>2055</v>
      </c>
      <c r="E286" s="82"/>
      <c r="F286" s="75" t="str">
        <f t="shared" si="12"/>
        <v>Buseta</v>
      </c>
      <c r="G286" s="75" t="str">
        <f t="shared" si="13"/>
        <v>Kibuku</v>
      </c>
      <c r="H286" s="82" t="s">
        <v>2055</v>
      </c>
    </row>
    <row r="287" spans="1:8">
      <c r="A287" s="81">
        <v>924</v>
      </c>
      <c r="B287" s="82" t="s">
        <v>1003</v>
      </c>
      <c r="C287" s="82" t="s">
        <v>1004</v>
      </c>
      <c r="D287" s="82" t="s">
        <v>1012</v>
      </c>
      <c r="E287" s="82"/>
      <c r="F287" s="75" t="str">
        <f t="shared" si="12"/>
        <v>Bushika</v>
      </c>
      <c r="G287" s="75" t="str">
        <f t="shared" si="13"/>
        <v>Bududa</v>
      </c>
      <c r="H287" s="82" t="s">
        <v>1012</v>
      </c>
    </row>
    <row r="288" spans="1:8">
      <c r="A288" s="81">
        <v>925</v>
      </c>
      <c r="B288" s="82" t="s">
        <v>1003</v>
      </c>
      <c r="C288" s="82" t="s">
        <v>1004</v>
      </c>
      <c r="D288" s="82" t="s">
        <v>1013</v>
      </c>
      <c r="E288" s="82"/>
      <c r="F288" s="75" t="str">
        <f t="shared" si="12"/>
        <v>Bushiribo</v>
      </c>
      <c r="G288" s="75" t="str">
        <f t="shared" si="13"/>
        <v>Bududa</v>
      </c>
      <c r="H288" s="82" t="s">
        <v>1013</v>
      </c>
    </row>
    <row r="289" spans="1:8">
      <c r="A289" s="81">
        <v>926</v>
      </c>
      <c r="B289" s="82" t="s">
        <v>1003</v>
      </c>
      <c r="C289" s="82" t="s">
        <v>1004</v>
      </c>
      <c r="D289" s="82" t="s">
        <v>1014</v>
      </c>
      <c r="E289" s="82"/>
      <c r="F289" s="75" t="str">
        <f t="shared" si="12"/>
        <v>Bushiyi</v>
      </c>
      <c r="G289" s="75" t="str">
        <f t="shared" si="13"/>
        <v>Bududa</v>
      </c>
      <c r="H289" s="82" t="s">
        <v>1014</v>
      </c>
    </row>
    <row r="290" spans="1:8" ht="25.5">
      <c r="A290" s="81">
        <v>1146</v>
      </c>
      <c r="B290" s="82" t="s">
        <v>1248</v>
      </c>
      <c r="C290" s="83" t="s">
        <v>1254</v>
      </c>
      <c r="D290" s="82" t="s">
        <v>3140</v>
      </c>
      <c r="E290" s="82"/>
      <c r="F290" s="76" t="str">
        <f>VLOOKUP(C290,[2]Municipalities!$C$9:$F$1522,4,FALSE)</f>
        <v>Hoima Municipality</v>
      </c>
      <c r="G290" s="75" t="str">
        <f t="shared" si="13"/>
        <v>Hoima</v>
      </c>
      <c r="H290" s="82" t="s">
        <v>3140</v>
      </c>
    </row>
    <row r="291" spans="1:8" ht="25.5">
      <c r="A291" s="81">
        <v>576</v>
      </c>
      <c r="B291" s="82" t="s">
        <v>2416</v>
      </c>
      <c r="C291" s="83" t="s">
        <v>2420</v>
      </c>
      <c r="D291" s="82" t="s">
        <v>2419</v>
      </c>
      <c r="E291" s="82"/>
      <c r="F291" s="75" t="str">
        <f t="shared" si="12"/>
        <v>Busimbi Division</v>
      </c>
      <c r="G291" s="75" t="str">
        <f t="shared" si="13"/>
        <v>Mityana</v>
      </c>
      <c r="H291" s="82" t="s">
        <v>2419</v>
      </c>
    </row>
    <row r="292" spans="1:8">
      <c r="A292" s="81">
        <v>685</v>
      </c>
      <c r="B292" s="82" t="s">
        <v>1156</v>
      </c>
      <c r="C292" s="82" t="s">
        <v>1157</v>
      </c>
      <c r="D292" s="82" t="s">
        <v>1161</v>
      </c>
      <c r="E292" s="82"/>
      <c r="F292" s="75" t="str">
        <f t="shared" si="12"/>
        <v>Busime</v>
      </c>
      <c r="G292" s="75" t="str">
        <f t="shared" si="13"/>
        <v>Busia</v>
      </c>
      <c r="H292" s="82" t="s">
        <v>1161</v>
      </c>
    </row>
    <row r="293" spans="1:8">
      <c r="A293" s="81">
        <v>1298</v>
      </c>
      <c r="B293" s="82" t="s">
        <v>45</v>
      </c>
      <c r="C293" s="82" t="s">
        <v>1198</v>
      </c>
      <c r="D293" s="82" t="s">
        <v>1930</v>
      </c>
      <c r="E293" s="82"/>
      <c r="F293" s="75" t="str">
        <f t="shared" ref="F293:F342" si="14">D293</f>
        <v>Busiriba</v>
      </c>
      <c r="G293" s="75" t="str">
        <f t="shared" si="13"/>
        <v>Kamwenge</v>
      </c>
      <c r="H293" s="82" t="s">
        <v>1930</v>
      </c>
    </row>
    <row r="294" spans="1:8">
      <c r="A294" s="81">
        <v>686</v>
      </c>
      <c r="B294" s="82" t="s">
        <v>1156</v>
      </c>
      <c r="C294" s="82" t="s">
        <v>1157</v>
      </c>
      <c r="D294" s="82" t="s">
        <v>1162</v>
      </c>
      <c r="E294" s="82"/>
      <c r="F294" s="75" t="str">
        <f t="shared" si="14"/>
        <v>Busitema</v>
      </c>
      <c r="G294" s="75" t="str">
        <f t="shared" si="13"/>
        <v>Busia</v>
      </c>
      <c r="H294" s="82" t="s">
        <v>1162</v>
      </c>
    </row>
    <row r="295" spans="1:8">
      <c r="A295" s="81">
        <v>782</v>
      </c>
      <c r="B295" s="82" t="s">
        <v>2362</v>
      </c>
      <c r="C295" s="82" t="s">
        <v>2363</v>
      </c>
      <c r="D295" s="82" t="s">
        <v>2373</v>
      </c>
      <c r="E295" s="82"/>
      <c r="F295" s="75" t="str">
        <f t="shared" si="14"/>
        <v>Busiu</v>
      </c>
      <c r="G295" s="75" t="str">
        <f t="shared" si="13"/>
        <v>Mbale</v>
      </c>
      <c r="H295" s="82" t="s">
        <v>2373</v>
      </c>
    </row>
    <row r="296" spans="1:8">
      <c r="A296" s="81">
        <v>791</v>
      </c>
      <c r="B296" s="82" t="s">
        <v>2362</v>
      </c>
      <c r="C296" s="82" t="s">
        <v>2363</v>
      </c>
      <c r="D296" s="82" t="s">
        <v>2374</v>
      </c>
      <c r="E296" s="82"/>
      <c r="F296" s="75" t="str">
        <f t="shared" si="14"/>
        <v>Busiu Town Council</v>
      </c>
      <c r="G296" s="75" t="str">
        <f t="shared" si="13"/>
        <v>Mbale</v>
      </c>
      <c r="H296" s="82" t="s">
        <v>2374</v>
      </c>
    </row>
    <row r="297" spans="1:8">
      <c r="A297" s="81">
        <v>783</v>
      </c>
      <c r="B297" s="82" t="s">
        <v>2362</v>
      </c>
      <c r="C297" s="82" t="s">
        <v>2363</v>
      </c>
      <c r="D297" s="82" t="s">
        <v>2375</v>
      </c>
      <c r="E297" s="82"/>
      <c r="F297" s="75" t="str">
        <f t="shared" si="14"/>
        <v>Busoba</v>
      </c>
      <c r="G297" s="75" t="str">
        <f t="shared" si="13"/>
        <v>Mbale</v>
      </c>
      <c r="H297" s="82" t="s">
        <v>2375</v>
      </c>
    </row>
    <row r="298" spans="1:8">
      <c r="A298" s="81">
        <v>952</v>
      </c>
      <c r="B298" s="82" t="s">
        <v>1174</v>
      </c>
      <c r="C298" s="82" t="s">
        <v>1175</v>
      </c>
      <c r="D298" s="82" t="s">
        <v>1178</v>
      </c>
      <c r="E298" s="82"/>
      <c r="F298" s="75" t="str">
        <f t="shared" si="14"/>
        <v>Busolwe</v>
      </c>
      <c r="G298" s="75" t="str">
        <f t="shared" si="13"/>
        <v>Butaleja</v>
      </c>
      <c r="H298" s="82" t="s">
        <v>1178</v>
      </c>
    </row>
    <row r="299" spans="1:8">
      <c r="A299" s="81">
        <v>953</v>
      </c>
      <c r="B299" s="82" t="s">
        <v>1174</v>
      </c>
      <c r="C299" s="82" t="s">
        <v>1175</v>
      </c>
      <c r="D299" s="82" t="s">
        <v>1179</v>
      </c>
      <c r="E299" s="82"/>
      <c r="F299" s="75" t="str">
        <f t="shared" si="14"/>
        <v>Busolwe Town Council</v>
      </c>
      <c r="G299" s="75" t="str">
        <f t="shared" si="13"/>
        <v>Butaleja</v>
      </c>
      <c r="H299" s="82" t="s">
        <v>1179</v>
      </c>
    </row>
    <row r="300" spans="1:8">
      <c r="A300" s="81">
        <v>1163</v>
      </c>
      <c r="B300" s="82" t="s">
        <v>1367</v>
      </c>
      <c r="C300" s="82" t="s">
        <v>1368</v>
      </c>
      <c r="D300" s="82" t="s">
        <v>1369</v>
      </c>
      <c r="E300" s="82"/>
      <c r="F300" s="75" t="str">
        <f t="shared" si="14"/>
        <v>Busoro</v>
      </c>
      <c r="G300" s="75" t="str">
        <f t="shared" si="13"/>
        <v>Kabarole</v>
      </c>
      <c r="H300" s="82" t="s">
        <v>1369</v>
      </c>
    </row>
    <row r="301" spans="1:8">
      <c r="A301" s="81">
        <v>532</v>
      </c>
      <c r="B301" s="82" t="s">
        <v>2879</v>
      </c>
      <c r="C301" s="82" t="s">
        <v>2882</v>
      </c>
      <c r="D301" s="82" t="s">
        <v>2881</v>
      </c>
      <c r="E301" s="82"/>
      <c r="F301" s="75" t="str">
        <f t="shared" si="14"/>
        <v>Bussi</v>
      </c>
      <c r="G301" s="75" t="str">
        <f t="shared" si="13"/>
        <v>Wakiso</v>
      </c>
      <c r="H301" s="82" t="s">
        <v>2881</v>
      </c>
    </row>
    <row r="302" spans="1:8" ht="25.5">
      <c r="A302" s="81">
        <v>555</v>
      </c>
      <c r="B302" s="82" t="s">
        <v>2879</v>
      </c>
      <c r="C302" s="83" t="s">
        <v>2884</v>
      </c>
      <c r="D302" s="82" t="s">
        <v>3141</v>
      </c>
      <c r="E302" s="82"/>
      <c r="F302" s="76" t="str">
        <f>VLOOKUP(C302,[2]Municipalities!$C$9:$F$1522,4,FALSE)</f>
        <v>Busukuma</v>
      </c>
      <c r="G302" s="75" t="str">
        <f t="shared" si="13"/>
        <v>Wakiso</v>
      </c>
      <c r="H302" s="82" t="s">
        <v>3141</v>
      </c>
    </row>
    <row r="303" spans="1:8">
      <c r="A303" s="81">
        <v>977</v>
      </c>
      <c r="B303" s="82" t="s">
        <v>2294</v>
      </c>
      <c r="C303" s="82" t="s">
        <v>2295</v>
      </c>
      <c r="D303" s="82" t="s">
        <v>2300</v>
      </c>
      <c r="E303" s="82"/>
      <c r="F303" s="75" t="str">
        <f t="shared" si="14"/>
        <v>Busukuya</v>
      </c>
      <c r="G303" s="75" t="str">
        <f t="shared" si="13"/>
        <v>Manafwa</v>
      </c>
      <c r="H303" s="82" t="s">
        <v>2300</v>
      </c>
    </row>
    <row r="304" spans="1:8">
      <c r="A304" s="81">
        <v>876</v>
      </c>
      <c r="B304" s="82" t="s">
        <v>2812</v>
      </c>
      <c r="C304" s="82" t="s">
        <v>2813</v>
      </c>
      <c r="D304" s="82" t="s">
        <v>2824</v>
      </c>
      <c r="E304" s="82"/>
      <c r="F304" s="75" t="str">
        <f t="shared" si="14"/>
        <v>Busulani</v>
      </c>
      <c r="G304" s="75" t="str">
        <f t="shared" si="13"/>
        <v>Sironko</v>
      </c>
      <c r="H304" s="82" t="s">
        <v>2824</v>
      </c>
    </row>
    <row r="305" spans="1:8">
      <c r="A305" s="81">
        <v>575</v>
      </c>
      <c r="B305" s="82" t="s">
        <v>2416</v>
      </c>
      <c r="C305" s="82" t="s">
        <v>2416</v>
      </c>
      <c r="D305" s="82" t="s">
        <v>2421</v>
      </c>
      <c r="E305" s="82"/>
      <c r="F305" s="75" t="str">
        <f t="shared" si="14"/>
        <v>Busunju Town Council</v>
      </c>
      <c r="G305" s="75" t="str">
        <f t="shared" si="13"/>
        <v>Mityana</v>
      </c>
      <c r="H305" s="82" t="s">
        <v>2421</v>
      </c>
    </row>
    <row r="306" spans="1:8">
      <c r="A306" s="81">
        <v>1057</v>
      </c>
      <c r="B306" s="82" t="s">
        <v>2567</v>
      </c>
      <c r="C306" s="82" t="s">
        <v>2568</v>
      </c>
      <c r="D306" s="82" t="s">
        <v>2572</v>
      </c>
      <c r="E306" s="82"/>
      <c r="F306" s="75" t="str">
        <f t="shared" si="14"/>
        <v>Buswale</v>
      </c>
      <c r="G306" s="75" t="str">
        <f t="shared" si="13"/>
        <v>Namayingo</v>
      </c>
      <c r="H306" s="82" t="s">
        <v>2572</v>
      </c>
    </row>
    <row r="307" spans="1:8">
      <c r="A307" s="81">
        <v>721</v>
      </c>
      <c r="B307" s="82" t="s">
        <v>1320</v>
      </c>
      <c r="C307" s="82" t="s">
        <v>1321</v>
      </c>
      <c r="D307" s="82" t="s">
        <v>1325</v>
      </c>
      <c r="E307" s="82"/>
      <c r="F307" s="75" t="str">
        <f t="shared" si="14"/>
        <v>Butagaya</v>
      </c>
      <c r="G307" s="75" t="str">
        <f t="shared" si="13"/>
        <v>Jinja</v>
      </c>
      <c r="H307" s="82" t="s">
        <v>1325</v>
      </c>
    </row>
    <row r="308" spans="1:8">
      <c r="A308" s="81">
        <v>579</v>
      </c>
      <c r="B308" s="82" t="s">
        <v>2537</v>
      </c>
      <c r="C308" s="82" t="s">
        <v>2537</v>
      </c>
      <c r="D308" s="82" t="s">
        <v>2536</v>
      </c>
      <c r="E308" s="82"/>
      <c r="F308" s="75" t="str">
        <f t="shared" si="14"/>
        <v>Butalangu Town Council</v>
      </c>
      <c r="G308" s="75" t="str">
        <f t="shared" si="13"/>
        <v>Nakaseke</v>
      </c>
      <c r="H308" s="82" t="s">
        <v>2536</v>
      </c>
    </row>
    <row r="309" spans="1:8">
      <c r="A309" s="81">
        <v>954</v>
      </c>
      <c r="B309" s="82" t="s">
        <v>1174</v>
      </c>
      <c r="C309" s="82" t="s">
        <v>1175</v>
      </c>
      <c r="D309" s="82" t="s">
        <v>1174</v>
      </c>
      <c r="E309" s="82"/>
      <c r="F309" s="75" t="str">
        <f t="shared" si="14"/>
        <v>Butaleja</v>
      </c>
      <c r="G309" s="75" t="str">
        <f t="shared" si="13"/>
        <v>Butaleja</v>
      </c>
      <c r="H309" s="82" t="s">
        <v>1174</v>
      </c>
    </row>
    <row r="310" spans="1:8">
      <c r="A310" s="81">
        <v>955</v>
      </c>
      <c r="B310" s="82" t="s">
        <v>1174</v>
      </c>
      <c r="C310" s="82" t="s">
        <v>1175</v>
      </c>
      <c r="D310" s="82" t="s">
        <v>1180</v>
      </c>
      <c r="E310" s="82"/>
      <c r="F310" s="75" t="str">
        <f t="shared" si="14"/>
        <v>Butaleja Town Council</v>
      </c>
      <c r="G310" s="75" t="str">
        <f t="shared" si="13"/>
        <v>Butaleja</v>
      </c>
      <c r="H310" s="82" t="s">
        <v>1180</v>
      </c>
    </row>
    <row r="311" spans="1:8">
      <c r="A311" s="81">
        <v>1153</v>
      </c>
      <c r="B311" s="82" t="s">
        <v>1353</v>
      </c>
      <c r="C311" s="82" t="s">
        <v>1354</v>
      </c>
      <c r="D311" s="82" t="s">
        <v>1355</v>
      </c>
      <c r="E311" s="82"/>
      <c r="F311" s="75" t="str">
        <f t="shared" si="14"/>
        <v>Butanda</v>
      </c>
      <c r="G311" s="75" t="str">
        <f t="shared" si="13"/>
        <v>Kabale</v>
      </c>
      <c r="H311" s="82" t="s">
        <v>1355</v>
      </c>
    </row>
    <row r="312" spans="1:8">
      <c r="A312" s="81">
        <v>877</v>
      </c>
      <c r="B312" s="82" t="s">
        <v>2812</v>
      </c>
      <c r="C312" s="82" t="s">
        <v>2813</v>
      </c>
      <c r="D312" s="82" t="s">
        <v>2825</v>
      </c>
      <c r="E312" s="82"/>
      <c r="F312" s="75" t="str">
        <f t="shared" si="14"/>
        <v>Butandiga</v>
      </c>
      <c r="G312" s="75" t="str">
        <f t="shared" si="13"/>
        <v>Sironko</v>
      </c>
      <c r="H312" s="82" t="s">
        <v>2825</v>
      </c>
    </row>
    <row r="313" spans="1:8">
      <c r="A313" s="81">
        <v>727</v>
      </c>
      <c r="B313" s="82" t="s">
        <v>1911</v>
      </c>
      <c r="C313" s="82" t="s">
        <v>1912</v>
      </c>
      <c r="D313" s="82" t="s">
        <v>1916</v>
      </c>
      <c r="E313" s="82"/>
      <c r="F313" s="75" t="str">
        <f t="shared" si="14"/>
        <v>Butansi</v>
      </c>
      <c r="G313" s="75" t="str">
        <f t="shared" si="13"/>
        <v>Kamuli</v>
      </c>
      <c r="H313" s="82" t="s">
        <v>1916</v>
      </c>
    </row>
    <row r="314" spans="1:8">
      <c r="A314" s="81">
        <v>566</v>
      </c>
      <c r="B314" s="82" t="s">
        <v>2416</v>
      </c>
      <c r="C314" s="82" t="s">
        <v>2417</v>
      </c>
      <c r="D314" s="82" t="s">
        <v>2426</v>
      </c>
      <c r="E314" s="82"/>
      <c r="F314" s="75" t="str">
        <f t="shared" si="14"/>
        <v>Butayunja</v>
      </c>
      <c r="G314" s="75" t="str">
        <f t="shared" si="13"/>
        <v>Mityana</v>
      </c>
      <c r="H314" s="82" t="s">
        <v>2426</v>
      </c>
    </row>
    <row r="315" spans="1:8">
      <c r="A315" s="81">
        <v>687</v>
      </c>
      <c r="B315" s="82" t="s">
        <v>1156</v>
      </c>
      <c r="C315" s="82" t="s">
        <v>1157</v>
      </c>
      <c r="D315" s="82" t="s">
        <v>1163</v>
      </c>
      <c r="E315" s="82"/>
      <c r="F315" s="75" t="str">
        <f t="shared" si="14"/>
        <v>Buteba</v>
      </c>
      <c r="G315" s="75" t="str">
        <f t="shared" si="13"/>
        <v>Busia</v>
      </c>
      <c r="H315" s="82" t="s">
        <v>1163</v>
      </c>
    </row>
    <row r="316" spans="1:8" ht="25.5">
      <c r="A316" s="81">
        <v>1078</v>
      </c>
      <c r="B316" s="82" t="s">
        <v>1193</v>
      </c>
      <c r="C316" s="82" t="s">
        <v>1194</v>
      </c>
      <c r="D316" s="82" t="s">
        <v>1193</v>
      </c>
      <c r="E316" s="82"/>
      <c r="F316" s="75" t="str">
        <f t="shared" si="14"/>
        <v>Butebo</v>
      </c>
      <c r="G316" s="75" t="str">
        <f t="shared" si="13"/>
        <v>Butebo</v>
      </c>
      <c r="H316" s="82" t="s">
        <v>1193</v>
      </c>
    </row>
    <row r="317" spans="1:8">
      <c r="A317" s="81">
        <v>639</v>
      </c>
      <c r="B317" s="82" t="s">
        <v>2169</v>
      </c>
      <c r="C317" s="82" t="s">
        <v>2042</v>
      </c>
      <c r="D317" s="82" t="s">
        <v>2170</v>
      </c>
      <c r="E317" s="82"/>
      <c r="F317" s="75" t="str">
        <f t="shared" si="14"/>
        <v>Butemba</v>
      </c>
      <c r="G317" s="75" t="str">
        <f t="shared" si="13"/>
        <v>Kyankwanzi</v>
      </c>
      <c r="H317" s="82" t="s">
        <v>2170</v>
      </c>
    </row>
    <row r="318" spans="1:8">
      <c r="A318" s="81">
        <v>640</v>
      </c>
      <c r="B318" s="82" t="s">
        <v>2169</v>
      </c>
      <c r="C318" s="82" t="s">
        <v>2042</v>
      </c>
      <c r="D318" s="82" t="s">
        <v>2171</v>
      </c>
      <c r="E318" s="82"/>
      <c r="F318" s="75" t="str">
        <f t="shared" si="14"/>
        <v>Butemba Town Council</v>
      </c>
      <c r="G318" s="75" t="str">
        <f t="shared" si="13"/>
        <v>Kyankwanzi</v>
      </c>
      <c r="H318" s="82" t="s">
        <v>2171</v>
      </c>
    </row>
    <row r="319" spans="1:8">
      <c r="A319" s="81">
        <v>608</v>
      </c>
      <c r="B319" s="82" t="s">
        <v>1062</v>
      </c>
      <c r="C319" s="82" t="s">
        <v>1062</v>
      </c>
      <c r="D319" s="82" t="s">
        <v>1064</v>
      </c>
      <c r="E319" s="82"/>
      <c r="F319" s="75" t="str">
        <f t="shared" si="14"/>
        <v>Butenga</v>
      </c>
      <c r="G319" s="75" t="str">
        <f t="shared" si="13"/>
        <v>Bukomansimbi</v>
      </c>
      <c r="H319" s="82" t="s">
        <v>1064</v>
      </c>
    </row>
    <row r="320" spans="1:8">
      <c r="A320" s="81">
        <v>878</v>
      </c>
      <c r="B320" s="82" t="s">
        <v>2812</v>
      </c>
      <c r="C320" s="82" t="s">
        <v>2813</v>
      </c>
      <c r="D320" s="82" t="s">
        <v>2826</v>
      </c>
      <c r="E320" s="82"/>
      <c r="F320" s="75" t="str">
        <f t="shared" si="14"/>
        <v>Buteza</v>
      </c>
      <c r="G320" s="75" t="str">
        <f t="shared" si="13"/>
        <v>Sironko</v>
      </c>
      <c r="H320" s="82" t="s">
        <v>2826</v>
      </c>
    </row>
    <row r="321" spans="1:8">
      <c r="A321" s="81">
        <v>1349</v>
      </c>
      <c r="B321" s="82" t="s">
        <v>1101</v>
      </c>
      <c r="C321" s="82" t="s">
        <v>1101</v>
      </c>
      <c r="D321" s="82" t="s">
        <v>1103</v>
      </c>
      <c r="E321" s="82"/>
      <c r="F321" s="75" t="str">
        <f t="shared" si="14"/>
        <v>Butiaba</v>
      </c>
      <c r="G321" s="75" t="str">
        <f t="shared" si="13"/>
        <v>Buliisa</v>
      </c>
      <c r="H321" s="82" t="s">
        <v>1103</v>
      </c>
    </row>
    <row r="322" spans="1:8">
      <c r="A322" s="81">
        <v>1332</v>
      </c>
      <c r="B322" s="82" t="s">
        <v>2198</v>
      </c>
      <c r="C322" s="82" t="s">
        <v>2199</v>
      </c>
      <c r="D322" s="82" t="s">
        <v>2201</v>
      </c>
      <c r="E322" s="82"/>
      <c r="F322" s="75" t="str">
        <f t="shared" si="14"/>
        <v>Butiiti</v>
      </c>
      <c r="G322" s="75" t="str">
        <f t="shared" si="13"/>
        <v>Kyenjojo</v>
      </c>
      <c r="H322" s="82" t="s">
        <v>2201</v>
      </c>
    </row>
    <row r="323" spans="1:8">
      <c r="A323" s="81">
        <v>978</v>
      </c>
      <c r="B323" s="82" t="s">
        <v>2294</v>
      </c>
      <c r="C323" s="82" t="s">
        <v>2295</v>
      </c>
      <c r="D323" s="82" t="s">
        <v>2301</v>
      </c>
      <c r="E323" s="82"/>
      <c r="F323" s="75" t="str">
        <f t="shared" si="14"/>
        <v>Butiru</v>
      </c>
      <c r="G323" s="75" t="str">
        <f t="shared" si="13"/>
        <v>Manafwa</v>
      </c>
      <c r="H323" s="82" t="s">
        <v>2301</v>
      </c>
    </row>
    <row r="324" spans="1:8">
      <c r="A324" s="81">
        <v>1313</v>
      </c>
      <c r="B324" s="82" t="s">
        <v>1945</v>
      </c>
      <c r="C324" s="82" t="s">
        <v>1946</v>
      </c>
      <c r="D324" s="82" t="s">
        <v>1944</v>
      </c>
      <c r="E324" s="82"/>
      <c r="F324" s="75" t="str">
        <f t="shared" si="14"/>
        <v>Butogota Town Council</v>
      </c>
      <c r="G324" s="75" t="str">
        <f t="shared" si="13"/>
        <v>Kanungu</v>
      </c>
      <c r="H324" s="82" t="s">
        <v>1944</v>
      </c>
    </row>
    <row r="325" spans="1:8">
      <c r="A325" s="81">
        <v>458</v>
      </c>
      <c r="B325" s="82" t="s">
        <v>2473</v>
      </c>
      <c r="C325" s="82" t="s">
        <v>2479</v>
      </c>
      <c r="D325" s="82" t="s">
        <v>2478</v>
      </c>
      <c r="E325" s="82"/>
      <c r="F325" s="75" t="str">
        <f t="shared" si="14"/>
        <v>Butoloogo</v>
      </c>
      <c r="G325" s="75" t="str">
        <f t="shared" si="13"/>
        <v>Mubende</v>
      </c>
      <c r="H325" s="82" t="s">
        <v>2478</v>
      </c>
    </row>
    <row r="326" spans="1:8">
      <c r="A326" s="81">
        <v>979</v>
      </c>
      <c r="B326" s="82" t="s">
        <v>2294</v>
      </c>
      <c r="C326" s="82" t="s">
        <v>2295</v>
      </c>
      <c r="D326" s="82" t="s">
        <v>2302</v>
      </c>
      <c r="E326" s="82"/>
      <c r="F326" s="75" t="str">
        <f t="shared" si="14"/>
        <v>Butta</v>
      </c>
      <c r="G326" s="75" t="str">
        <f t="shared" si="13"/>
        <v>Manafwa</v>
      </c>
      <c r="H326" s="82" t="s">
        <v>2302</v>
      </c>
    </row>
    <row r="327" spans="1:8">
      <c r="A327" s="81">
        <v>1333</v>
      </c>
      <c r="B327" s="82" t="s">
        <v>2198</v>
      </c>
      <c r="C327" s="82" t="s">
        <v>2199</v>
      </c>
      <c r="D327" s="82" t="s">
        <v>2202</v>
      </c>
      <c r="E327" s="82"/>
      <c r="F327" s="75" t="str">
        <f t="shared" si="14"/>
        <v>Butunduzi</v>
      </c>
      <c r="G327" s="75" t="str">
        <f t="shared" si="13"/>
        <v>Kyenjojo</v>
      </c>
      <c r="H327" s="82" t="s">
        <v>2202</v>
      </c>
    </row>
    <row r="328" spans="1:8">
      <c r="A328" s="81">
        <v>1334</v>
      </c>
      <c r="B328" s="82" t="s">
        <v>2198</v>
      </c>
      <c r="C328" s="82" t="s">
        <v>2199</v>
      </c>
      <c r="D328" s="82" t="s">
        <v>2203</v>
      </c>
      <c r="E328" s="82"/>
      <c r="F328" s="75" t="str">
        <f t="shared" si="14"/>
        <v>Butunduzi Town Council</v>
      </c>
      <c r="G328" s="75" t="str">
        <f t="shared" si="13"/>
        <v>Kyenjojo</v>
      </c>
      <c r="H328" s="82" t="s">
        <v>2203</v>
      </c>
    </row>
    <row r="329" spans="1:8">
      <c r="A329" s="81">
        <v>1442</v>
      </c>
      <c r="B329" s="82" t="s">
        <v>2631</v>
      </c>
      <c r="C329" s="82" t="s">
        <v>2631</v>
      </c>
      <c r="D329" s="82" t="s">
        <v>2630</v>
      </c>
      <c r="E329" s="82"/>
      <c r="F329" s="75" t="str">
        <f t="shared" si="14"/>
        <v>Butungama</v>
      </c>
      <c r="G329" s="75" t="str">
        <f t="shared" si="13"/>
        <v>Ntoroko</v>
      </c>
      <c r="H329" s="82" t="s">
        <v>2630</v>
      </c>
    </row>
    <row r="330" spans="1:8">
      <c r="A330" s="81">
        <v>435</v>
      </c>
      <c r="B330" s="82" t="s">
        <v>2255</v>
      </c>
      <c r="C330" s="82" t="s">
        <v>2257</v>
      </c>
      <c r="D330" s="82" t="s">
        <v>2261</v>
      </c>
      <c r="E330" s="82"/>
      <c r="F330" s="75" t="str">
        <f t="shared" si="14"/>
        <v>Butuntumula</v>
      </c>
      <c r="G330" s="75" t="str">
        <f t="shared" ref="G330:G393" si="15">B330</f>
        <v>Luwero</v>
      </c>
      <c r="H330" s="82" t="s">
        <v>2261</v>
      </c>
    </row>
    <row r="331" spans="1:8">
      <c r="A331" s="81">
        <v>619</v>
      </c>
      <c r="B331" s="82" t="s">
        <v>1204</v>
      </c>
      <c r="C331" s="82" t="s">
        <v>1205</v>
      </c>
      <c r="D331" s="82" t="s">
        <v>1207</v>
      </c>
      <c r="E331" s="82"/>
      <c r="F331" s="75" t="str">
        <f t="shared" si="14"/>
        <v>Buvuma Town Council</v>
      </c>
      <c r="G331" s="75" t="str">
        <f t="shared" si="15"/>
        <v>Buvuma</v>
      </c>
      <c r="H331" s="82" t="s">
        <v>1207</v>
      </c>
    </row>
    <row r="332" spans="1:8">
      <c r="A332" s="81">
        <v>855</v>
      </c>
      <c r="B332" s="82" t="s">
        <v>2346</v>
      </c>
      <c r="C332" s="82" t="s">
        <v>2347</v>
      </c>
      <c r="D332" s="82" t="s">
        <v>2351</v>
      </c>
      <c r="E332" s="82"/>
      <c r="F332" s="75" t="str">
        <f t="shared" si="14"/>
        <v>Buwaaya</v>
      </c>
      <c r="G332" s="75" t="str">
        <f t="shared" si="15"/>
        <v>Mayuge</v>
      </c>
      <c r="H332" s="82" t="s">
        <v>2351</v>
      </c>
    </row>
    <row r="333" spans="1:8">
      <c r="A333" s="81">
        <v>1093</v>
      </c>
      <c r="B333" s="82" t="s">
        <v>2579</v>
      </c>
      <c r="C333" s="82" t="s">
        <v>2579</v>
      </c>
      <c r="D333" s="82" t="s">
        <v>2587</v>
      </c>
      <c r="E333" s="82"/>
      <c r="F333" s="75" t="str">
        <f t="shared" si="14"/>
        <v>Buwabwala</v>
      </c>
      <c r="G333" s="75" t="str">
        <f t="shared" si="15"/>
        <v>Namisindwa</v>
      </c>
      <c r="H333" s="82" t="s">
        <v>2587</v>
      </c>
    </row>
    <row r="334" spans="1:8">
      <c r="A334" s="81">
        <v>980</v>
      </c>
      <c r="B334" s="82" t="s">
        <v>2294</v>
      </c>
      <c r="C334" s="82" t="s">
        <v>2295</v>
      </c>
      <c r="D334" s="82" t="s">
        <v>2303</v>
      </c>
      <c r="E334" s="82"/>
      <c r="F334" s="75" t="str">
        <f t="shared" si="14"/>
        <v>Buwagogo</v>
      </c>
      <c r="G334" s="75" t="str">
        <f t="shared" si="15"/>
        <v>Manafwa</v>
      </c>
      <c r="H334" s="82" t="s">
        <v>2303</v>
      </c>
    </row>
    <row r="335" spans="1:8">
      <c r="A335" s="81">
        <v>879</v>
      </c>
      <c r="B335" s="82" t="s">
        <v>2812</v>
      </c>
      <c r="C335" s="82" t="s">
        <v>2813</v>
      </c>
      <c r="D335" s="82" t="s">
        <v>2827</v>
      </c>
      <c r="E335" s="82"/>
      <c r="F335" s="75" t="str">
        <f t="shared" si="14"/>
        <v>Buwalasi</v>
      </c>
      <c r="G335" s="75" t="str">
        <f t="shared" si="15"/>
        <v>Sironko</v>
      </c>
      <c r="H335" s="82" t="s">
        <v>2827</v>
      </c>
    </row>
    <row r="336" spans="1:8">
      <c r="A336" s="81">
        <v>927</v>
      </c>
      <c r="B336" s="82" t="s">
        <v>1003</v>
      </c>
      <c r="C336" s="82" t="s">
        <v>1004</v>
      </c>
      <c r="D336" s="82" t="s">
        <v>1015</v>
      </c>
      <c r="E336" s="82"/>
      <c r="F336" s="75" t="str">
        <f t="shared" si="14"/>
        <v>Buwali</v>
      </c>
      <c r="G336" s="75" t="str">
        <f t="shared" si="15"/>
        <v>Bududa</v>
      </c>
      <c r="H336" s="82" t="s">
        <v>1015</v>
      </c>
    </row>
    <row r="337" spans="1:8">
      <c r="A337" s="81">
        <v>451</v>
      </c>
      <c r="B337" s="82" t="s">
        <v>2460</v>
      </c>
      <c r="C337" s="82" t="s">
        <v>2461</v>
      </c>
      <c r="D337" s="82" t="s">
        <v>2459</v>
      </c>
      <c r="E337" s="82"/>
      <c r="F337" s="75" t="str">
        <f t="shared" si="14"/>
        <v>Buwama</v>
      </c>
      <c r="G337" s="75" t="str">
        <f t="shared" si="15"/>
        <v>Mpigi</v>
      </c>
      <c r="H337" s="82" t="s">
        <v>2459</v>
      </c>
    </row>
    <row r="338" spans="1:8">
      <c r="A338" s="81">
        <v>989</v>
      </c>
      <c r="B338" s="82" t="s">
        <v>2294</v>
      </c>
      <c r="C338" s="82" t="s">
        <v>2295</v>
      </c>
      <c r="D338" s="82" t="s">
        <v>2304</v>
      </c>
      <c r="E338" s="82"/>
      <c r="F338" s="75" t="str">
        <f t="shared" si="14"/>
        <v>Buwangani Town Council</v>
      </c>
      <c r="G338" s="75" t="str">
        <f t="shared" si="15"/>
        <v>Manafwa</v>
      </c>
      <c r="H338" s="82" t="s">
        <v>2304</v>
      </c>
    </row>
    <row r="339" spans="1:8">
      <c r="A339" s="81">
        <v>880</v>
      </c>
      <c r="B339" s="82" t="s">
        <v>2812</v>
      </c>
      <c r="C339" s="82" t="s">
        <v>2813</v>
      </c>
      <c r="D339" s="82" t="s">
        <v>2828</v>
      </c>
      <c r="E339" s="82"/>
      <c r="F339" s="75" t="str">
        <f t="shared" si="14"/>
        <v>Buwasa</v>
      </c>
      <c r="G339" s="75" t="str">
        <f t="shared" si="15"/>
        <v>Sironko</v>
      </c>
      <c r="H339" s="82" t="s">
        <v>2828</v>
      </c>
    </row>
    <row r="340" spans="1:8">
      <c r="A340" s="81">
        <v>722</v>
      </c>
      <c r="B340" s="82" t="s">
        <v>1320</v>
      </c>
      <c r="C340" s="82" t="s">
        <v>1321</v>
      </c>
      <c r="D340" s="82" t="s">
        <v>1326</v>
      </c>
      <c r="E340" s="82"/>
      <c r="F340" s="75" t="str">
        <f t="shared" si="14"/>
        <v>Buwenge</v>
      </c>
      <c r="G340" s="75" t="str">
        <f t="shared" si="15"/>
        <v>Jinja</v>
      </c>
      <c r="H340" s="82" t="s">
        <v>1326</v>
      </c>
    </row>
    <row r="341" spans="1:8">
      <c r="A341" s="81">
        <v>723</v>
      </c>
      <c r="B341" s="82" t="s">
        <v>1320</v>
      </c>
      <c r="C341" s="82" t="s">
        <v>1321</v>
      </c>
      <c r="D341" s="82" t="s">
        <v>1327</v>
      </c>
      <c r="E341" s="82"/>
      <c r="F341" s="75" t="str">
        <f t="shared" si="14"/>
        <v>Buwenge Town Council</v>
      </c>
      <c r="G341" s="75" t="str">
        <f t="shared" si="15"/>
        <v>Jinja</v>
      </c>
      <c r="H341" s="82" t="s">
        <v>1327</v>
      </c>
    </row>
    <row r="342" spans="1:8">
      <c r="A342" s="81">
        <v>620</v>
      </c>
      <c r="B342" s="82" t="s">
        <v>1204</v>
      </c>
      <c r="C342" s="82" t="s">
        <v>1205</v>
      </c>
      <c r="D342" s="82" t="s">
        <v>1208</v>
      </c>
      <c r="E342" s="82"/>
      <c r="F342" s="75" t="str">
        <f t="shared" si="14"/>
        <v>Buwooya</v>
      </c>
      <c r="G342" s="75" t="str">
        <f t="shared" si="15"/>
        <v>Buvuma</v>
      </c>
      <c r="H342" s="82" t="s">
        <v>1208</v>
      </c>
    </row>
    <row r="343" spans="1:8">
      <c r="A343" s="81">
        <v>443</v>
      </c>
      <c r="B343" s="82" t="s">
        <v>39</v>
      </c>
      <c r="C343" s="82" t="s">
        <v>23</v>
      </c>
      <c r="D343" s="86" t="s">
        <v>3142</v>
      </c>
      <c r="E343" s="82"/>
      <c r="F343" s="75" t="str">
        <f t="shared" ref="F343:F346" si="16">D343&amp;"-"&amp;B343</f>
        <v>Buwunga-Masaka</v>
      </c>
      <c r="G343" s="75" t="str">
        <f t="shared" si="15"/>
        <v>Masaka</v>
      </c>
      <c r="H343" s="86" t="s">
        <v>3142</v>
      </c>
    </row>
    <row r="344" spans="1:8">
      <c r="A344" s="81">
        <v>675</v>
      </c>
      <c r="B344" s="82" t="s">
        <v>1020</v>
      </c>
      <c r="C344" s="82" t="s">
        <v>1021</v>
      </c>
      <c r="D344" s="86" t="s">
        <v>3142</v>
      </c>
      <c r="E344" s="82"/>
      <c r="F344" s="75" t="str">
        <f t="shared" si="16"/>
        <v>Buwunga-Bugiri</v>
      </c>
      <c r="G344" s="75" t="str">
        <f t="shared" si="15"/>
        <v>Bugiri</v>
      </c>
      <c r="H344" s="86" t="s">
        <v>3142</v>
      </c>
    </row>
    <row r="345" spans="1:8">
      <c r="A345" s="81">
        <v>688</v>
      </c>
      <c r="B345" s="82" t="s">
        <v>1156</v>
      </c>
      <c r="C345" s="82" t="s">
        <v>1157</v>
      </c>
      <c r="D345" s="86" t="s">
        <v>3143</v>
      </c>
      <c r="E345" s="82"/>
      <c r="F345" s="75" t="str">
        <f t="shared" si="16"/>
        <v>Buyanga-Busia</v>
      </c>
      <c r="G345" s="75" t="str">
        <f t="shared" si="15"/>
        <v>Busia</v>
      </c>
      <c r="H345" s="86" t="s">
        <v>3143</v>
      </c>
    </row>
    <row r="346" spans="1:8">
      <c r="A346" s="81">
        <v>698</v>
      </c>
      <c r="B346" s="82" t="s">
        <v>1279</v>
      </c>
      <c r="C346" s="82" t="s">
        <v>1282</v>
      </c>
      <c r="D346" s="86" t="s">
        <v>3143</v>
      </c>
      <c r="E346" s="82"/>
      <c r="F346" s="75" t="str">
        <f t="shared" si="16"/>
        <v>Buyanga-Iganga</v>
      </c>
      <c r="G346" s="75" t="str">
        <f t="shared" si="15"/>
        <v>Iganga</v>
      </c>
      <c r="H346" s="86" t="s">
        <v>3143</v>
      </c>
    </row>
    <row r="347" spans="1:8">
      <c r="A347" s="81">
        <v>1283</v>
      </c>
      <c r="B347" s="82" t="s">
        <v>40</v>
      </c>
      <c r="C347" s="82" t="s">
        <v>2776</v>
      </c>
      <c r="D347" s="82" t="s">
        <v>2032</v>
      </c>
      <c r="E347" s="82"/>
      <c r="F347" s="75" t="str">
        <f t="shared" ref="F347:F370" si="17">D347</f>
        <v>Buyanja</v>
      </c>
      <c r="G347" s="75" t="str">
        <f t="shared" si="15"/>
        <v>Rukungiri</v>
      </c>
      <c r="H347" s="82" t="s">
        <v>2032</v>
      </c>
    </row>
    <row r="348" spans="1:8">
      <c r="A348" s="81">
        <v>1287</v>
      </c>
      <c r="B348" s="82" t="s">
        <v>40</v>
      </c>
      <c r="C348" s="82" t="s">
        <v>2776</v>
      </c>
      <c r="D348" s="82" t="s">
        <v>2777</v>
      </c>
      <c r="E348" s="82"/>
      <c r="F348" s="75" t="str">
        <f t="shared" si="17"/>
        <v>Buyanja Town Council</v>
      </c>
      <c r="G348" s="75" t="str">
        <f t="shared" si="15"/>
        <v>Rukungiri</v>
      </c>
      <c r="H348" s="82" t="s">
        <v>2777</v>
      </c>
    </row>
    <row r="349" spans="1:8">
      <c r="A349" s="81">
        <v>1019</v>
      </c>
      <c r="B349" s="82" t="s">
        <v>1215</v>
      </c>
      <c r="C349" s="82" t="s">
        <v>1216</v>
      </c>
      <c r="D349" s="82" t="s">
        <v>1215</v>
      </c>
      <c r="E349" s="82"/>
      <c r="F349" s="75" t="str">
        <f t="shared" si="17"/>
        <v>Buyende</v>
      </c>
      <c r="G349" s="75" t="str">
        <f t="shared" si="15"/>
        <v>Buyende</v>
      </c>
      <c r="H349" s="82" t="s">
        <v>1215</v>
      </c>
    </row>
    <row r="350" spans="1:8">
      <c r="A350" s="81">
        <v>1020</v>
      </c>
      <c r="B350" s="82" t="s">
        <v>1215</v>
      </c>
      <c r="C350" s="82" t="s">
        <v>1216</v>
      </c>
      <c r="D350" s="82" t="s">
        <v>1217</v>
      </c>
      <c r="E350" s="82"/>
      <c r="F350" s="75" t="str">
        <f t="shared" si="17"/>
        <v>Buyende Town Council</v>
      </c>
      <c r="G350" s="75" t="str">
        <f t="shared" si="15"/>
        <v>Buyende</v>
      </c>
      <c r="H350" s="82" t="s">
        <v>1217</v>
      </c>
    </row>
    <row r="351" spans="1:8">
      <c r="A351" s="81">
        <v>724</v>
      </c>
      <c r="B351" s="82" t="s">
        <v>1320</v>
      </c>
      <c r="C351" s="82" t="s">
        <v>1321</v>
      </c>
      <c r="D351" s="82" t="s">
        <v>1328</v>
      </c>
      <c r="E351" s="82"/>
      <c r="F351" s="75" t="str">
        <f t="shared" si="17"/>
        <v>Buyengo</v>
      </c>
      <c r="G351" s="75" t="str">
        <f t="shared" si="15"/>
        <v>Jinja</v>
      </c>
      <c r="H351" s="82" t="s">
        <v>1328</v>
      </c>
    </row>
    <row r="352" spans="1:8">
      <c r="A352" s="81">
        <v>964</v>
      </c>
      <c r="B352" s="82" t="s">
        <v>1439</v>
      </c>
      <c r="C352" s="82" t="s">
        <v>1278</v>
      </c>
      <c r="D352" s="82" t="s">
        <v>1442</v>
      </c>
      <c r="E352" s="82"/>
      <c r="F352" s="75" t="str">
        <f t="shared" si="17"/>
        <v>Buyinda</v>
      </c>
      <c r="G352" s="75" t="str">
        <f t="shared" si="15"/>
        <v>Kaliro</v>
      </c>
      <c r="H352" s="82" t="s">
        <v>1442</v>
      </c>
    </row>
    <row r="353" spans="1:8">
      <c r="A353" s="81">
        <v>1058</v>
      </c>
      <c r="B353" s="82" t="s">
        <v>2567</v>
      </c>
      <c r="C353" s="82" t="s">
        <v>2568</v>
      </c>
      <c r="D353" s="82" t="s">
        <v>2573</v>
      </c>
      <c r="E353" s="82"/>
      <c r="F353" s="75" t="str">
        <f t="shared" si="17"/>
        <v>Buyinja</v>
      </c>
      <c r="G353" s="75" t="str">
        <f t="shared" si="15"/>
        <v>Namayingo</v>
      </c>
      <c r="H353" s="82" t="s">
        <v>2573</v>
      </c>
    </row>
    <row r="354" spans="1:8">
      <c r="A354" s="81">
        <v>881</v>
      </c>
      <c r="B354" s="82" t="s">
        <v>2812</v>
      </c>
      <c r="C354" s="82" t="s">
        <v>2813</v>
      </c>
      <c r="D354" s="82" t="s">
        <v>2829</v>
      </c>
      <c r="E354" s="82"/>
      <c r="F354" s="75" t="str">
        <f t="shared" si="17"/>
        <v>Buyobo</v>
      </c>
      <c r="G354" s="75" t="str">
        <f t="shared" si="15"/>
        <v>Sironko</v>
      </c>
      <c r="H354" s="82" t="s">
        <v>2829</v>
      </c>
    </row>
    <row r="355" spans="1:8">
      <c r="A355" s="81">
        <v>1291</v>
      </c>
      <c r="B355" s="82" t="s">
        <v>40</v>
      </c>
      <c r="C355" s="82" t="s">
        <v>2774</v>
      </c>
      <c r="D355" s="82" t="s">
        <v>2778</v>
      </c>
      <c r="E355" s="82"/>
      <c r="F355" s="75" t="str">
        <f t="shared" si="17"/>
        <v>Bwambara</v>
      </c>
      <c r="G355" s="75" t="str">
        <f t="shared" si="15"/>
        <v>Rukungiri</v>
      </c>
      <c r="H355" s="82" t="s">
        <v>2778</v>
      </c>
    </row>
    <row r="356" spans="1:8">
      <c r="A356" s="81">
        <v>1209</v>
      </c>
      <c r="B356" s="82" t="s">
        <v>2031</v>
      </c>
      <c r="C356" s="82" t="s">
        <v>2032</v>
      </c>
      <c r="D356" s="82" t="s">
        <v>2033</v>
      </c>
      <c r="E356" s="82"/>
      <c r="F356" s="75" t="str">
        <f t="shared" si="17"/>
        <v>Bwamiramira</v>
      </c>
      <c r="G356" s="75" t="str">
        <f t="shared" si="15"/>
        <v>Kibaale</v>
      </c>
      <c r="H356" s="82" t="s">
        <v>2033</v>
      </c>
    </row>
    <row r="357" spans="1:8">
      <c r="A357" s="81">
        <v>1496</v>
      </c>
      <c r="B357" s="82" t="s">
        <v>1417</v>
      </c>
      <c r="C357" s="82" t="s">
        <v>1418</v>
      </c>
      <c r="D357" s="82" t="s">
        <v>1419</v>
      </c>
      <c r="E357" s="82"/>
      <c r="F357" s="75" t="str">
        <f t="shared" si="17"/>
        <v>Bwanswa</v>
      </c>
      <c r="G357" s="75" t="str">
        <f t="shared" si="15"/>
        <v>Kakumiro</v>
      </c>
      <c r="H357" s="82" t="s">
        <v>1419</v>
      </c>
    </row>
    <row r="358" spans="1:8">
      <c r="A358" s="81">
        <v>621</v>
      </c>
      <c r="B358" s="82" t="s">
        <v>1204</v>
      </c>
      <c r="C358" s="82" t="s">
        <v>1205</v>
      </c>
      <c r="D358" s="82" t="s">
        <v>1209</v>
      </c>
      <c r="E358" s="82"/>
      <c r="F358" s="75" t="str">
        <f t="shared" si="17"/>
        <v>Bweema</v>
      </c>
      <c r="G358" s="75" t="str">
        <f t="shared" si="15"/>
        <v>Buvuma</v>
      </c>
      <c r="H358" s="82" t="s">
        <v>1209</v>
      </c>
    </row>
    <row r="359" spans="1:8">
      <c r="A359" s="81">
        <v>1178</v>
      </c>
      <c r="B359" s="82" t="s">
        <v>36</v>
      </c>
      <c r="C359" s="82" t="s">
        <v>1111</v>
      </c>
      <c r="D359" s="82" t="s">
        <v>37</v>
      </c>
      <c r="E359" s="82"/>
      <c r="F359" s="75" t="str">
        <f t="shared" si="17"/>
        <v>Bwera</v>
      </c>
      <c r="G359" s="75" t="str">
        <f t="shared" si="15"/>
        <v>Kasese</v>
      </c>
      <c r="H359" s="82" t="s">
        <v>37</v>
      </c>
    </row>
    <row r="360" spans="1:8">
      <c r="A360" s="81">
        <v>1443</v>
      </c>
      <c r="B360" s="82" t="s">
        <v>2631</v>
      </c>
      <c r="C360" s="82" t="s">
        <v>2631</v>
      </c>
      <c r="D360" s="82" t="s">
        <v>2632</v>
      </c>
      <c r="E360" s="82"/>
      <c r="F360" s="75" t="str">
        <f t="shared" si="17"/>
        <v>Bweramule</v>
      </c>
      <c r="G360" s="75" t="str">
        <f t="shared" si="15"/>
        <v>Ntoroko</v>
      </c>
      <c r="H360" s="82" t="s">
        <v>2632</v>
      </c>
    </row>
    <row r="361" spans="1:8">
      <c r="A361" s="81">
        <v>1194</v>
      </c>
      <c r="B361" s="82" t="s">
        <v>36</v>
      </c>
      <c r="C361" s="82" t="s">
        <v>1978</v>
      </c>
      <c r="D361" s="82" t="s">
        <v>1980</v>
      </c>
      <c r="E361" s="82"/>
      <c r="F361" s="75" t="str">
        <f t="shared" si="17"/>
        <v>Bwesumbu</v>
      </c>
      <c r="G361" s="75" t="str">
        <f t="shared" si="15"/>
        <v>Kasese</v>
      </c>
      <c r="H361" s="82" t="s">
        <v>1980</v>
      </c>
    </row>
    <row r="362" spans="1:8">
      <c r="A362" s="81">
        <v>1413</v>
      </c>
      <c r="B362" s="82" t="s">
        <v>2085</v>
      </c>
      <c r="C362" s="82" t="s">
        <v>2086</v>
      </c>
      <c r="D362" s="82" t="s">
        <v>2084</v>
      </c>
      <c r="E362" s="82"/>
      <c r="F362" s="75" t="str">
        <f t="shared" si="17"/>
        <v>Bweyale Town Council</v>
      </c>
      <c r="G362" s="75" t="str">
        <f t="shared" si="15"/>
        <v>Kiryandongo</v>
      </c>
      <c r="H362" s="82" t="s">
        <v>2084</v>
      </c>
    </row>
    <row r="363" spans="1:8">
      <c r="A363" s="81">
        <v>548</v>
      </c>
      <c r="B363" s="82" t="s">
        <v>2879</v>
      </c>
      <c r="C363" s="83" t="s">
        <v>2885</v>
      </c>
      <c r="D363" s="82" t="s">
        <v>3144</v>
      </c>
      <c r="E363" s="82"/>
      <c r="F363" s="76" t="str">
        <f>VLOOKUP(C363,[2]Municipalities!$C$9:$F$1522,4,FALSE)</f>
        <v>Bweyogerere</v>
      </c>
      <c r="G363" s="75" t="str">
        <f t="shared" si="15"/>
        <v>Wakiso</v>
      </c>
      <c r="H363" s="82" t="s">
        <v>3144</v>
      </c>
    </row>
    <row r="364" spans="1:8">
      <c r="A364" s="81">
        <v>1236</v>
      </c>
      <c r="B364" s="82" t="s">
        <v>2337</v>
      </c>
      <c r="C364" s="82" t="s">
        <v>2338</v>
      </c>
      <c r="D364" s="82" t="s">
        <v>2339</v>
      </c>
      <c r="E364" s="82"/>
      <c r="F364" s="75" t="str">
        <f t="shared" si="17"/>
        <v>Bwijanga</v>
      </c>
      <c r="G364" s="75" t="str">
        <f t="shared" si="15"/>
        <v>Masindi</v>
      </c>
      <c r="H364" s="82" t="s">
        <v>2339</v>
      </c>
    </row>
    <row r="365" spans="1:8">
      <c r="A365" s="81">
        <v>1478</v>
      </c>
      <c r="B365" s="82" t="s">
        <v>1398</v>
      </c>
      <c r="C365" s="82" t="s">
        <v>1399</v>
      </c>
      <c r="D365" s="82" t="s">
        <v>1400</v>
      </c>
      <c r="E365" s="82"/>
      <c r="F365" s="75" t="str">
        <f t="shared" si="17"/>
        <v>Bwikara</v>
      </c>
      <c r="G365" s="75" t="str">
        <f t="shared" si="15"/>
        <v>Kagadi</v>
      </c>
      <c r="H365" s="82" t="s">
        <v>1400</v>
      </c>
    </row>
    <row r="366" spans="1:8">
      <c r="A366" s="81">
        <v>1009</v>
      </c>
      <c r="B366" s="82" t="s">
        <v>1081</v>
      </c>
      <c r="C366" s="82" t="s">
        <v>1081</v>
      </c>
      <c r="D366" s="82" t="s">
        <v>1091</v>
      </c>
      <c r="E366" s="82"/>
      <c r="F366" s="75" t="str">
        <f t="shared" si="17"/>
        <v>Bwikhonge</v>
      </c>
      <c r="G366" s="75" t="str">
        <f t="shared" si="15"/>
        <v>Bulambuli</v>
      </c>
      <c r="H366" s="82" t="s">
        <v>1091</v>
      </c>
    </row>
    <row r="367" spans="1:8">
      <c r="A367" s="81">
        <v>1299</v>
      </c>
      <c r="B367" s="82" t="s">
        <v>45</v>
      </c>
      <c r="C367" s="82" t="s">
        <v>1198</v>
      </c>
      <c r="D367" s="82" t="s">
        <v>1931</v>
      </c>
      <c r="E367" s="82"/>
      <c r="F367" s="75" t="str">
        <f t="shared" si="17"/>
        <v>Bwizi</v>
      </c>
      <c r="G367" s="75" t="str">
        <f t="shared" si="15"/>
        <v>Kamwenge</v>
      </c>
      <c r="H367" s="82" t="s">
        <v>1931</v>
      </c>
    </row>
    <row r="368" spans="1:8">
      <c r="A368" s="81">
        <v>1261</v>
      </c>
      <c r="B368" s="82" t="s">
        <v>47</v>
      </c>
      <c r="C368" s="82" t="s">
        <v>2642</v>
      </c>
      <c r="D368" s="82" t="s">
        <v>2641</v>
      </c>
      <c r="E368" s="82"/>
      <c r="F368" s="75" t="str">
        <f t="shared" si="17"/>
        <v>Bwongyera</v>
      </c>
      <c r="G368" s="75" t="str">
        <f t="shared" si="15"/>
        <v>Ntungamo</v>
      </c>
      <c r="H368" s="82" t="s">
        <v>2641</v>
      </c>
    </row>
    <row r="369" spans="1:9">
      <c r="A369" s="81">
        <v>506</v>
      </c>
      <c r="B369" s="82" t="s">
        <v>2733</v>
      </c>
      <c r="C369" s="82" t="s">
        <v>2220</v>
      </c>
      <c r="D369" s="82" t="s">
        <v>2732</v>
      </c>
      <c r="E369" s="82"/>
      <c r="F369" s="75" t="str">
        <f t="shared" si="17"/>
        <v>Byakabanda</v>
      </c>
      <c r="G369" s="75" t="str">
        <f t="shared" si="15"/>
        <v>Rakai</v>
      </c>
      <c r="H369" s="82" t="s">
        <v>2732</v>
      </c>
    </row>
    <row r="370" spans="1:9">
      <c r="A370" s="81">
        <v>649</v>
      </c>
      <c r="B370" s="82" t="s">
        <v>2169</v>
      </c>
      <c r="C370" s="82" t="s">
        <v>2042</v>
      </c>
      <c r="D370" s="82" t="s">
        <v>2172</v>
      </c>
      <c r="E370" s="82"/>
      <c r="F370" s="75" t="str">
        <f t="shared" si="17"/>
        <v>Byerima</v>
      </c>
      <c r="G370" s="75" t="str">
        <f t="shared" si="15"/>
        <v>Kyankwanzi</v>
      </c>
      <c r="H370" s="82" t="s">
        <v>2172</v>
      </c>
    </row>
    <row r="371" spans="1:9" ht="25.5">
      <c r="A371" s="81">
        <v>1232</v>
      </c>
      <c r="B371" s="84" t="s">
        <v>2097</v>
      </c>
      <c r="C371" s="85" t="s">
        <v>2103</v>
      </c>
      <c r="D371" s="84" t="s">
        <v>3145</v>
      </c>
      <c r="E371" s="84"/>
      <c r="F371" s="76" t="str">
        <f>VLOOKUP(C371,[2]Municipalities!$C$9:$F$1522,4,FALSE)</f>
        <v>Kisoro Municipality</v>
      </c>
      <c r="G371" s="75" t="str">
        <f t="shared" si="15"/>
        <v>Kisoro</v>
      </c>
      <c r="H371" s="84" t="s">
        <v>3145</v>
      </c>
    </row>
    <row r="372" spans="1:9" ht="25.5">
      <c r="A372" s="81">
        <v>67</v>
      </c>
      <c r="B372" s="84" t="s">
        <v>2114</v>
      </c>
      <c r="C372" s="85" t="s">
        <v>2116</v>
      </c>
      <c r="D372" s="84" t="s">
        <v>1475</v>
      </c>
      <c r="E372" s="84"/>
      <c r="F372" s="76" t="str">
        <f>VLOOKUP(C372,[2]Municipalities!$C$9:$F$1522,4,FALSE)</f>
        <v>Kitgum Municipality</v>
      </c>
      <c r="G372" s="75" t="str">
        <f t="shared" si="15"/>
        <v>Kitgum</v>
      </c>
      <c r="H372" s="84" t="s">
        <v>1475</v>
      </c>
    </row>
    <row r="373" spans="1:9" ht="16.5" customHeight="1">
      <c r="A373" s="81">
        <v>75</v>
      </c>
      <c r="B373" s="84" t="s">
        <v>2142</v>
      </c>
      <c r="C373" s="85" t="s">
        <v>2144</v>
      </c>
      <c r="D373" s="84" t="s">
        <v>1475</v>
      </c>
      <c r="E373" s="84"/>
      <c r="F373" s="76" t="str">
        <f>VLOOKUP(C373,[2]Municipalities!$C$9:$F$1522,4,FALSE)</f>
        <v>Kotido Municipality</v>
      </c>
      <c r="G373" s="75" t="str">
        <f t="shared" si="15"/>
        <v>Kotido</v>
      </c>
      <c r="H373" s="84" t="s">
        <v>1475</v>
      </c>
    </row>
    <row r="374" spans="1:9">
      <c r="A374" s="81">
        <v>89</v>
      </c>
      <c r="B374" s="82" t="s">
        <v>2236</v>
      </c>
      <c r="C374" s="83" t="s">
        <v>2243</v>
      </c>
      <c r="D374" s="84" t="s">
        <v>1475</v>
      </c>
      <c r="E374" s="82"/>
      <c r="F374" s="76" t="str">
        <f>VLOOKUP(C374,[2]Municipalities!$C$9:$F$1522,4,FALSE)</f>
        <v>Lira Municipality</v>
      </c>
      <c r="G374" s="75" t="str">
        <f t="shared" si="15"/>
        <v>Lira</v>
      </c>
      <c r="H374" s="84" t="s">
        <v>1475</v>
      </c>
    </row>
    <row r="375" spans="1:9">
      <c r="A375" s="81">
        <v>108</v>
      </c>
      <c r="B375" s="82" t="s">
        <v>2616</v>
      </c>
      <c r="C375" s="83" t="s">
        <v>2622</v>
      </c>
      <c r="D375" s="84" t="s">
        <v>1475</v>
      </c>
      <c r="E375" s="82"/>
      <c r="F375" s="76" t="str">
        <f>VLOOKUP(C375,[2]Municipalities!$C$9:$F$1522,4,FALSE)</f>
        <v>Nebbi Municipality</v>
      </c>
      <c r="G375" s="75" t="str">
        <f t="shared" si="15"/>
        <v>Nebbi</v>
      </c>
      <c r="H375" s="84" t="s">
        <v>1475</v>
      </c>
    </row>
    <row r="376" spans="1:9">
      <c r="A376" s="81">
        <v>325</v>
      </c>
      <c r="B376" s="82" t="s">
        <v>1460</v>
      </c>
      <c r="C376" s="82" t="s">
        <v>1461</v>
      </c>
      <c r="D376" s="82" t="s">
        <v>1475</v>
      </c>
      <c r="E376" s="82" t="s">
        <v>1474</v>
      </c>
      <c r="F376" s="75" t="str">
        <f>[2]KCCA!F376</f>
        <v>Bukesa</v>
      </c>
      <c r="G376" s="75" t="str">
        <f t="shared" si="15"/>
        <v>Kampala</v>
      </c>
      <c r="H376" s="82" t="s">
        <v>1475</v>
      </c>
    </row>
    <row r="377" spans="1:9">
      <c r="A377" s="81">
        <v>326</v>
      </c>
      <c r="B377" s="82" t="s">
        <v>1460</v>
      </c>
      <c r="C377" s="82" t="s">
        <v>1461</v>
      </c>
      <c r="D377" s="82" t="s">
        <v>1475</v>
      </c>
      <c r="E377" s="82" t="s">
        <v>1493</v>
      </c>
      <c r="F377" s="75" t="str">
        <f>[2]KCCA!F377</f>
        <v>Civic Centre</v>
      </c>
      <c r="G377" s="75" t="str">
        <f t="shared" si="15"/>
        <v>Kampala</v>
      </c>
      <c r="H377" s="82" t="s">
        <v>1475</v>
      </c>
    </row>
    <row r="378" spans="1:9">
      <c r="A378" s="81">
        <v>327</v>
      </c>
      <c r="B378" s="82" t="s">
        <v>1460</v>
      </c>
      <c r="C378" s="82" t="s">
        <v>1461</v>
      </c>
      <c r="D378" s="82" t="s">
        <v>1475</v>
      </c>
      <c r="E378" s="82" t="s">
        <v>1662</v>
      </c>
      <c r="F378" s="75" t="str">
        <f>[2]KCCA!F378</f>
        <v>Industrial Area</v>
      </c>
      <c r="G378" s="75" t="str">
        <f t="shared" si="15"/>
        <v>Kampala</v>
      </c>
      <c r="H378" s="82" t="s">
        <v>1475</v>
      </c>
    </row>
    <row r="379" spans="1:9">
      <c r="A379" s="81">
        <v>328</v>
      </c>
      <c r="B379" s="82" t="s">
        <v>1460</v>
      </c>
      <c r="C379" s="82" t="s">
        <v>1461</v>
      </c>
      <c r="D379" s="82" t="s">
        <v>1475</v>
      </c>
      <c r="E379" s="82" t="s">
        <v>1667</v>
      </c>
      <c r="F379" s="75" t="str">
        <f>[2]KCCA!F379</f>
        <v>Kagugube</v>
      </c>
      <c r="G379" s="75" t="str">
        <f t="shared" si="15"/>
        <v>Kampala</v>
      </c>
      <c r="H379" s="82" t="s">
        <v>1475</v>
      </c>
    </row>
    <row r="380" spans="1:9">
      <c r="A380" s="81">
        <v>329</v>
      </c>
      <c r="B380" s="82" t="s">
        <v>1460</v>
      </c>
      <c r="C380" s="82" t="s">
        <v>1461</v>
      </c>
      <c r="D380" s="82" t="s">
        <v>1475</v>
      </c>
      <c r="E380" s="86" t="s">
        <v>3146</v>
      </c>
      <c r="F380" s="166" t="s">
        <v>1668</v>
      </c>
      <c r="G380" s="75" t="str">
        <f t="shared" si="15"/>
        <v>Kampala</v>
      </c>
      <c r="H380" s="82" t="s">
        <v>1475</v>
      </c>
    </row>
    <row r="381" spans="1:9">
      <c r="A381" s="81">
        <v>330</v>
      </c>
      <c r="B381" s="82" t="s">
        <v>1460</v>
      </c>
      <c r="C381" s="82" t="s">
        <v>1461</v>
      </c>
      <c r="D381" s="82" t="s">
        <v>1475</v>
      </c>
      <c r="E381" s="86" t="s">
        <v>3147</v>
      </c>
      <c r="F381" s="167"/>
      <c r="G381" s="75" t="str">
        <f t="shared" si="15"/>
        <v>Kampala</v>
      </c>
      <c r="H381" s="82" t="s">
        <v>1475</v>
      </c>
      <c r="I381" s="87" t="s">
        <v>3148</v>
      </c>
    </row>
    <row r="382" spans="1:9">
      <c r="A382" s="81">
        <v>331</v>
      </c>
      <c r="B382" s="82" t="s">
        <v>1460</v>
      </c>
      <c r="C382" s="82" t="s">
        <v>1461</v>
      </c>
      <c r="D382" s="82" t="s">
        <v>1475</v>
      </c>
      <c r="E382" s="86" t="s">
        <v>3149</v>
      </c>
      <c r="F382" s="166" t="s">
        <v>1706</v>
      </c>
      <c r="G382" s="75" t="str">
        <f t="shared" si="15"/>
        <v>Kampala</v>
      </c>
      <c r="H382" s="82" t="s">
        <v>1475</v>
      </c>
    </row>
    <row r="383" spans="1:9">
      <c r="A383" s="81">
        <v>332</v>
      </c>
      <c r="B383" s="82" t="s">
        <v>1460</v>
      </c>
      <c r="C383" s="82" t="s">
        <v>1461</v>
      </c>
      <c r="D383" s="82" t="s">
        <v>1475</v>
      </c>
      <c r="E383" s="86" t="s">
        <v>3150</v>
      </c>
      <c r="F383" s="168"/>
      <c r="G383" s="75" t="str">
        <f t="shared" si="15"/>
        <v>Kampala</v>
      </c>
      <c r="H383" s="82" t="s">
        <v>1475</v>
      </c>
      <c r="I383" s="87" t="s">
        <v>3148</v>
      </c>
    </row>
    <row r="384" spans="1:9">
      <c r="A384" s="81">
        <v>333</v>
      </c>
      <c r="B384" s="82" t="s">
        <v>1460</v>
      </c>
      <c r="C384" s="82" t="s">
        <v>1461</v>
      </c>
      <c r="D384" s="82" t="s">
        <v>1475</v>
      </c>
      <c r="E384" s="86" t="s">
        <v>3151</v>
      </c>
      <c r="F384" s="167"/>
      <c r="G384" s="75" t="str">
        <f t="shared" si="15"/>
        <v>Kampala</v>
      </c>
      <c r="H384" s="82" t="s">
        <v>1475</v>
      </c>
      <c r="I384" s="87" t="s">
        <v>3148</v>
      </c>
    </row>
    <row r="385" spans="1:9">
      <c r="A385" s="81">
        <v>334</v>
      </c>
      <c r="B385" s="82" t="s">
        <v>1460</v>
      </c>
      <c r="C385" s="82" t="s">
        <v>1461</v>
      </c>
      <c r="D385" s="82" t="s">
        <v>1475</v>
      </c>
      <c r="E385" s="86" t="s">
        <v>3152</v>
      </c>
      <c r="F385" s="166" t="s">
        <v>1719</v>
      </c>
      <c r="G385" s="75" t="str">
        <f t="shared" si="15"/>
        <v>Kampala</v>
      </c>
      <c r="H385" s="82" t="s">
        <v>1475</v>
      </c>
    </row>
    <row r="386" spans="1:9">
      <c r="A386" s="81">
        <v>335</v>
      </c>
      <c r="B386" s="82" t="s">
        <v>1460</v>
      </c>
      <c r="C386" s="82" t="s">
        <v>1461</v>
      </c>
      <c r="D386" s="82" t="s">
        <v>1475</v>
      </c>
      <c r="E386" s="86" t="s">
        <v>3153</v>
      </c>
      <c r="F386" s="168"/>
      <c r="G386" s="75" t="str">
        <f t="shared" si="15"/>
        <v>Kampala</v>
      </c>
      <c r="H386" s="82" t="s">
        <v>1475</v>
      </c>
      <c r="I386" s="87" t="s">
        <v>3148</v>
      </c>
    </row>
    <row r="387" spans="1:9">
      <c r="A387" s="81">
        <v>336</v>
      </c>
      <c r="B387" s="82" t="s">
        <v>1460</v>
      </c>
      <c r="C387" s="82" t="s">
        <v>1461</v>
      </c>
      <c r="D387" s="82" t="s">
        <v>1475</v>
      </c>
      <c r="E387" s="86" t="s">
        <v>3154</v>
      </c>
      <c r="F387" s="168"/>
      <c r="G387" s="75" t="str">
        <f t="shared" si="15"/>
        <v>Kampala</v>
      </c>
      <c r="H387" s="82" t="s">
        <v>1475</v>
      </c>
      <c r="I387" s="87" t="s">
        <v>3148</v>
      </c>
    </row>
    <row r="388" spans="1:9">
      <c r="A388" s="81">
        <v>337</v>
      </c>
      <c r="B388" s="82" t="s">
        <v>1460</v>
      </c>
      <c r="C388" s="82" t="s">
        <v>1461</v>
      </c>
      <c r="D388" s="82" t="s">
        <v>1475</v>
      </c>
      <c r="E388" s="86" t="s">
        <v>3155</v>
      </c>
      <c r="F388" s="167"/>
      <c r="G388" s="75" t="str">
        <f t="shared" si="15"/>
        <v>Kampala</v>
      </c>
      <c r="H388" s="82" t="s">
        <v>1475</v>
      </c>
      <c r="I388" s="87" t="s">
        <v>3148</v>
      </c>
    </row>
    <row r="389" spans="1:9">
      <c r="A389" s="81">
        <v>338</v>
      </c>
      <c r="B389" s="82" t="s">
        <v>1460</v>
      </c>
      <c r="C389" s="82" t="s">
        <v>1461</v>
      </c>
      <c r="D389" s="82" t="s">
        <v>1475</v>
      </c>
      <c r="E389" s="82" t="s">
        <v>1771</v>
      </c>
      <c r="F389" s="75" t="str">
        <f>[2]KCCA!F389</f>
        <v>Mengo</v>
      </c>
      <c r="G389" s="75" t="str">
        <f t="shared" si="15"/>
        <v>Kampala</v>
      </c>
      <c r="H389" s="82" t="s">
        <v>1475</v>
      </c>
    </row>
    <row r="390" spans="1:9">
      <c r="A390" s="81">
        <v>339</v>
      </c>
      <c r="B390" s="82" t="s">
        <v>1460</v>
      </c>
      <c r="C390" s="82" t="s">
        <v>1461</v>
      </c>
      <c r="D390" s="82" t="s">
        <v>1475</v>
      </c>
      <c r="E390" s="86" t="s">
        <v>3156</v>
      </c>
      <c r="F390" s="166" t="s">
        <v>1836</v>
      </c>
      <c r="G390" s="75" t="str">
        <f t="shared" si="15"/>
        <v>Kampala</v>
      </c>
      <c r="H390" s="82" t="s">
        <v>1475</v>
      </c>
    </row>
    <row r="391" spans="1:9">
      <c r="A391" s="81">
        <v>340</v>
      </c>
      <c r="B391" s="82" t="s">
        <v>1460</v>
      </c>
      <c r="C391" s="82" t="s">
        <v>1461</v>
      </c>
      <c r="D391" s="82" t="s">
        <v>1475</v>
      </c>
      <c r="E391" s="86" t="s">
        <v>3157</v>
      </c>
      <c r="F391" s="168"/>
      <c r="G391" s="75" t="str">
        <f t="shared" si="15"/>
        <v>Kampala</v>
      </c>
      <c r="H391" s="82" t="s">
        <v>1475</v>
      </c>
      <c r="I391" s="87" t="s">
        <v>3148</v>
      </c>
    </row>
    <row r="392" spans="1:9">
      <c r="A392" s="81">
        <v>341</v>
      </c>
      <c r="B392" s="82" t="s">
        <v>1460</v>
      </c>
      <c r="C392" s="82" t="s">
        <v>1461</v>
      </c>
      <c r="D392" s="82" t="s">
        <v>1475</v>
      </c>
      <c r="E392" s="86" t="s">
        <v>3158</v>
      </c>
      <c r="F392" s="168"/>
      <c r="G392" s="75" t="str">
        <f t="shared" si="15"/>
        <v>Kampala</v>
      </c>
      <c r="H392" s="82" t="s">
        <v>1475</v>
      </c>
      <c r="I392" s="87" t="s">
        <v>3148</v>
      </c>
    </row>
    <row r="393" spans="1:9">
      <c r="A393" s="81">
        <v>342</v>
      </c>
      <c r="B393" s="82" t="s">
        <v>1460</v>
      </c>
      <c r="C393" s="82" t="s">
        <v>1461</v>
      </c>
      <c r="D393" s="82" t="s">
        <v>1475</v>
      </c>
      <c r="E393" s="86" t="s">
        <v>3159</v>
      </c>
      <c r="F393" s="167"/>
      <c r="G393" s="75" t="str">
        <f t="shared" si="15"/>
        <v>Kampala</v>
      </c>
      <c r="H393" s="82" t="s">
        <v>1475</v>
      </c>
      <c r="I393" s="87" t="s">
        <v>3148</v>
      </c>
    </row>
    <row r="394" spans="1:9" ht="25.5">
      <c r="A394" s="81">
        <v>343</v>
      </c>
      <c r="B394" s="82" t="s">
        <v>1460</v>
      </c>
      <c r="C394" s="82" t="s">
        <v>1461</v>
      </c>
      <c r="D394" s="82" t="s">
        <v>1475</v>
      </c>
      <c r="E394" s="82" t="s">
        <v>1854</v>
      </c>
      <c r="F394" s="75" t="str">
        <f>[2]KCCA!F394</f>
        <v>Nakivubo Shauriyaako</v>
      </c>
      <c r="G394" s="75" t="str">
        <f t="shared" ref="G394:G457" si="18">B394</f>
        <v>Kampala</v>
      </c>
      <c r="H394" s="82" t="s">
        <v>1475</v>
      </c>
    </row>
    <row r="395" spans="1:9">
      <c r="A395" s="81">
        <v>344</v>
      </c>
      <c r="B395" s="82" t="s">
        <v>1460</v>
      </c>
      <c r="C395" s="82" t="s">
        <v>1461</v>
      </c>
      <c r="D395" s="82" t="s">
        <v>1475</v>
      </c>
      <c r="E395" s="82" t="s">
        <v>1887</v>
      </c>
      <c r="F395" s="75" t="str">
        <f>[2]KCCA!F395</f>
        <v>Old Kampala</v>
      </c>
      <c r="G395" s="75" t="str">
        <f t="shared" si="18"/>
        <v>Kampala</v>
      </c>
      <c r="H395" s="82" t="s">
        <v>1475</v>
      </c>
    </row>
    <row r="396" spans="1:9" ht="25.5">
      <c r="A396" s="81">
        <v>485</v>
      </c>
      <c r="B396" s="82" t="s">
        <v>2500</v>
      </c>
      <c r="C396" s="83" t="s">
        <v>2507</v>
      </c>
      <c r="D396" s="86" t="s">
        <v>1475</v>
      </c>
      <c r="E396" s="82"/>
      <c r="F396" s="76" t="str">
        <f>VLOOKUP(C396,[2]Municipalities!$C$9:$F$1522,4,FALSE)</f>
        <v>Mukono Municipality</v>
      </c>
      <c r="G396" s="75" t="str">
        <f t="shared" si="18"/>
        <v>Mukono</v>
      </c>
      <c r="H396" s="86" t="s">
        <v>1475</v>
      </c>
    </row>
    <row r="397" spans="1:9" ht="25.5">
      <c r="A397" s="81">
        <v>577</v>
      </c>
      <c r="B397" s="82" t="s">
        <v>2416</v>
      </c>
      <c r="C397" s="83" t="s">
        <v>2420</v>
      </c>
      <c r="D397" s="86" t="s">
        <v>1475</v>
      </c>
      <c r="E397" s="82"/>
      <c r="F397" s="76" t="str">
        <f>VLOOKUP(C397,[2]Municipalities!$C$9:$F$1522,4,FALSE)</f>
        <v>Mityana Municipality</v>
      </c>
      <c r="G397" s="75" t="str">
        <f t="shared" si="18"/>
        <v>Mityana</v>
      </c>
      <c r="H397" s="86" t="s">
        <v>1475</v>
      </c>
    </row>
    <row r="398" spans="1:9" ht="25.5">
      <c r="A398" s="81">
        <v>600</v>
      </c>
      <c r="B398" s="82" t="s">
        <v>1041</v>
      </c>
      <c r="C398" s="83" t="s">
        <v>1048</v>
      </c>
      <c r="D398" s="86" t="s">
        <v>1475</v>
      </c>
      <c r="E398" s="82"/>
      <c r="F398" s="76" t="str">
        <f>VLOOKUP(C398,[2]Municipalities!$C$9:$F$1522,4,FALSE)</f>
        <v>Lugazi Municipality</v>
      </c>
      <c r="G398" s="75" t="str">
        <f t="shared" si="18"/>
        <v>Buikwe</v>
      </c>
      <c r="H398" s="86" t="s">
        <v>1475</v>
      </c>
    </row>
    <row r="399" spans="1:9" ht="25.5">
      <c r="A399" s="81">
        <v>703</v>
      </c>
      <c r="B399" s="82" t="s">
        <v>1279</v>
      </c>
      <c r="C399" s="83" t="s">
        <v>1285</v>
      </c>
      <c r="D399" s="86" t="s">
        <v>1475</v>
      </c>
      <c r="E399" s="82"/>
      <c r="F399" s="76" t="str">
        <f>VLOOKUP(C399,[2]Municipalities!$C$9:$F$1522,4,FALSE)</f>
        <v>Iganga Municipality</v>
      </c>
      <c r="G399" s="75" t="str">
        <f t="shared" si="18"/>
        <v>Iganga</v>
      </c>
      <c r="H399" s="86" t="s">
        <v>1475</v>
      </c>
    </row>
    <row r="400" spans="1:9">
      <c r="A400" s="81">
        <v>717</v>
      </c>
      <c r="B400" s="82" t="s">
        <v>1320</v>
      </c>
      <c r="C400" s="83" t="s">
        <v>1329</v>
      </c>
      <c r="D400" s="86" t="s">
        <v>1475</v>
      </c>
      <c r="E400" s="82"/>
      <c r="F400" s="76" t="str">
        <f>VLOOKUP(C400,[2]Municipalities!$C$9:$F$1522,4,FALSE)</f>
        <v>Jinja Municipality</v>
      </c>
      <c r="G400" s="75" t="str">
        <f t="shared" si="18"/>
        <v>Jinja</v>
      </c>
      <c r="H400" s="86" t="s">
        <v>1475</v>
      </c>
    </row>
    <row r="401" spans="1:8" ht="25.5">
      <c r="A401" s="81">
        <v>750</v>
      </c>
      <c r="B401" s="82" t="s">
        <v>1964</v>
      </c>
      <c r="C401" s="83" t="s">
        <v>1970</v>
      </c>
      <c r="D401" s="86" t="s">
        <v>1475</v>
      </c>
      <c r="E401" s="82"/>
      <c r="F401" s="76" t="str">
        <f>VLOOKUP(C401,[2]Municipalities!$C$9:$F$1522,4,FALSE)</f>
        <v>Kapchorwa Municipality</v>
      </c>
      <c r="G401" s="75" t="str">
        <f t="shared" si="18"/>
        <v>Kapchorwa</v>
      </c>
      <c r="H401" s="86" t="s">
        <v>1475</v>
      </c>
    </row>
    <row r="402" spans="1:8" ht="25.5">
      <c r="A402" s="81">
        <v>1149</v>
      </c>
      <c r="B402" s="82" t="s">
        <v>1353</v>
      </c>
      <c r="C402" s="83" t="s">
        <v>1356</v>
      </c>
      <c r="D402" s="86" t="s">
        <v>1475</v>
      </c>
      <c r="E402" s="82"/>
      <c r="F402" s="76" t="str">
        <f>VLOOKUP(C402,[2]Municipalities!$C$9:$F$1522,4,FALSE)</f>
        <v>Kabale Municipality</v>
      </c>
      <c r="G402" s="75" t="str">
        <f t="shared" si="18"/>
        <v>Kabale</v>
      </c>
      <c r="H402" s="86" t="s">
        <v>1475</v>
      </c>
    </row>
    <row r="403" spans="1:8" ht="25.5">
      <c r="A403" s="81">
        <v>1206</v>
      </c>
      <c r="B403" s="82" t="s">
        <v>36</v>
      </c>
      <c r="C403" s="83" t="s">
        <v>1986</v>
      </c>
      <c r="D403" s="86" t="s">
        <v>1475</v>
      </c>
      <c r="E403" s="82"/>
      <c r="F403" s="76" t="str">
        <f>VLOOKUP(C403,[2]Municipalities!$C$9:$F$1522,4,FALSE)</f>
        <v>Kasese Municipality</v>
      </c>
      <c r="G403" s="75" t="str">
        <f t="shared" si="18"/>
        <v>Kasese</v>
      </c>
      <c r="H403" s="86" t="s">
        <v>1475</v>
      </c>
    </row>
    <row r="404" spans="1:8" ht="25.5">
      <c r="A404" s="81">
        <v>1243</v>
      </c>
      <c r="B404" s="82" t="s">
        <v>2337</v>
      </c>
      <c r="C404" s="83" t="s">
        <v>2342</v>
      </c>
      <c r="D404" s="86" t="s">
        <v>1475</v>
      </c>
      <c r="E404" s="82"/>
      <c r="F404" s="76" t="str">
        <f>VLOOKUP(C404,[2]Municipalities!$C$9:$F$1522,4,FALSE)</f>
        <v>Masindi Municipality</v>
      </c>
      <c r="G404" s="75" t="str">
        <f t="shared" si="18"/>
        <v>Masindi</v>
      </c>
      <c r="H404" s="86" t="s">
        <v>1475</v>
      </c>
    </row>
    <row r="405" spans="1:8" ht="25.5">
      <c r="A405" s="81">
        <v>1267</v>
      </c>
      <c r="B405" s="82" t="s">
        <v>47</v>
      </c>
      <c r="C405" s="83" t="s">
        <v>2652</v>
      </c>
      <c r="D405" s="86" t="s">
        <v>1475</v>
      </c>
      <c r="E405" s="82"/>
      <c r="F405" s="76" t="str">
        <f>VLOOKUP(C405,[2]Municipalities!$C$9:$F$1522,4,FALSE)</f>
        <v>Ntungamo Municipality</v>
      </c>
      <c r="G405" s="75" t="str">
        <f t="shared" si="18"/>
        <v>Ntungamo</v>
      </c>
      <c r="H405" s="86" t="s">
        <v>1475</v>
      </c>
    </row>
    <row r="406" spans="1:8" ht="25.5">
      <c r="A406" s="81">
        <v>1122</v>
      </c>
      <c r="B406" s="82" t="s">
        <v>38</v>
      </c>
      <c r="C406" s="83" t="s">
        <v>1145</v>
      </c>
      <c r="D406" s="86" t="s">
        <v>3160</v>
      </c>
      <c r="E406" s="82"/>
      <c r="F406" s="76" t="str">
        <f>VLOOKUP(C406,[2]Municipalities!$C$9:$F$1522,4,FALSE)</f>
        <v>Bushenyi-Ishaka Municipality</v>
      </c>
      <c r="G406" s="75" t="str">
        <f t="shared" si="18"/>
        <v>Bushenyi</v>
      </c>
      <c r="H406" s="86" t="s">
        <v>3160</v>
      </c>
    </row>
    <row r="407" spans="1:8">
      <c r="A407" s="81">
        <v>1220</v>
      </c>
      <c r="B407" s="82" t="s">
        <v>2097</v>
      </c>
      <c r="C407" s="82" t="s">
        <v>2098</v>
      </c>
      <c r="D407" s="82" t="s">
        <v>2100</v>
      </c>
      <c r="E407" s="82"/>
      <c r="F407" s="75" t="str">
        <f t="shared" ref="F407:F417" si="19">D407</f>
        <v>Chahi</v>
      </c>
      <c r="G407" s="75" t="str">
        <f t="shared" si="18"/>
        <v>Kisoro</v>
      </c>
      <c r="H407" s="82" t="s">
        <v>2100</v>
      </c>
    </row>
    <row r="408" spans="1:8">
      <c r="A408" s="81">
        <v>14</v>
      </c>
      <c r="B408" s="82" t="s">
        <v>945</v>
      </c>
      <c r="C408" s="82" t="s">
        <v>946</v>
      </c>
      <c r="D408" s="82" t="s">
        <v>953</v>
      </c>
      <c r="E408" s="82"/>
      <c r="F408" s="75" t="str">
        <f t="shared" si="19"/>
        <v>Chawente</v>
      </c>
      <c r="G408" s="75" t="str">
        <f t="shared" si="18"/>
        <v>Apac</v>
      </c>
      <c r="H408" s="82" t="s">
        <v>953</v>
      </c>
    </row>
    <row r="409" spans="1:8">
      <c r="A409" s="81">
        <v>18</v>
      </c>
      <c r="B409" s="82" t="s">
        <v>945</v>
      </c>
      <c r="C409" s="82" t="s">
        <v>950</v>
      </c>
      <c r="D409" s="82" t="s">
        <v>954</v>
      </c>
      <c r="E409" s="82"/>
      <c r="F409" s="75" t="str">
        <f t="shared" si="19"/>
        <v>Chegere</v>
      </c>
      <c r="G409" s="75" t="str">
        <f t="shared" si="18"/>
        <v>Apac</v>
      </c>
      <c r="H409" s="82" t="s">
        <v>954</v>
      </c>
    </row>
    <row r="410" spans="1:8">
      <c r="A410" s="81">
        <v>805</v>
      </c>
      <c r="B410" s="82" t="s">
        <v>2721</v>
      </c>
      <c r="C410" s="82" t="s">
        <v>2720</v>
      </c>
      <c r="D410" s="82" t="s">
        <v>2724</v>
      </c>
      <c r="E410" s="82"/>
      <c r="F410" s="75" t="str">
        <f t="shared" si="19"/>
        <v>Chelekura</v>
      </c>
      <c r="G410" s="75" t="str">
        <f t="shared" si="18"/>
        <v>Pallisa</v>
      </c>
      <c r="H410" s="82" t="s">
        <v>2724</v>
      </c>
    </row>
    <row r="411" spans="1:8">
      <c r="A411" s="81">
        <v>740</v>
      </c>
      <c r="B411" s="82" t="s">
        <v>1964</v>
      </c>
      <c r="C411" s="82" t="s">
        <v>1965</v>
      </c>
      <c r="D411" s="82" t="s">
        <v>1966</v>
      </c>
      <c r="E411" s="82"/>
      <c r="F411" s="75" t="str">
        <f t="shared" si="19"/>
        <v>Chema</v>
      </c>
      <c r="G411" s="75" t="str">
        <f t="shared" si="18"/>
        <v>Kapchorwa</v>
      </c>
      <c r="H411" s="82" t="s">
        <v>1966</v>
      </c>
    </row>
    <row r="412" spans="1:8">
      <c r="A412" s="81">
        <v>939</v>
      </c>
      <c r="B412" s="82" t="s">
        <v>1067</v>
      </c>
      <c r="C412" s="82" t="s">
        <v>1068</v>
      </c>
      <c r="D412" s="82" t="s">
        <v>1070</v>
      </c>
      <c r="E412" s="82"/>
      <c r="F412" s="75" t="str">
        <f t="shared" si="19"/>
        <v>Chepkwasta</v>
      </c>
      <c r="G412" s="75" t="str">
        <f t="shared" si="18"/>
        <v>Bukwo</v>
      </c>
      <c r="H412" s="82" t="s">
        <v>1070</v>
      </c>
    </row>
    <row r="413" spans="1:8">
      <c r="A413" s="81">
        <v>741</v>
      </c>
      <c r="B413" s="82" t="s">
        <v>1964</v>
      </c>
      <c r="C413" s="82" t="s">
        <v>1965</v>
      </c>
      <c r="D413" s="82" t="s">
        <v>1967</v>
      </c>
      <c r="E413" s="82"/>
      <c r="F413" s="75" t="str">
        <f t="shared" si="19"/>
        <v>Chepterech</v>
      </c>
      <c r="G413" s="75" t="str">
        <f t="shared" si="18"/>
        <v>Kapchorwa</v>
      </c>
      <c r="H413" s="82" t="s">
        <v>1967</v>
      </c>
    </row>
    <row r="414" spans="1:8">
      <c r="A414" s="81">
        <v>940</v>
      </c>
      <c r="B414" s="82" t="s">
        <v>1067</v>
      </c>
      <c r="C414" s="82" t="s">
        <v>1068</v>
      </c>
      <c r="D414" s="82" t="s">
        <v>1071</v>
      </c>
      <c r="E414" s="82"/>
      <c r="F414" s="75" t="str">
        <f t="shared" si="19"/>
        <v>Chesower</v>
      </c>
      <c r="G414" s="75" t="str">
        <f t="shared" si="18"/>
        <v>Bukwo</v>
      </c>
      <c r="H414" s="82" t="s">
        <v>1071</v>
      </c>
    </row>
    <row r="415" spans="1:8">
      <c r="A415" s="81">
        <v>4</v>
      </c>
      <c r="B415" s="82" t="s">
        <v>863</v>
      </c>
      <c r="C415" s="82" t="s">
        <v>864</v>
      </c>
      <c r="D415" s="82" t="s">
        <v>867</v>
      </c>
      <c r="E415" s="82"/>
      <c r="F415" s="75" t="str">
        <f t="shared" si="19"/>
        <v>Ciforo</v>
      </c>
      <c r="G415" s="75" t="str">
        <f t="shared" si="18"/>
        <v>Adjumani</v>
      </c>
      <c r="H415" s="82" t="s">
        <v>867</v>
      </c>
    </row>
    <row r="416" spans="1:8">
      <c r="A416" s="81">
        <v>689</v>
      </c>
      <c r="B416" s="82" t="s">
        <v>1156</v>
      </c>
      <c r="C416" s="82" t="s">
        <v>1157</v>
      </c>
      <c r="D416" s="82" t="s">
        <v>1165</v>
      </c>
      <c r="E416" s="82"/>
      <c r="F416" s="75" t="str">
        <f t="shared" si="19"/>
        <v>Dabani</v>
      </c>
      <c r="G416" s="75" t="str">
        <f t="shared" si="18"/>
        <v>Busia</v>
      </c>
      <c r="H416" s="82" t="s">
        <v>1165</v>
      </c>
    </row>
    <row r="417" spans="1:8">
      <c r="A417" s="81">
        <v>27</v>
      </c>
      <c r="B417" s="82" t="s">
        <v>959</v>
      </c>
      <c r="C417" s="82" t="s">
        <v>960</v>
      </c>
      <c r="D417" s="82" t="s">
        <v>972</v>
      </c>
      <c r="E417" s="82"/>
      <c r="F417" s="75" t="str">
        <f t="shared" si="19"/>
        <v>Dadamu</v>
      </c>
      <c r="G417" s="75" t="str">
        <f t="shared" si="18"/>
        <v>Arua</v>
      </c>
      <c r="H417" s="82" t="s">
        <v>972</v>
      </c>
    </row>
    <row r="418" spans="1:8">
      <c r="A418" s="81">
        <v>423</v>
      </c>
      <c r="B418" s="82" t="s">
        <v>2042</v>
      </c>
      <c r="C418" s="82" t="s">
        <v>2042</v>
      </c>
      <c r="D418" s="86" t="s">
        <v>3161</v>
      </c>
      <c r="E418" s="82"/>
      <c r="F418" s="75" t="str">
        <f t="shared" ref="F418:F419" si="20">D418&amp;"-"&amp;B418</f>
        <v>Ddwaniro-Kiboga</v>
      </c>
      <c r="G418" s="75" t="str">
        <f t="shared" si="18"/>
        <v>Kiboga</v>
      </c>
      <c r="H418" s="86" t="s">
        <v>3161</v>
      </c>
    </row>
    <row r="419" spans="1:8">
      <c r="A419" s="81">
        <v>507</v>
      </c>
      <c r="B419" s="82" t="s">
        <v>2733</v>
      </c>
      <c r="C419" s="82" t="s">
        <v>2220</v>
      </c>
      <c r="D419" s="86" t="s">
        <v>3161</v>
      </c>
      <c r="E419" s="82"/>
      <c r="F419" s="75" t="str">
        <f t="shared" si="20"/>
        <v>Ddwaniro-Rakai</v>
      </c>
      <c r="G419" s="75" t="str">
        <f t="shared" si="18"/>
        <v>Rakai</v>
      </c>
      <c r="H419" s="86" t="s">
        <v>3161</v>
      </c>
    </row>
    <row r="420" spans="1:8">
      <c r="A420" s="81">
        <v>101</v>
      </c>
      <c r="B420" s="82" t="s">
        <v>2449</v>
      </c>
      <c r="C420" s="82" t="s">
        <v>2452</v>
      </c>
      <c r="D420" s="82" t="s">
        <v>2451</v>
      </c>
      <c r="E420" s="82"/>
      <c r="F420" s="75" t="str">
        <f t="shared" ref="F420" si="21">D420</f>
        <v>Difule</v>
      </c>
      <c r="G420" s="75" t="str">
        <f t="shared" si="18"/>
        <v>Moyo</v>
      </c>
      <c r="H420" s="82" t="s">
        <v>2451</v>
      </c>
    </row>
    <row r="421" spans="1:8" ht="25.5">
      <c r="A421" s="81">
        <v>546</v>
      </c>
      <c r="B421" s="84" t="s">
        <v>2879</v>
      </c>
      <c r="C421" s="85" t="s">
        <v>2895</v>
      </c>
      <c r="D421" s="88" t="s">
        <v>3162</v>
      </c>
      <c r="E421" s="84"/>
      <c r="F421" s="76" t="str">
        <f>VLOOKUP(C421,[2]Municipalities!$C$9:$F$1522,4,FALSE)</f>
        <v>Entebbe Municipality</v>
      </c>
      <c r="G421" s="75" t="str">
        <f t="shared" si="18"/>
        <v>Wakiso</v>
      </c>
      <c r="H421" s="88" t="s">
        <v>3162</v>
      </c>
    </row>
    <row r="422" spans="1:8" ht="25.5">
      <c r="A422" s="81">
        <v>547</v>
      </c>
      <c r="B422" s="84" t="s">
        <v>2879</v>
      </c>
      <c r="C422" s="85" t="s">
        <v>2895</v>
      </c>
      <c r="D422" s="88" t="s">
        <v>3163</v>
      </c>
      <c r="E422" s="84"/>
      <c r="F422" s="76" t="s">
        <v>2894</v>
      </c>
      <c r="G422" s="75" t="str">
        <f t="shared" si="18"/>
        <v>Wakiso</v>
      </c>
      <c r="H422" s="88" t="s">
        <v>3163</v>
      </c>
    </row>
    <row r="423" spans="1:8">
      <c r="A423" s="81">
        <v>178</v>
      </c>
      <c r="B423" s="82" t="s">
        <v>1222</v>
      </c>
      <c r="C423" s="82" t="s">
        <v>1222</v>
      </c>
      <c r="D423" s="82" t="s">
        <v>1222</v>
      </c>
      <c r="E423" s="82"/>
      <c r="F423" s="75" t="str">
        <f t="shared" ref="F423:F427" si="22">D423</f>
        <v>Dokolo</v>
      </c>
      <c r="G423" s="75" t="str">
        <f t="shared" si="18"/>
        <v>Dokolo</v>
      </c>
      <c r="H423" s="82" t="s">
        <v>1222</v>
      </c>
    </row>
    <row r="424" spans="1:8">
      <c r="A424" s="81">
        <v>179</v>
      </c>
      <c r="B424" s="82" t="s">
        <v>1222</v>
      </c>
      <c r="C424" s="82" t="s">
        <v>1222</v>
      </c>
      <c r="D424" s="82" t="s">
        <v>1227</v>
      </c>
      <c r="E424" s="82"/>
      <c r="F424" s="75" t="str">
        <f t="shared" si="22"/>
        <v>Dokolo Tc</v>
      </c>
      <c r="G424" s="75" t="str">
        <f t="shared" si="18"/>
        <v>Dokolo</v>
      </c>
      <c r="H424" s="82" t="s">
        <v>1227</v>
      </c>
    </row>
    <row r="425" spans="1:8">
      <c r="A425" s="81">
        <v>140</v>
      </c>
      <c r="B425" s="82" t="s">
        <v>3072</v>
      </c>
      <c r="C425" s="82" t="s">
        <v>3073</v>
      </c>
      <c r="D425" s="82" t="s">
        <v>3075</v>
      </c>
      <c r="E425" s="82"/>
      <c r="F425" s="75" t="str">
        <f t="shared" si="22"/>
        <v>Drajini</v>
      </c>
      <c r="G425" s="75" t="str">
        <f t="shared" si="18"/>
        <v>Yumbe</v>
      </c>
      <c r="H425" s="82" t="s">
        <v>3075</v>
      </c>
    </row>
    <row r="426" spans="1:8">
      <c r="A426" s="81">
        <v>199</v>
      </c>
      <c r="B426" s="82" t="s">
        <v>2126</v>
      </c>
      <c r="C426" s="82" t="s">
        <v>2126</v>
      </c>
      <c r="D426" s="82" t="s">
        <v>2127</v>
      </c>
      <c r="E426" s="82"/>
      <c r="F426" s="75" t="str">
        <f t="shared" si="22"/>
        <v>Dranya</v>
      </c>
      <c r="G426" s="75" t="str">
        <f t="shared" si="18"/>
        <v>Koboko</v>
      </c>
      <c r="H426" s="82" t="s">
        <v>2127</v>
      </c>
    </row>
    <row r="427" spans="1:8">
      <c r="A427" s="81">
        <v>5</v>
      </c>
      <c r="B427" s="82" t="s">
        <v>863</v>
      </c>
      <c r="C427" s="82" t="s">
        <v>864</v>
      </c>
      <c r="D427" s="82" t="s">
        <v>868</v>
      </c>
      <c r="E427" s="82"/>
      <c r="F427" s="75" t="str">
        <f t="shared" si="22"/>
        <v>Dzaipi</v>
      </c>
      <c r="G427" s="75" t="str">
        <f t="shared" si="18"/>
        <v>Adjumani</v>
      </c>
      <c r="H427" s="82" t="s">
        <v>868</v>
      </c>
    </row>
    <row r="428" spans="1:8" ht="25.5">
      <c r="A428" s="81">
        <v>475</v>
      </c>
      <c r="B428" s="82" t="s">
        <v>2473</v>
      </c>
      <c r="C428" s="83" t="s">
        <v>2492</v>
      </c>
      <c r="D428" s="86" t="s">
        <v>3164</v>
      </c>
      <c r="E428" s="82"/>
      <c r="F428" s="76" t="str">
        <f>VLOOKUP(C428,[2]Municipalities!$C$9:$F$1522,4,FALSE)</f>
        <v>Mubende Municipality</v>
      </c>
      <c r="G428" s="75" t="str">
        <f t="shared" si="18"/>
        <v>Mubende</v>
      </c>
      <c r="H428" s="86" t="s">
        <v>3164</v>
      </c>
    </row>
    <row r="429" spans="1:8">
      <c r="A429" s="81">
        <v>669</v>
      </c>
      <c r="B429" s="82" t="s">
        <v>1020</v>
      </c>
      <c r="C429" s="83" t="s">
        <v>1022</v>
      </c>
      <c r="D429" s="86" t="s">
        <v>3164</v>
      </c>
      <c r="E429" s="82"/>
      <c r="F429" s="76" t="str">
        <f>VLOOKUP(C429,[2]Municipalities!$C$9:$F$1522,4,FALSE)</f>
        <v>Bugiri Municipality</v>
      </c>
      <c r="G429" s="75" t="str">
        <f t="shared" si="18"/>
        <v>Bugiri</v>
      </c>
      <c r="H429" s="86" t="s">
        <v>3164</v>
      </c>
    </row>
    <row r="430" spans="1:8">
      <c r="A430" s="81">
        <v>681</v>
      </c>
      <c r="B430" s="82" t="s">
        <v>1156</v>
      </c>
      <c r="C430" s="83" t="s">
        <v>1159</v>
      </c>
      <c r="D430" s="86" t="s">
        <v>3164</v>
      </c>
      <c r="E430" s="82"/>
      <c r="F430" s="83" t="s">
        <v>1159</v>
      </c>
      <c r="G430" s="75" t="str">
        <f t="shared" si="18"/>
        <v>Busia</v>
      </c>
      <c r="H430" s="86" t="s">
        <v>3164</v>
      </c>
    </row>
    <row r="431" spans="1:8" ht="25.5">
      <c r="A431" s="81">
        <v>751</v>
      </c>
      <c r="B431" s="82" t="s">
        <v>1964</v>
      </c>
      <c r="C431" s="83" t="s">
        <v>1970</v>
      </c>
      <c r="D431" s="86" t="s">
        <v>3164</v>
      </c>
      <c r="E431" s="82"/>
      <c r="F431" s="76" t="str">
        <f>VLOOKUP(C431,[2]Municipalities!$C$9:$F$1522,4,FALSE)</f>
        <v>Kapchorwa Municipality</v>
      </c>
      <c r="G431" s="75" t="str">
        <f t="shared" si="18"/>
        <v>Kapchorwa</v>
      </c>
      <c r="H431" s="86" t="s">
        <v>3164</v>
      </c>
    </row>
    <row r="432" spans="1:8">
      <c r="A432" s="81">
        <v>816</v>
      </c>
      <c r="B432" s="82" t="s">
        <v>2835</v>
      </c>
      <c r="C432" s="83" t="s">
        <v>2840</v>
      </c>
      <c r="D432" s="86" t="s">
        <v>3164</v>
      </c>
      <c r="E432" s="82"/>
      <c r="F432" s="76" t="str">
        <f>VLOOKUP(C432,[2]Municipalities!$C$9:$F$1522,4,FALSE)</f>
        <v>Soroti Municipality</v>
      </c>
      <c r="G432" s="75" t="str">
        <f t="shared" si="18"/>
        <v>Soroti</v>
      </c>
      <c r="H432" s="86" t="s">
        <v>3164</v>
      </c>
    </row>
    <row r="433" spans="1:8" ht="25.5">
      <c r="A433" s="81">
        <v>825</v>
      </c>
      <c r="B433" s="82" t="s">
        <v>2856</v>
      </c>
      <c r="C433" s="83" t="s">
        <v>2876</v>
      </c>
      <c r="D433" s="86" t="s">
        <v>3164</v>
      </c>
      <c r="E433" s="82"/>
      <c r="F433" s="76" t="str">
        <f>VLOOKUP(C433,[2]Municipalities!$C$9:$F$1522,4,FALSE)</f>
        <v>Tororo Municipality</v>
      </c>
      <c r="G433" s="75" t="str">
        <f t="shared" si="18"/>
        <v>Tororo</v>
      </c>
      <c r="H433" s="86" t="s">
        <v>3164</v>
      </c>
    </row>
    <row r="434" spans="1:8" ht="25.5">
      <c r="A434" s="81">
        <v>1175</v>
      </c>
      <c r="B434" s="82" t="s">
        <v>1367</v>
      </c>
      <c r="C434" s="83" t="s">
        <v>1370</v>
      </c>
      <c r="D434" s="86" t="s">
        <v>3164</v>
      </c>
      <c r="E434" s="82"/>
      <c r="F434" s="76" t="str">
        <f>VLOOKUP(C434,[2]Municipalities!$C$9:$F$1522,4,FALSE)</f>
        <v>Fort Portal Municipality</v>
      </c>
      <c r="G434" s="75" t="str">
        <f t="shared" si="18"/>
        <v>Kabarole</v>
      </c>
      <c r="H434" s="86" t="s">
        <v>3164</v>
      </c>
    </row>
    <row r="435" spans="1:8" ht="25.5">
      <c r="A435" s="81">
        <v>1268</v>
      </c>
      <c r="B435" s="82" t="s">
        <v>47</v>
      </c>
      <c r="C435" s="83" t="s">
        <v>2652</v>
      </c>
      <c r="D435" s="86" t="s">
        <v>3164</v>
      </c>
      <c r="E435" s="82"/>
      <c r="F435" s="76" t="str">
        <f>VLOOKUP(C435,[2]Municipalities!$C$9:$F$1522,4,FALSE)</f>
        <v>Ntungamo Municipality</v>
      </c>
      <c r="G435" s="75" t="str">
        <f t="shared" si="18"/>
        <v>Ntungamo</v>
      </c>
      <c r="H435" s="86" t="s">
        <v>3164</v>
      </c>
    </row>
    <row r="436" spans="1:8" ht="25.5">
      <c r="A436" s="81">
        <v>1294</v>
      </c>
      <c r="B436" s="82" t="s">
        <v>40</v>
      </c>
      <c r="C436" s="83" t="s">
        <v>2784</v>
      </c>
      <c r="D436" s="86" t="s">
        <v>3165</v>
      </c>
      <c r="E436" s="82"/>
      <c r="F436" s="76" t="str">
        <f>VLOOKUP(C436,[2]Municipalities!$C$9:$F$1522,4,FALSE)</f>
        <v>Rukungiri Municipality</v>
      </c>
      <c r="G436" s="75" t="str">
        <f t="shared" si="18"/>
        <v>Rukungiri</v>
      </c>
      <c r="H436" s="86" t="s">
        <v>3165</v>
      </c>
    </row>
    <row r="437" spans="1:8">
      <c r="A437" s="81">
        <v>1366</v>
      </c>
      <c r="B437" s="82" t="s">
        <v>48</v>
      </c>
      <c r="C437" s="82" t="s">
        <v>1299</v>
      </c>
      <c r="D437" s="82" t="s">
        <v>1298</v>
      </c>
      <c r="E437" s="82"/>
      <c r="F437" s="75" t="str">
        <f t="shared" ref="F437:F449" si="23">D437</f>
        <v>Endiinzi</v>
      </c>
      <c r="G437" s="75" t="str">
        <f t="shared" si="18"/>
        <v>Isingiro</v>
      </c>
      <c r="H437" s="82" t="s">
        <v>1298</v>
      </c>
    </row>
    <row r="438" spans="1:8">
      <c r="A438" s="81">
        <v>1373</v>
      </c>
      <c r="B438" s="82" t="s">
        <v>48</v>
      </c>
      <c r="C438" s="82" t="s">
        <v>1299</v>
      </c>
      <c r="D438" s="82" t="s">
        <v>1300</v>
      </c>
      <c r="E438" s="82"/>
      <c r="F438" s="75" t="str">
        <f t="shared" si="23"/>
        <v>Endiinzi Town Council</v>
      </c>
      <c r="G438" s="75" t="str">
        <f t="shared" si="18"/>
        <v>Isingiro</v>
      </c>
      <c r="H438" s="82" t="s">
        <v>1300</v>
      </c>
    </row>
    <row r="439" spans="1:8">
      <c r="A439" s="81">
        <v>1408</v>
      </c>
      <c r="B439" s="82" t="s">
        <v>1033</v>
      </c>
      <c r="C439" s="82" t="s">
        <v>1033</v>
      </c>
      <c r="D439" s="82" t="s">
        <v>1036</v>
      </c>
      <c r="E439" s="82"/>
      <c r="F439" s="75" t="str">
        <f t="shared" si="23"/>
        <v>Engaju</v>
      </c>
      <c r="G439" s="75" t="str">
        <f t="shared" si="18"/>
        <v>Buhweju</v>
      </c>
      <c r="H439" s="82" t="s">
        <v>1036</v>
      </c>
    </row>
    <row r="440" spans="1:8">
      <c r="A440" s="81">
        <v>1389</v>
      </c>
      <c r="B440" s="82" t="s">
        <v>2064</v>
      </c>
      <c r="C440" s="82" t="s">
        <v>2065</v>
      </c>
      <c r="D440" s="82" t="s">
        <v>2067</v>
      </c>
      <c r="E440" s="82"/>
      <c r="F440" s="75" t="str">
        <f t="shared" si="23"/>
        <v>Engari</v>
      </c>
      <c r="G440" s="75" t="str">
        <f t="shared" si="18"/>
        <v>Kiruhura</v>
      </c>
      <c r="H440" s="82" t="s">
        <v>2067</v>
      </c>
    </row>
    <row r="441" spans="1:8">
      <c r="A441" s="81">
        <v>112</v>
      </c>
      <c r="B441" s="82" t="s">
        <v>2616</v>
      </c>
      <c r="C441" s="82" t="s">
        <v>2617</v>
      </c>
      <c r="D441" s="82" t="s">
        <v>2619</v>
      </c>
      <c r="E441" s="82"/>
      <c r="F441" s="75" t="str">
        <f t="shared" si="23"/>
        <v>Erussi</v>
      </c>
      <c r="G441" s="75" t="str">
        <f t="shared" si="18"/>
        <v>Nebbi</v>
      </c>
      <c r="H441" s="82" t="s">
        <v>2619</v>
      </c>
    </row>
    <row r="442" spans="1:8">
      <c r="A442" s="81">
        <v>164</v>
      </c>
      <c r="B442" s="82" t="s">
        <v>903</v>
      </c>
      <c r="C442" s="82" t="s">
        <v>904</v>
      </c>
      <c r="D442" s="82" t="s">
        <v>911</v>
      </c>
      <c r="E442" s="82"/>
      <c r="F442" s="75" t="str">
        <f t="shared" si="23"/>
        <v>Etam</v>
      </c>
      <c r="G442" s="75" t="str">
        <f t="shared" si="18"/>
        <v>Amolatar</v>
      </c>
      <c r="H442" s="82" t="s">
        <v>911</v>
      </c>
    </row>
    <row r="443" spans="1:8">
      <c r="A443" s="81">
        <v>32</v>
      </c>
      <c r="B443" s="82" t="s">
        <v>959</v>
      </c>
      <c r="C443" s="82" t="s">
        <v>966</v>
      </c>
      <c r="D443" s="82" t="s">
        <v>973</v>
      </c>
      <c r="E443" s="82"/>
      <c r="F443" s="75" t="str">
        <f t="shared" si="23"/>
        <v>Ewanga</v>
      </c>
      <c r="G443" s="75" t="str">
        <f t="shared" si="18"/>
        <v>Arua</v>
      </c>
      <c r="H443" s="82" t="s">
        <v>973</v>
      </c>
    </row>
    <row r="444" spans="1:8">
      <c r="A444" s="81">
        <v>965</v>
      </c>
      <c r="B444" s="82" t="s">
        <v>1439</v>
      </c>
      <c r="C444" s="82" t="s">
        <v>1278</v>
      </c>
      <c r="D444" s="82" t="s">
        <v>1443</v>
      </c>
      <c r="E444" s="82"/>
      <c r="F444" s="75" t="str">
        <f t="shared" si="23"/>
        <v>Gadumire</v>
      </c>
      <c r="G444" s="75" t="str">
        <f t="shared" si="18"/>
        <v>Kaliro</v>
      </c>
      <c r="H444" s="82" t="s">
        <v>1443</v>
      </c>
    </row>
    <row r="445" spans="1:8">
      <c r="A445" s="81">
        <v>524</v>
      </c>
      <c r="B445" s="82" t="s">
        <v>2017</v>
      </c>
      <c r="C445" s="82" t="s">
        <v>2016</v>
      </c>
      <c r="D445" s="82" t="s">
        <v>2020</v>
      </c>
      <c r="E445" s="82"/>
      <c r="F445" s="75" t="str">
        <f t="shared" si="23"/>
        <v>Galiraya</v>
      </c>
      <c r="G445" s="75" t="str">
        <f t="shared" si="18"/>
        <v>Kayunga</v>
      </c>
      <c r="H445" s="82" t="s">
        <v>2020</v>
      </c>
    </row>
    <row r="446" spans="1:8">
      <c r="A446" s="81">
        <v>742</v>
      </c>
      <c r="B446" s="82" t="s">
        <v>1964</v>
      </c>
      <c r="C446" s="82" t="s">
        <v>1965</v>
      </c>
      <c r="D446" s="82" t="s">
        <v>1968</v>
      </c>
      <c r="E446" s="82"/>
      <c r="F446" s="75" t="str">
        <f t="shared" si="23"/>
        <v>Gamogo</v>
      </c>
      <c r="G446" s="75" t="str">
        <f t="shared" si="18"/>
        <v>Kapchorwa</v>
      </c>
      <c r="H446" s="82" t="s">
        <v>1968</v>
      </c>
    </row>
    <row r="447" spans="1:8">
      <c r="A447" s="81">
        <v>641</v>
      </c>
      <c r="B447" s="82" t="s">
        <v>2169</v>
      </c>
      <c r="C447" s="82" t="s">
        <v>2042</v>
      </c>
      <c r="D447" s="82" t="s">
        <v>2173</v>
      </c>
      <c r="E447" s="82"/>
      <c r="F447" s="75" t="str">
        <f t="shared" si="23"/>
        <v>Gayaza</v>
      </c>
      <c r="G447" s="75" t="str">
        <f t="shared" si="18"/>
        <v>Kyankwanzi</v>
      </c>
      <c r="H447" s="82" t="s">
        <v>2173</v>
      </c>
    </row>
    <row r="448" spans="1:8">
      <c r="A448" s="81">
        <v>99</v>
      </c>
      <c r="B448" s="82" t="s">
        <v>2449</v>
      </c>
      <c r="C448" s="82" t="s">
        <v>2450</v>
      </c>
      <c r="D448" s="82" t="s">
        <v>2453</v>
      </c>
      <c r="E448" s="82"/>
      <c r="F448" s="75" t="str">
        <f t="shared" si="23"/>
        <v>Gimara</v>
      </c>
      <c r="G448" s="75" t="str">
        <f t="shared" si="18"/>
        <v>Moyo</v>
      </c>
      <c r="H448" s="82" t="s">
        <v>2453</v>
      </c>
    </row>
    <row r="449" spans="1:8">
      <c r="A449" s="81">
        <v>806</v>
      </c>
      <c r="B449" s="82" t="s">
        <v>2721</v>
      </c>
      <c r="C449" s="82" t="s">
        <v>2720</v>
      </c>
      <c r="D449" s="82" t="s">
        <v>2725</v>
      </c>
      <c r="E449" s="82"/>
      <c r="F449" s="75" t="str">
        <f t="shared" si="23"/>
        <v>Gogonyo</v>
      </c>
      <c r="G449" s="75" t="str">
        <f t="shared" si="18"/>
        <v>Pallisa</v>
      </c>
      <c r="H449" s="82" t="s">
        <v>2725</v>
      </c>
    </row>
    <row r="450" spans="1:8" ht="25.5">
      <c r="A450" s="81">
        <v>486</v>
      </c>
      <c r="B450" s="82" t="s">
        <v>2500</v>
      </c>
      <c r="C450" s="83" t="s">
        <v>2507</v>
      </c>
      <c r="D450" s="82" t="s">
        <v>3166</v>
      </c>
      <c r="E450" s="82"/>
      <c r="F450" s="76" t="str">
        <f>VLOOKUP(C450,[2]Municipalities!$C$9:$F$1522,4,FALSE)</f>
        <v>Mukono Municipality</v>
      </c>
      <c r="G450" s="75" t="str">
        <f t="shared" si="18"/>
        <v>Mukono</v>
      </c>
      <c r="H450" s="82" t="s">
        <v>3166</v>
      </c>
    </row>
    <row r="451" spans="1:8" ht="25.5">
      <c r="A451" s="81">
        <v>556</v>
      </c>
      <c r="B451" s="82" t="s">
        <v>2879</v>
      </c>
      <c r="C451" s="83" t="s">
        <v>2884</v>
      </c>
      <c r="D451" s="82" t="s">
        <v>3167</v>
      </c>
      <c r="E451" s="82"/>
      <c r="F451" s="76" t="s">
        <v>2907</v>
      </c>
      <c r="G451" s="75" t="str">
        <f t="shared" si="18"/>
        <v>Wakiso</v>
      </c>
      <c r="H451" s="82" t="s">
        <v>3167</v>
      </c>
    </row>
    <row r="452" spans="1:8">
      <c r="A452" s="81">
        <v>613</v>
      </c>
      <c r="B452" s="82" t="s">
        <v>1187</v>
      </c>
      <c r="C452" s="82" t="s">
        <v>1187</v>
      </c>
      <c r="D452" s="82" t="s">
        <v>1189</v>
      </c>
      <c r="E452" s="82"/>
      <c r="F452" s="75" t="str">
        <f t="shared" ref="F452:F515" si="24">D452</f>
        <v>Gombe Town Council</v>
      </c>
      <c r="G452" s="75" t="str">
        <f t="shared" si="18"/>
        <v>Butambala</v>
      </c>
      <c r="H452" s="82" t="s">
        <v>1189</v>
      </c>
    </row>
    <row r="453" spans="1:8">
      <c r="A453" s="81">
        <v>814</v>
      </c>
      <c r="B453" s="82" t="s">
        <v>2835</v>
      </c>
      <c r="C453" s="82" t="s">
        <v>2835</v>
      </c>
      <c r="D453" s="82" t="s">
        <v>2837</v>
      </c>
      <c r="E453" s="82"/>
      <c r="F453" s="75" t="str">
        <f t="shared" si="24"/>
        <v>Gweri</v>
      </c>
      <c r="G453" s="75" t="str">
        <f t="shared" si="18"/>
        <v>Soroti</v>
      </c>
      <c r="H453" s="82" t="s">
        <v>2837</v>
      </c>
    </row>
    <row r="454" spans="1:8">
      <c r="A454" s="81">
        <v>1164</v>
      </c>
      <c r="B454" s="82" t="s">
        <v>1367</v>
      </c>
      <c r="C454" s="82" t="s">
        <v>1368</v>
      </c>
      <c r="D454" s="82" t="s">
        <v>1374</v>
      </c>
      <c r="E454" s="82"/>
      <c r="F454" s="75" t="str">
        <f t="shared" si="24"/>
        <v>Hakibaale</v>
      </c>
      <c r="G454" s="75" t="str">
        <f t="shared" si="18"/>
        <v>Kabarole</v>
      </c>
      <c r="H454" s="82" t="s">
        <v>1374</v>
      </c>
    </row>
    <row r="455" spans="1:8">
      <c r="A455" s="81">
        <v>1508</v>
      </c>
      <c r="B455" s="82" t="s">
        <v>2746</v>
      </c>
      <c r="C455" s="82" t="s">
        <v>2746</v>
      </c>
      <c r="D455" s="82" t="s">
        <v>2748</v>
      </c>
      <c r="E455" s="82"/>
      <c r="F455" s="75" t="str">
        <f t="shared" si="24"/>
        <v>Hamurwa</v>
      </c>
      <c r="G455" s="75" t="str">
        <f t="shared" si="18"/>
        <v>Rubanda</v>
      </c>
      <c r="H455" s="82" t="s">
        <v>2748</v>
      </c>
    </row>
    <row r="456" spans="1:8">
      <c r="A456" s="81">
        <v>1509</v>
      </c>
      <c r="B456" s="82" t="s">
        <v>2746</v>
      </c>
      <c r="C456" s="82" t="s">
        <v>2746</v>
      </c>
      <c r="D456" s="82" t="s">
        <v>2749</v>
      </c>
      <c r="E456" s="82"/>
      <c r="F456" s="75" t="str">
        <f t="shared" si="24"/>
        <v>Hamurwa Town Council</v>
      </c>
      <c r="G456" s="75" t="str">
        <f t="shared" si="18"/>
        <v>Rubanda</v>
      </c>
      <c r="H456" s="82" t="s">
        <v>2749</v>
      </c>
    </row>
    <row r="457" spans="1:8">
      <c r="A457" s="81">
        <v>1421</v>
      </c>
      <c r="B457" s="82" t="s">
        <v>2187</v>
      </c>
      <c r="C457" s="82" t="s">
        <v>2188</v>
      </c>
      <c r="D457" s="82" t="s">
        <v>2186</v>
      </c>
      <c r="E457" s="82"/>
      <c r="F457" s="75" t="str">
        <f t="shared" si="24"/>
        <v>Hapuuyo</v>
      </c>
      <c r="G457" s="75" t="str">
        <f t="shared" si="18"/>
        <v>Kyegegwa</v>
      </c>
      <c r="H457" s="82" t="s">
        <v>2186</v>
      </c>
    </row>
    <row r="458" spans="1:8">
      <c r="A458" s="81">
        <v>1103</v>
      </c>
      <c r="B458" s="82" t="s">
        <v>1108</v>
      </c>
      <c r="C458" s="82" t="s">
        <v>1112</v>
      </c>
      <c r="D458" s="82" t="s">
        <v>1117</v>
      </c>
      <c r="E458" s="82"/>
      <c r="F458" s="75" t="str">
        <f t="shared" si="24"/>
        <v>Harugale</v>
      </c>
      <c r="G458" s="75" t="str">
        <f t="shared" ref="G458:G521" si="25">B458</f>
        <v>Bundibugyo</v>
      </c>
      <c r="H458" s="82" t="s">
        <v>1117</v>
      </c>
    </row>
    <row r="459" spans="1:8">
      <c r="A459" s="81">
        <v>1195</v>
      </c>
      <c r="B459" s="82" t="s">
        <v>36</v>
      </c>
      <c r="C459" s="82" t="s">
        <v>1978</v>
      </c>
      <c r="D459" s="82" t="s">
        <v>1981</v>
      </c>
      <c r="E459" s="82"/>
      <c r="F459" s="75" t="str">
        <f t="shared" si="24"/>
        <v>Hima Town Council</v>
      </c>
      <c r="G459" s="75" t="str">
        <f t="shared" si="25"/>
        <v>Kasese</v>
      </c>
      <c r="H459" s="82" t="s">
        <v>1981</v>
      </c>
    </row>
    <row r="460" spans="1:8">
      <c r="A460" s="81">
        <v>956</v>
      </c>
      <c r="B460" s="82" t="s">
        <v>1174</v>
      </c>
      <c r="C460" s="82" t="s">
        <v>1175</v>
      </c>
      <c r="D460" s="82" t="s">
        <v>1181</v>
      </c>
      <c r="E460" s="82"/>
      <c r="F460" s="75" t="str">
        <f t="shared" si="24"/>
        <v>Himutu</v>
      </c>
      <c r="G460" s="75" t="str">
        <f t="shared" si="25"/>
        <v>Butaleja</v>
      </c>
      <c r="H460" s="82" t="s">
        <v>1181</v>
      </c>
    </row>
    <row r="461" spans="1:8">
      <c r="A461" s="81">
        <v>1127</v>
      </c>
      <c r="B461" s="82" t="s">
        <v>38</v>
      </c>
      <c r="C461" s="82" t="s">
        <v>1143</v>
      </c>
      <c r="D461" s="82" t="s">
        <v>1148</v>
      </c>
      <c r="E461" s="82"/>
      <c r="F461" s="75" t="str">
        <f t="shared" si="24"/>
        <v>Ibaare</v>
      </c>
      <c r="G461" s="75" t="str">
        <f t="shared" si="25"/>
        <v>Bushenyi</v>
      </c>
      <c r="H461" s="82" t="s">
        <v>1148</v>
      </c>
    </row>
    <row r="462" spans="1:8">
      <c r="A462" s="81">
        <v>19</v>
      </c>
      <c r="B462" s="82" t="s">
        <v>945</v>
      </c>
      <c r="C462" s="82" t="s">
        <v>950</v>
      </c>
      <c r="D462" s="82" t="s">
        <v>955</v>
      </c>
      <c r="E462" s="82"/>
      <c r="F462" s="75" t="str">
        <f t="shared" si="24"/>
        <v>Ibuje</v>
      </c>
      <c r="G462" s="75" t="str">
        <f t="shared" si="25"/>
        <v>Apac</v>
      </c>
      <c r="H462" s="82" t="s">
        <v>955</v>
      </c>
    </row>
    <row r="463" spans="1:8">
      <c r="A463" s="81">
        <v>699</v>
      </c>
      <c r="B463" s="82" t="s">
        <v>1279</v>
      </c>
      <c r="C463" s="82" t="s">
        <v>1282</v>
      </c>
      <c r="D463" s="82" t="s">
        <v>1284</v>
      </c>
      <c r="E463" s="82"/>
      <c r="F463" s="75" t="str">
        <f t="shared" si="24"/>
        <v>Ibulanku</v>
      </c>
      <c r="G463" s="75" t="str">
        <f t="shared" si="25"/>
        <v>Iganga</v>
      </c>
      <c r="H463" s="82" t="s">
        <v>1284</v>
      </c>
    </row>
    <row r="464" spans="1:8">
      <c r="A464" s="81">
        <v>219</v>
      </c>
      <c r="B464" s="82" t="s">
        <v>2686</v>
      </c>
      <c r="C464" s="82" t="s">
        <v>2686</v>
      </c>
      <c r="D464" s="82" t="s">
        <v>2690</v>
      </c>
      <c r="E464" s="82"/>
      <c r="F464" s="75" t="str">
        <f t="shared" si="24"/>
        <v>Iceme</v>
      </c>
      <c r="G464" s="75" t="str">
        <f t="shared" si="25"/>
        <v>Oyam</v>
      </c>
      <c r="H464" s="82" t="s">
        <v>2690</v>
      </c>
    </row>
    <row r="465" spans="1:8">
      <c r="A465" s="81">
        <v>700</v>
      </c>
      <c r="B465" s="82" t="s">
        <v>1279</v>
      </c>
      <c r="C465" s="82" t="s">
        <v>1282</v>
      </c>
      <c r="D465" s="82" t="s">
        <v>1287</v>
      </c>
      <c r="E465" s="82"/>
      <c r="F465" s="75" t="str">
        <f t="shared" si="24"/>
        <v>Igombe</v>
      </c>
      <c r="G465" s="75" t="str">
        <f t="shared" si="25"/>
        <v>Iganga</v>
      </c>
      <c r="H465" s="82" t="s">
        <v>1287</v>
      </c>
    </row>
    <row r="466" spans="1:8">
      <c r="A466" s="81">
        <v>1353</v>
      </c>
      <c r="B466" s="82" t="s">
        <v>43</v>
      </c>
      <c r="C466" s="82" t="s">
        <v>43</v>
      </c>
      <c r="D466" s="82" t="s">
        <v>1267</v>
      </c>
      <c r="E466" s="82"/>
      <c r="F466" s="75" t="str">
        <f t="shared" si="24"/>
        <v>Igorora Town Council</v>
      </c>
      <c r="G466" s="75" t="str">
        <f t="shared" si="25"/>
        <v>Ibanda</v>
      </c>
      <c r="H466" s="82" t="s">
        <v>1267</v>
      </c>
    </row>
    <row r="467" spans="1:8">
      <c r="A467" s="81">
        <v>1179</v>
      </c>
      <c r="B467" s="82" t="s">
        <v>36</v>
      </c>
      <c r="C467" s="82" t="s">
        <v>1111</v>
      </c>
      <c r="D467" s="82" t="s">
        <v>1982</v>
      </c>
      <c r="E467" s="82"/>
      <c r="F467" s="75" t="str">
        <f t="shared" si="24"/>
        <v>Ihandiro</v>
      </c>
      <c r="G467" s="75" t="str">
        <f t="shared" si="25"/>
        <v>Kasese</v>
      </c>
      <c r="H467" s="82" t="s">
        <v>1982</v>
      </c>
    </row>
    <row r="468" spans="1:8">
      <c r="A468" s="81">
        <v>1262</v>
      </c>
      <c r="B468" s="82" t="s">
        <v>47</v>
      </c>
      <c r="C468" s="82" t="s">
        <v>2642</v>
      </c>
      <c r="D468" s="82" t="s">
        <v>2643</v>
      </c>
      <c r="E468" s="82"/>
      <c r="F468" s="75" t="str">
        <f t="shared" si="24"/>
        <v>Ihunga</v>
      </c>
      <c r="G468" s="75" t="str">
        <f t="shared" si="25"/>
        <v>Ntungamo</v>
      </c>
      <c r="H468" s="82" t="s">
        <v>2643</v>
      </c>
    </row>
    <row r="469" spans="1:8">
      <c r="A469" s="81">
        <v>910</v>
      </c>
      <c r="B469" s="82" t="s">
        <v>989</v>
      </c>
      <c r="C469" s="82" t="s">
        <v>991</v>
      </c>
      <c r="D469" s="82" t="s">
        <v>991</v>
      </c>
      <c r="E469" s="82"/>
      <c r="F469" s="75" t="str">
        <f t="shared" si="24"/>
        <v>Iki-Iki</v>
      </c>
      <c r="G469" s="75" t="str">
        <f t="shared" si="25"/>
        <v>Budaka</v>
      </c>
      <c r="H469" s="82" t="s">
        <v>991</v>
      </c>
    </row>
    <row r="470" spans="1:8">
      <c r="A470" s="81">
        <v>1510</v>
      </c>
      <c r="B470" s="82" t="s">
        <v>2746</v>
      </c>
      <c r="C470" s="82" t="s">
        <v>2746</v>
      </c>
      <c r="D470" s="82" t="s">
        <v>2750</v>
      </c>
      <c r="E470" s="82"/>
      <c r="F470" s="75" t="str">
        <f t="shared" si="24"/>
        <v>Ikumba</v>
      </c>
      <c r="G470" s="75" t="str">
        <f t="shared" si="25"/>
        <v>Rubanda</v>
      </c>
      <c r="H470" s="82" t="s">
        <v>2750</v>
      </c>
    </row>
    <row r="471" spans="1:8">
      <c r="A471" s="81">
        <v>1049</v>
      </c>
      <c r="B471" s="82" t="s">
        <v>2246</v>
      </c>
      <c r="C471" s="82" t="s">
        <v>2246</v>
      </c>
      <c r="D471" s="82" t="s">
        <v>2249</v>
      </c>
      <c r="E471" s="82"/>
      <c r="F471" s="75" t="str">
        <f t="shared" si="24"/>
        <v>Ikumbya</v>
      </c>
      <c r="G471" s="75" t="str">
        <f t="shared" si="25"/>
        <v>Luuka</v>
      </c>
      <c r="H471" s="82" t="s">
        <v>2249</v>
      </c>
    </row>
    <row r="472" spans="1:8">
      <c r="A472" s="81">
        <v>856</v>
      </c>
      <c r="B472" s="82" t="s">
        <v>2346</v>
      </c>
      <c r="C472" s="82" t="s">
        <v>2347</v>
      </c>
      <c r="D472" s="82" t="s">
        <v>2352</v>
      </c>
      <c r="E472" s="82"/>
      <c r="F472" s="75" t="str">
        <f t="shared" si="24"/>
        <v>Imanyiro</v>
      </c>
      <c r="G472" s="75" t="str">
        <f t="shared" si="25"/>
        <v>Mayuge</v>
      </c>
      <c r="H472" s="82" t="s">
        <v>2352</v>
      </c>
    </row>
    <row r="473" spans="1:8" ht="25.5">
      <c r="A473" s="81">
        <v>793</v>
      </c>
      <c r="B473" s="84" t="s">
        <v>2362</v>
      </c>
      <c r="C473" s="85" t="s">
        <v>2378</v>
      </c>
      <c r="D473" s="84" t="s">
        <v>3168</v>
      </c>
      <c r="E473" s="84"/>
      <c r="F473" s="76" t="str">
        <f>VLOOKUP(C473,[2]Municipalities!$C$9:$F$1522,4,FALSE)</f>
        <v>Mbale Municipality</v>
      </c>
      <c r="G473" s="75" t="str">
        <f t="shared" si="25"/>
        <v>Mbale</v>
      </c>
      <c r="H473" s="84" t="s">
        <v>3168</v>
      </c>
    </row>
    <row r="474" spans="1:8">
      <c r="A474" s="81">
        <v>15</v>
      </c>
      <c r="B474" s="82" t="s">
        <v>945</v>
      </c>
      <c r="C474" s="82" t="s">
        <v>946</v>
      </c>
      <c r="D474" s="82" t="s">
        <v>956</v>
      </c>
      <c r="E474" s="82"/>
      <c r="F474" s="75" t="str">
        <f t="shared" si="24"/>
        <v>Inomo</v>
      </c>
      <c r="G474" s="75" t="str">
        <f t="shared" si="25"/>
        <v>Apac</v>
      </c>
      <c r="H474" s="82" t="s">
        <v>956</v>
      </c>
    </row>
    <row r="475" spans="1:8">
      <c r="A475" s="81">
        <v>274</v>
      </c>
      <c r="B475" s="82" t="s">
        <v>2606</v>
      </c>
      <c r="C475" s="82" t="s">
        <v>2607</v>
      </c>
      <c r="D475" s="82" t="s">
        <v>2605</v>
      </c>
      <c r="E475" s="82"/>
      <c r="F475" s="75" t="str">
        <f t="shared" si="24"/>
        <v>Iriiri</v>
      </c>
      <c r="G475" s="75" t="str">
        <f t="shared" si="25"/>
        <v>Napak</v>
      </c>
      <c r="H475" s="82" t="s">
        <v>2605</v>
      </c>
    </row>
    <row r="476" spans="1:8">
      <c r="A476" s="81">
        <v>1050</v>
      </c>
      <c r="B476" s="82" t="s">
        <v>2246</v>
      </c>
      <c r="C476" s="82" t="s">
        <v>2246</v>
      </c>
      <c r="D476" s="82" t="s">
        <v>2250</v>
      </c>
      <c r="E476" s="82"/>
      <c r="F476" s="75" t="str">
        <f t="shared" si="24"/>
        <v>Irongo</v>
      </c>
      <c r="G476" s="75" t="str">
        <f t="shared" si="25"/>
        <v>Luuka</v>
      </c>
      <c r="H476" s="82" t="s">
        <v>2250</v>
      </c>
    </row>
    <row r="477" spans="1:8">
      <c r="A477" s="81">
        <v>1180</v>
      </c>
      <c r="B477" s="82" t="s">
        <v>36</v>
      </c>
      <c r="C477" s="82" t="s">
        <v>1111</v>
      </c>
      <c r="D477" s="82" t="s">
        <v>1983</v>
      </c>
      <c r="E477" s="82"/>
      <c r="F477" s="75" t="str">
        <f t="shared" si="24"/>
        <v>Isango</v>
      </c>
      <c r="G477" s="75" t="str">
        <f t="shared" si="25"/>
        <v>Kasese</v>
      </c>
      <c r="H477" s="82" t="s">
        <v>1983</v>
      </c>
    </row>
    <row r="478" spans="1:8" ht="25.5">
      <c r="A478" s="81">
        <v>1123</v>
      </c>
      <c r="B478" s="82" t="s">
        <v>38</v>
      </c>
      <c r="C478" s="83" t="s">
        <v>1145</v>
      </c>
      <c r="D478" s="82" t="s">
        <v>3169</v>
      </c>
      <c r="E478" s="82"/>
      <c r="F478" s="76" t="str">
        <f>VLOOKUP(C478,[2]Municipalities!$C$9:$F$1522,4,FALSE)</f>
        <v>Bushenyi-Ishaka Municipality</v>
      </c>
      <c r="G478" s="75" t="str">
        <f t="shared" si="25"/>
        <v>Bushenyi</v>
      </c>
      <c r="H478" s="82" t="s">
        <v>3169</v>
      </c>
    </row>
    <row r="479" spans="1:8">
      <c r="A479" s="81">
        <v>1354</v>
      </c>
      <c r="B479" s="82" t="s">
        <v>43</v>
      </c>
      <c r="C479" s="82" t="s">
        <v>43</v>
      </c>
      <c r="D479" s="82" t="s">
        <v>1268</v>
      </c>
      <c r="E479" s="82"/>
      <c r="F479" s="75" t="str">
        <f t="shared" si="24"/>
        <v>Ishongororo</v>
      </c>
      <c r="G479" s="75" t="str">
        <f t="shared" si="25"/>
        <v>Ibanda</v>
      </c>
      <c r="H479" s="82" t="s">
        <v>1268</v>
      </c>
    </row>
    <row r="480" spans="1:8">
      <c r="A480" s="81">
        <v>1355</v>
      </c>
      <c r="B480" s="82" t="s">
        <v>43</v>
      </c>
      <c r="C480" s="82" t="s">
        <v>43</v>
      </c>
      <c r="D480" s="82" t="s">
        <v>1269</v>
      </c>
      <c r="E480" s="82"/>
      <c r="F480" s="75" t="str">
        <f t="shared" si="24"/>
        <v>Ishongororo Town Council</v>
      </c>
      <c r="G480" s="75" t="str">
        <f t="shared" si="25"/>
        <v>Ibanda</v>
      </c>
      <c r="H480" s="82" t="s">
        <v>1269</v>
      </c>
    </row>
    <row r="481" spans="1:8">
      <c r="A481" s="81">
        <v>1376</v>
      </c>
      <c r="B481" s="82" t="s">
        <v>48</v>
      </c>
      <c r="C481" s="82" t="s">
        <v>48</v>
      </c>
      <c r="D481" s="82" t="s">
        <v>1301</v>
      </c>
      <c r="E481" s="82"/>
      <c r="F481" s="75" t="str">
        <f t="shared" si="24"/>
        <v>Isingiro Town Council</v>
      </c>
      <c r="G481" s="75" t="str">
        <f t="shared" si="25"/>
        <v>Isingiro</v>
      </c>
      <c r="H481" s="82" t="s">
        <v>1301</v>
      </c>
    </row>
    <row r="482" spans="1:8">
      <c r="A482" s="81">
        <v>6</v>
      </c>
      <c r="B482" s="82" t="s">
        <v>863</v>
      </c>
      <c r="C482" s="82" t="s">
        <v>864</v>
      </c>
      <c r="D482" s="82" t="s">
        <v>869</v>
      </c>
      <c r="E482" s="82"/>
      <c r="F482" s="75" t="str">
        <f t="shared" si="24"/>
        <v>Itirikwa</v>
      </c>
      <c r="G482" s="75" t="str">
        <f t="shared" si="25"/>
        <v>Adjumani</v>
      </c>
      <c r="H482" s="82" t="s">
        <v>869</v>
      </c>
    </row>
    <row r="483" spans="1:8">
      <c r="A483" s="81">
        <v>1270</v>
      </c>
      <c r="B483" s="82" t="s">
        <v>47</v>
      </c>
      <c r="C483" s="82" t="s">
        <v>2645</v>
      </c>
      <c r="D483" s="82" t="s">
        <v>2644</v>
      </c>
      <c r="E483" s="82"/>
      <c r="F483" s="75" t="str">
        <f t="shared" si="24"/>
        <v>Itojo</v>
      </c>
      <c r="G483" s="75" t="str">
        <f t="shared" si="25"/>
        <v>Ntungamo</v>
      </c>
      <c r="H483" s="82" t="s">
        <v>2644</v>
      </c>
    </row>
    <row r="484" spans="1:8">
      <c r="A484" s="81">
        <v>100</v>
      </c>
      <c r="B484" s="82" t="s">
        <v>2449</v>
      </c>
      <c r="C484" s="82" t="s">
        <v>2450</v>
      </c>
      <c r="D484" s="82" t="s">
        <v>2454</v>
      </c>
      <c r="E484" s="82"/>
      <c r="F484" s="75" t="str">
        <f t="shared" si="24"/>
        <v>Itula</v>
      </c>
      <c r="G484" s="75" t="str">
        <f t="shared" si="25"/>
        <v>Moyo</v>
      </c>
      <c r="H484" s="82" t="s">
        <v>2454</v>
      </c>
    </row>
    <row r="485" spans="1:8">
      <c r="A485" s="81">
        <v>991</v>
      </c>
      <c r="B485" s="82" t="s">
        <v>2597</v>
      </c>
      <c r="C485" s="82" t="s">
        <v>2598</v>
      </c>
      <c r="D485" s="82" t="s">
        <v>2599</v>
      </c>
      <c r="E485" s="82"/>
      <c r="F485" s="75" t="str">
        <f t="shared" si="24"/>
        <v>Ivukula</v>
      </c>
      <c r="G485" s="75" t="str">
        <f t="shared" si="25"/>
        <v>Namutumba</v>
      </c>
      <c r="H485" s="82" t="s">
        <v>2599</v>
      </c>
    </row>
    <row r="486" spans="1:8">
      <c r="A486" s="81">
        <v>676</v>
      </c>
      <c r="B486" s="82" t="s">
        <v>1020</v>
      </c>
      <c r="C486" s="82" t="s">
        <v>1021</v>
      </c>
      <c r="D486" s="82" t="s">
        <v>1027</v>
      </c>
      <c r="E486" s="82"/>
      <c r="F486" s="75" t="str">
        <f t="shared" si="24"/>
        <v>Iwemba</v>
      </c>
      <c r="G486" s="75" t="str">
        <f t="shared" si="25"/>
        <v>Bugiri</v>
      </c>
      <c r="H486" s="82" t="s">
        <v>1027</v>
      </c>
    </row>
    <row r="487" spans="1:8">
      <c r="A487" s="81">
        <v>827</v>
      </c>
      <c r="B487" s="82" t="s">
        <v>2856</v>
      </c>
      <c r="C487" s="82" t="s">
        <v>2857</v>
      </c>
      <c r="D487" s="82" t="s">
        <v>2855</v>
      </c>
      <c r="E487" s="82"/>
      <c r="F487" s="75" t="str">
        <f t="shared" si="24"/>
        <v>Iyolwa</v>
      </c>
      <c r="G487" s="75" t="str">
        <f t="shared" si="25"/>
        <v>Tororo</v>
      </c>
      <c r="H487" s="82" t="s">
        <v>2855</v>
      </c>
    </row>
    <row r="488" spans="1:8">
      <c r="A488" s="81">
        <v>857</v>
      </c>
      <c r="B488" s="82" t="s">
        <v>2346</v>
      </c>
      <c r="C488" s="82" t="s">
        <v>2347</v>
      </c>
      <c r="D488" s="82" t="s">
        <v>2353</v>
      </c>
      <c r="E488" s="82"/>
      <c r="F488" s="75" t="str">
        <f t="shared" si="24"/>
        <v>Jaguzi</v>
      </c>
      <c r="G488" s="75" t="str">
        <f t="shared" si="25"/>
        <v>Mayuge</v>
      </c>
      <c r="H488" s="82" t="s">
        <v>2353</v>
      </c>
    </row>
    <row r="489" spans="1:8">
      <c r="A489" s="81">
        <v>297</v>
      </c>
      <c r="B489" s="82" t="s">
        <v>3087</v>
      </c>
      <c r="C489" s="82" t="s">
        <v>3088</v>
      </c>
      <c r="D489" s="82" t="s">
        <v>3090</v>
      </c>
      <c r="E489" s="82"/>
      <c r="F489" s="75" t="str">
        <f t="shared" si="24"/>
        <v>Jangokoro</v>
      </c>
      <c r="G489" s="75" t="str">
        <f t="shared" si="25"/>
        <v>Zombo</v>
      </c>
      <c r="H489" s="82" t="s">
        <v>3090</v>
      </c>
    </row>
    <row r="490" spans="1:8">
      <c r="A490" s="81">
        <v>184</v>
      </c>
      <c r="B490" s="82" t="s">
        <v>1337</v>
      </c>
      <c r="C490" s="82" t="s">
        <v>1338</v>
      </c>
      <c r="D490" s="82" t="s">
        <v>1336</v>
      </c>
      <c r="E490" s="82"/>
      <c r="F490" s="75" t="str">
        <f t="shared" si="24"/>
        <v>Kaabong East</v>
      </c>
      <c r="G490" s="75" t="str">
        <f t="shared" si="25"/>
        <v>Kaabong</v>
      </c>
      <c r="H490" s="82" t="s">
        <v>1336</v>
      </c>
    </row>
    <row r="491" spans="1:8">
      <c r="A491" s="81">
        <v>185</v>
      </c>
      <c r="B491" s="82" t="s">
        <v>1337</v>
      </c>
      <c r="C491" s="82" t="s">
        <v>1338</v>
      </c>
      <c r="D491" s="82" t="s">
        <v>3170</v>
      </c>
      <c r="E491" s="82"/>
      <c r="F491" s="75" t="str">
        <f t="shared" si="24"/>
        <v>Kaabong Town Council</v>
      </c>
      <c r="G491" s="75" t="str">
        <f t="shared" si="25"/>
        <v>Kaabong</v>
      </c>
      <c r="H491" s="82" t="s">
        <v>3170</v>
      </c>
    </row>
    <row r="492" spans="1:8">
      <c r="A492" s="81">
        <v>186</v>
      </c>
      <c r="B492" s="82" t="s">
        <v>1337</v>
      </c>
      <c r="C492" s="82" t="s">
        <v>1338</v>
      </c>
      <c r="D492" s="82" t="s">
        <v>1340</v>
      </c>
      <c r="E492" s="82"/>
      <c r="F492" s="75" t="str">
        <f t="shared" si="24"/>
        <v>Kaabong West</v>
      </c>
      <c r="G492" s="75" t="str">
        <f t="shared" si="25"/>
        <v>Kaabong</v>
      </c>
      <c r="H492" s="82" t="s">
        <v>1340</v>
      </c>
    </row>
    <row r="493" spans="1:8">
      <c r="A493" s="81">
        <v>981</v>
      </c>
      <c r="B493" s="82" t="s">
        <v>2294</v>
      </c>
      <c r="C493" s="82" t="s">
        <v>2295</v>
      </c>
      <c r="D493" s="82" t="s">
        <v>2305</v>
      </c>
      <c r="E493" s="82"/>
      <c r="F493" s="75" t="str">
        <f t="shared" si="24"/>
        <v>Kaato</v>
      </c>
      <c r="G493" s="75" t="str">
        <f t="shared" si="25"/>
        <v>Manafwa</v>
      </c>
      <c r="H493" s="82" t="s">
        <v>2305</v>
      </c>
    </row>
    <row r="494" spans="1:8">
      <c r="A494" s="81">
        <v>1479</v>
      </c>
      <c r="B494" s="82" t="s">
        <v>1398</v>
      </c>
      <c r="C494" s="82" t="s">
        <v>1399</v>
      </c>
      <c r="D494" s="82" t="s">
        <v>1401</v>
      </c>
      <c r="E494" s="82"/>
      <c r="F494" s="75" t="str">
        <f t="shared" si="24"/>
        <v>Kabamba</v>
      </c>
      <c r="G494" s="75" t="str">
        <f t="shared" si="25"/>
        <v>Kagadi</v>
      </c>
      <c r="H494" s="82" t="s">
        <v>1401</v>
      </c>
    </row>
    <row r="495" spans="1:8">
      <c r="A495" s="81">
        <v>1300</v>
      </c>
      <c r="B495" s="82" t="s">
        <v>45</v>
      </c>
      <c r="C495" s="82" t="s">
        <v>1198</v>
      </c>
      <c r="D495" s="82" t="s">
        <v>1932</v>
      </c>
      <c r="E495" s="82"/>
      <c r="F495" s="75" t="str">
        <f t="shared" si="24"/>
        <v>Kabambiro</v>
      </c>
      <c r="G495" s="75" t="str">
        <f t="shared" si="25"/>
        <v>Kamwenge</v>
      </c>
      <c r="H495" s="82" t="s">
        <v>1932</v>
      </c>
    </row>
    <row r="496" spans="1:8">
      <c r="A496" s="81">
        <v>1216</v>
      </c>
      <c r="B496" s="82" t="s">
        <v>2031</v>
      </c>
      <c r="C496" s="82" t="s">
        <v>2032</v>
      </c>
      <c r="D496" s="82" t="s">
        <v>2034</v>
      </c>
      <c r="E496" s="82"/>
      <c r="F496" s="75" t="str">
        <f t="shared" si="24"/>
        <v>Kabasekende</v>
      </c>
      <c r="G496" s="75" t="str">
        <f t="shared" si="25"/>
        <v>Kibaale</v>
      </c>
      <c r="H496" s="82" t="s">
        <v>2034</v>
      </c>
    </row>
    <row r="497" spans="1:8">
      <c r="A497" s="81">
        <v>941</v>
      </c>
      <c r="B497" s="82" t="s">
        <v>1067</v>
      </c>
      <c r="C497" s="82" t="s">
        <v>1068</v>
      </c>
      <c r="D497" s="82" t="s">
        <v>1072</v>
      </c>
      <c r="E497" s="82"/>
      <c r="F497" s="75" t="str">
        <f t="shared" si="24"/>
        <v>Kabei</v>
      </c>
      <c r="G497" s="75" t="str">
        <f t="shared" si="25"/>
        <v>Bukwo</v>
      </c>
      <c r="H497" s="82" t="s">
        <v>1072</v>
      </c>
    </row>
    <row r="498" spans="1:8">
      <c r="A498" s="81">
        <v>841</v>
      </c>
      <c r="B498" s="82" t="s">
        <v>1386</v>
      </c>
      <c r="C498" s="82" t="s">
        <v>1386</v>
      </c>
      <c r="D498" s="82" t="s">
        <v>1386</v>
      </c>
      <c r="E498" s="82"/>
      <c r="F498" s="75" t="str">
        <f t="shared" si="24"/>
        <v>Kaberamaido</v>
      </c>
      <c r="G498" s="75" t="str">
        <f t="shared" si="25"/>
        <v>Kaberamaido</v>
      </c>
      <c r="H498" s="82" t="s">
        <v>1386</v>
      </c>
    </row>
    <row r="499" spans="1:8">
      <c r="A499" s="81">
        <v>842</v>
      </c>
      <c r="B499" s="82" t="s">
        <v>1386</v>
      </c>
      <c r="C499" s="82" t="s">
        <v>1386</v>
      </c>
      <c r="D499" s="82" t="s">
        <v>1392</v>
      </c>
      <c r="E499" s="82"/>
      <c r="F499" s="75" t="str">
        <f t="shared" si="24"/>
        <v>Kaberamaido Town Council</v>
      </c>
      <c r="G499" s="75" t="str">
        <f t="shared" si="25"/>
        <v>Kaberamaido</v>
      </c>
      <c r="H499" s="82" t="s">
        <v>1392</v>
      </c>
    </row>
    <row r="500" spans="1:8">
      <c r="A500" s="81">
        <v>1377</v>
      </c>
      <c r="B500" s="82" t="s">
        <v>48</v>
      </c>
      <c r="C500" s="82" t="s">
        <v>48</v>
      </c>
      <c r="D500" s="82" t="s">
        <v>1303</v>
      </c>
      <c r="E500" s="82"/>
      <c r="F500" s="75" t="str">
        <f t="shared" si="24"/>
        <v>Kaberebere Town Council</v>
      </c>
      <c r="G500" s="75" t="str">
        <f t="shared" si="25"/>
        <v>Isingiro</v>
      </c>
      <c r="H500" s="82" t="s">
        <v>1303</v>
      </c>
    </row>
    <row r="501" spans="1:8">
      <c r="A501" s="81">
        <v>743</v>
      </c>
      <c r="B501" s="82" t="s">
        <v>1964</v>
      </c>
      <c r="C501" s="82" t="s">
        <v>1965</v>
      </c>
      <c r="D501" s="82" t="s">
        <v>1969</v>
      </c>
      <c r="E501" s="82"/>
      <c r="F501" s="75" t="str">
        <f t="shared" si="24"/>
        <v>Kabeywa</v>
      </c>
      <c r="G501" s="75" t="str">
        <f t="shared" si="25"/>
        <v>Kapchorwa</v>
      </c>
      <c r="H501" s="82" t="s">
        <v>1969</v>
      </c>
    </row>
    <row r="502" spans="1:8">
      <c r="A502" s="81">
        <v>1378</v>
      </c>
      <c r="B502" s="82" t="s">
        <v>48</v>
      </c>
      <c r="C502" s="82" t="s">
        <v>48</v>
      </c>
      <c r="D502" s="82" t="s">
        <v>1304</v>
      </c>
      <c r="E502" s="82"/>
      <c r="F502" s="75" t="str">
        <f t="shared" si="24"/>
        <v>Kabingo</v>
      </c>
      <c r="G502" s="75" t="str">
        <f t="shared" si="25"/>
        <v>Isingiro</v>
      </c>
      <c r="H502" s="82" t="s">
        <v>1304</v>
      </c>
    </row>
    <row r="503" spans="1:8">
      <c r="A503" s="81">
        <v>662</v>
      </c>
      <c r="B503" s="82" t="s">
        <v>2216</v>
      </c>
      <c r="C503" s="82" t="s">
        <v>2216</v>
      </c>
      <c r="D503" s="82" t="s">
        <v>2215</v>
      </c>
      <c r="E503" s="82"/>
      <c r="F503" s="75" t="str">
        <f t="shared" si="24"/>
        <v>Kabira</v>
      </c>
      <c r="G503" s="75" t="str">
        <f t="shared" si="25"/>
        <v>Kyotera</v>
      </c>
      <c r="H503" s="82" t="s">
        <v>2215</v>
      </c>
    </row>
    <row r="504" spans="1:8">
      <c r="A504" s="81">
        <v>1431</v>
      </c>
      <c r="B504" s="82" t="s">
        <v>46</v>
      </c>
      <c r="C504" s="82" t="s">
        <v>2405</v>
      </c>
      <c r="D504" s="82" t="s">
        <v>2215</v>
      </c>
      <c r="E504" s="82"/>
      <c r="F504" s="75" t="str">
        <f t="shared" si="24"/>
        <v>Kabira</v>
      </c>
      <c r="G504" s="75" t="str">
        <f t="shared" si="25"/>
        <v>Mitooma</v>
      </c>
      <c r="H504" s="82" t="s">
        <v>2215</v>
      </c>
    </row>
    <row r="505" spans="1:8">
      <c r="A505" s="81">
        <v>444</v>
      </c>
      <c r="B505" s="82" t="s">
        <v>39</v>
      </c>
      <c r="C505" s="82" t="s">
        <v>23</v>
      </c>
      <c r="D505" s="82" t="s">
        <v>2323</v>
      </c>
      <c r="E505" s="82"/>
      <c r="F505" s="75" t="str">
        <f t="shared" si="24"/>
        <v>Kabonera</v>
      </c>
      <c r="G505" s="75" t="str">
        <f t="shared" si="25"/>
        <v>Masaka</v>
      </c>
      <c r="H505" s="82" t="s">
        <v>2323</v>
      </c>
    </row>
    <row r="506" spans="1:8">
      <c r="A506" s="81">
        <v>1516</v>
      </c>
      <c r="B506" s="82" t="s">
        <v>1131</v>
      </c>
      <c r="C506" s="82" t="s">
        <v>1131</v>
      </c>
      <c r="D506" s="82" t="s">
        <v>1133</v>
      </c>
      <c r="E506" s="82"/>
      <c r="F506" s="75" t="str">
        <f t="shared" si="24"/>
        <v>Kabonero</v>
      </c>
      <c r="G506" s="75" t="str">
        <f t="shared" si="25"/>
        <v>Bunyangabu</v>
      </c>
      <c r="H506" s="82" t="s">
        <v>1133</v>
      </c>
    </row>
    <row r="507" spans="1:8">
      <c r="A507" s="81">
        <v>626</v>
      </c>
      <c r="B507" s="82" t="s">
        <v>1233</v>
      </c>
      <c r="C507" s="82" t="s">
        <v>1233</v>
      </c>
      <c r="D507" s="82" t="s">
        <v>1232</v>
      </c>
      <c r="E507" s="82"/>
      <c r="F507" s="75" t="str">
        <f t="shared" si="24"/>
        <v>Kabulasoke</v>
      </c>
      <c r="G507" s="75" t="str">
        <f t="shared" si="25"/>
        <v>Gomba</v>
      </c>
      <c r="H507" s="82" t="s">
        <v>1232</v>
      </c>
    </row>
    <row r="508" spans="1:8">
      <c r="A508" s="81">
        <v>1379</v>
      </c>
      <c r="B508" s="82" t="s">
        <v>48</v>
      </c>
      <c r="C508" s="82" t="s">
        <v>48</v>
      </c>
      <c r="D508" s="82" t="s">
        <v>1305</v>
      </c>
      <c r="E508" s="82"/>
      <c r="F508" s="75" t="str">
        <f t="shared" si="24"/>
        <v>Kabuyanda</v>
      </c>
      <c r="G508" s="75" t="str">
        <f t="shared" si="25"/>
        <v>Isingiro</v>
      </c>
      <c r="H508" s="82" t="s">
        <v>1305</v>
      </c>
    </row>
    <row r="509" spans="1:8">
      <c r="A509" s="81">
        <v>1380</v>
      </c>
      <c r="B509" s="82" t="s">
        <v>48</v>
      </c>
      <c r="C509" s="82" t="s">
        <v>48</v>
      </c>
      <c r="D509" s="82" t="s">
        <v>1306</v>
      </c>
      <c r="E509" s="82"/>
      <c r="F509" s="75" t="str">
        <f t="shared" si="24"/>
        <v>Kabuyanda Town Council</v>
      </c>
      <c r="G509" s="75" t="str">
        <f t="shared" si="25"/>
        <v>Isingiro</v>
      </c>
      <c r="H509" s="82" t="s">
        <v>1306</v>
      </c>
    </row>
    <row r="510" spans="1:8" ht="25.5">
      <c r="A510" s="81">
        <v>1079</v>
      </c>
      <c r="B510" s="82" t="s">
        <v>1193</v>
      </c>
      <c r="C510" s="82" t="s">
        <v>1194</v>
      </c>
      <c r="D510" s="82" t="s">
        <v>1195</v>
      </c>
      <c r="E510" s="82"/>
      <c r="F510" s="75" t="str">
        <f t="shared" si="24"/>
        <v>Kabwangasi</v>
      </c>
      <c r="G510" s="75" t="str">
        <f t="shared" si="25"/>
        <v>Butebo</v>
      </c>
      <c r="H510" s="82" t="s">
        <v>1195</v>
      </c>
    </row>
    <row r="511" spans="1:8">
      <c r="A511" s="81">
        <v>1026</v>
      </c>
      <c r="B511" s="82" t="s">
        <v>2054</v>
      </c>
      <c r="C511" s="82" t="s">
        <v>2054</v>
      </c>
      <c r="D511" s="82" t="s">
        <v>2056</v>
      </c>
      <c r="E511" s="82"/>
      <c r="F511" s="75" t="str">
        <f t="shared" si="24"/>
        <v>Kabweri</v>
      </c>
      <c r="G511" s="75" t="str">
        <f t="shared" si="25"/>
        <v>Kibuku</v>
      </c>
      <c r="H511" s="82" t="s">
        <v>2056</v>
      </c>
    </row>
    <row r="512" spans="1:8">
      <c r="A512" s="81">
        <v>1422</v>
      </c>
      <c r="B512" s="82" t="s">
        <v>2187</v>
      </c>
      <c r="C512" s="82" t="s">
        <v>2188</v>
      </c>
      <c r="D512" s="82" t="s">
        <v>2189</v>
      </c>
      <c r="E512" s="82"/>
      <c r="F512" s="75" t="str">
        <f t="shared" si="24"/>
        <v>Kabweza Kyegegwa</v>
      </c>
      <c r="G512" s="75" t="str">
        <f t="shared" si="25"/>
        <v>Kyegegwa</v>
      </c>
      <c r="H512" s="82" t="s">
        <v>2189</v>
      </c>
    </row>
    <row r="513" spans="1:8" ht="25.5">
      <c r="A513" s="81">
        <v>1473</v>
      </c>
      <c r="B513" s="82" t="s">
        <v>41</v>
      </c>
      <c r="C513" s="83" t="s">
        <v>2799</v>
      </c>
      <c r="D513" s="82" t="s">
        <v>3171</v>
      </c>
      <c r="E513" s="82"/>
      <c r="F513" s="76" t="str">
        <f>VLOOKUP(C513,[2]Municipalities!$C$9:$F$1522,4,FALSE)</f>
        <v>Sheema Municipality</v>
      </c>
      <c r="G513" s="75" t="str">
        <f t="shared" si="25"/>
        <v>Sheema</v>
      </c>
      <c r="H513" s="82" t="s">
        <v>3171</v>
      </c>
    </row>
    <row r="514" spans="1:8">
      <c r="A514" s="81">
        <v>1142</v>
      </c>
      <c r="B514" s="82" t="s">
        <v>1248</v>
      </c>
      <c r="C514" s="82" t="s">
        <v>1249</v>
      </c>
      <c r="D514" s="82" t="s">
        <v>1258</v>
      </c>
      <c r="E514" s="82"/>
      <c r="F514" s="75" t="str">
        <f t="shared" si="24"/>
        <v>Kabwoya</v>
      </c>
      <c r="G514" s="75" t="str">
        <f t="shared" si="25"/>
        <v>Hoima</v>
      </c>
      <c r="H514" s="82" t="s">
        <v>1258</v>
      </c>
    </row>
    <row r="515" spans="1:8">
      <c r="A515" s="81">
        <v>508</v>
      </c>
      <c r="B515" s="82" t="s">
        <v>2733</v>
      </c>
      <c r="C515" s="82" t="s">
        <v>2220</v>
      </c>
      <c r="D515" s="82" t="s">
        <v>2735</v>
      </c>
      <c r="E515" s="82"/>
      <c r="F515" s="75" t="str">
        <f t="shared" si="24"/>
        <v>Kacheera</v>
      </c>
      <c r="G515" s="75" t="str">
        <f t="shared" si="25"/>
        <v>Rakai</v>
      </c>
      <c r="H515" s="82" t="s">
        <v>2735</v>
      </c>
    </row>
    <row r="516" spans="1:8">
      <c r="A516" s="81">
        <v>70</v>
      </c>
      <c r="B516" s="82" t="s">
        <v>2142</v>
      </c>
      <c r="C516" s="82" t="s">
        <v>2143</v>
      </c>
      <c r="D516" s="82" t="s">
        <v>2141</v>
      </c>
      <c r="E516" s="82"/>
      <c r="F516" s="75" t="str">
        <f t="shared" ref="F516:F525" si="26">D516</f>
        <v>Kacheri</v>
      </c>
      <c r="G516" s="75" t="str">
        <f t="shared" si="25"/>
        <v>Kotido</v>
      </c>
      <c r="H516" s="82" t="s">
        <v>2141</v>
      </c>
    </row>
    <row r="517" spans="1:8">
      <c r="A517" s="81">
        <v>904</v>
      </c>
      <c r="B517" s="82" t="s">
        <v>989</v>
      </c>
      <c r="C517" s="82" t="s">
        <v>989</v>
      </c>
      <c r="D517" s="82" t="s">
        <v>992</v>
      </c>
      <c r="E517" s="82"/>
      <c r="F517" s="75" t="str">
        <f t="shared" si="26"/>
        <v>Kachomo</v>
      </c>
      <c r="G517" s="75" t="str">
        <f t="shared" si="25"/>
        <v>Budaka</v>
      </c>
      <c r="H517" s="82" t="s">
        <v>992</v>
      </c>
    </row>
    <row r="518" spans="1:8">
      <c r="A518" s="81">
        <v>957</v>
      </c>
      <c r="B518" s="82" t="s">
        <v>1174</v>
      </c>
      <c r="C518" s="82" t="s">
        <v>1175</v>
      </c>
      <c r="D518" s="82" t="s">
        <v>1182</v>
      </c>
      <c r="E518" s="82"/>
      <c r="F518" s="75" t="str">
        <f t="shared" si="26"/>
        <v>Kachonga</v>
      </c>
      <c r="G518" s="75" t="str">
        <f t="shared" si="25"/>
        <v>Butaleja</v>
      </c>
      <c r="H518" s="82" t="s">
        <v>1182</v>
      </c>
    </row>
    <row r="519" spans="1:8">
      <c r="A519" s="81">
        <v>933</v>
      </c>
      <c r="B519" s="82" t="s">
        <v>1055</v>
      </c>
      <c r="C519" s="82" t="s">
        <v>1055</v>
      </c>
      <c r="D519" s="82" t="s">
        <v>1057</v>
      </c>
      <c r="E519" s="82"/>
      <c r="F519" s="75" t="str">
        <f t="shared" si="26"/>
        <v>Kachumbala</v>
      </c>
      <c r="G519" s="75" t="str">
        <f t="shared" si="25"/>
        <v>Bukedea</v>
      </c>
      <c r="H519" s="82" t="s">
        <v>1057</v>
      </c>
    </row>
    <row r="520" spans="1:8">
      <c r="A520" s="81">
        <v>1027</v>
      </c>
      <c r="B520" s="82" t="s">
        <v>2054</v>
      </c>
      <c r="C520" s="82" t="s">
        <v>2054</v>
      </c>
      <c r="D520" s="82" t="s">
        <v>2057</v>
      </c>
      <c r="E520" s="82"/>
      <c r="F520" s="75" t="str">
        <f t="shared" si="26"/>
        <v>Kadama</v>
      </c>
      <c r="G520" s="75" t="str">
        <f t="shared" si="25"/>
        <v>Kibuku</v>
      </c>
      <c r="H520" s="82" t="s">
        <v>2057</v>
      </c>
    </row>
    <row r="521" spans="1:8">
      <c r="A521" s="81">
        <v>905</v>
      </c>
      <c r="B521" s="82" t="s">
        <v>989</v>
      </c>
      <c r="C521" s="82" t="s">
        <v>989</v>
      </c>
      <c r="D521" s="82" t="s">
        <v>993</v>
      </c>
      <c r="E521" s="82"/>
      <c r="F521" s="75" t="str">
        <f t="shared" si="26"/>
        <v>Kaderuna</v>
      </c>
      <c r="G521" s="75" t="str">
        <f t="shared" si="25"/>
        <v>Budaka</v>
      </c>
      <c r="H521" s="82" t="s">
        <v>993</v>
      </c>
    </row>
    <row r="522" spans="1:8">
      <c r="A522" s="81">
        <v>1069</v>
      </c>
      <c r="B522" s="82" t="s">
        <v>2786</v>
      </c>
      <c r="C522" s="82" t="s">
        <v>2788</v>
      </c>
      <c r="D522" s="82" t="s">
        <v>2789</v>
      </c>
      <c r="E522" s="82"/>
      <c r="F522" s="75" t="str">
        <f t="shared" si="26"/>
        <v>Kadungulu</v>
      </c>
      <c r="G522" s="75" t="str">
        <f t="shared" ref="G522:G585" si="27">B522</f>
        <v>Serere</v>
      </c>
      <c r="H522" s="82" t="s">
        <v>2789</v>
      </c>
    </row>
    <row r="523" spans="1:8">
      <c r="A523" s="81">
        <v>1480</v>
      </c>
      <c r="B523" s="82" t="s">
        <v>1398</v>
      </c>
      <c r="C523" s="82" t="s">
        <v>1399</v>
      </c>
      <c r="D523" s="82" t="s">
        <v>1398</v>
      </c>
      <c r="E523" s="82"/>
      <c r="F523" s="75" t="str">
        <f t="shared" si="26"/>
        <v>Kagadi</v>
      </c>
      <c r="G523" s="75" t="str">
        <f t="shared" si="27"/>
        <v>Kagadi</v>
      </c>
      <c r="H523" s="82" t="s">
        <v>1398</v>
      </c>
    </row>
    <row r="524" spans="1:8">
      <c r="A524" s="81">
        <v>1481</v>
      </c>
      <c r="B524" s="82" t="s">
        <v>1398</v>
      </c>
      <c r="C524" s="82" t="s">
        <v>1399</v>
      </c>
      <c r="D524" s="82" t="s">
        <v>1402</v>
      </c>
      <c r="E524" s="82"/>
      <c r="F524" s="75" t="str">
        <f t="shared" si="26"/>
        <v>Kagadi Town Council</v>
      </c>
      <c r="G524" s="75" t="str">
        <f t="shared" si="27"/>
        <v>Kagadi</v>
      </c>
      <c r="H524" s="82" t="s">
        <v>1402</v>
      </c>
    </row>
    <row r="525" spans="1:8">
      <c r="A525" s="81">
        <v>509</v>
      </c>
      <c r="B525" s="82" t="s">
        <v>2733</v>
      </c>
      <c r="C525" s="82" t="s">
        <v>2220</v>
      </c>
      <c r="D525" s="82" t="s">
        <v>2736</v>
      </c>
      <c r="E525" s="82"/>
      <c r="F525" s="75" t="str">
        <f t="shared" si="26"/>
        <v>Kagamba</v>
      </c>
      <c r="G525" s="75" t="str">
        <f t="shared" si="27"/>
        <v>Rakai</v>
      </c>
      <c r="H525" s="82" t="s">
        <v>2736</v>
      </c>
    </row>
    <row r="526" spans="1:8" ht="25.5">
      <c r="A526" s="81">
        <v>1365</v>
      </c>
      <c r="B526" s="84" t="s">
        <v>43</v>
      </c>
      <c r="C526" s="85" t="s">
        <v>1265</v>
      </c>
      <c r="D526" s="88" t="s">
        <v>3172</v>
      </c>
      <c r="E526" s="84"/>
      <c r="F526" s="75" t="str">
        <f t="shared" ref="F526:F527" si="28">D526&amp;"-"&amp;B526</f>
        <v>Kagango Division-Ibanda</v>
      </c>
      <c r="G526" s="75" t="str">
        <f t="shared" si="27"/>
        <v>Ibanda</v>
      </c>
      <c r="H526" s="88" t="s">
        <v>3172</v>
      </c>
    </row>
    <row r="527" spans="1:8" ht="25.5">
      <c r="A527" s="81">
        <v>1474</v>
      </c>
      <c r="B527" s="84" t="s">
        <v>41</v>
      </c>
      <c r="C527" s="85" t="s">
        <v>2799</v>
      </c>
      <c r="D527" s="88" t="s">
        <v>3172</v>
      </c>
      <c r="E527" s="84"/>
      <c r="F527" s="75" t="str">
        <f t="shared" si="28"/>
        <v>Kagango Division-Sheema</v>
      </c>
      <c r="G527" s="75" t="str">
        <f t="shared" si="27"/>
        <v>Sheema</v>
      </c>
      <c r="H527" s="88" t="s">
        <v>3172</v>
      </c>
    </row>
    <row r="528" spans="1:8">
      <c r="A528" s="81">
        <v>1266</v>
      </c>
      <c r="B528" s="82" t="s">
        <v>47</v>
      </c>
      <c r="C528" s="82" t="s">
        <v>2642</v>
      </c>
      <c r="D528" s="82" t="s">
        <v>2646</v>
      </c>
      <c r="E528" s="82"/>
      <c r="F528" s="75" t="str">
        <f t="shared" ref="F528:F537" si="29">D528</f>
        <v>Kagarama Town Council</v>
      </c>
      <c r="G528" s="75" t="str">
        <f t="shared" si="27"/>
        <v>Ntungamo</v>
      </c>
      <c r="H528" s="82" t="s">
        <v>2646</v>
      </c>
    </row>
    <row r="529" spans="1:9">
      <c r="A529" s="81">
        <v>1246</v>
      </c>
      <c r="B529" s="82" t="s">
        <v>2388</v>
      </c>
      <c r="C529" s="82" t="s">
        <v>2389</v>
      </c>
      <c r="D529" s="82" t="s">
        <v>2393</v>
      </c>
      <c r="E529" s="82"/>
      <c r="F529" s="75" t="str">
        <f t="shared" si="29"/>
        <v>Kagongi</v>
      </c>
      <c r="G529" s="75" t="str">
        <f t="shared" si="27"/>
        <v>Mbarara</v>
      </c>
      <c r="H529" s="82" t="s">
        <v>2393</v>
      </c>
    </row>
    <row r="530" spans="1:9">
      <c r="A530" s="81">
        <v>1110</v>
      </c>
      <c r="B530" s="82" t="s">
        <v>1108</v>
      </c>
      <c r="C530" s="82" t="s">
        <v>1112</v>
      </c>
      <c r="D530" s="82" t="s">
        <v>1118</v>
      </c>
      <c r="E530" s="82"/>
      <c r="F530" s="75" t="str">
        <f t="shared" si="29"/>
        <v>Kagugu</v>
      </c>
      <c r="G530" s="75" t="str">
        <f t="shared" si="27"/>
        <v>Bundibugyo</v>
      </c>
      <c r="H530" s="82" t="s">
        <v>1118</v>
      </c>
    </row>
    <row r="531" spans="1:9">
      <c r="A531" s="81">
        <v>1021</v>
      </c>
      <c r="B531" s="82" t="s">
        <v>1215</v>
      </c>
      <c r="C531" s="82" t="s">
        <v>1216</v>
      </c>
      <c r="D531" s="82" t="s">
        <v>1218</v>
      </c>
      <c r="E531" s="82"/>
      <c r="F531" s="75" t="str">
        <f t="shared" si="29"/>
        <v>Kagulu</v>
      </c>
      <c r="G531" s="75" t="str">
        <f t="shared" si="27"/>
        <v>Buyende</v>
      </c>
      <c r="H531" s="82" t="s">
        <v>1218</v>
      </c>
    </row>
    <row r="532" spans="1:9">
      <c r="A532" s="81">
        <v>1028</v>
      </c>
      <c r="B532" s="82" t="s">
        <v>2054</v>
      </c>
      <c r="C532" s="82" t="s">
        <v>2054</v>
      </c>
      <c r="D532" s="82" t="s">
        <v>2058</v>
      </c>
      <c r="E532" s="82"/>
      <c r="F532" s="75" t="str">
        <f t="shared" si="29"/>
        <v>Kagumu</v>
      </c>
      <c r="G532" s="75" t="str">
        <f t="shared" si="27"/>
        <v>Kibuku</v>
      </c>
      <c r="H532" s="82" t="s">
        <v>2058</v>
      </c>
    </row>
    <row r="533" spans="1:9">
      <c r="A533" s="81">
        <v>1154</v>
      </c>
      <c r="B533" s="82" t="s">
        <v>1353</v>
      </c>
      <c r="C533" s="82" t="s">
        <v>1354</v>
      </c>
      <c r="D533" s="82" t="s">
        <v>1358</v>
      </c>
      <c r="E533" s="82"/>
      <c r="F533" s="75" t="str">
        <f t="shared" si="29"/>
        <v>Kaharo</v>
      </c>
      <c r="G533" s="75" t="str">
        <f t="shared" si="27"/>
        <v>Kabale</v>
      </c>
      <c r="H533" s="82" t="s">
        <v>1358</v>
      </c>
    </row>
    <row r="534" spans="1:9" ht="25.5">
      <c r="A534" s="81">
        <v>1147</v>
      </c>
      <c r="B534" s="82" t="s">
        <v>1248</v>
      </c>
      <c r="C534" s="83" t="s">
        <v>1254</v>
      </c>
      <c r="D534" s="82" t="s">
        <v>3173</v>
      </c>
      <c r="E534" s="82"/>
      <c r="F534" s="76" t="str">
        <f>VLOOKUP(C534,[2]Municipalities!$C$9:$F$1522,4,FALSE)</f>
        <v>Hoima Municipality</v>
      </c>
      <c r="G534" s="75" t="str">
        <f t="shared" si="27"/>
        <v>Hoima</v>
      </c>
      <c r="H534" s="82" t="s">
        <v>3173</v>
      </c>
    </row>
    <row r="535" spans="1:9">
      <c r="A535" s="81">
        <v>1301</v>
      </c>
      <c r="B535" s="82" t="s">
        <v>45</v>
      </c>
      <c r="C535" s="82" t="s">
        <v>1198</v>
      </c>
      <c r="D535" s="82" t="s">
        <v>1933</v>
      </c>
      <c r="E535" s="82"/>
      <c r="F535" s="75" t="str">
        <f t="shared" si="29"/>
        <v>Kahunge</v>
      </c>
      <c r="G535" s="75" t="str">
        <f t="shared" si="27"/>
        <v>Kamwenge</v>
      </c>
      <c r="H535" s="82" t="s">
        <v>1933</v>
      </c>
    </row>
    <row r="536" spans="1:9">
      <c r="A536" s="81">
        <v>543</v>
      </c>
      <c r="B536" s="82" t="s">
        <v>2879</v>
      </c>
      <c r="C536" s="82" t="s">
        <v>2882</v>
      </c>
      <c r="D536" s="82" t="s">
        <v>2908</v>
      </c>
      <c r="E536" s="82"/>
      <c r="F536" s="75" t="str">
        <f t="shared" si="29"/>
        <v>Kajjansi Town Council</v>
      </c>
      <c r="G536" s="75" t="str">
        <f t="shared" si="27"/>
        <v>Wakiso</v>
      </c>
      <c r="H536" s="82" t="s">
        <v>2908</v>
      </c>
    </row>
    <row r="537" spans="1:9">
      <c r="A537" s="81">
        <v>1423</v>
      </c>
      <c r="B537" s="82" t="s">
        <v>2187</v>
      </c>
      <c r="C537" s="82" t="s">
        <v>2188</v>
      </c>
      <c r="D537" s="82" t="s">
        <v>2190</v>
      </c>
      <c r="E537" s="82"/>
      <c r="F537" s="75" t="str">
        <f t="shared" si="29"/>
        <v>Kakabara</v>
      </c>
      <c r="G537" s="75" t="str">
        <f t="shared" si="27"/>
        <v>Kyegegwa</v>
      </c>
      <c r="H537" s="82" t="s">
        <v>2190</v>
      </c>
    </row>
    <row r="538" spans="1:9">
      <c r="A538" s="81">
        <v>1367</v>
      </c>
      <c r="B538" s="82" t="s">
        <v>48</v>
      </c>
      <c r="C538" s="82" t="s">
        <v>1299</v>
      </c>
      <c r="D538" s="86" t="s">
        <v>3174</v>
      </c>
      <c r="E538" s="82"/>
      <c r="F538" s="75" t="str">
        <f t="shared" ref="F538:F539" si="30">D538&amp;"-"&amp;B538</f>
        <v>Kakamba-Isingiro</v>
      </c>
      <c r="G538" s="75" t="str">
        <f t="shared" si="27"/>
        <v>Isingiro</v>
      </c>
      <c r="H538" s="86" t="s">
        <v>3174</v>
      </c>
    </row>
    <row r="539" spans="1:9" s="87" customFormat="1">
      <c r="A539" s="89">
        <v>1374</v>
      </c>
      <c r="B539" s="86" t="s">
        <v>48</v>
      </c>
      <c r="C539" s="86" t="s">
        <v>1299</v>
      </c>
      <c r="D539" s="86" t="s">
        <v>3174</v>
      </c>
      <c r="E539" s="86"/>
      <c r="F539" s="87" t="str">
        <f t="shared" si="30"/>
        <v>Kakamba-Isingiro</v>
      </c>
      <c r="G539" s="75" t="str">
        <f t="shared" si="27"/>
        <v>Isingiro</v>
      </c>
      <c r="H539" s="86" t="s">
        <v>3174</v>
      </c>
      <c r="I539" s="87" t="s">
        <v>3148</v>
      </c>
    </row>
    <row r="540" spans="1:9">
      <c r="A540" s="81">
        <v>1128</v>
      </c>
      <c r="B540" s="82" t="s">
        <v>38</v>
      </c>
      <c r="C540" s="82" t="s">
        <v>1143</v>
      </c>
      <c r="D540" s="82" t="s">
        <v>1149</v>
      </c>
      <c r="E540" s="82"/>
      <c r="F540" s="75" t="str">
        <f t="shared" ref="F540:F591" si="31">D540</f>
        <v>Kakanju</v>
      </c>
      <c r="G540" s="75" t="str">
        <f t="shared" si="27"/>
        <v>Bushenyi</v>
      </c>
      <c r="H540" s="82" t="s">
        <v>1149</v>
      </c>
    </row>
    <row r="541" spans="1:9" ht="25.5">
      <c r="A541" s="81">
        <v>1255</v>
      </c>
      <c r="B541" s="84" t="s">
        <v>2388</v>
      </c>
      <c r="C541" s="85" t="s">
        <v>2395</v>
      </c>
      <c r="D541" s="84" t="s">
        <v>3175</v>
      </c>
      <c r="E541" s="84"/>
      <c r="F541" s="76" t="str">
        <f>VLOOKUP(C541,[2]Municipalities!$C$9:$F$1522,4,FALSE)</f>
        <v>Mbarara Municipality</v>
      </c>
      <c r="G541" s="75" t="str">
        <f t="shared" si="27"/>
        <v>Mbarara</v>
      </c>
      <c r="H541" s="84" t="s">
        <v>3175</v>
      </c>
    </row>
    <row r="542" spans="1:9">
      <c r="A542" s="81">
        <v>1497</v>
      </c>
      <c r="B542" s="82" t="s">
        <v>1417</v>
      </c>
      <c r="C542" s="82" t="s">
        <v>1418</v>
      </c>
      <c r="D542" s="82" t="s">
        <v>1420</v>
      </c>
      <c r="E542" s="82"/>
      <c r="F542" s="75" t="str">
        <f t="shared" si="31"/>
        <v>Kakindo</v>
      </c>
      <c r="G542" s="75" t="str">
        <f t="shared" si="27"/>
        <v>Kakumiro</v>
      </c>
      <c r="H542" s="82" t="s">
        <v>1420</v>
      </c>
    </row>
    <row r="543" spans="1:9">
      <c r="A543" s="81">
        <v>1472</v>
      </c>
      <c r="B543" s="82" t="s">
        <v>41</v>
      </c>
      <c r="C543" s="82" t="s">
        <v>41</v>
      </c>
      <c r="D543" s="82" t="s">
        <v>2800</v>
      </c>
      <c r="E543" s="82"/>
      <c r="F543" s="75" t="str">
        <f t="shared" si="31"/>
        <v>Kakindo Town Council</v>
      </c>
      <c r="G543" s="75" t="str">
        <f t="shared" si="27"/>
        <v>Sheema</v>
      </c>
      <c r="H543" s="82" t="s">
        <v>2800</v>
      </c>
    </row>
    <row r="544" spans="1:9">
      <c r="A544" s="81">
        <v>567</v>
      </c>
      <c r="B544" s="82" t="s">
        <v>2416</v>
      </c>
      <c r="C544" s="82" t="s">
        <v>2417</v>
      </c>
      <c r="D544" s="82" t="s">
        <v>2427</v>
      </c>
      <c r="E544" s="82"/>
      <c r="F544" s="75" t="str">
        <f t="shared" si="31"/>
        <v>Kakindu</v>
      </c>
      <c r="G544" s="75" t="str">
        <f t="shared" si="27"/>
        <v>Mityana</v>
      </c>
      <c r="H544" s="82" t="s">
        <v>2427</v>
      </c>
    </row>
    <row r="545" spans="1:8">
      <c r="A545" s="81">
        <v>715</v>
      </c>
      <c r="B545" s="82" t="s">
        <v>1320</v>
      </c>
      <c r="C545" s="82" t="s">
        <v>1323</v>
      </c>
      <c r="D545" s="82" t="s">
        <v>1333</v>
      </c>
      <c r="E545" s="82"/>
      <c r="F545" s="75" t="str">
        <f t="shared" si="31"/>
        <v>Kakira Town Council</v>
      </c>
      <c r="G545" s="75" t="str">
        <f t="shared" si="27"/>
        <v>Jinja</v>
      </c>
      <c r="H545" s="82" t="s">
        <v>1333</v>
      </c>
    </row>
    <row r="546" spans="1:8">
      <c r="A546" s="81">
        <v>533</v>
      </c>
      <c r="B546" s="82" t="s">
        <v>2879</v>
      </c>
      <c r="C546" s="82" t="s">
        <v>2882</v>
      </c>
      <c r="D546" s="82" t="s">
        <v>2927</v>
      </c>
      <c r="E546" s="82"/>
      <c r="F546" s="75" t="str">
        <f t="shared" si="31"/>
        <v>Kakiri</v>
      </c>
      <c r="G546" s="75" t="str">
        <f t="shared" si="27"/>
        <v>Wakiso</v>
      </c>
      <c r="H546" s="82" t="s">
        <v>2927</v>
      </c>
    </row>
    <row r="547" spans="1:8">
      <c r="A547" s="81">
        <v>534</v>
      </c>
      <c r="B547" s="82" t="s">
        <v>2879</v>
      </c>
      <c r="C547" s="82" t="s">
        <v>2882</v>
      </c>
      <c r="D547" s="82" t="s">
        <v>2932</v>
      </c>
      <c r="E547" s="82"/>
      <c r="F547" s="75" t="str">
        <f t="shared" si="31"/>
        <v>Kakiri Town Council</v>
      </c>
      <c r="G547" s="75" t="str">
        <f t="shared" si="27"/>
        <v>Wakiso</v>
      </c>
      <c r="H547" s="82" t="s">
        <v>2932</v>
      </c>
    </row>
    <row r="548" spans="1:8" ht="25.5">
      <c r="A548" s="81">
        <v>1251</v>
      </c>
      <c r="B548" s="84" t="s">
        <v>2388</v>
      </c>
      <c r="C548" s="85" t="s">
        <v>2395</v>
      </c>
      <c r="D548" s="84" t="s">
        <v>3176</v>
      </c>
      <c r="E548" s="84"/>
      <c r="F548" s="76" t="str">
        <f>VLOOKUP(C548,[2]Municipalities!$C$9:$F$1522,4,FALSE)</f>
        <v>Mbarara Municipality</v>
      </c>
      <c r="G548" s="75" t="str">
        <f t="shared" si="27"/>
        <v>Mbarara</v>
      </c>
      <c r="H548" s="84" t="s">
        <v>3176</v>
      </c>
    </row>
    <row r="549" spans="1:8">
      <c r="A549" s="81">
        <v>122</v>
      </c>
      <c r="B549" s="82" t="s">
        <v>2526</v>
      </c>
      <c r="C549" s="82" t="s">
        <v>2527</v>
      </c>
      <c r="D549" s="82" t="s">
        <v>2525</v>
      </c>
      <c r="E549" s="82"/>
      <c r="F549" s="75" t="str">
        <f t="shared" si="31"/>
        <v>Kakomongole</v>
      </c>
      <c r="G549" s="75" t="str">
        <f t="shared" si="27"/>
        <v>Nakapiripirit</v>
      </c>
      <c r="H549" s="82" t="s">
        <v>2525</v>
      </c>
    </row>
    <row r="550" spans="1:8">
      <c r="A550" s="81">
        <v>493</v>
      </c>
      <c r="B550" s="82" t="s">
        <v>2555</v>
      </c>
      <c r="C550" s="82" t="s">
        <v>2341</v>
      </c>
      <c r="D550" s="82" t="s">
        <v>2554</v>
      </c>
      <c r="E550" s="82"/>
      <c r="F550" s="75" t="str">
        <f t="shared" si="31"/>
        <v>Kakooge</v>
      </c>
      <c r="G550" s="75" t="str">
        <f t="shared" si="27"/>
        <v>Nakasongola</v>
      </c>
      <c r="H550" s="82" t="s">
        <v>2554</v>
      </c>
    </row>
    <row r="551" spans="1:8">
      <c r="A551" s="81">
        <v>494</v>
      </c>
      <c r="B551" s="82" t="s">
        <v>2555</v>
      </c>
      <c r="C551" s="82" t="s">
        <v>2341</v>
      </c>
      <c r="D551" s="82" t="s">
        <v>2556</v>
      </c>
      <c r="E551" s="82"/>
      <c r="F551" s="75" t="str">
        <f t="shared" si="31"/>
        <v>Kakooge Town Council</v>
      </c>
      <c r="G551" s="75" t="str">
        <f t="shared" si="27"/>
        <v>Nakasongola</v>
      </c>
      <c r="H551" s="82" t="s">
        <v>2556</v>
      </c>
    </row>
    <row r="552" spans="1:8" ht="25.5">
      <c r="A552" s="81">
        <v>1080</v>
      </c>
      <c r="B552" s="84" t="s">
        <v>1193</v>
      </c>
      <c r="C552" s="84" t="s">
        <v>1194</v>
      </c>
      <c r="D552" s="84" t="s">
        <v>1196</v>
      </c>
      <c r="E552" s="84"/>
      <c r="F552" s="75" t="str">
        <f t="shared" si="31"/>
        <v>Kakoro</v>
      </c>
      <c r="G552" s="75" t="str">
        <f t="shared" si="27"/>
        <v>Butebo</v>
      </c>
      <c r="H552" s="84" t="s">
        <v>1196</v>
      </c>
    </row>
    <row r="553" spans="1:8">
      <c r="A553" s="81">
        <v>906</v>
      </c>
      <c r="B553" s="82" t="s">
        <v>989</v>
      </c>
      <c r="C553" s="82" t="s">
        <v>989</v>
      </c>
      <c r="D553" s="82" t="s">
        <v>994</v>
      </c>
      <c r="E553" s="82"/>
      <c r="F553" s="75" t="str">
        <f t="shared" si="31"/>
        <v>Kakule</v>
      </c>
      <c r="G553" s="75" t="str">
        <f t="shared" si="27"/>
        <v>Budaka</v>
      </c>
      <c r="H553" s="82" t="s">
        <v>994</v>
      </c>
    </row>
    <row r="554" spans="1:8">
      <c r="A554" s="81">
        <v>1498</v>
      </c>
      <c r="B554" s="82" t="s">
        <v>1417</v>
      </c>
      <c r="C554" s="82" t="s">
        <v>1418</v>
      </c>
      <c r="D554" s="82" t="s">
        <v>1421</v>
      </c>
      <c r="E554" s="82"/>
      <c r="F554" s="75" t="str">
        <f t="shared" si="31"/>
        <v>Kakumiro Town Council</v>
      </c>
      <c r="G554" s="75" t="str">
        <f t="shared" si="27"/>
        <v>Kakumiro</v>
      </c>
      <c r="H554" s="82" t="s">
        <v>1421</v>
      </c>
    </row>
    <row r="555" spans="1:8">
      <c r="A555" s="81">
        <v>848</v>
      </c>
      <c r="B555" s="82" t="s">
        <v>1386</v>
      </c>
      <c r="C555" s="82" t="s">
        <v>1388</v>
      </c>
      <c r="D555" s="82" t="s">
        <v>1393</v>
      </c>
      <c r="E555" s="82"/>
      <c r="F555" s="75" t="str">
        <f t="shared" si="31"/>
        <v>Kakure</v>
      </c>
      <c r="G555" s="75" t="str">
        <f t="shared" si="27"/>
        <v>Kaberamaido</v>
      </c>
      <c r="H555" s="82" t="s">
        <v>1393</v>
      </c>
    </row>
    <row r="556" spans="1:8">
      <c r="A556" s="81">
        <v>504</v>
      </c>
      <c r="B556" s="82" t="s">
        <v>2733</v>
      </c>
      <c r="C556" s="82" t="s">
        <v>2737</v>
      </c>
      <c r="D556" s="82" t="s">
        <v>2737</v>
      </c>
      <c r="E556" s="82"/>
      <c r="F556" s="75" t="str">
        <f t="shared" si="31"/>
        <v>Kakuuto</v>
      </c>
      <c r="G556" s="75" t="str">
        <f t="shared" si="27"/>
        <v>Rakai</v>
      </c>
      <c r="H556" s="82" t="s">
        <v>2737</v>
      </c>
    </row>
    <row r="557" spans="1:8">
      <c r="A557" s="81">
        <v>430</v>
      </c>
      <c r="B557" s="82" t="s">
        <v>2255</v>
      </c>
      <c r="C557" s="82" t="s">
        <v>2254</v>
      </c>
      <c r="D557" s="82" t="s">
        <v>2263</v>
      </c>
      <c r="E557" s="82"/>
      <c r="F557" s="75" t="str">
        <f t="shared" si="31"/>
        <v>Kalagala</v>
      </c>
      <c r="G557" s="75" t="str">
        <f t="shared" si="27"/>
        <v>Luwero</v>
      </c>
      <c r="H557" s="82" t="s">
        <v>2263</v>
      </c>
    </row>
    <row r="558" spans="1:8">
      <c r="A558" s="81">
        <v>849</v>
      </c>
      <c r="B558" s="82" t="s">
        <v>1386</v>
      </c>
      <c r="C558" s="82" t="s">
        <v>1388</v>
      </c>
      <c r="D558" s="82" t="s">
        <v>1388</v>
      </c>
      <c r="E558" s="82"/>
      <c r="F558" s="75" t="str">
        <f t="shared" si="31"/>
        <v>Kalaki</v>
      </c>
      <c r="G558" s="75" t="str">
        <f t="shared" si="27"/>
        <v>Kaberamaido</v>
      </c>
      <c r="H558" s="82" t="s">
        <v>1388</v>
      </c>
    </row>
    <row r="559" spans="1:8">
      <c r="A559" s="81">
        <v>614</v>
      </c>
      <c r="B559" s="82" t="s">
        <v>1187</v>
      </c>
      <c r="C559" s="82" t="s">
        <v>1187</v>
      </c>
      <c r="D559" s="82" t="s">
        <v>1190</v>
      </c>
      <c r="E559" s="82"/>
      <c r="F559" s="75" t="str">
        <f t="shared" si="31"/>
        <v>Kalamba</v>
      </c>
      <c r="G559" s="75" t="str">
        <f t="shared" si="27"/>
        <v>Butambala</v>
      </c>
      <c r="H559" s="82" t="s">
        <v>1190</v>
      </c>
    </row>
    <row r="560" spans="1:8">
      <c r="A560" s="81">
        <v>571</v>
      </c>
      <c r="B560" s="82" t="s">
        <v>2416</v>
      </c>
      <c r="C560" s="82" t="s">
        <v>2416</v>
      </c>
      <c r="D560" s="82" t="s">
        <v>2428</v>
      </c>
      <c r="E560" s="82"/>
      <c r="F560" s="75" t="str">
        <f t="shared" si="31"/>
        <v>Kalangaalo</v>
      </c>
      <c r="G560" s="75" t="str">
        <f t="shared" si="27"/>
        <v>Mityana</v>
      </c>
      <c r="H560" s="82" t="s">
        <v>2428</v>
      </c>
    </row>
    <row r="561" spans="1:8">
      <c r="A561" s="81">
        <v>319</v>
      </c>
      <c r="B561" s="82" t="s">
        <v>1431</v>
      </c>
      <c r="C561" s="82" t="s">
        <v>1434</v>
      </c>
      <c r="D561" s="82" t="s">
        <v>1435</v>
      </c>
      <c r="E561" s="82"/>
      <c r="F561" s="75" t="str">
        <f t="shared" si="31"/>
        <v>Kalangala Town Council</v>
      </c>
      <c r="G561" s="75" t="str">
        <f t="shared" si="27"/>
        <v>Kalangala</v>
      </c>
      <c r="H561" s="82" t="s">
        <v>1435</v>
      </c>
    </row>
    <row r="562" spans="1:8">
      <c r="A562" s="81">
        <v>187</v>
      </c>
      <c r="B562" s="82" t="s">
        <v>1337</v>
      </c>
      <c r="C562" s="82" t="s">
        <v>1338</v>
      </c>
      <c r="D562" s="82" t="s">
        <v>1341</v>
      </c>
      <c r="E562" s="82"/>
      <c r="F562" s="75" t="str">
        <f t="shared" si="31"/>
        <v>Kalapata</v>
      </c>
      <c r="G562" s="75" t="str">
        <f t="shared" si="27"/>
        <v>Kaabong</v>
      </c>
      <c r="H562" s="82" t="s">
        <v>1341</v>
      </c>
    </row>
    <row r="563" spans="1:8">
      <c r="A563" s="81">
        <v>559</v>
      </c>
      <c r="B563" s="82" t="s">
        <v>2286</v>
      </c>
      <c r="C563" s="82" t="s">
        <v>2287</v>
      </c>
      <c r="D563" s="82" t="s">
        <v>2285</v>
      </c>
      <c r="E563" s="82"/>
      <c r="F563" s="75" t="str">
        <f t="shared" si="31"/>
        <v>Kaliiro</v>
      </c>
      <c r="G563" s="75" t="str">
        <f t="shared" si="27"/>
        <v>Lyantonde</v>
      </c>
      <c r="H563" s="82" t="s">
        <v>2285</v>
      </c>
    </row>
    <row r="564" spans="1:8">
      <c r="A564" s="81">
        <v>966</v>
      </c>
      <c r="B564" s="82" t="s">
        <v>1439</v>
      </c>
      <c r="C564" s="82" t="s">
        <v>1278</v>
      </c>
      <c r="D564" s="82" t="s">
        <v>1444</v>
      </c>
      <c r="E564" s="82"/>
      <c r="F564" s="75" t="str">
        <f t="shared" si="31"/>
        <v>Kaliro Town Council</v>
      </c>
      <c r="G564" s="75" t="str">
        <f t="shared" si="27"/>
        <v>Kaliro</v>
      </c>
      <c r="H564" s="82" t="s">
        <v>1444</v>
      </c>
    </row>
    <row r="565" spans="1:8">
      <c r="A565" s="81">
        <v>663</v>
      </c>
      <c r="B565" s="82" t="s">
        <v>2216</v>
      </c>
      <c r="C565" s="82" t="s">
        <v>2216</v>
      </c>
      <c r="D565" s="82" t="s">
        <v>2217</v>
      </c>
      <c r="E565" s="82"/>
      <c r="F565" s="75" t="str">
        <f t="shared" si="31"/>
        <v>Kalisizo</v>
      </c>
      <c r="G565" s="75" t="str">
        <f t="shared" si="27"/>
        <v>Kyotera</v>
      </c>
      <c r="H565" s="82" t="s">
        <v>2217</v>
      </c>
    </row>
    <row r="566" spans="1:8">
      <c r="A566" s="81">
        <v>664</v>
      </c>
      <c r="B566" s="82" t="s">
        <v>2216</v>
      </c>
      <c r="C566" s="82" t="s">
        <v>2216</v>
      </c>
      <c r="D566" s="82" t="s">
        <v>2218</v>
      </c>
      <c r="E566" s="82"/>
      <c r="F566" s="75" t="str">
        <f t="shared" si="31"/>
        <v>Kalisizo Town Council</v>
      </c>
      <c r="G566" s="75" t="str">
        <f t="shared" si="27"/>
        <v>Kyotera</v>
      </c>
      <c r="H566" s="82" t="s">
        <v>2218</v>
      </c>
    </row>
    <row r="567" spans="1:8">
      <c r="A567" s="81">
        <v>495</v>
      </c>
      <c r="B567" s="82" t="s">
        <v>2555</v>
      </c>
      <c r="C567" s="82" t="s">
        <v>2341</v>
      </c>
      <c r="D567" s="82" t="s">
        <v>2557</v>
      </c>
      <c r="E567" s="82"/>
      <c r="F567" s="75" t="str">
        <f t="shared" si="31"/>
        <v>Kalongo</v>
      </c>
      <c r="G567" s="75" t="str">
        <f t="shared" si="27"/>
        <v>Nakasongola</v>
      </c>
      <c r="H567" s="82" t="s">
        <v>2557</v>
      </c>
    </row>
    <row r="568" spans="1:8">
      <c r="A568" s="81">
        <v>230</v>
      </c>
      <c r="B568" s="82" t="s">
        <v>875</v>
      </c>
      <c r="C568" s="82" t="s">
        <v>875</v>
      </c>
      <c r="D568" s="82" t="s">
        <v>878</v>
      </c>
      <c r="E568" s="82"/>
      <c r="F568" s="75" t="str">
        <f t="shared" si="31"/>
        <v>Kalongo Town Council</v>
      </c>
      <c r="G568" s="75" t="str">
        <f t="shared" si="27"/>
        <v>Agago</v>
      </c>
      <c r="H568" s="82" t="s">
        <v>878</v>
      </c>
    </row>
    <row r="569" spans="1:8">
      <c r="A569" s="81">
        <v>496</v>
      </c>
      <c r="B569" s="82" t="s">
        <v>2555</v>
      </c>
      <c r="C569" s="82" t="s">
        <v>2341</v>
      </c>
      <c r="D569" s="82" t="s">
        <v>2558</v>
      </c>
      <c r="E569" s="82"/>
      <c r="F569" s="75" t="str">
        <f t="shared" si="31"/>
        <v>Kalungi</v>
      </c>
      <c r="G569" s="75" t="str">
        <f t="shared" si="27"/>
        <v>Nakasongola</v>
      </c>
      <c r="H569" s="82" t="s">
        <v>2558</v>
      </c>
    </row>
    <row r="570" spans="1:8">
      <c r="A570" s="81">
        <v>632</v>
      </c>
      <c r="B570" s="82" t="s">
        <v>1453</v>
      </c>
      <c r="C570" s="82" t="s">
        <v>1453</v>
      </c>
      <c r="D570" s="82" t="s">
        <v>1453</v>
      </c>
      <c r="E570" s="82"/>
      <c r="F570" s="75" t="str">
        <f t="shared" si="31"/>
        <v>Kalungu</v>
      </c>
      <c r="G570" s="75" t="str">
        <f t="shared" si="27"/>
        <v>Kalungu</v>
      </c>
      <c r="H570" s="82" t="s">
        <v>1453</v>
      </c>
    </row>
    <row r="571" spans="1:8">
      <c r="A571" s="81">
        <v>633</v>
      </c>
      <c r="B571" s="82" t="s">
        <v>1453</v>
      </c>
      <c r="C571" s="82" t="s">
        <v>1453</v>
      </c>
      <c r="D571" s="82" t="s">
        <v>1454</v>
      </c>
      <c r="E571" s="82"/>
      <c r="F571" s="75" t="str">
        <f t="shared" si="31"/>
        <v>Kalungu Town Council</v>
      </c>
      <c r="G571" s="75" t="str">
        <f t="shared" si="27"/>
        <v>Kalungu</v>
      </c>
      <c r="H571" s="82" t="s">
        <v>1454</v>
      </c>
    </row>
    <row r="572" spans="1:8">
      <c r="A572" s="81">
        <v>468</v>
      </c>
      <c r="B572" s="82" t="s">
        <v>2473</v>
      </c>
      <c r="C572" s="82" t="s">
        <v>2476</v>
      </c>
      <c r="D572" s="82" t="s">
        <v>2480</v>
      </c>
      <c r="E572" s="82"/>
      <c r="F572" s="75" t="str">
        <f t="shared" si="31"/>
        <v>Kalwana</v>
      </c>
      <c r="G572" s="75" t="str">
        <f t="shared" si="27"/>
        <v>Mubende</v>
      </c>
      <c r="H572" s="82" t="s">
        <v>2480</v>
      </c>
    </row>
    <row r="573" spans="1:8">
      <c r="A573" s="81">
        <v>1314</v>
      </c>
      <c r="B573" s="82" t="s">
        <v>1945</v>
      </c>
      <c r="C573" s="82" t="s">
        <v>1946</v>
      </c>
      <c r="D573" s="82" t="s">
        <v>1947</v>
      </c>
      <c r="E573" s="82"/>
      <c r="F573" s="75" t="str">
        <f t="shared" si="31"/>
        <v>Kambuga</v>
      </c>
      <c r="G573" s="75" t="str">
        <f t="shared" si="27"/>
        <v>Kanungu</v>
      </c>
      <c r="H573" s="82" t="s">
        <v>1947</v>
      </c>
    </row>
    <row r="574" spans="1:8">
      <c r="A574" s="81">
        <v>1315</v>
      </c>
      <c r="B574" s="82" t="s">
        <v>1945</v>
      </c>
      <c r="C574" s="82" t="s">
        <v>1946</v>
      </c>
      <c r="D574" s="82" t="s">
        <v>1948</v>
      </c>
      <c r="E574" s="82"/>
      <c r="F574" s="75" t="str">
        <f t="shared" si="31"/>
        <v>Kambuga Town Council</v>
      </c>
      <c r="G574" s="75" t="str">
        <f t="shared" si="27"/>
        <v>Kanungu</v>
      </c>
      <c r="H574" s="82" t="s">
        <v>1948</v>
      </c>
    </row>
    <row r="575" spans="1:8">
      <c r="A575" s="81">
        <v>220</v>
      </c>
      <c r="B575" s="82" t="s">
        <v>2686</v>
      </c>
      <c r="C575" s="82" t="s">
        <v>2686</v>
      </c>
      <c r="D575" s="82" t="s">
        <v>2691</v>
      </c>
      <c r="E575" s="82"/>
      <c r="F575" s="75" t="str">
        <f t="shared" si="31"/>
        <v>Kamdini</v>
      </c>
      <c r="G575" s="75" t="str">
        <f t="shared" si="27"/>
        <v>Oyam</v>
      </c>
      <c r="H575" s="82" t="s">
        <v>2691</v>
      </c>
    </row>
    <row r="576" spans="1:8">
      <c r="A576" s="81">
        <v>807</v>
      </c>
      <c r="B576" s="82" t="s">
        <v>2721</v>
      </c>
      <c r="C576" s="82" t="s">
        <v>2720</v>
      </c>
      <c r="D576" s="82" t="s">
        <v>2726</v>
      </c>
      <c r="E576" s="82"/>
      <c r="F576" s="75" t="str">
        <f t="shared" si="31"/>
        <v>Kameke</v>
      </c>
      <c r="G576" s="75" t="str">
        <f t="shared" si="27"/>
        <v>Pallisa</v>
      </c>
      <c r="H576" s="82" t="s">
        <v>2726</v>
      </c>
    </row>
    <row r="577" spans="1:8">
      <c r="A577" s="81">
        <v>911</v>
      </c>
      <c r="B577" s="82" t="s">
        <v>989</v>
      </c>
      <c r="C577" s="82" t="s">
        <v>991</v>
      </c>
      <c r="D577" s="82" t="s">
        <v>995</v>
      </c>
      <c r="E577" s="82"/>
      <c r="F577" s="75" t="str">
        <f t="shared" si="31"/>
        <v>Kameruka</v>
      </c>
      <c r="G577" s="75" t="str">
        <f t="shared" si="27"/>
        <v>Budaka</v>
      </c>
      <c r="H577" s="82" t="s">
        <v>995</v>
      </c>
    </row>
    <row r="578" spans="1:8">
      <c r="A578" s="81">
        <v>942</v>
      </c>
      <c r="B578" s="82" t="s">
        <v>1067</v>
      </c>
      <c r="C578" s="82" t="s">
        <v>1068</v>
      </c>
      <c r="D578" s="82" t="s">
        <v>1073</v>
      </c>
      <c r="E578" s="82"/>
      <c r="F578" s="75" t="str">
        <f t="shared" si="31"/>
        <v>Kamet</v>
      </c>
      <c r="G578" s="75" t="str">
        <f t="shared" si="27"/>
        <v>Bukwo</v>
      </c>
      <c r="H578" s="82" t="s">
        <v>1073</v>
      </c>
    </row>
    <row r="579" spans="1:8">
      <c r="A579" s="81">
        <v>188</v>
      </c>
      <c r="B579" s="82" t="s">
        <v>1337</v>
      </c>
      <c r="C579" s="82" t="s">
        <v>1338</v>
      </c>
      <c r="D579" s="82" t="s">
        <v>1342</v>
      </c>
      <c r="E579" s="82"/>
      <c r="F579" s="75" t="str">
        <f t="shared" si="31"/>
        <v>Kamion</v>
      </c>
      <c r="G579" s="75" t="str">
        <f t="shared" si="27"/>
        <v>Kaabong</v>
      </c>
      <c r="H579" s="82" t="s">
        <v>1342</v>
      </c>
    </row>
    <row r="580" spans="1:8">
      <c r="A580" s="81">
        <v>431</v>
      </c>
      <c r="B580" s="82" t="s">
        <v>2255</v>
      </c>
      <c r="C580" s="82" t="s">
        <v>2254</v>
      </c>
      <c r="D580" s="82" t="s">
        <v>2264</v>
      </c>
      <c r="E580" s="82"/>
      <c r="F580" s="75" t="str">
        <f t="shared" si="31"/>
        <v>Kamira</v>
      </c>
      <c r="G580" s="75" t="str">
        <f t="shared" si="27"/>
        <v>Luwero</v>
      </c>
      <c r="H580" s="82" t="s">
        <v>2264</v>
      </c>
    </row>
    <row r="581" spans="1:8">
      <c r="A581" s="81">
        <v>452</v>
      </c>
      <c r="B581" s="82" t="s">
        <v>2460</v>
      </c>
      <c r="C581" s="82" t="s">
        <v>2461</v>
      </c>
      <c r="D581" s="82" t="s">
        <v>2462</v>
      </c>
      <c r="E581" s="82"/>
      <c r="F581" s="75" t="str">
        <f t="shared" si="31"/>
        <v>Kammengo</v>
      </c>
      <c r="G581" s="75" t="str">
        <f t="shared" si="27"/>
        <v>Mpigi</v>
      </c>
      <c r="H581" s="82" t="s">
        <v>2462</v>
      </c>
    </row>
    <row r="582" spans="1:8">
      <c r="A582" s="81">
        <v>912</v>
      </c>
      <c r="B582" s="82" t="s">
        <v>989</v>
      </c>
      <c r="C582" s="82" t="s">
        <v>991</v>
      </c>
      <c r="D582" s="82" t="s">
        <v>996</v>
      </c>
      <c r="E582" s="82"/>
      <c r="F582" s="75" t="str">
        <f t="shared" si="31"/>
        <v>Kamonkoli</v>
      </c>
      <c r="G582" s="75" t="str">
        <f t="shared" si="27"/>
        <v>Budaka</v>
      </c>
      <c r="H582" s="82" t="s">
        <v>996</v>
      </c>
    </row>
    <row r="583" spans="1:8">
      <c r="A583" s="81">
        <v>1014</v>
      </c>
      <c r="B583" s="82" t="s">
        <v>1081</v>
      </c>
      <c r="C583" s="82" t="s">
        <v>1081</v>
      </c>
      <c r="D583" s="82" t="s">
        <v>1092</v>
      </c>
      <c r="E583" s="82"/>
      <c r="F583" s="75" t="str">
        <f t="shared" si="31"/>
        <v>Kamu</v>
      </c>
      <c r="G583" s="75" t="str">
        <f t="shared" si="27"/>
        <v>Bulambuli</v>
      </c>
      <c r="H583" s="82" t="s">
        <v>1092</v>
      </c>
    </row>
    <row r="584" spans="1:8">
      <c r="A584" s="81">
        <v>809</v>
      </c>
      <c r="B584" s="82" t="s">
        <v>2835</v>
      </c>
      <c r="C584" s="82" t="s">
        <v>2835</v>
      </c>
      <c r="D584" s="82" t="s">
        <v>2838</v>
      </c>
      <c r="E584" s="82"/>
      <c r="F584" s="75" t="str">
        <f t="shared" si="31"/>
        <v>Kamuda</v>
      </c>
      <c r="G584" s="75" t="str">
        <f t="shared" si="27"/>
        <v>Soroti</v>
      </c>
      <c r="H584" s="82" t="s">
        <v>2838</v>
      </c>
    </row>
    <row r="585" spans="1:8">
      <c r="A585" s="81">
        <v>1155</v>
      </c>
      <c r="B585" s="82" t="s">
        <v>1353</v>
      </c>
      <c r="C585" s="82" t="s">
        <v>1354</v>
      </c>
      <c r="D585" s="82" t="s">
        <v>1359</v>
      </c>
      <c r="E585" s="82"/>
      <c r="F585" s="75" t="str">
        <f t="shared" si="31"/>
        <v>Kamuganguzi</v>
      </c>
      <c r="G585" s="75" t="str">
        <f t="shared" si="27"/>
        <v>Kabale</v>
      </c>
      <c r="H585" s="82" t="s">
        <v>1359</v>
      </c>
    </row>
    <row r="586" spans="1:8">
      <c r="A586" s="81">
        <v>796</v>
      </c>
      <c r="B586" s="82" t="s">
        <v>2721</v>
      </c>
      <c r="C586" s="82" t="s">
        <v>2721</v>
      </c>
      <c r="D586" s="82" t="s">
        <v>2727</v>
      </c>
      <c r="E586" s="82"/>
      <c r="F586" s="75" t="str">
        <f t="shared" si="31"/>
        <v>Kamuge</v>
      </c>
      <c r="G586" s="75" t="str">
        <f t="shared" ref="G586:G649" si="32">B586</f>
        <v>Pallisa</v>
      </c>
      <c r="H586" s="82" t="s">
        <v>2727</v>
      </c>
    </row>
    <row r="587" spans="1:8" ht="25.5">
      <c r="A587" s="81">
        <v>1252</v>
      </c>
      <c r="B587" s="84" t="s">
        <v>2388</v>
      </c>
      <c r="C587" s="85" t="s">
        <v>2395</v>
      </c>
      <c r="D587" s="84" t="s">
        <v>3177</v>
      </c>
      <c r="E587" s="84"/>
      <c r="F587" s="76" t="str">
        <f>VLOOKUP(C587,[2]Municipalities!$C$9:$F$1522,4,FALSE)</f>
        <v>Mbarara Municipality</v>
      </c>
      <c r="G587" s="75" t="str">
        <f t="shared" si="32"/>
        <v>Mbarara</v>
      </c>
      <c r="H587" s="84" t="s">
        <v>3177</v>
      </c>
    </row>
    <row r="588" spans="1:8">
      <c r="A588" s="81">
        <v>1302</v>
      </c>
      <c r="B588" s="82" t="s">
        <v>45</v>
      </c>
      <c r="C588" s="82" t="s">
        <v>1198</v>
      </c>
      <c r="D588" s="82" t="s">
        <v>45</v>
      </c>
      <c r="E588" s="82"/>
      <c r="F588" s="75" t="str">
        <f t="shared" si="31"/>
        <v>Kamwenge</v>
      </c>
      <c r="G588" s="75" t="str">
        <f t="shared" si="32"/>
        <v>Kamwenge</v>
      </c>
      <c r="H588" s="82" t="s">
        <v>45</v>
      </c>
    </row>
    <row r="589" spans="1:8">
      <c r="A589" s="81">
        <v>1303</v>
      </c>
      <c r="B589" s="82" t="s">
        <v>45</v>
      </c>
      <c r="C589" s="82" t="s">
        <v>1198</v>
      </c>
      <c r="D589" s="82" t="s">
        <v>1934</v>
      </c>
      <c r="E589" s="82"/>
      <c r="F589" s="75" t="str">
        <f t="shared" si="31"/>
        <v>Kamwenge Town Council</v>
      </c>
      <c r="G589" s="75" t="str">
        <f t="shared" si="32"/>
        <v>Kamwenge</v>
      </c>
      <c r="H589" s="82" t="s">
        <v>1934</v>
      </c>
    </row>
    <row r="590" spans="1:8">
      <c r="A590" s="81">
        <v>1527</v>
      </c>
      <c r="B590" s="82" t="s">
        <v>2767</v>
      </c>
      <c r="C590" s="82" t="s">
        <v>2767</v>
      </c>
      <c r="D590" s="82" t="s">
        <v>3178</v>
      </c>
      <c r="E590" s="82"/>
      <c r="F590" s="75" t="str">
        <f t="shared" si="31"/>
        <v>Kamwezi</v>
      </c>
      <c r="G590" s="75" t="str">
        <f t="shared" si="32"/>
        <v>Rukiga</v>
      </c>
      <c r="H590" s="82" t="s">
        <v>3178</v>
      </c>
    </row>
    <row r="591" spans="1:8">
      <c r="A591" s="81">
        <v>1221</v>
      </c>
      <c r="B591" s="82" t="s">
        <v>2097</v>
      </c>
      <c r="C591" s="82" t="s">
        <v>2098</v>
      </c>
      <c r="D591" s="82" t="s">
        <v>2101</v>
      </c>
      <c r="E591" s="82"/>
      <c r="F591" s="75" t="str">
        <f t="shared" si="31"/>
        <v>Kanaba</v>
      </c>
      <c r="G591" s="75" t="str">
        <f t="shared" si="32"/>
        <v>Kisoro</v>
      </c>
      <c r="H591" s="82" t="s">
        <v>2101</v>
      </c>
    </row>
    <row r="592" spans="1:8">
      <c r="A592" s="81">
        <v>1308</v>
      </c>
      <c r="B592" s="82" t="s">
        <v>45</v>
      </c>
      <c r="C592" s="82" t="s">
        <v>1929</v>
      </c>
      <c r="D592" s="86" t="s">
        <v>3179</v>
      </c>
      <c r="E592" s="82"/>
      <c r="F592" s="75" t="str">
        <f t="shared" ref="F592:F593" si="33">D592&amp;"-"&amp;B592</f>
        <v>Kanara-Kamwenge</v>
      </c>
      <c r="G592" s="75" t="str">
        <f t="shared" si="32"/>
        <v>Kamwenge</v>
      </c>
      <c r="H592" s="86" t="s">
        <v>3179</v>
      </c>
    </row>
    <row r="593" spans="1:8">
      <c r="A593" s="81">
        <v>1444</v>
      </c>
      <c r="B593" s="82" t="s">
        <v>2631</v>
      </c>
      <c r="C593" s="82" t="s">
        <v>2631</v>
      </c>
      <c r="D593" s="86" t="s">
        <v>3179</v>
      </c>
      <c r="E593" s="82"/>
      <c r="F593" s="75" t="str">
        <f t="shared" si="33"/>
        <v>Kanara-Ntoroko</v>
      </c>
      <c r="G593" s="75" t="str">
        <f t="shared" si="32"/>
        <v>Ntoroko</v>
      </c>
      <c r="H593" s="86" t="s">
        <v>3179</v>
      </c>
    </row>
    <row r="594" spans="1:8">
      <c r="A594" s="81">
        <v>1445</v>
      </c>
      <c r="B594" s="82" t="s">
        <v>2631</v>
      </c>
      <c r="C594" s="82" t="s">
        <v>2631</v>
      </c>
      <c r="D594" s="82" t="s">
        <v>2633</v>
      </c>
      <c r="E594" s="82"/>
      <c r="F594" s="75" t="str">
        <f t="shared" ref="F594" si="34">D594</f>
        <v>Kanara Town Council</v>
      </c>
      <c r="G594" s="75" t="str">
        <f t="shared" si="32"/>
        <v>Ntoroko</v>
      </c>
      <c r="H594" s="82" t="s">
        <v>2633</v>
      </c>
    </row>
    <row r="595" spans="1:8" ht="25.5">
      <c r="A595" s="81">
        <v>76</v>
      </c>
      <c r="B595" s="84" t="s">
        <v>2142</v>
      </c>
      <c r="C595" s="85" t="s">
        <v>2144</v>
      </c>
      <c r="D595" s="84" t="s">
        <v>3180</v>
      </c>
      <c r="E595" s="84"/>
      <c r="F595" s="76" t="str">
        <f>VLOOKUP(C595,[2]Municipalities!$C$9:$F$1522,4,FALSE)</f>
        <v>Kotido Municipality</v>
      </c>
      <c r="G595" s="75" t="str">
        <f t="shared" si="32"/>
        <v>Kotido</v>
      </c>
      <c r="H595" s="84" t="s">
        <v>3180</v>
      </c>
    </row>
    <row r="596" spans="1:8">
      <c r="A596" s="81">
        <v>180</v>
      </c>
      <c r="B596" s="82" t="s">
        <v>1222</v>
      </c>
      <c r="C596" s="82" t="s">
        <v>1222</v>
      </c>
      <c r="D596" s="82" t="s">
        <v>1228</v>
      </c>
      <c r="E596" s="82"/>
      <c r="F596" s="75" t="str">
        <f t="shared" ref="F596:F606" si="35">D596</f>
        <v>Kangai</v>
      </c>
      <c r="G596" s="75" t="str">
        <f t="shared" si="32"/>
        <v>Dokolo</v>
      </c>
      <c r="H596" s="82" t="s">
        <v>1228</v>
      </c>
    </row>
    <row r="597" spans="1:8" ht="25.5">
      <c r="A597" s="81">
        <v>1081</v>
      </c>
      <c r="B597" s="84" t="s">
        <v>1193</v>
      </c>
      <c r="C597" s="84" t="s">
        <v>1194</v>
      </c>
      <c r="D597" s="84" t="s">
        <v>1197</v>
      </c>
      <c r="E597" s="84"/>
      <c r="F597" s="75" t="str">
        <f t="shared" si="35"/>
        <v>Kanginima</v>
      </c>
      <c r="G597" s="75" t="str">
        <f t="shared" si="32"/>
        <v>Butebo</v>
      </c>
      <c r="H597" s="84" t="s">
        <v>1197</v>
      </c>
    </row>
    <row r="598" spans="1:8">
      <c r="A598" s="81">
        <v>298</v>
      </c>
      <c r="B598" s="82" t="s">
        <v>3087</v>
      </c>
      <c r="C598" s="82" t="s">
        <v>3088</v>
      </c>
      <c r="D598" s="82" t="s">
        <v>3091</v>
      </c>
      <c r="E598" s="82"/>
      <c r="F598" s="75" t="str">
        <f t="shared" si="35"/>
        <v>Kango</v>
      </c>
      <c r="G598" s="75" t="str">
        <f t="shared" si="32"/>
        <v>Zombo</v>
      </c>
      <c r="H598" s="82" t="s">
        <v>3091</v>
      </c>
    </row>
    <row r="599" spans="1:8">
      <c r="A599" s="81">
        <v>528</v>
      </c>
      <c r="B599" s="82" t="s">
        <v>2017</v>
      </c>
      <c r="C599" s="82" t="s">
        <v>2019</v>
      </c>
      <c r="D599" s="82" t="s">
        <v>2021</v>
      </c>
      <c r="E599" s="82"/>
      <c r="F599" s="75" t="str">
        <f t="shared" si="35"/>
        <v>Kangulumira</v>
      </c>
      <c r="G599" s="75" t="str">
        <f t="shared" si="32"/>
        <v>Kayunga</v>
      </c>
      <c r="H599" s="82" t="s">
        <v>2021</v>
      </c>
    </row>
    <row r="600" spans="1:8">
      <c r="A600" s="81">
        <v>1390</v>
      </c>
      <c r="B600" s="82" t="s">
        <v>2064</v>
      </c>
      <c r="C600" s="82" t="s">
        <v>2065</v>
      </c>
      <c r="D600" s="82" t="s">
        <v>2068</v>
      </c>
      <c r="E600" s="82"/>
      <c r="F600" s="75" t="str">
        <f t="shared" si="35"/>
        <v>Kanoni</v>
      </c>
      <c r="G600" s="75" t="str">
        <f t="shared" si="32"/>
        <v>Kiruhura</v>
      </c>
      <c r="H600" s="82" t="s">
        <v>2068</v>
      </c>
    </row>
    <row r="601" spans="1:8">
      <c r="A601" s="81">
        <v>627</v>
      </c>
      <c r="B601" s="82" t="s">
        <v>1233</v>
      </c>
      <c r="C601" s="82" t="s">
        <v>1233</v>
      </c>
      <c r="D601" s="82" t="s">
        <v>1234</v>
      </c>
      <c r="E601" s="82"/>
      <c r="F601" s="75" t="str">
        <f t="shared" si="35"/>
        <v>Kanoni Town Council</v>
      </c>
      <c r="G601" s="75" t="str">
        <f t="shared" si="32"/>
        <v>Gomba</v>
      </c>
      <c r="H601" s="82" t="s">
        <v>1234</v>
      </c>
    </row>
    <row r="602" spans="1:8">
      <c r="A602" s="81">
        <v>1316</v>
      </c>
      <c r="B602" s="82" t="s">
        <v>1945</v>
      </c>
      <c r="C602" s="82" t="s">
        <v>1946</v>
      </c>
      <c r="D602" s="82" t="s">
        <v>1949</v>
      </c>
      <c r="E602" s="82"/>
      <c r="F602" s="75" t="str">
        <f t="shared" si="35"/>
        <v>Kanungu Town Council</v>
      </c>
      <c r="G602" s="75" t="str">
        <f t="shared" si="32"/>
        <v>Kanungu</v>
      </c>
      <c r="H602" s="82" t="s">
        <v>1949</v>
      </c>
    </row>
    <row r="603" spans="1:8">
      <c r="A603" s="81">
        <v>1432</v>
      </c>
      <c r="B603" s="82" t="s">
        <v>46</v>
      </c>
      <c r="C603" s="82" t="s">
        <v>2405</v>
      </c>
      <c r="D603" s="82" t="s">
        <v>2406</v>
      </c>
      <c r="E603" s="82"/>
      <c r="F603" s="75" t="str">
        <f t="shared" si="35"/>
        <v>Kanyabwanga</v>
      </c>
      <c r="G603" s="75" t="str">
        <f t="shared" si="32"/>
        <v>Mitooma</v>
      </c>
      <c r="H603" s="82" t="s">
        <v>2406</v>
      </c>
    </row>
    <row r="604" spans="1:8">
      <c r="A604" s="81">
        <v>1317</v>
      </c>
      <c r="B604" s="82" t="s">
        <v>1945</v>
      </c>
      <c r="C604" s="82" t="s">
        <v>1946</v>
      </c>
      <c r="D604" s="82" t="s">
        <v>1950</v>
      </c>
      <c r="E604" s="82"/>
      <c r="F604" s="75" t="str">
        <f t="shared" si="35"/>
        <v>Kanyantorogo</v>
      </c>
      <c r="G604" s="75" t="str">
        <f t="shared" si="32"/>
        <v>Kanungu</v>
      </c>
      <c r="H604" s="82" t="s">
        <v>1950</v>
      </c>
    </row>
    <row r="605" spans="1:8">
      <c r="A605" s="81">
        <v>1395</v>
      </c>
      <c r="B605" s="82" t="s">
        <v>2064</v>
      </c>
      <c r="C605" s="82" t="s">
        <v>2070</v>
      </c>
      <c r="D605" s="82" t="s">
        <v>2069</v>
      </c>
      <c r="E605" s="82"/>
      <c r="F605" s="75" t="str">
        <f t="shared" si="35"/>
        <v>Kanyaryeru</v>
      </c>
      <c r="G605" s="75" t="str">
        <f t="shared" si="32"/>
        <v>Kiruhura</v>
      </c>
      <c r="H605" s="82" t="s">
        <v>2069</v>
      </c>
    </row>
    <row r="606" spans="1:8">
      <c r="A606" s="81">
        <v>764</v>
      </c>
      <c r="B606" s="82" t="s">
        <v>2149</v>
      </c>
      <c r="C606" s="82" t="s">
        <v>2149</v>
      </c>
      <c r="D606" s="82" t="s">
        <v>2150</v>
      </c>
      <c r="E606" s="82"/>
      <c r="F606" s="75" t="str">
        <f t="shared" si="35"/>
        <v>Kanyum</v>
      </c>
      <c r="G606" s="75" t="str">
        <f t="shared" si="32"/>
        <v>Kumi</v>
      </c>
      <c r="H606" s="82" t="s">
        <v>2150</v>
      </c>
    </row>
    <row r="607" spans="1:8" ht="25.5">
      <c r="A607" s="81">
        <v>77</v>
      </c>
      <c r="B607" s="84" t="s">
        <v>2142</v>
      </c>
      <c r="C607" s="85" t="s">
        <v>2144</v>
      </c>
      <c r="D607" s="84" t="s">
        <v>3181</v>
      </c>
      <c r="E607" s="84"/>
      <c r="F607" s="76" t="str">
        <f>VLOOKUP(C607,[2]Municipalities!$C$9:$F$1522,4,FALSE)</f>
        <v>Kotido Municipality</v>
      </c>
      <c r="G607" s="75" t="str">
        <f t="shared" si="32"/>
        <v>Kotido</v>
      </c>
      <c r="H607" s="84" t="s">
        <v>3181</v>
      </c>
    </row>
    <row r="608" spans="1:8">
      <c r="A608" s="81">
        <v>189</v>
      </c>
      <c r="B608" s="82" t="s">
        <v>1337</v>
      </c>
      <c r="C608" s="82" t="s">
        <v>1338</v>
      </c>
      <c r="D608" s="82" t="s">
        <v>1343</v>
      </c>
      <c r="E608" s="82"/>
      <c r="F608" s="75" t="str">
        <f t="shared" ref="F608:F621" si="36">D608</f>
        <v>Kapedo</v>
      </c>
      <c r="G608" s="75" t="str">
        <f t="shared" si="32"/>
        <v>Kaabong</v>
      </c>
      <c r="H608" s="82" t="s">
        <v>1343</v>
      </c>
    </row>
    <row r="609" spans="1:8">
      <c r="A609" s="81">
        <v>580</v>
      </c>
      <c r="B609" s="82" t="s">
        <v>2537</v>
      </c>
      <c r="C609" s="82" t="s">
        <v>2537</v>
      </c>
      <c r="D609" s="82" t="s">
        <v>2538</v>
      </c>
      <c r="E609" s="82"/>
      <c r="F609" s="75" t="str">
        <f t="shared" si="36"/>
        <v>Kapeeka</v>
      </c>
      <c r="G609" s="75" t="str">
        <f t="shared" si="32"/>
        <v>Nakaseke</v>
      </c>
      <c r="H609" s="82" t="s">
        <v>2538</v>
      </c>
    </row>
    <row r="610" spans="1:8">
      <c r="A610" s="81">
        <v>424</v>
      </c>
      <c r="B610" s="82" t="s">
        <v>2042</v>
      </c>
      <c r="C610" s="82" t="s">
        <v>2042</v>
      </c>
      <c r="D610" s="82" t="s">
        <v>2046</v>
      </c>
      <c r="E610" s="82"/>
      <c r="F610" s="75" t="str">
        <f t="shared" si="36"/>
        <v>Kapeke</v>
      </c>
      <c r="G610" s="75" t="str">
        <f t="shared" si="32"/>
        <v>Kiboga</v>
      </c>
      <c r="H610" s="82" t="s">
        <v>2046</v>
      </c>
    </row>
    <row r="611" spans="1:8">
      <c r="A611" s="81">
        <v>899</v>
      </c>
      <c r="B611" s="82" t="s">
        <v>921</v>
      </c>
      <c r="C611" s="82" t="s">
        <v>923</v>
      </c>
      <c r="D611" s="82" t="s">
        <v>923</v>
      </c>
      <c r="E611" s="82"/>
      <c r="F611" s="75" t="str">
        <f t="shared" si="36"/>
        <v>Kapelebyong</v>
      </c>
      <c r="G611" s="75" t="str">
        <f t="shared" si="32"/>
        <v>Amuria</v>
      </c>
      <c r="H611" s="82" t="s">
        <v>923</v>
      </c>
    </row>
    <row r="612" spans="1:8">
      <c r="A612" s="81">
        <v>1063</v>
      </c>
      <c r="B612" s="82" t="s">
        <v>2626</v>
      </c>
      <c r="C612" s="82" t="s">
        <v>2626</v>
      </c>
      <c r="D612" s="82" t="s">
        <v>2625</v>
      </c>
      <c r="E612" s="82"/>
      <c r="F612" s="75" t="str">
        <f t="shared" si="36"/>
        <v>Kapir</v>
      </c>
      <c r="G612" s="75" t="str">
        <f t="shared" si="32"/>
        <v>Ngora</v>
      </c>
      <c r="H612" s="82" t="s">
        <v>2625</v>
      </c>
    </row>
    <row r="613" spans="1:8">
      <c r="A613" s="81">
        <v>1037</v>
      </c>
      <c r="B613" s="82" t="s">
        <v>2156</v>
      </c>
      <c r="C613" s="82" t="s">
        <v>2156</v>
      </c>
      <c r="D613" s="82" t="s">
        <v>2159</v>
      </c>
      <c r="E613" s="82"/>
      <c r="F613" s="75" t="str">
        <f t="shared" si="36"/>
        <v>Kaproron</v>
      </c>
      <c r="G613" s="75" t="str">
        <f t="shared" si="32"/>
        <v>Kween</v>
      </c>
      <c r="H613" s="82" t="s">
        <v>2159</v>
      </c>
    </row>
    <row r="614" spans="1:8">
      <c r="A614" s="81">
        <v>744</v>
      </c>
      <c r="B614" s="82" t="s">
        <v>1964</v>
      </c>
      <c r="C614" s="82" t="s">
        <v>1965</v>
      </c>
      <c r="D614" s="82" t="s">
        <v>1971</v>
      </c>
      <c r="E614" s="82"/>
      <c r="F614" s="75" t="str">
        <f t="shared" si="36"/>
        <v>Kapsinda</v>
      </c>
      <c r="G614" s="75" t="str">
        <f t="shared" si="32"/>
        <v>Kapchorwa</v>
      </c>
      <c r="H614" s="82" t="s">
        <v>1971</v>
      </c>
    </row>
    <row r="615" spans="1:8">
      <c r="A615" s="81">
        <v>745</v>
      </c>
      <c r="B615" s="82" t="s">
        <v>1964</v>
      </c>
      <c r="C615" s="82" t="s">
        <v>1965</v>
      </c>
      <c r="D615" s="82" t="s">
        <v>1972</v>
      </c>
      <c r="E615" s="82"/>
      <c r="F615" s="75" t="str">
        <f t="shared" si="36"/>
        <v>Kaptanya</v>
      </c>
      <c r="G615" s="75" t="str">
        <f t="shared" si="32"/>
        <v>Kapchorwa</v>
      </c>
      <c r="H615" s="82" t="s">
        <v>1972</v>
      </c>
    </row>
    <row r="616" spans="1:8">
      <c r="A616" s="81">
        <v>943</v>
      </c>
      <c r="B616" s="82" t="s">
        <v>1067</v>
      </c>
      <c r="C616" s="82" t="s">
        <v>1068</v>
      </c>
      <c r="D616" s="82" t="s">
        <v>1074</v>
      </c>
      <c r="E616" s="82"/>
      <c r="F616" s="75" t="str">
        <f t="shared" si="36"/>
        <v>Kaptererwo</v>
      </c>
      <c r="G616" s="75" t="str">
        <f t="shared" si="32"/>
        <v>Bukwo</v>
      </c>
      <c r="H616" s="82" t="s">
        <v>1074</v>
      </c>
    </row>
    <row r="617" spans="1:8">
      <c r="A617" s="81">
        <v>1038</v>
      </c>
      <c r="B617" s="82" t="s">
        <v>2156</v>
      </c>
      <c r="C617" s="82" t="s">
        <v>2156</v>
      </c>
      <c r="D617" s="82" t="s">
        <v>2160</v>
      </c>
      <c r="E617" s="82"/>
      <c r="F617" s="75" t="str">
        <f t="shared" si="36"/>
        <v>Kaptoyoy</v>
      </c>
      <c r="G617" s="75" t="str">
        <f t="shared" si="32"/>
        <v>Kween</v>
      </c>
      <c r="H617" s="82" t="s">
        <v>2160</v>
      </c>
    </row>
    <row r="618" spans="1:8">
      <c r="A618" s="81">
        <v>1039</v>
      </c>
      <c r="B618" s="82" t="s">
        <v>2156</v>
      </c>
      <c r="C618" s="82" t="s">
        <v>2156</v>
      </c>
      <c r="D618" s="82" t="s">
        <v>2161</v>
      </c>
      <c r="E618" s="82"/>
      <c r="F618" s="75" t="str">
        <f t="shared" si="36"/>
        <v>Kaptum</v>
      </c>
      <c r="G618" s="75" t="str">
        <f t="shared" si="32"/>
        <v>Kween</v>
      </c>
      <c r="H618" s="82" t="s">
        <v>2161</v>
      </c>
    </row>
    <row r="619" spans="1:8">
      <c r="A619" s="81">
        <v>753</v>
      </c>
      <c r="B619" s="82" t="s">
        <v>2007</v>
      </c>
      <c r="C619" s="82" t="s">
        <v>2008</v>
      </c>
      <c r="D619" s="82" t="s">
        <v>2006</v>
      </c>
      <c r="E619" s="82"/>
      <c r="F619" s="75" t="str">
        <f t="shared" si="36"/>
        <v>Kapujan</v>
      </c>
      <c r="G619" s="75" t="str">
        <f t="shared" si="32"/>
        <v>Katakwi</v>
      </c>
      <c r="H619" s="82" t="s">
        <v>2006</v>
      </c>
    </row>
    <row r="620" spans="1:8">
      <c r="A620" s="81">
        <v>677</v>
      </c>
      <c r="B620" s="82" t="s">
        <v>1020</v>
      </c>
      <c r="C620" s="82" t="s">
        <v>1021</v>
      </c>
      <c r="D620" s="82" t="s">
        <v>1028</v>
      </c>
      <c r="E620" s="82"/>
      <c r="F620" s="75" t="str">
        <f t="shared" si="36"/>
        <v>Kapyanga</v>
      </c>
      <c r="G620" s="75" t="str">
        <f t="shared" si="32"/>
        <v>Bugiri</v>
      </c>
      <c r="H620" s="82" t="s">
        <v>1028</v>
      </c>
    </row>
    <row r="621" spans="1:8">
      <c r="A621" s="81">
        <v>1165</v>
      </c>
      <c r="B621" s="82" t="s">
        <v>1367</v>
      </c>
      <c r="C621" s="82" t="s">
        <v>1368</v>
      </c>
      <c r="D621" s="82" t="s">
        <v>1375</v>
      </c>
      <c r="E621" s="82"/>
      <c r="F621" s="75" t="str">
        <f t="shared" si="36"/>
        <v>Karago Town Council</v>
      </c>
      <c r="G621" s="75" t="str">
        <f t="shared" si="32"/>
        <v>Kabarole</v>
      </c>
      <c r="H621" s="82" t="s">
        <v>1375</v>
      </c>
    </row>
    <row r="622" spans="1:8">
      <c r="A622" s="81">
        <v>1166</v>
      </c>
      <c r="B622" s="82" t="s">
        <v>1367</v>
      </c>
      <c r="C622" s="82" t="s">
        <v>1368</v>
      </c>
      <c r="D622" s="86" t="s">
        <v>3182</v>
      </c>
      <c r="E622" s="82"/>
      <c r="F622" s="75" t="str">
        <f t="shared" ref="F622:F623" si="37">D622&amp;"-"&amp;B622</f>
        <v>Karambi-Kabarole</v>
      </c>
      <c r="G622" s="75" t="str">
        <f t="shared" si="32"/>
        <v>Kabarole</v>
      </c>
      <c r="H622" s="86" t="s">
        <v>3182</v>
      </c>
    </row>
    <row r="623" spans="1:8">
      <c r="A623" s="81">
        <v>1181</v>
      </c>
      <c r="B623" s="82" t="s">
        <v>36</v>
      </c>
      <c r="C623" s="82" t="s">
        <v>1111</v>
      </c>
      <c r="D623" s="86" t="s">
        <v>3182</v>
      </c>
      <c r="E623" s="82"/>
      <c r="F623" s="75" t="str">
        <f t="shared" si="37"/>
        <v>Karambi-Kasese</v>
      </c>
      <c r="G623" s="75" t="str">
        <f t="shared" si="32"/>
        <v>Kasese</v>
      </c>
      <c r="H623" s="86" t="s">
        <v>3182</v>
      </c>
    </row>
    <row r="624" spans="1:8">
      <c r="A624" s="81">
        <v>1167</v>
      </c>
      <c r="B624" s="82" t="s">
        <v>1367</v>
      </c>
      <c r="C624" s="82" t="s">
        <v>1368</v>
      </c>
      <c r="D624" s="82" t="s">
        <v>1377</v>
      </c>
      <c r="E624" s="82"/>
      <c r="F624" s="75" t="str">
        <f t="shared" ref="F624:F632" si="38">D624</f>
        <v>Karangura</v>
      </c>
      <c r="G624" s="75" t="str">
        <f t="shared" si="32"/>
        <v>Kabarole</v>
      </c>
      <c r="H624" s="82" t="s">
        <v>1377</v>
      </c>
    </row>
    <row r="625" spans="1:8">
      <c r="A625" s="81">
        <v>254</v>
      </c>
      <c r="B625" s="82" t="s">
        <v>915</v>
      </c>
      <c r="C625" s="82" t="s">
        <v>916</v>
      </c>
      <c r="D625" s="82" t="s">
        <v>918</v>
      </c>
      <c r="E625" s="82"/>
      <c r="F625" s="75" t="str">
        <f t="shared" si="38"/>
        <v>Karita</v>
      </c>
      <c r="G625" s="75" t="str">
        <f t="shared" si="32"/>
        <v>Amudat</v>
      </c>
      <c r="H625" s="82" t="s">
        <v>918</v>
      </c>
    </row>
    <row r="626" spans="1:8">
      <c r="A626" s="81">
        <v>1446</v>
      </c>
      <c r="B626" s="82" t="s">
        <v>2631</v>
      </c>
      <c r="C626" s="82" t="s">
        <v>2631</v>
      </c>
      <c r="D626" s="82" t="s">
        <v>2635</v>
      </c>
      <c r="E626" s="82"/>
      <c r="F626" s="75" t="str">
        <f t="shared" si="38"/>
        <v>Karugutu</v>
      </c>
      <c r="G626" s="75" t="str">
        <f t="shared" si="32"/>
        <v>Ntoroko</v>
      </c>
      <c r="H626" s="82" t="s">
        <v>2635</v>
      </c>
    </row>
    <row r="627" spans="1:8">
      <c r="A627" s="81">
        <v>1447</v>
      </c>
      <c r="B627" s="82" t="s">
        <v>2631</v>
      </c>
      <c r="C627" s="82" t="s">
        <v>2631</v>
      </c>
      <c r="D627" s="82" t="s">
        <v>2636</v>
      </c>
      <c r="E627" s="82"/>
      <c r="F627" s="75" t="str">
        <f t="shared" si="38"/>
        <v>Karugutu Town Council</v>
      </c>
      <c r="G627" s="75" t="str">
        <f t="shared" si="32"/>
        <v>Ntoroko</v>
      </c>
      <c r="H627" s="82" t="s">
        <v>2636</v>
      </c>
    </row>
    <row r="628" spans="1:8" ht="25.5">
      <c r="A628" s="81">
        <v>1241</v>
      </c>
      <c r="B628" s="84" t="s">
        <v>2337</v>
      </c>
      <c r="C628" s="85" t="s">
        <v>2342</v>
      </c>
      <c r="D628" s="84" t="s">
        <v>3183</v>
      </c>
      <c r="E628" s="82"/>
      <c r="F628" s="76" t="str">
        <f>VLOOKUP(C628,[2]Municipalities!$C$9:$F$1522,4,FALSE)</f>
        <v>Masindi Municipality</v>
      </c>
      <c r="G628" s="75" t="str">
        <f t="shared" si="32"/>
        <v>Masindi</v>
      </c>
      <c r="H628" s="84" t="s">
        <v>3183</v>
      </c>
    </row>
    <row r="629" spans="1:8">
      <c r="A629" s="81">
        <v>1409</v>
      </c>
      <c r="B629" s="82" t="s">
        <v>1033</v>
      </c>
      <c r="C629" s="82" t="s">
        <v>1033</v>
      </c>
      <c r="D629" s="82" t="s">
        <v>1037</v>
      </c>
      <c r="E629" s="82"/>
      <c r="F629" s="75" t="str">
        <f t="shared" si="38"/>
        <v>Karungu</v>
      </c>
      <c r="G629" s="75" t="str">
        <f t="shared" si="32"/>
        <v>Buhweju</v>
      </c>
      <c r="H629" s="82" t="s">
        <v>1037</v>
      </c>
    </row>
    <row r="630" spans="1:8">
      <c r="A630" s="81">
        <v>1196</v>
      </c>
      <c r="B630" s="82" t="s">
        <v>36</v>
      </c>
      <c r="C630" s="82" t="s">
        <v>1978</v>
      </c>
      <c r="D630" s="82" t="s">
        <v>1985</v>
      </c>
      <c r="E630" s="82"/>
      <c r="F630" s="75" t="str">
        <f t="shared" si="38"/>
        <v>Karusandara</v>
      </c>
      <c r="G630" s="75" t="str">
        <f t="shared" si="32"/>
        <v>Kasese</v>
      </c>
      <c r="H630" s="82" t="s">
        <v>1985</v>
      </c>
    </row>
    <row r="631" spans="1:8">
      <c r="A631" s="81">
        <v>1464</v>
      </c>
      <c r="B631" s="82" t="s">
        <v>41</v>
      </c>
      <c r="C631" s="82" t="s">
        <v>41</v>
      </c>
      <c r="D631" s="82" t="s">
        <v>2802</v>
      </c>
      <c r="E631" s="82"/>
      <c r="F631" s="75" t="str">
        <f t="shared" si="38"/>
        <v>Kasaana</v>
      </c>
      <c r="G631" s="75" t="str">
        <f t="shared" si="32"/>
        <v>Sheema</v>
      </c>
      <c r="H631" s="82" t="s">
        <v>2802</v>
      </c>
    </row>
    <row r="632" spans="1:8">
      <c r="A632" s="81">
        <v>560</v>
      </c>
      <c r="B632" s="82" t="s">
        <v>2286</v>
      </c>
      <c r="C632" s="82" t="s">
        <v>2287</v>
      </c>
      <c r="D632" s="82" t="s">
        <v>2288</v>
      </c>
      <c r="E632" s="82"/>
      <c r="F632" s="75" t="str">
        <f t="shared" si="38"/>
        <v>Kasagama</v>
      </c>
      <c r="G632" s="75" t="str">
        <f t="shared" si="32"/>
        <v>Lyantonde</v>
      </c>
      <c r="H632" s="82" t="s">
        <v>2288</v>
      </c>
    </row>
    <row r="633" spans="1:8">
      <c r="A633" s="81">
        <v>463</v>
      </c>
      <c r="B633" s="82" t="s">
        <v>2473</v>
      </c>
      <c r="C633" s="82" t="s">
        <v>2474</v>
      </c>
      <c r="D633" s="86" t="s">
        <v>2474</v>
      </c>
      <c r="E633" s="82"/>
      <c r="F633" s="75" t="str">
        <f t="shared" ref="F633:F634" si="39">D633&amp;"-"&amp;B633</f>
        <v>Kasambya-Mubende</v>
      </c>
      <c r="G633" s="75" t="str">
        <f t="shared" si="32"/>
        <v>Mubende</v>
      </c>
      <c r="H633" s="86" t="s">
        <v>2474</v>
      </c>
    </row>
    <row r="634" spans="1:8">
      <c r="A634" s="81">
        <v>1499</v>
      </c>
      <c r="B634" s="82" t="s">
        <v>1417</v>
      </c>
      <c r="C634" s="82" t="s">
        <v>1418</v>
      </c>
      <c r="D634" s="86" t="s">
        <v>2474</v>
      </c>
      <c r="E634" s="82"/>
      <c r="F634" s="75" t="str">
        <f t="shared" si="39"/>
        <v>Kasambya-Kakumiro</v>
      </c>
      <c r="G634" s="75" t="str">
        <f t="shared" si="32"/>
        <v>Kakumiro</v>
      </c>
      <c r="H634" s="86" t="s">
        <v>2474</v>
      </c>
    </row>
    <row r="635" spans="1:8">
      <c r="A635" s="81">
        <v>551</v>
      </c>
      <c r="B635" s="82" t="s">
        <v>2879</v>
      </c>
      <c r="C635" s="82" t="s">
        <v>1733</v>
      </c>
      <c r="D635" s="82" t="s">
        <v>2933</v>
      </c>
      <c r="E635" s="82"/>
      <c r="F635" s="75" t="str">
        <f t="shared" ref="F635:F647" si="40">D635</f>
        <v>Kasangati Town Council</v>
      </c>
      <c r="G635" s="75" t="str">
        <f t="shared" si="32"/>
        <v>Wakiso</v>
      </c>
      <c r="H635" s="82" t="s">
        <v>2933</v>
      </c>
    </row>
    <row r="636" spans="1:8">
      <c r="A636" s="81">
        <v>581</v>
      </c>
      <c r="B636" s="82" t="s">
        <v>2537</v>
      </c>
      <c r="C636" s="82" t="s">
        <v>2537</v>
      </c>
      <c r="D636" s="82" t="s">
        <v>2539</v>
      </c>
      <c r="E636" s="82"/>
      <c r="F636" s="75" t="str">
        <f t="shared" si="40"/>
        <v>Kasangombe</v>
      </c>
      <c r="G636" s="75" t="str">
        <f t="shared" si="32"/>
        <v>Nakaseke</v>
      </c>
      <c r="H636" s="82" t="s">
        <v>2539</v>
      </c>
    </row>
    <row r="637" spans="1:8">
      <c r="A637" s="81">
        <v>535</v>
      </c>
      <c r="B637" s="82" t="s">
        <v>2879</v>
      </c>
      <c r="C637" s="82" t="s">
        <v>2882</v>
      </c>
      <c r="D637" s="82" t="s">
        <v>2938</v>
      </c>
      <c r="E637" s="82"/>
      <c r="F637" s="75" t="str">
        <f t="shared" si="40"/>
        <v>Kasanje</v>
      </c>
      <c r="G637" s="75" t="str">
        <f t="shared" si="32"/>
        <v>Wakiso</v>
      </c>
      <c r="H637" s="82" t="s">
        <v>2938</v>
      </c>
    </row>
    <row r="638" spans="1:8">
      <c r="A638" s="81">
        <v>659</v>
      </c>
      <c r="B638" s="82" t="s">
        <v>2216</v>
      </c>
      <c r="C638" s="82" t="s">
        <v>2220</v>
      </c>
      <c r="D638" s="82" t="s">
        <v>2219</v>
      </c>
      <c r="E638" s="82"/>
      <c r="F638" s="75" t="str">
        <f t="shared" si="40"/>
        <v>Kasasa</v>
      </c>
      <c r="G638" s="75" t="str">
        <f t="shared" si="32"/>
        <v>Kyotera</v>
      </c>
      <c r="H638" s="82" t="s">
        <v>2219</v>
      </c>
    </row>
    <row r="639" spans="1:8">
      <c r="A639" s="81">
        <v>1029</v>
      </c>
      <c r="B639" s="82" t="s">
        <v>2054</v>
      </c>
      <c r="C639" s="82" t="s">
        <v>2054</v>
      </c>
      <c r="D639" s="82" t="s">
        <v>2059</v>
      </c>
      <c r="E639" s="82"/>
      <c r="F639" s="75" t="str">
        <f t="shared" si="40"/>
        <v>Kasasira</v>
      </c>
      <c r="G639" s="75" t="str">
        <f t="shared" si="32"/>
        <v>Kibuku</v>
      </c>
      <c r="H639" s="82" t="s">
        <v>2059</v>
      </c>
    </row>
    <row r="640" spans="1:8">
      <c r="A640" s="81">
        <v>487</v>
      </c>
      <c r="B640" s="82" t="s">
        <v>2500</v>
      </c>
      <c r="C640" s="82" t="s">
        <v>2501</v>
      </c>
      <c r="D640" s="82" t="s">
        <v>2499</v>
      </c>
      <c r="E640" s="82"/>
      <c r="F640" s="75" t="str">
        <f t="shared" si="40"/>
        <v>Kasawo</v>
      </c>
      <c r="G640" s="75" t="str">
        <f t="shared" si="32"/>
        <v>Mukono</v>
      </c>
      <c r="H640" s="82" t="s">
        <v>2499</v>
      </c>
    </row>
    <row r="641" spans="1:8">
      <c r="A641" s="81">
        <v>1168</v>
      </c>
      <c r="B641" s="82" t="s">
        <v>1367</v>
      </c>
      <c r="C641" s="82" t="s">
        <v>1368</v>
      </c>
      <c r="D641" s="82" t="s">
        <v>1378</v>
      </c>
      <c r="E641" s="82"/>
      <c r="F641" s="75" t="str">
        <f t="shared" si="40"/>
        <v>Kasenda</v>
      </c>
      <c r="G641" s="75" t="str">
        <f t="shared" si="32"/>
        <v>Kabarole</v>
      </c>
      <c r="H641" s="82" t="s">
        <v>1378</v>
      </c>
    </row>
    <row r="642" spans="1:8">
      <c r="A642" s="81">
        <v>746</v>
      </c>
      <c r="B642" s="82" t="s">
        <v>1964</v>
      </c>
      <c r="C642" s="82" t="s">
        <v>1965</v>
      </c>
      <c r="D642" s="82" t="s">
        <v>1973</v>
      </c>
      <c r="E642" s="82"/>
      <c r="F642" s="75" t="str">
        <f t="shared" si="40"/>
        <v>Kaserem</v>
      </c>
      <c r="G642" s="75" t="str">
        <f t="shared" si="32"/>
        <v>Kapchorwa</v>
      </c>
      <c r="H642" s="82" t="s">
        <v>1973</v>
      </c>
    </row>
    <row r="643" spans="1:8">
      <c r="A643" s="81">
        <v>1528</v>
      </c>
      <c r="B643" s="82" t="s">
        <v>3184</v>
      </c>
      <c r="C643" s="82" t="s">
        <v>2767</v>
      </c>
      <c r="D643" s="82" t="s">
        <v>3185</v>
      </c>
      <c r="E643" s="82"/>
      <c r="F643" s="75" t="str">
        <f t="shared" si="40"/>
        <v>Kashambya</v>
      </c>
      <c r="G643" s="75" t="str">
        <f t="shared" si="32"/>
        <v>Rukiga</v>
      </c>
      <c r="H643" s="82" t="s">
        <v>3185</v>
      </c>
    </row>
    <row r="644" spans="1:8">
      <c r="A644" s="81">
        <v>1247</v>
      </c>
      <c r="B644" s="82" t="s">
        <v>2388</v>
      </c>
      <c r="C644" s="82" t="s">
        <v>2389</v>
      </c>
      <c r="D644" s="82" t="s">
        <v>2394</v>
      </c>
      <c r="E644" s="82"/>
      <c r="F644" s="75" t="str">
        <f t="shared" si="40"/>
        <v>Kashare</v>
      </c>
      <c r="G644" s="75" t="str">
        <f t="shared" si="32"/>
        <v>Mbarara</v>
      </c>
      <c r="H644" s="82" t="s">
        <v>2394</v>
      </c>
    </row>
    <row r="645" spans="1:8">
      <c r="A645" s="81">
        <v>1433</v>
      </c>
      <c r="B645" s="82" t="s">
        <v>46</v>
      </c>
      <c r="C645" s="82" t="s">
        <v>2405</v>
      </c>
      <c r="D645" s="82" t="s">
        <v>2407</v>
      </c>
      <c r="E645" s="82"/>
      <c r="F645" s="75" t="str">
        <f t="shared" si="40"/>
        <v>Kashenshero</v>
      </c>
      <c r="G645" s="75" t="str">
        <f t="shared" si="32"/>
        <v>Mitooma</v>
      </c>
      <c r="H645" s="82" t="s">
        <v>2407</v>
      </c>
    </row>
    <row r="646" spans="1:8">
      <c r="A646" s="81">
        <v>1434</v>
      </c>
      <c r="B646" s="82" t="s">
        <v>46</v>
      </c>
      <c r="C646" s="82" t="s">
        <v>2405</v>
      </c>
      <c r="D646" s="82" t="s">
        <v>2408</v>
      </c>
      <c r="E646" s="82"/>
      <c r="F646" s="75" t="str">
        <f t="shared" si="40"/>
        <v>Kashenshero Town Council</v>
      </c>
      <c r="G646" s="75" t="str">
        <f t="shared" si="32"/>
        <v>Mitooma</v>
      </c>
      <c r="H646" s="82" t="s">
        <v>2408</v>
      </c>
    </row>
    <row r="647" spans="1:8">
      <c r="A647" s="81">
        <v>1396</v>
      </c>
      <c r="B647" s="82" t="s">
        <v>2064</v>
      </c>
      <c r="C647" s="82" t="s">
        <v>2070</v>
      </c>
      <c r="D647" s="82" t="s">
        <v>2071</v>
      </c>
      <c r="E647" s="82"/>
      <c r="F647" s="75" t="str">
        <f t="shared" si="40"/>
        <v>Kashongi</v>
      </c>
      <c r="G647" s="75" t="str">
        <f t="shared" si="32"/>
        <v>Kiruhura</v>
      </c>
      <c r="H647" s="82" t="s">
        <v>2071</v>
      </c>
    </row>
    <row r="648" spans="1:8" ht="25.5">
      <c r="A648" s="81">
        <v>1475</v>
      </c>
      <c r="B648" s="82" t="s">
        <v>41</v>
      </c>
      <c r="C648" s="83" t="s">
        <v>2799</v>
      </c>
      <c r="D648" s="82" t="s">
        <v>3186</v>
      </c>
      <c r="E648" s="82"/>
      <c r="F648" s="76" t="str">
        <f>VLOOKUP(C648,[2]Municipalities!$C$9:$F$1522,4,FALSE)</f>
        <v>Sheema Municipality</v>
      </c>
      <c r="G648" s="75" t="str">
        <f t="shared" si="32"/>
        <v>Sheema</v>
      </c>
      <c r="H648" s="82" t="s">
        <v>3186</v>
      </c>
    </row>
    <row r="649" spans="1:8">
      <c r="A649" s="81">
        <v>1070</v>
      </c>
      <c r="B649" s="82" t="s">
        <v>2786</v>
      </c>
      <c r="C649" s="82" t="s">
        <v>2788</v>
      </c>
      <c r="D649" s="82" t="s">
        <v>2790</v>
      </c>
      <c r="E649" s="82"/>
      <c r="F649" s="75" t="str">
        <f t="shared" ref="F649:F676" si="41">D649</f>
        <v>Kasilo Town Council</v>
      </c>
      <c r="G649" s="75" t="str">
        <f t="shared" si="32"/>
        <v>Serere</v>
      </c>
      <c r="H649" s="82" t="s">
        <v>2790</v>
      </c>
    </row>
    <row r="650" spans="1:8">
      <c r="A650" s="81">
        <v>1217</v>
      </c>
      <c r="B650" s="82" t="s">
        <v>2031</v>
      </c>
      <c r="C650" s="82" t="s">
        <v>2032</v>
      </c>
      <c r="D650" s="82" t="s">
        <v>2035</v>
      </c>
      <c r="E650" s="82"/>
      <c r="F650" s="75" t="str">
        <f t="shared" si="41"/>
        <v>Kasimbi</v>
      </c>
      <c r="G650" s="75" t="str">
        <f t="shared" ref="G650:G713" si="42">B650</f>
        <v>Kibaale</v>
      </c>
      <c r="H650" s="82" t="s">
        <v>2035</v>
      </c>
    </row>
    <row r="651" spans="1:8">
      <c r="A651" s="81">
        <v>1108</v>
      </c>
      <c r="B651" s="82" t="s">
        <v>1108</v>
      </c>
      <c r="C651" s="82" t="s">
        <v>1112</v>
      </c>
      <c r="D651" s="82" t="s">
        <v>1119</v>
      </c>
      <c r="E651" s="82"/>
      <c r="F651" s="75" t="str">
        <f t="shared" si="41"/>
        <v>Kasitu</v>
      </c>
      <c r="G651" s="75" t="str">
        <f t="shared" si="42"/>
        <v>Bundibugyo</v>
      </c>
      <c r="H651" s="82" t="s">
        <v>1119</v>
      </c>
    </row>
    <row r="652" spans="1:8">
      <c r="A652" s="81">
        <v>797</v>
      </c>
      <c r="B652" s="82" t="s">
        <v>2721</v>
      </c>
      <c r="C652" s="82" t="s">
        <v>2721</v>
      </c>
      <c r="D652" s="82" t="s">
        <v>2728</v>
      </c>
      <c r="E652" s="82"/>
      <c r="F652" s="75" t="str">
        <f t="shared" si="41"/>
        <v>Kasodo</v>
      </c>
      <c r="G652" s="75" t="str">
        <f t="shared" si="42"/>
        <v>Pallisa</v>
      </c>
      <c r="H652" s="82" t="s">
        <v>2728</v>
      </c>
    </row>
    <row r="653" spans="1:8">
      <c r="A653" s="81">
        <v>967</v>
      </c>
      <c r="B653" s="82" t="s">
        <v>1439</v>
      </c>
      <c r="C653" s="82" t="s">
        <v>1278</v>
      </c>
      <c r="D653" s="82" t="s">
        <v>1446</v>
      </c>
      <c r="E653" s="82"/>
      <c r="F653" s="75" t="str">
        <f t="shared" si="41"/>
        <v>Kasokwe</v>
      </c>
      <c r="G653" s="75" t="str">
        <f t="shared" si="42"/>
        <v>Kaliro</v>
      </c>
      <c r="H653" s="82" t="s">
        <v>1446</v>
      </c>
    </row>
    <row r="654" spans="1:8">
      <c r="A654" s="81">
        <v>469</v>
      </c>
      <c r="B654" s="82" t="s">
        <v>2473</v>
      </c>
      <c r="C654" s="82" t="s">
        <v>2476</v>
      </c>
      <c r="D654" s="82" t="s">
        <v>2476</v>
      </c>
      <c r="E654" s="82"/>
      <c r="F654" s="75" t="str">
        <f t="shared" si="41"/>
        <v>Kassanda</v>
      </c>
      <c r="G654" s="75" t="str">
        <f t="shared" si="42"/>
        <v>Mubende</v>
      </c>
      <c r="H654" s="82" t="s">
        <v>2476</v>
      </c>
    </row>
    <row r="655" spans="1:8">
      <c r="A655" s="81">
        <v>1424</v>
      </c>
      <c r="B655" s="82" t="s">
        <v>2187</v>
      </c>
      <c r="C655" s="82" t="s">
        <v>2188</v>
      </c>
      <c r="D655" s="82" t="s">
        <v>2191</v>
      </c>
      <c r="E655" s="82"/>
      <c r="F655" s="75" t="str">
        <f t="shared" si="41"/>
        <v>Kasule</v>
      </c>
      <c r="G655" s="75" t="str">
        <f t="shared" si="42"/>
        <v>Kyegegwa</v>
      </c>
      <c r="H655" s="82" t="s">
        <v>2191</v>
      </c>
    </row>
    <row r="656" spans="1:8">
      <c r="A656" s="81">
        <v>536</v>
      </c>
      <c r="B656" s="82" t="s">
        <v>2879</v>
      </c>
      <c r="C656" s="82" t="s">
        <v>2882</v>
      </c>
      <c r="D656" s="82" t="s">
        <v>2940</v>
      </c>
      <c r="E656" s="82"/>
      <c r="F656" s="75" t="str">
        <f t="shared" si="41"/>
        <v>Katabi Town Council</v>
      </c>
      <c r="G656" s="75" t="str">
        <f t="shared" si="42"/>
        <v>Wakiso</v>
      </c>
      <c r="H656" s="82" t="s">
        <v>2940</v>
      </c>
    </row>
    <row r="657" spans="1:8">
      <c r="A657" s="81">
        <v>757</v>
      </c>
      <c r="B657" s="82" t="s">
        <v>2007</v>
      </c>
      <c r="C657" s="82" t="s">
        <v>2009</v>
      </c>
      <c r="D657" s="82" t="s">
        <v>2007</v>
      </c>
      <c r="E657" s="82"/>
      <c r="F657" s="75" t="str">
        <f t="shared" si="41"/>
        <v>Katakwi</v>
      </c>
      <c r="G657" s="75" t="str">
        <f t="shared" si="42"/>
        <v>Katakwi</v>
      </c>
      <c r="H657" s="82" t="s">
        <v>2007</v>
      </c>
    </row>
    <row r="658" spans="1:8">
      <c r="A658" s="81">
        <v>758</v>
      </c>
      <c r="B658" s="82" t="s">
        <v>2007</v>
      </c>
      <c r="C658" s="82" t="s">
        <v>2009</v>
      </c>
      <c r="D658" s="82" t="s">
        <v>2010</v>
      </c>
      <c r="E658" s="82"/>
      <c r="F658" s="75" t="str">
        <f t="shared" si="41"/>
        <v>Katakwi Town Council</v>
      </c>
      <c r="G658" s="75" t="str">
        <f t="shared" si="42"/>
        <v>Katakwi</v>
      </c>
      <c r="H658" s="82" t="s">
        <v>2010</v>
      </c>
    </row>
    <row r="659" spans="1:8">
      <c r="A659" s="81">
        <v>1458</v>
      </c>
      <c r="B659" s="82" t="s">
        <v>2756</v>
      </c>
      <c r="C659" s="82" t="s">
        <v>2757</v>
      </c>
      <c r="D659" s="82" t="s">
        <v>2755</v>
      </c>
      <c r="E659" s="82"/>
      <c r="F659" s="75" t="str">
        <f t="shared" si="41"/>
        <v>Katanda</v>
      </c>
      <c r="G659" s="75" t="str">
        <f t="shared" si="42"/>
        <v>Rubirizi</v>
      </c>
      <c r="H659" s="82" t="s">
        <v>2755</v>
      </c>
    </row>
    <row r="660" spans="1:8">
      <c r="A660" s="81">
        <v>1517</v>
      </c>
      <c r="B660" s="82" t="s">
        <v>1131</v>
      </c>
      <c r="C660" s="82" t="s">
        <v>1131</v>
      </c>
      <c r="D660" s="82" t="s">
        <v>1134</v>
      </c>
      <c r="E660" s="82"/>
      <c r="F660" s="75" t="str">
        <f t="shared" si="41"/>
        <v>Katebwa</v>
      </c>
      <c r="G660" s="75" t="str">
        <f t="shared" si="42"/>
        <v>Bunyangabu</v>
      </c>
      <c r="H660" s="82" t="s">
        <v>1134</v>
      </c>
    </row>
    <row r="661" spans="1:8">
      <c r="A661" s="81">
        <v>1435</v>
      </c>
      <c r="B661" s="82" t="s">
        <v>46</v>
      </c>
      <c r="C661" s="82" t="s">
        <v>2405</v>
      </c>
      <c r="D661" s="82" t="s">
        <v>2409</v>
      </c>
      <c r="E661" s="82"/>
      <c r="F661" s="75" t="str">
        <f t="shared" si="41"/>
        <v>Katenga</v>
      </c>
      <c r="G661" s="75" t="str">
        <f t="shared" si="42"/>
        <v>Mitooma</v>
      </c>
      <c r="H661" s="82" t="s">
        <v>2409</v>
      </c>
    </row>
    <row r="662" spans="1:8">
      <c r="A662" s="81">
        <v>1459</v>
      </c>
      <c r="B662" s="82" t="s">
        <v>2756</v>
      </c>
      <c r="C662" s="82" t="s">
        <v>2757</v>
      </c>
      <c r="D662" s="82" t="s">
        <v>2757</v>
      </c>
      <c r="E662" s="82"/>
      <c r="F662" s="75" t="str">
        <f t="shared" si="41"/>
        <v>Katerera</v>
      </c>
      <c r="G662" s="75" t="str">
        <f t="shared" si="42"/>
        <v>Rubirizi</v>
      </c>
      <c r="H662" s="82" t="s">
        <v>2757</v>
      </c>
    </row>
    <row r="663" spans="1:8">
      <c r="A663" s="81">
        <v>1460</v>
      </c>
      <c r="B663" s="82" t="s">
        <v>2756</v>
      </c>
      <c r="C663" s="82" t="s">
        <v>2757</v>
      </c>
      <c r="D663" s="82" t="s">
        <v>2758</v>
      </c>
      <c r="E663" s="82"/>
      <c r="F663" s="75" t="str">
        <f t="shared" si="41"/>
        <v>Katerera Town Council</v>
      </c>
      <c r="G663" s="75" t="str">
        <f t="shared" si="42"/>
        <v>Rubirizi</v>
      </c>
      <c r="H663" s="82" t="s">
        <v>2758</v>
      </c>
    </row>
    <row r="664" spans="1:8">
      <c r="A664" s="81">
        <v>1074</v>
      </c>
      <c r="B664" s="82" t="s">
        <v>2786</v>
      </c>
      <c r="C664" s="82" t="s">
        <v>2786</v>
      </c>
      <c r="D664" s="82" t="s">
        <v>2791</v>
      </c>
      <c r="E664" s="82"/>
      <c r="F664" s="75" t="str">
        <f t="shared" si="41"/>
        <v>Kateta</v>
      </c>
      <c r="G664" s="75" t="str">
        <f t="shared" si="42"/>
        <v>Serere</v>
      </c>
      <c r="H664" s="82" t="s">
        <v>2791</v>
      </c>
    </row>
    <row r="665" spans="1:8">
      <c r="A665" s="81">
        <v>1318</v>
      </c>
      <c r="B665" s="82" t="s">
        <v>1945</v>
      </c>
      <c r="C665" s="82" t="s">
        <v>1946</v>
      </c>
      <c r="D665" s="82" t="s">
        <v>1951</v>
      </c>
      <c r="E665" s="82"/>
      <c r="F665" s="75" t="str">
        <f t="shared" si="41"/>
        <v>Katete</v>
      </c>
      <c r="G665" s="75" t="str">
        <f t="shared" si="42"/>
        <v>Kanungu</v>
      </c>
      <c r="H665" s="82" t="s">
        <v>1951</v>
      </c>
    </row>
    <row r="666" spans="1:8">
      <c r="A666" s="81">
        <v>190</v>
      </c>
      <c r="B666" s="82" t="s">
        <v>1337</v>
      </c>
      <c r="C666" s="82" t="s">
        <v>1338</v>
      </c>
      <c r="D666" s="82" t="s">
        <v>1344</v>
      </c>
      <c r="E666" s="82"/>
      <c r="F666" s="75" t="str">
        <f t="shared" si="41"/>
        <v>Kathile</v>
      </c>
      <c r="G666" s="75" t="str">
        <f t="shared" si="42"/>
        <v>Kaabong</v>
      </c>
      <c r="H666" s="82" t="s">
        <v>1344</v>
      </c>
    </row>
    <row r="667" spans="1:8">
      <c r="A667" s="81">
        <v>913</v>
      </c>
      <c r="B667" s="82" t="s">
        <v>989</v>
      </c>
      <c r="C667" s="82" t="s">
        <v>991</v>
      </c>
      <c r="D667" s="82" t="s">
        <v>997</v>
      </c>
      <c r="E667" s="82"/>
      <c r="F667" s="75" t="str">
        <f t="shared" si="41"/>
        <v>Katiira</v>
      </c>
      <c r="G667" s="75" t="str">
        <f t="shared" si="42"/>
        <v>Budaka</v>
      </c>
      <c r="H667" s="82" t="s">
        <v>997</v>
      </c>
    </row>
    <row r="668" spans="1:8">
      <c r="A668" s="81">
        <v>436</v>
      </c>
      <c r="B668" s="82" t="s">
        <v>2255</v>
      </c>
      <c r="C668" s="82" t="s">
        <v>2257</v>
      </c>
      <c r="D668" s="82" t="s">
        <v>2257</v>
      </c>
      <c r="E668" s="82"/>
      <c r="F668" s="75" t="str">
        <f t="shared" si="41"/>
        <v>Katikamu</v>
      </c>
      <c r="G668" s="75" t="str">
        <f t="shared" si="42"/>
        <v>Luwero</v>
      </c>
      <c r="H668" s="82" t="s">
        <v>2257</v>
      </c>
    </row>
    <row r="669" spans="1:8">
      <c r="A669" s="81">
        <v>92</v>
      </c>
      <c r="B669" s="82" t="s">
        <v>893</v>
      </c>
      <c r="C669" s="82" t="s">
        <v>2442</v>
      </c>
      <c r="D669" s="82" t="s">
        <v>2441</v>
      </c>
      <c r="E669" s="82"/>
      <c r="F669" s="75" t="str">
        <f t="shared" si="41"/>
        <v>Katikekile</v>
      </c>
      <c r="G669" s="75" t="str">
        <f t="shared" si="42"/>
        <v>Moroto</v>
      </c>
      <c r="H669" s="82" t="s">
        <v>2441</v>
      </c>
    </row>
    <row r="670" spans="1:8">
      <c r="A670" s="81">
        <v>811</v>
      </c>
      <c r="B670" s="82" t="s">
        <v>2835</v>
      </c>
      <c r="C670" s="82" t="s">
        <v>2835</v>
      </c>
      <c r="D670" s="82" t="s">
        <v>2839</v>
      </c>
      <c r="E670" s="82"/>
      <c r="F670" s="75" t="str">
        <f t="shared" si="41"/>
        <v>Katine</v>
      </c>
      <c r="G670" s="75" t="str">
        <f t="shared" si="42"/>
        <v>Soroti</v>
      </c>
      <c r="H670" s="82" t="s">
        <v>2839</v>
      </c>
    </row>
    <row r="671" spans="1:8">
      <c r="A671" s="81">
        <v>1335</v>
      </c>
      <c r="B671" s="82" t="s">
        <v>2198</v>
      </c>
      <c r="C671" s="82" t="s">
        <v>2199</v>
      </c>
      <c r="D671" s="82" t="s">
        <v>2204</v>
      </c>
      <c r="E671" s="82"/>
      <c r="F671" s="75" t="str">
        <f t="shared" si="41"/>
        <v>Katooke</v>
      </c>
      <c r="G671" s="75" t="str">
        <f t="shared" si="42"/>
        <v>Kyenjojo</v>
      </c>
      <c r="H671" s="82" t="s">
        <v>2204</v>
      </c>
    </row>
    <row r="672" spans="1:8">
      <c r="A672" s="81">
        <v>1336</v>
      </c>
      <c r="B672" s="82" t="s">
        <v>2198</v>
      </c>
      <c r="C672" s="82" t="s">
        <v>2199</v>
      </c>
      <c r="D672" s="82" t="s">
        <v>2205</v>
      </c>
      <c r="E672" s="82"/>
      <c r="F672" s="75" t="str">
        <f t="shared" si="41"/>
        <v>Katooke Town Council</v>
      </c>
      <c r="G672" s="75" t="str">
        <f t="shared" si="42"/>
        <v>Kyenjojo</v>
      </c>
      <c r="H672" s="82" t="s">
        <v>2205</v>
      </c>
    </row>
    <row r="673" spans="1:9">
      <c r="A673" s="81">
        <v>42</v>
      </c>
      <c r="B673" s="82" t="s">
        <v>959</v>
      </c>
      <c r="C673" s="82" t="s">
        <v>962</v>
      </c>
      <c r="D673" s="82" t="s">
        <v>974</v>
      </c>
      <c r="E673" s="82"/>
      <c r="F673" s="75" t="str">
        <f t="shared" si="41"/>
        <v>Katrini</v>
      </c>
      <c r="G673" s="75" t="str">
        <f t="shared" si="42"/>
        <v>Arua</v>
      </c>
      <c r="H673" s="82" t="s">
        <v>974</v>
      </c>
    </row>
    <row r="674" spans="1:9">
      <c r="A674" s="81">
        <v>1156</v>
      </c>
      <c r="B674" s="82" t="s">
        <v>1353</v>
      </c>
      <c r="C674" s="82" t="s">
        <v>1354</v>
      </c>
      <c r="D674" s="82" t="s">
        <v>1360</v>
      </c>
      <c r="E674" s="82"/>
      <c r="F674" s="75" t="str">
        <f t="shared" si="41"/>
        <v>Katuna Town Council</v>
      </c>
      <c r="G674" s="75" t="str">
        <f t="shared" si="42"/>
        <v>Kabale</v>
      </c>
      <c r="H674" s="82" t="s">
        <v>1360</v>
      </c>
    </row>
    <row r="675" spans="1:9">
      <c r="A675" s="81">
        <v>1452</v>
      </c>
      <c r="B675" s="82" t="s">
        <v>2756</v>
      </c>
      <c r="C675" s="82" t="s">
        <v>49</v>
      </c>
      <c r="D675" s="82" t="s">
        <v>2759</v>
      </c>
      <c r="E675" s="82"/>
      <c r="F675" s="75" t="str">
        <f t="shared" si="41"/>
        <v>Katunguru</v>
      </c>
      <c r="G675" s="75" t="str">
        <f t="shared" si="42"/>
        <v>Rubirizi</v>
      </c>
      <c r="H675" s="82" t="s">
        <v>2759</v>
      </c>
    </row>
    <row r="676" spans="1:9" ht="25.5">
      <c r="A676" s="81">
        <v>1197</v>
      </c>
      <c r="B676" s="82" t="s">
        <v>36</v>
      </c>
      <c r="C676" s="82" t="s">
        <v>1978</v>
      </c>
      <c r="D676" s="82" t="s">
        <v>1988</v>
      </c>
      <c r="E676" s="82"/>
      <c r="F676" s="75" t="str">
        <f t="shared" si="41"/>
        <v>Katwe Kabatoro Town Council</v>
      </c>
      <c r="G676" s="75" t="str">
        <f t="shared" si="42"/>
        <v>Kasese</v>
      </c>
      <c r="H676" s="82" t="s">
        <v>1988</v>
      </c>
    </row>
    <row r="677" spans="1:9" ht="25.5">
      <c r="A677" s="81">
        <v>448</v>
      </c>
      <c r="B677" s="82" t="s">
        <v>39</v>
      </c>
      <c r="C677" s="83" t="s">
        <v>2326</v>
      </c>
      <c r="D677" s="82" t="s">
        <v>3187</v>
      </c>
      <c r="E677" s="82"/>
      <c r="F677" s="76" t="str">
        <f>VLOOKUP(C677,[2]Municipalities!$C$9:$F$1522,4,FALSE)</f>
        <v>Masaka Municipality</v>
      </c>
      <c r="G677" s="75" t="str">
        <f t="shared" si="42"/>
        <v>Masaka</v>
      </c>
      <c r="H677" s="82" t="s">
        <v>3187</v>
      </c>
    </row>
    <row r="678" spans="1:9">
      <c r="A678" s="81">
        <v>191</v>
      </c>
      <c r="B678" s="82" t="s">
        <v>1337</v>
      </c>
      <c r="C678" s="82" t="s">
        <v>1338</v>
      </c>
      <c r="D678" s="82" t="s">
        <v>1345</v>
      </c>
      <c r="E678" s="82"/>
      <c r="F678" s="75" t="str">
        <f t="shared" ref="F678" si="43">D678</f>
        <v>Kawalakol</v>
      </c>
      <c r="G678" s="75" t="str">
        <f t="shared" si="42"/>
        <v>Kaabong</v>
      </c>
      <c r="H678" s="82" t="s">
        <v>1345</v>
      </c>
    </row>
    <row r="679" spans="1:9">
      <c r="A679" s="81">
        <v>345</v>
      </c>
      <c r="B679" s="82" t="s">
        <v>1460</v>
      </c>
      <c r="C679" s="82" t="s">
        <v>1461</v>
      </c>
      <c r="D679" s="82" t="s">
        <v>1492</v>
      </c>
      <c r="E679" s="86" t="s">
        <v>3188</v>
      </c>
      <c r="F679" s="75" t="str">
        <f>[2]KCCA!F679</f>
        <v>Bwaise</v>
      </c>
      <c r="G679" s="75" t="str">
        <f t="shared" si="42"/>
        <v>Kampala</v>
      </c>
      <c r="H679" s="82" t="s">
        <v>1492</v>
      </c>
    </row>
    <row r="680" spans="1:9">
      <c r="A680" s="81">
        <v>346</v>
      </c>
      <c r="B680" s="82" t="s">
        <v>1460</v>
      </c>
      <c r="C680" s="82" t="s">
        <v>1461</v>
      </c>
      <c r="D680" s="82" t="s">
        <v>1492</v>
      </c>
      <c r="E680" s="86" t="s">
        <v>3189</v>
      </c>
      <c r="F680" s="75" t="s">
        <v>1491</v>
      </c>
      <c r="G680" s="75" t="str">
        <f t="shared" si="42"/>
        <v>Kampala</v>
      </c>
      <c r="H680" s="82" t="s">
        <v>1492</v>
      </c>
      <c r="I680" s="87" t="s">
        <v>3148</v>
      </c>
    </row>
    <row r="681" spans="1:9">
      <c r="A681" s="81">
        <v>347</v>
      </c>
      <c r="B681" s="82" t="s">
        <v>1460</v>
      </c>
      <c r="C681" s="82" t="s">
        <v>1461</v>
      </c>
      <c r="D681" s="82" t="s">
        <v>1492</v>
      </c>
      <c r="E681" s="86" t="s">
        <v>3190</v>
      </c>
      <c r="F681" s="75" t="s">
        <v>1491</v>
      </c>
      <c r="G681" s="75" t="str">
        <f t="shared" si="42"/>
        <v>Kampala</v>
      </c>
      <c r="H681" s="82" t="s">
        <v>1492</v>
      </c>
      <c r="I681" s="87" t="s">
        <v>3148</v>
      </c>
    </row>
    <row r="682" spans="1:9">
      <c r="A682" s="81">
        <v>348</v>
      </c>
      <c r="B682" s="82" t="s">
        <v>1460</v>
      </c>
      <c r="C682" s="82" t="s">
        <v>1461</v>
      </c>
      <c r="D682" s="82" t="s">
        <v>1492</v>
      </c>
      <c r="E682" s="82" t="s">
        <v>1682</v>
      </c>
      <c r="F682" s="75" t="str">
        <f>[2]KCCA!F682</f>
        <v>Kanyanya</v>
      </c>
      <c r="G682" s="75" t="str">
        <f t="shared" si="42"/>
        <v>Kampala</v>
      </c>
      <c r="H682" s="82" t="s">
        <v>1492</v>
      </c>
    </row>
    <row r="683" spans="1:9">
      <c r="A683" s="81">
        <v>349</v>
      </c>
      <c r="B683" s="82" t="s">
        <v>1460</v>
      </c>
      <c r="C683" s="82" t="s">
        <v>1461</v>
      </c>
      <c r="D683" s="82" t="s">
        <v>1492</v>
      </c>
      <c r="E683" s="86" t="s">
        <v>3191</v>
      </c>
      <c r="F683" s="75" t="str">
        <f>[2]KCCA!F683</f>
        <v>Kawempe</v>
      </c>
      <c r="G683" s="75" t="str">
        <f t="shared" si="42"/>
        <v>Kampala</v>
      </c>
      <c r="H683" s="82" t="s">
        <v>1492</v>
      </c>
    </row>
    <row r="684" spans="1:9">
      <c r="A684" s="81">
        <v>350</v>
      </c>
      <c r="B684" s="82" t="s">
        <v>1460</v>
      </c>
      <c r="C684" s="82" t="s">
        <v>1461</v>
      </c>
      <c r="D684" s="82" t="s">
        <v>1492</v>
      </c>
      <c r="E684" s="86" t="s">
        <v>3192</v>
      </c>
      <c r="F684" s="75" t="s">
        <v>1699</v>
      </c>
      <c r="G684" s="75" t="str">
        <f t="shared" si="42"/>
        <v>Kampala</v>
      </c>
      <c r="H684" s="82" t="s">
        <v>1492</v>
      </c>
      <c r="I684" s="87" t="s">
        <v>3148</v>
      </c>
    </row>
    <row r="685" spans="1:9">
      <c r="A685" s="81">
        <v>351</v>
      </c>
      <c r="B685" s="82" t="s">
        <v>1460</v>
      </c>
      <c r="C685" s="82" t="s">
        <v>1461</v>
      </c>
      <c r="D685" s="82" t="s">
        <v>1492</v>
      </c>
      <c r="E685" s="82" t="s">
        <v>1702</v>
      </c>
      <c r="F685" s="75" t="str">
        <f>[2]KCCA!F685</f>
        <v>Kazo Angola</v>
      </c>
      <c r="G685" s="75" t="str">
        <f t="shared" si="42"/>
        <v>Kampala</v>
      </c>
      <c r="H685" s="82" t="s">
        <v>1492</v>
      </c>
    </row>
    <row r="686" spans="1:9">
      <c r="A686" s="81">
        <v>352</v>
      </c>
      <c r="B686" s="82" t="s">
        <v>1460</v>
      </c>
      <c r="C686" s="82" t="s">
        <v>1461</v>
      </c>
      <c r="D686" s="82" t="s">
        <v>1492</v>
      </c>
      <c r="E686" s="82" t="s">
        <v>1705</v>
      </c>
      <c r="F686" s="75" t="str">
        <f>[2]KCCA!F686</f>
        <v>Kikaaya</v>
      </c>
      <c r="G686" s="75" t="str">
        <f t="shared" si="42"/>
        <v>Kampala</v>
      </c>
      <c r="H686" s="82" t="s">
        <v>1492</v>
      </c>
    </row>
    <row r="687" spans="1:9">
      <c r="A687" s="81">
        <v>353</v>
      </c>
      <c r="B687" s="82" t="s">
        <v>1460</v>
      </c>
      <c r="C687" s="82" t="s">
        <v>1461</v>
      </c>
      <c r="D687" s="82" t="s">
        <v>1492</v>
      </c>
      <c r="E687" s="82" t="s">
        <v>1742</v>
      </c>
      <c r="F687" s="75" t="str">
        <f>[2]KCCA!F687</f>
        <v>Komamboga</v>
      </c>
      <c r="G687" s="75" t="str">
        <f t="shared" si="42"/>
        <v>Kampala</v>
      </c>
      <c r="H687" s="82" t="s">
        <v>1492</v>
      </c>
    </row>
    <row r="688" spans="1:9">
      <c r="A688" s="81">
        <v>354</v>
      </c>
      <c r="B688" s="82" t="s">
        <v>1460</v>
      </c>
      <c r="C688" s="82" t="s">
        <v>1461</v>
      </c>
      <c r="D688" s="82" t="s">
        <v>1492</v>
      </c>
      <c r="E688" s="82" t="s">
        <v>1748</v>
      </c>
      <c r="F688" s="75" t="str">
        <f>[2]KCCA!F688</f>
        <v>Kyebando</v>
      </c>
      <c r="G688" s="75" t="str">
        <f t="shared" si="42"/>
        <v>Kampala</v>
      </c>
      <c r="H688" s="82" t="s">
        <v>1492</v>
      </c>
    </row>
    <row r="689" spans="1:9">
      <c r="A689" s="81">
        <v>355</v>
      </c>
      <c r="B689" s="82" t="s">
        <v>1460</v>
      </c>
      <c r="C689" s="82" t="s">
        <v>1461</v>
      </c>
      <c r="D689" s="82" t="s">
        <v>1492</v>
      </c>
      <c r="E689" s="86" t="s">
        <v>3193</v>
      </c>
      <c r="F689" s="75" t="str">
        <f>[2]KCCA!F689</f>
        <v>Makerere</v>
      </c>
      <c r="G689" s="75" t="str">
        <f t="shared" si="42"/>
        <v>Kampala</v>
      </c>
      <c r="H689" s="82" t="s">
        <v>1492</v>
      </c>
    </row>
    <row r="690" spans="1:9">
      <c r="A690" s="81">
        <v>356</v>
      </c>
      <c r="B690" s="82" t="s">
        <v>1460</v>
      </c>
      <c r="C690" s="82" t="s">
        <v>1461</v>
      </c>
      <c r="D690" s="82" t="s">
        <v>1492</v>
      </c>
      <c r="E690" s="86" t="s">
        <v>3194</v>
      </c>
      <c r="F690" s="75" t="s">
        <v>1762</v>
      </c>
      <c r="G690" s="75" t="str">
        <f t="shared" si="42"/>
        <v>Kampala</v>
      </c>
      <c r="H690" s="82" t="s">
        <v>1492</v>
      </c>
      <c r="I690" s="87" t="s">
        <v>3148</v>
      </c>
    </row>
    <row r="691" spans="1:9">
      <c r="A691" s="81">
        <v>357</v>
      </c>
      <c r="B691" s="82" t="s">
        <v>1460</v>
      </c>
      <c r="C691" s="82" t="s">
        <v>1461</v>
      </c>
      <c r="D691" s="82" t="s">
        <v>1492</v>
      </c>
      <c r="E691" s="86" t="s">
        <v>3195</v>
      </c>
      <c r="F691" s="75" t="s">
        <v>1762</v>
      </c>
      <c r="G691" s="75" t="str">
        <f t="shared" si="42"/>
        <v>Kampala</v>
      </c>
      <c r="H691" s="82" t="s">
        <v>1492</v>
      </c>
      <c r="I691" s="87" t="s">
        <v>3148</v>
      </c>
    </row>
    <row r="692" spans="1:9" ht="25.5">
      <c r="A692" s="81">
        <v>358</v>
      </c>
      <c r="B692" s="82" t="s">
        <v>1460</v>
      </c>
      <c r="C692" s="82" t="s">
        <v>1461</v>
      </c>
      <c r="D692" s="82" t="s">
        <v>1492</v>
      </c>
      <c r="E692" s="82" t="s">
        <v>1767</v>
      </c>
      <c r="F692" s="75" t="str">
        <f>[2]KCCA!F692</f>
        <v>Makerere University</v>
      </c>
      <c r="G692" s="75" t="str">
        <f t="shared" si="42"/>
        <v>Kampala</v>
      </c>
      <c r="H692" s="82" t="s">
        <v>1492</v>
      </c>
    </row>
    <row r="693" spans="1:9">
      <c r="A693" s="81">
        <v>359</v>
      </c>
      <c r="B693" s="82" t="s">
        <v>1460</v>
      </c>
      <c r="C693" s="82" t="s">
        <v>1461</v>
      </c>
      <c r="D693" s="82" t="s">
        <v>1492</v>
      </c>
      <c r="E693" s="82" t="s">
        <v>1776</v>
      </c>
      <c r="F693" s="75" t="str">
        <f>[2]KCCA!F693</f>
        <v>Mpererwe</v>
      </c>
      <c r="G693" s="75" t="str">
        <f t="shared" si="42"/>
        <v>Kampala</v>
      </c>
      <c r="H693" s="82" t="s">
        <v>1492</v>
      </c>
    </row>
    <row r="694" spans="1:9">
      <c r="A694" s="81">
        <v>360</v>
      </c>
      <c r="B694" s="82" t="s">
        <v>1460</v>
      </c>
      <c r="C694" s="82" t="s">
        <v>1461</v>
      </c>
      <c r="D694" s="82" t="s">
        <v>1492</v>
      </c>
      <c r="E694" s="86" t="s">
        <v>3196</v>
      </c>
      <c r="F694" s="75" t="str">
        <f>[2]KCCA!F694</f>
        <v>Mulago</v>
      </c>
      <c r="G694" s="75" t="str">
        <f t="shared" si="42"/>
        <v>Kampala</v>
      </c>
      <c r="H694" s="82" t="s">
        <v>1492</v>
      </c>
    </row>
    <row r="695" spans="1:9">
      <c r="A695" s="81">
        <v>361</v>
      </c>
      <c r="B695" s="82" t="s">
        <v>1460</v>
      </c>
      <c r="C695" s="82" t="s">
        <v>1461</v>
      </c>
      <c r="D695" s="82" t="s">
        <v>1492</v>
      </c>
      <c r="E695" s="86" t="s">
        <v>3197</v>
      </c>
      <c r="F695" s="75" t="s">
        <v>1786</v>
      </c>
      <c r="G695" s="75" t="str">
        <f t="shared" si="42"/>
        <v>Kampala</v>
      </c>
      <c r="H695" s="82" t="s">
        <v>1492</v>
      </c>
      <c r="I695" s="87" t="s">
        <v>3148</v>
      </c>
    </row>
    <row r="696" spans="1:9">
      <c r="A696" s="81">
        <v>362</v>
      </c>
      <c r="B696" s="82" t="s">
        <v>1460</v>
      </c>
      <c r="C696" s="82" t="s">
        <v>1461</v>
      </c>
      <c r="D696" s="82" t="s">
        <v>1492</v>
      </c>
      <c r="E696" s="86" t="s">
        <v>3198</v>
      </c>
      <c r="F696" s="75" t="s">
        <v>1786</v>
      </c>
      <c r="G696" s="75" t="str">
        <f t="shared" si="42"/>
        <v>Kampala</v>
      </c>
      <c r="H696" s="82" t="s">
        <v>1492</v>
      </c>
      <c r="I696" s="87" t="s">
        <v>3148</v>
      </c>
    </row>
    <row r="697" spans="1:9">
      <c r="A697" s="81">
        <v>363</v>
      </c>
      <c r="B697" s="82" t="s">
        <v>1460</v>
      </c>
      <c r="C697" s="82" t="s">
        <v>1461</v>
      </c>
      <c r="D697" s="82" t="s">
        <v>1492</v>
      </c>
      <c r="E697" s="82" t="s">
        <v>1903</v>
      </c>
      <c r="F697" s="75" t="str">
        <f>[2]KCCA!F697</f>
        <v>Wandegeya</v>
      </c>
      <c r="G697" s="75" t="str">
        <f t="shared" si="42"/>
        <v>Kampala</v>
      </c>
      <c r="H697" s="82" t="s">
        <v>1492</v>
      </c>
    </row>
    <row r="698" spans="1:9" ht="25.5">
      <c r="A698" s="81">
        <v>601</v>
      </c>
      <c r="B698" s="82" t="s">
        <v>1041</v>
      </c>
      <c r="C698" s="83" t="s">
        <v>1048</v>
      </c>
      <c r="D698" s="82" t="s">
        <v>3199</v>
      </c>
      <c r="E698" s="82"/>
      <c r="F698" s="76" t="str">
        <f>VLOOKUP(C698,[2]Municipalities!$C$9:$F$1522,4,FALSE)</f>
        <v>Lugazi Municipality</v>
      </c>
      <c r="G698" s="75" t="str">
        <f t="shared" si="42"/>
        <v>Buikwe</v>
      </c>
      <c r="H698" s="82" t="s">
        <v>3199</v>
      </c>
    </row>
    <row r="699" spans="1:9">
      <c r="A699" s="81">
        <v>747</v>
      </c>
      <c r="B699" s="82" t="s">
        <v>1964</v>
      </c>
      <c r="C699" s="82" t="s">
        <v>1965</v>
      </c>
      <c r="D699" s="82" t="s">
        <v>1974</v>
      </c>
      <c r="E699" s="82"/>
      <c r="F699" s="75" t="str">
        <f t="shared" ref="F699" si="44">D699</f>
        <v>Kawowo</v>
      </c>
      <c r="G699" s="75" t="str">
        <f t="shared" si="42"/>
        <v>Kapchorwa</v>
      </c>
      <c r="H699" s="82" t="s">
        <v>1974</v>
      </c>
    </row>
    <row r="700" spans="1:9">
      <c r="A700" s="81">
        <v>525</v>
      </c>
      <c r="B700" s="82" t="s">
        <v>2017</v>
      </c>
      <c r="C700" s="82" t="s">
        <v>2016</v>
      </c>
      <c r="D700" s="86" t="s">
        <v>3200</v>
      </c>
      <c r="E700" s="82"/>
      <c r="F700" s="75" t="str">
        <f t="shared" ref="F700:F702" si="45">D700&amp;"-"&amp;B700</f>
        <v>Kayonza-Kayunga</v>
      </c>
      <c r="G700" s="75" t="str">
        <f t="shared" si="42"/>
        <v>Kayunga</v>
      </c>
      <c r="H700" s="86" t="s">
        <v>3200</v>
      </c>
    </row>
    <row r="701" spans="1:9">
      <c r="A701" s="81">
        <v>1278</v>
      </c>
      <c r="B701" s="82" t="s">
        <v>47</v>
      </c>
      <c r="C701" s="82" t="s">
        <v>2648</v>
      </c>
      <c r="D701" s="86" t="s">
        <v>3200</v>
      </c>
      <c r="E701" s="82"/>
      <c r="F701" s="75" t="str">
        <f t="shared" si="45"/>
        <v>Kayonza-Ntungamo</v>
      </c>
      <c r="G701" s="75" t="str">
        <f t="shared" si="42"/>
        <v>Ntungamo</v>
      </c>
      <c r="H701" s="86" t="s">
        <v>3200</v>
      </c>
    </row>
    <row r="702" spans="1:9">
      <c r="A702" s="81">
        <v>1319</v>
      </c>
      <c r="B702" s="82" t="s">
        <v>1945</v>
      </c>
      <c r="C702" s="82" t="s">
        <v>1946</v>
      </c>
      <c r="D702" s="86" t="s">
        <v>3200</v>
      </c>
      <c r="E702" s="82"/>
      <c r="F702" s="75" t="str">
        <f t="shared" si="45"/>
        <v>Kayonza-Kanungu</v>
      </c>
      <c r="G702" s="75" t="str">
        <f t="shared" si="42"/>
        <v>Kanungu</v>
      </c>
      <c r="H702" s="86" t="s">
        <v>3200</v>
      </c>
    </row>
    <row r="703" spans="1:9">
      <c r="A703" s="81">
        <v>529</v>
      </c>
      <c r="B703" s="82" t="s">
        <v>2017</v>
      </c>
      <c r="C703" s="82" t="s">
        <v>2019</v>
      </c>
      <c r="D703" s="82" t="s">
        <v>2017</v>
      </c>
      <c r="E703" s="82"/>
      <c r="F703" s="75" t="str">
        <f t="shared" ref="F703:F766" si="46">D703</f>
        <v>Kayunga</v>
      </c>
      <c r="G703" s="75" t="str">
        <f t="shared" si="42"/>
        <v>Kayunga</v>
      </c>
      <c r="H703" s="82" t="s">
        <v>2017</v>
      </c>
    </row>
    <row r="704" spans="1:9">
      <c r="A704" s="81">
        <v>530</v>
      </c>
      <c r="B704" s="82" t="s">
        <v>2017</v>
      </c>
      <c r="C704" s="82" t="s">
        <v>2019</v>
      </c>
      <c r="D704" s="82" t="s">
        <v>2023</v>
      </c>
      <c r="E704" s="82"/>
      <c r="F704" s="75" t="str">
        <f t="shared" si="46"/>
        <v>Kayunga Town Council</v>
      </c>
      <c r="G704" s="75" t="str">
        <f t="shared" si="42"/>
        <v>Kayunga</v>
      </c>
      <c r="H704" s="82" t="s">
        <v>2023</v>
      </c>
    </row>
    <row r="705" spans="1:8">
      <c r="A705" s="81">
        <v>1391</v>
      </c>
      <c r="B705" s="82" t="s">
        <v>2064</v>
      </c>
      <c r="C705" s="82" t="s">
        <v>2065</v>
      </c>
      <c r="D705" s="82" t="s">
        <v>2065</v>
      </c>
      <c r="E705" s="82"/>
      <c r="F705" s="75" t="str">
        <f t="shared" si="46"/>
        <v>Kazo</v>
      </c>
      <c r="G705" s="75" t="str">
        <f t="shared" si="42"/>
        <v>Kiruhura</v>
      </c>
      <c r="H705" s="82" t="s">
        <v>2065</v>
      </c>
    </row>
    <row r="706" spans="1:8">
      <c r="A706" s="81">
        <v>1392</v>
      </c>
      <c r="B706" s="82" t="s">
        <v>2064</v>
      </c>
      <c r="C706" s="82" t="s">
        <v>2065</v>
      </c>
      <c r="D706" s="82" t="s">
        <v>2073</v>
      </c>
      <c r="E706" s="82"/>
      <c r="F706" s="75" t="str">
        <f t="shared" si="46"/>
        <v>Kazo Town Council</v>
      </c>
      <c r="G706" s="75" t="str">
        <f t="shared" si="42"/>
        <v>Kiruhura</v>
      </c>
      <c r="H706" s="82" t="s">
        <v>2073</v>
      </c>
    </row>
    <row r="707" spans="1:8">
      <c r="A707" s="81">
        <v>1284</v>
      </c>
      <c r="B707" s="82" t="s">
        <v>40</v>
      </c>
      <c r="C707" s="82" t="s">
        <v>2776</v>
      </c>
      <c r="D707" s="82" t="s">
        <v>2779</v>
      </c>
      <c r="E707" s="82"/>
      <c r="F707" s="75" t="str">
        <f t="shared" si="46"/>
        <v>Kebisoni</v>
      </c>
      <c r="G707" s="75" t="str">
        <f t="shared" si="42"/>
        <v>Rukungiri</v>
      </c>
      <c r="H707" s="82" t="s">
        <v>2779</v>
      </c>
    </row>
    <row r="708" spans="1:8">
      <c r="A708" s="81">
        <v>1288</v>
      </c>
      <c r="B708" s="82" t="s">
        <v>40</v>
      </c>
      <c r="C708" s="82" t="s">
        <v>2776</v>
      </c>
      <c r="D708" s="82" t="s">
        <v>2780</v>
      </c>
      <c r="E708" s="82"/>
      <c r="F708" s="75" t="str">
        <f t="shared" si="46"/>
        <v>Kebisoni Town Council</v>
      </c>
      <c r="G708" s="75" t="str">
        <f t="shared" si="42"/>
        <v>Rukungiri</v>
      </c>
      <c r="H708" s="82" t="s">
        <v>2780</v>
      </c>
    </row>
    <row r="709" spans="1:8">
      <c r="A709" s="81">
        <v>141</v>
      </c>
      <c r="B709" s="82" t="s">
        <v>3072</v>
      </c>
      <c r="C709" s="82" t="s">
        <v>3073</v>
      </c>
      <c r="D709" s="82" t="s">
        <v>3076</v>
      </c>
      <c r="E709" s="82"/>
      <c r="F709" s="75" t="str">
        <f t="shared" si="46"/>
        <v>Kei</v>
      </c>
      <c r="G709" s="75" t="str">
        <f t="shared" si="42"/>
        <v>Yumbe</v>
      </c>
      <c r="H709" s="82" t="s">
        <v>3076</v>
      </c>
    </row>
    <row r="710" spans="1:8">
      <c r="A710" s="81">
        <v>1356</v>
      </c>
      <c r="B710" s="82" t="s">
        <v>43</v>
      </c>
      <c r="C710" s="82" t="s">
        <v>43</v>
      </c>
      <c r="D710" s="82" t="s">
        <v>1271</v>
      </c>
      <c r="E710" s="82"/>
      <c r="F710" s="75" t="str">
        <f t="shared" si="46"/>
        <v>Keihangara</v>
      </c>
      <c r="G710" s="75" t="str">
        <f t="shared" si="42"/>
        <v>Ibanda</v>
      </c>
      <c r="H710" s="82" t="s">
        <v>1271</v>
      </c>
    </row>
    <row r="711" spans="1:8">
      <c r="A711" s="81">
        <v>1397</v>
      </c>
      <c r="B711" s="82" t="s">
        <v>2064</v>
      </c>
      <c r="C711" s="82" t="s">
        <v>2070</v>
      </c>
      <c r="D711" s="82" t="s">
        <v>2074</v>
      </c>
      <c r="E711" s="82"/>
      <c r="F711" s="75" t="str">
        <f t="shared" si="46"/>
        <v>Kenshunga</v>
      </c>
      <c r="G711" s="75" t="str">
        <f t="shared" si="42"/>
        <v>Kiruhura</v>
      </c>
      <c r="H711" s="82" t="s">
        <v>2074</v>
      </c>
    </row>
    <row r="712" spans="1:8">
      <c r="A712" s="81">
        <v>142</v>
      </c>
      <c r="B712" s="82" t="s">
        <v>3072</v>
      </c>
      <c r="C712" s="82" t="s">
        <v>3073</v>
      </c>
      <c r="D712" s="82" t="s">
        <v>3077</v>
      </c>
      <c r="E712" s="82"/>
      <c r="F712" s="75" t="str">
        <f t="shared" si="46"/>
        <v>Kerwa</v>
      </c>
      <c r="G712" s="75" t="str">
        <f t="shared" si="42"/>
        <v>Yumbe</v>
      </c>
      <c r="H712" s="82" t="s">
        <v>3077</v>
      </c>
    </row>
    <row r="713" spans="1:8">
      <c r="A713" s="81">
        <v>982</v>
      </c>
      <c r="B713" s="82" t="s">
        <v>2294</v>
      </c>
      <c r="C713" s="82" t="s">
        <v>2295</v>
      </c>
      <c r="D713" s="82" t="s">
        <v>2306</v>
      </c>
      <c r="E713" s="82"/>
      <c r="F713" s="75" t="str">
        <f t="shared" si="46"/>
        <v>Khabutoola</v>
      </c>
      <c r="G713" s="75" t="str">
        <f t="shared" si="42"/>
        <v>Manafwa</v>
      </c>
      <c r="H713" s="82" t="s">
        <v>2306</v>
      </c>
    </row>
    <row r="714" spans="1:8">
      <c r="A714" s="81">
        <v>992</v>
      </c>
      <c r="B714" s="82" t="s">
        <v>2597</v>
      </c>
      <c r="C714" s="82" t="s">
        <v>2598</v>
      </c>
      <c r="D714" s="82" t="s">
        <v>2031</v>
      </c>
      <c r="E714" s="82"/>
      <c r="F714" s="75" t="str">
        <f t="shared" si="46"/>
        <v>Kibaale</v>
      </c>
      <c r="G714" s="75" t="str">
        <f t="shared" ref="G714:G777" si="47">B714</f>
        <v>Namutumba</v>
      </c>
      <c r="H714" s="82" t="s">
        <v>2031</v>
      </c>
    </row>
    <row r="715" spans="1:8">
      <c r="A715" s="81">
        <v>1210</v>
      </c>
      <c r="B715" s="82" t="s">
        <v>2031</v>
      </c>
      <c r="C715" s="82" t="s">
        <v>2032</v>
      </c>
      <c r="D715" s="82" t="s">
        <v>2036</v>
      </c>
      <c r="E715" s="82"/>
      <c r="F715" s="75" t="str">
        <f t="shared" si="46"/>
        <v>Kibaale Town Council</v>
      </c>
      <c r="G715" s="75" t="str">
        <f t="shared" si="47"/>
        <v>Kibaale</v>
      </c>
      <c r="H715" s="82" t="s">
        <v>2036</v>
      </c>
    </row>
    <row r="716" spans="1:8" ht="25.5">
      <c r="A716" s="81">
        <v>1082</v>
      </c>
      <c r="B716" s="82" t="s">
        <v>1193</v>
      </c>
      <c r="C716" s="82" t="s">
        <v>1194</v>
      </c>
      <c r="D716" s="82" t="s">
        <v>1198</v>
      </c>
      <c r="E716" s="82"/>
      <c r="F716" s="75" t="str">
        <f t="shared" si="46"/>
        <v>Kibale</v>
      </c>
      <c r="G716" s="75" t="str">
        <f t="shared" si="47"/>
        <v>Butebo</v>
      </c>
      <c r="H716" s="82" t="s">
        <v>1198</v>
      </c>
    </row>
    <row r="717" spans="1:8">
      <c r="A717" s="81">
        <v>464</v>
      </c>
      <c r="B717" s="82" t="s">
        <v>2473</v>
      </c>
      <c r="C717" s="82" t="s">
        <v>2474</v>
      </c>
      <c r="D717" s="82" t="s">
        <v>2483</v>
      </c>
      <c r="E717" s="82"/>
      <c r="F717" s="75" t="str">
        <f t="shared" si="46"/>
        <v>Kibalinga</v>
      </c>
      <c r="G717" s="75" t="str">
        <f t="shared" si="47"/>
        <v>Mubende</v>
      </c>
      <c r="H717" s="82" t="s">
        <v>2483</v>
      </c>
    </row>
    <row r="718" spans="1:8">
      <c r="A718" s="81">
        <v>660</v>
      </c>
      <c r="B718" s="82" t="s">
        <v>2216</v>
      </c>
      <c r="C718" s="82" t="s">
        <v>2220</v>
      </c>
      <c r="D718" s="82" t="s">
        <v>2086</v>
      </c>
      <c r="E718" s="82"/>
      <c r="F718" s="75" t="str">
        <f t="shared" si="46"/>
        <v>Kibanda</v>
      </c>
      <c r="G718" s="75" t="str">
        <f t="shared" si="47"/>
        <v>Kyotera</v>
      </c>
      <c r="H718" s="82" t="s">
        <v>2086</v>
      </c>
    </row>
    <row r="719" spans="1:8">
      <c r="A719" s="81">
        <v>1263</v>
      </c>
      <c r="B719" s="82" t="s">
        <v>47</v>
      </c>
      <c r="C719" s="82" t="s">
        <v>2642</v>
      </c>
      <c r="D719" s="82" t="s">
        <v>2649</v>
      </c>
      <c r="E719" s="82"/>
      <c r="F719" s="75" t="str">
        <f t="shared" si="46"/>
        <v>Kibatsi</v>
      </c>
      <c r="G719" s="75" t="str">
        <f t="shared" si="47"/>
        <v>Ntungamo</v>
      </c>
      <c r="H719" s="82" t="s">
        <v>2649</v>
      </c>
    </row>
    <row r="720" spans="1:8">
      <c r="A720" s="81">
        <v>615</v>
      </c>
      <c r="B720" s="82" t="s">
        <v>1187</v>
      </c>
      <c r="C720" s="82" t="s">
        <v>1187</v>
      </c>
      <c r="D720" s="82" t="s">
        <v>1191</v>
      </c>
      <c r="E720" s="82"/>
      <c r="F720" s="75" t="str">
        <f t="shared" si="46"/>
        <v>Kibibi</v>
      </c>
      <c r="G720" s="75" t="str">
        <f t="shared" si="47"/>
        <v>Butambala</v>
      </c>
      <c r="H720" s="82" t="s">
        <v>1191</v>
      </c>
    </row>
    <row r="721" spans="1:8">
      <c r="A721" s="81">
        <v>425</v>
      </c>
      <c r="B721" s="82" t="s">
        <v>2042</v>
      </c>
      <c r="C721" s="82" t="s">
        <v>2042</v>
      </c>
      <c r="D721" s="82" t="s">
        <v>2047</v>
      </c>
      <c r="E721" s="82"/>
      <c r="F721" s="75" t="str">
        <f t="shared" si="46"/>
        <v>Kibiga</v>
      </c>
      <c r="G721" s="75" t="str">
        <f t="shared" si="47"/>
        <v>Kiboga</v>
      </c>
      <c r="H721" s="82" t="s">
        <v>2047</v>
      </c>
    </row>
    <row r="722" spans="1:8">
      <c r="A722" s="81">
        <v>1518</v>
      </c>
      <c r="B722" s="82" t="s">
        <v>1131</v>
      </c>
      <c r="C722" s="82" t="s">
        <v>1131</v>
      </c>
      <c r="D722" s="82" t="s">
        <v>1135</v>
      </c>
      <c r="E722" s="82"/>
      <c r="F722" s="75" t="str">
        <f t="shared" si="46"/>
        <v>Kibiito</v>
      </c>
      <c r="G722" s="75" t="str">
        <f t="shared" si="47"/>
        <v>Bunyangabu</v>
      </c>
      <c r="H722" s="82" t="s">
        <v>1135</v>
      </c>
    </row>
    <row r="723" spans="1:8">
      <c r="A723" s="81">
        <v>1519</v>
      </c>
      <c r="B723" s="82" t="s">
        <v>1131</v>
      </c>
      <c r="C723" s="82" t="s">
        <v>1131</v>
      </c>
      <c r="D723" s="82" t="s">
        <v>1136</v>
      </c>
      <c r="E723" s="82"/>
      <c r="F723" s="75" t="str">
        <f t="shared" si="46"/>
        <v>Kibiito Town Council</v>
      </c>
      <c r="G723" s="75" t="str">
        <f t="shared" si="47"/>
        <v>Bunyangabu</v>
      </c>
      <c r="H723" s="82" t="s">
        <v>1136</v>
      </c>
    </row>
    <row r="724" spans="1:8">
      <c r="A724" s="81">
        <v>609</v>
      </c>
      <c r="B724" s="82" t="s">
        <v>1062</v>
      </c>
      <c r="C724" s="82" t="s">
        <v>1062</v>
      </c>
      <c r="D724" s="82" t="s">
        <v>1065</v>
      </c>
      <c r="E724" s="82"/>
      <c r="F724" s="75" t="str">
        <f t="shared" si="46"/>
        <v>Kibinge</v>
      </c>
      <c r="G724" s="75" t="str">
        <f t="shared" si="47"/>
        <v>Bukomansimbi</v>
      </c>
      <c r="H724" s="82" t="s">
        <v>1065</v>
      </c>
    </row>
    <row r="725" spans="1:8">
      <c r="A725" s="81">
        <v>426</v>
      </c>
      <c r="B725" s="82" t="s">
        <v>2042</v>
      </c>
      <c r="C725" s="82" t="s">
        <v>2042</v>
      </c>
      <c r="D725" s="82" t="s">
        <v>2048</v>
      </c>
      <c r="E725" s="82"/>
      <c r="F725" s="75" t="str">
        <f t="shared" si="46"/>
        <v>Kiboga Town Council</v>
      </c>
      <c r="G725" s="75" t="str">
        <f t="shared" si="47"/>
        <v>Kiboga</v>
      </c>
      <c r="H725" s="82" t="s">
        <v>2048</v>
      </c>
    </row>
    <row r="726" spans="1:8">
      <c r="A726" s="81">
        <v>1030</v>
      </c>
      <c r="B726" s="82" t="s">
        <v>2054</v>
      </c>
      <c r="C726" s="82" t="s">
        <v>2054</v>
      </c>
      <c r="D726" s="82" t="s">
        <v>2054</v>
      </c>
      <c r="E726" s="82"/>
      <c r="F726" s="75" t="str">
        <f t="shared" si="46"/>
        <v>Kibuku</v>
      </c>
      <c r="G726" s="75" t="str">
        <f t="shared" si="47"/>
        <v>Kibuku</v>
      </c>
      <c r="H726" s="82" t="s">
        <v>2054</v>
      </c>
    </row>
    <row r="727" spans="1:8">
      <c r="A727" s="81">
        <v>1031</v>
      </c>
      <c r="B727" s="82" t="s">
        <v>2054</v>
      </c>
      <c r="C727" s="82" t="s">
        <v>2054</v>
      </c>
      <c r="D727" s="82" t="s">
        <v>2060</v>
      </c>
      <c r="E727" s="82"/>
      <c r="F727" s="75" t="str">
        <f t="shared" si="46"/>
        <v>Kibuku Town Council</v>
      </c>
      <c r="G727" s="75" t="str">
        <f t="shared" si="47"/>
        <v>Kibuku</v>
      </c>
      <c r="H727" s="82" t="s">
        <v>2060</v>
      </c>
    </row>
    <row r="728" spans="1:8">
      <c r="A728" s="81">
        <v>1448</v>
      </c>
      <c r="B728" s="82" t="s">
        <v>2631</v>
      </c>
      <c r="C728" s="82" t="s">
        <v>2631</v>
      </c>
      <c r="D728" s="82" t="s">
        <v>2637</v>
      </c>
      <c r="E728" s="82"/>
      <c r="F728" s="75" t="str">
        <f t="shared" si="46"/>
        <v>Kibuuku Town Council</v>
      </c>
      <c r="G728" s="75" t="str">
        <f t="shared" si="47"/>
        <v>Ntoroko</v>
      </c>
      <c r="H728" s="82" t="s">
        <v>2637</v>
      </c>
    </row>
    <row r="729" spans="1:8">
      <c r="A729" s="81">
        <v>1309</v>
      </c>
      <c r="B729" s="82" t="s">
        <v>45</v>
      </c>
      <c r="C729" s="82" t="s">
        <v>1929</v>
      </c>
      <c r="D729" s="82" t="s">
        <v>1936</v>
      </c>
      <c r="E729" s="82"/>
      <c r="F729" s="75" t="str">
        <f t="shared" si="46"/>
        <v>Kicheche</v>
      </c>
      <c r="G729" s="75" t="str">
        <f t="shared" si="47"/>
        <v>Kamwenge</v>
      </c>
      <c r="H729" s="82" t="s">
        <v>1936</v>
      </c>
    </row>
    <row r="730" spans="1:8">
      <c r="A730" s="81">
        <v>1453</v>
      </c>
      <c r="B730" s="82" t="s">
        <v>2756</v>
      </c>
      <c r="C730" s="82" t="s">
        <v>49</v>
      </c>
      <c r="D730" s="82" t="s">
        <v>52</v>
      </c>
      <c r="E730" s="82"/>
      <c r="F730" s="75" t="str">
        <f t="shared" si="46"/>
        <v>Kichwamba</v>
      </c>
      <c r="G730" s="75" t="str">
        <f t="shared" si="47"/>
        <v>Rubirizi</v>
      </c>
      <c r="H730" s="82" t="s">
        <v>52</v>
      </c>
    </row>
    <row r="731" spans="1:8">
      <c r="A731" s="81">
        <v>1357</v>
      </c>
      <c r="B731" s="82" t="s">
        <v>43</v>
      </c>
      <c r="C731" s="82" t="s">
        <v>43</v>
      </c>
      <c r="D731" s="82" t="s">
        <v>1272</v>
      </c>
      <c r="E731" s="82"/>
      <c r="F731" s="75" t="str">
        <f t="shared" si="46"/>
        <v>Kicuzi</v>
      </c>
      <c r="G731" s="75" t="str">
        <f t="shared" si="47"/>
        <v>Ibanda</v>
      </c>
      <c r="H731" s="82" t="s">
        <v>1272</v>
      </c>
    </row>
    <row r="732" spans="1:8">
      <c r="A732" s="81">
        <v>1169</v>
      </c>
      <c r="B732" s="82" t="s">
        <v>1367</v>
      </c>
      <c r="C732" s="82" t="s">
        <v>1368</v>
      </c>
      <c r="D732" s="82" t="s">
        <v>1379</v>
      </c>
      <c r="E732" s="82"/>
      <c r="F732" s="75" t="str">
        <f t="shared" si="46"/>
        <v>Kicwamba</v>
      </c>
      <c r="G732" s="75" t="str">
        <f t="shared" si="47"/>
        <v>Kabarole</v>
      </c>
      <c r="H732" s="82" t="s">
        <v>1379</v>
      </c>
    </row>
    <row r="733" spans="1:8">
      <c r="A733" s="81">
        <v>1022</v>
      </c>
      <c r="B733" s="82" t="s">
        <v>1215</v>
      </c>
      <c r="C733" s="82" t="s">
        <v>1216</v>
      </c>
      <c r="D733" s="82" t="s">
        <v>1219</v>
      </c>
      <c r="E733" s="82"/>
      <c r="F733" s="75" t="str">
        <f t="shared" si="46"/>
        <v>Kidera</v>
      </c>
      <c r="G733" s="75" t="str">
        <f t="shared" si="47"/>
        <v>Buyende</v>
      </c>
      <c r="H733" s="82" t="s">
        <v>1219</v>
      </c>
    </row>
    <row r="734" spans="1:8">
      <c r="A734" s="81">
        <v>934</v>
      </c>
      <c r="B734" s="82" t="s">
        <v>1055</v>
      </c>
      <c r="C734" s="82" t="s">
        <v>1055</v>
      </c>
      <c r="D734" s="82" t="s">
        <v>1058</v>
      </c>
      <c r="E734" s="82"/>
      <c r="F734" s="75" t="str">
        <f t="shared" si="46"/>
        <v>Kidongole</v>
      </c>
      <c r="G734" s="75" t="str">
        <f t="shared" si="47"/>
        <v>Bukedea</v>
      </c>
      <c r="H734" s="82" t="s">
        <v>1058</v>
      </c>
    </row>
    <row r="735" spans="1:8">
      <c r="A735" s="81">
        <v>505</v>
      </c>
      <c r="B735" s="82" t="s">
        <v>2733</v>
      </c>
      <c r="C735" s="82" t="s">
        <v>2737</v>
      </c>
      <c r="D735" s="82" t="s">
        <v>2738</v>
      </c>
      <c r="E735" s="82"/>
      <c r="F735" s="75" t="str">
        <f t="shared" si="46"/>
        <v>Kifamba</v>
      </c>
      <c r="G735" s="75" t="str">
        <f t="shared" si="47"/>
        <v>Rakai</v>
      </c>
      <c r="H735" s="82" t="s">
        <v>2738</v>
      </c>
    </row>
    <row r="736" spans="1:8">
      <c r="A736" s="81">
        <v>470</v>
      </c>
      <c r="B736" s="82" t="s">
        <v>2473</v>
      </c>
      <c r="C736" s="82" t="s">
        <v>2476</v>
      </c>
      <c r="D736" s="82" t="s">
        <v>2484</v>
      </c>
      <c r="E736" s="82"/>
      <c r="F736" s="75" t="str">
        <f t="shared" si="46"/>
        <v>Kiganda</v>
      </c>
      <c r="G736" s="75" t="str">
        <f t="shared" si="47"/>
        <v>Mubende</v>
      </c>
      <c r="H736" s="82" t="s">
        <v>2484</v>
      </c>
    </row>
    <row r="737" spans="1:8">
      <c r="A737" s="81">
        <v>858</v>
      </c>
      <c r="B737" s="82" t="s">
        <v>2346</v>
      </c>
      <c r="C737" s="82" t="s">
        <v>2347</v>
      </c>
      <c r="D737" s="82" t="s">
        <v>2354</v>
      </c>
      <c r="E737" s="82"/>
      <c r="F737" s="75" t="str">
        <f t="shared" si="46"/>
        <v>Kigandalo</v>
      </c>
      <c r="G737" s="75" t="str">
        <f t="shared" si="47"/>
        <v>Mayuge</v>
      </c>
      <c r="H737" s="82" t="s">
        <v>2354</v>
      </c>
    </row>
    <row r="738" spans="1:8">
      <c r="A738" s="81">
        <v>465</v>
      </c>
      <c r="B738" s="82" t="s">
        <v>2473</v>
      </c>
      <c r="C738" s="82" t="s">
        <v>2474</v>
      </c>
      <c r="D738" s="82" t="s">
        <v>2485</v>
      </c>
      <c r="E738" s="82"/>
      <c r="F738" s="75" t="str">
        <f t="shared" si="46"/>
        <v>Kigando</v>
      </c>
      <c r="G738" s="75" t="str">
        <f t="shared" si="47"/>
        <v>Mubende</v>
      </c>
      <c r="H738" s="82" t="s">
        <v>2485</v>
      </c>
    </row>
    <row r="739" spans="1:8">
      <c r="A739" s="81">
        <v>1337</v>
      </c>
      <c r="B739" s="82" t="s">
        <v>2198</v>
      </c>
      <c r="C739" s="82" t="s">
        <v>2199</v>
      </c>
      <c r="D739" s="82" t="s">
        <v>2206</v>
      </c>
      <c r="E739" s="82"/>
      <c r="F739" s="75" t="str">
        <f t="shared" si="46"/>
        <v>Kigaraale</v>
      </c>
      <c r="G739" s="75" t="str">
        <f t="shared" si="47"/>
        <v>Kyenjojo</v>
      </c>
      <c r="H739" s="82" t="s">
        <v>2206</v>
      </c>
    </row>
    <row r="740" spans="1:8">
      <c r="A740" s="81">
        <v>1465</v>
      </c>
      <c r="B740" s="82" t="s">
        <v>41</v>
      </c>
      <c r="C740" s="82" t="s">
        <v>41</v>
      </c>
      <c r="D740" s="82" t="s">
        <v>2803</v>
      </c>
      <c r="E740" s="82"/>
      <c r="F740" s="75" t="str">
        <f t="shared" si="46"/>
        <v>Kigarama</v>
      </c>
      <c r="G740" s="75" t="str">
        <f t="shared" si="47"/>
        <v>Sheema</v>
      </c>
      <c r="H740" s="82" t="s">
        <v>2803</v>
      </c>
    </row>
    <row r="741" spans="1:8">
      <c r="A741" s="81">
        <v>1136</v>
      </c>
      <c r="B741" s="82" t="s">
        <v>1248</v>
      </c>
      <c r="C741" s="82" t="s">
        <v>1252</v>
      </c>
      <c r="D741" s="82" t="s">
        <v>1259</v>
      </c>
      <c r="E741" s="82"/>
      <c r="F741" s="75" t="str">
        <f t="shared" si="46"/>
        <v>Kigorobya</v>
      </c>
      <c r="G741" s="75" t="str">
        <f t="shared" si="47"/>
        <v>Hoima</v>
      </c>
      <c r="H741" s="82" t="s">
        <v>1259</v>
      </c>
    </row>
    <row r="742" spans="1:8">
      <c r="A742" s="81">
        <v>1137</v>
      </c>
      <c r="B742" s="82" t="s">
        <v>1248</v>
      </c>
      <c r="C742" s="82" t="s">
        <v>1252</v>
      </c>
      <c r="D742" s="82" t="s">
        <v>1260</v>
      </c>
      <c r="E742" s="82"/>
      <c r="F742" s="75" t="str">
        <f t="shared" si="46"/>
        <v>Kigorobya Town Council</v>
      </c>
      <c r="G742" s="75" t="str">
        <f t="shared" si="47"/>
        <v>Hoima</v>
      </c>
      <c r="H742" s="82" t="s">
        <v>1260</v>
      </c>
    </row>
    <row r="743" spans="1:8" ht="25.5">
      <c r="A743" s="81">
        <v>1240</v>
      </c>
      <c r="B743" s="84" t="s">
        <v>2337</v>
      </c>
      <c r="C743" s="85" t="s">
        <v>2342</v>
      </c>
      <c r="D743" s="84" t="s">
        <v>3201</v>
      </c>
      <c r="E743" s="84"/>
      <c r="F743" s="76" t="str">
        <f>VLOOKUP(C743,[2]Municipalities!$C$9:$F$1522,4,FALSE)</f>
        <v>Masindi Municipality</v>
      </c>
      <c r="G743" s="75" t="str">
        <f t="shared" si="47"/>
        <v>Masindi</v>
      </c>
      <c r="H743" s="84" t="s">
        <v>3201</v>
      </c>
    </row>
    <row r="744" spans="1:8">
      <c r="A744" s="81">
        <v>1414</v>
      </c>
      <c r="B744" s="82" t="s">
        <v>2085</v>
      </c>
      <c r="C744" s="82" t="s">
        <v>2086</v>
      </c>
      <c r="D744" s="82" t="s">
        <v>2088</v>
      </c>
      <c r="E744" s="82"/>
      <c r="F744" s="75" t="str">
        <f t="shared" si="46"/>
        <v>Kigumba</v>
      </c>
      <c r="G744" s="75" t="str">
        <f t="shared" si="47"/>
        <v>Kiryandongo</v>
      </c>
      <c r="H744" s="82" t="s">
        <v>2088</v>
      </c>
    </row>
    <row r="745" spans="1:8">
      <c r="A745" s="81">
        <v>1415</v>
      </c>
      <c r="B745" s="82" t="s">
        <v>2085</v>
      </c>
      <c r="C745" s="82" t="s">
        <v>2086</v>
      </c>
      <c r="D745" s="82" t="s">
        <v>2089</v>
      </c>
      <c r="E745" s="82"/>
      <c r="F745" s="75" t="str">
        <f t="shared" si="46"/>
        <v>Kigumba Town Council</v>
      </c>
      <c r="G745" s="75" t="str">
        <f t="shared" si="47"/>
        <v>Kiryandongo</v>
      </c>
      <c r="H745" s="82" t="s">
        <v>2089</v>
      </c>
    </row>
    <row r="746" spans="1:8">
      <c r="A746" s="81">
        <v>1350</v>
      </c>
      <c r="B746" s="82" t="s">
        <v>1101</v>
      </c>
      <c r="C746" s="82" t="s">
        <v>1101</v>
      </c>
      <c r="D746" s="82" t="s">
        <v>1104</v>
      </c>
      <c r="E746" s="82"/>
      <c r="F746" s="75" t="str">
        <f t="shared" si="46"/>
        <v>Kigwera</v>
      </c>
      <c r="G746" s="75" t="str">
        <f t="shared" si="47"/>
        <v>Buliisa</v>
      </c>
      <c r="H746" s="82" t="s">
        <v>1104</v>
      </c>
    </row>
    <row r="747" spans="1:8">
      <c r="A747" s="81">
        <v>1320</v>
      </c>
      <c r="B747" s="82" t="s">
        <v>1945</v>
      </c>
      <c r="C747" s="82" t="s">
        <v>1946</v>
      </c>
      <c r="D747" s="82" t="s">
        <v>1953</v>
      </c>
      <c r="E747" s="82"/>
      <c r="F747" s="75" t="str">
        <f t="shared" si="46"/>
        <v>Kihihi</v>
      </c>
      <c r="G747" s="75" t="str">
        <f t="shared" si="47"/>
        <v>Kanungu</v>
      </c>
      <c r="H747" s="82" t="s">
        <v>1953</v>
      </c>
    </row>
    <row r="748" spans="1:8">
      <c r="A748" s="81">
        <v>1321</v>
      </c>
      <c r="B748" s="82" t="s">
        <v>1945</v>
      </c>
      <c r="C748" s="82" t="s">
        <v>1946</v>
      </c>
      <c r="D748" s="82" t="s">
        <v>1954</v>
      </c>
      <c r="E748" s="82"/>
      <c r="F748" s="75" t="str">
        <f t="shared" si="46"/>
        <v>Kihiihi Town Council</v>
      </c>
      <c r="G748" s="75" t="str">
        <f t="shared" si="47"/>
        <v>Kanungu</v>
      </c>
      <c r="H748" s="82" t="s">
        <v>1954</v>
      </c>
    </row>
    <row r="749" spans="1:8">
      <c r="A749" s="81">
        <v>1351</v>
      </c>
      <c r="B749" s="82" t="s">
        <v>1101</v>
      </c>
      <c r="C749" s="82" t="s">
        <v>1101</v>
      </c>
      <c r="D749" s="82" t="s">
        <v>1105</v>
      </c>
      <c r="E749" s="82"/>
      <c r="F749" s="75" t="str">
        <f t="shared" si="46"/>
        <v>Kihungya</v>
      </c>
      <c r="G749" s="75" t="str">
        <f t="shared" si="47"/>
        <v>Buliisa</v>
      </c>
      <c r="H749" s="82" t="s">
        <v>1105</v>
      </c>
    </row>
    <row r="750" spans="1:8">
      <c r="A750" s="81">
        <v>1338</v>
      </c>
      <c r="B750" s="82" t="s">
        <v>2198</v>
      </c>
      <c r="C750" s="82" t="s">
        <v>2199</v>
      </c>
      <c r="D750" s="82" t="s">
        <v>2207</v>
      </c>
      <c r="E750" s="82"/>
      <c r="F750" s="75" t="str">
        <f t="shared" si="46"/>
        <v>Kihuura</v>
      </c>
      <c r="G750" s="75" t="str">
        <f t="shared" si="47"/>
        <v>Kyenjojo</v>
      </c>
      <c r="H750" s="82" t="s">
        <v>2207</v>
      </c>
    </row>
    <row r="751" spans="1:8">
      <c r="A751" s="81">
        <v>207</v>
      </c>
      <c r="B751" s="82" t="s">
        <v>2313</v>
      </c>
      <c r="C751" s="82" t="s">
        <v>2313</v>
      </c>
      <c r="D751" s="82" t="s">
        <v>2312</v>
      </c>
      <c r="E751" s="82"/>
      <c r="F751" s="75" t="str">
        <f t="shared" si="46"/>
        <v>Kijomoro</v>
      </c>
      <c r="G751" s="75" t="str">
        <f t="shared" si="47"/>
        <v>Maracha</v>
      </c>
      <c r="H751" s="82" t="s">
        <v>2312</v>
      </c>
    </row>
    <row r="752" spans="1:8">
      <c r="A752" s="81">
        <v>1358</v>
      </c>
      <c r="B752" s="82" t="s">
        <v>43</v>
      </c>
      <c r="C752" s="82" t="s">
        <v>43</v>
      </c>
      <c r="D752" s="82" t="s">
        <v>1273</v>
      </c>
      <c r="E752" s="82"/>
      <c r="F752" s="75" t="str">
        <f t="shared" si="46"/>
        <v>Kijongo</v>
      </c>
      <c r="G752" s="75" t="str">
        <f t="shared" si="47"/>
        <v>Ibanda</v>
      </c>
      <c r="H752" s="82" t="s">
        <v>1273</v>
      </c>
    </row>
    <row r="753" spans="1:8">
      <c r="A753" s="81">
        <v>1171</v>
      </c>
      <c r="B753" s="82" t="s">
        <v>1367</v>
      </c>
      <c r="C753" s="82" t="s">
        <v>1368</v>
      </c>
      <c r="D753" s="82" t="s">
        <v>1380</v>
      </c>
      <c r="E753" s="82"/>
      <c r="F753" s="75" t="str">
        <f t="shared" si="46"/>
        <v>Kijura Town Council</v>
      </c>
      <c r="G753" s="75" t="str">
        <f t="shared" si="47"/>
        <v>Kabarole</v>
      </c>
      <c r="H753" s="82" t="s">
        <v>1380</v>
      </c>
    </row>
    <row r="754" spans="1:8">
      <c r="A754" s="81">
        <v>1398</v>
      </c>
      <c r="B754" s="82" t="s">
        <v>2064</v>
      </c>
      <c r="C754" s="82" t="s">
        <v>2070</v>
      </c>
      <c r="D754" s="82" t="s">
        <v>2075</v>
      </c>
      <c r="E754" s="82"/>
      <c r="F754" s="75" t="str">
        <f t="shared" si="46"/>
        <v>Kikaatsi</v>
      </c>
      <c r="G754" s="75" t="str">
        <f t="shared" si="47"/>
        <v>Kiruhura</v>
      </c>
      <c r="H754" s="82" t="s">
        <v>2075</v>
      </c>
    </row>
    <row r="755" spans="1:8">
      <c r="A755" s="81">
        <v>1381</v>
      </c>
      <c r="B755" s="82" t="s">
        <v>48</v>
      </c>
      <c r="C755" s="82" t="s">
        <v>48</v>
      </c>
      <c r="D755" s="82" t="s">
        <v>1308</v>
      </c>
      <c r="E755" s="82"/>
      <c r="F755" s="75" t="str">
        <f t="shared" si="46"/>
        <v>Kikagate</v>
      </c>
      <c r="G755" s="75" t="str">
        <f t="shared" si="47"/>
        <v>Isingiro</v>
      </c>
      <c r="H755" s="82" t="s">
        <v>1308</v>
      </c>
    </row>
    <row r="756" spans="1:8">
      <c r="A756" s="81">
        <v>582</v>
      </c>
      <c r="B756" s="82" t="s">
        <v>2537</v>
      </c>
      <c r="C756" s="82" t="s">
        <v>2537</v>
      </c>
      <c r="D756" s="82" t="s">
        <v>2540</v>
      </c>
      <c r="E756" s="82"/>
      <c r="F756" s="75" t="str">
        <f t="shared" si="46"/>
        <v>Kikamulo</v>
      </c>
      <c r="G756" s="75" t="str">
        <f t="shared" si="47"/>
        <v>Nakaseke</v>
      </c>
      <c r="H756" s="82" t="s">
        <v>2540</v>
      </c>
    </row>
    <row r="757" spans="1:8">
      <c r="A757" s="81">
        <v>572</v>
      </c>
      <c r="B757" s="82" t="s">
        <v>2416</v>
      </c>
      <c r="C757" s="82" t="s">
        <v>2416</v>
      </c>
      <c r="D757" s="82" t="s">
        <v>2429</v>
      </c>
      <c r="E757" s="82"/>
      <c r="F757" s="75" t="str">
        <f t="shared" si="46"/>
        <v>Kikandwa</v>
      </c>
      <c r="G757" s="75" t="str">
        <f t="shared" si="47"/>
        <v>Mityana</v>
      </c>
      <c r="H757" s="82" t="s">
        <v>2429</v>
      </c>
    </row>
    <row r="758" spans="1:8">
      <c r="A758" s="81">
        <v>1170</v>
      </c>
      <c r="B758" s="82" t="s">
        <v>1367</v>
      </c>
      <c r="C758" s="82" t="s">
        <v>1368</v>
      </c>
      <c r="D758" s="82" t="s">
        <v>1381</v>
      </c>
      <c r="E758" s="82"/>
      <c r="F758" s="75" t="str">
        <f t="shared" si="46"/>
        <v>Kiko Town Council</v>
      </c>
      <c r="G758" s="75" t="str">
        <f t="shared" si="47"/>
        <v>Kabarole</v>
      </c>
      <c r="H758" s="82" t="s">
        <v>1381</v>
      </c>
    </row>
    <row r="759" spans="1:8">
      <c r="A759" s="81">
        <v>1505</v>
      </c>
      <c r="B759" s="82" t="s">
        <v>1417</v>
      </c>
      <c r="C759" s="82" t="s">
        <v>1418</v>
      </c>
      <c r="D759" s="82" t="s">
        <v>1424</v>
      </c>
      <c r="E759" s="82"/>
      <c r="F759" s="75" t="str">
        <f t="shared" si="46"/>
        <v>Kikwaya</v>
      </c>
      <c r="G759" s="75" t="str">
        <f t="shared" si="47"/>
        <v>Kakumiro</v>
      </c>
      <c r="H759" s="82" t="s">
        <v>1424</v>
      </c>
    </row>
    <row r="760" spans="1:8">
      <c r="A760" s="81">
        <v>1359</v>
      </c>
      <c r="B760" s="82" t="s">
        <v>43</v>
      </c>
      <c r="C760" s="82" t="s">
        <v>43</v>
      </c>
      <c r="D760" s="82" t="s">
        <v>1274</v>
      </c>
      <c r="E760" s="82"/>
      <c r="F760" s="75" t="str">
        <f t="shared" si="46"/>
        <v>Kikyenkye</v>
      </c>
      <c r="G760" s="75" t="str">
        <f t="shared" si="47"/>
        <v>Ibanda</v>
      </c>
      <c r="H760" s="82" t="s">
        <v>1274</v>
      </c>
    </row>
    <row r="761" spans="1:8">
      <c r="A761" s="81">
        <v>432</v>
      </c>
      <c r="B761" s="82" t="s">
        <v>2255</v>
      </c>
      <c r="C761" s="82" t="s">
        <v>2254</v>
      </c>
      <c r="D761" s="82" t="s">
        <v>2266</v>
      </c>
      <c r="E761" s="82"/>
      <c r="F761" s="75" t="str">
        <f t="shared" si="46"/>
        <v>Kikyusa</v>
      </c>
      <c r="G761" s="75" t="str">
        <f t="shared" si="47"/>
        <v>Luwero</v>
      </c>
      <c r="H761" s="82" t="s">
        <v>2266</v>
      </c>
    </row>
    <row r="762" spans="1:8">
      <c r="A762" s="81">
        <v>1198</v>
      </c>
      <c r="B762" s="82" t="s">
        <v>36</v>
      </c>
      <c r="C762" s="82" t="s">
        <v>1978</v>
      </c>
      <c r="D762" s="82" t="s">
        <v>1989</v>
      </c>
      <c r="E762" s="82"/>
      <c r="F762" s="75" t="str">
        <f t="shared" si="46"/>
        <v>Kilembe</v>
      </c>
      <c r="G762" s="75" t="str">
        <f t="shared" si="47"/>
        <v>Kasese</v>
      </c>
      <c r="H762" s="82" t="s">
        <v>1989</v>
      </c>
    </row>
    <row r="763" spans="1:8" ht="25.5">
      <c r="A763" s="81">
        <v>449</v>
      </c>
      <c r="B763" s="82" t="s">
        <v>39</v>
      </c>
      <c r="C763" s="83" t="s">
        <v>2326</v>
      </c>
      <c r="D763" s="82" t="s">
        <v>3202</v>
      </c>
      <c r="E763" s="82"/>
      <c r="F763" s="76" t="str">
        <f>VLOOKUP(C763,[2]Municipalities!$C$9:$F$1522,4,FALSE)</f>
        <v>Masaka Municipality</v>
      </c>
      <c r="G763" s="75" t="str">
        <f t="shared" si="47"/>
        <v>Masaka</v>
      </c>
      <c r="H763" s="82" t="s">
        <v>3202</v>
      </c>
    </row>
    <row r="764" spans="1:8">
      <c r="A764" s="81">
        <v>1237</v>
      </c>
      <c r="B764" s="82" t="s">
        <v>2337</v>
      </c>
      <c r="C764" s="82" t="s">
        <v>2341</v>
      </c>
      <c r="D764" s="82" t="s">
        <v>2340</v>
      </c>
      <c r="E764" s="82"/>
      <c r="F764" s="75" t="str">
        <f t="shared" si="46"/>
        <v>Kimengo</v>
      </c>
      <c r="G764" s="75" t="str">
        <f t="shared" si="47"/>
        <v>Masindi</v>
      </c>
      <c r="H764" s="82" t="s">
        <v>2340</v>
      </c>
    </row>
    <row r="765" spans="1:8">
      <c r="A765" s="81">
        <v>488</v>
      </c>
      <c r="B765" s="82" t="s">
        <v>2500</v>
      </c>
      <c r="C765" s="82" t="s">
        <v>2501</v>
      </c>
      <c r="D765" s="82" t="s">
        <v>2502</v>
      </c>
      <c r="E765" s="82"/>
      <c r="F765" s="75" t="str">
        <f t="shared" si="46"/>
        <v>Kimenyedde</v>
      </c>
      <c r="G765" s="75" t="str">
        <f t="shared" si="47"/>
        <v>Mukono</v>
      </c>
      <c r="H765" s="82" t="s">
        <v>2502</v>
      </c>
    </row>
    <row r="766" spans="1:8">
      <c r="A766" s="81">
        <v>1322</v>
      </c>
      <c r="B766" s="82" t="s">
        <v>1945</v>
      </c>
      <c r="C766" s="82" t="s">
        <v>1946</v>
      </c>
      <c r="D766" s="82" t="s">
        <v>1955</v>
      </c>
      <c r="E766" s="82"/>
      <c r="F766" s="75" t="str">
        <f t="shared" si="46"/>
        <v>Kinaaba</v>
      </c>
      <c r="G766" s="75" t="str">
        <f t="shared" si="47"/>
        <v>Kanungu</v>
      </c>
      <c r="H766" s="82" t="s">
        <v>1955</v>
      </c>
    </row>
    <row r="767" spans="1:8">
      <c r="A767" s="81">
        <v>583</v>
      </c>
      <c r="B767" s="82" t="s">
        <v>2537</v>
      </c>
      <c r="C767" s="82" t="s">
        <v>2537</v>
      </c>
      <c r="D767" s="86" t="s">
        <v>3203</v>
      </c>
      <c r="E767" s="82"/>
      <c r="F767" s="75" t="str">
        <f t="shared" ref="F767:F768" si="48">D767&amp;"-"&amp;B767</f>
        <v>Kinoni-Nakaseke</v>
      </c>
      <c r="G767" s="75" t="str">
        <f t="shared" si="47"/>
        <v>Nakaseke</v>
      </c>
      <c r="H767" s="86" t="s">
        <v>3203</v>
      </c>
    </row>
    <row r="768" spans="1:8">
      <c r="A768" s="81">
        <v>1399</v>
      </c>
      <c r="B768" s="82" t="s">
        <v>2064</v>
      </c>
      <c r="C768" s="82" t="s">
        <v>2070</v>
      </c>
      <c r="D768" s="86" t="s">
        <v>3203</v>
      </c>
      <c r="E768" s="82"/>
      <c r="F768" s="75" t="str">
        <f t="shared" si="48"/>
        <v>Kinoni-Kiruhura</v>
      </c>
      <c r="G768" s="75" t="str">
        <f t="shared" si="47"/>
        <v>Kiruhura</v>
      </c>
      <c r="H768" s="86" t="s">
        <v>3203</v>
      </c>
    </row>
    <row r="769" spans="1:8">
      <c r="A769" s="81">
        <v>561</v>
      </c>
      <c r="B769" s="82" t="s">
        <v>2286</v>
      </c>
      <c r="C769" s="82" t="s">
        <v>2287</v>
      </c>
      <c r="D769" s="82" t="s">
        <v>2289</v>
      </c>
      <c r="E769" s="82"/>
      <c r="F769" s="75" t="str">
        <f t="shared" ref="F769:F770" si="49">D769</f>
        <v>Kinuuka</v>
      </c>
      <c r="G769" s="75" t="str">
        <f t="shared" si="47"/>
        <v>Lyantonde</v>
      </c>
      <c r="H769" s="82" t="s">
        <v>2289</v>
      </c>
    </row>
    <row r="770" spans="1:8">
      <c r="A770" s="81">
        <v>584</v>
      </c>
      <c r="B770" s="82" t="s">
        <v>2537</v>
      </c>
      <c r="C770" s="82" t="s">
        <v>2537</v>
      </c>
      <c r="D770" s="82" t="s">
        <v>2542</v>
      </c>
      <c r="E770" s="82"/>
      <c r="F770" s="75" t="str">
        <f t="shared" si="49"/>
        <v>Kinyogoga</v>
      </c>
      <c r="G770" s="75" t="str">
        <f t="shared" si="47"/>
        <v>Nakaseke</v>
      </c>
      <c r="H770" s="82" t="s">
        <v>2542</v>
      </c>
    </row>
    <row r="771" spans="1:8">
      <c r="A771" s="81">
        <v>549</v>
      </c>
      <c r="B771" s="82" t="s">
        <v>2879</v>
      </c>
      <c r="C771" s="83" t="s">
        <v>2885</v>
      </c>
      <c r="D771" s="82" t="s">
        <v>3204</v>
      </c>
      <c r="E771" s="82"/>
      <c r="F771" s="76" t="s">
        <v>2942</v>
      </c>
      <c r="G771" s="75" t="str">
        <f t="shared" si="47"/>
        <v>Wakiso</v>
      </c>
      <c r="H771" s="82" t="s">
        <v>3204</v>
      </c>
    </row>
    <row r="772" spans="1:8">
      <c r="A772" s="81">
        <v>828</v>
      </c>
      <c r="B772" s="82" t="s">
        <v>2856</v>
      </c>
      <c r="C772" s="82" t="s">
        <v>2857</v>
      </c>
      <c r="D772" s="82" t="s">
        <v>2858</v>
      </c>
      <c r="E772" s="82"/>
      <c r="F772" s="75" t="str">
        <f t="shared" ref="F772:F835" si="50">D772</f>
        <v>Kirewa</v>
      </c>
      <c r="G772" s="75" t="str">
        <f t="shared" si="47"/>
        <v>Tororo</v>
      </c>
      <c r="H772" s="82" t="s">
        <v>2858</v>
      </c>
    </row>
    <row r="773" spans="1:8">
      <c r="A773" s="81">
        <v>1032</v>
      </c>
      <c r="B773" s="82" t="s">
        <v>2054</v>
      </c>
      <c r="C773" s="82" t="s">
        <v>2054</v>
      </c>
      <c r="D773" s="82" t="s">
        <v>2061</v>
      </c>
      <c r="E773" s="82"/>
      <c r="F773" s="75" t="str">
        <f t="shared" si="50"/>
        <v>Kirika</v>
      </c>
      <c r="G773" s="75" t="str">
        <f t="shared" si="47"/>
        <v>Kibuku</v>
      </c>
      <c r="H773" s="82" t="s">
        <v>2061</v>
      </c>
    </row>
    <row r="774" spans="1:8">
      <c r="A774" s="81">
        <v>1040</v>
      </c>
      <c r="B774" s="82" t="s">
        <v>2156</v>
      </c>
      <c r="C774" s="82" t="s">
        <v>2156</v>
      </c>
      <c r="D774" s="82" t="s">
        <v>2162</v>
      </c>
      <c r="E774" s="82"/>
      <c r="F774" s="75" t="str">
        <f t="shared" si="50"/>
        <v>Kiriki</v>
      </c>
      <c r="G774" s="75" t="str">
        <f t="shared" si="47"/>
        <v>Kween</v>
      </c>
      <c r="H774" s="82" t="s">
        <v>2162</v>
      </c>
    </row>
    <row r="775" spans="1:8">
      <c r="A775" s="81">
        <v>1323</v>
      </c>
      <c r="B775" s="82" t="s">
        <v>1945</v>
      </c>
      <c r="C775" s="82" t="s">
        <v>1946</v>
      </c>
      <c r="D775" s="82" t="s">
        <v>1956</v>
      </c>
      <c r="E775" s="82"/>
      <c r="F775" s="75" t="str">
        <f t="shared" si="50"/>
        <v>Kirima</v>
      </c>
      <c r="G775" s="75" t="str">
        <f t="shared" si="47"/>
        <v>Kanungu</v>
      </c>
      <c r="H775" s="82" t="s">
        <v>1956</v>
      </c>
    </row>
    <row r="776" spans="1:8">
      <c r="A776" s="81">
        <v>453</v>
      </c>
      <c r="B776" s="82" t="s">
        <v>2460</v>
      </c>
      <c r="C776" s="82" t="s">
        <v>2461</v>
      </c>
      <c r="D776" s="82" t="s">
        <v>2463</v>
      </c>
      <c r="E776" s="82"/>
      <c r="F776" s="75" t="str">
        <f t="shared" si="50"/>
        <v>Kiringente</v>
      </c>
      <c r="G776" s="75" t="str">
        <f t="shared" si="47"/>
        <v>Mpigi</v>
      </c>
      <c r="H776" s="82" t="s">
        <v>2463</v>
      </c>
    </row>
    <row r="777" spans="1:8">
      <c r="A777" s="81">
        <v>1461</v>
      </c>
      <c r="B777" s="82" t="s">
        <v>2756</v>
      </c>
      <c r="C777" s="82" t="s">
        <v>2757</v>
      </c>
      <c r="D777" s="82" t="s">
        <v>2760</v>
      </c>
      <c r="E777" s="82"/>
      <c r="F777" s="75" t="str">
        <f t="shared" si="50"/>
        <v>Kirugu</v>
      </c>
      <c r="G777" s="75" t="str">
        <f t="shared" si="47"/>
        <v>Rubirizi</v>
      </c>
      <c r="H777" s="82" t="s">
        <v>2760</v>
      </c>
    </row>
    <row r="778" spans="1:8">
      <c r="A778" s="81">
        <v>1400</v>
      </c>
      <c r="B778" s="82" t="s">
        <v>2064</v>
      </c>
      <c r="C778" s="82" t="s">
        <v>2070</v>
      </c>
      <c r="D778" s="82" t="s">
        <v>2077</v>
      </c>
      <c r="E778" s="82"/>
      <c r="F778" s="75" t="str">
        <f t="shared" si="50"/>
        <v>Kiruhura Town Council</v>
      </c>
      <c r="G778" s="75" t="str">
        <f t="shared" ref="G778:G841" si="51">B778</f>
        <v>Kiruhura</v>
      </c>
      <c r="H778" s="82" t="s">
        <v>2077</v>
      </c>
    </row>
    <row r="779" spans="1:8">
      <c r="A779" s="81">
        <v>665</v>
      </c>
      <c r="B779" s="82" t="s">
        <v>2216</v>
      </c>
      <c r="C779" s="82" t="s">
        <v>2216</v>
      </c>
      <c r="D779" s="82" t="s">
        <v>2221</v>
      </c>
      <c r="E779" s="82"/>
      <c r="F779" s="75" t="str">
        <f t="shared" si="50"/>
        <v>Kirumba</v>
      </c>
      <c r="G779" s="75" t="str">
        <f t="shared" si="51"/>
        <v>Kyotera</v>
      </c>
      <c r="H779" s="82" t="s">
        <v>2221</v>
      </c>
    </row>
    <row r="780" spans="1:8">
      <c r="A780" s="81">
        <v>1117</v>
      </c>
      <c r="B780" s="82" t="s">
        <v>1108</v>
      </c>
      <c r="C780" s="82" t="s">
        <v>1109</v>
      </c>
      <c r="D780" s="82" t="s">
        <v>1120</v>
      </c>
      <c r="E780" s="82"/>
      <c r="F780" s="75" t="str">
        <f t="shared" si="50"/>
        <v>Kirumya</v>
      </c>
      <c r="G780" s="75" t="str">
        <f t="shared" si="51"/>
        <v>Bundibugyo</v>
      </c>
      <c r="H780" s="82" t="s">
        <v>1120</v>
      </c>
    </row>
    <row r="781" spans="1:8">
      <c r="A781" s="81">
        <v>1222</v>
      </c>
      <c r="B781" s="82" t="s">
        <v>2097</v>
      </c>
      <c r="C781" s="82" t="s">
        <v>2098</v>
      </c>
      <c r="D781" s="82" t="s">
        <v>2102</v>
      </c>
      <c r="E781" s="82"/>
      <c r="F781" s="75" t="str">
        <f t="shared" si="50"/>
        <v>Kirundo</v>
      </c>
      <c r="G781" s="75" t="str">
        <f t="shared" si="51"/>
        <v>Kisoro</v>
      </c>
      <c r="H781" s="82" t="s">
        <v>2102</v>
      </c>
    </row>
    <row r="782" spans="1:8">
      <c r="A782" s="81">
        <v>1416</v>
      </c>
      <c r="B782" s="82" t="s">
        <v>2085</v>
      </c>
      <c r="C782" s="82" t="s">
        <v>2086</v>
      </c>
      <c r="D782" s="82" t="s">
        <v>2085</v>
      </c>
      <c r="E782" s="82"/>
      <c r="F782" s="75" t="str">
        <f t="shared" si="50"/>
        <v>Kiryandongo</v>
      </c>
      <c r="G782" s="75" t="str">
        <f t="shared" si="51"/>
        <v>Kiryandongo</v>
      </c>
      <c r="H782" s="82" t="s">
        <v>2085</v>
      </c>
    </row>
    <row r="783" spans="1:8">
      <c r="A783" s="81">
        <v>1417</v>
      </c>
      <c r="B783" s="82" t="s">
        <v>2085</v>
      </c>
      <c r="C783" s="82" t="s">
        <v>2086</v>
      </c>
      <c r="D783" s="82" t="s">
        <v>2091</v>
      </c>
      <c r="E783" s="82"/>
      <c r="F783" s="75" t="str">
        <f t="shared" si="50"/>
        <v>Kiryandongo Refugee Camp</v>
      </c>
      <c r="G783" s="75" t="str">
        <f t="shared" si="51"/>
        <v>Kiryandongo</v>
      </c>
      <c r="H783" s="82" t="s">
        <v>2091</v>
      </c>
    </row>
    <row r="784" spans="1:8">
      <c r="A784" s="81">
        <v>1418</v>
      </c>
      <c r="B784" s="82" t="s">
        <v>2085</v>
      </c>
      <c r="C784" s="82" t="s">
        <v>2086</v>
      </c>
      <c r="D784" s="82" t="s">
        <v>2092</v>
      </c>
      <c r="E784" s="82"/>
      <c r="F784" s="75" t="str">
        <f t="shared" si="50"/>
        <v>Kiryandongo Town Council</v>
      </c>
      <c r="G784" s="75" t="str">
        <f t="shared" si="51"/>
        <v>Kiryandongo</v>
      </c>
      <c r="H784" s="82" t="s">
        <v>2092</v>
      </c>
    </row>
    <row r="785" spans="1:8">
      <c r="A785" s="81">
        <v>1482</v>
      </c>
      <c r="B785" s="82" t="s">
        <v>1398</v>
      </c>
      <c r="C785" s="82" t="s">
        <v>1399</v>
      </c>
      <c r="D785" s="82" t="s">
        <v>1403</v>
      </c>
      <c r="E785" s="82"/>
      <c r="F785" s="75" t="str">
        <f t="shared" si="50"/>
        <v>Kiryanga</v>
      </c>
      <c r="G785" s="75" t="str">
        <f t="shared" si="51"/>
        <v>Kagadi</v>
      </c>
      <c r="H785" s="82" t="s">
        <v>1403</v>
      </c>
    </row>
    <row r="786" spans="1:8">
      <c r="A786" s="81">
        <v>651</v>
      </c>
      <c r="B786" s="82" t="s">
        <v>2278</v>
      </c>
      <c r="C786" s="82" t="s">
        <v>23</v>
      </c>
      <c r="D786" s="82" t="s">
        <v>2277</v>
      </c>
      <c r="E786" s="82"/>
      <c r="F786" s="75" t="str">
        <f t="shared" si="50"/>
        <v>Kisekka</v>
      </c>
      <c r="G786" s="75" t="str">
        <f t="shared" si="51"/>
        <v>Lwengo</v>
      </c>
      <c r="H786" s="82" t="s">
        <v>2277</v>
      </c>
    </row>
    <row r="787" spans="1:8">
      <c r="A787" s="81">
        <v>1500</v>
      </c>
      <c r="B787" s="82" t="s">
        <v>1417</v>
      </c>
      <c r="C787" s="82" t="s">
        <v>1418</v>
      </c>
      <c r="D787" s="82" t="s">
        <v>1425</v>
      </c>
      <c r="E787" s="82"/>
      <c r="F787" s="75" t="str">
        <f t="shared" si="50"/>
        <v>Kisiita</v>
      </c>
      <c r="G787" s="75" t="str">
        <f t="shared" si="51"/>
        <v>Kakumiro</v>
      </c>
      <c r="H787" s="82" t="s">
        <v>1425</v>
      </c>
    </row>
    <row r="788" spans="1:8">
      <c r="A788" s="81">
        <v>968</v>
      </c>
      <c r="B788" s="82" t="s">
        <v>1439</v>
      </c>
      <c r="C788" s="82" t="s">
        <v>1278</v>
      </c>
      <c r="D788" s="82" t="s">
        <v>1447</v>
      </c>
      <c r="E788" s="82"/>
      <c r="F788" s="75" t="str">
        <f t="shared" si="50"/>
        <v>Kisinda</v>
      </c>
      <c r="G788" s="75" t="str">
        <f t="shared" si="51"/>
        <v>Kaliro</v>
      </c>
      <c r="H788" s="82" t="s">
        <v>1447</v>
      </c>
    </row>
    <row r="789" spans="1:8">
      <c r="A789" s="81">
        <v>1182</v>
      </c>
      <c r="B789" s="82" t="s">
        <v>36</v>
      </c>
      <c r="C789" s="82" t="s">
        <v>1111</v>
      </c>
      <c r="D789" s="82" t="s">
        <v>1990</v>
      </c>
      <c r="E789" s="82"/>
      <c r="F789" s="75" t="str">
        <f t="shared" si="50"/>
        <v>Kisinga</v>
      </c>
      <c r="G789" s="75" t="str">
        <f t="shared" si="51"/>
        <v>Kasese</v>
      </c>
      <c r="H789" s="82" t="s">
        <v>1990</v>
      </c>
    </row>
    <row r="790" spans="1:8">
      <c r="A790" s="81">
        <v>1191</v>
      </c>
      <c r="B790" s="82" t="s">
        <v>36</v>
      </c>
      <c r="C790" s="82" t="s">
        <v>1111</v>
      </c>
      <c r="D790" s="82" t="s">
        <v>1991</v>
      </c>
      <c r="E790" s="82"/>
      <c r="F790" s="75" t="str">
        <f t="shared" si="50"/>
        <v>Kisinga Town Council</v>
      </c>
      <c r="G790" s="75" t="str">
        <f t="shared" si="51"/>
        <v>Kasese</v>
      </c>
      <c r="H790" s="82" t="s">
        <v>1991</v>
      </c>
    </row>
    <row r="791" spans="1:8">
      <c r="A791" s="81">
        <v>1339</v>
      </c>
      <c r="B791" s="82" t="s">
        <v>2198</v>
      </c>
      <c r="C791" s="82" t="s">
        <v>2199</v>
      </c>
      <c r="D791" s="82" t="s">
        <v>2208</v>
      </c>
      <c r="E791" s="82"/>
      <c r="F791" s="75" t="str">
        <f t="shared" si="50"/>
        <v>Kisojo</v>
      </c>
      <c r="G791" s="75" t="str">
        <f t="shared" si="51"/>
        <v>Kyenjojo</v>
      </c>
      <c r="H791" s="82" t="s">
        <v>2208</v>
      </c>
    </row>
    <row r="792" spans="1:8">
      <c r="A792" s="81">
        <v>829</v>
      </c>
      <c r="B792" s="82" t="s">
        <v>2856</v>
      </c>
      <c r="C792" s="82" t="s">
        <v>2857</v>
      </c>
      <c r="D792" s="82" t="s">
        <v>2859</v>
      </c>
      <c r="E792" s="82"/>
      <c r="F792" s="75" t="str">
        <f t="shared" si="50"/>
        <v>Kisoko</v>
      </c>
      <c r="G792" s="75" t="str">
        <f t="shared" si="51"/>
        <v>Tororo</v>
      </c>
      <c r="H792" s="82" t="s">
        <v>2859</v>
      </c>
    </row>
    <row r="793" spans="1:8">
      <c r="A793" s="81">
        <v>1520</v>
      </c>
      <c r="B793" s="82" t="s">
        <v>1131</v>
      </c>
      <c r="C793" s="82" t="s">
        <v>1131</v>
      </c>
      <c r="D793" s="82" t="s">
        <v>1137</v>
      </c>
      <c r="E793" s="82"/>
      <c r="F793" s="75" t="str">
        <f t="shared" si="50"/>
        <v>Kisomoro</v>
      </c>
      <c r="G793" s="75" t="str">
        <f t="shared" si="51"/>
        <v>Bunyangabu</v>
      </c>
      <c r="H793" s="82" t="s">
        <v>1137</v>
      </c>
    </row>
    <row r="794" spans="1:8">
      <c r="A794" s="81">
        <v>733</v>
      </c>
      <c r="B794" s="82" t="s">
        <v>1911</v>
      </c>
      <c r="C794" s="82" t="s">
        <v>1914</v>
      </c>
      <c r="D794" s="82" t="s">
        <v>1918</v>
      </c>
      <c r="E794" s="82"/>
      <c r="F794" s="75" t="str">
        <f t="shared" si="50"/>
        <v>Kisozi</v>
      </c>
      <c r="G794" s="75" t="str">
        <f t="shared" si="51"/>
        <v>Kamuli</v>
      </c>
      <c r="H794" s="82" t="s">
        <v>1918</v>
      </c>
    </row>
    <row r="795" spans="1:8">
      <c r="A795" s="81">
        <v>1118</v>
      </c>
      <c r="B795" s="82" t="s">
        <v>1108</v>
      </c>
      <c r="C795" s="82" t="s">
        <v>1109</v>
      </c>
      <c r="D795" s="82" t="s">
        <v>1121</v>
      </c>
      <c r="E795" s="82"/>
      <c r="F795" s="75" t="str">
        <f t="shared" si="50"/>
        <v>Kisubba</v>
      </c>
      <c r="G795" s="75" t="str">
        <f t="shared" si="51"/>
        <v>Bundibugyo</v>
      </c>
      <c r="H795" s="82" t="s">
        <v>1121</v>
      </c>
    </row>
    <row r="796" spans="1:8">
      <c r="A796" s="81">
        <v>1466</v>
      </c>
      <c r="B796" s="82" t="s">
        <v>41</v>
      </c>
      <c r="C796" s="82" t="s">
        <v>41</v>
      </c>
      <c r="D796" s="82" t="s">
        <v>2804</v>
      </c>
      <c r="E796" s="82"/>
      <c r="F796" s="75" t="str">
        <f t="shared" si="50"/>
        <v>Kitagata</v>
      </c>
      <c r="G796" s="75" t="str">
        <f t="shared" si="51"/>
        <v>Sheema</v>
      </c>
      <c r="H796" s="82" t="s">
        <v>2804</v>
      </c>
    </row>
    <row r="797" spans="1:8">
      <c r="A797" s="81">
        <v>1504</v>
      </c>
      <c r="B797" s="82" t="s">
        <v>1417</v>
      </c>
      <c r="C797" s="82" t="s">
        <v>1418</v>
      </c>
      <c r="D797" s="82" t="s">
        <v>1426</v>
      </c>
      <c r="E797" s="82"/>
      <c r="F797" s="75" t="str">
        <f t="shared" si="50"/>
        <v>Kitaihuka</v>
      </c>
      <c r="G797" s="75" t="str">
        <f t="shared" si="51"/>
        <v>Kakumiro</v>
      </c>
      <c r="H797" s="82" t="s">
        <v>1426</v>
      </c>
    </row>
    <row r="798" spans="1:8">
      <c r="A798" s="81">
        <v>610</v>
      </c>
      <c r="B798" s="82" t="s">
        <v>1062</v>
      </c>
      <c r="C798" s="82" t="s">
        <v>1062</v>
      </c>
      <c r="D798" s="82" t="s">
        <v>1066</v>
      </c>
      <c r="E798" s="82"/>
      <c r="F798" s="75" t="str">
        <f t="shared" si="50"/>
        <v>Kitanda</v>
      </c>
      <c r="G798" s="75" t="str">
        <f t="shared" si="51"/>
        <v>Bukomansimbi</v>
      </c>
      <c r="H798" s="82" t="s">
        <v>1066</v>
      </c>
    </row>
    <row r="799" spans="1:8">
      <c r="A799" s="81">
        <v>1041</v>
      </c>
      <c r="B799" s="82" t="s">
        <v>2156</v>
      </c>
      <c r="C799" s="82" t="s">
        <v>2156</v>
      </c>
      <c r="D799" s="82" t="s">
        <v>2163</v>
      </c>
      <c r="E799" s="82"/>
      <c r="F799" s="75" t="str">
        <f t="shared" si="50"/>
        <v>Kitawoi</v>
      </c>
      <c r="G799" s="75" t="str">
        <f t="shared" si="51"/>
        <v>Kween</v>
      </c>
      <c r="H799" s="82" t="s">
        <v>2163</v>
      </c>
    </row>
    <row r="800" spans="1:8">
      <c r="A800" s="81">
        <v>728</v>
      </c>
      <c r="B800" s="82" t="s">
        <v>1911</v>
      </c>
      <c r="C800" s="82" t="s">
        <v>1912</v>
      </c>
      <c r="D800" s="82" t="s">
        <v>1919</v>
      </c>
      <c r="E800" s="82"/>
      <c r="F800" s="75" t="str">
        <f t="shared" si="50"/>
        <v>Kitayunjwa</v>
      </c>
      <c r="G800" s="75" t="str">
        <f t="shared" si="51"/>
        <v>Kamuli</v>
      </c>
      <c r="H800" s="82" t="s">
        <v>1919</v>
      </c>
    </row>
    <row r="801" spans="1:8">
      <c r="A801" s="81">
        <v>459</v>
      </c>
      <c r="B801" s="82" t="s">
        <v>2473</v>
      </c>
      <c r="C801" s="82" t="s">
        <v>2479</v>
      </c>
      <c r="D801" s="82" t="s">
        <v>2486</v>
      </c>
      <c r="E801" s="82"/>
      <c r="F801" s="75" t="str">
        <f t="shared" si="50"/>
        <v>Kitenga</v>
      </c>
      <c r="G801" s="75" t="str">
        <f t="shared" si="51"/>
        <v>Mubende</v>
      </c>
      <c r="H801" s="82" t="s">
        <v>2486</v>
      </c>
    </row>
    <row r="802" spans="1:8">
      <c r="A802" s="81">
        <v>58</v>
      </c>
      <c r="B802" s="82" t="s">
        <v>2114</v>
      </c>
      <c r="C802" s="82" t="s">
        <v>2115</v>
      </c>
      <c r="D802" s="82" t="s">
        <v>2113</v>
      </c>
      <c r="E802" s="82"/>
      <c r="F802" s="75" t="str">
        <f t="shared" si="50"/>
        <v>Kitgum Matidi</v>
      </c>
      <c r="G802" s="75" t="str">
        <f t="shared" si="51"/>
        <v>Kitgum</v>
      </c>
      <c r="H802" s="82" t="s">
        <v>2113</v>
      </c>
    </row>
    <row r="803" spans="1:8">
      <c r="A803" s="81">
        <v>1183</v>
      </c>
      <c r="B803" s="82" t="s">
        <v>36</v>
      </c>
      <c r="C803" s="82" t="s">
        <v>1111</v>
      </c>
      <c r="D803" s="82" t="s">
        <v>1992</v>
      </c>
      <c r="E803" s="82"/>
      <c r="F803" s="75" t="str">
        <f t="shared" si="50"/>
        <v>Kitholhu</v>
      </c>
      <c r="G803" s="75" t="str">
        <f t="shared" si="51"/>
        <v>Kasese</v>
      </c>
      <c r="H803" s="82" t="s">
        <v>1992</v>
      </c>
    </row>
    <row r="804" spans="1:8">
      <c r="A804" s="81">
        <v>526</v>
      </c>
      <c r="B804" s="82" t="s">
        <v>2017</v>
      </c>
      <c r="C804" s="82" t="s">
        <v>2016</v>
      </c>
      <c r="D804" s="82" t="s">
        <v>2028</v>
      </c>
      <c r="E804" s="82"/>
      <c r="F804" s="75" t="str">
        <f t="shared" si="50"/>
        <v>Kitimbwa</v>
      </c>
      <c r="G804" s="75" t="str">
        <f t="shared" si="51"/>
        <v>Kayunga</v>
      </c>
      <c r="H804" s="82" t="s">
        <v>2028</v>
      </c>
    </row>
    <row r="805" spans="1:8">
      <c r="A805" s="81">
        <v>585</v>
      </c>
      <c r="B805" s="82" t="s">
        <v>2537</v>
      </c>
      <c r="C805" s="82" t="s">
        <v>2537</v>
      </c>
      <c r="D805" s="82" t="s">
        <v>2543</v>
      </c>
      <c r="E805" s="82"/>
      <c r="F805" s="75" t="str">
        <f t="shared" si="50"/>
        <v>Kito</v>
      </c>
      <c r="G805" s="75" t="str">
        <f t="shared" si="51"/>
        <v>Nakaseke</v>
      </c>
      <c r="H805" s="82" t="s">
        <v>2543</v>
      </c>
    </row>
    <row r="806" spans="1:8">
      <c r="A806" s="81">
        <v>1138</v>
      </c>
      <c r="B806" s="82" t="s">
        <v>1248</v>
      </c>
      <c r="C806" s="82" t="s">
        <v>1252</v>
      </c>
      <c r="D806" s="82" t="s">
        <v>1261</v>
      </c>
      <c r="E806" s="82"/>
      <c r="F806" s="75" t="str">
        <f t="shared" si="50"/>
        <v>Kitoba</v>
      </c>
      <c r="G806" s="75" t="str">
        <f t="shared" si="51"/>
        <v>Hoima</v>
      </c>
      <c r="H806" s="82" t="s">
        <v>1261</v>
      </c>
    </row>
    <row r="807" spans="1:8">
      <c r="A807" s="81">
        <v>1199</v>
      </c>
      <c r="B807" s="82" t="s">
        <v>36</v>
      </c>
      <c r="C807" s="82" t="s">
        <v>1978</v>
      </c>
      <c r="D807" s="82" t="s">
        <v>1993</v>
      </c>
      <c r="E807" s="82"/>
      <c r="F807" s="75" t="str">
        <f t="shared" si="50"/>
        <v>Kitswamba</v>
      </c>
      <c r="G807" s="75" t="str">
        <f t="shared" si="51"/>
        <v>Kasese</v>
      </c>
      <c r="H807" s="82" t="s">
        <v>1993</v>
      </c>
    </row>
    <row r="808" spans="1:8">
      <c r="A808" s="81">
        <v>1157</v>
      </c>
      <c r="B808" s="82" t="s">
        <v>1353</v>
      </c>
      <c r="C808" s="82" t="s">
        <v>1354</v>
      </c>
      <c r="D808" s="82" t="s">
        <v>1361</v>
      </c>
      <c r="E808" s="82"/>
      <c r="F808" s="75" t="str">
        <f t="shared" si="50"/>
        <v>Kitumba</v>
      </c>
      <c r="G808" s="75" t="str">
        <f t="shared" si="51"/>
        <v>Kabale</v>
      </c>
      <c r="H808" s="82" t="s">
        <v>1361</v>
      </c>
    </row>
    <row r="809" spans="1:8">
      <c r="A809" s="81">
        <v>471</v>
      </c>
      <c r="B809" s="82" t="s">
        <v>2473</v>
      </c>
      <c r="C809" s="82" t="s">
        <v>2476</v>
      </c>
      <c r="D809" s="82" t="s">
        <v>2487</v>
      </c>
      <c r="E809" s="82"/>
      <c r="F809" s="75" t="str">
        <f t="shared" si="50"/>
        <v>Kitumbi</v>
      </c>
      <c r="G809" s="75" t="str">
        <f t="shared" si="51"/>
        <v>Mubende</v>
      </c>
      <c r="H809" s="82" t="s">
        <v>2487</v>
      </c>
    </row>
    <row r="810" spans="1:8">
      <c r="A810" s="81">
        <v>454</v>
      </c>
      <c r="B810" s="82" t="s">
        <v>2460</v>
      </c>
      <c r="C810" s="82" t="s">
        <v>2461</v>
      </c>
      <c r="D810" s="82" t="s">
        <v>2464</v>
      </c>
      <c r="E810" s="82"/>
      <c r="F810" s="75" t="str">
        <f t="shared" si="50"/>
        <v>Kituntu</v>
      </c>
      <c r="G810" s="75" t="str">
        <f t="shared" si="51"/>
        <v>Mpigi</v>
      </c>
      <c r="H810" s="82" t="s">
        <v>2464</v>
      </c>
    </row>
    <row r="811" spans="1:8">
      <c r="A811" s="81">
        <v>1401</v>
      </c>
      <c r="B811" s="82" t="s">
        <v>2064</v>
      </c>
      <c r="C811" s="82" t="s">
        <v>2070</v>
      </c>
      <c r="D811" s="82" t="s">
        <v>2078</v>
      </c>
      <c r="E811" s="82"/>
      <c r="F811" s="75" t="str">
        <f t="shared" si="50"/>
        <v>Kitura</v>
      </c>
      <c r="G811" s="75" t="str">
        <f t="shared" si="51"/>
        <v>Kiruhura</v>
      </c>
      <c r="H811" s="82" t="s">
        <v>2078</v>
      </c>
    </row>
    <row r="812" spans="1:8">
      <c r="A812" s="81">
        <v>1271</v>
      </c>
      <c r="B812" s="82" t="s">
        <v>47</v>
      </c>
      <c r="C812" s="82" t="s">
        <v>2645</v>
      </c>
      <c r="D812" s="82" t="s">
        <v>2650</v>
      </c>
      <c r="E812" s="82"/>
      <c r="F812" s="75" t="str">
        <f t="shared" si="50"/>
        <v>Kitwe Town Council</v>
      </c>
      <c r="G812" s="75" t="str">
        <f t="shared" si="51"/>
        <v>Ntungamo</v>
      </c>
      <c r="H812" s="82" t="s">
        <v>2650</v>
      </c>
    </row>
    <row r="813" spans="1:8">
      <c r="A813" s="81">
        <v>859</v>
      </c>
      <c r="B813" s="82" t="s">
        <v>2346</v>
      </c>
      <c r="C813" s="82" t="s">
        <v>2347</v>
      </c>
      <c r="D813" s="82" t="s">
        <v>2355</v>
      </c>
      <c r="E813" s="82"/>
      <c r="F813" s="75" t="str">
        <f t="shared" si="50"/>
        <v>Kityerera</v>
      </c>
      <c r="G813" s="75" t="str">
        <f t="shared" si="51"/>
        <v>Mayuge</v>
      </c>
      <c r="H813" s="82" t="s">
        <v>2355</v>
      </c>
    </row>
    <row r="814" spans="1:8">
      <c r="A814" s="81">
        <v>586</v>
      </c>
      <c r="B814" s="82" t="s">
        <v>2537</v>
      </c>
      <c r="C814" s="82" t="s">
        <v>2537</v>
      </c>
      <c r="D814" s="82" t="s">
        <v>2544</v>
      </c>
      <c r="E814" s="82"/>
      <c r="F814" s="75" t="str">
        <f t="shared" si="50"/>
        <v>Kiwoko Town Council</v>
      </c>
      <c r="G814" s="75" t="str">
        <f t="shared" si="51"/>
        <v>Nakaseke</v>
      </c>
      <c r="H814" s="82" t="s">
        <v>2544</v>
      </c>
    </row>
    <row r="815" spans="1:8">
      <c r="A815" s="81">
        <v>1436</v>
      </c>
      <c r="B815" s="82" t="s">
        <v>46</v>
      </c>
      <c r="C815" s="82" t="s">
        <v>2405</v>
      </c>
      <c r="D815" s="82" t="s">
        <v>2410</v>
      </c>
      <c r="E815" s="82"/>
      <c r="F815" s="75" t="str">
        <f t="shared" si="50"/>
        <v>Kiyanga</v>
      </c>
      <c r="G815" s="75" t="str">
        <f t="shared" si="51"/>
        <v>Mitooma</v>
      </c>
      <c r="H815" s="82" t="s">
        <v>2410</v>
      </c>
    </row>
    <row r="816" spans="1:8">
      <c r="A816" s="81">
        <v>460</v>
      </c>
      <c r="B816" s="82" t="s">
        <v>2473</v>
      </c>
      <c r="C816" s="82" t="s">
        <v>2479</v>
      </c>
      <c r="D816" s="82" t="s">
        <v>2488</v>
      </c>
      <c r="E816" s="82"/>
      <c r="F816" s="75" t="str">
        <f t="shared" si="50"/>
        <v>Kiyuni</v>
      </c>
      <c r="G816" s="75" t="str">
        <f t="shared" si="51"/>
        <v>Mubende</v>
      </c>
      <c r="H816" s="82" t="s">
        <v>2488</v>
      </c>
    </row>
    <row r="817" spans="1:8">
      <c r="A817" s="81">
        <v>510</v>
      </c>
      <c r="B817" s="82" t="s">
        <v>2733</v>
      </c>
      <c r="C817" s="82" t="s">
        <v>2220</v>
      </c>
      <c r="D817" s="82" t="s">
        <v>2739</v>
      </c>
      <c r="E817" s="82"/>
      <c r="F817" s="75" t="str">
        <f t="shared" si="50"/>
        <v>Kiziba</v>
      </c>
      <c r="G817" s="75" t="str">
        <f t="shared" si="51"/>
        <v>Rakai</v>
      </c>
      <c r="H817" s="82" t="s">
        <v>2739</v>
      </c>
    </row>
    <row r="818" spans="1:8">
      <c r="A818" s="81">
        <v>1143</v>
      </c>
      <c r="B818" s="82" t="s">
        <v>1248</v>
      </c>
      <c r="C818" s="82" t="s">
        <v>1249</v>
      </c>
      <c r="D818" s="82" t="s">
        <v>1262</v>
      </c>
      <c r="E818" s="82"/>
      <c r="F818" s="75" t="str">
        <f t="shared" si="50"/>
        <v>Kiziranfumbi</v>
      </c>
      <c r="G818" s="75" t="str">
        <f t="shared" si="51"/>
        <v>Hoima</v>
      </c>
      <c r="H818" s="82" t="s">
        <v>1262</v>
      </c>
    </row>
    <row r="819" spans="1:8">
      <c r="A819" s="81">
        <v>652</v>
      </c>
      <c r="B819" s="82" t="s">
        <v>2278</v>
      </c>
      <c r="C819" s="82" t="s">
        <v>23</v>
      </c>
      <c r="D819" s="82" t="s">
        <v>2279</v>
      </c>
      <c r="E819" s="82"/>
      <c r="F819" s="75" t="str">
        <f t="shared" si="50"/>
        <v>Kkingo</v>
      </c>
      <c r="G819" s="75" t="str">
        <f t="shared" si="51"/>
        <v>Lwengo</v>
      </c>
      <c r="H819" s="82" t="s">
        <v>2279</v>
      </c>
    </row>
    <row r="820" spans="1:8">
      <c r="A820" s="81">
        <v>843</v>
      </c>
      <c r="B820" s="82" t="s">
        <v>1386</v>
      </c>
      <c r="C820" s="82" t="s">
        <v>1386</v>
      </c>
      <c r="D820" s="82" t="s">
        <v>1394</v>
      </c>
      <c r="E820" s="82"/>
      <c r="F820" s="75" t="str">
        <f t="shared" si="50"/>
        <v>Kobulubulu</v>
      </c>
      <c r="G820" s="75" t="str">
        <f t="shared" si="51"/>
        <v>Kaberamaido</v>
      </c>
      <c r="H820" s="82" t="s">
        <v>1394</v>
      </c>
    </row>
    <row r="821" spans="1:8">
      <c r="A821" s="81">
        <v>1064</v>
      </c>
      <c r="B821" s="82" t="s">
        <v>2626</v>
      </c>
      <c r="C821" s="82" t="s">
        <v>2626</v>
      </c>
      <c r="D821" s="82" t="s">
        <v>2627</v>
      </c>
      <c r="E821" s="82"/>
      <c r="F821" s="75" t="str">
        <f t="shared" si="50"/>
        <v>Kobwin</v>
      </c>
      <c r="G821" s="75" t="str">
        <f t="shared" si="51"/>
        <v>Ngora</v>
      </c>
      <c r="H821" s="82" t="s">
        <v>2627</v>
      </c>
    </row>
    <row r="822" spans="1:8">
      <c r="A822" s="81">
        <v>284</v>
      </c>
      <c r="B822" s="82" t="s">
        <v>2664</v>
      </c>
      <c r="C822" s="82" t="s">
        <v>2664</v>
      </c>
      <c r="D822" s="82" t="s">
        <v>2667</v>
      </c>
      <c r="E822" s="82"/>
      <c r="F822" s="75" t="str">
        <f t="shared" si="50"/>
        <v>Koch-Goma</v>
      </c>
      <c r="G822" s="75" t="str">
        <f t="shared" si="51"/>
        <v>Nwoya</v>
      </c>
      <c r="H822" s="82" t="s">
        <v>2667</v>
      </c>
    </row>
    <row r="823" spans="1:8">
      <c r="A823" s="81">
        <v>143</v>
      </c>
      <c r="B823" s="82" t="s">
        <v>3072</v>
      </c>
      <c r="C823" s="82" t="s">
        <v>3073</v>
      </c>
      <c r="D823" s="82" t="s">
        <v>3078</v>
      </c>
      <c r="E823" s="82"/>
      <c r="F823" s="75" t="str">
        <f t="shared" si="50"/>
        <v>Kochi</v>
      </c>
      <c r="G823" s="75" t="str">
        <f t="shared" si="51"/>
        <v>Yumbe</v>
      </c>
      <c r="H823" s="82" t="s">
        <v>3078</v>
      </c>
    </row>
    <row r="824" spans="1:8">
      <c r="A824" s="81">
        <v>261</v>
      </c>
      <c r="B824" s="82" t="s">
        <v>2134</v>
      </c>
      <c r="C824" s="82" t="s">
        <v>2134</v>
      </c>
      <c r="D824" s="82" t="s">
        <v>2139</v>
      </c>
      <c r="E824" s="82"/>
      <c r="F824" s="75" t="str">
        <f t="shared" si="50"/>
        <v>Kole Town Council</v>
      </c>
      <c r="G824" s="75" t="str">
        <f t="shared" si="51"/>
        <v>Kole</v>
      </c>
      <c r="H824" s="82" t="s">
        <v>2139</v>
      </c>
    </row>
    <row r="825" spans="1:8">
      <c r="A825" s="81">
        <v>935</v>
      </c>
      <c r="B825" s="82" t="s">
        <v>1055</v>
      </c>
      <c r="C825" s="82" t="s">
        <v>1055</v>
      </c>
      <c r="D825" s="82" t="s">
        <v>1059</v>
      </c>
      <c r="E825" s="82"/>
      <c r="F825" s="75" t="str">
        <f t="shared" si="50"/>
        <v>Kolir</v>
      </c>
      <c r="G825" s="75" t="str">
        <f t="shared" si="51"/>
        <v>Bukedea</v>
      </c>
      <c r="H825" s="82" t="s">
        <v>1059</v>
      </c>
    </row>
    <row r="826" spans="1:8">
      <c r="A826" s="81">
        <v>478</v>
      </c>
      <c r="B826" s="82" t="s">
        <v>2500</v>
      </c>
      <c r="C826" s="82" t="s">
        <v>2500</v>
      </c>
      <c r="D826" s="82" t="s">
        <v>2503</v>
      </c>
      <c r="E826" s="82"/>
      <c r="F826" s="75" t="str">
        <f t="shared" si="50"/>
        <v>Koome Island</v>
      </c>
      <c r="G826" s="75" t="str">
        <f t="shared" si="51"/>
        <v>Mukono</v>
      </c>
      <c r="H826" s="82" t="s">
        <v>2503</v>
      </c>
    </row>
    <row r="827" spans="1:8">
      <c r="A827" s="81">
        <v>306</v>
      </c>
      <c r="B827" s="82" t="s">
        <v>901</v>
      </c>
      <c r="C827" s="82" t="s">
        <v>901</v>
      </c>
      <c r="D827" s="82" t="s">
        <v>2670</v>
      </c>
      <c r="E827" s="82"/>
      <c r="F827" s="75" t="str">
        <f t="shared" si="50"/>
        <v>Koro</v>
      </c>
      <c r="G827" s="75" t="str">
        <f t="shared" si="51"/>
        <v>Omoro</v>
      </c>
      <c r="H827" s="82" t="s">
        <v>2670</v>
      </c>
    </row>
    <row r="828" spans="1:8">
      <c r="A828" s="81">
        <v>944</v>
      </c>
      <c r="B828" s="82" t="s">
        <v>1067</v>
      </c>
      <c r="C828" s="82" t="s">
        <v>1068</v>
      </c>
      <c r="D828" s="82" t="s">
        <v>1075</v>
      </c>
      <c r="E828" s="82"/>
      <c r="F828" s="75" t="str">
        <f t="shared" si="50"/>
        <v>Kortek</v>
      </c>
      <c r="G828" s="75" t="str">
        <f t="shared" si="51"/>
        <v>Bukwo</v>
      </c>
      <c r="H828" s="82" t="s">
        <v>1075</v>
      </c>
    </row>
    <row r="829" spans="1:8">
      <c r="A829" s="81">
        <v>71</v>
      </c>
      <c r="B829" s="82" t="s">
        <v>2142</v>
      </c>
      <c r="C829" s="82" t="s">
        <v>2143</v>
      </c>
      <c r="D829" s="82" t="s">
        <v>2142</v>
      </c>
      <c r="E829" s="82"/>
      <c r="F829" s="75" t="str">
        <f t="shared" si="50"/>
        <v>Kotido</v>
      </c>
      <c r="G829" s="75" t="str">
        <f t="shared" si="51"/>
        <v>Kotido</v>
      </c>
      <c r="H829" s="82" t="s">
        <v>2142</v>
      </c>
    </row>
    <row r="830" spans="1:8">
      <c r="A830" s="81">
        <v>231</v>
      </c>
      <c r="B830" s="82" t="s">
        <v>875</v>
      </c>
      <c r="C830" s="82" t="s">
        <v>875</v>
      </c>
      <c r="D830" s="82" t="s">
        <v>879</v>
      </c>
      <c r="E830" s="82"/>
      <c r="F830" s="75" t="str">
        <f t="shared" si="50"/>
        <v>Kotomol</v>
      </c>
      <c r="G830" s="75" t="str">
        <f t="shared" si="51"/>
        <v>Agago</v>
      </c>
      <c r="H830" s="82" t="s">
        <v>879</v>
      </c>
    </row>
    <row r="831" spans="1:8">
      <c r="A831" s="81">
        <v>113</v>
      </c>
      <c r="B831" s="82" t="s">
        <v>2616</v>
      </c>
      <c r="C831" s="82" t="s">
        <v>2617</v>
      </c>
      <c r="D831" s="82" t="s">
        <v>2620</v>
      </c>
      <c r="E831" s="82"/>
      <c r="F831" s="75" t="str">
        <f t="shared" si="50"/>
        <v>Kucwiny</v>
      </c>
      <c r="G831" s="75" t="str">
        <f t="shared" si="51"/>
        <v>Nebbi</v>
      </c>
      <c r="H831" s="82" t="s">
        <v>2620</v>
      </c>
    </row>
    <row r="832" spans="1:8">
      <c r="A832" s="81">
        <v>891</v>
      </c>
      <c r="B832" s="82" t="s">
        <v>921</v>
      </c>
      <c r="C832" s="82" t="s">
        <v>921</v>
      </c>
      <c r="D832" s="82" t="s">
        <v>929</v>
      </c>
      <c r="E832" s="82"/>
      <c r="F832" s="75" t="str">
        <f t="shared" si="50"/>
        <v>Kuju</v>
      </c>
      <c r="G832" s="75" t="str">
        <f t="shared" si="51"/>
        <v>Amuria</v>
      </c>
      <c r="H832" s="82" t="s">
        <v>929</v>
      </c>
    </row>
    <row r="833" spans="1:8">
      <c r="A833" s="81">
        <v>200</v>
      </c>
      <c r="B833" s="82" t="s">
        <v>2126</v>
      </c>
      <c r="C833" s="82" t="s">
        <v>2126</v>
      </c>
      <c r="D833" s="82" t="s">
        <v>2129</v>
      </c>
      <c r="E833" s="82"/>
      <c r="F833" s="75" t="str">
        <f t="shared" si="50"/>
        <v>Kuluba</v>
      </c>
      <c r="G833" s="75" t="str">
        <f t="shared" si="51"/>
        <v>Koboko</v>
      </c>
      <c r="H833" s="82" t="s">
        <v>2129</v>
      </c>
    </row>
    <row r="834" spans="1:8">
      <c r="A834" s="81">
        <v>144</v>
      </c>
      <c r="B834" s="82" t="s">
        <v>3072</v>
      </c>
      <c r="C834" s="82" t="s">
        <v>3073</v>
      </c>
      <c r="D834" s="82" t="s">
        <v>3079</v>
      </c>
      <c r="E834" s="82"/>
      <c r="F834" s="75" t="str">
        <f t="shared" si="50"/>
        <v>Kululu</v>
      </c>
      <c r="G834" s="75" t="str">
        <f t="shared" si="51"/>
        <v>Yumbe</v>
      </c>
      <c r="H834" s="82" t="s">
        <v>3079</v>
      </c>
    </row>
    <row r="835" spans="1:8">
      <c r="A835" s="81">
        <v>765</v>
      </c>
      <c r="B835" s="82" t="s">
        <v>2149</v>
      </c>
      <c r="C835" s="82" t="s">
        <v>2149</v>
      </c>
      <c r="D835" s="82" t="s">
        <v>2149</v>
      </c>
      <c r="E835" s="82"/>
      <c r="F835" s="75" t="str">
        <f t="shared" si="50"/>
        <v>Kumi</v>
      </c>
      <c r="G835" s="75" t="str">
        <f t="shared" si="51"/>
        <v>Kumi</v>
      </c>
      <c r="H835" s="82" t="s">
        <v>2149</v>
      </c>
    </row>
    <row r="836" spans="1:8">
      <c r="A836" s="81">
        <v>145</v>
      </c>
      <c r="B836" s="82" t="s">
        <v>3072</v>
      </c>
      <c r="C836" s="82" t="s">
        <v>3073</v>
      </c>
      <c r="D836" s="82" t="s">
        <v>3080</v>
      </c>
      <c r="E836" s="82"/>
      <c r="F836" s="75" t="str">
        <f t="shared" ref="F836:F899" si="52">D836</f>
        <v>Kuru</v>
      </c>
      <c r="G836" s="75" t="str">
        <f t="shared" si="51"/>
        <v>Yumbe</v>
      </c>
      <c r="H836" s="82" t="s">
        <v>3080</v>
      </c>
    </row>
    <row r="837" spans="1:8">
      <c r="A837" s="81">
        <v>1042</v>
      </c>
      <c r="B837" s="82" t="s">
        <v>2156</v>
      </c>
      <c r="C837" s="82" t="s">
        <v>2156</v>
      </c>
      <c r="D837" s="82" t="s">
        <v>2164</v>
      </c>
      <c r="E837" s="82"/>
      <c r="F837" s="75" t="str">
        <f t="shared" si="52"/>
        <v>Kwanyiy</v>
      </c>
      <c r="G837" s="75" t="str">
        <f t="shared" si="51"/>
        <v>Kween</v>
      </c>
      <c r="H837" s="82" t="s">
        <v>2164</v>
      </c>
    </row>
    <row r="838" spans="1:8">
      <c r="A838" s="81">
        <v>818</v>
      </c>
      <c r="B838" s="82" t="s">
        <v>2856</v>
      </c>
      <c r="C838" s="82" t="s">
        <v>2856</v>
      </c>
      <c r="D838" s="82" t="s">
        <v>2860</v>
      </c>
      <c r="E838" s="82"/>
      <c r="F838" s="75" t="str">
        <f t="shared" si="52"/>
        <v>Kwapa</v>
      </c>
      <c r="G838" s="75" t="str">
        <f t="shared" si="51"/>
        <v>Tororo</v>
      </c>
      <c r="H838" s="82" t="s">
        <v>2860</v>
      </c>
    </row>
    <row r="839" spans="1:8">
      <c r="A839" s="81">
        <v>181</v>
      </c>
      <c r="B839" s="82" t="s">
        <v>1222</v>
      </c>
      <c r="C839" s="82" t="s">
        <v>1222</v>
      </c>
      <c r="D839" s="82" t="s">
        <v>1229</v>
      </c>
      <c r="E839" s="82"/>
      <c r="F839" s="75" t="str">
        <f t="shared" si="52"/>
        <v>Kwera</v>
      </c>
      <c r="G839" s="75" t="str">
        <f t="shared" si="51"/>
        <v>Dokolo</v>
      </c>
      <c r="H839" s="82" t="s">
        <v>1229</v>
      </c>
    </row>
    <row r="840" spans="1:8">
      <c r="A840" s="81">
        <v>1043</v>
      </c>
      <c r="B840" s="82" t="s">
        <v>2156</v>
      </c>
      <c r="C840" s="82" t="s">
        <v>2156</v>
      </c>
      <c r="D840" s="82" t="s">
        <v>2165</v>
      </c>
      <c r="E840" s="82"/>
      <c r="F840" s="75" t="str">
        <f t="shared" si="52"/>
        <v>Kwosir</v>
      </c>
      <c r="G840" s="75" t="str">
        <f t="shared" si="51"/>
        <v>Kween</v>
      </c>
      <c r="H840" s="82" t="s">
        <v>2165</v>
      </c>
    </row>
    <row r="841" spans="1:8">
      <c r="A841" s="81">
        <v>1462</v>
      </c>
      <c r="B841" s="82" t="s">
        <v>2756</v>
      </c>
      <c r="C841" s="82" t="s">
        <v>2757</v>
      </c>
      <c r="D841" s="82" t="s">
        <v>2761</v>
      </c>
      <c r="E841" s="82"/>
      <c r="F841" s="75" t="str">
        <f t="shared" si="52"/>
        <v>Kyabakara</v>
      </c>
      <c r="G841" s="75" t="str">
        <f t="shared" si="51"/>
        <v>Rubirizi</v>
      </c>
      <c r="H841" s="82" t="s">
        <v>2761</v>
      </c>
    </row>
    <row r="842" spans="1:8">
      <c r="A842" s="81">
        <v>1200</v>
      </c>
      <c r="B842" s="82" t="s">
        <v>36</v>
      </c>
      <c r="C842" s="82" t="s">
        <v>1978</v>
      </c>
      <c r="D842" s="82" t="s">
        <v>1994</v>
      </c>
      <c r="E842" s="82"/>
      <c r="F842" s="75" t="str">
        <f t="shared" si="52"/>
        <v>Kyabarungira</v>
      </c>
      <c r="G842" s="75" t="str">
        <f t="shared" ref="G842:G905" si="53">B842</f>
        <v>Kasese</v>
      </c>
      <c r="H842" s="82" t="s">
        <v>1994</v>
      </c>
    </row>
    <row r="843" spans="1:8">
      <c r="A843" s="81">
        <v>1139</v>
      </c>
      <c r="B843" s="82" t="s">
        <v>1248</v>
      </c>
      <c r="C843" s="82" t="s">
        <v>1252</v>
      </c>
      <c r="D843" s="82" t="s">
        <v>1263</v>
      </c>
      <c r="E843" s="82"/>
      <c r="F843" s="75" t="str">
        <f t="shared" si="52"/>
        <v>Kyabigambire</v>
      </c>
      <c r="G843" s="75" t="str">
        <f t="shared" si="53"/>
        <v>Hoima</v>
      </c>
      <c r="H843" s="82" t="s">
        <v>1263</v>
      </c>
    </row>
    <row r="844" spans="1:8">
      <c r="A844" s="81">
        <v>1129</v>
      </c>
      <c r="B844" s="82" t="s">
        <v>38</v>
      </c>
      <c r="C844" s="82" t="s">
        <v>1143</v>
      </c>
      <c r="D844" s="82" t="s">
        <v>1150</v>
      </c>
      <c r="E844" s="82"/>
      <c r="F844" s="75" t="str">
        <f t="shared" si="52"/>
        <v>Kyabugimbi</v>
      </c>
      <c r="G844" s="75" t="str">
        <f t="shared" si="53"/>
        <v>Bushenyi</v>
      </c>
      <c r="H844" s="82" t="s">
        <v>1150</v>
      </c>
    </row>
    <row r="845" spans="1:8">
      <c r="A845" s="81">
        <v>1429</v>
      </c>
      <c r="B845" s="82" t="s">
        <v>2187</v>
      </c>
      <c r="C845" s="82" t="s">
        <v>2188</v>
      </c>
      <c r="D845" s="82" t="s">
        <v>2192</v>
      </c>
      <c r="E845" s="82"/>
      <c r="F845" s="75" t="str">
        <f t="shared" si="52"/>
        <v>Kyaka Ii Refugee Camp</v>
      </c>
      <c r="G845" s="75" t="str">
        <f t="shared" si="53"/>
        <v>Kyegegwa</v>
      </c>
      <c r="H845" s="82" t="s">
        <v>2192</v>
      </c>
    </row>
    <row r="846" spans="1:8">
      <c r="A846" s="81">
        <v>1483</v>
      </c>
      <c r="B846" s="82" t="s">
        <v>1398</v>
      </c>
      <c r="C846" s="82" t="s">
        <v>1399</v>
      </c>
      <c r="D846" s="82" t="s">
        <v>1404</v>
      </c>
      <c r="E846" s="82"/>
      <c r="F846" s="75" t="str">
        <f t="shared" si="52"/>
        <v>Kyakabadiima</v>
      </c>
      <c r="G846" s="75" t="str">
        <f t="shared" si="53"/>
        <v>Kagadi</v>
      </c>
      <c r="H846" s="82" t="s">
        <v>1404</v>
      </c>
    </row>
    <row r="847" spans="1:8">
      <c r="A847" s="81">
        <v>511</v>
      </c>
      <c r="B847" s="82" t="s">
        <v>2733</v>
      </c>
      <c r="C847" s="82" t="s">
        <v>2220</v>
      </c>
      <c r="D847" s="82" t="s">
        <v>2740</v>
      </c>
      <c r="E847" s="82"/>
      <c r="F847" s="75" t="str">
        <f t="shared" si="52"/>
        <v>Kyalulangira</v>
      </c>
      <c r="G847" s="75" t="str">
        <f t="shared" si="53"/>
        <v>Rakai</v>
      </c>
      <c r="H847" s="82" t="s">
        <v>2740</v>
      </c>
    </row>
    <row r="848" spans="1:8">
      <c r="A848" s="81">
        <v>479</v>
      </c>
      <c r="B848" s="82" t="s">
        <v>2500</v>
      </c>
      <c r="C848" s="82" t="s">
        <v>2500</v>
      </c>
      <c r="D848" s="82" t="s">
        <v>2504</v>
      </c>
      <c r="E848" s="82"/>
      <c r="F848" s="75" t="str">
        <f t="shared" si="52"/>
        <v>Kyampisi</v>
      </c>
      <c r="G848" s="75" t="str">
        <f t="shared" si="53"/>
        <v>Mukono</v>
      </c>
      <c r="H848" s="82" t="s">
        <v>2504</v>
      </c>
    </row>
    <row r="849" spans="1:8">
      <c r="A849" s="81">
        <v>1130</v>
      </c>
      <c r="B849" s="82" t="s">
        <v>38</v>
      </c>
      <c r="C849" s="82" t="s">
        <v>1143</v>
      </c>
      <c r="D849" s="82" t="s">
        <v>51</v>
      </c>
      <c r="E849" s="82"/>
      <c r="F849" s="75" t="str">
        <f t="shared" si="52"/>
        <v>Kyamuhunga</v>
      </c>
      <c r="G849" s="75" t="str">
        <f t="shared" si="53"/>
        <v>Bushenyi</v>
      </c>
      <c r="H849" s="82" t="s">
        <v>51</v>
      </c>
    </row>
    <row r="850" spans="1:8">
      <c r="A850" s="81">
        <v>1134</v>
      </c>
      <c r="B850" s="82" t="s">
        <v>38</v>
      </c>
      <c r="C850" s="82" t="s">
        <v>1143</v>
      </c>
      <c r="D850" s="82" t="s">
        <v>1151</v>
      </c>
      <c r="E850" s="82"/>
      <c r="F850" s="75" t="str">
        <f t="shared" si="52"/>
        <v>Kyamuhunga Town Council</v>
      </c>
      <c r="G850" s="75" t="str">
        <f t="shared" si="53"/>
        <v>Bushenyi</v>
      </c>
      <c r="H850" s="82" t="s">
        <v>1151</v>
      </c>
    </row>
    <row r="851" spans="1:8">
      <c r="A851" s="81">
        <v>1525</v>
      </c>
      <c r="B851" s="82" t="s">
        <v>3205</v>
      </c>
      <c r="C851" s="82" t="s">
        <v>1131</v>
      </c>
      <c r="D851" s="82" t="s">
        <v>1138</v>
      </c>
      <c r="E851" s="82"/>
      <c r="F851" s="75" t="str">
        <f t="shared" si="52"/>
        <v>Kyamukube Town Council</v>
      </c>
      <c r="G851" s="75" t="str">
        <f t="shared" si="53"/>
        <v>Bunyangabu</v>
      </c>
      <c r="H851" s="82" t="s">
        <v>1138</v>
      </c>
    </row>
    <row r="852" spans="1:8">
      <c r="A852" s="81">
        <v>634</v>
      </c>
      <c r="B852" s="82" t="s">
        <v>1453</v>
      </c>
      <c r="C852" s="82" t="s">
        <v>1453</v>
      </c>
      <c r="D852" s="82" t="s">
        <v>1455</v>
      </c>
      <c r="E852" s="82"/>
      <c r="F852" s="75" t="str">
        <f t="shared" si="52"/>
        <v>Kyamulibwa</v>
      </c>
      <c r="G852" s="75" t="str">
        <f t="shared" si="53"/>
        <v>Kalungu</v>
      </c>
      <c r="H852" s="82" t="s">
        <v>1455</v>
      </c>
    </row>
    <row r="853" spans="1:8">
      <c r="A853" s="81">
        <v>637</v>
      </c>
      <c r="B853" s="82" t="s">
        <v>1453</v>
      </c>
      <c r="C853" s="82" t="s">
        <v>1453</v>
      </c>
      <c r="D853" s="82" t="s">
        <v>1456</v>
      </c>
      <c r="E853" s="82"/>
      <c r="F853" s="75" t="str">
        <f t="shared" si="52"/>
        <v>Kyamulibwa Town Council</v>
      </c>
      <c r="G853" s="75" t="str">
        <f t="shared" si="53"/>
        <v>Kalungu</v>
      </c>
      <c r="H853" s="82" t="s">
        <v>1456</v>
      </c>
    </row>
    <row r="854" spans="1:8">
      <c r="A854" s="81">
        <v>323</v>
      </c>
      <c r="B854" s="82" t="s">
        <v>1431</v>
      </c>
      <c r="C854" s="82" t="s">
        <v>1432</v>
      </c>
      <c r="D854" s="82" t="s">
        <v>1432</v>
      </c>
      <c r="E854" s="82"/>
      <c r="F854" s="75" t="str">
        <f t="shared" si="52"/>
        <v>Kyamuswa</v>
      </c>
      <c r="G854" s="75" t="str">
        <f t="shared" si="53"/>
        <v>Kalangala</v>
      </c>
      <c r="H854" s="82" t="s">
        <v>1432</v>
      </c>
    </row>
    <row r="855" spans="1:8">
      <c r="A855" s="81">
        <v>1484</v>
      </c>
      <c r="B855" s="82" t="s">
        <v>1398</v>
      </c>
      <c r="C855" s="82" t="s">
        <v>1399</v>
      </c>
      <c r="D855" s="82" t="s">
        <v>1405</v>
      </c>
      <c r="E855" s="82"/>
      <c r="F855" s="75" t="str">
        <f t="shared" si="52"/>
        <v>Kyanaisoke</v>
      </c>
      <c r="G855" s="75" t="str">
        <f t="shared" si="53"/>
        <v>Kagadi</v>
      </c>
      <c r="H855" s="82" t="s">
        <v>1405</v>
      </c>
    </row>
    <row r="856" spans="1:8">
      <c r="A856" s="81">
        <v>1158</v>
      </c>
      <c r="B856" s="82" t="s">
        <v>1353</v>
      </c>
      <c r="C856" s="82" t="s">
        <v>1354</v>
      </c>
      <c r="D856" s="82" t="s">
        <v>1362</v>
      </c>
      <c r="E856" s="82"/>
      <c r="F856" s="75" t="str">
        <f t="shared" si="52"/>
        <v>Kyanamira</v>
      </c>
      <c r="G856" s="75" t="str">
        <f t="shared" si="53"/>
        <v>Kabale</v>
      </c>
      <c r="H856" s="82" t="s">
        <v>1362</v>
      </c>
    </row>
    <row r="857" spans="1:8">
      <c r="A857" s="81">
        <v>445</v>
      </c>
      <c r="B857" s="82" t="s">
        <v>39</v>
      </c>
      <c r="C857" s="82" t="s">
        <v>23</v>
      </c>
      <c r="D857" s="82" t="s">
        <v>2324</v>
      </c>
      <c r="E857" s="82"/>
      <c r="F857" s="75" t="str">
        <f t="shared" si="52"/>
        <v>Kyanamukaaka</v>
      </c>
      <c r="G857" s="75" t="str">
        <f t="shared" si="53"/>
        <v>Masaka</v>
      </c>
      <c r="H857" s="82" t="s">
        <v>2324</v>
      </c>
    </row>
    <row r="858" spans="1:8">
      <c r="A858" s="81">
        <v>1144</v>
      </c>
      <c r="B858" s="82" t="s">
        <v>1248</v>
      </c>
      <c r="C858" s="82" t="s">
        <v>1249</v>
      </c>
      <c r="D858" s="82" t="s">
        <v>1264</v>
      </c>
      <c r="E858" s="82"/>
      <c r="F858" s="75" t="str">
        <f t="shared" si="52"/>
        <v>Kyangwali</v>
      </c>
      <c r="G858" s="75" t="str">
        <f t="shared" si="53"/>
        <v>Hoima</v>
      </c>
      <c r="H858" s="82" t="s">
        <v>1264</v>
      </c>
    </row>
    <row r="859" spans="1:8">
      <c r="A859" s="81">
        <v>1467</v>
      </c>
      <c r="B859" s="82" t="s">
        <v>41</v>
      </c>
      <c r="C859" s="82" t="s">
        <v>41</v>
      </c>
      <c r="D859" s="82" t="s">
        <v>2805</v>
      </c>
      <c r="E859" s="82"/>
      <c r="F859" s="75" t="str">
        <f t="shared" si="52"/>
        <v>Kyangyenyi</v>
      </c>
      <c r="G859" s="75" t="str">
        <f t="shared" si="53"/>
        <v>Sheema</v>
      </c>
      <c r="H859" s="82" t="s">
        <v>2805</v>
      </c>
    </row>
    <row r="860" spans="1:8">
      <c r="A860" s="81">
        <v>642</v>
      </c>
      <c r="B860" s="82" t="s">
        <v>2169</v>
      </c>
      <c r="C860" s="82" t="s">
        <v>2042</v>
      </c>
      <c r="D860" s="82" t="s">
        <v>2169</v>
      </c>
      <c r="E860" s="82"/>
      <c r="F860" s="75" t="str">
        <f t="shared" si="52"/>
        <v>Kyankwanzi</v>
      </c>
      <c r="G860" s="75" t="str">
        <f t="shared" si="53"/>
        <v>Kyankwanzi</v>
      </c>
      <c r="H860" s="82" t="s">
        <v>2169</v>
      </c>
    </row>
    <row r="861" spans="1:8">
      <c r="A861" s="81">
        <v>650</v>
      </c>
      <c r="B861" s="82" t="s">
        <v>2169</v>
      </c>
      <c r="C861" s="82" t="s">
        <v>2042</v>
      </c>
      <c r="D861" s="82" t="s">
        <v>2178</v>
      </c>
      <c r="E861" s="82"/>
      <c r="F861" s="75" t="str">
        <f t="shared" si="52"/>
        <v>Kyankwanzi Town Council</v>
      </c>
      <c r="G861" s="75" t="str">
        <f t="shared" si="53"/>
        <v>Kyankwanzi</v>
      </c>
      <c r="H861" s="82" t="s">
        <v>2178</v>
      </c>
    </row>
    <row r="862" spans="1:8">
      <c r="A862" s="81">
        <v>1184</v>
      </c>
      <c r="B862" s="82" t="s">
        <v>36</v>
      </c>
      <c r="C862" s="82" t="s">
        <v>1111</v>
      </c>
      <c r="D862" s="82" t="s">
        <v>1995</v>
      </c>
      <c r="E862" s="82"/>
      <c r="F862" s="75" t="str">
        <f t="shared" si="52"/>
        <v>Kyarumba</v>
      </c>
      <c r="G862" s="75" t="str">
        <f t="shared" si="53"/>
        <v>Kasese</v>
      </c>
      <c r="H862" s="82" t="s">
        <v>1995</v>
      </c>
    </row>
    <row r="863" spans="1:8">
      <c r="A863" s="81">
        <v>1340</v>
      </c>
      <c r="B863" s="82" t="s">
        <v>2198</v>
      </c>
      <c r="C863" s="82" t="s">
        <v>2199</v>
      </c>
      <c r="D863" s="82" t="s">
        <v>2209</v>
      </c>
      <c r="E863" s="82"/>
      <c r="F863" s="75" t="str">
        <f t="shared" si="52"/>
        <v>Kyarusozi</v>
      </c>
      <c r="G863" s="75" t="str">
        <f t="shared" si="53"/>
        <v>Kyenjojo</v>
      </c>
      <c r="H863" s="82" t="s">
        <v>2209</v>
      </c>
    </row>
    <row r="864" spans="1:8">
      <c r="A864" s="81">
        <v>1341</v>
      </c>
      <c r="B864" s="82" t="s">
        <v>2198</v>
      </c>
      <c r="C864" s="82" t="s">
        <v>2199</v>
      </c>
      <c r="D864" s="82" t="s">
        <v>2210</v>
      </c>
      <c r="E864" s="82"/>
      <c r="F864" s="75" t="str">
        <f t="shared" si="52"/>
        <v>Kyarusozi Town Council</v>
      </c>
      <c r="G864" s="75" t="str">
        <f t="shared" si="53"/>
        <v>Kyenjojo</v>
      </c>
      <c r="H864" s="82" t="s">
        <v>2210</v>
      </c>
    </row>
    <row r="865" spans="1:8">
      <c r="A865" s="81">
        <v>1485</v>
      </c>
      <c r="B865" s="82" t="s">
        <v>1398</v>
      </c>
      <c r="C865" s="82" t="s">
        <v>1399</v>
      </c>
      <c r="D865" s="82" t="s">
        <v>1406</v>
      </c>
      <c r="E865" s="82"/>
      <c r="F865" s="75" t="str">
        <f t="shared" si="52"/>
        <v>Kyaterekera</v>
      </c>
      <c r="G865" s="75" t="str">
        <f t="shared" si="53"/>
        <v>Kagadi</v>
      </c>
      <c r="H865" s="82" t="s">
        <v>1406</v>
      </c>
    </row>
    <row r="866" spans="1:8">
      <c r="A866" s="81">
        <v>653</v>
      </c>
      <c r="B866" s="82" t="s">
        <v>2278</v>
      </c>
      <c r="C866" s="82" t="s">
        <v>23</v>
      </c>
      <c r="D866" s="82" t="s">
        <v>2280</v>
      </c>
      <c r="E866" s="82"/>
      <c r="F866" s="75" t="str">
        <f t="shared" si="52"/>
        <v>Kyazanga</v>
      </c>
      <c r="G866" s="75" t="str">
        <f t="shared" si="53"/>
        <v>Lwengo</v>
      </c>
      <c r="H866" s="82" t="s">
        <v>2280</v>
      </c>
    </row>
    <row r="867" spans="1:8">
      <c r="A867" s="81">
        <v>654</v>
      </c>
      <c r="B867" s="82" t="s">
        <v>2278</v>
      </c>
      <c r="C867" s="82" t="s">
        <v>23</v>
      </c>
      <c r="D867" s="82" t="s">
        <v>2281</v>
      </c>
      <c r="E867" s="82"/>
      <c r="F867" s="75" t="str">
        <f t="shared" si="52"/>
        <v>Kyazanga Town Council</v>
      </c>
      <c r="G867" s="75" t="str">
        <f t="shared" si="53"/>
        <v>Lwengo</v>
      </c>
      <c r="H867" s="82" t="s">
        <v>2281</v>
      </c>
    </row>
    <row r="868" spans="1:8">
      <c r="A868" s="81">
        <v>1211</v>
      </c>
      <c r="B868" s="82" t="s">
        <v>2031</v>
      </c>
      <c r="C868" s="82" t="s">
        <v>2032</v>
      </c>
      <c r="D868" s="82" t="s">
        <v>1748</v>
      </c>
      <c r="E868" s="82"/>
      <c r="F868" s="75" t="str">
        <f t="shared" si="52"/>
        <v>Kyebando</v>
      </c>
      <c r="G868" s="75" t="str">
        <f t="shared" si="53"/>
        <v>Kibaale</v>
      </c>
      <c r="H868" s="82" t="s">
        <v>1748</v>
      </c>
    </row>
    <row r="869" spans="1:8">
      <c r="A869" s="81">
        <v>661</v>
      </c>
      <c r="B869" s="82" t="s">
        <v>2216</v>
      </c>
      <c r="C869" s="82" t="s">
        <v>2220</v>
      </c>
      <c r="D869" s="82" t="s">
        <v>2222</v>
      </c>
      <c r="E869" s="82"/>
      <c r="F869" s="75" t="str">
        <f t="shared" si="52"/>
        <v>Kyebe</v>
      </c>
      <c r="G869" s="75" t="str">
        <f t="shared" si="53"/>
        <v>Kyotera</v>
      </c>
      <c r="H869" s="82" t="s">
        <v>2222</v>
      </c>
    </row>
    <row r="870" spans="1:8">
      <c r="A870" s="81">
        <v>1425</v>
      </c>
      <c r="B870" s="82" t="s">
        <v>2187</v>
      </c>
      <c r="C870" s="82" t="s">
        <v>2188</v>
      </c>
      <c r="D870" s="82" t="s">
        <v>2193</v>
      </c>
      <c r="E870" s="82"/>
      <c r="F870" s="75" t="str">
        <f t="shared" si="52"/>
        <v>Kyegegwa Town Council</v>
      </c>
      <c r="G870" s="75" t="str">
        <f t="shared" si="53"/>
        <v>Kyegegwa</v>
      </c>
      <c r="H870" s="82" t="s">
        <v>2193</v>
      </c>
    </row>
    <row r="871" spans="1:8">
      <c r="A871" s="81">
        <v>628</v>
      </c>
      <c r="B871" s="82" t="s">
        <v>1233</v>
      </c>
      <c r="C871" s="82" t="s">
        <v>1233</v>
      </c>
      <c r="D871" s="82" t="s">
        <v>1235</v>
      </c>
      <c r="E871" s="82"/>
      <c r="F871" s="75" t="str">
        <f t="shared" si="52"/>
        <v>Kyegonza</v>
      </c>
      <c r="G871" s="75" t="str">
        <f t="shared" si="53"/>
        <v>Gomba</v>
      </c>
      <c r="H871" s="82" t="s">
        <v>1235</v>
      </c>
    </row>
    <row r="872" spans="1:8">
      <c r="A872" s="81">
        <v>1131</v>
      </c>
      <c r="B872" s="82" t="s">
        <v>38</v>
      </c>
      <c r="C872" s="82" t="s">
        <v>1143</v>
      </c>
      <c r="D872" s="82" t="s">
        <v>1152</v>
      </c>
      <c r="E872" s="82"/>
      <c r="F872" s="75" t="str">
        <f t="shared" si="52"/>
        <v>Kyeizooba</v>
      </c>
      <c r="G872" s="75" t="str">
        <f t="shared" si="53"/>
        <v>Bushenyi</v>
      </c>
      <c r="H872" s="82" t="s">
        <v>1152</v>
      </c>
    </row>
    <row r="873" spans="1:8">
      <c r="A873" s="81">
        <v>542</v>
      </c>
      <c r="B873" s="82" t="s">
        <v>2879</v>
      </c>
      <c r="C873" s="82" t="s">
        <v>2882</v>
      </c>
      <c r="D873" s="82" t="s">
        <v>2955</v>
      </c>
      <c r="E873" s="82"/>
      <c r="F873" s="75" t="str">
        <f t="shared" si="52"/>
        <v>Kyengera Town Council</v>
      </c>
      <c r="G873" s="75" t="str">
        <f t="shared" si="53"/>
        <v>Wakiso</v>
      </c>
      <c r="H873" s="82" t="s">
        <v>2955</v>
      </c>
    </row>
    <row r="874" spans="1:8">
      <c r="A874" s="81">
        <v>1342</v>
      </c>
      <c r="B874" s="82" t="s">
        <v>2198</v>
      </c>
      <c r="C874" s="82" t="s">
        <v>2199</v>
      </c>
      <c r="D874" s="82" t="s">
        <v>2211</v>
      </c>
      <c r="E874" s="82"/>
      <c r="F874" s="75" t="str">
        <f t="shared" si="52"/>
        <v>Kyenjojo Town Council</v>
      </c>
      <c r="G874" s="75" t="str">
        <f t="shared" si="53"/>
        <v>Kyenjojo</v>
      </c>
      <c r="H874" s="82" t="s">
        <v>2211</v>
      </c>
    </row>
    <row r="875" spans="1:8">
      <c r="A875" s="81">
        <v>1486</v>
      </c>
      <c r="B875" s="82" t="s">
        <v>1398</v>
      </c>
      <c r="C875" s="82" t="s">
        <v>1399</v>
      </c>
      <c r="D875" s="82" t="s">
        <v>1407</v>
      </c>
      <c r="E875" s="82"/>
      <c r="F875" s="75" t="str">
        <f t="shared" si="52"/>
        <v>Kyenzige</v>
      </c>
      <c r="G875" s="75" t="str">
        <f t="shared" si="53"/>
        <v>Kagadi</v>
      </c>
      <c r="H875" s="82" t="s">
        <v>1407</v>
      </c>
    </row>
    <row r="876" spans="1:8">
      <c r="A876" s="81">
        <v>1075</v>
      </c>
      <c r="B876" s="82" t="s">
        <v>2786</v>
      </c>
      <c r="C876" s="82" t="s">
        <v>2786</v>
      </c>
      <c r="D876" s="82" t="s">
        <v>2792</v>
      </c>
      <c r="E876" s="82"/>
      <c r="F876" s="75" t="str">
        <f t="shared" si="52"/>
        <v>Kyere</v>
      </c>
      <c r="G876" s="75" t="str">
        <f t="shared" si="53"/>
        <v>Serere</v>
      </c>
      <c r="H876" s="82" t="s">
        <v>2792</v>
      </c>
    </row>
    <row r="877" spans="1:8">
      <c r="A877" s="81">
        <v>446</v>
      </c>
      <c r="B877" s="82" t="s">
        <v>39</v>
      </c>
      <c r="C877" s="82" t="s">
        <v>23</v>
      </c>
      <c r="D877" s="82" t="s">
        <v>2325</v>
      </c>
      <c r="E877" s="82"/>
      <c r="F877" s="75" t="str">
        <f t="shared" si="52"/>
        <v>Kyesiiga</v>
      </c>
      <c r="G877" s="75" t="str">
        <f t="shared" si="53"/>
        <v>Masaka</v>
      </c>
      <c r="H877" s="82" t="s">
        <v>2325</v>
      </c>
    </row>
    <row r="878" spans="1:8">
      <c r="A878" s="81">
        <v>1185</v>
      </c>
      <c r="B878" s="82" t="s">
        <v>36</v>
      </c>
      <c r="C878" s="82" t="s">
        <v>1111</v>
      </c>
      <c r="D878" s="82" t="s">
        <v>1996</v>
      </c>
      <c r="E878" s="82"/>
      <c r="F878" s="75" t="str">
        <f t="shared" si="52"/>
        <v>Kyondo</v>
      </c>
      <c r="G878" s="75" t="str">
        <f t="shared" si="53"/>
        <v>Kasese</v>
      </c>
      <c r="H878" s="82" t="s">
        <v>1996</v>
      </c>
    </row>
    <row r="879" spans="1:8">
      <c r="A879" s="81">
        <v>666</v>
      </c>
      <c r="B879" s="82" t="s">
        <v>2216</v>
      </c>
      <c r="C879" s="82" t="s">
        <v>2216</v>
      </c>
      <c r="D879" s="82" t="s">
        <v>2223</v>
      </c>
      <c r="E879" s="82"/>
      <c r="F879" s="75" t="str">
        <f t="shared" si="52"/>
        <v>Kyotera Town Council</v>
      </c>
      <c r="G879" s="75" t="str">
        <f t="shared" si="53"/>
        <v>Kyotera</v>
      </c>
      <c r="H879" s="82" t="s">
        <v>2223</v>
      </c>
    </row>
    <row r="880" spans="1:8">
      <c r="A880" s="81">
        <v>59</v>
      </c>
      <c r="B880" s="82" t="s">
        <v>2114</v>
      </c>
      <c r="C880" s="82" t="s">
        <v>2115</v>
      </c>
      <c r="D880" s="82" t="s">
        <v>2117</v>
      </c>
      <c r="E880" s="82"/>
      <c r="F880" s="75" t="str">
        <f t="shared" si="52"/>
        <v>Labongo Akwang</v>
      </c>
      <c r="G880" s="75" t="str">
        <f t="shared" si="53"/>
        <v>Kitgum</v>
      </c>
      <c r="H880" s="82" t="s">
        <v>2117</v>
      </c>
    </row>
    <row r="881" spans="1:8">
      <c r="A881" s="81">
        <v>60</v>
      </c>
      <c r="B881" s="82" t="s">
        <v>2114</v>
      </c>
      <c r="C881" s="82" t="s">
        <v>2115</v>
      </c>
      <c r="D881" s="82" t="s">
        <v>2118</v>
      </c>
      <c r="E881" s="82"/>
      <c r="F881" s="75" t="str">
        <f t="shared" si="52"/>
        <v>Labongo Amida</v>
      </c>
      <c r="G881" s="75" t="str">
        <f t="shared" si="53"/>
        <v>Kitgum</v>
      </c>
      <c r="H881" s="82" t="s">
        <v>2118</v>
      </c>
    </row>
    <row r="882" spans="1:8">
      <c r="A882" s="81">
        <v>61</v>
      </c>
      <c r="B882" s="82" t="s">
        <v>2114</v>
      </c>
      <c r="C882" s="82" t="s">
        <v>2115</v>
      </c>
      <c r="D882" s="82" t="s">
        <v>2119</v>
      </c>
      <c r="E882" s="82"/>
      <c r="F882" s="75" t="str">
        <f t="shared" si="52"/>
        <v>Labongo Layamo</v>
      </c>
      <c r="G882" s="75" t="str">
        <f t="shared" si="53"/>
        <v>Kitgum</v>
      </c>
      <c r="H882" s="82" t="s">
        <v>2119</v>
      </c>
    </row>
    <row r="883" spans="1:8">
      <c r="A883" s="81">
        <v>1071</v>
      </c>
      <c r="B883" s="82" t="s">
        <v>2786</v>
      </c>
      <c r="C883" s="82" t="s">
        <v>2788</v>
      </c>
      <c r="D883" s="82" t="s">
        <v>2793</v>
      </c>
      <c r="E883" s="82"/>
      <c r="F883" s="75" t="str">
        <f t="shared" si="52"/>
        <v>Labori</v>
      </c>
      <c r="G883" s="75" t="str">
        <f t="shared" si="53"/>
        <v>Serere</v>
      </c>
      <c r="H883" s="82" t="s">
        <v>2793</v>
      </c>
    </row>
    <row r="884" spans="1:8">
      <c r="A884" s="81">
        <v>62</v>
      </c>
      <c r="B884" s="82" t="s">
        <v>2114</v>
      </c>
      <c r="C884" s="82" t="s">
        <v>2115</v>
      </c>
      <c r="D884" s="82" t="s">
        <v>2120</v>
      </c>
      <c r="E884" s="82"/>
      <c r="F884" s="75" t="str">
        <f t="shared" si="52"/>
        <v>Lagoro</v>
      </c>
      <c r="G884" s="75" t="str">
        <f t="shared" si="53"/>
        <v>Kitgum</v>
      </c>
      <c r="H884" s="82" t="s">
        <v>2120</v>
      </c>
    </row>
    <row r="885" spans="1:8">
      <c r="A885" s="81">
        <v>130</v>
      </c>
      <c r="B885" s="82" t="s">
        <v>2700</v>
      </c>
      <c r="C885" s="82" t="s">
        <v>2701</v>
      </c>
      <c r="D885" s="82" t="s">
        <v>2705</v>
      </c>
      <c r="E885" s="82"/>
      <c r="F885" s="75" t="str">
        <f t="shared" si="52"/>
        <v>Laguti</v>
      </c>
      <c r="G885" s="75" t="str">
        <f t="shared" si="53"/>
        <v>Pader</v>
      </c>
      <c r="H885" s="82" t="s">
        <v>2705</v>
      </c>
    </row>
    <row r="886" spans="1:8">
      <c r="A886" s="81">
        <v>1201</v>
      </c>
      <c r="B886" s="82" t="s">
        <v>36</v>
      </c>
      <c r="C886" s="82" t="s">
        <v>1978</v>
      </c>
      <c r="D886" s="82" t="s">
        <v>1997</v>
      </c>
      <c r="E886" s="82"/>
      <c r="F886" s="75" t="str">
        <f t="shared" si="52"/>
        <v>Lake Katwe</v>
      </c>
      <c r="G886" s="75" t="str">
        <f t="shared" si="53"/>
        <v>Kasese</v>
      </c>
      <c r="H886" s="82" t="s">
        <v>1997</v>
      </c>
    </row>
    <row r="887" spans="1:8">
      <c r="A887" s="81">
        <v>307</v>
      </c>
      <c r="B887" s="82" t="s">
        <v>901</v>
      </c>
      <c r="C887" s="82" t="s">
        <v>901</v>
      </c>
      <c r="D887" s="82" t="s">
        <v>2671</v>
      </c>
      <c r="E887" s="82"/>
      <c r="F887" s="75" t="str">
        <f t="shared" si="52"/>
        <v>Lakwana</v>
      </c>
      <c r="G887" s="75" t="str">
        <f t="shared" si="53"/>
        <v>Omoro</v>
      </c>
      <c r="H887" s="82" t="s">
        <v>2671</v>
      </c>
    </row>
    <row r="888" spans="1:8">
      <c r="A888" s="81">
        <v>308</v>
      </c>
      <c r="B888" s="82" t="s">
        <v>901</v>
      </c>
      <c r="C888" s="82" t="s">
        <v>901</v>
      </c>
      <c r="D888" s="82" t="s">
        <v>2672</v>
      </c>
      <c r="E888" s="82"/>
      <c r="F888" s="75" t="str">
        <f t="shared" si="52"/>
        <v>Lalogi</v>
      </c>
      <c r="G888" s="75" t="str">
        <f t="shared" si="53"/>
        <v>Omoro</v>
      </c>
      <c r="H888" s="82" t="s">
        <v>2672</v>
      </c>
    </row>
    <row r="889" spans="1:8">
      <c r="A889" s="81">
        <v>232</v>
      </c>
      <c r="B889" s="82" t="s">
        <v>875</v>
      </c>
      <c r="C889" s="82" t="s">
        <v>875</v>
      </c>
      <c r="D889" s="82" t="s">
        <v>880</v>
      </c>
      <c r="E889" s="82"/>
      <c r="F889" s="75" t="str">
        <f t="shared" si="52"/>
        <v>Lamiyo</v>
      </c>
      <c r="G889" s="75" t="str">
        <f t="shared" si="53"/>
        <v>Agago</v>
      </c>
      <c r="H889" s="82" t="s">
        <v>880</v>
      </c>
    </row>
    <row r="890" spans="1:8">
      <c r="A890" s="81">
        <v>171</v>
      </c>
      <c r="B890" s="82" t="s">
        <v>937</v>
      </c>
      <c r="C890" s="82" t="s">
        <v>938</v>
      </c>
      <c r="D890" s="82" t="s">
        <v>942</v>
      </c>
      <c r="E890" s="82"/>
      <c r="F890" s="75" t="str">
        <f t="shared" si="52"/>
        <v>Lamogi</v>
      </c>
      <c r="G890" s="75" t="str">
        <f t="shared" si="53"/>
        <v>Amuru</v>
      </c>
      <c r="H890" s="82" t="s">
        <v>942</v>
      </c>
    </row>
    <row r="891" spans="1:8">
      <c r="A891" s="81">
        <v>264</v>
      </c>
      <c r="B891" s="82" t="s">
        <v>2228</v>
      </c>
      <c r="C891" s="82" t="s">
        <v>2228</v>
      </c>
      <c r="D891" s="82" t="s">
        <v>2229</v>
      </c>
      <c r="E891" s="82"/>
      <c r="F891" s="75" t="str">
        <f t="shared" si="52"/>
        <v>Lamwo Town Council</v>
      </c>
      <c r="G891" s="75" t="str">
        <f t="shared" si="53"/>
        <v>Lamwo</v>
      </c>
      <c r="H891" s="82" t="s">
        <v>2229</v>
      </c>
    </row>
    <row r="892" spans="1:8">
      <c r="A892" s="81">
        <v>233</v>
      </c>
      <c r="B892" s="82" t="s">
        <v>875</v>
      </c>
      <c r="C892" s="82" t="s">
        <v>875</v>
      </c>
      <c r="D892" s="82" t="s">
        <v>881</v>
      </c>
      <c r="E892" s="82"/>
      <c r="F892" s="75" t="str">
        <f t="shared" si="52"/>
        <v>Lapono</v>
      </c>
      <c r="G892" s="75" t="str">
        <f t="shared" si="53"/>
        <v>Agago</v>
      </c>
      <c r="H892" s="82" t="s">
        <v>881</v>
      </c>
    </row>
    <row r="893" spans="1:8">
      <c r="A893" s="81">
        <v>131</v>
      </c>
      <c r="B893" s="82" t="s">
        <v>2700</v>
      </c>
      <c r="C893" s="82" t="s">
        <v>2701</v>
      </c>
      <c r="D893" s="82" t="s">
        <v>2706</v>
      </c>
      <c r="E893" s="82"/>
      <c r="F893" s="75" t="str">
        <f t="shared" si="52"/>
        <v>Lapul</v>
      </c>
      <c r="G893" s="75" t="str">
        <f t="shared" si="53"/>
        <v>Pader</v>
      </c>
      <c r="H893" s="82" t="s">
        <v>2706</v>
      </c>
    </row>
    <row r="894" spans="1:8">
      <c r="A894" s="81">
        <v>55</v>
      </c>
      <c r="B894" s="82" t="s">
        <v>1239</v>
      </c>
      <c r="C894" s="83" t="s">
        <v>1242</v>
      </c>
      <c r="D894" s="82" t="s">
        <v>3206</v>
      </c>
      <c r="E894" s="82"/>
      <c r="F894" s="76" t="str">
        <f>VLOOKUP(C894,[2]Municipalities!$C$9:$F$1522,4,FALSE)</f>
        <v>Gulu Municipality</v>
      </c>
      <c r="G894" s="75" t="str">
        <f t="shared" si="53"/>
        <v>Gulu</v>
      </c>
      <c r="H894" s="82" t="s">
        <v>3206</v>
      </c>
    </row>
    <row r="895" spans="1:8">
      <c r="A895" s="81">
        <v>102</v>
      </c>
      <c r="B895" s="82" t="s">
        <v>2449</v>
      </c>
      <c r="C895" s="82" t="s">
        <v>2452</v>
      </c>
      <c r="D895" s="82" t="s">
        <v>2455</v>
      </c>
      <c r="E895" s="82"/>
      <c r="F895" s="75" t="str">
        <f t="shared" si="52"/>
        <v>Laropi</v>
      </c>
      <c r="G895" s="75" t="str">
        <f t="shared" si="53"/>
        <v>Moyo</v>
      </c>
      <c r="H895" s="82" t="s">
        <v>2455</v>
      </c>
    </row>
    <row r="896" spans="1:8">
      <c r="A896" s="81">
        <v>132</v>
      </c>
      <c r="B896" s="82" t="s">
        <v>2700</v>
      </c>
      <c r="C896" s="82" t="s">
        <v>2701</v>
      </c>
      <c r="D896" s="82" t="s">
        <v>2707</v>
      </c>
      <c r="E896" s="82"/>
      <c r="F896" s="75" t="str">
        <f t="shared" si="52"/>
        <v>Latanya</v>
      </c>
      <c r="G896" s="75" t="str">
        <f t="shared" si="53"/>
        <v>Pader</v>
      </c>
      <c r="H896" s="82" t="s">
        <v>2707</v>
      </c>
    </row>
    <row r="897" spans="1:8">
      <c r="A897" s="81">
        <v>56</v>
      </c>
      <c r="B897" s="82" t="s">
        <v>1239</v>
      </c>
      <c r="C897" s="83" t="s">
        <v>1242</v>
      </c>
      <c r="D897" s="82" t="s">
        <v>3207</v>
      </c>
      <c r="E897" s="82"/>
      <c r="F897" s="76" t="str">
        <f>VLOOKUP(C897,[2]Municipalities!$C$9:$F$1522,4,FALSE)</f>
        <v>Gulu Municipality</v>
      </c>
      <c r="G897" s="75" t="str">
        <f t="shared" si="53"/>
        <v>Gulu</v>
      </c>
      <c r="H897" s="82" t="s">
        <v>3207</v>
      </c>
    </row>
    <row r="898" spans="1:8">
      <c r="A898" s="81">
        <v>103</v>
      </c>
      <c r="B898" s="82" t="s">
        <v>2449</v>
      </c>
      <c r="C898" s="82" t="s">
        <v>2452</v>
      </c>
      <c r="D898" s="82" t="s">
        <v>2456</v>
      </c>
      <c r="E898" s="82"/>
      <c r="F898" s="75" t="str">
        <f t="shared" si="52"/>
        <v>Lefori</v>
      </c>
      <c r="G898" s="75" t="str">
        <f t="shared" si="53"/>
        <v>Moyo</v>
      </c>
      <c r="H898" s="82" t="s">
        <v>2456</v>
      </c>
    </row>
    <row r="899" spans="1:8">
      <c r="A899" s="81">
        <v>85</v>
      </c>
      <c r="B899" s="82" t="s">
        <v>2236</v>
      </c>
      <c r="C899" s="82" t="s">
        <v>2237</v>
      </c>
      <c r="D899" s="82" t="s">
        <v>2236</v>
      </c>
      <c r="E899" s="82"/>
      <c r="F899" s="75" t="str">
        <f t="shared" si="52"/>
        <v>Lira</v>
      </c>
      <c r="G899" s="75" t="str">
        <f t="shared" si="53"/>
        <v>Lira</v>
      </c>
      <c r="H899" s="82" t="s">
        <v>2236</v>
      </c>
    </row>
    <row r="900" spans="1:8">
      <c r="A900" s="81">
        <v>234</v>
      </c>
      <c r="B900" s="82" t="s">
        <v>875</v>
      </c>
      <c r="C900" s="82" t="s">
        <v>875</v>
      </c>
      <c r="D900" s="82" t="s">
        <v>882</v>
      </c>
      <c r="E900" s="82"/>
      <c r="F900" s="75" t="str">
        <f t="shared" ref="F900:F917" si="54">D900</f>
        <v>Lira Palwo</v>
      </c>
      <c r="G900" s="75" t="str">
        <f t="shared" si="53"/>
        <v>Agago</v>
      </c>
      <c r="H900" s="82" t="s">
        <v>882</v>
      </c>
    </row>
    <row r="901" spans="1:8">
      <c r="A901" s="81">
        <v>192</v>
      </c>
      <c r="B901" s="82" t="s">
        <v>1337</v>
      </c>
      <c r="C901" s="82" t="s">
        <v>1338</v>
      </c>
      <c r="D901" s="82" t="s">
        <v>1346</v>
      </c>
      <c r="E901" s="82"/>
      <c r="F901" s="75" t="str">
        <f t="shared" si="54"/>
        <v>Lobalangit</v>
      </c>
      <c r="G901" s="75" t="str">
        <f t="shared" si="53"/>
        <v>Kaabong</v>
      </c>
      <c r="H901" s="82" t="s">
        <v>1346</v>
      </c>
    </row>
    <row r="902" spans="1:8">
      <c r="A902" s="81">
        <v>201</v>
      </c>
      <c r="B902" s="82" t="s">
        <v>2126</v>
      </c>
      <c r="C902" s="82" t="s">
        <v>2126</v>
      </c>
      <c r="D902" s="82" t="s">
        <v>2130</v>
      </c>
      <c r="E902" s="82"/>
      <c r="F902" s="75" t="str">
        <f t="shared" si="54"/>
        <v>Lobule</v>
      </c>
      <c r="G902" s="75" t="str">
        <f t="shared" si="53"/>
        <v>Koboko</v>
      </c>
      <c r="H902" s="82" t="s">
        <v>2130</v>
      </c>
    </row>
    <row r="903" spans="1:8">
      <c r="A903" s="81">
        <v>193</v>
      </c>
      <c r="B903" s="82" t="s">
        <v>1337</v>
      </c>
      <c r="C903" s="82" t="s">
        <v>1338</v>
      </c>
      <c r="D903" s="82" t="s">
        <v>1347</v>
      </c>
      <c r="E903" s="82"/>
      <c r="F903" s="75" t="str">
        <f t="shared" si="54"/>
        <v>Lodiko</v>
      </c>
      <c r="G903" s="75" t="str">
        <f t="shared" si="53"/>
        <v>Kaabong</v>
      </c>
      <c r="H903" s="82" t="s">
        <v>1347</v>
      </c>
    </row>
    <row r="904" spans="1:8">
      <c r="A904" s="81">
        <v>146</v>
      </c>
      <c r="B904" s="82" t="s">
        <v>3072</v>
      </c>
      <c r="C904" s="82" t="s">
        <v>3073</v>
      </c>
      <c r="D904" s="82" t="s">
        <v>3081</v>
      </c>
      <c r="E904" s="82"/>
      <c r="F904" s="75" t="str">
        <f t="shared" si="54"/>
        <v>Lodonga</v>
      </c>
      <c r="G904" s="75" t="str">
        <f t="shared" si="53"/>
        <v>Yumbe</v>
      </c>
      <c r="H904" s="82" t="s">
        <v>3081</v>
      </c>
    </row>
    <row r="905" spans="1:8">
      <c r="A905" s="81">
        <v>48</v>
      </c>
      <c r="B905" s="82" t="s">
        <v>959</v>
      </c>
      <c r="C905" s="82" t="s">
        <v>964</v>
      </c>
      <c r="D905" s="82" t="s">
        <v>975</v>
      </c>
      <c r="E905" s="82"/>
      <c r="F905" s="75" t="str">
        <f t="shared" si="54"/>
        <v>Logiri</v>
      </c>
      <c r="G905" s="75" t="str">
        <f t="shared" si="53"/>
        <v>Arua</v>
      </c>
      <c r="H905" s="82" t="s">
        <v>975</v>
      </c>
    </row>
    <row r="906" spans="1:8">
      <c r="A906" s="81">
        <v>235</v>
      </c>
      <c r="B906" s="82" t="s">
        <v>875</v>
      </c>
      <c r="C906" s="82" t="s">
        <v>875</v>
      </c>
      <c r="D906" s="82" t="s">
        <v>883</v>
      </c>
      <c r="E906" s="82"/>
      <c r="F906" s="75" t="str">
        <f t="shared" si="54"/>
        <v>Lokole</v>
      </c>
      <c r="G906" s="75" t="str">
        <f t="shared" ref="G906:G969" si="55">B906</f>
        <v>Agago</v>
      </c>
      <c r="H906" s="82" t="s">
        <v>883</v>
      </c>
    </row>
    <row r="907" spans="1:8">
      <c r="A907" s="81">
        <v>280</v>
      </c>
      <c r="B907" s="82" t="s">
        <v>2606</v>
      </c>
      <c r="C907" s="82" t="s">
        <v>2607</v>
      </c>
      <c r="D907" s="82" t="s">
        <v>2608</v>
      </c>
      <c r="E907" s="82"/>
      <c r="F907" s="75" t="str">
        <f t="shared" si="54"/>
        <v>Lokopo</v>
      </c>
      <c r="G907" s="75" t="str">
        <f t="shared" si="55"/>
        <v>Napak</v>
      </c>
      <c r="H907" s="82" t="s">
        <v>2608</v>
      </c>
    </row>
    <row r="908" spans="1:8">
      <c r="A908" s="81">
        <v>268</v>
      </c>
      <c r="B908" s="82" t="s">
        <v>2228</v>
      </c>
      <c r="C908" s="82" t="s">
        <v>2228</v>
      </c>
      <c r="D908" s="82" t="s">
        <v>2230</v>
      </c>
      <c r="E908" s="82"/>
      <c r="F908" s="75" t="str">
        <f t="shared" si="54"/>
        <v>Lokung</v>
      </c>
      <c r="G908" s="75" t="str">
        <f t="shared" si="55"/>
        <v>Lamwo</v>
      </c>
      <c r="H908" s="82" t="s">
        <v>2230</v>
      </c>
    </row>
    <row r="909" spans="1:8">
      <c r="A909" s="81">
        <v>123</v>
      </c>
      <c r="B909" s="82" t="s">
        <v>2526</v>
      </c>
      <c r="C909" s="82" t="s">
        <v>2529</v>
      </c>
      <c r="D909" s="82" t="s">
        <v>2528</v>
      </c>
      <c r="E909" s="82"/>
      <c r="F909" s="75" t="str">
        <f t="shared" si="54"/>
        <v>Lolachat</v>
      </c>
      <c r="G909" s="75" t="str">
        <f t="shared" si="55"/>
        <v>Nakapiripirit</v>
      </c>
      <c r="H909" s="82" t="s">
        <v>2528</v>
      </c>
    </row>
    <row r="910" spans="1:8">
      <c r="A910" s="81">
        <v>194</v>
      </c>
      <c r="B910" s="82" t="s">
        <v>1337</v>
      </c>
      <c r="C910" s="82" t="s">
        <v>1338</v>
      </c>
      <c r="D910" s="82" t="s">
        <v>1348</v>
      </c>
      <c r="E910" s="82"/>
      <c r="F910" s="75" t="str">
        <f t="shared" si="54"/>
        <v>Lolelia</v>
      </c>
      <c r="G910" s="75" t="str">
        <f t="shared" si="55"/>
        <v>Kaabong</v>
      </c>
      <c r="H910" s="82" t="s">
        <v>1348</v>
      </c>
    </row>
    <row r="911" spans="1:8">
      <c r="A911" s="81">
        <v>1059</v>
      </c>
      <c r="B911" s="82" t="s">
        <v>2567</v>
      </c>
      <c r="C911" s="82" t="s">
        <v>2568</v>
      </c>
      <c r="D911" s="82" t="s">
        <v>2574</v>
      </c>
      <c r="E911" s="82"/>
      <c r="F911" s="75" t="str">
        <f t="shared" si="54"/>
        <v>Lolwe</v>
      </c>
      <c r="G911" s="75" t="str">
        <f t="shared" si="55"/>
        <v>Namayingo</v>
      </c>
      <c r="H911" s="82" t="s">
        <v>2574</v>
      </c>
    </row>
    <row r="912" spans="1:8">
      <c r="A912" s="81">
        <v>281</v>
      </c>
      <c r="B912" s="82" t="s">
        <v>2606</v>
      </c>
      <c r="C912" s="82" t="s">
        <v>2607</v>
      </c>
      <c r="D912" s="82" t="s">
        <v>2609</v>
      </c>
      <c r="E912" s="82"/>
      <c r="F912" s="75" t="str">
        <f t="shared" si="54"/>
        <v>Lopeei</v>
      </c>
      <c r="G912" s="75" t="str">
        <f t="shared" si="55"/>
        <v>Napak</v>
      </c>
      <c r="H912" s="82" t="s">
        <v>2609</v>
      </c>
    </row>
    <row r="913" spans="1:8">
      <c r="A913" s="81">
        <v>118</v>
      </c>
      <c r="B913" s="82" t="s">
        <v>2526</v>
      </c>
      <c r="C913" s="82" t="s">
        <v>2527</v>
      </c>
      <c r="D913" s="82" t="s">
        <v>2530</v>
      </c>
      <c r="E913" s="82"/>
      <c r="F913" s="75" t="str">
        <f t="shared" si="54"/>
        <v>Loregae</v>
      </c>
      <c r="G913" s="75" t="str">
        <f t="shared" si="55"/>
        <v>Nakapiripirit</v>
      </c>
      <c r="H913" s="82" t="s">
        <v>2530</v>
      </c>
    </row>
    <row r="914" spans="1:8">
      <c r="A914" s="81">
        <v>275</v>
      </c>
      <c r="B914" s="82" t="s">
        <v>2606</v>
      </c>
      <c r="C914" s="82" t="s">
        <v>2607</v>
      </c>
      <c r="D914" s="82" t="s">
        <v>2610</v>
      </c>
      <c r="E914" s="82"/>
      <c r="F914" s="75" t="str">
        <f t="shared" si="54"/>
        <v>Lorengecora</v>
      </c>
      <c r="G914" s="75" t="str">
        <f t="shared" si="55"/>
        <v>Napak</v>
      </c>
      <c r="H914" s="82" t="s">
        <v>2610</v>
      </c>
    </row>
    <row r="915" spans="1:8">
      <c r="A915" s="81">
        <v>124</v>
      </c>
      <c r="B915" s="82" t="s">
        <v>2526</v>
      </c>
      <c r="C915" s="82" t="s">
        <v>2529</v>
      </c>
      <c r="D915" s="82" t="s">
        <v>2531</v>
      </c>
      <c r="E915" s="82"/>
      <c r="F915" s="75" t="str">
        <f t="shared" si="54"/>
        <v>Lorengedwat</v>
      </c>
      <c r="G915" s="75" t="str">
        <f t="shared" si="55"/>
        <v>Nakapiripirit</v>
      </c>
      <c r="H915" s="82" t="s">
        <v>2531</v>
      </c>
    </row>
    <row r="916" spans="1:8">
      <c r="A916" s="81">
        <v>221</v>
      </c>
      <c r="B916" s="82" t="s">
        <v>2686</v>
      </c>
      <c r="C916" s="82" t="s">
        <v>2686</v>
      </c>
      <c r="D916" s="82" t="s">
        <v>2693</v>
      </c>
      <c r="E916" s="82"/>
      <c r="F916" s="75" t="str">
        <f t="shared" si="54"/>
        <v>Loro</v>
      </c>
      <c r="G916" s="75" t="str">
        <f t="shared" si="55"/>
        <v>Oyam</v>
      </c>
      <c r="H916" s="82" t="s">
        <v>2693</v>
      </c>
    </row>
    <row r="917" spans="1:8">
      <c r="A917" s="81">
        <v>255</v>
      </c>
      <c r="B917" s="82" t="s">
        <v>915</v>
      </c>
      <c r="C917" s="82" t="s">
        <v>916</v>
      </c>
      <c r="D917" s="82" t="s">
        <v>919</v>
      </c>
      <c r="E917" s="82"/>
      <c r="F917" s="75" t="str">
        <f t="shared" si="54"/>
        <v>Loroo</v>
      </c>
      <c r="G917" s="75" t="str">
        <f t="shared" si="55"/>
        <v>Amudat</v>
      </c>
      <c r="H917" s="82" t="s">
        <v>919</v>
      </c>
    </row>
    <row r="918" spans="1:8" ht="25.5">
      <c r="A918" s="81">
        <v>78</v>
      </c>
      <c r="B918" s="82" t="s">
        <v>2142</v>
      </c>
      <c r="C918" s="83" t="s">
        <v>2144</v>
      </c>
      <c r="D918" s="82" t="s">
        <v>3208</v>
      </c>
      <c r="E918" s="82"/>
      <c r="F918" s="76" t="str">
        <f>VLOOKUP(C918,[2]Municipalities!$C$9:$F$1522,4,FALSE)</f>
        <v>Kotido Municipality</v>
      </c>
      <c r="G918" s="75" t="str">
        <f t="shared" si="55"/>
        <v>Kotido</v>
      </c>
      <c r="H918" s="82" t="s">
        <v>3208</v>
      </c>
    </row>
    <row r="919" spans="1:8">
      <c r="A919" s="81">
        <v>276</v>
      </c>
      <c r="B919" s="82" t="s">
        <v>2606</v>
      </c>
      <c r="C919" s="82" t="s">
        <v>2607</v>
      </c>
      <c r="D919" s="82" t="s">
        <v>2611</v>
      </c>
      <c r="E919" s="82"/>
      <c r="F919" s="75" t="str">
        <f t="shared" ref="F919:F966" si="56">D919</f>
        <v>Lotome</v>
      </c>
      <c r="G919" s="75" t="str">
        <f t="shared" si="55"/>
        <v>Napak</v>
      </c>
      <c r="H919" s="82" t="s">
        <v>2611</v>
      </c>
    </row>
    <row r="920" spans="1:8">
      <c r="A920" s="81">
        <v>154</v>
      </c>
      <c r="B920" s="82" t="s">
        <v>855</v>
      </c>
      <c r="C920" s="82" t="s">
        <v>856</v>
      </c>
      <c r="D920" s="82" t="s">
        <v>859</v>
      </c>
      <c r="E920" s="82"/>
      <c r="F920" s="75" t="str">
        <f t="shared" si="56"/>
        <v>Lotukei</v>
      </c>
      <c r="G920" s="75" t="str">
        <f t="shared" si="55"/>
        <v>Abim</v>
      </c>
      <c r="H920" s="82" t="s">
        <v>859</v>
      </c>
    </row>
    <row r="921" spans="1:8">
      <c r="A921" s="81">
        <v>195</v>
      </c>
      <c r="B921" s="82" t="s">
        <v>1337</v>
      </c>
      <c r="C921" s="82" t="s">
        <v>1338</v>
      </c>
      <c r="D921" s="82" t="s">
        <v>1349</v>
      </c>
      <c r="E921" s="82"/>
      <c r="F921" s="75" t="str">
        <f t="shared" si="56"/>
        <v>Loyoro</v>
      </c>
      <c r="G921" s="75" t="str">
        <f t="shared" si="55"/>
        <v>Kaabong</v>
      </c>
      <c r="H921" s="82" t="s">
        <v>1349</v>
      </c>
    </row>
    <row r="922" spans="1:8">
      <c r="A922" s="81">
        <v>622</v>
      </c>
      <c r="B922" s="82" t="s">
        <v>1204</v>
      </c>
      <c r="C922" s="82" t="s">
        <v>1205</v>
      </c>
      <c r="D922" s="82" t="s">
        <v>1210</v>
      </c>
      <c r="E922" s="82"/>
      <c r="F922" s="75" t="str">
        <f t="shared" si="56"/>
        <v>Lubya</v>
      </c>
      <c r="G922" s="75" t="str">
        <f t="shared" si="55"/>
        <v>Buvuma</v>
      </c>
      <c r="H922" s="82" t="s">
        <v>1210</v>
      </c>
    </row>
    <row r="923" spans="1:8">
      <c r="A923" s="81">
        <v>202</v>
      </c>
      <c r="B923" s="82" t="s">
        <v>2126</v>
      </c>
      <c r="C923" s="82" t="s">
        <v>2126</v>
      </c>
      <c r="D923" s="82" t="s">
        <v>2131</v>
      </c>
      <c r="E923" s="82"/>
      <c r="F923" s="75" t="str">
        <f t="shared" si="56"/>
        <v>Ludara</v>
      </c>
      <c r="G923" s="75" t="str">
        <f t="shared" si="55"/>
        <v>Koboko</v>
      </c>
      <c r="H923" s="82" t="s">
        <v>2131</v>
      </c>
    </row>
    <row r="924" spans="1:8">
      <c r="A924" s="81">
        <v>517</v>
      </c>
      <c r="B924" s="82" t="s">
        <v>2844</v>
      </c>
      <c r="C924" s="82" t="s">
        <v>2845</v>
      </c>
      <c r="D924" s="82" t="s">
        <v>2843</v>
      </c>
      <c r="E924" s="82"/>
      <c r="F924" s="75" t="str">
        <f t="shared" si="56"/>
        <v>Lugusulu</v>
      </c>
      <c r="G924" s="75" t="str">
        <f t="shared" si="55"/>
        <v>Ssembabule</v>
      </c>
      <c r="H924" s="82" t="s">
        <v>2843</v>
      </c>
    </row>
    <row r="925" spans="1:8">
      <c r="A925" s="81">
        <v>635</v>
      </c>
      <c r="B925" s="82" t="s">
        <v>1453</v>
      </c>
      <c r="C925" s="82" t="s">
        <v>1453</v>
      </c>
      <c r="D925" s="82" t="s">
        <v>1457</v>
      </c>
      <c r="E925" s="82"/>
      <c r="F925" s="75" t="str">
        <f t="shared" si="56"/>
        <v>Lukaya Town Council</v>
      </c>
      <c r="G925" s="75" t="str">
        <f t="shared" si="55"/>
        <v>Kalungu</v>
      </c>
      <c r="H925" s="82" t="s">
        <v>1457</v>
      </c>
    </row>
    <row r="926" spans="1:8">
      <c r="A926" s="81">
        <v>784</v>
      </c>
      <c r="B926" s="82" t="s">
        <v>2362</v>
      </c>
      <c r="C926" s="82" t="s">
        <v>2363</v>
      </c>
      <c r="D926" s="82" t="s">
        <v>2376</v>
      </c>
      <c r="E926" s="82"/>
      <c r="F926" s="75" t="str">
        <f t="shared" si="56"/>
        <v>Lukhonge</v>
      </c>
      <c r="G926" s="75" t="str">
        <f t="shared" si="55"/>
        <v>Mbale</v>
      </c>
      <c r="H926" s="82" t="s">
        <v>2376</v>
      </c>
    </row>
    <row r="927" spans="1:8">
      <c r="A927" s="81">
        <v>690</v>
      </c>
      <c r="B927" s="82" t="s">
        <v>1156</v>
      </c>
      <c r="C927" s="82" t="s">
        <v>1157</v>
      </c>
      <c r="D927" s="82" t="s">
        <v>1166</v>
      </c>
      <c r="E927" s="82"/>
      <c r="F927" s="75" t="str">
        <f t="shared" si="56"/>
        <v>Lumino</v>
      </c>
      <c r="G927" s="75" t="str">
        <f t="shared" si="55"/>
        <v>Busia</v>
      </c>
      <c r="H927" s="82" t="s">
        <v>1166</v>
      </c>
    </row>
    <row r="928" spans="1:8">
      <c r="A928" s="81">
        <v>691</v>
      </c>
      <c r="B928" s="82" t="s">
        <v>1156</v>
      </c>
      <c r="C928" s="82" t="s">
        <v>1157</v>
      </c>
      <c r="D928" s="82" t="s">
        <v>1167</v>
      </c>
      <c r="E928" s="82"/>
      <c r="F928" s="75" t="str">
        <f t="shared" si="56"/>
        <v>Lunyo</v>
      </c>
      <c r="G928" s="75" t="str">
        <f t="shared" si="55"/>
        <v>Busia</v>
      </c>
      <c r="H928" s="82" t="s">
        <v>1167</v>
      </c>
    </row>
    <row r="929" spans="1:8">
      <c r="A929" s="81">
        <v>1012</v>
      </c>
      <c r="B929" s="82" t="s">
        <v>1081</v>
      </c>
      <c r="C929" s="82" t="s">
        <v>1081</v>
      </c>
      <c r="D929" s="82" t="s">
        <v>1093</v>
      </c>
      <c r="E929" s="82"/>
      <c r="F929" s="75" t="str">
        <f t="shared" si="56"/>
        <v>Lusha</v>
      </c>
      <c r="G929" s="75" t="str">
        <f t="shared" si="55"/>
        <v>Bulambuli</v>
      </c>
      <c r="H929" s="82" t="s">
        <v>1093</v>
      </c>
    </row>
    <row r="930" spans="1:8">
      <c r="A930" s="81">
        <v>1051</v>
      </c>
      <c r="B930" s="82" t="s">
        <v>2246</v>
      </c>
      <c r="C930" s="82" t="s">
        <v>2246</v>
      </c>
      <c r="D930" s="82" t="s">
        <v>2251</v>
      </c>
      <c r="E930" s="82"/>
      <c r="F930" s="75" t="str">
        <f t="shared" si="56"/>
        <v>Luuka Town Council</v>
      </c>
      <c r="G930" s="75" t="str">
        <f t="shared" si="55"/>
        <v>Luuka</v>
      </c>
      <c r="H930" s="82" t="s">
        <v>2251</v>
      </c>
    </row>
    <row r="931" spans="1:8">
      <c r="A931" s="81">
        <v>438</v>
      </c>
      <c r="B931" s="82" t="s">
        <v>2255</v>
      </c>
      <c r="C931" s="82" t="s">
        <v>2257</v>
      </c>
      <c r="D931" s="82" t="s">
        <v>2255</v>
      </c>
      <c r="E931" s="82"/>
      <c r="F931" s="75" t="str">
        <f t="shared" si="56"/>
        <v>Luwero</v>
      </c>
      <c r="G931" s="75" t="str">
        <f t="shared" si="55"/>
        <v>Luwero</v>
      </c>
      <c r="H931" s="82" t="s">
        <v>2255</v>
      </c>
    </row>
    <row r="932" spans="1:8">
      <c r="A932" s="81">
        <v>437</v>
      </c>
      <c r="B932" s="82" t="s">
        <v>2255</v>
      </c>
      <c r="C932" s="82" t="s">
        <v>2257</v>
      </c>
      <c r="D932" s="82" t="s">
        <v>2268</v>
      </c>
      <c r="E932" s="82"/>
      <c r="F932" s="75" t="str">
        <f t="shared" si="56"/>
        <v>Luwero Town Council</v>
      </c>
      <c r="G932" s="75" t="str">
        <f t="shared" si="55"/>
        <v>Luwero</v>
      </c>
      <c r="H932" s="82" t="s">
        <v>2268</v>
      </c>
    </row>
    <row r="933" spans="1:8">
      <c r="A933" s="81">
        <v>636</v>
      </c>
      <c r="B933" s="82" t="s">
        <v>1453</v>
      </c>
      <c r="C933" s="82" t="s">
        <v>1453</v>
      </c>
      <c r="D933" s="82" t="s">
        <v>1458</v>
      </c>
      <c r="E933" s="82"/>
      <c r="F933" s="75" t="str">
        <f t="shared" si="56"/>
        <v>Lwabenge</v>
      </c>
      <c r="G933" s="75" t="str">
        <f t="shared" si="55"/>
        <v>Kalungu</v>
      </c>
      <c r="H933" s="82" t="s">
        <v>1458</v>
      </c>
    </row>
    <row r="934" spans="1:8">
      <c r="A934" s="81">
        <v>497</v>
      </c>
      <c r="B934" s="82" t="s">
        <v>2555</v>
      </c>
      <c r="C934" s="82" t="s">
        <v>2341</v>
      </c>
      <c r="D934" s="82" t="s">
        <v>2559</v>
      </c>
      <c r="E934" s="82"/>
      <c r="F934" s="75" t="str">
        <f t="shared" si="56"/>
        <v>Lwabiyata</v>
      </c>
      <c r="G934" s="75" t="str">
        <f t="shared" si="55"/>
        <v>Nakasongola</v>
      </c>
      <c r="H934" s="82" t="s">
        <v>2559</v>
      </c>
    </row>
    <row r="935" spans="1:8">
      <c r="A935" s="81">
        <v>623</v>
      </c>
      <c r="B935" s="82" t="s">
        <v>1204</v>
      </c>
      <c r="C935" s="82" t="s">
        <v>1205</v>
      </c>
      <c r="D935" s="82" t="s">
        <v>1211</v>
      </c>
      <c r="E935" s="82"/>
      <c r="F935" s="75" t="str">
        <f t="shared" si="56"/>
        <v>Lwajje</v>
      </c>
      <c r="G935" s="75" t="str">
        <f t="shared" si="55"/>
        <v>Buvuma</v>
      </c>
      <c r="H935" s="82" t="s">
        <v>1211</v>
      </c>
    </row>
    <row r="936" spans="1:8">
      <c r="A936" s="81">
        <v>1094</v>
      </c>
      <c r="B936" s="82" t="s">
        <v>2579</v>
      </c>
      <c r="C936" s="82" t="s">
        <v>2579</v>
      </c>
      <c r="D936" s="82" t="s">
        <v>2588</v>
      </c>
      <c r="E936" s="82"/>
      <c r="F936" s="75" t="str">
        <f t="shared" si="56"/>
        <v>Lwakhakha Town Council</v>
      </c>
      <c r="G936" s="75" t="str">
        <f t="shared" si="55"/>
        <v>Namisindwa</v>
      </c>
      <c r="H936" s="82" t="s">
        <v>2588</v>
      </c>
    </row>
    <row r="937" spans="1:8">
      <c r="A937" s="81">
        <v>512</v>
      </c>
      <c r="B937" s="82" t="s">
        <v>2733</v>
      </c>
      <c r="C937" s="82" t="s">
        <v>2220</v>
      </c>
      <c r="D937" s="82" t="s">
        <v>2741</v>
      </c>
      <c r="E937" s="82"/>
      <c r="F937" s="75" t="str">
        <f t="shared" si="56"/>
        <v>Lwamaggwa</v>
      </c>
      <c r="G937" s="75" t="str">
        <f t="shared" si="55"/>
        <v>Rakai</v>
      </c>
      <c r="H937" s="82" t="s">
        <v>2741</v>
      </c>
    </row>
    <row r="938" spans="1:8">
      <c r="A938" s="81">
        <v>427</v>
      </c>
      <c r="B938" s="82" t="s">
        <v>2042</v>
      </c>
      <c r="C938" s="82" t="s">
        <v>2042</v>
      </c>
      <c r="D938" s="82" t="s">
        <v>2051</v>
      </c>
      <c r="E938" s="82"/>
      <c r="F938" s="75" t="str">
        <f t="shared" si="56"/>
        <v>Lwamata</v>
      </c>
      <c r="G938" s="75" t="str">
        <f t="shared" si="55"/>
        <v>Kiboga</v>
      </c>
      <c r="H938" s="82" t="s">
        <v>2051</v>
      </c>
    </row>
    <row r="939" spans="1:8">
      <c r="A939" s="81">
        <v>498</v>
      </c>
      <c r="B939" s="82" t="s">
        <v>2555</v>
      </c>
      <c r="C939" s="82" t="s">
        <v>2341</v>
      </c>
      <c r="D939" s="82" t="s">
        <v>2560</v>
      </c>
      <c r="E939" s="82"/>
      <c r="F939" s="75" t="str">
        <f t="shared" si="56"/>
        <v>Lwampanga</v>
      </c>
      <c r="G939" s="75" t="str">
        <f t="shared" si="55"/>
        <v>Nakasongola</v>
      </c>
      <c r="H939" s="82" t="s">
        <v>2560</v>
      </c>
    </row>
    <row r="940" spans="1:8">
      <c r="A940" s="81">
        <v>513</v>
      </c>
      <c r="B940" s="82" t="s">
        <v>2733</v>
      </c>
      <c r="C940" s="82" t="s">
        <v>2220</v>
      </c>
      <c r="D940" s="82" t="s">
        <v>2742</v>
      </c>
      <c r="E940" s="82"/>
      <c r="F940" s="75" t="str">
        <f t="shared" si="56"/>
        <v>Lwanda</v>
      </c>
      <c r="G940" s="75" t="str">
        <f t="shared" si="55"/>
        <v>Rakai</v>
      </c>
      <c r="H940" s="82" t="s">
        <v>2742</v>
      </c>
    </row>
    <row r="941" spans="1:8">
      <c r="A941" s="81">
        <v>667</v>
      </c>
      <c r="B941" s="82" t="s">
        <v>2216</v>
      </c>
      <c r="C941" s="82" t="s">
        <v>2216</v>
      </c>
      <c r="D941" s="82" t="s">
        <v>2225</v>
      </c>
      <c r="E941" s="82"/>
      <c r="F941" s="75" t="str">
        <f t="shared" si="56"/>
        <v>Lwankoni</v>
      </c>
      <c r="G941" s="75" t="str">
        <f t="shared" si="55"/>
        <v>Kyotera</v>
      </c>
      <c r="H941" s="82" t="s">
        <v>2225</v>
      </c>
    </row>
    <row r="942" spans="1:8">
      <c r="A942" s="81">
        <v>785</v>
      </c>
      <c r="B942" s="82" t="s">
        <v>2362</v>
      </c>
      <c r="C942" s="82" t="s">
        <v>2363</v>
      </c>
      <c r="D942" s="82" t="s">
        <v>2377</v>
      </c>
      <c r="E942" s="82"/>
      <c r="F942" s="75" t="str">
        <f t="shared" si="56"/>
        <v>Lwasso</v>
      </c>
      <c r="G942" s="75" t="str">
        <f t="shared" si="55"/>
        <v>Mbale</v>
      </c>
      <c r="H942" s="82" t="s">
        <v>2377</v>
      </c>
    </row>
    <row r="943" spans="1:8">
      <c r="A943" s="81">
        <v>518</v>
      </c>
      <c r="B943" s="82" t="s">
        <v>2844</v>
      </c>
      <c r="C943" s="82" t="s">
        <v>2845</v>
      </c>
      <c r="D943" s="82" t="s">
        <v>2846</v>
      </c>
      <c r="E943" s="82"/>
      <c r="F943" s="75" t="str">
        <f t="shared" si="56"/>
        <v>Lwebitakuli</v>
      </c>
      <c r="G943" s="75" t="str">
        <f t="shared" si="55"/>
        <v>Ssembabule</v>
      </c>
      <c r="H943" s="82" t="s">
        <v>2846</v>
      </c>
    </row>
    <row r="944" spans="1:8">
      <c r="A944" s="81">
        <v>515</v>
      </c>
      <c r="B944" s="82" t="s">
        <v>2844</v>
      </c>
      <c r="C944" s="82" t="s">
        <v>2847</v>
      </c>
      <c r="D944" s="82" t="s">
        <v>2847</v>
      </c>
      <c r="E944" s="82"/>
      <c r="F944" s="75" t="str">
        <f t="shared" si="56"/>
        <v>Lwemiyaga</v>
      </c>
      <c r="G944" s="75" t="str">
        <f t="shared" si="55"/>
        <v>Ssembabule</v>
      </c>
      <c r="H944" s="82" t="s">
        <v>2847</v>
      </c>
    </row>
    <row r="945" spans="1:8">
      <c r="A945" s="81">
        <v>655</v>
      </c>
      <c r="B945" s="82" t="s">
        <v>2278</v>
      </c>
      <c r="C945" s="82" t="s">
        <v>23</v>
      </c>
      <c r="D945" s="82" t="s">
        <v>2278</v>
      </c>
      <c r="E945" s="82"/>
      <c r="F945" s="75" t="str">
        <f t="shared" si="56"/>
        <v>Lwengo</v>
      </c>
      <c r="G945" s="75" t="str">
        <f t="shared" si="55"/>
        <v>Lwengo</v>
      </c>
      <c r="H945" s="82" t="s">
        <v>2278</v>
      </c>
    </row>
    <row r="946" spans="1:8">
      <c r="A946" s="81">
        <v>656</v>
      </c>
      <c r="B946" s="82" t="s">
        <v>2278</v>
      </c>
      <c r="C946" s="82" t="s">
        <v>23</v>
      </c>
      <c r="D946" s="82" t="s">
        <v>2282</v>
      </c>
      <c r="E946" s="82"/>
      <c r="F946" s="75" t="str">
        <f t="shared" si="56"/>
        <v>Lwengo Town Council</v>
      </c>
      <c r="G946" s="75" t="str">
        <f t="shared" si="55"/>
        <v>Lwengo</v>
      </c>
      <c r="H946" s="82" t="s">
        <v>2282</v>
      </c>
    </row>
    <row r="947" spans="1:8">
      <c r="A947" s="81">
        <v>624</v>
      </c>
      <c r="B947" s="82" t="s">
        <v>1204</v>
      </c>
      <c r="C947" s="82" t="s">
        <v>1205</v>
      </c>
      <c r="D947" s="82" t="s">
        <v>1212</v>
      </c>
      <c r="E947" s="82"/>
      <c r="F947" s="75" t="str">
        <f t="shared" si="56"/>
        <v>Lyabaana</v>
      </c>
      <c r="G947" s="75" t="str">
        <f t="shared" si="55"/>
        <v>Buvuma</v>
      </c>
      <c r="H947" s="82" t="s">
        <v>1212</v>
      </c>
    </row>
    <row r="948" spans="1:8">
      <c r="A948" s="81">
        <v>907</v>
      </c>
      <c r="B948" s="82" t="s">
        <v>989</v>
      </c>
      <c r="C948" s="82" t="s">
        <v>989</v>
      </c>
      <c r="D948" s="82" t="s">
        <v>998</v>
      </c>
      <c r="E948" s="82"/>
      <c r="F948" s="75" t="str">
        <f t="shared" si="56"/>
        <v>Lyama</v>
      </c>
      <c r="G948" s="75" t="str">
        <f t="shared" si="55"/>
        <v>Budaka</v>
      </c>
      <c r="H948" s="82" t="s">
        <v>998</v>
      </c>
    </row>
    <row r="949" spans="1:8">
      <c r="A949" s="81">
        <v>562</v>
      </c>
      <c r="B949" s="82" t="s">
        <v>2286</v>
      </c>
      <c r="C949" s="82" t="s">
        <v>2287</v>
      </c>
      <c r="D949" s="82" t="s">
        <v>2286</v>
      </c>
      <c r="E949" s="82"/>
      <c r="F949" s="75" t="str">
        <f t="shared" si="56"/>
        <v>Lyantonde</v>
      </c>
      <c r="G949" s="75" t="str">
        <f t="shared" si="55"/>
        <v>Lyantonde</v>
      </c>
      <c r="H949" s="82" t="s">
        <v>2286</v>
      </c>
    </row>
    <row r="950" spans="1:8">
      <c r="A950" s="81">
        <v>563</v>
      </c>
      <c r="B950" s="82" t="s">
        <v>2286</v>
      </c>
      <c r="C950" s="82" t="s">
        <v>2287</v>
      </c>
      <c r="D950" s="82" t="s">
        <v>2290</v>
      </c>
      <c r="E950" s="82"/>
      <c r="F950" s="75" t="str">
        <f t="shared" si="56"/>
        <v>Lyantonde Town Council</v>
      </c>
      <c r="G950" s="75" t="str">
        <f t="shared" si="55"/>
        <v>Lyantonde</v>
      </c>
      <c r="H950" s="82" t="s">
        <v>2290</v>
      </c>
    </row>
    <row r="951" spans="1:8">
      <c r="A951" s="81">
        <v>568</v>
      </c>
      <c r="B951" s="82" t="s">
        <v>2416</v>
      </c>
      <c r="C951" s="82" t="s">
        <v>2417</v>
      </c>
      <c r="D951" s="82" t="s">
        <v>2430</v>
      </c>
      <c r="E951" s="82"/>
      <c r="F951" s="75" t="str">
        <f t="shared" si="56"/>
        <v>Maanyi</v>
      </c>
      <c r="G951" s="75" t="str">
        <f t="shared" si="55"/>
        <v>Mityana</v>
      </c>
      <c r="H951" s="82" t="s">
        <v>2430</v>
      </c>
    </row>
    <row r="952" spans="1:8">
      <c r="A952" s="81">
        <v>1487</v>
      </c>
      <c r="B952" s="82" t="s">
        <v>1398</v>
      </c>
      <c r="C952" s="82" t="s">
        <v>1399</v>
      </c>
      <c r="D952" s="82" t="s">
        <v>1408</v>
      </c>
      <c r="E952" s="82"/>
      <c r="F952" s="75" t="str">
        <f t="shared" si="56"/>
        <v>Mabaale</v>
      </c>
      <c r="G952" s="75" t="str">
        <f t="shared" si="55"/>
        <v>Kagadi</v>
      </c>
      <c r="H952" s="82" t="s">
        <v>1408</v>
      </c>
    </row>
    <row r="953" spans="1:8">
      <c r="A953" s="81">
        <v>629</v>
      </c>
      <c r="B953" s="82" t="s">
        <v>1233</v>
      </c>
      <c r="C953" s="82" t="s">
        <v>1233</v>
      </c>
      <c r="D953" s="82" t="s">
        <v>1236</v>
      </c>
      <c r="E953" s="82"/>
      <c r="F953" s="75" t="str">
        <f t="shared" si="56"/>
        <v>Maddu</v>
      </c>
      <c r="G953" s="75" t="str">
        <f t="shared" si="55"/>
        <v>Gomba</v>
      </c>
      <c r="H953" s="82" t="s">
        <v>1236</v>
      </c>
    </row>
    <row r="954" spans="1:8">
      <c r="A954" s="81">
        <v>266</v>
      </c>
      <c r="B954" s="82" t="s">
        <v>2228</v>
      </c>
      <c r="C954" s="82" t="s">
        <v>2228</v>
      </c>
      <c r="D954" s="82" t="s">
        <v>2231</v>
      </c>
      <c r="E954" s="82"/>
      <c r="F954" s="75" t="str">
        <f t="shared" si="56"/>
        <v>Madi Opei</v>
      </c>
      <c r="G954" s="75" t="str">
        <f t="shared" si="55"/>
        <v>Lamwo</v>
      </c>
      <c r="H954" s="82" t="s">
        <v>2231</v>
      </c>
    </row>
    <row r="955" spans="1:8">
      <c r="A955" s="81">
        <v>461</v>
      </c>
      <c r="B955" s="82" t="s">
        <v>2473</v>
      </c>
      <c r="C955" s="82" t="s">
        <v>2479</v>
      </c>
      <c r="D955" s="82" t="s">
        <v>2489</v>
      </c>
      <c r="E955" s="82"/>
      <c r="F955" s="75" t="str">
        <f t="shared" si="56"/>
        <v>Madudu</v>
      </c>
      <c r="G955" s="75" t="str">
        <f t="shared" si="55"/>
        <v>Mubende</v>
      </c>
      <c r="H955" s="82" t="s">
        <v>2489</v>
      </c>
    </row>
    <row r="956" spans="1:8">
      <c r="A956" s="81">
        <v>716</v>
      </c>
      <c r="B956" s="82" t="s">
        <v>1320</v>
      </c>
      <c r="C956" s="82" t="s">
        <v>1323</v>
      </c>
      <c r="D956" s="82" t="s">
        <v>1335</v>
      </c>
      <c r="E956" s="82"/>
      <c r="F956" s="75" t="str">
        <f t="shared" si="56"/>
        <v>Mafubira</v>
      </c>
      <c r="G956" s="75" t="str">
        <f t="shared" si="55"/>
        <v>Jinja</v>
      </c>
      <c r="H956" s="82" t="s">
        <v>1335</v>
      </c>
    </row>
    <row r="957" spans="1:8">
      <c r="A957" s="81">
        <v>993</v>
      </c>
      <c r="B957" s="82" t="s">
        <v>2597</v>
      </c>
      <c r="C957" s="82" t="s">
        <v>2598</v>
      </c>
      <c r="D957" s="82" t="s">
        <v>2600</v>
      </c>
      <c r="E957" s="82"/>
      <c r="F957" s="75" t="str">
        <f t="shared" si="56"/>
        <v>Magada</v>
      </c>
      <c r="G957" s="75" t="str">
        <f t="shared" si="55"/>
        <v>Namutumba</v>
      </c>
      <c r="H957" s="82" t="s">
        <v>2600</v>
      </c>
    </row>
    <row r="958" spans="1:8">
      <c r="A958" s="81">
        <v>1095</v>
      </c>
      <c r="B958" s="82" t="s">
        <v>2579</v>
      </c>
      <c r="C958" s="82" t="s">
        <v>2579</v>
      </c>
      <c r="D958" s="82" t="s">
        <v>2589</v>
      </c>
      <c r="E958" s="82"/>
      <c r="F958" s="75" t="str">
        <f t="shared" si="56"/>
        <v>Magale</v>
      </c>
      <c r="G958" s="75" t="str">
        <f t="shared" si="55"/>
        <v>Namisindwa</v>
      </c>
      <c r="H958" s="82" t="s">
        <v>2589</v>
      </c>
    </row>
    <row r="959" spans="1:8">
      <c r="A959" s="81">
        <v>1100</v>
      </c>
      <c r="B959" s="82" t="s">
        <v>2579</v>
      </c>
      <c r="C959" s="82" t="s">
        <v>2579</v>
      </c>
      <c r="D959" s="82" t="s">
        <v>2590</v>
      </c>
      <c r="E959" s="82"/>
      <c r="F959" s="75" t="str">
        <f t="shared" si="56"/>
        <v>Magale Town Council</v>
      </c>
      <c r="G959" s="75" t="str">
        <f t="shared" si="55"/>
        <v>Namisindwa</v>
      </c>
      <c r="H959" s="82" t="s">
        <v>2590</v>
      </c>
    </row>
    <row r="960" spans="1:8">
      <c r="A960" s="81">
        <v>864</v>
      </c>
      <c r="B960" s="82" t="s">
        <v>2346</v>
      </c>
      <c r="C960" s="82" t="s">
        <v>2347</v>
      </c>
      <c r="D960" s="82" t="s">
        <v>2356</v>
      </c>
      <c r="E960" s="82"/>
      <c r="F960" s="75" t="str">
        <f t="shared" si="56"/>
        <v>Magamaga Town Council</v>
      </c>
      <c r="G960" s="75" t="str">
        <f t="shared" si="55"/>
        <v>Mayuge</v>
      </c>
      <c r="H960" s="82" t="s">
        <v>2356</v>
      </c>
    </row>
    <row r="961" spans="1:9">
      <c r="A961" s="81">
        <v>1454</v>
      </c>
      <c r="B961" s="82" t="s">
        <v>2756</v>
      </c>
      <c r="C961" s="82" t="s">
        <v>49</v>
      </c>
      <c r="D961" s="82" t="s">
        <v>2762</v>
      </c>
      <c r="E961" s="82"/>
      <c r="F961" s="75" t="str">
        <f t="shared" si="56"/>
        <v>Magambo</v>
      </c>
      <c r="G961" s="75" t="str">
        <f t="shared" si="55"/>
        <v>Rubirizi</v>
      </c>
      <c r="H961" s="82" t="s">
        <v>2762</v>
      </c>
    </row>
    <row r="962" spans="1:9">
      <c r="A962" s="81">
        <v>830</v>
      </c>
      <c r="B962" s="82" t="s">
        <v>2856</v>
      </c>
      <c r="C962" s="82" t="s">
        <v>2857</v>
      </c>
      <c r="D962" s="82" t="s">
        <v>2861</v>
      </c>
      <c r="E962" s="82"/>
      <c r="F962" s="75" t="str">
        <f t="shared" si="56"/>
        <v>Magola</v>
      </c>
      <c r="G962" s="75" t="str">
        <f t="shared" si="55"/>
        <v>Tororo</v>
      </c>
      <c r="H962" s="82" t="s">
        <v>2861</v>
      </c>
    </row>
    <row r="963" spans="1:9">
      <c r="A963" s="81">
        <v>754</v>
      </c>
      <c r="B963" s="82" t="s">
        <v>2007</v>
      </c>
      <c r="C963" s="82" t="s">
        <v>2008</v>
      </c>
      <c r="D963" s="82" t="s">
        <v>2011</v>
      </c>
      <c r="E963" s="82"/>
      <c r="F963" s="75" t="str">
        <f t="shared" si="56"/>
        <v>Magoro</v>
      </c>
      <c r="G963" s="75" t="str">
        <f t="shared" si="55"/>
        <v>Katakwi</v>
      </c>
      <c r="H963" s="82" t="s">
        <v>2011</v>
      </c>
    </row>
    <row r="964" spans="1:9">
      <c r="A964" s="81">
        <v>1186</v>
      </c>
      <c r="B964" s="82" t="s">
        <v>36</v>
      </c>
      <c r="C964" s="82" t="s">
        <v>1111</v>
      </c>
      <c r="D964" s="82" t="s">
        <v>1998</v>
      </c>
      <c r="E964" s="82"/>
      <c r="F964" s="75" t="str">
        <f t="shared" si="56"/>
        <v>Mahango</v>
      </c>
      <c r="G964" s="75" t="str">
        <f t="shared" si="55"/>
        <v>Kasese</v>
      </c>
      <c r="H964" s="82" t="s">
        <v>1998</v>
      </c>
    </row>
    <row r="965" spans="1:9">
      <c r="A965" s="81">
        <v>1310</v>
      </c>
      <c r="B965" s="82" t="s">
        <v>45</v>
      </c>
      <c r="C965" s="82" t="s">
        <v>1929</v>
      </c>
      <c r="D965" s="82" t="s">
        <v>1937</v>
      </c>
      <c r="E965" s="82"/>
      <c r="F965" s="75" t="str">
        <f t="shared" si="56"/>
        <v>Mahyoro</v>
      </c>
      <c r="G965" s="75" t="str">
        <f t="shared" si="55"/>
        <v>Kamwenge</v>
      </c>
      <c r="H965" s="82" t="s">
        <v>1937</v>
      </c>
    </row>
    <row r="966" spans="1:9">
      <c r="A966" s="81">
        <v>692</v>
      </c>
      <c r="B966" s="82" t="s">
        <v>1156</v>
      </c>
      <c r="C966" s="82" t="s">
        <v>1157</v>
      </c>
      <c r="D966" s="82" t="s">
        <v>1168</v>
      </c>
      <c r="E966" s="82"/>
      <c r="F966" s="75" t="str">
        <f t="shared" si="56"/>
        <v>Majanji</v>
      </c>
      <c r="G966" s="75" t="str">
        <f t="shared" si="55"/>
        <v>Busia</v>
      </c>
      <c r="H966" s="82" t="s">
        <v>1168</v>
      </c>
    </row>
    <row r="967" spans="1:9">
      <c r="A967" s="81">
        <v>377</v>
      </c>
      <c r="B967" s="82" t="s">
        <v>1460</v>
      </c>
      <c r="C967" s="82" t="s">
        <v>1461</v>
      </c>
      <c r="D967" s="82" t="s">
        <v>1472</v>
      </c>
      <c r="E967" s="82" t="s">
        <v>1471</v>
      </c>
      <c r="F967" s="82" t="s">
        <v>1471</v>
      </c>
      <c r="G967" s="75" t="str">
        <f t="shared" si="55"/>
        <v>Kampala</v>
      </c>
      <c r="H967" s="82" t="s">
        <v>1472</v>
      </c>
    </row>
    <row r="968" spans="1:9">
      <c r="A968" s="81">
        <v>378</v>
      </c>
      <c r="B968" s="82" t="s">
        <v>1460</v>
      </c>
      <c r="C968" s="82" t="s">
        <v>1461</v>
      </c>
      <c r="D968" s="82" t="s">
        <v>1472</v>
      </c>
      <c r="E968" s="82" t="s">
        <v>1490</v>
      </c>
      <c r="F968" s="82" t="s">
        <v>1490</v>
      </c>
      <c r="G968" s="75" t="str">
        <f t="shared" si="55"/>
        <v>Kampala</v>
      </c>
      <c r="H968" s="82" t="s">
        <v>1472</v>
      </c>
    </row>
    <row r="969" spans="1:9">
      <c r="A969" s="81">
        <v>379</v>
      </c>
      <c r="B969" s="82" t="s">
        <v>1460</v>
      </c>
      <c r="C969" s="82" t="s">
        <v>1461</v>
      </c>
      <c r="D969" s="82" t="s">
        <v>1472</v>
      </c>
      <c r="E969" s="82" t="s">
        <v>1660</v>
      </c>
      <c r="F969" s="82" t="s">
        <v>1660</v>
      </c>
      <c r="G969" s="75" t="str">
        <f t="shared" si="55"/>
        <v>Kampala</v>
      </c>
      <c r="H969" s="82" t="s">
        <v>1472</v>
      </c>
    </row>
    <row r="970" spans="1:9">
      <c r="A970" s="81">
        <v>380</v>
      </c>
      <c r="B970" s="82" t="s">
        <v>1460</v>
      </c>
      <c r="C970" s="82" t="s">
        <v>1461</v>
      </c>
      <c r="D970" s="82" t="s">
        <v>1472</v>
      </c>
      <c r="E970" s="82" t="s">
        <v>1664</v>
      </c>
      <c r="F970" s="82" t="s">
        <v>1664</v>
      </c>
      <c r="G970" s="75" t="str">
        <f t="shared" ref="G970:G1033" si="57">B970</f>
        <v>Kampala</v>
      </c>
      <c r="H970" s="82" t="s">
        <v>1472</v>
      </c>
    </row>
    <row r="971" spans="1:9">
      <c r="A971" s="81">
        <v>381</v>
      </c>
      <c r="B971" s="82" t="s">
        <v>1460</v>
      </c>
      <c r="C971" s="82" t="s">
        <v>1461</v>
      </c>
      <c r="D971" s="82" t="s">
        <v>1472</v>
      </c>
      <c r="E971" s="82" t="s">
        <v>1679</v>
      </c>
      <c r="F971" s="82" t="s">
        <v>1679</v>
      </c>
      <c r="G971" s="75" t="str">
        <f t="shared" si="57"/>
        <v>Kampala</v>
      </c>
      <c r="H971" s="82" t="s">
        <v>1472</v>
      </c>
    </row>
    <row r="972" spans="1:9">
      <c r="A972" s="81">
        <v>382</v>
      </c>
      <c r="B972" s="82" t="s">
        <v>1460</v>
      </c>
      <c r="C972" s="82" t="s">
        <v>1461</v>
      </c>
      <c r="D972" s="82" t="s">
        <v>1472</v>
      </c>
      <c r="E972" s="86" t="s">
        <v>3209</v>
      </c>
      <c r="F972" s="86" t="s">
        <v>1697</v>
      </c>
      <c r="G972" s="75" t="str">
        <f t="shared" si="57"/>
        <v>Kampala</v>
      </c>
      <c r="H972" s="82" t="s">
        <v>1472</v>
      </c>
    </row>
    <row r="973" spans="1:9">
      <c r="A973" s="81">
        <v>383</v>
      </c>
      <c r="B973" s="82" t="s">
        <v>1460</v>
      </c>
      <c r="C973" s="82" t="s">
        <v>1461</v>
      </c>
      <c r="D973" s="82" t="s">
        <v>1472</v>
      </c>
      <c r="E973" s="86" t="s">
        <v>3210</v>
      </c>
      <c r="F973" s="86" t="s">
        <v>1697</v>
      </c>
      <c r="G973" s="75" t="str">
        <f t="shared" si="57"/>
        <v>Kampala</v>
      </c>
      <c r="H973" s="82" t="s">
        <v>1472</v>
      </c>
      <c r="I973" s="87" t="s">
        <v>3148</v>
      </c>
    </row>
    <row r="974" spans="1:9">
      <c r="A974" s="81">
        <v>384</v>
      </c>
      <c r="B974" s="82" t="s">
        <v>1460</v>
      </c>
      <c r="C974" s="82" t="s">
        <v>1461</v>
      </c>
      <c r="D974" s="82" t="s">
        <v>1472</v>
      </c>
      <c r="E974" s="82" t="s">
        <v>1703</v>
      </c>
      <c r="F974" s="82" t="s">
        <v>1703</v>
      </c>
      <c r="G974" s="75" t="str">
        <f t="shared" si="57"/>
        <v>Kampala</v>
      </c>
      <c r="H974" s="82" t="s">
        <v>1472</v>
      </c>
    </row>
    <row r="975" spans="1:9">
      <c r="A975" s="81">
        <v>385</v>
      </c>
      <c r="B975" s="82" t="s">
        <v>1460</v>
      </c>
      <c r="C975" s="82" t="s">
        <v>1461</v>
      </c>
      <c r="D975" s="82" t="s">
        <v>1472</v>
      </c>
      <c r="E975" s="86" t="s">
        <v>3211</v>
      </c>
      <c r="F975" s="86" t="s">
        <v>1704</v>
      </c>
      <c r="G975" s="75" t="str">
        <f t="shared" si="57"/>
        <v>Kampala</v>
      </c>
      <c r="H975" s="82" t="s">
        <v>1472</v>
      </c>
    </row>
    <row r="976" spans="1:9">
      <c r="A976" s="81">
        <v>386</v>
      </c>
      <c r="B976" s="82" t="s">
        <v>1460</v>
      </c>
      <c r="C976" s="82" t="s">
        <v>1461</v>
      </c>
      <c r="D976" s="82" t="s">
        <v>1472</v>
      </c>
      <c r="E976" s="86" t="s">
        <v>3212</v>
      </c>
      <c r="F976" s="86" t="s">
        <v>1704</v>
      </c>
      <c r="G976" s="75" t="str">
        <f t="shared" si="57"/>
        <v>Kampala</v>
      </c>
      <c r="H976" s="82" t="s">
        <v>1472</v>
      </c>
      <c r="I976" s="87" t="s">
        <v>3148</v>
      </c>
    </row>
    <row r="977" spans="1:9">
      <c r="A977" s="81">
        <v>387</v>
      </c>
      <c r="B977" s="82" t="s">
        <v>1460</v>
      </c>
      <c r="C977" s="82" t="s">
        <v>1461</v>
      </c>
      <c r="D977" s="82" t="s">
        <v>1472</v>
      </c>
      <c r="E977" s="82" t="s">
        <v>1711</v>
      </c>
      <c r="F977" s="82" t="s">
        <v>1711</v>
      </c>
      <c r="G977" s="75" t="str">
        <f t="shared" si="57"/>
        <v>Kampala</v>
      </c>
      <c r="H977" s="82" t="s">
        <v>1472</v>
      </c>
    </row>
    <row r="978" spans="1:9">
      <c r="A978" s="81">
        <v>388</v>
      </c>
      <c r="B978" s="82" t="s">
        <v>1460</v>
      </c>
      <c r="C978" s="82" t="s">
        <v>1461</v>
      </c>
      <c r="D978" s="82" t="s">
        <v>1472</v>
      </c>
      <c r="E978" s="82" t="s">
        <v>1753</v>
      </c>
      <c r="F978" s="82" t="s">
        <v>1753</v>
      </c>
      <c r="G978" s="75" t="str">
        <f t="shared" si="57"/>
        <v>Kampala</v>
      </c>
      <c r="H978" s="82" t="s">
        <v>1472</v>
      </c>
    </row>
    <row r="979" spans="1:9">
      <c r="A979" s="81">
        <v>389</v>
      </c>
      <c r="B979" s="82" t="s">
        <v>1460</v>
      </c>
      <c r="C979" s="82" t="s">
        <v>1461</v>
      </c>
      <c r="D979" s="82" t="s">
        <v>1472</v>
      </c>
      <c r="E979" s="82" t="s">
        <v>1758</v>
      </c>
      <c r="F979" s="82" t="s">
        <v>1758</v>
      </c>
      <c r="G979" s="75" t="str">
        <f t="shared" si="57"/>
        <v>Kampala</v>
      </c>
      <c r="H979" s="82" t="s">
        <v>1472</v>
      </c>
    </row>
    <row r="980" spans="1:9">
      <c r="A980" s="81">
        <v>390</v>
      </c>
      <c r="B980" s="82" t="s">
        <v>1460</v>
      </c>
      <c r="C980" s="82" t="s">
        <v>1461</v>
      </c>
      <c r="D980" s="82" t="s">
        <v>1472</v>
      </c>
      <c r="E980" s="86" t="s">
        <v>3213</v>
      </c>
      <c r="F980" s="86" t="s">
        <v>1768</v>
      </c>
      <c r="G980" s="75" t="str">
        <f t="shared" si="57"/>
        <v>Kampala</v>
      </c>
      <c r="H980" s="82" t="s">
        <v>1472</v>
      </c>
    </row>
    <row r="981" spans="1:9">
      <c r="A981" s="81">
        <v>391</v>
      </c>
      <c r="B981" s="82" t="s">
        <v>1460</v>
      </c>
      <c r="C981" s="82" t="s">
        <v>1461</v>
      </c>
      <c r="D981" s="82" t="s">
        <v>1472</v>
      </c>
      <c r="E981" s="86" t="s">
        <v>3214</v>
      </c>
      <c r="F981" s="86" t="s">
        <v>1768</v>
      </c>
      <c r="G981" s="75" t="str">
        <f t="shared" si="57"/>
        <v>Kampala</v>
      </c>
      <c r="H981" s="82" t="s">
        <v>1472</v>
      </c>
      <c r="I981" s="87" t="s">
        <v>3148</v>
      </c>
    </row>
    <row r="982" spans="1:9">
      <c r="A982" s="81">
        <v>392</v>
      </c>
      <c r="B982" s="82" t="s">
        <v>1460</v>
      </c>
      <c r="C982" s="82" t="s">
        <v>1461</v>
      </c>
      <c r="D982" s="82" t="s">
        <v>1472</v>
      </c>
      <c r="E982" s="86" t="s">
        <v>3215</v>
      </c>
      <c r="F982" s="86" t="s">
        <v>1870</v>
      </c>
      <c r="G982" s="75" t="str">
        <f t="shared" si="57"/>
        <v>Kampala</v>
      </c>
      <c r="H982" s="82" t="s">
        <v>1472</v>
      </c>
    </row>
    <row r="983" spans="1:9">
      <c r="A983" s="81">
        <v>393</v>
      </c>
      <c r="B983" s="82" t="s">
        <v>1460</v>
      </c>
      <c r="C983" s="82" t="s">
        <v>1461</v>
      </c>
      <c r="D983" s="82" t="s">
        <v>1472</v>
      </c>
      <c r="E983" s="86" t="s">
        <v>3216</v>
      </c>
      <c r="F983" s="86" t="s">
        <v>1870</v>
      </c>
      <c r="G983" s="75" t="str">
        <f t="shared" si="57"/>
        <v>Kampala</v>
      </c>
      <c r="H983" s="82" t="s">
        <v>1472</v>
      </c>
      <c r="I983" s="87" t="s">
        <v>3148</v>
      </c>
    </row>
    <row r="984" spans="1:9" ht="25.5">
      <c r="A984" s="81">
        <v>394</v>
      </c>
      <c r="B984" s="82" t="s">
        <v>1460</v>
      </c>
      <c r="C984" s="82" t="s">
        <v>1461</v>
      </c>
      <c r="D984" s="82" t="s">
        <v>1472</v>
      </c>
      <c r="E984" s="82" t="s">
        <v>1875</v>
      </c>
      <c r="F984" s="82" t="s">
        <v>1875</v>
      </c>
      <c r="G984" s="75" t="str">
        <f t="shared" si="57"/>
        <v>Kampala</v>
      </c>
      <c r="H984" s="82" t="s">
        <v>1472</v>
      </c>
    </row>
    <row r="985" spans="1:9">
      <c r="A985" s="81">
        <v>395</v>
      </c>
      <c r="B985" s="82" t="s">
        <v>1460</v>
      </c>
      <c r="C985" s="82" t="s">
        <v>1461</v>
      </c>
      <c r="D985" s="82" t="s">
        <v>1472</v>
      </c>
      <c r="E985" s="82" t="s">
        <v>1890</v>
      </c>
      <c r="F985" s="82" t="s">
        <v>1890</v>
      </c>
      <c r="G985" s="75" t="str">
        <f t="shared" si="57"/>
        <v>Kampala</v>
      </c>
      <c r="H985" s="82" t="s">
        <v>1472</v>
      </c>
    </row>
    <row r="986" spans="1:9">
      <c r="A986" s="81">
        <v>396</v>
      </c>
      <c r="B986" s="82" t="s">
        <v>1460</v>
      </c>
      <c r="C986" s="82" t="s">
        <v>1461</v>
      </c>
      <c r="D986" s="82" t="s">
        <v>1472</v>
      </c>
      <c r="E986" s="82" t="s">
        <v>1902</v>
      </c>
      <c r="F986" s="82" t="s">
        <v>1902</v>
      </c>
      <c r="G986" s="75" t="str">
        <f t="shared" si="57"/>
        <v>Kampala</v>
      </c>
      <c r="H986" s="82" t="s">
        <v>1472</v>
      </c>
    </row>
    <row r="987" spans="1:9">
      <c r="A987" s="81">
        <v>397</v>
      </c>
      <c r="B987" s="82" t="s">
        <v>1460</v>
      </c>
      <c r="C987" s="82" t="s">
        <v>1461</v>
      </c>
      <c r="D987" s="82" t="s">
        <v>1472</v>
      </c>
      <c r="E987" s="82" t="s">
        <v>1876</v>
      </c>
      <c r="F987" s="82" t="s">
        <v>1876</v>
      </c>
      <c r="G987" s="75" t="str">
        <f t="shared" si="57"/>
        <v>Kampala</v>
      </c>
      <c r="H987" s="82" t="s">
        <v>1472</v>
      </c>
    </row>
    <row r="988" spans="1:9">
      <c r="A988" s="81">
        <v>472</v>
      </c>
      <c r="B988" s="82" t="s">
        <v>2473</v>
      </c>
      <c r="C988" s="82" t="s">
        <v>2476</v>
      </c>
      <c r="D988" s="82" t="s">
        <v>2490</v>
      </c>
      <c r="E988" s="82"/>
      <c r="F988" s="75" t="str">
        <f t="shared" ref="F988:F994" si="58">D988</f>
        <v>Makokoto</v>
      </c>
      <c r="G988" s="75" t="str">
        <f t="shared" si="57"/>
        <v>Mubende</v>
      </c>
      <c r="H988" s="82" t="s">
        <v>2490</v>
      </c>
    </row>
    <row r="989" spans="1:9">
      <c r="A989" s="81">
        <v>439</v>
      </c>
      <c r="B989" s="82" t="s">
        <v>2255</v>
      </c>
      <c r="C989" s="82" t="s">
        <v>2257</v>
      </c>
      <c r="D989" s="82" t="s">
        <v>2270</v>
      </c>
      <c r="E989" s="82"/>
      <c r="F989" s="75" t="str">
        <f t="shared" si="58"/>
        <v>Makulubita</v>
      </c>
      <c r="G989" s="75" t="str">
        <f t="shared" si="57"/>
        <v>Luwero</v>
      </c>
      <c r="H989" s="82" t="s">
        <v>2270</v>
      </c>
    </row>
    <row r="990" spans="1:9">
      <c r="A990" s="81">
        <v>701</v>
      </c>
      <c r="B990" s="82" t="s">
        <v>1279</v>
      </c>
      <c r="C990" s="82" t="s">
        <v>1282</v>
      </c>
      <c r="D990" s="82" t="s">
        <v>1288</v>
      </c>
      <c r="E990" s="82"/>
      <c r="F990" s="75" t="str">
        <f t="shared" si="58"/>
        <v>Makuutu</v>
      </c>
      <c r="G990" s="75" t="str">
        <f t="shared" si="57"/>
        <v>Iganga</v>
      </c>
      <c r="H990" s="82" t="s">
        <v>1288</v>
      </c>
    </row>
    <row r="991" spans="1:9">
      <c r="A991" s="81">
        <v>819</v>
      </c>
      <c r="B991" s="82" t="s">
        <v>2856</v>
      </c>
      <c r="C991" s="82" t="s">
        <v>2856</v>
      </c>
      <c r="D991" s="82" t="s">
        <v>2862</v>
      </c>
      <c r="E991" s="82"/>
      <c r="F991" s="75" t="str">
        <f t="shared" si="58"/>
        <v>Malaba Town Council</v>
      </c>
      <c r="G991" s="75" t="str">
        <f t="shared" si="57"/>
        <v>Tororo</v>
      </c>
      <c r="H991" s="82" t="s">
        <v>2862</v>
      </c>
    </row>
    <row r="992" spans="1:9">
      <c r="A992" s="81">
        <v>569</v>
      </c>
      <c r="B992" s="82" t="s">
        <v>2416</v>
      </c>
      <c r="C992" s="82" t="s">
        <v>2417</v>
      </c>
      <c r="D992" s="82" t="s">
        <v>2431</v>
      </c>
      <c r="E992" s="82"/>
      <c r="F992" s="75" t="str">
        <f t="shared" si="58"/>
        <v>Malangala</v>
      </c>
      <c r="G992" s="75" t="str">
        <f t="shared" si="57"/>
        <v>Mityana</v>
      </c>
      <c r="H992" s="82" t="s">
        <v>2431</v>
      </c>
    </row>
    <row r="993" spans="1:8">
      <c r="A993" s="81">
        <v>936</v>
      </c>
      <c r="B993" s="82" t="s">
        <v>1055</v>
      </c>
      <c r="C993" s="82" t="s">
        <v>1055</v>
      </c>
      <c r="D993" s="82" t="s">
        <v>1060</v>
      </c>
      <c r="E993" s="82"/>
      <c r="F993" s="75" t="str">
        <f t="shared" si="58"/>
        <v>Malera</v>
      </c>
      <c r="G993" s="75" t="str">
        <f t="shared" si="57"/>
        <v>Bukedea</v>
      </c>
      <c r="H993" s="82" t="s">
        <v>1060</v>
      </c>
    </row>
    <row r="994" spans="1:8">
      <c r="A994" s="81">
        <v>1202</v>
      </c>
      <c r="B994" s="82" t="s">
        <v>36</v>
      </c>
      <c r="C994" s="82" t="s">
        <v>1978</v>
      </c>
      <c r="D994" s="82" t="s">
        <v>1999</v>
      </c>
      <c r="E994" s="82"/>
      <c r="F994" s="75" t="str">
        <f t="shared" si="58"/>
        <v>Maliba</v>
      </c>
      <c r="G994" s="75" t="str">
        <f t="shared" si="57"/>
        <v>Kasese</v>
      </c>
      <c r="H994" s="82" t="s">
        <v>1999</v>
      </c>
    </row>
    <row r="995" spans="1:8">
      <c r="A995" s="81">
        <v>657</v>
      </c>
      <c r="B995" s="82" t="s">
        <v>2278</v>
      </c>
      <c r="C995" s="82" t="s">
        <v>23</v>
      </c>
      <c r="D995" s="86" t="s">
        <v>3217</v>
      </c>
      <c r="E995" s="82"/>
      <c r="F995" s="75" t="str">
        <f t="shared" ref="F995:F996" si="59">D995&amp;"-"&amp;B995</f>
        <v>Malongo-Lwengo</v>
      </c>
      <c r="G995" s="75" t="str">
        <f t="shared" si="57"/>
        <v>Lwengo</v>
      </c>
      <c r="H995" s="86" t="s">
        <v>3217</v>
      </c>
    </row>
    <row r="996" spans="1:8">
      <c r="A996" s="81">
        <v>860</v>
      </c>
      <c r="B996" s="82" t="s">
        <v>2346</v>
      </c>
      <c r="C996" s="82" t="s">
        <v>2347</v>
      </c>
      <c r="D996" s="86" t="s">
        <v>3217</v>
      </c>
      <c r="E996" s="82"/>
      <c r="F996" s="75" t="str">
        <f t="shared" si="59"/>
        <v>Malongo-Mayuge</v>
      </c>
      <c r="G996" s="75" t="str">
        <f t="shared" si="57"/>
        <v>Mayuge</v>
      </c>
      <c r="H996" s="86" t="s">
        <v>3217</v>
      </c>
    </row>
    <row r="997" spans="1:8">
      <c r="A997" s="81">
        <v>983</v>
      </c>
      <c r="B997" s="82" t="s">
        <v>2294</v>
      </c>
      <c r="C997" s="82" t="s">
        <v>2295</v>
      </c>
      <c r="D997" s="82" t="s">
        <v>2307</v>
      </c>
      <c r="E997" s="82"/>
      <c r="F997" s="75" t="str">
        <f t="shared" ref="F997:F1000" si="60">D997</f>
        <v>Manafwa Town Council</v>
      </c>
      <c r="G997" s="75" t="str">
        <f t="shared" si="57"/>
        <v>Manafwa</v>
      </c>
      <c r="H997" s="82" t="s">
        <v>2307</v>
      </c>
    </row>
    <row r="998" spans="1:8">
      <c r="A998" s="81">
        <v>28</v>
      </c>
      <c r="B998" s="82" t="s">
        <v>959</v>
      </c>
      <c r="C998" s="82" t="s">
        <v>960</v>
      </c>
      <c r="D998" s="82" t="s">
        <v>976</v>
      </c>
      <c r="E998" s="82"/>
      <c r="F998" s="75" t="str">
        <f t="shared" si="60"/>
        <v>Manibe</v>
      </c>
      <c r="G998" s="75" t="str">
        <f t="shared" si="57"/>
        <v>Arua</v>
      </c>
      <c r="H998" s="82" t="s">
        <v>976</v>
      </c>
    </row>
    <row r="999" spans="1:8">
      <c r="A999" s="81">
        <v>473</v>
      </c>
      <c r="B999" s="82" t="s">
        <v>2473</v>
      </c>
      <c r="C999" s="82" t="s">
        <v>2476</v>
      </c>
      <c r="D999" s="82" t="s">
        <v>2491</v>
      </c>
      <c r="E999" s="82"/>
      <c r="F999" s="75" t="str">
        <f t="shared" si="60"/>
        <v>Manyogaseka</v>
      </c>
      <c r="G999" s="75" t="str">
        <f t="shared" si="57"/>
        <v>Mubende</v>
      </c>
      <c r="H999" s="82" t="s">
        <v>2491</v>
      </c>
    </row>
    <row r="1000" spans="1:8">
      <c r="A1000" s="81">
        <v>208</v>
      </c>
      <c r="B1000" s="82" t="s">
        <v>2313</v>
      </c>
      <c r="C1000" s="82" t="s">
        <v>2313</v>
      </c>
      <c r="D1000" s="82" t="s">
        <v>2314</v>
      </c>
      <c r="E1000" s="82"/>
      <c r="F1000" s="75" t="str">
        <f t="shared" si="60"/>
        <v>Maracha Town Council</v>
      </c>
      <c r="G1000" s="75" t="str">
        <f t="shared" si="57"/>
        <v>Maracha</v>
      </c>
      <c r="H1000" s="82" t="s">
        <v>2314</v>
      </c>
    </row>
    <row r="1001" spans="1:8">
      <c r="A1001" s="81">
        <v>693</v>
      </c>
      <c r="B1001" s="82" t="s">
        <v>1156</v>
      </c>
      <c r="C1001" s="82" t="s">
        <v>1157</v>
      </c>
      <c r="D1001" s="86" t="s">
        <v>3218</v>
      </c>
      <c r="E1001" s="82"/>
      <c r="F1001" s="75" t="str">
        <f t="shared" ref="F1001:F1002" si="61">D1001&amp;"-"&amp;B1001</f>
        <v>Masaba-Busia</v>
      </c>
      <c r="G1001" s="75" t="str">
        <f t="shared" si="57"/>
        <v>Busia</v>
      </c>
      <c r="H1001" s="86" t="s">
        <v>3218</v>
      </c>
    </row>
    <row r="1002" spans="1:8">
      <c r="A1002" s="81">
        <v>882</v>
      </c>
      <c r="B1002" s="82" t="s">
        <v>2812</v>
      </c>
      <c r="C1002" s="82" t="s">
        <v>2813</v>
      </c>
      <c r="D1002" s="86" t="s">
        <v>3218</v>
      </c>
      <c r="E1002" s="82"/>
      <c r="F1002" s="75" t="str">
        <f t="shared" si="61"/>
        <v>Masaba-Sironko</v>
      </c>
      <c r="G1002" s="75" t="str">
        <f t="shared" si="57"/>
        <v>Sironko</v>
      </c>
      <c r="H1002" s="86" t="s">
        <v>3218</v>
      </c>
    </row>
    <row r="1003" spans="1:8">
      <c r="A1003" s="81">
        <v>694</v>
      </c>
      <c r="B1003" s="82" t="s">
        <v>1156</v>
      </c>
      <c r="C1003" s="82" t="s">
        <v>1157</v>
      </c>
      <c r="D1003" s="82" t="s">
        <v>1170</v>
      </c>
      <c r="E1003" s="82"/>
      <c r="F1003" s="75" t="str">
        <f t="shared" ref="F1003" si="62">D1003</f>
        <v>Masafu</v>
      </c>
      <c r="G1003" s="75" t="str">
        <f t="shared" si="57"/>
        <v>Busia</v>
      </c>
      <c r="H1003" s="82" t="s">
        <v>1170</v>
      </c>
    </row>
    <row r="1004" spans="1:8" ht="38.25">
      <c r="A1004" s="81">
        <v>553</v>
      </c>
      <c r="B1004" s="82" t="s">
        <v>2879</v>
      </c>
      <c r="C1004" s="83" t="s">
        <v>2880</v>
      </c>
      <c r="D1004" s="82" t="s">
        <v>3219</v>
      </c>
      <c r="E1004" s="82"/>
      <c r="F1004" s="76" t="s">
        <v>2965</v>
      </c>
      <c r="G1004" s="75" t="str">
        <f t="shared" si="57"/>
        <v>Wakiso</v>
      </c>
      <c r="H1004" s="82" t="s">
        <v>3219</v>
      </c>
    </row>
    <row r="1005" spans="1:8">
      <c r="A1005" s="81">
        <v>719</v>
      </c>
      <c r="B1005" s="82" t="s">
        <v>1320</v>
      </c>
      <c r="C1005" s="83" t="s">
        <v>1329</v>
      </c>
      <c r="D1005" s="82" t="s">
        <v>3220</v>
      </c>
      <c r="E1005" s="82"/>
      <c r="F1005" s="76" t="str">
        <f>VLOOKUP(C1005,[2]Municipalities!$C$9:$F$1522,4,FALSE)</f>
        <v>Jinja Municipality</v>
      </c>
      <c r="G1005" s="75" t="str">
        <f t="shared" si="57"/>
        <v>Jinja</v>
      </c>
      <c r="H1005" s="82" t="s">
        <v>3220</v>
      </c>
    </row>
    <row r="1006" spans="1:8">
      <c r="A1006" s="81">
        <v>1382</v>
      </c>
      <c r="B1006" s="82" t="s">
        <v>48</v>
      </c>
      <c r="C1006" s="82" t="s">
        <v>48</v>
      </c>
      <c r="D1006" s="82" t="s">
        <v>1309</v>
      </c>
      <c r="E1006" s="82"/>
      <c r="F1006" s="75" t="str">
        <f t="shared" ref="F1006:F1069" si="63">D1006</f>
        <v>Masha</v>
      </c>
      <c r="G1006" s="75" t="str">
        <f t="shared" si="57"/>
        <v>Isingiro</v>
      </c>
      <c r="H1006" s="82" t="s">
        <v>1309</v>
      </c>
    </row>
    <row r="1007" spans="1:8">
      <c r="A1007" s="81">
        <v>1468</v>
      </c>
      <c r="B1007" s="82" t="s">
        <v>41</v>
      </c>
      <c r="C1007" s="82" t="s">
        <v>41</v>
      </c>
      <c r="D1007" s="82" t="s">
        <v>2806</v>
      </c>
      <c r="E1007" s="82"/>
      <c r="F1007" s="75" t="str">
        <f t="shared" si="63"/>
        <v>Masheruka</v>
      </c>
      <c r="G1007" s="75" t="str">
        <f t="shared" si="57"/>
        <v>Sheema</v>
      </c>
      <c r="H1007" s="82" t="s">
        <v>2806</v>
      </c>
    </row>
    <row r="1008" spans="1:8">
      <c r="A1008" s="81">
        <v>1013</v>
      </c>
      <c r="B1008" s="82" t="s">
        <v>1081</v>
      </c>
      <c r="C1008" s="82" t="s">
        <v>1081</v>
      </c>
      <c r="D1008" s="82" t="s">
        <v>1094</v>
      </c>
      <c r="E1008" s="82"/>
      <c r="F1008" s="75" t="str">
        <f t="shared" si="63"/>
        <v>Masiira</v>
      </c>
      <c r="G1008" s="75" t="str">
        <f t="shared" si="57"/>
        <v>Bulambuli</v>
      </c>
      <c r="H1008" s="82" t="s">
        <v>1094</v>
      </c>
    </row>
    <row r="1009" spans="1:8">
      <c r="A1009" s="81">
        <v>1419</v>
      </c>
      <c r="B1009" s="82" t="s">
        <v>2085</v>
      </c>
      <c r="C1009" s="82" t="s">
        <v>2086</v>
      </c>
      <c r="D1009" s="82" t="s">
        <v>2094</v>
      </c>
      <c r="E1009" s="82"/>
      <c r="F1009" s="75" t="str">
        <f t="shared" si="63"/>
        <v>Masindi Port</v>
      </c>
      <c r="G1009" s="75" t="str">
        <f t="shared" si="57"/>
        <v>Kiryandongo</v>
      </c>
      <c r="H1009" s="82" t="s">
        <v>2094</v>
      </c>
    </row>
    <row r="1010" spans="1:8">
      <c r="A1010" s="81">
        <v>695</v>
      </c>
      <c r="B1010" s="82" t="s">
        <v>1156</v>
      </c>
      <c r="C1010" s="82" t="s">
        <v>1157</v>
      </c>
      <c r="D1010" s="82" t="s">
        <v>1171</v>
      </c>
      <c r="E1010" s="82"/>
      <c r="F1010" s="75" t="str">
        <f t="shared" si="63"/>
        <v>Masinya</v>
      </c>
      <c r="G1010" s="75" t="str">
        <f t="shared" si="57"/>
        <v>Busia</v>
      </c>
      <c r="H1010" s="82" t="s">
        <v>1171</v>
      </c>
    </row>
    <row r="1011" spans="1:8">
      <c r="A1011" s="81">
        <v>537</v>
      </c>
      <c r="B1011" s="82" t="s">
        <v>2879</v>
      </c>
      <c r="C1011" s="82" t="s">
        <v>2882</v>
      </c>
      <c r="D1011" s="82" t="s">
        <v>2969</v>
      </c>
      <c r="E1011" s="82"/>
      <c r="F1011" s="75" t="str">
        <f t="shared" si="63"/>
        <v>Masuliita</v>
      </c>
      <c r="G1011" s="75" t="str">
        <f t="shared" si="57"/>
        <v>Wakiso</v>
      </c>
      <c r="H1011" s="82" t="s">
        <v>2969</v>
      </c>
    </row>
    <row r="1012" spans="1:8">
      <c r="A1012" s="81">
        <v>538</v>
      </c>
      <c r="B1012" s="82" t="s">
        <v>2879</v>
      </c>
      <c r="C1012" s="82" t="s">
        <v>2882</v>
      </c>
      <c r="D1012" s="82" t="s">
        <v>2970</v>
      </c>
      <c r="E1012" s="82"/>
      <c r="F1012" s="75" t="str">
        <f t="shared" si="63"/>
        <v>Masulita Town Council</v>
      </c>
      <c r="G1012" s="75" t="str">
        <f t="shared" si="57"/>
        <v>Wakiso</v>
      </c>
      <c r="H1012" s="82" t="s">
        <v>2970</v>
      </c>
    </row>
    <row r="1013" spans="1:8">
      <c r="A1013" s="81">
        <v>1212</v>
      </c>
      <c r="B1013" s="82" t="s">
        <v>2031</v>
      </c>
      <c r="C1013" s="82" t="s">
        <v>2032</v>
      </c>
      <c r="D1013" s="82" t="s">
        <v>2037</v>
      </c>
      <c r="E1013" s="82"/>
      <c r="F1013" s="75" t="str">
        <f t="shared" si="63"/>
        <v>Matale</v>
      </c>
      <c r="G1013" s="75" t="str">
        <f t="shared" si="57"/>
        <v>Kibaale</v>
      </c>
      <c r="H1013" s="82" t="s">
        <v>2037</v>
      </c>
    </row>
    <row r="1014" spans="1:8">
      <c r="A1014" s="81">
        <v>277</v>
      </c>
      <c r="B1014" s="82" t="s">
        <v>2606</v>
      </c>
      <c r="C1014" s="82" t="s">
        <v>2607</v>
      </c>
      <c r="D1014" s="82" t="s">
        <v>2612</v>
      </c>
      <c r="E1014" s="82"/>
      <c r="F1014" s="75" t="str">
        <f t="shared" si="63"/>
        <v>Matany</v>
      </c>
      <c r="G1014" s="75" t="str">
        <f t="shared" si="57"/>
        <v>Napak</v>
      </c>
      <c r="H1014" s="82" t="s">
        <v>2612</v>
      </c>
    </row>
    <row r="1015" spans="1:8">
      <c r="A1015" s="81">
        <v>519</v>
      </c>
      <c r="B1015" s="82" t="s">
        <v>2844</v>
      </c>
      <c r="C1015" s="82" t="s">
        <v>2845</v>
      </c>
      <c r="D1015" s="82" t="s">
        <v>2848</v>
      </c>
      <c r="E1015" s="82"/>
      <c r="F1015" s="75" t="str">
        <f t="shared" si="63"/>
        <v>Mateete</v>
      </c>
      <c r="G1015" s="75" t="str">
        <f t="shared" si="57"/>
        <v>Ssembabule</v>
      </c>
      <c r="H1015" s="82" t="s">
        <v>2848</v>
      </c>
    </row>
    <row r="1016" spans="1:8">
      <c r="A1016" s="81">
        <v>520</v>
      </c>
      <c r="B1016" s="82" t="s">
        <v>2844</v>
      </c>
      <c r="C1016" s="82" t="s">
        <v>2845</v>
      </c>
      <c r="D1016" s="82" t="s">
        <v>2849</v>
      </c>
      <c r="E1016" s="82"/>
      <c r="F1016" s="75" t="str">
        <f t="shared" si="63"/>
        <v>Mateete Town Council</v>
      </c>
      <c r="G1016" s="75" t="str">
        <f t="shared" si="57"/>
        <v>Ssembabule</v>
      </c>
      <c r="H1016" s="82" t="s">
        <v>2849</v>
      </c>
    </row>
    <row r="1017" spans="1:8">
      <c r="A1017" s="81">
        <v>1437</v>
      </c>
      <c r="B1017" s="82" t="s">
        <v>46</v>
      </c>
      <c r="C1017" s="82" t="s">
        <v>2405</v>
      </c>
      <c r="D1017" s="82" t="s">
        <v>2411</v>
      </c>
      <c r="E1017" s="82"/>
      <c r="F1017" s="75" t="str">
        <f t="shared" si="63"/>
        <v>Mayanga</v>
      </c>
      <c r="G1017" s="75" t="str">
        <f t="shared" si="57"/>
        <v>Mitooma</v>
      </c>
      <c r="H1017" s="82" t="s">
        <v>2411</v>
      </c>
    </row>
    <row r="1018" spans="1:8">
      <c r="A1018" s="81">
        <v>861</v>
      </c>
      <c r="B1018" s="82" t="s">
        <v>2346</v>
      </c>
      <c r="C1018" s="82" t="s">
        <v>2347</v>
      </c>
      <c r="D1018" s="82" t="s">
        <v>2358</v>
      </c>
      <c r="E1018" s="82"/>
      <c r="F1018" s="75" t="str">
        <f t="shared" si="63"/>
        <v>Mayuge Town Council</v>
      </c>
      <c r="G1018" s="75" t="str">
        <f t="shared" si="57"/>
        <v>Mayuge</v>
      </c>
      <c r="H1018" s="82" t="s">
        <v>2358</v>
      </c>
    </row>
    <row r="1019" spans="1:8">
      <c r="A1019" s="81">
        <v>1159</v>
      </c>
      <c r="B1019" s="82" t="s">
        <v>1353</v>
      </c>
      <c r="C1019" s="82" t="s">
        <v>1354</v>
      </c>
      <c r="D1019" s="82" t="s">
        <v>1363</v>
      </c>
      <c r="E1019" s="82"/>
      <c r="F1019" s="75" t="str">
        <f t="shared" si="63"/>
        <v>Maziba</v>
      </c>
      <c r="G1019" s="75" t="str">
        <f t="shared" si="57"/>
        <v>Kabale</v>
      </c>
      <c r="H1019" s="82" t="s">
        <v>1363</v>
      </c>
    </row>
    <row r="1020" spans="1:8">
      <c r="A1020" s="81">
        <v>958</v>
      </c>
      <c r="B1020" s="82" t="s">
        <v>1174</v>
      </c>
      <c r="C1020" s="82" t="s">
        <v>1175</v>
      </c>
      <c r="D1020" s="82" t="s">
        <v>1183</v>
      </c>
      <c r="E1020" s="82"/>
      <c r="F1020" s="75" t="str">
        <f t="shared" si="63"/>
        <v>Mazimasa</v>
      </c>
      <c r="G1020" s="75" t="str">
        <f t="shared" si="57"/>
        <v>Butaleja</v>
      </c>
      <c r="H1020" s="82" t="s">
        <v>1183</v>
      </c>
    </row>
    <row r="1021" spans="1:8">
      <c r="A1021" s="81">
        <v>324</v>
      </c>
      <c r="B1021" s="82" t="s">
        <v>1431</v>
      </c>
      <c r="C1021" s="82" t="s">
        <v>1432</v>
      </c>
      <c r="D1021" s="82" t="s">
        <v>1436</v>
      </c>
      <c r="E1021" s="82"/>
      <c r="F1021" s="75" t="str">
        <f t="shared" si="63"/>
        <v>Mazinga</v>
      </c>
      <c r="G1021" s="75" t="str">
        <f t="shared" si="57"/>
        <v>Kalangala</v>
      </c>
      <c r="H1021" s="82" t="s">
        <v>1436</v>
      </c>
    </row>
    <row r="1022" spans="1:8">
      <c r="A1022" s="81">
        <v>1368</v>
      </c>
      <c r="B1022" s="82" t="s">
        <v>48</v>
      </c>
      <c r="C1022" s="82" t="s">
        <v>1299</v>
      </c>
      <c r="D1022" s="82" t="s">
        <v>1310</v>
      </c>
      <c r="E1022" s="82"/>
      <c r="F1022" s="75" t="str">
        <f t="shared" si="63"/>
        <v>Mbaare</v>
      </c>
      <c r="G1022" s="75" t="str">
        <f t="shared" si="57"/>
        <v>Isingiro</v>
      </c>
      <c r="H1022" s="82" t="s">
        <v>1310</v>
      </c>
    </row>
    <row r="1023" spans="1:8">
      <c r="A1023" s="81">
        <v>734</v>
      </c>
      <c r="B1023" s="82" t="s">
        <v>1911</v>
      </c>
      <c r="C1023" s="82" t="s">
        <v>1914</v>
      </c>
      <c r="D1023" s="82" t="s">
        <v>1920</v>
      </c>
      <c r="E1023" s="82"/>
      <c r="F1023" s="75" t="str">
        <f t="shared" si="63"/>
        <v>Mbulamuti</v>
      </c>
      <c r="G1023" s="75" t="str">
        <f t="shared" si="57"/>
        <v>Kamuli</v>
      </c>
      <c r="H1023" s="82" t="s">
        <v>1920</v>
      </c>
    </row>
    <row r="1024" spans="1:8">
      <c r="A1024" s="81">
        <v>820</v>
      </c>
      <c r="B1024" s="82" t="s">
        <v>2856</v>
      </c>
      <c r="C1024" s="82" t="s">
        <v>2856</v>
      </c>
      <c r="D1024" s="82" t="s">
        <v>2863</v>
      </c>
      <c r="E1024" s="82"/>
      <c r="F1024" s="75" t="str">
        <f t="shared" si="63"/>
        <v>Mella</v>
      </c>
      <c r="G1024" s="75" t="str">
        <f t="shared" si="57"/>
        <v>Tororo</v>
      </c>
      <c r="H1024" s="82" t="s">
        <v>2863</v>
      </c>
    </row>
    <row r="1025" spans="1:8">
      <c r="A1025" s="81">
        <v>539</v>
      </c>
      <c r="B1025" s="82" t="s">
        <v>2879</v>
      </c>
      <c r="C1025" s="82" t="s">
        <v>2882</v>
      </c>
      <c r="D1025" s="82" t="s">
        <v>2971</v>
      </c>
      <c r="E1025" s="82"/>
      <c r="F1025" s="75" t="str">
        <f t="shared" si="63"/>
        <v>Mende</v>
      </c>
      <c r="G1025" s="75" t="str">
        <f t="shared" si="57"/>
        <v>Wakiso</v>
      </c>
      <c r="H1025" s="82" t="s">
        <v>2971</v>
      </c>
    </row>
    <row r="1026" spans="1:8">
      <c r="A1026" s="81">
        <v>821</v>
      </c>
      <c r="B1026" s="82" t="s">
        <v>2856</v>
      </c>
      <c r="C1026" s="82" t="s">
        <v>2856</v>
      </c>
      <c r="D1026" s="82" t="s">
        <v>2864</v>
      </c>
      <c r="E1026" s="82"/>
      <c r="F1026" s="75" t="str">
        <f t="shared" si="63"/>
        <v>Merikit</v>
      </c>
      <c r="G1026" s="75" t="str">
        <f t="shared" si="57"/>
        <v>Tororo</v>
      </c>
      <c r="H1026" s="82" t="s">
        <v>2864</v>
      </c>
    </row>
    <row r="1027" spans="1:8">
      <c r="A1027" s="81">
        <v>104</v>
      </c>
      <c r="B1027" s="82" t="s">
        <v>2449</v>
      </c>
      <c r="C1027" s="82" t="s">
        <v>2452</v>
      </c>
      <c r="D1027" s="82" t="s">
        <v>2457</v>
      </c>
      <c r="E1027" s="82"/>
      <c r="F1027" s="75" t="str">
        <f t="shared" si="63"/>
        <v>Metu</v>
      </c>
      <c r="G1027" s="75" t="str">
        <f t="shared" si="57"/>
        <v>Moyo</v>
      </c>
      <c r="H1027" s="82" t="s">
        <v>2457</v>
      </c>
    </row>
    <row r="1028" spans="1:8">
      <c r="A1028" s="81">
        <v>203</v>
      </c>
      <c r="B1028" s="82" t="s">
        <v>2126</v>
      </c>
      <c r="C1028" s="82" t="s">
        <v>2126</v>
      </c>
      <c r="D1028" s="82" t="s">
        <v>2132</v>
      </c>
      <c r="E1028" s="82"/>
      <c r="F1028" s="75" t="str">
        <f t="shared" si="63"/>
        <v>Midia</v>
      </c>
      <c r="G1028" s="75" t="str">
        <f t="shared" si="57"/>
        <v>Koboko</v>
      </c>
      <c r="H1028" s="82" t="s">
        <v>2132</v>
      </c>
    </row>
    <row r="1029" spans="1:8">
      <c r="A1029" s="81">
        <v>147</v>
      </c>
      <c r="B1029" s="82" t="s">
        <v>3072</v>
      </c>
      <c r="C1029" s="82" t="s">
        <v>3073</v>
      </c>
      <c r="D1029" s="82" t="s">
        <v>3082</v>
      </c>
      <c r="E1029" s="82"/>
      <c r="F1029" s="75" t="str">
        <f t="shared" si="63"/>
        <v>Midigo</v>
      </c>
      <c r="G1029" s="75" t="str">
        <f t="shared" si="57"/>
        <v>Yumbe</v>
      </c>
      <c r="H1029" s="82" t="s">
        <v>3082</v>
      </c>
    </row>
    <row r="1030" spans="1:8">
      <c r="A1030" s="81">
        <v>499</v>
      </c>
      <c r="B1030" s="82" t="s">
        <v>2555</v>
      </c>
      <c r="C1030" s="82" t="s">
        <v>2341</v>
      </c>
      <c r="D1030" s="82" t="s">
        <v>2561</v>
      </c>
      <c r="E1030" s="82"/>
      <c r="F1030" s="75" t="str">
        <f t="shared" si="63"/>
        <v>Migeera Town Council</v>
      </c>
      <c r="G1030" s="75" t="str">
        <f t="shared" si="57"/>
        <v>Nakasongola</v>
      </c>
      <c r="H1030" s="82" t="s">
        <v>2561</v>
      </c>
    </row>
    <row r="1031" spans="1:8">
      <c r="A1031" s="81">
        <v>1238</v>
      </c>
      <c r="B1031" s="82" t="s">
        <v>2337</v>
      </c>
      <c r="C1031" s="82" t="s">
        <v>2341</v>
      </c>
      <c r="D1031" s="82" t="s">
        <v>2343</v>
      </c>
      <c r="E1031" s="82"/>
      <c r="F1031" s="75" t="str">
        <f t="shared" si="63"/>
        <v>Miirya</v>
      </c>
      <c r="G1031" s="75" t="str">
        <f t="shared" si="57"/>
        <v>Masindi</v>
      </c>
      <c r="H1031" s="82" t="s">
        <v>2343</v>
      </c>
    </row>
    <row r="1032" spans="1:8">
      <c r="A1032" s="81">
        <v>521</v>
      </c>
      <c r="B1032" s="82" t="s">
        <v>2844</v>
      </c>
      <c r="C1032" s="82" t="s">
        <v>2845</v>
      </c>
      <c r="D1032" s="82" t="s">
        <v>2850</v>
      </c>
      <c r="E1032" s="82"/>
      <c r="F1032" s="75" t="str">
        <f t="shared" si="63"/>
        <v>Mijwala</v>
      </c>
      <c r="G1032" s="75" t="str">
        <f t="shared" si="57"/>
        <v>Ssembabule</v>
      </c>
      <c r="H1032" s="82" t="s">
        <v>2850</v>
      </c>
    </row>
    <row r="1033" spans="1:8">
      <c r="A1033" s="81">
        <v>222</v>
      </c>
      <c r="B1033" s="82" t="s">
        <v>2686</v>
      </c>
      <c r="C1033" s="82" t="s">
        <v>2686</v>
      </c>
      <c r="D1033" s="82" t="s">
        <v>2694</v>
      </c>
      <c r="E1033" s="82"/>
      <c r="F1033" s="75" t="str">
        <f t="shared" si="63"/>
        <v>Minakulu</v>
      </c>
      <c r="G1033" s="75" t="str">
        <f t="shared" si="57"/>
        <v>Oyam</v>
      </c>
      <c r="H1033" s="82" t="s">
        <v>2694</v>
      </c>
    </row>
    <row r="1034" spans="1:8">
      <c r="A1034" s="81">
        <v>1119</v>
      </c>
      <c r="B1034" s="82" t="s">
        <v>1108</v>
      </c>
      <c r="C1034" s="82" t="s">
        <v>1109</v>
      </c>
      <c r="D1034" s="82" t="s">
        <v>1122</v>
      </c>
      <c r="E1034" s="82"/>
      <c r="F1034" s="75" t="str">
        <f t="shared" si="63"/>
        <v>Mirambi</v>
      </c>
      <c r="G1034" s="75" t="str">
        <f t="shared" ref="G1034:G1097" si="64">B1034</f>
        <v>Bundibugyo</v>
      </c>
      <c r="H1034" s="82" t="s">
        <v>1122</v>
      </c>
    </row>
    <row r="1035" spans="1:8">
      <c r="A1035" s="81">
        <v>1438</v>
      </c>
      <c r="B1035" s="82" t="s">
        <v>46</v>
      </c>
      <c r="C1035" s="82" t="s">
        <v>2405</v>
      </c>
      <c r="D1035" s="82" t="s">
        <v>46</v>
      </c>
      <c r="E1035" s="82"/>
      <c r="F1035" s="75" t="str">
        <f t="shared" si="63"/>
        <v>Mitooma</v>
      </c>
      <c r="G1035" s="75" t="str">
        <f t="shared" si="64"/>
        <v>Mitooma</v>
      </c>
      <c r="H1035" s="82" t="s">
        <v>46</v>
      </c>
    </row>
    <row r="1036" spans="1:8">
      <c r="A1036" s="81">
        <v>1439</v>
      </c>
      <c r="B1036" s="82" t="s">
        <v>46</v>
      </c>
      <c r="C1036" s="82" t="s">
        <v>2405</v>
      </c>
      <c r="D1036" s="82" t="s">
        <v>2412</v>
      </c>
      <c r="E1036" s="82"/>
      <c r="F1036" s="75" t="str">
        <f t="shared" si="63"/>
        <v>Mitooma Town Council</v>
      </c>
      <c r="G1036" s="75" t="str">
        <f t="shared" si="64"/>
        <v>Mitooma</v>
      </c>
      <c r="H1036" s="82" t="s">
        <v>2412</v>
      </c>
    </row>
    <row r="1037" spans="1:8">
      <c r="A1037" s="81">
        <v>822</v>
      </c>
      <c r="B1037" s="82" t="s">
        <v>2856</v>
      </c>
      <c r="C1037" s="82" t="s">
        <v>2856</v>
      </c>
      <c r="D1037" s="82" t="s">
        <v>2865</v>
      </c>
      <c r="E1037" s="82"/>
      <c r="F1037" s="75" t="str">
        <f t="shared" si="63"/>
        <v>Molo</v>
      </c>
      <c r="G1037" s="75" t="str">
        <f t="shared" si="64"/>
        <v>Tororo</v>
      </c>
      <c r="H1037" s="82" t="s">
        <v>2865</v>
      </c>
    </row>
    <row r="1038" spans="1:8">
      <c r="A1038" s="81">
        <v>119</v>
      </c>
      <c r="B1038" s="82" t="s">
        <v>2526</v>
      </c>
      <c r="C1038" s="82" t="s">
        <v>2527</v>
      </c>
      <c r="D1038" s="82" t="s">
        <v>2532</v>
      </c>
      <c r="E1038" s="82"/>
      <c r="F1038" s="75" t="str">
        <f t="shared" si="63"/>
        <v>Moruita</v>
      </c>
      <c r="G1038" s="75" t="str">
        <f t="shared" si="64"/>
        <v>Nakapiripirit</v>
      </c>
      <c r="H1038" s="82" t="s">
        <v>2532</v>
      </c>
    </row>
    <row r="1039" spans="1:8">
      <c r="A1039" s="81">
        <v>155</v>
      </c>
      <c r="B1039" s="82" t="s">
        <v>855</v>
      </c>
      <c r="C1039" s="82" t="s">
        <v>856</v>
      </c>
      <c r="D1039" s="82" t="s">
        <v>860</v>
      </c>
      <c r="E1039" s="82"/>
      <c r="F1039" s="75" t="str">
        <f t="shared" si="63"/>
        <v>Morulem</v>
      </c>
      <c r="G1039" s="75" t="str">
        <f t="shared" si="64"/>
        <v>Abim</v>
      </c>
      <c r="H1039" s="82" t="s">
        <v>860</v>
      </c>
    </row>
    <row r="1040" spans="1:8">
      <c r="A1040" s="81">
        <v>892</v>
      </c>
      <c r="B1040" s="82" t="s">
        <v>921</v>
      </c>
      <c r="C1040" s="82" t="s">
        <v>921</v>
      </c>
      <c r="D1040" s="82" t="s">
        <v>930</v>
      </c>
      <c r="E1040" s="82"/>
      <c r="F1040" s="75" t="str">
        <f t="shared" si="63"/>
        <v>Morungatuny</v>
      </c>
      <c r="G1040" s="75" t="str">
        <f t="shared" si="64"/>
        <v>Amuria</v>
      </c>
      <c r="H1040" s="82" t="s">
        <v>930</v>
      </c>
    </row>
    <row r="1041" spans="1:8">
      <c r="A1041" s="81">
        <v>105</v>
      </c>
      <c r="B1041" s="82" t="s">
        <v>2449</v>
      </c>
      <c r="C1041" s="82" t="s">
        <v>2452</v>
      </c>
      <c r="D1041" s="82" t="s">
        <v>2449</v>
      </c>
      <c r="E1041" s="82"/>
      <c r="F1041" s="75" t="str">
        <f t="shared" si="63"/>
        <v>Moyo</v>
      </c>
      <c r="G1041" s="75" t="str">
        <f t="shared" si="64"/>
        <v>Moyo</v>
      </c>
      <c r="H1041" s="82" t="s">
        <v>2449</v>
      </c>
    </row>
    <row r="1042" spans="1:8">
      <c r="A1042" s="81">
        <v>106</v>
      </c>
      <c r="B1042" s="82" t="s">
        <v>2449</v>
      </c>
      <c r="C1042" s="82" t="s">
        <v>2452</v>
      </c>
      <c r="D1042" s="82" t="s">
        <v>2458</v>
      </c>
      <c r="E1042" s="82"/>
      <c r="F1042" s="75" t="str">
        <f t="shared" si="63"/>
        <v>Moyo Town Council</v>
      </c>
      <c r="G1042" s="75" t="str">
        <f t="shared" si="64"/>
        <v>Moyo</v>
      </c>
      <c r="H1042" s="82" t="s">
        <v>2458</v>
      </c>
    </row>
    <row r="1043" spans="1:8">
      <c r="A1043" s="81">
        <v>1044</v>
      </c>
      <c r="B1043" s="82" t="s">
        <v>2156</v>
      </c>
      <c r="C1043" s="82" t="s">
        <v>2156</v>
      </c>
      <c r="D1043" s="82" t="s">
        <v>2166</v>
      </c>
      <c r="E1043" s="82"/>
      <c r="F1043" s="75" t="str">
        <f t="shared" si="63"/>
        <v>Moyok</v>
      </c>
      <c r="G1043" s="75" t="str">
        <f t="shared" si="64"/>
        <v>Kween</v>
      </c>
      <c r="H1043" s="82" t="s">
        <v>2166</v>
      </c>
    </row>
    <row r="1044" spans="1:8">
      <c r="A1044" s="81">
        <v>1426</v>
      </c>
      <c r="B1044" s="82" t="s">
        <v>2187</v>
      </c>
      <c r="C1044" s="82" t="s">
        <v>2188</v>
      </c>
      <c r="D1044" s="82" t="s">
        <v>2194</v>
      </c>
      <c r="E1044" s="82"/>
      <c r="F1044" s="75" t="str">
        <f t="shared" si="63"/>
        <v>Mpara</v>
      </c>
      <c r="G1044" s="75" t="str">
        <f t="shared" si="64"/>
        <v>Kyegegwa</v>
      </c>
      <c r="H1044" s="82" t="s">
        <v>2194</v>
      </c>
    </row>
    <row r="1045" spans="1:8" ht="25.5">
      <c r="A1045" s="81">
        <v>1148</v>
      </c>
      <c r="B1045" s="82" t="s">
        <v>1248</v>
      </c>
      <c r="C1045" s="83" t="s">
        <v>1254</v>
      </c>
      <c r="D1045" s="82" t="s">
        <v>3221</v>
      </c>
      <c r="E1045" s="82"/>
      <c r="F1045" s="76" t="str">
        <f>VLOOKUP(C1045,[2]Municipalities!$C$9:$F$1522,4,FALSE)</f>
        <v>Hoima Municipality</v>
      </c>
      <c r="G1045" s="75" t="str">
        <f t="shared" si="64"/>
        <v>Hoima</v>
      </c>
      <c r="H1045" s="82" t="s">
        <v>3221</v>
      </c>
    </row>
    <row r="1046" spans="1:8">
      <c r="A1046" s="81">
        <v>1531</v>
      </c>
      <c r="B1046" s="82" t="s">
        <v>3184</v>
      </c>
      <c r="C1046" s="82" t="s">
        <v>2767</v>
      </c>
      <c r="D1046" s="82" t="s">
        <v>3222</v>
      </c>
      <c r="E1046" s="82"/>
      <c r="F1046" s="75" t="str">
        <f t="shared" si="63"/>
        <v>Mparo Town Council</v>
      </c>
      <c r="G1046" s="75" t="str">
        <f t="shared" si="64"/>
        <v>Rukiga</v>
      </c>
      <c r="H1046" s="82" t="s">
        <v>3222</v>
      </c>
    </row>
    <row r="1047" spans="1:8">
      <c r="A1047" s="81">
        <v>1501</v>
      </c>
      <c r="B1047" s="82" t="s">
        <v>1417</v>
      </c>
      <c r="C1047" s="82" t="s">
        <v>1418</v>
      </c>
      <c r="D1047" s="82" t="s">
        <v>1427</v>
      </c>
      <c r="E1047" s="82"/>
      <c r="F1047" s="75" t="str">
        <f t="shared" si="63"/>
        <v>Mpasaana</v>
      </c>
      <c r="G1047" s="75" t="str">
        <f t="shared" si="64"/>
        <v>Kakumiro</v>
      </c>
      <c r="H1047" s="82" t="s">
        <v>1427</v>
      </c>
    </row>
    <row r="1048" spans="1:8">
      <c r="A1048" s="81">
        <v>480</v>
      </c>
      <c r="B1048" s="82" t="s">
        <v>2500</v>
      </c>
      <c r="C1048" s="82" t="s">
        <v>2500</v>
      </c>
      <c r="D1048" s="82" t="s">
        <v>2505</v>
      </c>
      <c r="E1048" s="82"/>
      <c r="F1048" s="75" t="str">
        <f t="shared" si="63"/>
        <v>Mpatta</v>
      </c>
      <c r="G1048" s="75" t="str">
        <f t="shared" si="64"/>
        <v>Mukono</v>
      </c>
      <c r="H1048" s="82" t="s">
        <v>2505</v>
      </c>
    </row>
    <row r="1049" spans="1:8">
      <c r="A1049" s="81">
        <v>1488</v>
      </c>
      <c r="B1049" s="82" t="s">
        <v>1398</v>
      </c>
      <c r="C1049" s="82" t="s">
        <v>1399</v>
      </c>
      <c r="D1049" s="82" t="s">
        <v>1409</v>
      </c>
      <c r="E1049" s="82"/>
      <c r="F1049" s="75" t="str">
        <f t="shared" si="63"/>
        <v>Mpeefu</v>
      </c>
      <c r="G1049" s="75" t="str">
        <f t="shared" si="64"/>
        <v>Kagadi</v>
      </c>
      <c r="H1049" s="82" t="s">
        <v>1409</v>
      </c>
    </row>
    <row r="1050" spans="1:8">
      <c r="A1050" s="81">
        <v>630</v>
      </c>
      <c r="B1050" s="82" t="s">
        <v>1233</v>
      </c>
      <c r="C1050" s="82" t="s">
        <v>1233</v>
      </c>
      <c r="D1050" s="82" t="s">
        <v>1237</v>
      </c>
      <c r="E1050" s="82"/>
      <c r="F1050" s="75" t="str">
        <f t="shared" si="63"/>
        <v>Mpenja</v>
      </c>
      <c r="G1050" s="75" t="str">
        <f t="shared" si="64"/>
        <v>Gomba</v>
      </c>
      <c r="H1050" s="82" t="s">
        <v>1237</v>
      </c>
    </row>
    <row r="1051" spans="1:8">
      <c r="A1051" s="81">
        <v>455</v>
      </c>
      <c r="B1051" s="82" t="s">
        <v>2460</v>
      </c>
      <c r="C1051" s="82" t="s">
        <v>2461</v>
      </c>
      <c r="D1051" s="82" t="s">
        <v>2465</v>
      </c>
      <c r="E1051" s="82"/>
      <c r="F1051" s="75" t="str">
        <f t="shared" si="63"/>
        <v>Mpigi Town Council</v>
      </c>
      <c r="G1051" s="75" t="str">
        <f t="shared" si="64"/>
        <v>Mpigi</v>
      </c>
      <c r="H1051" s="82" t="s">
        <v>2465</v>
      </c>
    </row>
    <row r="1052" spans="1:8">
      <c r="A1052" s="81">
        <v>1187</v>
      </c>
      <c r="B1052" s="82" t="s">
        <v>36</v>
      </c>
      <c r="C1052" s="82" t="s">
        <v>1111</v>
      </c>
      <c r="D1052" s="82" t="s">
        <v>2000</v>
      </c>
      <c r="E1052" s="82"/>
      <c r="F1052" s="75" t="str">
        <f t="shared" si="63"/>
        <v>Mpondwe-Lhubiriha</v>
      </c>
      <c r="G1052" s="75" t="str">
        <f t="shared" si="64"/>
        <v>Kasese</v>
      </c>
      <c r="H1052" s="82" t="s">
        <v>2000</v>
      </c>
    </row>
    <row r="1053" spans="1:8">
      <c r="A1053" s="81">
        <v>564</v>
      </c>
      <c r="B1053" s="82" t="s">
        <v>2286</v>
      </c>
      <c r="C1053" s="82" t="s">
        <v>2287</v>
      </c>
      <c r="D1053" s="86" t="s">
        <v>3223</v>
      </c>
      <c r="E1053" s="82"/>
      <c r="F1053" s="75" t="str">
        <f t="shared" ref="F1053" si="65">D1053&amp;"-"&amp;B1053</f>
        <v>Mpumudde-Lyantonde</v>
      </c>
      <c r="G1053" s="75" t="str">
        <f t="shared" si="64"/>
        <v>Lyantonde</v>
      </c>
      <c r="H1053" s="86" t="s">
        <v>3223</v>
      </c>
    </row>
    <row r="1054" spans="1:8">
      <c r="A1054" s="81">
        <v>718</v>
      </c>
      <c r="B1054" s="82" t="s">
        <v>1320</v>
      </c>
      <c r="C1054" s="83" t="s">
        <v>1329</v>
      </c>
      <c r="D1054" s="86" t="s">
        <v>3224</v>
      </c>
      <c r="E1054" s="82"/>
      <c r="F1054" s="76" t="str">
        <f>VLOOKUP(C1054,[2]Municipalities!$C$9:$F$1522,4,FALSE)</f>
        <v>Jinja Municipality</v>
      </c>
      <c r="G1054" s="75" t="str">
        <f t="shared" si="64"/>
        <v>Jinja</v>
      </c>
      <c r="H1054" s="86" t="s">
        <v>3224</v>
      </c>
    </row>
    <row r="1055" spans="1:8">
      <c r="A1055" s="81">
        <v>481</v>
      </c>
      <c r="B1055" s="82" t="s">
        <v>2500</v>
      </c>
      <c r="C1055" s="82" t="s">
        <v>2500</v>
      </c>
      <c r="D1055" s="82" t="s">
        <v>2506</v>
      </c>
      <c r="E1055" s="82"/>
      <c r="F1055" s="75" t="str">
        <f t="shared" si="63"/>
        <v>Mpunge</v>
      </c>
      <c r="G1055" s="75" t="str">
        <f t="shared" si="64"/>
        <v>Mukono</v>
      </c>
      <c r="H1055" s="82" t="s">
        <v>2506</v>
      </c>
    </row>
    <row r="1056" spans="1:8">
      <c r="A1056" s="81">
        <v>1324</v>
      </c>
      <c r="B1056" s="82" t="s">
        <v>1945</v>
      </c>
      <c r="C1056" s="82" t="s">
        <v>1946</v>
      </c>
      <c r="D1056" s="82" t="s">
        <v>1957</v>
      </c>
      <c r="E1056" s="82"/>
      <c r="F1056" s="75" t="str">
        <f t="shared" si="63"/>
        <v>Mpungu</v>
      </c>
      <c r="G1056" s="75" t="str">
        <f t="shared" si="64"/>
        <v>Kanungu</v>
      </c>
      <c r="H1056" s="82" t="s">
        <v>1957</v>
      </c>
    </row>
    <row r="1057" spans="1:8">
      <c r="A1057" s="81">
        <v>862</v>
      </c>
      <c r="B1057" s="82" t="s">
        <v>2346</v>
      </c>
      <c r="C1057" s="82" t="s">
        <v>2347</v>
      </c>
      <c r="D1057" s="82" t="s">
        <v>2359</v>
      </c>
      <c r="E1057" s="82"/>
      <c r="F1057" s="75" t="str">
        <f t="shared" si="63"/>
        <v>Mpungwe</v>
      </c>
      <c r="G1057" s="75" t="str">
        <f t="shared" si="64"/>
        <v>Mayuge</v>
      </c>
      <c r="H1057" s="82" t="s">
        <v>2359</v>
      </c>
    </row>
    <row r="1058" spans="1:8">
      <c r="A1058" s="81">
        <v>63</v>
      </c>
      <c r="B1058" s="82" t="s">
        <v>2114</v>
      </c>
      <c r="C1058" s="82" t="s">
        <v>2115</v>
      </c>
      <c r="D1058" s="82" t="s">
        <v>2121</v>
      </c>
      <c r="E1058" s="82"/>
      <c r="F1058" s="75" t="str">
        <f t="shared" si="63"/>
        <v>Mucwini</v>
      </c>
      <c r="G1058" s="75" t="str">
        <f t="shared" si="64"/>
        <v>Kitgum</v>
      </c>
      <c r="H1058" s="82" t="s">
        <v>2121</v>
      </c>
    </row>
    <row r="1059" spans="1:8">
      <c r="A1059" s="81">
        <v>456</v>
      </c>
      <c r="B1059" s="82" t="s">
        <v>2460</v>
      </c>
      <c r="C1059" s="82" t="s">
        <v>2461</v>
      </c>
      <c r="D1059" s="82" t="s">
        <v>2470</v>
      </c>
      <c r="E1059" s="82"/>
      <c r="F1059" s="75" t="str">
        <f t="shared" si="63"/>
        <v>Muduuma</v>
      </c>
      <c r="G1059" s="75" t="str">
        <f t="shared" si="64"/>
        <v>Mpigi</v>
      </c>
      <c r="H1059" s="82" t="s">
        <v>2470</v>
      </c>
    </row>
    <row r="1060" spans="1:8">
      <c r="A1060" s="81">
        <v>1213</v>
      </c>
      <c r="B1060" s="82" t="s">
        <v>2031</v>
      </c>
      <c r="C1060" s="82" t="s">
        <v>2032</v>
      </c>
      <c r="D1060" s="82" t="s">
        <v>2038</v>
      </c>
      <c r="E1060" s="82"/>
      <c r="F1060" s="75" t="str">
        <f t="shared" si="63"/>
        <v>Mugarama</v>
      </c>
      <c r="G1060" s="75" t="str">
        <f t="shared" si="64"/>
        <v>Kibaale</v>
      </c>
      <c r="H1060" s="82" t="s">
        <v>2038</v>
      </c>
    </row>
    <row r="1061" spans="1:8">
      <c r="A1061" s="81">
        <v>914</v>
      </c>
      <c r="B1061" s="82" t="s">
        <v>989</v>
      </c>
      <c r="C1061" s="82" t="s">
        <v>991</v>
      </c>
      <c r="D1061" s="82" t="s">
        <v>999</v>
      </c>
      <c r="E1061" s="82"/>
      <c r="F1061" s="75" t="str">
        <f t="shared" si="63"/>
        <v>Mugiti</v>
      </c>
      <c r="G1061" s="75" t="str">
        <f t="shared" si="64"/>
        <v>Budaka</v>
      </c>
      <c r="H1061" s="82" t="s">
        <v>999</v>
      </c>
    </row>
    <row r="1062" spans="1:8">
      <c r="A1062" s="81">
        <v>320</v>
      </c>
      <c r="B1062" s="82" t="s">
        <v>1431</v>
      </c>
      <c r="C1062" s="82" t="s">
        <v>1434</v>
      </c>
      <c r="D1062" s="82" t="s">
        <v>1437</v>
      </c>
      <c r="E1062" s="82"/>
      <c r="F1062" s="75" t="str">
        <f t="shared" si="63"/>
        <v>Mugoye</v>
      </c>
      <c r="G1062" s="75" t="str">
        <f t="shared" si="64"/>
        <v>Kalangala</v>
      </c>
      <c r="H1062" s="82" t="s">
        <v>1437</v>
      </c>
    </row>
    <row r="1063" spans="1:8">
      <c r="A1063" s="81">
        <v>1172</v>
      </c>
      <c r="B1063" s="82" t="s">
        <v>1367</v>
      </c>
      <c r="C1063" s="82" t="s">
        <v>1368</v>
      </c>
      <c r="D1063" s="82" t="s">
        <v>1382</v>
      </c>
      <c r="E1063" s="82"/>
      <c r="F1063" s="75" t="str">
        <f t="shared" si="63"/>
        <v>Mugusu</v>
      </c>
      <c r="G1063" s="75" t="str">
        <f t="shared" si="64"/>
        <v>Kabarole</v>
      </c>
      <c r="H1063" s="82" t="s">
        <v>1382</v>
      </c>
    </row>
    <row r="1064" spans="1:8">
      <c r="A1064" s="81">
        <v>1174</v>
      </c>
      <c r="B1064" s="82" t="s">
        <v>1367</v>
      </c>
      <c r="C1064" s="82" t="s">
        <v>1368</v>
      </c>
      <c r="D1064" s="82" t="s">
        <v>1383</v>
      </c>
      <c r="E1064" s="82"/>
      <c r="F1064" s="75" t="str">
        <f t="shared" si="63"/>
        <v>Mugusu Town Council</v>
      </c>
      <c r="G1064" s="75" t="str">
        <f t="shared" si="64"/>
        <v>Kabarole</v>
      </c>
      <c r="H1064" s="82" t="s">
        <v>1383</v>
      </c>
    </row>
    <row r="1065" spans="1:8">
      <c r="A1065" s="81">
        <v>1529</v>
      </c>
      <c r="B1065" s="82" t="s">
        <v>2767</v>
      </c>
      <c r="C1065" s="82" t="s">
        <v>2767</v>
      </c>
      <c r="D1065" s="82" t="s">
        <v>2771</v>
      </c>
      <c r="E1065" s="82"/>
      <c r="F1065" s="75" t="str">
        <f t="shared" si="63"/>
        <v>Muhanga Town Council</v>
      </c>
      <c r="G1065" s="75" t="str">
        <f t="shared" si="64"/>
        <v>Rukiga</v>
      </c>
      <c r="H1065" s="82" t="s">
        <v>2771</v>
      </c>
    </row>
    <row r="1066" spans="1:8">
      <c r="A1066" s="81">
        <v>1203</v>
      </c>
      <c r="B1066" s="82" t="s">
        <v>36</v>
      </c>
      <c r="C1066" s="82" t="s">
        <v>1978</v>
      </c>
      <c r="D1066" s="82" t="s">
        <v>2001</v>
      </c>
      <c r="E1066" s="82"/>
      <c r="F1066" s="75" t="str">
        <f t="shared" si="63"/>
        <v>Muhokya</v>
      </c>
      <c r="G1066" s="75" t="str">
        <f t="shared" si="64"/>
        <v>Kasese</v>
      </c>
      <c r="H1066" s="82" t="s">
        <v>2001</v>
      </c>
    </row>
    <row r="1067" spans="1:8">
      <c r="A1067" s="81">
        <v>1489</v>
      </c>
      <c r="B1067" s="82" t="s">
        <v>1398</v>
      </c>
      <c r="C1067" s="82" t="s">
        <v>1399</v>
      </c>
      <c r="D1067" s="82" t="s">
        <v>1410</v>
      </c>
      <c r="E1067" s="82"/>
      <c r="F1067" s="75" t="str">
        <f t="shared" si="63"/>
        <v>Muhorro</v>
      </c>
      <c r="G1067" s="75" t="str">
        <f t="shared" si="64"/>
        <v>Kagadi</v>
      </c>
      <c r="H1067" s="82" t="s">
        <v>1410</v>
      </c>
    </row>
    <row r="1068" spans="1:8">
      <c r="A1068" s="81">
        <v>1490</v>
      </c>
      <c r="B1068" s="82" t="s">
        <v>1398</v>
      </c>
      <c r="C1068" s="82" t="s">
        <v>1399</v>
      </c>
      <c r="D1068" s="82" t="s">
        <v>1411</v>
      </c>
      <c r="E1068" s="82"/>
      <c r="F1068" s="75" t="str">
        <f t="shared" si="63"/>
        <v>Muhorro Town Council</v>
      </c>
      <c r="G1068" s="75" t="str">
        <f t="shared" si="64"/>
        <v>Kagadi</v>
      </c>
      <c r="H1068" s="82" t="s">
        <v>1411</v>
      </c>
    </row>
    <row r="1069" spans="1:8">
      <c r="A1069" s="81">
        <v>1511</v>
      </c>
      <c r="B1069" s="82" t="s">
        <v>2746</v>
      </c>
      <c r="C1069" s="82" t="s">
        <v>2746</v>
      </c>
      <c r="D1069" s="82" t="s">
        <v>2751</v>
      </c>
      <c r="E1069" s="82"/>
      <c r="F1069" s="75" t="str">
        <f t="shared" si="63"/>
        <v>Muko</v>
      </c>
      <c r="G1069" s="75" t="str">
        <f t="shared" si="64"/>
        <v>Rubanda</v>
      </c>
      <c r="H1069" s="82" t="s">
        <v>2751</v>
      </c>
    </row>
    <row r="1070" spans="1:8">
      <c r="A1070" s="81">
        <v>766</v>
      </c>
      <c r="B1070" s="82" t="s">
        <v>2149</v>
      </c>
      <c r="C1070" s="82" t="s">
        <v>2149</v>
      </c>
      <c r="D1070" s="82" t="s">
        <v>2152</v>
      </c>
      <c r="E1070" s="82"/>
      <c r="F1070" s="75" t="str">
        <f t="shared" ref="F1070:F1121" si="66">D1070</f>
        <v>Mukongoro</v>
      </c>
      <c r="G1070" s="75" t="str">
        <f t="shared" si="64"/>
        <v>Kumi</v>
      </c>
      <c r="H1070" s="82" t="s">
        <v>2152</v>
      </c>
    </row>
    <row r="1071" spans="1:8">
      <c r="A1071" s="81">
        <v>1096</v>
      </c>
      <c r="B1071" s="82" t="s">
        <v>2579</v>
      </c>
      <c r="C1071" s="82" t="s">
        <v>2579</v>
      </c>
      <c r="D1071" s="82" t="s">
        <v>2591</v>
      </c>
      <c r="E1071" s="82"/>
      <c r="F1071" s="75" t="str">
        <f t="shared" si="66"/>
        <v>Mukoto</v>
      </c>
      <c r="G1071" s="75" t="str">
        <f t="shared" si="64"/>
        <v>Namisindwa</v>
      </c>
      <c r="H1071" s="82" t="s">
        <v>2591</v>
      </c>
    </row>
    <row r="1072" spans="1:8">
      <c r="A1072" s="81">
        <v>823</v>
      </c>
      <c r="B1072" s="82" t="s">
        <v>2856</v>
      </c>
      <c r="C1072" s="82" t="s">
        <v>2856</v>
      </c>
      <c r="D1072" s="82" t="s">
        <v>2866</v>
      </c>
      <c r="E1072" s="82"/>
      <c r="F1072" s="75" t="str">
        <f t="shared" si="66"/>
        <v>Mukuju</v>
      </c>
      <c r="G1072" s="75" t="str">
        <f t="shared" si="64"/>
        <v>Tororo</v>
      </c>
      <c r="H1072" s="82" t="s">
        <v>2866</v>
      </c>
    </row>
    <row r="1073" spans="1:8">
      <c r="A1073" s="81">
        <v>447</v>
      </c>
      <c r="B1073" s="82" t="s">
        <v>39</v>
      </c>
      <c r="C1073" s="82" t="s">
        <v>23</v>
      </c>
      <c r="D1073" s="82" t="s">
        <v>2335</v>
      </c>
      <c r="E1073" s="82"/>
      <c r="F1073" s="75" t="str">
        <f t="shared" si="66"/>
        <v>Mukungwe</v>
      </c>
      <c r="G1073" s="75" t="str">
        <f t="shared" si="64"/>
        <v>Masaka</v>
      </c>
      <c r="H1073" s="82" t="s">
        <v>2335</v>
      </c>
    </row>
    <row r="1074" spans="1:8">
      <c r="A1074" s="81">
        <v>1065</v>
      </c>
      <c r="B1074" s="82" t="s">
        <v>2626</v>
      </c>
      <c r="C1074" s="82" t="s">
        <v>2626</v>
      </c>
      <c r="D1074" s="82" t="s">
        <v>2628</v>
      </c>
      <c r="E1074" s="82"/>
      <c r="F1074" s="75" t="str">
        <f t="shared" si="66"/>
        <v>Mukura</v>
      </c>
      <c r="G1074" s="75" t="str">
        <f t="shared" si="64"/>
        <v>Ngora</v>
      </c>
      <c r="H1074" s="82" t="s">
        <v>2628</v>
      </c>
    </row>
    <row r="1075" spans="1:8">
      <c r="A1075" s="81">
        <v>643</v>
      </c>
      <c r="B1075" s="82" t="s">
        <v>2169</v>
      </c>
      <c r="C1075" s="82" t="s">
        <v>2042</v>
      </c>
      <c r="D1075" s="82" t="s">
        <v>2181</v>
      </c>
      <c r="E1075" s="82"/>
      <c r="F1075" s="75" t="str">
        <f t="shared" si="66"/>
        <v>Mulagi</v>
      </c>
      <c r="G1075" s="75" t="str">
        <f t="shared" si="64"/>
        <v>Kyankwanzi</v>
      </c>
      <c r="H1075" s="82" t="s">
        <v>2181</v>
      </c>
    </row>
    <row r="1076" spans="1:8">
      <c r="A1076" s="81">
        <v>831</v>
      </c>
      <c r="B1076" s="82" t="s">
        <v>2856</v>
      </c>
      <c r="C1076" s="82" t="s">
        <v>2857</v>
      </c>
      <c r="D1076" s="82" t="s">
        <v>2867</v>
      </c>
      <c r="E1076" s="82"/>
      <c r="F1076" s="75" t="str">
        <f t="shared" si="66"/>
        <v>Mulanda</v>
      </c>
      <c r="G1076" s="75" t="str">
        <f t="shared" si="64"/>
        <v>Tororo</v>
      </c>
      <c r="H1076" s="82" t="s">
        <v>2867</v>
      </c>
    </row>
    <row r="1077" spans="1:8">
      <c r="A1077" s="81">
        <v>748</v>
      </c>
      <c r="B1077" s="82" t="s">
        <v>1964</v>
      </c>
      <c r="C1077" s="82" t="s">
        <v>1965</v>
      </c>
      <c r="D1077" s="82" t="s">
        <v>1975</v>
      </c>
      <c r="E1077" s="82"/>
      <c r="F1077" s="75" t="str">
        <f t="shared" si="66"/>
        <v>Munarya</v>
      </c>
      <c r="G1077" s="75" t="str">
        <f t="shared" si="64"/>
        <v>Kapchorwa</v>
      </c>
      <c r="H1077" s="82" t="s">
        <v>1975</v>
      </c>
    </row>
    <row r="1078" spans="1:8">
      <c r="A1078" s="81">
        <v>1188</v>
      </c>
      <c r="B1078" s="82" t="s">
        <v>36</v>
      </c>
      <c r="C1078" s="82" t="s">
        <v>1111</v>
      </c>
      <c r="D1078" s="82" t="s">
        <v>2002</v>
      </c>
      <c r="E1078" s="82"/>
      <c r="F1078" s="75" t="str">
        <f t="shared" si="66"/>
        <v>Munkunyu</v>
      </c>
      <c r="G1078" s="75" t="str">
        <f t="shared" si="64"/>
        <v>Kasese</v>
      </c>
      <c r="H1078" s="82" t="s">
        <v>2002</v>
      </c>
    </row>
    <row r="1079" spans="1:8">
      <c r="A1079" s="81">
        <v>165</v>
      </c>
      <c r="B1079" s="82" t="s">
        <v>903</v>
      </c>
      <c r="C1079" s="82" t="s">
        <v>904</v>
      </c>
      <c r="D1079" s="82" t="s">
        <v>912</v>
      </c>
      <c r="E1079" s="82"/>
      <c r="F1079" s="75" t="str">
        <f t="shared" si="66"/>
        <v>Muntu</v>
      </c>
      <c r="G1079" s="75" t="str">
        <f t="shared" si="64"/>
        <v>Amolatar</v>
      </c>
      <c r="H1079" s="82" t="s">
        <v>912</v>
      </c>
    </row>
    <row r="1080" spans="1:8">
      <c r="A1080" s="81">
        <v>1223</v>
      </c>
      <c r="B1080" s="82" t="s">
        <v>2097</v>
      </c>
      <c r="C1080" s="82" t="s">
        <v>2098</v>
      </c>
      <c r="D1080" s="82" t="s">
        <v>2104</v>
      </c>
      <c r="E1080" s="82"/>
      <c r="F1080" s="75" t="str">
        <f t="shared" si="66"/>
        <v>Muramba</v>
      </c>
      <c r="G1080" s="75" t="str">
        <f t="shared" si="64"/>
        <v>Kisoro</v>
      </c>
      <c r="H1080" s="82" t="s">
        <v>2104</v>
      </c>
    </row>
    <row r="1081" spans="1:8">
      <c r="A1081" s="81">
        <v>1224</v>
      </c>
      <c r="B1081" s="82" t="s">
        <v>2097</v>
      </c>
      <c r="C1081" s="82" t="s">
        <v>2098</v>
      </c>
      <c r="D1081" s="82" t="s">
        <v>2105</v>
      </c>
      <c r="E1081" s="82"/>
      <c r="F1081" s="75" t="str">
        <f t="shared" si="66"/>
        <v>Murora</v>
      </c>
      <c r="G1081" s="75" t="str">
        <f t="shared" si="64"/>
        <v>Kisoro</v>
      </c>
      <c r="H1081" s="82" t="s">
        <v>2105</v>
      </c>
    </row>
    <row r="1082" spans="1:8">
      <c r="A1082" s="81">
        <v>1440</v>
      </c>
      <c r="B1082" s="82" t="s">
        <v>46</v>
      </c>
      <c r="C1082" s="82" t="s">
        <v>2405</v>
      </c>
      <c r="D1082" s="82" t="s">
        <v>2413</v>
      </c>
      <c r="E1082" s="82"/>
      <c r="F1082" s="75" t="str">
        <f t="shared" si="66"/>
        <v>Mutara</v>
      </c>
      <c r="G1082" s="75" t="str">
        <f t="shared" si="64"/>
        <v>Mitooma</v>
      </c>
      <c r="H1082" s="82" t="s">
        <v>2413</v>
      </c>
    </row>
    <row r="1083" spans="1:8">
      <c r="A1083" s="81">
        <v>678</v>
      </c>
      <c r="B1083" s="82" t="s">
        <v>1020</v>
      </c>
      <c r="C1083" s="82" t="s">
        <v>1021</v>
      </c>
      <c r="D1083" s="82" t="s">
        <v>1029</v>
      </c>
      <c r="E1083" s="82"/>
      <c r="F1083" s="75" t="str">
        <f t="shared" si="66"/>
        <v>Muterere</v>
      </c>
      <c r="G1083" s="75" t="str">
        <f t="shared" si="64"/>
        <v>Bugiri</v>
      </c>
      <c r="H1083" s="82" t="s">
        <v>1029</v>
      </c>
    </row>
    <row r="1084" spans="1:8">
      <c r="A1084" s="81">
        <v>1060</v>
      </c>
      <c r="B1084" s="82" t="s">
        <v>2567</v>
      </c>
      <c r="C1084" s="82" t="s">
        <v>2568</v>
      </c>
      <c r="D1084" s="82" t="s">
        <v>2575</v>
      </c>
      <c r="E1084" s="82"/>
      <c r="F1084" s="75" t="str">
        <f t="shared" si="66"/>
        <v>Mutumba</v>
      </c>
      <c r="G1084" s="75" t="str">
        <f t="shared" si="64"/>
        <v>Namayingo</v>
      </c>
      <c r="H1084" s="82" t="s">
        <v>2575</v>
      </c>
    </row>
    <row r="1085" spans="1:8">
      <c r="A1085" s="81">
        <v>1420</v>
      </c>
      <c r="B1085" s="82" t="s">
        <v>2085</v>
      </c>
      <c r="C1085" s="82" t="s">
        <v>2086</v>
      </c>
      <c r="D1085" s="82" t="s">
        <v>2095</v>
      </c>
      <c r="E1085" s="82"/>
      <c r="F1085" s="75" t="str">
        <f t="shared" si="66"/>
        <v>Mutunda</v>
      </c>
      <c r="G1085" s="75" t="str">
        <f t="shared" si="64"/>
        <v>Kiryandongo</v>
      </c>
      <c r="H1085" s="82" t="s">
        <v>2095</v>
      </c>
    </row>
    <row r="1086" spans="1:8">
      <c r="A1086" s="81">
        <v>428</v>
      </c>
      <c r="B1086" s="82" t="s">
        <v>2042</v>
      </c>
      <c r="C1086" s="82" t="s">
        <v>2042</v>
      </c>
      <c r="D1086" s="82" t="s">
        <v>2052</v>
      </c>
      <c r="E1086" s="82"/>
      <c r="F1086" s="75" t="str">
        <f t="shared" si="66"/>
        <v>Muwanga</v>
      </c>
      <c r="G1086" s="75" t="str">
        <f t="shared" si="64"/>
        <v>Kiboga</v>
      </c>
      <c r="H1086" s="82" t="s">
        <v>2052</v>
      </c>
    </row>
    <row r="1087" spans="1:8">
      <c r="A1087" s="81">
        <v>1011</v>
      </c>
      <c r="B1087" s="82" t="s">
        <v>1081</v>
      </c>
      <c r="C1087" s="82" t="s">
        <v>1081</v>
      </c>
      <c r="D1087" s="82" t="s">
        <v>1095</v>
      </c>
      <c r="E1087" s="82"/>
      <c r="F1087" s="75" t="str">
        <f t="shared" si="66"/>
        <v>Muyembe</v>
      </c>
      <c r="G1087" s="75" t="str">
        <f t="shared" si="64"/>
        <v>Bulambuli</v>
      </c>
      <c r="H1087" s="82" t="s">
        <v>1095</v>
      </c>
    </row>
    <row r="1088" spans="1:8">
      <c r="A1088" s="81">
        <v>1258</v>
      </c>
      <c r="B1088" s="82" t="s">
        <v>2388</v>
      </c>
      <c r="C1088" s="82" t="s">
        <v>2391</v>
      </c>
      <c r="D1088" s="82" t="s">
        <v>2398</v>
      </c>
      <c r="E1088" s="82"/>
      <c r="F1088" s="75" t="str">
        <f t="shared" si="66"/>
        <v>Mwizi</v>
      </c>
      <c r="G1088" s="75" t="str">
        <f t="shared" si="64"/>
        <v>Mbarara</v>
      </c>
      <c r="H1088" s="82" t="s">
        <v>2398</v>
      </c>
    </row>
    <row r="1089" spans="1:8">
      <c r="A1089" s="81">
        <v>474</v>
      </c>
      <c r="B1089" s="82" t="s">
        <v>2473</v>
      </c>
      <c r="C1089" s="82" t="s">
        <v>2476</v>
      </c>
      <c r="D1089" s="82" t="s">
        <v>2497</v>
      </c>
      <c r="E1089" s="82"/>
      <c r="F1089" s="75" t="str">
        <f t="shared" si="66"/>
        <v>Myanzi</v>
      </c>
      <c r="G1089" s="75" t="str">
        <f t="shared" si="64"/>
        <v>Mubende</v>
      </c>
      <c r="H1089" s="82" t="s">
        <v>2497</v>
      </c>
    </row>
    <row r="1090" spans="1:8">
      <c r="A1090" s="81">
        <v>223</v>
      </c>
      <c r="B1090" s="82" t="s">
        <v>2686</v>
      </c>
      <c r="C1090" s="82" t="s">
        <v>2686</v>
      </c>
      <c r="D1090" s="82" t="s">
        <v>2695</v>
      </c>
      <c r="E1090" s="82"/>
      <c r="F1090" s="75" t="str">
        <f t="shared" si="66"/>
        <v>Myene</v>
      </c>
      <c r="G1090" s="75" t="str">
        <f t="shared" si="64"/>
        <v>Oyam</v>
      </c>
      <c r="H1090" s="82" t="s">
        <v>2695</v>
      </c>
    </row>
    <row r="1091" spans="1:8">
      <c r="A1091" s="81">
        <v>489</v>
      </c>
      <c r="B1091" s="82" t="s">
        <v>2500</v>
      </c>
      <c r="C1091" s="82" t="s">
        <v>2501</v>
      </c>
      <c r="D1091" s="82" t="s">
        <v>2517</v>
      </c>
      <c r="E1091" s="82"/>
      <c r="F1091" s="75" t="str">
        <f t="shared" si="66"/>
        <v>Nabbaale</v>
      </c>
      <c r="G1091" s="75" t="str">
        <f t="shared" si="64"/>
        <v>Mukono</v>
      </c>
      <c r="H1091" s="82" t="s">
        <v>2517</v>
      </c>
    </row>
    <row r="1092" spans="1:8">
      <c r="A1092" s="81">
        <v>1010</v>
      </c>
      <c r="B1092" s="82" t="s">
        <v>1081</v>
      </c>
      <c r="C1092" s="82" t="s">
        <v>1081</v>
      </c>
      <c r="D1092" s="82" t="s">
        <v>1096</v>
      </c>
      <c r="E1092" s="82"/>
      <c r="F1092" s="75" t="str">
        <f t="shared" si="66"/>
        <v>Nabbongo</v>
      </c>
      <c r="G1092" s="75" t="str">
        <f t="shared" si="64"/>
        <v>Bulambuli</v>
      </c>
      <c r="H1092" s="82" t="s">
        <v>1096</v>
      </c>
    </row>
    <row r="1093" spans="1:8">
      <c r="A1093" s="81">
        <v>668</v>
      </c>
      <c r="B1093" s="82" t="s">
        <v>2216</v>
      </c>
      <c r="C1093" s="82" t="s">
        <v>2216</v>
      </c>
      <c r="D1093" s="82" t="s">
        <v>2226</v>
      </c>
      <c r="E1093" s="82"/>
      <c r="F1093" s="75" t="str">
        <f t="shared" si="66"/>
        <v>Nabigasa</v>
      </c>
      <c r="G1093" s="75" t="str">
        <f t="shared" si="64"/>
        <v>Kyotera</v>
      </c>
      <c r="H1093" s="82" t="s">
        <v>2226</v>
      </c>
    </row>
    <row r="1094" spans="1:8">
      <c r="A1094" s="81">
        <v>125</v>
      </c>
      <c r="B1094" s="82" t="s">
        <v>2526</v>
      </c>
      <c r="C1094" s="82" t="s">
        <v>2529</v>
      </c>
      <c r="D1094" s="82" t="s">
        <v>2533</v>
      </c>
      <c r="E1094" s="82"/>
      <c r="F1094" s="75" t="str">
        <f t="shared" si="66"/>
        <v>Nabilatuk</v>
      </c>
      <c r="G1094" s="75" t="str">
        <f t="shared" si="64"/>
        <v>Nakapiripirit</v>
      </c>
      <c r="H1094" s="82" t="s">
        <v>2533</v>
      </c>
    </row>
    <row r="1095" spans="1:8">
      <c r="A1095" s="81">
        <v>466</v>
      </c>
      <c r="B1095" s="82" t="s">
        <v>2473</v>
      </c>
      <c r="C1095" s="82" t="s">
        <v>2474</v>
      </c>
      <c r="D1095" s="82" t="s">
        <v>2498</v>
      </c>
      <c r="E1095" s="82"/>
      <c r="F1095" s="75" t="str">
        <f t="shared" si="66"/>
        <v>Nabingoola</v>
      </c>
      <c r="G1095" s="75" t="str">
        <f t="shared" si="64"/>
        <v>Mubende</v>
      </c>
      <c r="H1095" s="82" t="s">
        <v>2498</v>
      </c>
    </row>
    <row r="1096" spans="1:8">
      <c r="A1096" s="81">
        <v>500</v>
      </c>
      <c r="B1096" s="82" t="s">
        <v>2555</v>
      </c>
      <c r="C1096" s="82" t="s">
        <v>2341</v>
      </c>
      <c r="D1096" s="82" t="s">
        <v>2562</v>
      </c>
      <c r="E1096" s="82"/>
      <c r="F1096" s="75" t="str">
        <f t="shared" si="66"/>
        <v>Nabisweera</v>
      </c>
      <c r="G1096" s="75" t="str">
        <f t="shared" si="64"/>
        <v>Nakasongola</v>
      </c>
      <c r="H1096" s="82" t="s">
        <v>2562</v>
      </c>
    </row>
    <row r="1097" spans="1:8">
      <c r="A1097" s="81">
        <v>706</v>
      </c>
      <c r="B1097" s="82" t="s">
        <v>1279</v>
      </c>
      <c r="C1097" s="82" t="s">
        <v>1280</v>
      </c>
      <c r="D1097" s="82" t="s">
        <v>1289</v>
      </c>
      <c r="E1097" s="82"/>
      <c r="F1097" s="75" t="str">
        <f t="shared" si="66"/>
        <v>Nabitende</v>
      </c>
      <c r="G1097" s="75" t="str">
        <f t="shared" si="64"/>
        <v>Iganga</v>
      </c>
      <c r="H1097" s="82" t="s">
        <v>1289</v>
      </c>
    </row>
    <row r="1098" spans="1:8">
      <c r="A1098" s="81">
        <v>908</v>
      </c>
      <c r="B1098" s="82" t="s">
        <v>989</v>
      </c>
      <c r="C1098" s="82" t="s">
        <v>989</v>
      </c>
      <c r="D1098" s="82" t="s">
        <v>1000</v>
      </c>
      <c r="E1098" s="82"/>
      <c r="F1098" s="75" t="str">
        <f t="shared" si="66"/>
        <v>Naboa</v>
      </c>
      <c r="G1098" s="75" t="str">
        <f t="shared" ref="G1098:G1161" si="67">B1098</f>
        <v>Budaka</v>
      </c>
      <c r="H1098" s="82" t="s">
        <v>1000</v>
      </c>
    </row>
    <row r="1099" spans="1:8">
      <c r="A1099" s="81">
        <v>679</v>
      </c>
      <c r="B1099" s="82" t="s">
        <v>1020</v>
      </c>
      <c r="C1099" s="82" t="s">
        <v>1021</v>
      </c>
      <c r="D1099" s="82" t="s">
        <v>1030</v>
      </c>
      <c r="E1099" s="82"/>
      <c r="F1099" s="75" t="str">
        <f t="shared" si="66"/>
        <v>Nabukalu</v>
      </c>
      <c r="G1099" s="75" t="str">
        <f t="shared" si="67"/>
        <v>Bugiri</v>
      </c>
      <c r="H1099" s="82" t="s">
        <v>1030</v>
      </c>
    </row>
    <row r="1100" spans="1:8">
      <c r="A1100" s="81">
        <v>792</v>
      </c>
      <c r="B1100" s="82" t="s">
        <v>2362</v>
      </c>
      <c r="C1100" s="82" t="s">
        <v>2363</v>
      </c>
      <c r="D1100" s="82" t="s">
        <v>2381</v>
      </c>
      <c r="E1100" s="82"/>
      <c r="F1100" s="75" t="str">
        <f t="shared" si="66"/>
        <v>Nabumali Town Council</v>
      </c>
      <c r="G1100" s="75" t="str">
        <f t="shared" si="67"/>
        <v>Mbale</v>
      </c>
      <c r="H1100" s="82" t="s">
        <v>2381</v>
      </c>
    </row>
    <row r="1101" spans="1:8">
      <c r="A1101" s="81">
        <v>832</v>
      </c>
      <c r="B1101" s="82" t="s">
        <v>2856</v>
      </c>
      <c r="C1101" s="82" t="s">
        <v>2857</v>
      </c>
      <c r="D1101" s="82" t="s">
        <v>2868</v>
      </c>
      <c r="E1101" s="82"/>
      <c r="F1101" s="75" t="str">
        <f t="shared" si="66"/>
        <v>Nabuyoga</v>
      </c>
      <c r="G1101" s="75" t="str">
        <f t="shared" si="67"/>
        <v>Tororo</v>
      </c>
      <c r="H1101" s="82" t="s">
        <v>2868</v>
      </c>
    </row>
    <row r="1102" spans="1:8" ht="25.5">
      <c r="A1102" s="81">
        <v>557</v>
      </c>
      <c r="B1102" s="82" t="s">
        <v>2879</v>
      </c>
      <c r="C1102" s="83" t="s">
        <v>2884</v>
      </c>
      <c r="D1102" s="82" t="s">
        <v>3225</v>
      </c>
      <c r="E1102" s="82"/>
      <c r="F1102" s="76" t="s">
        <v>2972</v>
      </c>
      <c r="G1102" s="75" t="str">
        <f t="shared" si="67"/>
        <v>Wakiso</v>
      </c>
      <c r="H1102" s="82" t="s">
        <v>3225</v>
      </c>
    </row>
    <row r="1103" spans="1:8">
      <c r="A1103" s="81">
        <v>928</v>
      </c>
      <c r="B1103" s="82" t="s">
        <v>1003</v>
      </c>
      <c r="C1103" s="82" t="s">
        <v>1004</v>
      </c>
      <c r="D1103" s="82" t="s">
        <v>1016</v>
      </c>
      <c r="E1103" s="82"/>
      <c r="F1103" s="75" t="str">
        <f t="shared" si="66"/>
        <v>Nabweya</v>
      </c>
      <c r="G1103" s="75" t="str">
        <f t="shared" si="67"/>
        <v>Bududa</v>
      </c>
      <c r="H1103" s="82" t="s">
        <v>1016</v>
      </c>
    </row>
    <row r="1104" spans="1:8">
      <c r="A1104" s="81">
        <v>998</v>
      </c>
      <c r="B1104" s="82" t="s">
        <v>2597</v>
      </c>
      <c r="C1104" s="82" t="s">
        <v>2598</v>
      </c>
      <c r="D1104" s="82" t="s">
        <v>2601</v>
      </c>
      <c r="E1104" s="82"/>
      <c r="F1104" s="75" t="str">
        <f t="shared" si="66"/>
        <v>Nabweyo</v>
      </c>
      <c r="G1104" s="75" t="str">
        <f t="shared" si="67"/>
        <v>Namutumba</v>
      </c>
      <c r="H1104" s="82" t="s">
        <v>2601</v>
      </c>
    </row>
    <row r="1105" spans="1:8">
      <c r="A1105" s="81">
        <v>729</v>
      </c>
      <c r="B1105" s="82" t="s">
        <v>1911</v>
      </c>
      <c r="C1105" s="82" t="s">
        <v>1912</v>
      </c>
      <c r="D1105" s="82" t="s">
        <v>1921</v>
      </c>
      <c r="E1105" s="82"/>
      <c r="F1105" s="75" t="str">
        <f t="shared" si="66"/>
        <v>Nabwigulu</v>
      </c>
      <c r="G1105" s="75" t="str">
        <f t="shared" si="67"/>
        <v>Kamuli</v>
      </c>
      <c r="H1105" s="82" t="s">
        <v>1921</v>
      </c>
    </row>
    <row r="1106" spans="1:8">
      <c r="A1106" s="81">
        <v>93</v>
      </c>
      <c r="B1106" s="82" t="s">
        <v>893</v>
      </c>
      <c r="C1106" s="82" t="s">
        <v>2442</v>
      </c>
      <c r="D1106" s="82" t="s">
        <v>2445</v>
      </c>
      <c r="E1106" s="82"/>
      <c r="F1106" s="75" t="str">
        <f t="shared" si="66"/>
        <v>Nadunget</v>
      </c>
      <c r="G1106" s="75" t="str">
        <f t="shared" si="67"/>
        <v>Moroto</v>
      </c>
      <c r="H1106" s="82" t="s">
        <v>2445</v>
      </c>
    </row>
    <row r="1107" spans="1:8">
      <c r="A1107" s="81">
        <v>490</v>
      </c>
      <c r="B1107" s="82" t="s">
        <v>2500</v>
      </c>
      <c r="C1107" s="82" t="s">
        <v>2501</v>
      </c>
      <c r="D1107" s="82" t="s">
        <v>2518</v>
      </c>
      <c r="E1107" s="82"/>
      <c r="F1107" s="75" t="str">
        <f t="shared" si="66"/>
        <v>Nagojje</v>
      </c>
      <c r="G1107" s="75" t="str">
        <f t="shared" si="67"/>
        <v>Mukono</v>
      </c>
      <c r="H1107" s="82" t="s">
        <v>2518</v>
      </c>
    </row>
    <row r="1108" spans="1:8">
      <c r="A1108" s="81">
        <v>833</v>
      </c>
      <c r="B1108" s="82" t="s">
        <v>2856</v>
      </c>
      <c r="C1108" s="82" t="s">
        <v>2857</v>
      </c>
      <c r="D1108" s="82" t="s">
        <v>2869</v>
      </c>
      <c r="E1108" s="82"/>
      <c r="F1108" s="75" t="str">
        <f t="shared" si="66"/>
        <v>Nagongera</v>
      </c>
      <c r="G1108" s="75" t="str">
        <f t="shared" si="67"/>
        <v>Tororo</v>
      </c>
      <c r="H1108" s="82" t="s">
        <v>2869</v>
      </c>
    </row>
    <row r="1109" spans="1:8">
      <c r="A1109" s="81">
        <v>834</v>
      </c>
      <c r="B1109" s="82" t="s">
        <v>2856</v>
      </c>
      <c r="C1109" s="82" t="s">
        <v>2857</v>
      </c>
      <c r="D1109" s="82" t="s">
        <v>2870</v>
      </c>
      <c r="E1109" s="82"/>
      <c r="F1109" s="75" t="str">
        <f t="shared" si="66"/>
        <v>Nagongera Town Council</v>
      </c>
      <c r="G1109" s="75" t="str">
        <f t="shared" si="67"/>
        <v>Tororo</v>
      </c>
      <c r="H1109" s="82" t="s">
        <v>2870</v>
      </c>
    </row>
    <row r="1110" spans="1:8">
      <c r="A1110" s="81">
        <v>625</v>
      </c>
      <c r="B1110" s="82" t="s">
        <v>1204</v>
      </c>
      <c r="C1110" s="82" t="s">
        <v>1205</v>
      </c>
      <c r="D1110" s="82" t="s">
        <v>1213</v>
      </c>
      <c r="E1110" s="82"/>
      <c r="F1110" s="75" t="str">
        <f t="shared" si="66"/>
        <v>Nairambi</v>
      </c>
      <c r="G1110" s="75" t="str">
        <f t="shared" si="67"/>
        <v>Buvuma</v>
      </c>
      <c r="H1110" s="82" t="s">
        <v>1213</v>
      </c>
    </row>
    <row r="1111" spans="1:8">
      <c r="A1111" s="81">
        <v>596</v>
      </c>
      <c r="B1111" s="82" t="s">
        <v>1041</v>
      </c>
      <c r="C1111" s="82" t="s">
        <v>1041</v>
      </c>
      <c r="D1111" s="82" t="s">
        <v>1050</v>
      </c>
      <c r="E1111" s="82"/>
      <c r="F1111" s="75" t="str">
        <f t="shared" si="66"/>
        <v>Najja</v>
      </c>
      <c r="G1111" s="75" t="str">
        <f t="shared" si="67"/>
        <v>Buikwe</v>
      </c>
      <c r="H1111" s="82" t="s">
        <v>1050</v>
      </c>
    </row>
    <row r="1112" spans="1:8" ht="25.5">
      <c r="A1112" s="81">
        <v>602</v>
      </c>
      <c r="B1112" s="82" t="s">
        <v>1041</v>
      </c>
      <c r="C1112" s="83" t="s">
        <v>1048</v>
      </c>
      <c r="D1112" s="82" t="s">
        <v>3226</v>
      </c>
      <c r="E1112" s="82"/>
      <c r="F1112" s="76" t="str">
        <f>VLOOKUP(C1112,[2]Municipalities!$C$9:$F$1522,4,FALSE)</f>
        <v>Lugazi Municipality</v>
      </c>
      <c r="G1112" s="75" t="str">
        <f t="shared" si="67"/>
        <v>Buikwe</v>
      </c>
      <c r="H1112" s="82" t="s">
        <v>3226</v>
      </c>
    </row>
    <row r="1113" spans="1:8">
      <c r="A1113" s="81">
        <v>707</v>
      </c>
      <c r="B1113" s="82" t="s">
        <v>1279</v>
      </c>
      <c r="C1113" s="82" t="s">
        <v>1280</v>
      </c>
      <c r="D1113" s="82" t="s">
        <v>1290</v>
      </c>
      <c r="E1113" s="82"/>
      <c r="F1113" s="75" t="str">
        <f t="shared" si="66"/>
        <v>Nakalama</v>
      </c>
      <c r="G1113" s="75" t="str">
        <f t="shared" si="67"/>
        <v>Iganga</v>
      </c>
      <c r="H1113" s="82" t="s">
        <v>1290</v>
      </c>
    </row>
    <row r="1114" spans="1:8">
      <c r="A1114" s="81">
        <v>786</v>
      </c>
      <c r="B1114" s="82" t="s">
        <v>2362</v>
      </c>
      <c r="C1114" s="82" t="s">
        <v>2363</v>
      </c>
      <c r="D1114" s="82" t="s">
        <v>2382</v>
      </c>
      <c r="E1114" s="82"/>
      <c r="F1114" s="75" t="str">
        <f t="shared" si="66"/>
        <v>Nakaloke</v>
      </c>
      <c r="G1114" s="75" t="str">
        <f t="shared" si="67"/>
        <v>Mbale</v>
      </c>
      <c r="H1114" s="82" t="s">
        <v>2382</v>
      </c>
    </row>
    <row r="1115" spans="1:8">
      <c r="A1115" s="81">
        <v>787</v>
      </c>
      <c r="B1115" s="82" t="s">
        <v>2362</v>
      </c>
      <c r="C1115" s="82" t="s">
        <v>2363</v>
      </c>
      <c r="D1115" s="82" t="s">
        <v>2383</v>
      </c>
      <c r="E1115" s="82"/>
      <c r="F1115" s="75" t="str">
        <f t="shared" si="66"/>
        <v>Nakaloke Town Council</v>
      </c>
      <c r="G1115" s="75" t="str">
        <f t="shared" si="67"/>
        <v>Mbale</v>
      </c>
      <c r="H1115" s="82" t="s">
        <v>2383</v>
      </c>
    </row>
    <row r="1116" spans="1:8">
      <c r="A1116" s="81">
        <v>73</v>
      </c>
      <c r="B1116" s="82" t="s">
        <v>2142</v>
      </c>
      <c r="C1116" s="82" t="s">
        <v>2143</v>
      </c>
      <c r="D1116" s="82" t="s">
        <v>2145</v>
      </c>
      <c r="E1116" s="82"/>
      <c r="F1116" s="75" t="str">
        <f t="shared" si="66"/>
        <v>Nakapelimoru</v>
      </c>
      <c r="G1116" s="75" t="str">
        <f t="shared" si="67"/>
        <v>Kotido</v>
      </c>
      <c r="H1116" s="82" t="s">
        <v>2145</v>
      </c>
    </row>
    <row r="1117" spans="1:8">
      <c r="A1117" s="81">
        <v>120</v>
      </c>
      <c r="B1117" s="82" t="s">
        <v>2526</v>
      </c>
      <c r="C1117" s="82" t="s">
        <v>2527</v>
      </c>
      <c r="D1117" s="82" t="s">
        <v>2534</v>
      </c>
      <c r="E1117" s="82"/>
      <c r="F1117" s="75" t="str">
        <f t="shared" si="66"/>
        <v>Nakapiripirit Town Council</v>
      </c>
      <c r="G1117" s="75" t="str">
        <f t="shared" si="67"/>
        <v>Nakapiripirit</v>
      </c>
      <c r="H1117" s="82" t="s">
        <v>2534</v>
      </c>
    </row>
    <row r="1118" spans="1:8">
      <c r="A1118" s="81">
        <v>587</v>
      </c>
      <c r="B1118" s="82" t="s">
        <v>2537</v>
      </c>
      <c r="C1118" s="82" t="s">
        <v>2537</v>
      </c>
      <c r="D1118" s="82" t="s">
        <v>2537</v>
      </c>
      <c r="E1118" s="82"/>
      <c r="F1118" s="75" t="str">
        <f t="shared" si="66"/>
        <v>Nakaseke</v>
      </c>
      <c r="G1118" s="75" t="str">
        <f t="shared" si="67"/>
        <v>Nakaseke</v>
      </c>
      <c r="H1118" s="82" t="s">
        <v>2537</v>
      </c>
    </row>
    <row r="1119" spans="1:8">
      <c r="A1119" s="81">
        <v>588</v>
      </c>
      <c r="B1119" s="82" t="s">
        <v>2537</v>
      </c>
      <c r="C1119" s="82" t="s">
        <v>2537</v>
      </c>
      <c r="D1119" s="82" t="s">
        <v>2545</v>
      </c>
      <c r="E1119" s="82"/>
      <c r="F1119" s="75" t="str">
        <f t="shared" si="66"/>
        <v>Nakaseke Town Council</v>
      </c>
      <c r="G1119" s="75" t="str">
        <f t="shared" si="67"/>
        <v>Nakaseke</v>
      </c>
      <c r="H1119" s="82" t="s">
        <v>2545</v>
      </c>
    </row>
    <row r="1120" spans="1:8">
      <c r="A1120" s="81">
        <v>501</v>
      </c>
      <c r="B1120" s="82" t="s">
        <v>2555</v>
      </c>
      <c r="C1120" s="82" t="s">
        <v>2341</v>
      </c>
      <c r="D1120" s="82" t="s">
        <v>2563</v>
      </c>
      <c r="E1120" s="82"/>
      <c r="F1120" s="75" t="str">
        <f t="shared" si="66"/>
        <v>Nakasongola Town Council</v>
      </c>
      <c r="G1120" s="75" t="str">
        <f t="shared" si="67"/>
        <v>Nakasongola</v>
      </c>
      <c r="H1120" s="82" t="s">
        <v>2563</v>
      </c>
    </row>
    <row r="1121" spans="1:9">
      <c r="A1121" s="81">
        <v>929</v>
      </c>
      <c r="B1121" s="82" t="s">
        <v>1003</v>
      </c>
      <c r="C1121" s="82" t="s">
        <v>1004</v>
      </c>
      <c r="D1121" s="82" t="s">
        <v>1017</v>
      </c>
      <c r="E1121" s="82"/>
      <c r="F1121" s="75" t="str">
        <f t="shared" si="66"/>
        <v>Nakatsi</v>
      </c>
      <c r="G1121" s="75" t="str">
        <f t="shared" si="67"/>
        <v>Bududa</v>
      </c>
      <c r="H1121" s="82" t="s">
        <v>1017</v>
      </c>
    </row>
    <row r="1122" spans="1:9">
      <c r="A1122" s="81">
        <v>398</v>
      </c>
      <c r="B1122" s="82" t="s">
        <v>1460</v>
      </c>
      <c r="C1122" s="82" t="s">
        <v>1461</v>
      </c>
      <c r="D1122" s="82" t="s">
        <v>1462</v>
      </c>
      <c r="E1122" s="82" t="s">
        <v>1459</v>
      </c>
      <c r="F1122" s="82" t="s">
        <v>1459</v>
      </c>
      <c r="G1122" s="75" t="str">
        <f t="shared" si="67"/>
        <v>Kampala</v>
      </c>
      <c r="H1122" s="82" t="s">
        <v>1462</v>
      </c>
    </row>
    <row r="1123" spans="1:9">
      <c r="A1123" s="81">
        <v>399</v>
      </c>
      <c r="B1123" s="82" t="s">
        <v>1460</v>
      </c>
      <c r="C1123" s="82" t="s">
        <v>1461</v>
      </c>
      <c r="D1123" s="82" t="s">
        <v>1462</v>
      </c>
      <c r="E1123" s="82" t="s">
        <v>1463</v>
      </c>
      <c r="F1123" s="82" t="s">
        <v>1463</v>
      </c>
      <c r="G1123" s="75" t="str">
        <f t="shared" si="67"/>
        <v>Kampala</v>
      </c>
      <c r="H1123" s="82" t="s">
        <v>1462</v>
      </c>
    </row>
    <row r="1124" spans="1:9">
      <c r="A1124" s="81">
        <v>400</v>
      </c>
      <c r="B1124" s="82" t="s">
        <v>1460</v>
      </c>
      <c r="C1124" s="82" t="s">
        <v>1461</v>
      </c>
      <c r="D1124" s="82" t="s">
        <v>1462</v>
      </c>
      <c r="E1124" s="86" t="s">
        <v>3227</v>
      </c>
      <c r="F1124" s="86" t="s">
        <v>23</v>
      </c>
      <c r="G1124" s="75" t="str">
        <f t="shared" si="67"/>
        <v>Kampala</v>
      </c>
      <c r="H1124" s="82" t="s">
        <v>1462</v>
      </c>
    </row>
    <row r="1125" spans="1:9">
      <c r="A1125" s="81">
        <v>401</v>
      </c>
      <c r="B1125" s="82" t="s">
        <v>1460</v>
      </c>
      <c r="C1125" s="82" t="s">
        <v>1461</v>
      </c>
      <c r="D1125" s="82" t="s">
        <v>1462</v>
      </c>
      <c r="E1125" s="86" t="s">
        <v>3228</v>
      </c>
      <c r="F1125" s="86" t="s">
        <v>23</v>
      </c>
      <c r="G1125" s="75" t="str">
        <f t="shared" si="67"/>
        <v>Kampala</v>
      </c>
      <c r="H1125" s="82" t="s">
        <v>1462</v>
      </c>
      <c r="I1125" s="87" t="s">
        <v>3148</v>
      </c>
    </row>
    <row r="1126" spans="1:9">
      <c r="A1126" s="81">
        <v>402</v>
      </c>
      <c r="B1126" s="82" t="s">
        <v>1460</v>
      </c>
      <c r="C1126" s="82" t="s">
        <v>1461</v>
      </c>
      <c r="D1126" s="82" t="s">
        <v>1462</v>
      </c>
      <c r="E1126" s="82" t="s">
        <v>1489</v>
      </c>
      <c r="F1126" s="82" t="s">
        <v>1489</v>
      </c>
      <c r="G1126" s="75" t="str">
        <f t="shared" si="67"/>
        <v>Kampala</v>
      </c>
      <c r="H1126" s="82" t="s">
        <v>1462</v>
      </c>
    </row>
    <row r="1127" spans="1:9">
      <c r="A1127" s="81">
        <v>403</v>
      </c>
      <c r="B1127" s="82" t="s">
        <v>1460</v>
      </c>
      <c r="C1127" s="82" t="s">
        <v>1461</v>
      </c>
      <c r="D1127" s="82" t="s">
        <v>1462</v>
      </c>
      <c r="E1127" s="82" t="s">
        <v>1663</v>
      </c>
      <c r="F1127" s="82" t="s">
        <v>1663</v>
      </c>
      <c r="G1127" s="75" t="str">
        <f t="shared" si="67"/>
        <v>Kampala</v>
      </c>
      <c r="H1127" s="82" t="s">
        <v>1462</v>
      </c>
    </row>
    <row r="1128" spans="1:9">
      <c r="A1128" s="81">
        <v>404</v>
      </c>
      <c r="B1128" s="82" t="s">
        <v>1460</v>
      </c>
      <c r="C1128" s="82" t="s">
        <v>1461</v>
      </c>
      <c r="D1128" s="82" t="s">
        <v>1462</v>
      </c>
      <c r="E1128" s="82" t="s">
        <v>1712</v>
      </c>
      <c r="F1128" s="82" t="s">
        <v>1712</v>
      </c>
      <c r="G1128" s="75" t="str">
        <f t="shared" si="67"/>
        <v>Kampala</v>
      </c>
      <c r="H1128" s="82" t="s">
        <v>1462</v>
      </c>
    </row>
    <row r="1129" spans="1:9">
      <c r="A1129" s="81">
        <v>405</v>
      </c>
      <c r="B1129" s="82" t="s">
        <v>1460</v>
      </c>
      <c r="C1129" s="82" t="s">
        <v>1461</v>
      </c>
      <c r="D1129" s="82" t="s">
        <v>1462</v>
      </c>
      <c r="E1129" s="82" t="s">
        <v>1713</v>
      </c>
      <c r="F1129" s="82" t="s">
        <v>1713</v>
      </c>
      <c r="G1129" s="75" t="str">
        <f t="shared" si="67"/>
        <v>Kampala</v>
      </c>
      <c r="H1129" s="82" t="s">
        <v>1462</v>
      </c>
    </row>
    <row r="1130" spans="1:9">
      <c r="A1130" s="81">
        <v>406</v>
      </c>
      <c r="B1130" s="82" t="s">
        <v>1460</v>
      </c>
      <c r="C1130" s="82" t="s">
        <v>1461</v>
      </c>
      <c r="D1130" s="82" t="s">
        <v>1462</v>
      </c>
      <c r="E1130" s="82" t="s">
        <v>1743</v>
      </c>
      <c r="F1130" s="82" t="s">
        <v>1743</v>
      </c>
      <c r="G1130" s="75" t="str">
        <f t="shared" si="67"/>
        <v>Kampala</v>
      </c>
      <c r="H1130" s="82" t="s">
        <v>1462</v>
      </c>
    </row>
    <row r="1131" spans="1:9">
      <c r="A1131" s="81">
        <v>407</v>
      </c>
      <c r="B1131" s="82" t="s">
        <v>1460</v>
      </c>
      <c r="C1131" s="82" t="s">
        <v>1461</v>
      </c>
      <c r="D1131" s="82" t="s">
        <v>1462</v>
      </c>
      <c r="E1131" s="82" t="s">
        <v>1745</v>
      </c>
      <c r="F1131" s="82" t="s">
        <v>1745</v>
      </c>
      <c r="G1131" s="75" t="str">
        <f t="shared" si="67"/>
        <v>Kampala</v>
      </c>
      <c r="H1131" s="82" t="s">
        <v>1462</v>
      </c>
    </row>
    <row r="1132" spans="1:9">
      <c r="A1132" s="81">
        <v>408</v>
      </c>
      <c r="B1132" s="82" t="s">
        <v>1460</v>
      </c>
      <c r="C1132" s="82" t="s">
        <v>1461</v>
      </c>
      <c r="D1132" s="82" t="s">
        <v>1462</v>
      </c>
      <c r="E1132" s="82" t="s">
        <v>1760</v>
      </c>
      <c r="F1132" s="82" t="s">
        <v>1760</v>
      </c>
      <c r="G1132" s="75" t="str">
        <f t="shared" si="67"/>
        <v>Kampala</v>
      </c>
      <c r="H1132" s="82" t="s">
        <v>1462</v>
      </c>
    </row>
    <row r="1133" spans="1:9">
      <c r="A1133" s="81">
        <v>409</v>
      </c>
      <c r="B1133" s="82" t="s">
        <v>1460</v>
      </c>
      <c r="C1133" s="82" t="s">
        <v>1461</v>
      </c>
      <c r="D1133" s="82" t="s">
        <v>1462</v>
      </c>
      <c r="E1133" s="82" t="s">
        <v>1761</v>
      </c>
      <c r="F1133" s="82" t="s">
        <v>1761</v>
      </c>
      <c r="G1133" s="75" t="str">
        <f t="shared" si="67"/>
        <v>Kampala</v>
      </c>
      <c r="H1133" s="82" t="s">
        <v>1462</v>
      </c>
    </row>
    <row r="1134" spans="1:9">
      <c r="A1134" s="81">
        <v>410</v>
      </c>
      <c r="B1134" s="82" t="s">
        <v>1460</v>
      </c>
      <c r="C1134" s="82" t="s">
        <v>1461</v>
      </c>
      <c r="D1134" s="82" t="s">
        <v>1462</v>
      </c>
      <c r="E1134" s="86" t="s">
        <v>3229</v>
      </c>
      <c r="F1134" s="86" t="s">
        <v>1770</v>
      </c>
      <c r="G1134" s="75" t="str">
        <f t="shared" si="67"/>
        <v>Kampala</v>
      </c>
      <c r="H1134" s="82" t="s">
        <v>1462</v>
      </c>
    </row>
    <row r="1135" spans="1:9">
      <c r="A1135" s="81">
        <v>411</v>
      </c>
      <c r="B1135" s="82" t="s">
        <v>1460</v>
      </c>
      <c r="C1135" s="82" t="s">
        <v>1461</v>
      </c>
      <c r="D1135" s="82" t="s">
        <v>1462</v>
      </c>
      <c r="E1135" s="86" t="s">
        <v>3230</v>
      </c>
      <c r="F1135" s="86" t="s">
        <v>1770</v>
      </c>
      <c r="G1135" s="75" t="str">
        <f t="shared" si="67"/>
        <v>Kampala</v>
      </c>
      <c r="H1135" s="82" t="s">
        <v>1462</v>
      </c>
      <c r="I1135" s="87" t="s">
        <v>3148</v>
      </c>
    </row>
    <row r="1136" spans="1:9">
      <c r="A1136" s="81">
        <v>412</v>
      </c>
      <c r="B1136" s="82" t="s">
        <v>1460</v>
      </c>
      <c r="C1136" s="82" t="s">
        <v>1461</v>
      </c>
      <c r="D1136" s="82" t="s">
        <v>1462</v>
      </c>
      <c r="E1136" s="82" t="s">
        <v>1793</v>
      </c>
      <c r="F1136" s="82" t="s">
        <v>1793</v>
      </c>
      <c r="G1136" s="75" t="str">
        <f t="shared" si="67"/>
        <v>Kampala</v>
      </c>
      <c r="H1136" s="82" t="s">
        <v>1462</v>
      </c>
    </row>
    <row r="1137" spans="1:9">
      <c r="A1137" s="81">
        <v>413</v>
      </c>
      <c r="B1137" s="82" t="s">
        <v>1460</v>
      </c>
      <c r="C1137" s="82" t="s">
        <v>1461</v>
      </c>
      <c r="D1137" s="82" t="s">
        <v>1462</v>
      </c>
      <c r="E1137" s="82" t="s">
        <v>1804</v>
      </c>
      <c r="F1137" s="82" t="s">
        <v>1804</v>
      </c>
      <c r="G1137" s="75" t="str">
        <f t="shared" si="67"/>
        <v>Kampala</v>
      </c>
      <c r="H1137" s="82" t="s">
        <v>1462</v>
      </c>
    </row>
    <row r="1138" spans="1:9">
      <c r="A1138" s="81">
        <v>414</v>
      </c>
      <c r="B1138" s="82" t="s">
        <v>1460</v>
      </c>
      <c r="C1138" s="82" t="s">
        <v>1461</v>
      </c>
      <c r="D1138" s="82" t="s">
        <v>1462</v>
      </c>
      <c r="E1138" s="86" t="s">
        <v>3231</v>
      </c>
      <c r="F1138" s="86" t="s">
        <v>1805</v>
      </c>
      <c r="G1138" s="75" t="str">
        <f t="shared" si="67"/>
        <v>Kampala</v>
      </c>
      <c r="H1138" s="82" t="s">
        <v>1462</v>
      </c>
    </row>
    <row r="1139" spans="1:9">
      <c r="A1139" s="81">
        <v>415</v>
      </c>
      <c r="B1139" s="82" t="s">
        <v>1460</v>
      </c>
      <c r="C1139" s="82" t="s">
        <v>1461</v>
      </c>
      <c r="D1139" s="82" t="s">
        <v>1462</v>
      </c>
      <c r="E1139" s="86" t="s">
        <v>3232</v>
      </c>
      <c r="F1139" s="86" t="s">
        <v>1805</v>
      </c>
      <c r="G1139" s="75" t="str">
        <f t="shared" si="67"/>
        <v>Kampala</v>
      </c>
      <c r="H1139" s="82" t="s">
        <v>1462</v>
      </c>
      <c r="I1139" s="87" t="s">
        <v>3148</v>
      </c>
    </row>
    <row r="1140" spans="1:9">
      <c r="A1140" s="81">
        <v>416</v>
      </c>
      <c r="B1140" s="82" t="s">
        <v>1460</v>
      </c>
      <c r="C1140" s="82" t="s">
        <v>1461</v>
      </c>
      <c r="D1140" s="82" t="s">
        <v>1462</v>
      </c>
      <c r="E1140" s="82" t="s">
        <v>1844</v>
      </c>
      <c r="F1140" s="82" t="s">
        <v>1844</v>
      </c>
      <c r="G1140" s="75" t="str">
        <f t="shared" si="67"/>
        <v>Kampala</v>
      </c>
      <c r="H1140" s="82" t="s">
        <v>1462</v>
      </c>
    </row>
    <row r="1141" spans="1:9">
      <c r="A1141" s="81">
        <v>417</v>
      </c>
      <c r="B1141" s="82" t="s">
        <v>1460</v>
      </c>
      <c r="C1141" s="82" t="s">
        <v>1461</v>
      </c>
      <c r="D1141" s="82" t="s">
        <v>1462</v>
      </c>
      <c r="E1141" s="82" t="s">
        <v>1853</v>
      </c>
      <c r="F1141" s="82" t="s">
        <v>1853</v>
      </c>
      <c r="G1141" s="75" t="str">
        <f t="shared" si="67"/>
        <v>Kampala</v>
      </c>
      <c r="H1141" s="82" t="s">
        <v>1462</v>
      </c>
    </row>
    <row r="1142" spans="1:9">
      <c r="A1142" s="81">
        <v>418</v>
      </c>
      <c r="B1142" s="82" t="s">
        <v>1460</v>
      </c>
      <c r="C1142" s="82" t="s">
        <v>1461</v>
      </c>
      <c r="D1142" s="82" t="s">
        <v>1462</v>
      </c>
      <c r="E1142" s="82" t="s">
        <v>1877</v>
      </c>
      <c r="F1142" s="82" t="s">
        <v>1877</v>
      </c>
      <c r="G1142" s="75" t="str">
        <f t="shared" si="67"/>
        <v>Kampala</v>
      </c>
      <c r="H1142" s="82" t="s">
        <v>1462</v>
      </c>
    </row>
    <row r="1143" spans="1:9">
      <c r="A1143" s="81">
        <v>419</v>
      </c>
      <c r="B1143" s="82" t="s">
        <v>1460</v>
      </c>
      <c r="C1143" s="82" t="s">
        <v>1461</v>
      </c>
      <c r="D1143" s="82" t="s">
        <v>1462</v>
      </c>
      <c r="E1143" s="82" t="s">
        <v>1900</v>
      </c>
      <c r="F1143" s="82" t="s">
        <v>1900</v>
      </c>
      <c r="G1143" s="75" t="str">
        <f t="shared" si="67"/>
        <v>Kampala</v>
      </c>
      <c r="H1143" s="82" t="s">
        <v>1462</v>
      </c>
    </row>
    <row r="1144" spans="1:9">
      <c r="A1144" s="81">
        <v>420</v>
      </c>
      <c r="B1144" s="82" t="s">
        <v>1460</v>
      </c>
      <c r="C1144" s="82" t="s">
        <v>1461</v>
      </c>
      <c r="D1144" s="82" t="s">
        <v>1462</v>
      </c>
      <c r="E1144" s="82" t="s">
        <v>1901</v>
      </c>
      <c r="F1144" s="82" t="s">
        <v>1901</v>
      </c>
      <c r="G1144" s="75" t="str">
        <f t="shared" si="67"/>
        <v>Kampala</v>
      </c>
      <c r="H1144" s="82" t="s">
        <v>1462</v>
      </c>
    </row>
    <row r="1145" spans="1:9">
      <c r="A1145" s="81">
        <v>708</v>
      </c>
      <c r="B1145" s="82" t="s">
        <v>1279</v>
      </c>
      <c r="C1145" s="82" t="s">
        <v>1280</v>
      </c>
      <c r="D1145" s="82" t="s">
        <v>1291</v>
      </c>
      <c r="E1145" s="82"/>
      <c r="F1145" s="75" t="str">
        <f t="shared" ref="F1145:F1169" si="68">D1145</f>
        <v>Nakigo</v>
      </c>
      <c r="G1145" s="75" t="str">
        <f t="shared" si="67"/>
        <v>Iganga</v>
      </c>
      <c r="H1145" s="82" t="s">
        <v>1291</v>
      </c>
    </row>
    <row r="1146" spans="1:9">
      <c r="A1146" s="81">
        <v>482</v>
      </c>
      <c r="B1146" s="82" t="s">
        <v>2500</v>
      </c>
      <c r="C1146" s="82" t="s">
        <v>2500</v>
      </c>
      <c r="D1146" s="82" t="s">
        <v>2519</v>
      </c>
      <c r="E1146" s="82"/>
      <c r="F1146" s="75" t="str">
        <f t="shared" si="68"/>
        <v>Nakisunga</v>
      </c>
      <c r="G1146" s="75" t="str">
        <f t="shared" si="67"/>
        <v>Mukono</v>
      </c>
      <c r="H1146" s="82" t="s">
        <v>2519</v>
      </c>
    </row>
    <row r="1147" spans="1:9">
      <c r="A1147" s="81">
        <v>502</v>
      </c>
      <c r="B1147" s="82" t="s">
        <v>2555</v>
      </c>
      <c r="C1147" s="82" t="s">
        <v>2341</v>
      </c>
      <c r="D1147" s="82" t="s">
        <v>2565</v>
      </c>
      <c r="E1147" s="82"/>
      <c r="F1147" s="75" t="str">
        <f t="shared" si="68"/>
        <v>Nakitoma</v>
      </c>
      <c r="G1147" s="75" t="str">
        <f t="shared" si="67"/>
        <v>Nakasongola</v>
      </c>
      <c r="H1147" s="82" t="s">
        <v>2565</v>
      </c>
    </row>
    <row r="1148" spans="1:9">
      <c r="A1148" s="81">
        <v>1372</v>
      </c>
      <c r="B1148" s="82" t="s">
        <v>48</v>
      </c>
      <c r="C1148" s="82" t="s">
        <v>1299</v>
      </c>
      <c r="D1148" s="82" t="s">
        <v>1311</v>
      </c>
      <c r="E1148" s="82"/>
      <c r="F1148" s="75" t="str">
        <f t="shared" si="68"/>
        <v>Nakivale Refugee Camp</v>
      </c>
      <c r="G1148" s="75" t="str">
        <f t="shared" si="67"/>
        <v>Isingiro</v>
      </c>
      <c r="H1148" s="82" t="s">
        <v>1311</v>
      </c>
    </row>
    <row r="1149" spans="1:9">
      <c r="A1149" s="81">
        <v>984</v>
      </c>
      <c r="B1149" s="82" t="s">
        <v>2294</v>
      </c>
      <c r="C1149" s="82" t="s">
        <v>2295</v>
      </c>
      <c r="D1149" s="82" t="s">
        <v>2308</v>
      </c>
      <c r="E1149" s="82"/>
      <c r="F1149" s="75" t="str">
        <f t="shared" si="68"/>
        <v>Nalondo</v>
      </c>
      <c r="G1149" s="75" t="str">
        <f t="shared" si="67"/>
        <v>Manafwa</v>
      </c>
      <c r="H1149" s="82" t="s">
        <v>2308</v>
      </c>
    </row>
    <row r="1150" spans="1:9">
      <c r="A1150" s="81">
        <v>883</v>
      </c>
      <c r="B1150" s="82" t="s">
        <v>2812</v>
      </c>
      <c r="C1150" s="82" t="s">
        <v>2813</v>
      </c>
      <c r="D1150" s="82" t="s">
        <v>2831</v>
      </c>
      <c r="E1150" s="82"/>
      <c r="F1150" s="75" t="str">
        <f t="shared" si="68"/>
        <v>Nalusala</v>
      </c>
      <c r="G1150" s="75" t="str">
        <f t="shared" si="67"/>
        <v>Sironko</v>
      </c>
      <c r="H1150" s="82" t="s">
        <v>2831</v>
      </c>
    </row>
    <row r="1151" spans="1:9">
      <c r="A1151" s="81">
        <v>930</v>
      </c>
      <c r="B1151" s="82" t="s">
        <v>1003</v>
      </c>
      <c r="C1151" s="82" t="s">
        <v>1004</v>
      </c>
      <c r="D1151" s="82" t="s">
        <v>1018</v>
      </c>
      <c r="E1151" s="82"/>
      <c r="F1151" s="75" t="str">
        <f t="shared" si="68"/>
        <v>Nalwanza</v>
      </c>
      <c r="G1151" s="75" t="str">
        <f t="shared" si="67"/>
        <v>Bududa</v>
      </c>
      <c r="H1151" s="82" t="s">
        <v>1018</v>
      </c>
    </row>
    <row r="1152" spans="1:9">
      <c r="A1152" s="81">
        <v>1502</v>
      </c>
      <c r="B1152" s="82" t="s">
        <v>1417</v>
      </c>
      <c r="C1152" s="82" t="s">
        <v>1418</v>
      </c>
      <c r="D1152" s="82" t="s">
        <v>1428</v>
      </c>
      <c r="E1152" s="82"/>
      <c r="F1152" s="75" t="str">
        <f t="shared" si="68"/>
        <v>Nalweyo</v>
      </c>
      <c r="G1152" s="75" t="str">
        <f t="shared" si="67"/>
        <v>Kakumiro</v>
      </c>
      <c r="H1152" s="82" t="s">
        <v>1428</v>
      </c>
    </row>
    <row r="1153" spans="1:8">
      <c r="A1153" s="81">
        <v>483</v>
      </c>
      <c r="B1153" s="82" t="s">
        <v>2500</v>
      </c>
      <c r="C1153" s="82" t="s">
        <v>2500</v>
      </c>
      <c r="D1153" s="82" t="s">
        <v>2520</v>
      </c>
      <c r="E1153" s="82"/>
      <c r="F1153" s="75" t="str">
        <f t="shared" si="68"/>
        <v>Nama</v>
      </c>
      <c r="G1153" s="75" t="str">
        <f t="shared" si="67"/>
        <v>Mukono</v>
      </c>
      <c r="H1153" s="82" t="s">
        <v>2520</v>
      </c>
    </row>
    <row r="1154" spans="1:8">
      <c r="A1154" s="81">
        <v>1097</v>
      </c>
      <c r="B1154" s="82" t="s">
        <v>2579</v>
      </c>
      <c r="C1154" s="82" t="s">
        <v>2579</v>
      </c>
      <c r="D1154" s="82" t="s">
        <v>2592</v>
      </c>
      <c r="E1154" s="82"/>
      <c r="F1154" s="75" t="str">
        <f t="shared" si="68"/>
        <v>Namabya</v>
      </c>
      <c r="G1154" s="75" t="str">
        <f t="shared" si="67"/>
        <v>Namisindwa</v>
      </c>
      <c r="H1154" s="82" t="s">
        <v>2592</v>
      </c>
    </row>
    <row r="1155" spans="1:8">
      <c r="A1155" s="81">
        <v>702</v>
      </c>
      <c r="B1155" s="82" t="s">
        <v>1279</v>
      </c>
      <c r="C1155" s="82" t="s">
        <v>1282</v>
      </c>
      <c r="D1155" s="82" t="s">
        <v>1292</v>
      </c>
      <c r="E1155" s="82"/>
      <c r="F1155" s="75" t="str">
        <f t="shared" si="68"/>
        <v>Namalemba</v>
      </c>
      <c r="G1155" s="75" t="str">
        <f t="shared" si="67"/>
        <v>Iganga</v>
      </c>
      <c r="H1155" s="82" t="s">
        <v>1292</v>
      </c>
    </row>
    <row r="1156" spans="1:8">
      <c r="A1156" s="81">
        <v>121</v>
      </c>
      <c r="B1156" s="82" t="s">
        <v>2526</v>
      </c>
      <c r="C1156" s="82" t="s">
        <v>2527</v>
      </c>
      <c r="D1156" s="82" t="s">
        <v>2535</v>
      </c>
      <c r="E1156" s="82"/>
      <c r="F1156" s="75" t="str">
        <f t="shared" si="68"/>
        <v>Namalu</v>
      </c>
      <c r="G1156" s="75" t="str">
        <f t="shared" si="67"/>
        <v>Nakapiripirit</v>
      </c>
      <c r="H1156" s="82" t="s">
        <v>2535</v>
      </c>
    </row>
    <row r="1157" spans="1:8">
      <c r="A1157" s="81">
        <v>788</v>
      </c>
      <c r="B1157" s="82" t="s">
        <v>2362</v>
      </c>
      <c r="C1157" s="82" t="s">
        <v>2363</v>
      </c>
      <c r="D1157" s="82" t="s">
        <v>2384</v>
      </c>
      <c r="E1157" s="82"/>
      <c r="F1157" s="75" t="str">
        <f t="shared" si="68"/>
        <v>Namanyonyi</v>
      </c>
      <c r="G1157" s="75" t="str">
        <f t="shared" si="67"/>
        <v>Mbale</v>
      </c>
      <c r="H1157" s="82" t="s">
        <v>2384</v>
      </c>
    </row>
    <row r="1158" spans="1:8">
      <c r="A1158" s="81">
        <v>730</v>
      </c>
      <c r="B1158" s="82" t="s">
        <v>1911</v>
      </c>
      <c r="C1158" s="82" t="s">
        <v>1912</v>
      </c>
      <c r="D1158" s="82" t="s">
        <v>1922</v>
      </c>
      <c r="E1158" s="82"/>
      <c r="F1158" s="75" t="str">
        <f t="shared" si="68"/>
        <v>Namasagali</v>
      </c>
      <c r="G1158" s="75" t="str">
        <f t="shared" si="67"/>
        <v>Kamuli</v>
      </c>
      <c r="H1158" s="82" t="s">
        <v>1922</v>
      </c>
    </row>
    <row r="1159" spans="1:8">
      <c r="A1159" s="81">
        <v>166</v>
      </c>
      <c r="B1159" s="82" t="s">
        <v>903</v>
      </c>
      <c r="C1159" s="82" t="s">
        <v>904</v>
      </c>
      <c r="D1159" s="82" t="s">
        <v>913</v>
      </c>
      <c r="E1159" s="82"/>
      <c r="F1159" s="75" t="str">
        <f t="shared" si="68"/>
        <v>Namasale</v>
      </c>
      <c r="G1159" s="75" t="str">
        <f t="shared" si="67"/>
        <v>Amolatar</v>
      </c>
      <c r="H1159" s="82" t="s">
        <v>913</v>
      </c>
    </row>
    <row r="1160" spans="1:8">
      <c r="A1160" s="81">
        <v>167</v>
      </c>
      <c r="B1160" s="82" t="s">
        <v>903</v>
      </c>
      <c r="C1160" s="82" t="s">
        <v>904</v>
      </c>
      <c r="D1160" s="82" t="s">
        <v>914</v>
      </c>
      <c r="E1160" s="82"/>
      <c r="F1160" s="75" t="str">
        <f t="shared" si="68"/>
        <v>Namasale Town Council</v>
      </c>
      <c r="G1160" s="75" t="str">
        <f t="shared" si="67"/>
        <v>Amolatar</v>
      </c>
      <c r="H1160" s="82" t="s">
        <v>914</v>
      </c>
    </row>
    <row r="1161" spans="1:8">
      <c r="A1161" s="81">
        <v>1061</v>
      </c>
      <c r="B1161" s="82" t="s">
        <v>2567</v>
      </c>
      <c r="C1161" s="82" t="s">
        <v>2568</v>
      </c>
      <c r="D1161" s="82" t="s">
        <v>2576</v>
      </c>
      <c r="E1161" s="82"/>
      <c r="F1161" s="75" t="str">
        <f t="shared" si="68"/>
        <v>Namayingo Town Council</v>
      </c>
      <c r="G1161" s="75" t="str">
        <f t="shared" si="67"/>
        <v>Namayingo</v>
      </c>
      <c r="H1161" s="82" t="s">
        <v>2576</v>
      </c>
    </row>
    <row r="1162" spans="1:8">
      <c r="A1162" s="81">
        <v>540</v>
      </c>
      <c r="B1162" s="82" t="s">
        <v>2879</v>
      </c>
      <c r="C1162" s="82" t="s">
        <v>2882</v>
      </c>
      <c r="D1162" s="82" t="s">
        <v>3001</v>
      </c>
      <c r="E1162" s="82"/>
      <c r="F1162" s="75" t="str">
        <f t="shared" si="68"/>
        <v>Namayumba</v>
      </c>
      <c r="G1162" s="75" t="str">
        <f t="shared" ref="G1162:G1225" si="69">B1162</f>
        <v>Wakiso</v>
      </c>
      <c r="H1162" s="82" t="s">
        <v>3001</v>
      </c>
    </row>
    <row r="1163" spans="1:8">
      <c r="A1163" s="81">
        <v>541</v>
      </c>
      <c r="B1163" s="82" t="s">
        <v>2879</v>
      </c>
      <c r="C1163" s="82" t="s">
        <v>2882</v>
      </c>
      <c r="D1163" s="82" t="s">
        <v>3002</v>
      </c>
      <c r="E1163" s="82"/>
      <c r="F1163" s="75" t="str">
        <f t="shared" si="68"/>
        <v>Namayumba Town Council</v>
      </c>
      <c r="G1163" s="75" t="str">
        <f t="shared" si="69"/>
        <v>Wakiso</v>
      </c>
      <c r="H1163" s="82" t="s">
        <v>3002</v>
      </c>
    </row>
    <row r="1164" spans="1:8">
      <c r="A1164" s="81">
        <v>709</v>
      </c>
      <c r="B1164" s="82" t="s">
        <v>1279</v>
      </c>
      <c r="C1164" s="82" t="s">
        <v>1280</v>
      </c>
      <c r="D1164" s="82" t="s">
        <v>1293</v>
      </c>
      <c r="E1164" s="82"/>
      <c r="F1164" s="75" t="str">
        <f t="shared" si="68"/>
        <v>Nambale</v>
      </c>
      <c r="G1164" s="75" t="str">
        <f t="shared" si="69"/>
        <v>Iganga</v>
      </c>
      <c r="H1164" s="82" t="s">
        <v>1293</v>
      </c>
    </row>
    <row r="1165" spans="1:8">
      <c r="A1165" s="81">
        <v>16</v>
      </c>
      <c r="B1165" s="82" t="s">
        <v>945</v>
      </c>
      <c r="C1165" s="82" t="s">
        <v>946</v>
      </c>
      <c r="D1165" s="82" t="s">
        <v>957</v>
      </c>
      <c r="E1165" s="82"/>
      <c r="F1165" s="75" t="str">
        <f t="shared" si="68"/>
        <v>Nambieso</v>
      </c>
      <c r="G1165" s="75" t="str">
        <f t="shared" si="69"/>
        <v>Apac</v>
      </c>
      <c r="H1165" s="82" t="s">
        <v>957</v>
      </c>
    </row>
    <row r="1166" spans="1:8">
      <c r="A1166" s="81">
        <v>1098</v>
      </c>
      <c r="B1166" s="82" t="s">
        <v>2579</v>
      </c>
      <c r="C1166" s="82" t="s">
        <v>2579</v>
      </c>
      <c r="D1166" s="82" t="s">
        <v>2593</v>
      </c>
      <c r="E1166" s="82"/>
      <c r="F1166" s="75" t="str">
        <f t="shared" si="68"/>
        <v>Namboko</v>
      </c>
      <c r="G1166" s="75" t="str">
        <f t="shared" si="69"/>
        <v>Namisindwa</v>
      </c>
      <c r="H1166" s="82" t="s">
        <v>2593</v>
      </c>
    </row>
    <row r="1167" spans="1:8">
      <c r="A1167" s="81">
        <v>1101</v>
      </c>
      <c r="B1167" s="82" t="s">
        <v>2579</v>
      </c>
      <c r="C1167" s="82" t="s">
        <v>2579</v>
      </c>
      <c r="D1167" s="82" t="s">
        <v>2594</v>
      </c>
      <c r="E1167" s="82"/>
      <c r="F1167" s="75" t="str">
        <f t="shared" si="68"/>
        <v>Namisindwa Town Council</v>
      </c>
      <c r="G1167" s="75" t="str">
        <f t="shared" si="69"/>
        <v>Namisindwa</v>
      </c>
      <c r="H1167" s="82" t="s">
        <v>2594</v>
      </c>
    </row>
    <row r="1168" spans="1:8">
      <c r="A1168" s="81">
        <v>1015</v>
      </c>
      <c r="B1168" s="82" t="s">
        <v>1081</v>
      </c>
      <c r="C1168" s="82" t="s">
        <v>1081</v>
      </c>
      <c r="D1168" s="82" t="s">
        <v>1097</v>
      </c>
      <c r="E1168" s="82"/>
      <c r="F1168" s="75" t="str">
        <f t="shared" si="68"/>
        <v>Namisuni</v>
      </c>
      <c r="G1168" s="75" t="str">
        <f t="shared" si="69"/>
        <v>Bulambuli</v>
      </c>
      <c r="H1168" s="82" t="s">
        <v>1097</v>
      </c>
    </row>
    <row r="1169" spans="1:8">
      <c r="A1169" s="81">
        <v>64</v>
      </c>
      <c r="B1169" s="82" t="s">
        <v>2114</v>
      </c>
      <c r="C1169" s="82" t="s">
        <v>2115</v>
      </c>
      <c r="D1169" s="82" t="s">
        <v>2122</v>
      </c>
      <c r="E1169" s="82"/>
      <c r="F1169" s="75" t="str">
        <f t="shared" si="68"/>
        <v>Namokora</v>
      </c>
      <c r="G1169" s="75" t="str">
        <f t="shared" si="69"/>
        <v>Kitgum</v>
      </c>
      <c r="H1169" s="82" t="s">
        <v>2122</v>
      </c>
    </row>
    <row r="1170" spans="1:8">
      <c r="A1170" s="81">
        <v>969</v>
      </c>
      <c r="B1170" s="82" t="s">
        <v>1439</v>
      </c>
      <c r="C1170" s="82" t="s">
        <v>1278</v>
      </c>
      <c r="D1170" s="86" t="s">
        <v>3003</v>
      </c>
      <c r="E1170" s="82"/>
      <c r="F1170" s="75" t="str">
        <f t="shared" ref="F1170" si="70">D1170&amp;"-"&amp;B1170</f>
        <v>Namugongo-Kaliro</v>
      </c>
      <c r="G1170" s="75" t="str">
        <f t="shared" si="69"/>
        <v>Kaliro</v>
      </c>
      <c r="H1170" s="86" t="s">
        <v>3003</v>
      </c>
    </row>
    <row r="1171" spans="1:8">
      <c r="A1171" s="81">
        <v>550</v>
      </c>
      <c r="B1171" s="82" t="s">
        <v>2879</v>
      </c>
      <c r="C1171" s="83" t="s">
        <v>2885</v>
      </c>
      <c r="D1171" s="86" t="s">
        <v>3233</v>
      </c>
      <c r="E1171" s="82"/>
      <c r="F1171" s="76" t="s">
        <v>3003</v>
      </c>
      <c r="G1171" s="75" t="str">
        <f t="shared" si="69"/>
        <v>Wakiso</v>
      </c>
      <c r="H1171" s="86" t="s">
        <v>3233</v>
      </c>
    </row>
    <row r="1172" spans="1:8">
      <c r="A1172" s="81">
        <v>710</v>
      </c>
      <c r="B1172" s="82" t="s">
        <v>1279</v>
      </c>
      <c r="C1172" s="82" t="s">
        <v>1280</v>
      </c>
      <c r="D1172" s="82" t="s">
        <v>1294</v>
      </c>
      <c r="E1172" s="82"/>
      <c r="F1172" s="75" t="str">
        <f t="shared" ref="F1172:F1208" si="71">D1172</f>
        <v>Namungalwe</v>
      </c>
      <c r="G1172" s="75" t="str">
        <f t="shared" si="69"/>
        <v>Iganga</v>
      </c>
      <c r="H1172" s="82" t="s">
        <v>1294</v>
      </c>
    </row>
    <row r="1173" spans="1:8">
      <c r="A1173" s="81">
        <v>573</v>
      </c>
      <c r="B1173" s="82" t="s">
        <v>2416</v>
      </c>
      <c r="C1173" s="82" t="s">
        <v>2416</v>
      </c>
      <c r="D1173" s="82" t="s">
        <v>2439</v>
      </c>
      <c r="E1173" s="82"/>
      <c r="F1173" s="75" t="str">
        <f t="shared" si="71"/>
        <v>Namungo</v>
      </c>
      <c r="G1173" s="75" t="str">
        <f t="shared" si="69"/>
        <v>Mityana</v>
      </c>
      <c r="H1173" s="82" t="s">
        <v>2439</v>
      </c>
    </row>
    <row r="1174" spans="1:8">
      <c r="A1174" s="81">
        <v>994</v>
      </c>
      <c r="B1174" s="82" t="s">
        <v>2597</v>
      </c>
      <c r="C1174" s="82" t="s">
        <v>2598</v>
      </c>
      <c r="D1174" s="82" t="s">
        <v>2597</v>
      </c>
      <c r="E1174" s="82"/>
      <c r="F1174" s="75" t="str">
        <f t="shared" si="71"/>
        <v>Namutumba</v>
      </c>
      <c r="G1174" s="75" t="str">
        <f t="shared" si="69"/>
        <v>Namutumba</v>
      </c>
      <c r="H1174" s="82" t="s">
        <v>2597</v>
      </c>
    </row>
    <row r="1175" spans="1:8">
      <c r="A1175" s="81">
        <v>995</v>
      </c>
      <c r="B1175" s="82" t="s">
        <v>2597</v>
      </c>
      <c r="C1175" s="82" t="s">
        <v>2598</v>
      </c>
      <c r="D1175" s="82" t="s">
        <v>2602</v>
      </c>
      <c r="E1175" s="82"/>
      <c r="F1175" s="75" t="str">
        <f t="shared" si="71"/>
        <v>Namutumba Town Council</v>
      </c>
      <c r="G1175" s="75" t="str">
        <f t="shared" si="69"/>
        <v>Namutumba</v>
      </c>
      <c r="H1175" s="82" t="s">
        <v>2602</v>
      </c>
    </row>
    <row r="1176" spans="1:8">
      <c r="A1176" s="81">
        <v>731</v>
      </c>
      <c r="B1176" s="82" t="s">
        <v>1911</v>
      </c>
      <c r="C1176" s="82" t="s">
        <v>1912</v>
      </c>
      <c r="D1176" s="82" t="s">
        <v>1923</v>
      </c>
      <c r="E1176" s="82"/>
      <c r="F1176" s="75" t="str">
        <f t="shared" si="71"/>
        <v>Namwendwa</v>
      </c>
      <c r="G1176" s="75" t="str">
        <f t="shared" si="69"/>
        <v>Kamuli</v>
      </c>
      <c r="H1176" s="82" t="s">
        <v>1923</v>
      </c>
    </row>
    <row r="1177" spans="1:8">
      <c r="A1177" s="81">
        <v>970</v>
      </c>
      <c r="B1177" s="82" t="s">
        <v>1439</v>
      </c>
      <c r="C1177" s="82" t="s">
        <v>1278</v>
      </c>
      <c r="D1177" s="82" t="s">
        <v>1449</v>
      </c>
      <c r="E1177" s="82"/>
      <c r="F1177" s="75" t="str">
        <f t="shared" si="71"/>
        <v>Namwiwa</v>
      </c>
      <c r="G1177" s="75" t="str">
        <f t="shared" si="69"/>
        <v>Kaliro</v>
      </c>
      <c r="H1177" s="82" t="s">
        <v>1449</v>
      </c>
    </row>
    <row r="1178" spans="1:8">
      <c r="A1178" s="81">
        <v>997</v>
      </c>
      <c r="B1178" s="82" t="s">
        <v>2597</v>
      </c>
      <c r="C1178" s="82" t="s">
        <v>2598</v>
      </c>
      <c r="D1178" s="82" t="s">
        <v>2603</v>
      </c>
      <c r="E1178" s="82"/>
      <c r="F1178" s="75" t="str">
        <f t="shared" si="71"/>
        <v>Nangonde</v>
      </c>
      <c r="G1178" s="75" t="str">
        <f t="shared" si="69"/>
        <v>Namutumba</v>
      </c>
      <c r="H1178" s="82" t="s">
        <v>2603</v>
      </c>
    </row>
    <row r="1179" spans="1:8">
      <c r="A1179" s="81">
        <v>680</v>
      </c>
      <c r="B1179" s="82" t="s">
        <v>1020</v>
      </c>
      <c r="C1179" s="82" t="s">
        <v>1021</v>
      </c>
      <c r="D1179" s="82" t="s">
        <v>1031</v>
      </c>
      <c r="E1179" s="82"/>
      <c r="F1179" s="75" t="str">
        <f t="shared" si="71"/>
        <v>Nankoma</v>
      </c>
      <c r="G1179" s="75" t="str">
        <f t="shared" si="69"/>
        <v>Bugiri</v>
      </c>
      <c r="H1179" s="82" t="s">
        <v>1031</v>
      </c>
    </row>
    <row r="1180" spans="1:8" ht="25.5">
      <c r="A1180" s="81">
        <v>558</v>
      </c>
      <c r="B1180" s="82" t="s">
        <v>2879</v>
      </c>
      <c r="C1180" s="83" t="s">
        <v>2884</v>
      </c>
      <c r="D1180" s="82" t="s">
        <v>3234</v>
      </c>
      <c r="E1180" s="82"/>
      <c r="F1180" s="90" t="s">
        <v>3026</v>
      </c>
      <c r="G1180" s="75" t="str">
        <f t="shared" si="69"/>
        <v>Wakiso</v>
      </c>
      <c r="H1180" s="82" t="s">
        <v>3234</v>
      </c>
    </row>
    <row r="1181" spans="1:8">
      <c r="A1181" s="81">
        <v>909</v>
      </c>
      <c r="B1181" s="82" t="s">
        <v>989</v>
      </c>
      <c r="C1181" s="82" t="s">
        <v>989</v>
      </c>
      <c r="D1181" s="82" t="s">
        <v>1001</v>
      </c>
      <c r="E1181" s="82"/>
      <c r="F1181" s="75" t="str">
        <f t="shared" si="71"/>
        <v>Nansanga</v>
      </c>
      <c r="G1181" s="75" t="str">
        <f t="shared" si="69"/>
        <v>Budaka</v>
      </c>
      <c r="H1181" s="82" t="s">
        <v>1001</v>
      </c>
    </row>
    <row r="1182" spans="1:8">
      <c r="A1182" s="81">
        <v>971</v>
      </c>
      <c r="B1182" s="82" t="s">
        <v>1439</v>
      </c>
      <c r="C1182" s="82" t="s">
        <v>1278</v>
      </c>
      <c r="D1182" s="82" t="s">
        <v>1450</v>
      </c>
      <c r="E1182" s="82"/>
      <c r="F1182" s="75" t="str">
        <f t="shared" si="71"/>
        <v>Nansololo</v>
      </c>
      <c r="G1182" s="75" t="str">
        <f t="shared" si="69"/>
        <v>Kaliro</v>
      </c>
      <c r="H1182" s="82" t="s">
        <v>1450</v>
      </c>
    </row>
    <row r="1183" spans="1:8">
      <c r="A1183" s="81">
        <v>278</v>
      </c>
      <c r="B1183" s="82" t="s">
        <v>2606</v>
      </c>
      <c r="C1183" s="82" t="s">
        <v>2607</v>
      </c>
      <c r="D1183" s="82" t="s">
        <v>2613</v>
      </c>
      <c r="E1183" s="82"/>
      <c r="F1183" s="75" t="str">
        <f t="shared" si="71"/>
        <v>Napak Town Council</v>
      </c>
      <c r="G1183" s="75" t="str">
        <f t="shared" si="69"/>
        <v>Napak</v>
      </c>
      <c r="H1183" s="82" t="s">
        <v>2613</v>
      </c>
    </row>
    <row r="1184" spans="1:8">
      <c r="A1184" s="81">
        <v>196</v>
      </c>
      <c r="B1184" s="82" t="s">
        <v>1337</v>
      </c>
      <c r="C1184" s="82" t="s">
        <v>1338</v>
      </c>
      <c r="D1184" s="82" t="s">
        <v>1350</v>
      </c>
      <c r="E1184" s="82"/>
      <c r="F1184" s="75" t="str">
        <f t="shared" si="71"/>
        <v>Napore Karenga</v>
      </c>
      <c r="G1184" s="75" t="str">
        <f t="shared" si="69"/>
        <v>Kaabong</v>
      </c>
      <c r="H1184" s="82" t="s">
        <v>1350</v>
      </c>
    </row>
    <row r="1185" spans="1:8">
      <c r="A1185" s="81">
        <v>972</v>
      </c>
      <c r="B1185" s="82" t="s">
        <v>1439</v>
      </c>
      <c r="C1185" s="82" t="s">
        <v>1278</v>
      </c>
      <c r="D1185" s="82" t="s">
        <v>1451</v>
      </c>
      <c r="E1185" s="82"/>
      <c r="F1185" s="75" t="str">
        <f t="shared" si="71"/>
        <v>Nawaikoke</v>
      </c>
      <c r="G1185" s="75" t="str">
        <f t="shared" si="69"/>
        <v>Kaliro</v>
      </c>
      <c r="H1185" s="82" t="s">
        <v>1451</v>
      </c>
    </row>
    <row r="1186" spans="1:8">
      <c r="A1186" s="81">
        <v>1052</v>
      </c>
      <c r="B1186" s="82" t="s">
        <v>2246</v>
      </c>
      <c r="C1186" s="82" t="s">
        <v>2246</v>
      </c>
      <c r="D1186" s="82" t="s">
        <v>2252</v>
      </c>
      <c r="E1186" s="82"/>
      <c r="F1186" s="75" t="str">
        <f t="shared" si="71"/>
        <v>Nawampiti</v>
      </c>
      <c r="G1186" s="75" t="str">
        <f t="shared" si="69"/>
        <v>Luuka</v>
      </c>
      <c r="H1186" s="82" t="s">
        <v>2252</v>
      </c>
    </row>
    <row r="1187" spans="1:8">
      <c r="A1187" s="81">
        <v>711</v>
      </c>
      <c r="B1187" s="82" t="s">
        <v>1279</v>
      </c>
      <c r="C1187" s="82" t="s">
        <v>1280</v>
      </c>
      <c r="D1187" s="82" t="s">
        <v>1295</v>
      </c>
      <c r="E1187" s="82"/>
      <c r="F1187" s="75" t="str">
        <f t="shared" si="71"/>
        <v>Nawandala</v>
      </c>
      <c r="G1187" s="75" t="str">
        <f t="shared" si="69"/>
        <v>Iganga</v>
      </c>
      <c r="H1187" s="82" t="s">
        <v>1295</v>
      </c>
    </row>
    <row r="1188" spans="1:8">
      <c r="A1188" s="81">
        <v>959</v>
      </c>
      <c r="B1188" s="82" t="s">
        <v>1174</v>
      </c>
      <c r="C1188" s="82" t="s">
        <v>1175</v>
      </c>
      <c r="D1188" s="82" t="s">
        <v>1184</v>
      </c>
      <c r="E1188" s="82"/>
      <c r="F1188" s="75" t="str">
        <f t="shared" si="71"/>
        <v>Nawanjofu</v>
      </c>
      <c r="G1188" s="75" t="str">
        <f t="shared" si="69"/>
        <v>Butaleja</v>
      </c>
      <c r="H1188" s="82" t="s">
        <v>1184</v>
      </c>
    </row>
    <row r="1189" spans="1:8">
      <c r="A1189" s="81">
        <v>735</v>
      </c>
      <c r="B1189" s="82" t="s">
        <v>1911</v>
      </c>
      <c r="C1189" s="82" t="s">
        <v>1914</v>
      </c>
      <c r="D1189" s="82" t="s">
        <v>1924</v>
      </c>
      <c r="E1189" s="82"/>
      <c r="F1189" s="75" t="str">
        <f t="shared" si="71"/>
        <v>Nawanyago</v>
      </c>
      <c r="G1189" s="75" t="str">
        <f t="shared" si="69"/>
        <v>Kamuli</v>
      </c>
      <c r="H1189" s="82" t="s">
        <v>1924</v>
      </c>
    </row>
    <row r="1190" spans="1:8">
      <c r="A1190" s="81">
        <v>712</v>
      </c>
      <c r="B1190" s="82" t="s">
        <v>1279</v>
      </c>
      <c r="C1190" s="82" t="s">
        <v>1280</v>
      </c>
      <c r="D1190" s="82" t="s">
        <v>1296</v>
      </c>
      <c r="E1190" s="82"/>
      <c r="F1190" s="75" t="str">
        <f t="shared" si="71"/>
        <v>Nawanyingi</v>
      </c>
      <c r="G1190" s="75" t="str">
        <f t="shared" si="69"/>
        <v>Iganga</v>
      </c>
      <c r="H1190" s="82" t="s">
        <v>1296</v>
      </c>
    </row>
    <row r="1191" spans="1:8">
      <c r="A1191" s="81">
        <v>960</v>
      </c>
      <c r="B1191" s="82" t="s">
        <v>1174</v>
      </c>
      <c r="C1191" s="82" t="s">
        <v>1175</v>
      </c>
      <c r="D1191" s="82" t="s">
        <v>1185</v>
      </c>
      <c r="E1191" s="82"/>
      <c r="F1191" s="75" t="str">
        <f t="shared" si="71"/>
        <v>Naweyo</v>
      </c>
      <c r="G1191" s="75" t="str">
        <f t="shared" si="69"/>
        <v>Butaleja</v>
      </c>
      <c r="H1191" s="82" t="s">
        <v>1185</v>
      </c>
    </row>
    <row r="1192" spans="1:8">
      <c r="A1192" s="81">
        <v>531</v>
      </c>
      <c r="B1192" s="82" t="s">
        <v>2017</v>
      </c>
      <c r="C1192" s="82" t="s">
        <v>2019</v>
      </c>
      <c r="D1192" s="82" t="s">
        <v>2029</v>
      </c>
      <c r="E1192" s="82"/>
      <c r="F1192" s="75" t="str">
        <f t="shared" si="71"/>
        <v>Nazigo</v>
      </c>
      <c r="G1192" s="75" t="str">
        <f t="shared" si="69"/>
        <v>Kayunga</v>
      </c>
      <c r="H1192" s="82" t="s">
        <v>2029</v>
      </c>
    </row>
    <row r="1193" spans="1:8">
      <c r="A1193" s="81">
        <v>658</v>
      </c>
      <c r="B1193" s="82" t="s">
        <v>2278</v>
      </c>
      <c r="C1193" s="82" t="s">
        <v>23</v>
      </c>
      <c r="D1193" s="82" t="s">
        <v>2284</v>
      </c>
      <c r="E1193" s="82"/>
      <c r="F1193" s="75" t="str">
        <f t="shared" si="71"/>
        <v>Ndagwe</v>
      </c>
      <c r="G1193" s="75" t="str">
        <f t="shared" si="69"/>
        <v>Lwengo</v>
      </c>
      <c r="H1193" s="82" t="s">
        <v>2284</v>
      </c>
    </row>
    <row r="1194" spans="1:8">
      <c r="A1194" s="81">
        <v>1491</v>
      </c>
      <c r="B1194" s="82" t="s">
        <v>1398</v>
      </c>
      <c r="C1194" s="82" t="s">
        <v>1399</v>
      </c>
      <c r="D1194" s="82" t="s">
        <v>1412</v>
      </c>
      <c r="E1194" s="82"/>
      <c r="F1194" s="75" t="str">
        <f t="shared" si="71"/>
        <v>Ndaiga</v>
      </c>
      <c r="G1194" s="75" t="str">
        <f t="shared" si="69"/>
        <v>Kagadi</v>
      </c>
      <c r="H1194" s="82" t="s">
        <v>1412</v>
      </c>
    </row>
    <row r="1195" spans="1:8">
      <c r="A1195" s="81">
        <v>1259</v>
      </c>
      <c r="B1195" s="82" t="s">
        <v>2388</v>
      </c>
      <c r="C1195" s="82" t="s">
        <v>2391</v>
      </c>
      <c r="D1195" s="82" t="s">
        <v>2399</v>
      </c>
      <c r="E1195" s="82"/>
      <c r="F1195" s="75" t="str">
        <f t="shared" si="71"/>
        <v>Ndeija</v>
      </c>
      <c r="G1195" s="75" t="str">
        <f t="shared" si="69"/>
        <v>Mbarara</v>
      </c>
      <c r="H1195" s="82" t="s">
        <v>2399</v>
      </c>
    </row>
    <row r="1196" spans="1:8" ht="38.25">
      <c r="A1196" s="81">
        <v>554</v>
      </c>
      <c r="B1196" s="84" t="s">
        <v>2879</v>
      </c>
      <c r="C1196" s="85" t="s">
        <v>2880</v>
      </c>
      <c r="D1196" s="84" t="s">
        <v>3235</v>
      </c>
      <c r="E1196" s="84"/>
      <c r="F1196" s="76" t="s">
        <v>3040</v>
      </c>
      <c r="G1196" s="75" t="str">
        <f t="shared" si="69"/>
        <v>Wakiso</v>
      </c>
      <c r="H1196" s="84" t="s">
        <v>3235</v>
      </c>
    </row>
    <row r="1197" spans="1:8">
      <c r="A1197" s="81">
        <v>114</v>
      </c>
      <c r="B1197" s="82" t="s">
        <v>2616</v>
      </c>
      <c r="C1197" s="82" t="s">
        <v>2617</v>
      </c>
      <c r="D1197" s="82" t="s">
        <v>2621</v>
      </c>
      <c r="E1197" s="82"/>
      <c r="F1197" s="75" t="str">
        <f t="shared" si="71"/>
        <v>Ndhew</v>
      </c>
      <c r="G1197" s="75" t="str">
        <f t="shared" si="69"/>
        <v>Nebbi</v>
      </c>
      <c r="H1197" s="82" t="s">
        <v>2621</v>
      </c>
    </row>
    <row r="1198" spans="1:8">
      <c r="A1198" s="81">
        <v>1104</v>
      </c>
      <c r="B1198" s="82" t="s">
        <v>1108</v>
      </c>
      <c r="C1198" s="82" t="s">
        <v>1112</v>
      </c>
      <c r="D1198" s="82" t="s">
        <v>1123</v>
      </c>
      <c r="E1198" s="82"/>
      <c r="F1198" s="75" t="str">
        <f t="shared" si="71"/>
        <v>Nduguto</v>
      </c>
      <c r="G1198" s="75" t="str">
        <f t="shared" si="69"/>
        <v>Bundibugyo</v>
      </c>
      <c r="H1198" s="82" t="s">
        <v>1123</v>
      </c>
    </row>
    <row r="1199" spans="1:8">
      <c r="A1199" s="81">
        <v>115</v>
      </c>
      <c r="B1199" s="82" t="s">
        <v>2616</v>
      </c>
      <c r="C1199" s="82" t="s">
        <v>2617</v>
      </c>
      <c r="D1199" s="82" t="s">
        <v>2616</v>
      </c>
      <c r="E1199" s="82"/>
      <c r="F1199" s="75" t="str">
        <f t="shared" si="71"/>
        <v>Nebbi</v>
      </c>
      <c r="G1199" s="75" t="str">
        <f t="shared" si="69"/>
        <v>Nebbi</v>
      </c>
      <c r="H1199" s="82" t="s">
        <v>2616</v>
      </c>
    </row>
    <row r="1200" spans="1:8">
      <c r="A1200" s="81">
        <v>224</v>
      </c>
      <c r="B1200" s="82" t="s">
        <v>2686</v>
      </c>
      <c r="C1200" s="82" t="s">
        <v>2686</v>
      </c>
      <c r="D1200" s="82" t="s">
        <v>2696</v>
      </c>
      <c r="E1200" s="82"/>
      <c r="F1200" s="75" t="str">
        <f t="shared" si="71"/>
        <v>Ngai</v>
      </c>
      <c r="G1200" s="75" t="str">
        <f t="shared" si="69"/>
        <v>Oyam</v>
      </c>
      <c r="H1200" s="82" t="s">
        <v>2696</v>
      </c>
    </row>
    <row r="1201" spans="1:8">
      <c r="A1201" s="81">
        <v>1105</v>
      </c>
      <c r="B1201" s="82" t="s">
        <v>1108</v>
      </c>
      <c r="C1201" s="82" t="s">
        <v>1112</v>
      </c>
      <c r="D1201" s="82" t="s">
        <v>1124</v>
      </c>
      <c r="E1201" s="82"/>
      <c r="F1201" s="75" t="str">
        <f t="shared" si="71"/>
        <v>Ngamba</v>
      </c>
      <c r="G1201" s="75" t="str">
        <f t="shared" si="69"/>
        <v>Bundibugyo</v>
      </c>
      <c r="H1201" s="82" t="s">
        <v>1124</v>
      </c>
    </row>
    <row r="1202" spans="1:8">
      <c r="A1202" s="81">
        <v>616</v>
      </c>
      <c r="B1202" s="82" t="s">
        <v>1187</v>
      </c>
      <c r="C1202" s="82" t="s">
        <v>1187</v>
      </c>
      <c r="D1202" s="82" t="s">
        <v>1192</v>
      </c>
      <c r="E1202" s="82"/>
      <c r="F1202" s="75" t="str">
        <f t="shared" si="71"/>
        <v>Ngando</v>
      </c>
      <c r="G1202" s="75" t="str">
        <f t="shared" si="69"/>
        <v>Butambala</v>
      </c>
      <c r="H1202" s="82" t="s">
        <v>1192</v>
      </c>
    </row>
    <row r="1203" spans="1:8">
      <c r="A1203" s="81">
        <v>1369</v>
      </c>
      <c r="B1203" s="82" t="s">
        <v>48</v>
      </c>
      <c r="C1203" s="82" t="s">
        <v>1299</v>
      </c>
      <c r="D1203" s="82" t="s">
        <v>1312</v>
      </c>
      <c r="E1203" s="82"/>
      <c r="F1203" s="75" t="str">
        <f t="shared" si="71"/>
        <v>Ngarama</v>
      </c>
      <c r="G1203" s="75" t="str">
        <f t="shared" si="69"/>
        <v>Isingiro</v>
      </c>
      <c r="H1203" s="82" t="s">
        <v>1312</v>
      </c>
    </row>
    <row r="1204" spans="1:8">
      <c r="A1204" s="81">
        <v>759</v>
      </c>
      <c r="B1204" s="82" t="s">
        <v>2007</v>
      </c>
      <c r="C1204" s="82" t="s">
        <v>2009</v>
      </c>
      <c r="D1204" s="82" t="s">
        <v>2012</v>
      </c>
      <c r="E1204" s="82"/>
      <c r="F1204" s="75" t="str">
        <f t="shared" si="71"/>
        <v>Ngariam</v>
      </c>
      <c r="G1204" s="75" t="str">
        <f t="shared" si="69"/>
        <v>Katakwi</v>
      </c>
      <c r="H1204" s="82" t="s">
        <v>2012</v>
      </c>
    </row>
    <row r="1205" spans="1:8">
      <c r="A1205" s="81">
        <v>1045</v>
      </c>
      <c r="B1205" s="82" t="s">
        <v>2156</v>
      </c>
      <c r="C1205" s="82" t="s">
        <v>2156</v>
      </c>
      <c r="D1205" s="82" t="s">
        <v>2167</v>
      </c>
      <c r="E1205" s="82"/>
      <c r="F1205" s="75" t="str">
        <f t="shared" si="71"/>
        <v>Ngenge</v>
      </c>
      <c r="G1205" s="75" t="str">
        <f t="shared" si="69"/>
        <v>Kween</v>
      </c>
      <c r="H1205" s="82" t="s">
        <v>2167</v>
      </c>
    </row>
    <row r="1206" spans="1:8">
      <c r="A1206" s="81">
        <v>86</v>
      </c>
      <c r="B1206" s="82" t="s">
        <v>2236</v>
      </c>
      <c r="C1206" s="82" t="s">
        <v>2237</v>
      </c>
      <c r="D1206" s="82" t="s">
        <v>2244</v>
      </c>
      <c r="E1206" s="82"/>
      <c r="F1206" s="75" t="str">
        <f t="shared" si="71"/>
        <v>Ngetta</v>
      </c>
      <c r="G1206" s="75" t="str">
        <f t="shared" si="69"/>
        <v>Lira</v>
      </c>
      <c r="H1206" s="82" t="s">
        <v>2244</v>
      </c>
    </row>
    <row r="1207" spans="1:8">
      <c r="A1207" s="81">
        <v>597</v>
      </c>
      <c r="B1207" s="82" t="s">
        <v>1041</v>
      </c>
      <c r="C1207" s="82" t="s">
        <v>1041</v>
      </c>
      <c r="D1207" s="82" t="s">
        <v>1051</v>
      </c>
      <c r="E1207" s="82"/>
      <c r="F1207" s="75" t="str">
        <f t="shared" si="71"/>
        <v>Ngogwe</v>
      </c>
      <c r="G1207" s="75" t="str">
        <f t="shared" si="69"/>
        <v>Buikwe</v>
      </c>
      <c r="H1207" s="82" t="s">
        <v>1051</v>
      </c>
    </row>
    <row r="1208" spans="1:8">
      <c r="A1208" s="81">
        <v>279</v>
      </c>
      <c r="B1208" s="82" t="s">
        <v>2606</v>
      </c>
      <c r="C1208" s="82" t="s">
        <v>2607</v>
      </c>
      <c r="D1208" s="82" t="s">
        <v>2614</v>
      </c>
      <c r="E1208" s="82"/>
      <c r="F1208" s="75" t="str">
        <f t="shared" si="71"/>
        <v>Ngoleriet</v>
      </c>
      <c r="G1208" s="75" t="str">
        <f t="shared" si="69"/>
        <v>Napak</v>
      </c>
      <c r="H1208" s="82" t="s">
        <v>2614</v>
      </c>
    </row>
    <row r="1209" spans="1:8">
      <c r="A1209" s="81">
        <v>589</v>
      </c>
      <c r="B1209" s="82" t="s">
        <v>2537</v>
      </c>
      <c r="C1209" s="82" t="s">
        <v>2537</v>
      </c>
      <c r="D1209" s="86" t="s">
        <v>2548</v>
      </c>
      <c r="E1209" s="82"/>
      <c r="F1209" s="75" t="str">
        <f t="shared" ref="F1209:F1210" si="72">D1209&amp;"-"&amp;B1209</f>
        <v>Ngoma-Nakaseke</v>
      </c>
      <c r="G1209" s="75" t="str">
        <f t="shared" si="69"/>
        <v>Nakaseke</v>
      </c>
      <c r="H1209" s="86" t="s">
        <v>2548</v>
      </c>
    </row>
    <row r="1210" spans="1:8">
      <c r="A1210" s="81">
        <v>1279</v>
      </c>
      <c r="B1210" s="82" t="s">
        <v>47</v>
      </c>
      <c r="C1210" s="82" t="s">
        <v>2648</v>
      </c>
      <c r="D1210" s="86" t="s">
        <v>2548</v>
      </c>
      <c r="E1210" s="82"/>
      <c r="F1210" s="75" t="str">
        <f t="shared" si="72"/>
        <v>Ngoma-Ntungamo</v>
      </c>
      <c r="G1210" s="75" t="str">
        <f t="shared" si="69"/>
        <v>Ntungamo</v>
      </c>
      <c r="H1210" s="86" t="s">
        <v>2548</v>
      </c>
    </row>
    <row r="1211" spans="1:8">
      <c r="A1211" s="81">
        <v>590</v>
      </c>
      <c r="B1211" s="82" t="s">
        <v>2537</v>
      </c>
      <c r="C1211" s="82" t="s">
        <v>2537</v>
      </c>
      <c r="D1211" s="82" t="s">
        <v>2547</v>
      </c>
      <c r="E1211" s="82"/>
      <c r="F1211" s="75" t="str">
        <f t="shared" ref="F1211:F1223" si="73">D1211</f>
        <v>Ngoma Town Council</v>
      </c>
      <c r="G1211" s="75" t="str">
        <f t="shared" si="69"/>
        <v>Nakaseke</v>
      </c>
      <c r="H1211" s="82" t="s">
        <v>2547</v>
      </c>
    </row>
    <row r="1212" spans="1:8">
      <c r="A1212" s="81">
        <v>1066</v>
      </c>
      <c r="B1212" s="82" t="s">
        <v>2626</v>
      </c>
      <c r="C1212" s="82" t="s">
        <v>2626</v>
      </c>
      <c r="D1212" s="82" t="s">
        <v>2626</v>
      </c>
      <c r="E1212" s="82"/>
      <c r="F1212" s="75" t="str">
        <f t="shared" si="73"/>
        <v>Ngora</v>
      </c>
      <c r="G1212" s="75" t="str">
        <f t="shared" si="69"/>
        <v>Ngora</v>
      </c>
      <c r="H1212" s="82" t="s">
        <v>2626</v>
      </c>
    </row>
    <row r="1213" spans="1:8">
      <c r="A1213" s="81">
        <v>1067</v>
      </c>
      <c r="B1213" s="82" t="s">
        <v>2626</v>
      </c>
      <c r="C1213" s="82" t="s">
        <v>2626</v>
      </c>
      <c r="D1213" s="82" t="s">
        <v>2629</v>
      </c>
      <c r="E1213" s="82"/>
      <c r="F1213" s="75" t="str">
        <f t="shared" si="73"/>
        <v>Ngora Town Council</v>
      </c>
      <c r="G1213" s="75" t="str">
        <f t="shared" si="69"/>
        <v>Ngora</v>
      </c>
      <c r="H1213" s="82" t="s">
        <v>2629</v>
      </c>
    </row>
    <row r="1214" spans="1:8">
      <c r="A1214" s="81">
        <v>1352</v>
      </c>
      <c r="B1214" s="82" t="s">
        <v>1101</v>
      </c>
      <c r="C1214" s="82" t="s">
        <v>1101</v>
      </c>
      <c r="D1214" s="82" t="s">
        <v>1106</v>
      </c>
      <c r="E1214" s="82"/>
      <c r="F1214" s="75" t="str">
        <f t="shared" si="73"/>
        <v>Ngwedo</v>
      </c>
      <c r="G1214" s="75" t="str">
        <f t="shared" si="69"/>
        <v>Buliisa</v>
      </c>
      <c r="H1214" s="82" t="s">
        <v>1106</v>
      </c>
    </row>
    <row r="1215" spans="1:8">
      <c r="A1215" s="81">
        <v>603</v>
      </c>
      <c r="B1215" s="82" t="s">
        <v>1041</v>
      </c>
      <c r="C1215" s="83" t="s">
        <v>1052</v>
      </c>
      <c r="D1215" s="82" t="s">
        <v>3236</v>
      </c>
      <c r="E1215" s="82"/>
      <c r="F1215" s="76" t="str">
        <f>VLOOKUP(C1215,[2]Municipalities!$C$9:$F$1522,4,FALSE)</f>
        <v>Njeru Municipality</v>
      </c>
      <c r="G1215" s="75" t="str">
        <f t="shared" si="69"/>
        <v>Buikwe</v>
      </c>
      <c r="H1215" s="82" t="s">
        <v>3236</v>
      </c>
    </row>
    <row r="1216" spans="1:8">
      <c r="A1216" s="81">
        <v>644</v>
      </c>
      <c r="B1216" s="82" t="s">
        <v>2169</v>
      </c>
      <c r="C1216" s="82" t="s">
        <v>2042</v>
      </c>
      <c r="D1216" s="82" t="s">
        <v>2182</v>
      </c>
      <c r="E1216" s="82"/>
      <c r="F1216" s="75" t="str">
        <f t="shared" si="73"/>
        <v>Nkandwa</v>
      </c>
      <c r="G1216" s="75" t="str">
        <f t="shared" si="69"/>
        <v>Kyankwanzi</v>
      </c>
      <c r="H1216" s="82" t="s">
        <v>2182</v>
      </c>
    </row>
    <row r="1217" spans="1:8">
      <c r="A1217" s="81">
        <v>598</v>
      </c>
      <c r="B1217" s="82" t="s">
        <v>1041</v>
      </c>
      <c r="C1217" s="82" t="s">
        <v>1041</v>
      </c>
      <c r="D1217" s="82" t="s">
        <v>1053</v>
      </c>
      <c r="E1217" s="82"/>
      <c r="F1217" s="75" t="str">
        <f t="shared" si="73"/>
        <v>Nkokonjeru Town Council</v>
      </c>
      <c r="G1217" s="75" t="str">
        <f t="shared" si="69"/>
        <v>Buikwe</v>
      </c>
      <c r="H1217" s="82" t="s">
        <v>1053</v>
      </c>
    </row>
    <row r="1218" spans="1:8">
      <c r="A1218" s="81">
        <v>1305</v>
      </c>
      <c r="B1218" s="82" t="s">
        <v>45</v>
      </c>
      <c r="C1218" s="82" t="s">
        <v>1198</v>
      </c>
      <c r="D1218" s="82" t="s">
        <v>1938</v>
      </c>
      <c r="E1218" s="82"/>
      <c r="F1218" s="75" t="str">
        <f t="shared" si="73"/>
        <v>Nkoma</v>
      </c>
      <c r="G1218" s="75" t="str">
        <f t="shared" si="69"/>
        <v>Kamwenge</v>
      </c>
      <c r="H1218" s="82" t="s">
        <v>1938</v>
      </c>
    </row>
    <row r="1219" spans="1:8">
      <c r="A1219" s="81">
        <v>1023</v>
      </c>
      <c r="B1219" s="82" t="s">
        <v>1215</v>
      </c>
      <c r="C1219" s="82" t="s">
        <v>1216</v>
      </c>
      <c r="D1219" s="82" t="s">
        <v>1220</v>
      </c>
      <c r="E1219" s="82"/>
      <c r="F1219" s="75" t="str">
        <f t="shared" si="73"/>
        <v>Nkondo</v>
      </c>
      <c r="G1219" s="75" t="str">
        <f t="shared" si="69"/>
        <v>Buyende</v>
      </c>
      <c r="H1219" s="82" t="s">
        <v>1220</v>
      </c>
    </row>
    <row r="1220" spans="1:8">
      <c r="A1220" s="81">
        <v>1503</v>
      </c>
      <c r="B1220" s="82" t="s">
        <v>1417</v>
      </c>
      <c r="C1220" s="82" t="s">
        <v>1418</v>
      </c>
      <c r="D1220" s="82" t="s">
        <v>1429</v>
      </c>
      <c r="E1220" s="82"/>
      <c r="F1220" s="75" t="str">
        <f t="shared" si="73"/>
        <v>Nkooko</v>
      </c>
      <c r="G1220" s="75" t="str">
        <f t="shared" si="69"/>
        <v>Kakumiro</v>
      </c>
      <c r="H1220" s="82" t="s">
        <v>1429</v>
      </c>
    </row>
    <row r="1221" spans="1:8">
      <c r="A1221" s="81">
        <v>457</v>
      </c>
      <c r="B1221" s="82" t="s">
        <v>2460</v>
      </c>
      <c r="C1221" s="82" t="s">
        <v>2461</v>
      </c>
      <c r="D1221" s="82" t="s">
        <v>2471</v>
      </c>
      <c r="E1221" s="82"/>
      <c r="F1221" s="75" t="str">
        <f t="shared" si="73"/>
        <v>Nkozi</v>
      </c>
      <c r="G1221" s="75" t="str">
        <f t="shared" si="69"/>
        <v>Mpigi</v>
      </c>
      <c r="H1221" s="82" t="s">
        <v>2471</v>
      </c>
    </row>
    <row r="1222" spans="1:8">
      <c r="A1222" s="81">
        <v>1393</v>
      </c>
      <c r="B1222" s="82" t="s">
        <v>2064</v>
      </c>
      <c r="C1222" s="82" t="s">
        <v>2065</v>
      </c>
      <c r="D1222" s="82" t="s">
        <v>2079</v>
      </c>
      <c r="E1222" s="82"/>
      <c r="F1222" s="75" t="str">
        <f t="shared" si="73"/>
        <v>Nkungu</v>
      </c>
      <c r="G1222" s="75" t="str">
        <f t="shared" si="69"/>
        <v>Kiruhura</v>
      </c>
      <c r="H1222" s="82" t="s">
        <v>2079</v>
      </c>
    </row>
    <row r="1223" spans="1:8">
      <c r="A1223" s="81">
        <v>1449</v>
      </c>
      <c r="B1223" s="82" t="s">
        <v>2631</v>
      </c>
      <c r="C1223" s="82" t="s">
        <v>2631</v>
      </c>
      <c r="D1223" s="82" t="s">
        <v>2638</v>
      </c>
      <c r="E1223" s="82"/>
      <c r="F1223" s="75" t="str">
        <f t="shared" si="73"/>
        <v>Nombe</v>
      </c>
      <c r="G1223" s="75" t="str">
        <f t="shared" si="69"/>
        <v>Ntoroko</v>
      </c>
      <c r="H1223" s="82" t="s">
        <v>2638</v>
      </c>
    </row>
    <row r="1224" spans="1:8" ht="25.5">
      <c r="A1224" s="81">
        <v>1233</v>
      </c>
      <c r="B1224" s="82" t="s">
        <v>2097</v>
      </c>
      <c r="C1224" s="83" t="s">
        <v>2103</v>
      </c>
      <c r="D1224" s="82" t="s">
        <v>3237</v>
      </c>
      <c r="E1224" s="82"/>
      <c r="F1224" s="76" t="str">
        <f>VLOOKUP(C1224,[2]Municipalities!$C$9:$F$1522,4,FALSE)</f>
        <v>Kisoro Municipality</v>
      </c>
      <c r="G1224" s="75" t="str">
        <f t="shared" si="69"/>
        <v>Kisoro</v>
      </c>
      <c r="H1224" s="82" t="s">
        <v>3237</v>
      </c>
    </row>
    <row r="1225" spans="1:8" ht="25.5">
      <c r="A1225" s="81">
        <v>96</v>
      </c>
      <c r="B1225" s="82" t="s">
        <v>893</v>
      </c>
      <c r="C1225" s="83" t="s">
        <v>2443</v>
      </c>
      <c r="D1225" s="86" t="s">
        <v>3238</v>
      </c>
      <c r="E1225" s="82"/>
      <c r="F1225" s="76" t="str">
        <f>VLOOKUP(C1225,[2]Municipalities!$C$9:$F$1522,4,FALSE)</f>
        <v>Moroto Municipality</v>
      </c>
      <c r="G1225" s="75" t="str">
        <f t="shared" si="69"/>
        <v>Moroto</v>
      </c>
      <c r="H1225" s="86" t="s">
        <v>3238</v>
      </c>
    </row>
    <row r="1226" spans="1:8" ht="25.5">
      <c r="A1226" s="81">
        <v>704</v>
      </c>
      <c r="B1226" s="82" t="s">
        <v>1279</v>
      </c>
      <c r="C1226" s="83" t="s">
        <v>1285</v>
      </c>
      <c r="D1226" s="86" t="s">
        <v>3238</v>
      </c>
      <c r="E1226" s="82"/>
      <c r="F1226" s="76" t="str">
        <f>VLOOKUP(C1226,[2]Municipalities!$C$9:$F$1522,4,FALSE)</f>
        <v>Iganga Municipality</v>
      </c>
      <c r="G1226" s="75" t="str">
        <f t="shared" ref="G1226:G1289" si="74">B1226</f>
        <v>Iganga</v>
      </c>
      <c r="H1226" s="86" t="s">
        <v>3238</v>
      </c>
    </row>
    <row r="1227" spans="1:8" ht="25.5">
      <c r="A1227" s="81">
        <v>737</v>
      </c>
      <c r="B1227" s="82" t="s">
        <v>1911</v>
      </c>
      <c r="C1227" s="83" t="s">
        <v>1917</v>
      </c>
      <c r="D1227" s="86" t="s">
        <v>3238</v>
      </c>
      <c r="E1227" s="82"/>
      <c r="F1227" s="76" t="str">
        <f>VLOOKUP(C1227,[2]Municipalities!$C$9:$F$1522,4,FALSE)</f>
        <v>Kamuli Municipality</v>
      </c>
      <c r="G1227" s="75" t="str">
        <f t="shared" si="74"/>
        <v>Kamuli</v>
      </c>
      <c r="H1227" s="86" t="s">
        <v>3238</v>
      </c>
    </row>
    <row r="1228" spans="1:8" ht="25.5">
      <c r="A1228" s="81">
        <v>794</v>
      </c>
      <c r="B1228" s="82" t="s">
        <v>2362</v>
      </c>
      <c r="C1228" s="83" t="s">
        <v>2378</v>
      </c>
      <c r="D1228" s="86" t="s">
        <v>3238</v>
      </c>
      <c r="E1228" s="82"/>
      <c r="F1228" s="76" t="str">
        <f>VLOOKUP(C1228,[2]Municipalities!$C$9:$F$1522,4,FALSE)</f>
        <v>Mbale Municipality</v>
      </c>
      <c r="G1228" s="75" t="str">
        <f t="shared" si="74"/>
        <v>Mbale</v>
      </c>
      <c r="H1228" s="86" t="s">
        <v>3238</v>
      </c>
    </row>
    <row r="1229" spans="1:8">
      <c r="A1229" s="81">
        <v>815</v>
      </c>
      <c r="B1229" s="82" t="s">
        <v>2835</v>
      </c>
      <c r="C1229" s="83" t="s">
        <v>2840</v>
      </c>
      <c r="D1229" s="86" t="s">
        <v>3238</v>
      </c>
      <c r="E1229" s="82"/>
      <c r="F1229" s="76" t="str">
        <f>VLOOKUP(C1229,[2]Municipalities!$C$9:$F$1522,4,FALSE)</f>
        <v>Soroti Municipality</v>
      </c>
      <c r="G1229" s="75" t="str">
        <f t="shared" si="74"/>
        <v>Soroti</v>
      </c>
      <c r="H1229" s="86" t="s">
        <v>3238</v>
      </c>
    </row>
    <row r="1230" spans="1:8" ht="25.5">
      <c r="A1230" s="81">
        <v>1150</v>
      </c>
      <c r="B1230" s="82" t="s">
        <v>1353</v>
      </c>
      <c r="C1230" s="83" t="s">
        <v>1356</v>
      </c>
      <c r="D1230" s="86" t="s">
        <v>3238</v>
      </c>
      <c r="E1230" s="82"/>
      <c r="F1230" s="76" t="str">
        <f>VLOOKUP(C1230,[2]Municipalities!$C$9:$F$1522,4,FALSE)</f>
        <v>Kabale Municipality</v>
      </c>
      <c r="G1230" s="75" t="str">
        <f t="shared" si="74"/>
        <v>Kabale</v>
      </c>
      <c r="H1230" s="86" t="s">
        <v>3238</v>
      </c>
    </row>
    <row r="1231" spans="1:8" ht="25.5">
      <c r="A1231" s="81">
        <v>204</v>
      </c>
      <c r="B1231" s="82" t="s">
        <v>2126</v>
      </c>
      <c r="C1231" s="83" t="s">
        <v>2128</v>
      </c>
      <c r="D1231" s="86" t="s">
        <v>3239</v>
      </c>
      <c r="E1231" s="82"/>
      <c r="F1231" s="76" t="str">
        <f>VLOOKUP(C1231,[2]Municipalities!$C$9:$F$1522,4,FALSE)</f>
        <v>Koboko Municipality</v>
      </c>
      <c r="G1231" s="75" t="str">
        <f t="shared" si="74"/>
        <v>Koboko</v>
      </c>
      <c r="H1231" s="86" t="s">
        <v>3239</v>
      </c>
    </row>
    <row r="1232" spans="1:8">
      <c r="A1232" s="81">
        <v>769</v>
      </c>
      <c r="B1232" s="82" t="s">
        <v>2149</v>
      </c>
      <c r="C1232" s="83" t="s">
        <v>2151</v>
      </c>
      <c r="D1232" s="86" t="s">
        <v>3239</v>
      </c>
      <c r="E1232" s="82"/>
      <c r="F1232" s="76" t="str">
        <f>VLOOKUP(C1232,[2]Municipalities!$C$9:$F$1522,4,FALSE)</f>
        <v>Kumi Municipality</v>
      </c>
      <c r="G1232" s="75" t="str">
        <f t="shared" si="74"/>
        <v>Kumi</v>
      </c>
      <c r="H1232" s="86" t="s">
        <v>3239</v>
      </c>
    </row>
    <row r="1233" spans="1:8">
      <c r="A1233" s="81">
        <v>645</v>
      </c>
      <c r="B1233" s="82" t="s">
        <v>2169</v>
      </c>
      <c r="C1233" s="82" t="s">
        <v>2042</v>
      </c>
      <c r="D1233" s="82" t="s">
        <v>1870</v>
      </c>
      <c r="E1233" s="82"/>
      <c r="F1233" s="75" t="str">
        <f t="shared" ref="F1233:F1282" si="75">D1233</f>
        <v>Nsambya</v>
      </c>
      <c r="G1233" s="75" t="str">
        <f t="shared" si="74"/>
        <v>Kyankwanzi</v>
      </c>
      <c r="H1233" s="82" t="s">
        <v>1870</v>
      </c>
    </row>
    <row r="1234" spans="1:8">
      <c r="A1234" s="81">
        <v>1410</v>
      </c>
      <c r="B1234" s="82" t="s">
        <v>1033</v>
      </c>
      <c r="C1234" s="82" t="s">
        <v>1033</v>
      </c>
      <c r="D1234" s="82" t="s">
        <v>1038</v>
      </c>
      <c r="E1234" s="82"/>
      <c r="F1234" s="75" t="str">
        <f t="shared" si="75"/>
        <v>Nsiika Town Council</v>
      </c>
      <c r="G1234" s="75" t="str">
        <f t="shared" si="74"/>
        <v>Buhweju</v>
      </c>
      <c r="H1234" s="82" t="s">
        <v>1038</v>
      </c>
    </row>
    <row r="1235" spans="1:8">
      <c r="A1235" s="81">
        <v>996</v>
      </c>
      <c r="B1235" s="82" t="s">
        <v>2597</v>
      </c>
      <c r="C1235" s="82" t="s">
        <v>2598</v>
      </c>
      <c r="D1235" s="82" t="s">
        <v>2604</v>
      </c>
      <c r="E1235" s="82"/>
      <c r="F1235" s="75" t="str">
        <f t="shared" si="75"/>
        <v>Nsinze</v>
      </c>
      <c r="G1235" s="75" t="str">
        <f t="shared" si="74"/>
        <v>Namutumba</v>
      </c>
      <c r="H1235" s="82" t="s">
        <v>2604</v>
      </c>
    </row>
    <row r="1236" spans="1:8">
      <c r="A1236" s="81">
        <v>1111</v>
      </c>
      <c r="B1236" s="82" t="s">
        <v>1108</v>
      </c>
      <c r="C1236" s="82" t="s">
        <v>1112</v>
      </c>
      <c r="D1236" s="82" t="s">
        <v>1125</v>
      </c>
      <c r="E1236" s="82"/>
      <c r="F1236" s="75" t="str">
        <f t="shared" si="75"/>
        <v>Ntandi Town Council</v>
      </c>
      <c r="G1236" s="75" t="str">
        <f t="shared" si="74"/>
        <v>Bundibugyo</v>
      </c>
      <c r="H1236" s="82" t="s">
        <v>1125</v>
      </c>
    </row>
    <row r="1237" spans="1:8">
      <c r="A1237" s="81">
        <v>1311</v>
      </c>
      <c r="B1237" s="82" t="s">
        <v>45</v>
      </c>
      <c r="C1237" s="82" t="s">
        <v>1929</v>
      </c>
      <c r="D1237" s="82" t="s">
        <v>1941</v>
      </c>
      <c r="E1237" s="82"/>
      <c r="F1237" s="75" t="str">
        <f t="shared" si="75"/>
        <v>Ntara</v>
      </c>
      <c r="G1237" s="75" t="str">
        <f t="shared" si="74"/>
        <v>Kamwenge</v>
      </c>
      <c r="H1237" s="82" t="s">
        <v>1941</v>
      </c>
    </row>
    <row r="1238" spans="1:8">
      <c r="A1238" s="81">
        <v>484</v>
      </c>
      <c r="B1238" s="82" t="s">
        <v>2500</v>
      </c>
      <c r="C1238" s="82" t="s">
        <v>2500</v>
      </c>
      <c r="D1238" s="82" t="s">
        <v>2019</v>
      </c>
      <c r="E1238" s="82"/>
      <c r="F1238" s="75" t="str">
        <f t="shared" si="75"/>
        <v>Ntenjeru</v>
      </c>
      <c r="G1238" s="75" t="str">
        <f t="shared" si="74"/>
        <v>Mukono</v>
      </c>
      <c r="H1238" s="82" t="s">
        <v>2019</v>
      </c>
    </row>
    <row r="1239" spans="1:8">
      <c r="A1239" s="81">
        <v>1106</v>
      </c>
      <c r="B1239" s="82" t="s">
        <v>1108</v>
      </c>
      <c r="C1239" s="82" t="s">
        <v>1112</v>
      </c>
      <c r="D1239" s="82" t="s">
        <v>1126</v>
      </c>
      <c r="E1239" s="82"/>
      <c r="F1239" s="75" t="str">
        <f t="shared" si="75"/>
        <v>Ntotoro</v>
      </c>
      <c r="G1239" s="75" t="str">
        <f t="shared" si="74"/>
        <v>Bundibugyo</v>
      </c>
      <c r="H1239" s="82" t="s">
        <v>1126</v>
      </c>
    </row>
    <row r="1240" spans="1:8">
      <c r="A1240" s="81">
        <v>491</v>
      </c>
      <c r="B1240" s="82" t="s">
        <v>2500</v>
      </c>
      <c r="C1240" s="82" t="s">
        <v>2501</v>
      </c>
      <c r="D1240" s="82" t="s">
        <v>2522</v>
      </c>
      <c r="E1240" s="82"/>
      <c r="F1240" s="75" t="str">
        <f t="shared" si="75"/>
        <v>Ntunda</v>
      </c>
      <c r="G1240" s="75" t="str">
        <f t="shared" si="74"/>
        <v>Mukono</v>
      </c>
      <c r="H1240" s="82" t="s">
        <v>2522</v>
      </c>
    </row>
    <row r="1241" spans="1:8">
      <c r="A1241" s="81">
        <v>1272</v>
      </c>
      <c r="B1241" s="82" t="s">
        <v>47</v>
      </c>
      <c r="C1241" s="82" t="s">
        <v>2645</v>
      </c>
      <c r="D1241" s="82" t="s">
        <v>47</v>
      </c>
      <c r="E1241" s="82"/>
      <c r="F1241" s="75" t="str">
        <f t="shared" si="75"/>
        <v>Ntungamo</v>
      </c>
      <c r="G1241" s="75" t="str">
        <f t="shared" si="74"/>
        <v>Ntungamo</v>
      </c>
      <c r="H1241" s="82" t="s">
        <v>47</v>
      </c>
    </row>
    <row r="1242" spans="1:8">
      <c r="A1242" s="81">
        <v>516</v>
      </c>
      <c r="B1242" s="82" t="s">
        <v>2844</v>
      </c>
      <c r="C1242" s="82" t="s">
        <v>2847</v>
      </c>
      <c r="D1242" s="82" t="s">
        <v>2851</v>
      </c>
      <c r="E1242" s="82"/>
      <c r="F1242" s="75" t="str">
        <f t="shared" si="75"/>
        <v>Ntuusi</v>
      </c>
      <c r="G1242" s="75" t="str">
        <f t="shared" si="74"/>
        <v>Ssembabule</v>
      </c>
      <c r="H1242" s="82" t="s">
        <v>2851</v>
      </c>
    </row>
    <row r="1243" spans="1:8">
      <c r="A1243" s="81">
        <v>646</v>
      </c>
      <c r="B1243" s="82" t="s">
        <v>2169</v>
      </c>
      <c r="C1243" s="82" t="s">
        <v>2042</v>
      </c>
      <c r="D1243" s="82" t="s">
        <v>2183</v>
      </c>
      <c r="E1243" s="82"/>
      <c r="F1243" s="75" t="str">
        <f t="shared" si="75"/>
        <v>Ntwetwe</v>
      </c>
      <c r="G1243" s="75" t="str">
        <f t="shared" si="74"/>
        <v>Kyankwanzi</v>
      </c>
      <c r="H1243" s="82" t="s">
        <v>2183</v>
      </c>
    </row>
    <row r="1244" spans="1:8">
      <c r="A1244" s="81">
        <v>647</v>
      </c>
      <c r="B1244" s="82" t="s">
        <v>2169</v>
      </c>
      <c r="C1244" s="82" t="s">
        <v>2042</v>
      </c>
      <c r="D1244" s="82" t="s">
        <v>2184</v>
      </c>
      <c r="E1244" s="82"/>
      <c r="F1244" s="75" t="str">
        <f t="shared" si="75"/>
        <v>Ntwetwe Town Council</v>
      </c>
      <c r="G1244" s="75" t="str">
        <f t="shared" si="74"/>
        <v>Kyankwanzi</v>
      </c>
      <c r="H1244" s="82" t="s">
        <v>2184</v>
      </c>
    </row>
    <row r="1245" spans="1:8">
      <c r="A1245" s="81">
        <v>1312</v>
      </c>
      <c r="B1245" s="82" t="s">
        <v>45</v>
      </c>
      <c r="C1245" s="82" t="s">
        <v>1929</v>
      </c>
      <c r="D1245" s="82" t="s">
        <v>1942</v>
      </c>
      <c r="E1245" s="82"/>
      <c r="F1245" s="75" t="str">
        <f t="shared" si="75"/>
        <v>Nyabbani</v>
      </c>
      <c r="G1245" s="75" t="str">
        <f t="shared" si="74"/>
        <v>Kamwenge</v>
      </c>
      <c r="H1245" s="82" t="s">
        <v>1942</v>
      </c>
    </row>
    <row r="1246" spans="1:8">
      <c r="A1246" s="81">
        <v>1264</v>
      </c>
      <c r="B1246" s="82" t="s">
        <v>47</v>
      </c>
      <c r="C1246" s="82" t="s">
        <v>2642</v>
      </c>
      <c r="D1246" s="82" t="s">
        <v>2655</v>
      </c>
      <c r="E1246" s="82"/>
      <c r="F1246" s="75" t="str">
        <f t="shared" si="75"/>
        <v>Nyabihoko</v>
      </c>
      <c r="G1246" s="75" t="str">
        <f t="shared" si="74"/>
        <v>Ntungamo</v>
      </c>
      <c r="H1246" s="82" t="s">
        <v>2655</v>
      </c>
    </row>
    <row r="1247" spans="1:8">
      <c r="A1247" s="81">
        <v>1132</v>
      </c>
      <c r="B1247" s="82" t="s">
        <v>38</v>
      </c>
      <c r="C1247" s="82" t="s">
        <v>1143</v>
      </c>
      <c r="D1247" s="82" t="s">
        <v>1153</v>
      </c>
      <c r="E1247" s="82"/>
      <c r="F1247" s="75" t="str">
        <f t="shared" si="75"/>
        <v>Nyabubare</v>
      </c>
      <c r="G1247" s="75" t="str">
        <f t="shared" si="74"/>
        <v>Bushenyi</v>
      </c>
      <c r="H1247" s="82" t="s">
        <v>1153</v>
      </c>
    </row>
    <row r="1248" spans="1:8">
      <c r="A1248" s="81">
        <v>1343</v>
      </c>
      <c r="B1248" s="82" t="s">
        <v>2198</v>
      </c>
      <c r="C1248" s="82" t="s">
        <v>2199</v>
      </c>
      <c r="D1248" s="82" t="s">
        <v>2212</v>
      </c>
      <c r="E1248" s="82"/>
      <c r="F1248" s="75" t="str">
        <f t="shared" si="75"/>
        <v>Nyabuharwa</v>
      </c>
      <c r="G1248" s="75" t="str">
        <f t="shared" si="74"/>
        <v>Kyenjojo</v>
      </c>
      <c r="H1248" s="82" t="s">
        <v>2212</v>
      </c>
    </row>
    <row r="1249" spans="1:8">
      <c r="A1249" s="81">
        <v>1225</v>
      </c>
      <c r="B1249" s="82" t="s">
        <v>2097</v>
      </c>
      <c r="C1249" s="82" t="s">
        <v>2098</v>
      </c>
      <c r="D1249" s="82" t="s">
        <v>2106</v>
      </c>
      <c r="E1249" s="82"/>
      <c r="F1249" s="75" t="str">
        <f t="shared" si="75"/>
        <v>Nyabwishenya</v>
      </c>
      <c r="G1249" s="75" t="str">
        <f t="shared" si="74"/>
        <v>Kisoro</v>
      </c>
      <c r="H1249" s="82" t="s">
        <v>2106</v>
      </c>
    </row>
    <row r="1250" spans="1:8">
      <c r="A1250" s="81">
        <v>209</v>
      </c>
      <c r="B1250" s="82" t="s">
        <v>2313</v>
      </c>
      <c r="C1250" s="82" t="s">
        <v>2313</v>
      </c>
      <c r="D1250" s="82" t="s">
        <v>2315</v>
      </c>
      <c r="E1250" s="82"/>
      <c r="F1250" s="75" t="str">
        <f t="shared" si="75"/>
        <v>Nyadri</v>
      </c>
      <c r="G1250" s="75" t="str">
        <f t="shared" si="74"/>
        <v>Maracha</v>
      </c>
      <c r="H1250" s="82" t="s">
        <v>2315</v>
      </c>
    </row>
    <row r="1251" spans="1:8">
      <c r="A1251" s="81">
        <v>1120</v>
      </c>
      <c r="B1251" s="82" t="s">
        <v>1108</v>
      </c>
      <c r="C1251" s="82" t="s">
        <v>1109</v>
      </c>
      <c r="D1251" s="82" t="s">
        <v>1127</v>
      </c>
      <c r="E1251" s="82"/>
      <c r="F1251" s="75" t="str">
        <f t="shared" si="75"/>
        <v>Nyahuka Town Council</v>
      </c>
      <c r="G1251" s="75" t="str">
        <f t="shared" si="74"/>
        <v>Bundibugyo</v>
      </c>
      <c r="H1251" s="82" t="s">
        <v>1127</v>
      </c>
    </row>
    <row r="1252" spans="1:8">
      <c r="A1252" s="81">
        <v>1226</v>
      </c>
      <c r="B1252" s="82" t="s">
        <v>2097</v>
      </c>
      <c r="C1252" s="82" t="s">
        <v>2098</v>
      </c>
      <c r="D1252" s="82" t="s">
        <v>2107</v>
      </c>
      <c r="E1252" s="82"/>
      <c r="F1252" s="75" t="str">
        <f t="shared" si="75"/>
        <v>Nyakabande</v>
      </c>
      <c r="G1252" s="75" t="str">
        <f t="shared" si="74"/>
        <v>Kisoro</v>
      </c>
      <c r="H1252" s="82" t="s">
        <v>2107</v>
      </c>
    </row>
    <row r="1253" spans="1:8" ht="25.5">
      <c r="A1253" s="81">
        <v>1124</v>
      </c>
      <c r="B1253" s="82" t="s">
        <v>38</v>
      </c>
      <c r="C1253" s="83" t="s">
        <v>1145</v>
      </c>
      <c r="D1253" s="82" t="s">
        <v>3240</v>
      </c>
      <c r="E1253" s="82"/>
      <c r="F1253" s="76" t="str">
        <f>VLOOKUP(C1253,[2]Municipalities!$C$9:$F$1522,4,FALSE)</f>
        <v>Bushenyi-Ishaka Municipality</v>
      </c>
      <c r="G1253" s="75" t="str">
        <f t="shared" si="74"/>
        <v>Bushenyi</v>
      </c>
      <c r="H1253" s="82" t="s">
        <v>3240</v>
      </c>
    </row>
    <row r="1254" spans="1:8">
      <c r="A1254" s="81">
        <v>1292</v>
      </c>
      <c r="B1254" s="82" t="s">
        <v>40</v>
      </c>
      <c r="C1254" s="82" t="s">
        <v>2774</v>
      </c>
      <c r="D1254" s="82" t="s">
        <v>2781</v>
      </c>
      <c r="E1254" s="82"/>
      <c r="F1254" s="75" t="str">
        <f t="shared" si="75"/>
        <v>Nyakagyeme</v>
      </c>
      <c r="G1254" s="75" t="str">
        <f t="shared" si="74"/>
        <v>Rukungiri</v>
      </c>
      <c r="H1254" s="82" t="s">
        <v>2781</v>
      </c>
    </row>
    <row r="1255" spans="1:8">
      <c r="A1255" s="81">
        <v>1402</v>
      </c>
      <c r="B1255" s="82" t="s">
        <v>2064</v>
      </c>
      <c r="C1255" s="82" t="s">
        <v>2070</v>
      </c>
      <c r="D1255" s="82" t="s">
        <v>2080</v>
      </c>
      <c r="E1255" s="82"/>
      <c r="F1255" s="75" t="str">
        <f t="shared" si="75"/>
        <v>Nyakashashara</v>
      </c>
      <c r="G1255" s="75" t="str">
        <f t="shared" si="74"/>
        <v>Kiruhura</v>
      </c>
      <c r="H1255" s="82" t="s">
        <v>2080</v>
      </c>
    </row>
    <row r="1256" spans="1:8">
      <c r="A1256" s="81">
        <v>1189</v>
      </c>
      <c r="B1256" s="82" t="s">
        <v>36</v>
      </c>
      <c r="C1256" s="82" t="s">
        <v>1111</v>
      </c>
      <c r="D1256" s="82" t="s">
        <v>2003</v>
      </c>
      <c r="E1256" s="82"/>
      <c r="F1256" s="75" t="str">
        <f t="shared" si="75"/>
        <v>Nyakatonzi</v>
      </c>
      <c r="G1256" s="75" t="str">
        <f t="shared" si="74"/>
        <v>Kasese</v>
      </c>
      <c r="H1256" s="82" t="s">
        <v>2003</v>
      </c>
    </row>
    <row r="1257" spans="1:8" ht="25.5">
      <c r="A1257" s="81">
        <v>1256</v>
      </c>
      <c r="B1257" s="82" t="s">
        <v>2388</v>
      </c>
      <c r="C1257" s="83" t="s">
        <v>2395</v>
      </c>
      <c r="D1257" s="82" t="s">
        <v>3241</v>
      </c>
      <c r="E1257" s="82"/>
      <c r="F1257" s="76" t="str">
        <f>VLOOKUP(C1257,[2]Municipalities!$C$9:$F$1522,4,FALSE)</f>
        <v>Mbarara Municipality</v>
      </c>
      <c r="G1257" s="75" t="str">
        <f t="shared" si="74"/>
        <v>Mbarara</v>
      </c>
      <c r="H1257" s="82" t="s">
        <v>3241</v>
      </c>
    </row>
    <row r="1258" spans="1:8">
      <c r="A1258" s="81">
        <v>1227</v>
      </c>
      <c r="B1258" s="82" t="s">
        <v>2097</v>
      </c>
      <c r="C1258" s="82" t="s">
        <v>2098</v>
      </c>
      <c r="D1258" s="82" t="s">
        <v>2108</v>
      </c>
      <c r="E1258" s="82"/>
      <c r="F1258" s="75" t="str">
        <f t="shared" si="75"/>
        <v>Nyakinama</v>
      </c>
      <c r="G1258" s="75" t="str">
        <f t="shared" si="74"/>
        <v>Kisoro</v>
      </c>
      <c r="H1258" s="82" t="s">
        <v>2108</v>
      </c>
    </row>
    <row r="1259" spans="1:8">
      <c r="A1259" s="81">
        <v>1325</v>
      </c>
      <c r="B1259" s="82" t="s">
        <v>1945</v>
      </c>
      <c r="C1259" s="82" t="s">
        <v>1946</v>
      </c>
      <c r="D1259" s="82" t="s">
        <v>1958</v>
      </c>
      <c r="E1259" s="82"/>
      <c r="F1259" s="75" t="str">
        <f t="shared" si="75"/>
        <v>Nyakinoni</v>
      </c>
      <c r="G1259" s="75" t="str">
        <f t="shared" si="74"/>
        <v>Kanungu</v>
      </c>
      <c r="H1259" s="82" t="s">
        <v>1958</v>
      </c>
    </row>
    <row r="1260" spans="1:8">
      <c r="A1260" s="81">
        <v>1411</v>
      </c>
      <c r="B1260" s="82" t="s">
        <v>1033</v>
      </c>
      <c r="C1260" s="82" t="s">
        <v>1033</v>
      </c>
      <c r="D1260" s="82" t="s">
        <v>1039</v>
      </c>
      <c r="E1260" s="82"/>
      <c r="F1260" s="75" t="str">
        <f t="shared" si="75"/>
        <v>Nyakishana</v>
      </c>
      <c r="G1260" s="75" t="str">
        <f t="shared" si="74"/>
        <v>Buhweju</v>
      </c>
      <c r="H1260" s="82" t="s">
        <v>1039</v>
      </c>
    </row>
    <row r="1261" spans="1:8">
      <c r="A1261" s="81">
        <v>1285</v>
      </c>
      <c r="B1261" s="82" t="s">
        <v>40</v>
      </c>
      <c r="C1261" s="82" t="s">
        <v>2776</v>
      </c>
      <c r="D1261" s="82" t="s">
        <v>2782</v>
      </c>
      <c r="E1261" s="82"/>
      <c r="F1261" s="75" t="str">
        <f t="shared" si="75"/>
        <v>Nyakishenyi</v>
      </c>
      <c r="G1261" s="75" t="str">
        <f t="shared" si="74"/>
        <v>Rukungiri</v>
      </c>
      <c r="H1261" s="82" t="s">
        <v>2782</v>
      </c>
    </row>
    <row r="1262" spans="1:8">
      <c r="A1262" s="81">
        <v>1383</v>
      </c>
      <c r="B1262" s="82" t="s">
        <v>48</v>
      </c>
      <c r="C1262" s="82" t="s">
        <v>48</v>
      </c>
      <c r="D1262" s="82" t="s">
        <v>1313</v>
      </c>
      <c r="E1262" s="82"/>
      <c r="F1262" s="75" t="str">
        <f t="shared" si="75"/>
        <v>Nyakitunda</v>
      </c>
      <c r="G1262" s="75" t="str">
        <f t="shared" si="74"/>
        <v>Isingiro</v>
      </c>
      <c r="H1262" s="82" t="s">
        <v>1313</v>
      </c>
    </row>
    <row r="1263" spans="1:8">
      <c r="A1263" s="81">
        <v>1190</v>
      </c>
      <c r="B1263" s="82" t="s">
        <v>36</v>
      </c>
      <c r="C1263" s="82" t="s">
        <v>1111</v>
      </c>
      <c r="D1263" s="82" t="s">
        <v>2004</v>
      </c>
      <c r="E1263" s="82"/>
      <c r="F1263" s="75" t="str">
        <f t="shared" si="75"/>
        <v>Nyakiyumbu</v>
      </c>
      <c r="G1263" s="75" t="str">
        <f t="shared" si="74"/>
        <v>Kasese</v>
      </c>
      <c r="H1263" s="82" t="s">
        <v>2004</v>
      </c>
    </row>
    <row r="1264" spans="1:8">
      <c r="A1264" s="81">
        <v>156</v>
      </c>
      <c r="B1264" s="82" t="s">
        <v>855</v>
      </c>
      <c r="C1264" s="82" t="s">
        <v>856</v>
      </c>
      <c r="D1264" s="82" t="s">
        <v>861</v>
      </c>
      <c r="E1264" s="82"/>
      <c r="F1264" s="75" t="str">
        <f t="shared" si="75"/>
        <v>Nyakwae</v>
      </c>
      <c r="G1264" s="75" t="str">
        <f t="shared" si="74"/>
        <v>Abim</v>
      </c>
      <c r="H1264" s="82" t="s">
        <v>861</v>
      </c>
    </row>
    <row r="1265" spans="1:8">
      <c r="A1265" s="81">
        <v>1273</v>
      </c>
      <c r="B1265" s="82" t="s">
        <v>47</v>
      </c>
      <c r="C1265" s="82" t="s">
        <v>2645</v>
      </c>
      <c r="D1265" s="82" t="s">
        <v>2656</v>
      </c>
      <c r="E1265" s="82"/>
      <c r="F1265" s="75" t="str">
        <f t="shared" si="75"/>
        <v>Nyakyera</v>
      </c>
      <c r="G1265" s="75" t="str">
        <f t="shared" si="74"/>
        <v>Ntungamo</v>
      </c>
      <c r="H1265" s="82" t="s">
        <v>2656</v>
      </c>
    </row>
    <row r="1266" spans="1:8">
      <c r="A1266" s="81">
        <v>1360</v>
      </c>
      <c r="B1266" s="82" t="s">
        <v>43</v>
      </c>
      <c r="C1266" s="82" t="s">
        <v>43</v>
      </c>
      <c r="D1266" s="82" t="s">
        <v>1275</v>
      </c>
      <c r="E1266" s="82"/>
      <c r="F1266" s="75" t="str">
        <f t="shared" si="75"/>
        <v>Nyamarebe</v>
      </c>
      <c r="G1266" s="75" t="str">
        <f t="shared" si="74"/>
        <v>Ibanda</v>
      </c>
      <c r="H1266" s="82" t="s">
        <v>1275</v>
      </c>
    </row>
    <row r="1267" spans="1:8">
      <c r="A1267" s="81">
        <v>1214</v>
      </c>
      <c r="B1267" s="82" t="s">
        <v>2031</v>
      </c>
      <c r="C1267" s="82" t="s">
        <v>2032</v>
      </c>
      <c r="D1267" s="82" t="s">
        <v>2039</v>
      </c>
      <c r="E1267" s="82"/>
      <c r="F1267" s="75" t="str">
        <f t="shared" si="75"/>
        <v>Nyamarunda</v>
      </c>
      <c r="G1267" s="75" t="str">
        <f t="shared" si="74"/>
        <v>Kibaale</v>
      </c>
      <c r="H1267" s="82" t="s">
        <v>2039</v>
      </c>
    </row>
    <row r="1268" spans="1:8">
      <c r="A1268" s="81">
        <v>1215</v>
      </c>
      <c r="B1268" s="82" t="s">
        <v>2031</v>
      </c>
      <c r="C1268" s="82" t="s">
        <v>2032</v>
      </c>
      <c r="D1268" s="82" t="s">
        <v>2040</v>
      </c>
      <c r="E1268" s="82"/>
      <c r="F1268" s="75" t="str">
        <f t="shared" si="75"/>
        <v>Nyamarwa</v>
      </c>
      <c r="G1268" s="75" t="str">
        <f t="shared" si="74"/>
        <v>Kibaale</v>
      </c>
      <c r="H1268" s="82" t="s">
        <v>2040</v>
      </c>
    </row>
    <row r="1269" spans="1:8">
      <c r="A1269" s="81">
        <v>1326</v>
      </c>
      <c r="B1269" s="82" t="s">
        <v>1945</v>
      </c>
      <c r="C1269" s="82" t="s">
        <v>1946</v>
      </c>
      <c r="D1269" s="82" t="s">
        <v>1959</v>
      </c>
      <c r="E1269" s="82"/>
      <c r="F1269" s="75" t="str">
        <f t="shared" si="75"/>
        <v>Nyamirama</v>
      </c>
      <c r="G1269" s="75" t="str">
        <f t="shared" si="74"/>
        <v>Kanungu</v>
      </c>
      <c r="H1269" s="82" t="s">
        <v>1959</v>
      </c>
    </row>
    <row r="1270" spans="1:8" ht="25.5">
      <c r="A1270" s="81">
        <v>1253</v>
      </c>
      <c r="B1270" s="84" t="s">
        <v>2388</v>
      </c>
      <c r="C1270" s="85" t="s">
        <v>2395</v>
      </c>
      <c r="D1270" s="84" t="s">
        <v>3242</v>
      </c>
      <c r="E1270" s="84"/>
      <c r="F1270" s="76" t="str">
        <f>VLOOKUP(C1270,[2]Municipalities!$C$9:$F$1522,4,FALSE)</f>
        <v>Mbarara Municipality</v>
      </c>
      <c r="G1270" s="75" t="str">
        <f t="shared" si="74"/>
        <v>Mbarara</v>
      </c>
      <c r="H1270" s="84" t="s">
        <v>3242</v>
      </c>
    </row>
    <row r="1271" spans="1:8">
      <c r="A1271" s="81">
        <v>1384</v>
      </c>
      <c r="B1271" s="82" t="s">
        <v>48</v>
      </c>
      <c r="C1271" s="82" t="s">
        <v>48</v>
      </c>
      <c r="D1271" s="82" t="s">
        <v>1314</v>
      </c>
      <c r="E1271" s="82"/>
      <c r="F1271" s="75" t="str">
        <f t="shared" si="75"/>
        <v>Nyamuyanja</v>
      </c>
      <c r="G1271" s="75" t="str">
        <f t="shared" si="74"/>
        <v>Isingiro</v>
      </c>
      <c r="H1271" s="82" t="s">
        <v>1314</v>
      </c>
    </row>
    <row r="1272" spans="1:8" ht="25.5">
      <c r="A1272" s="81">
        <v>1207</v>
      </c>
      <c r="B1272" s="84" t="s">
        <v>36</v>
      </c>
      <c r="C1272" s="85" t="s">
        <v>1986</v>
      </c>
      <c r="D1272" s="84" t="s">
        <v>3243</v>
      </c>
      <c r="E1272" s="84"/>
      <c r="F1272" s="76" t="str">
        <f>VLOOKUP(C1272,[2]Municipalities!$C$9:$F$1522,4,FALSE)</f>
        <v>Kasese Municipality</v>
      </c>
      <c r="G1272" s="75" t="str">
        <f t="shared" si="74"/>
        <v>Kasese</v>
      </c>
      <c r="H1272" s="84" t="s">
        <v>3243</v>
      </c>
    </row>
    <row r="1273" spans="1:8">
      <c r="A1273" s="81">
        <v>1512</v>
      </c>
      <c r="B1273" s="82" t="s">
        <v>2746</v>
      </c>
      <c r="C1273" s="82" t="s">
        <v>2746</v>
      </c>
      <c r="D1273" s="82" t="s">
        <v>2752</v>
      </c>
      <c r="E1273" s="82"/>
      <c r="F1273" s="75" t="str">
        <f t="shared" si="75"/>
        <v>Nyamweru</v>
      </c>
      <c r="G1273" s="75" t="str">
        <f t="shared" si="74"/>
        <v>Rubanda</v>
      </c>
      <c r="H1273" s="82" t="s">
        <v>2752</v>
      </c>
    </row>
    <row r="1274" spans="1:8">
      <c r="A1274" s="81">
        <v>1327</v>
      </c>
      <c r="B1274" s="82" t="s">
        <v>1945</v>
      </c>
      <c r="C1274" s="82" t="s">
        <v>1946</v>
      </c>
      <c r="D1274" s="82" t="s">
        <v>1960</v>
      </c>
      <c r="E1274" s="82"/>
      <c r="F1274" s="75" t="str">
        <f t="shared" si="75"/>
        <v>Nyanga</v>
      </c>
      <c r="G1274" s="75" t="str">
        <f t="shared" si="74"/>
        <v>Kanungu</v>
      </c>
      <c r="H1274" s="82" t="s">
        <v>1960</v>
      </c>
    </row>
    <row r="1275" spans="1:8" ht="25.5">
      <c r="A1275" s="81">
        <v>1242</v>
      </c>
      <c r="B1275" s="82" t="s">
        <v>2337</v>
      </c>
      <c r="C1275" s="83" t="s">
        <v>2342</v>
      </c>
      <c r="D1275" s="82" t="s">
        <v>3244</v>
      </c>
      <c r="E1275" s="82"/>
      <c r="F1275" s="76" t="str">
        <f>VLOOKUP(C1275,[2]Municipalities!$C$9:$F$1522,4,FALSE)</f>
        <v>Masindi Municipality</v>
      </c>
      <c r="G1275" s="75" t="str">
        <f t="shared" si="74"/>
        <v>Masindi</v>
      </c>
      <c r="H1275" s="82" t="s">
        <v>3244</v>
      </c>
    </row>
    <row r="1276" spans="1:8">
      <c r="A1276" s="81">
        <v>1344</v>
      </c>
      <c r="B1276" s="82" t="s">
        <v>2198</v>
      </c>
      <c r="C1276" s="82" t="s">
        <v>2199</v>
      </c>
      <c r="D1276" s="82" t="s">
        <v>2213</v>
      </c>
      <c r="E1276" s="82"/>
      <c r="F1276" s="75" t="str">
        <f t="shared" si="75"/>
        <v>Nyankwanzi</v>
      </c>
      <c r="G1276" s="75" t="str">
        <f t="shared" si="74"/>
        <v>Kyenjojo</v>
      </c>
      <c r="H1276" s="82" t="s">
        <v>2213</v>
      </c>
    </row>
    <row r="1277" spans="1:8">
      <c r="A1277" s="81">
        <v>1345</v>
      </c>
      <c r="B1277" s="82" t="s">
        <v>2198</v>
      </c>
      <c r="C1277" s="82" t="s">
        <v>2199</v>
      </c>
      <c r="D1277" s="82" t="s">
        <v>2214</v>
      </c>
      <c r="E1277" s="82"/>
      <c r="F1277" s="75" t="str">
        <f t="shared" si="75"/>
        <v>Nyantungo</v>
      </c>
      <c r="G1277" s="75" t="str">
        <f t="shared" si="74"/>
        <v>Kyenjojo</v>
      </c>
      <c r="H1277" s="82" t="s">
        <v>2214</v>
      </c>
    </row>
    <row r="1278" spans="1:8">
      <c r="A1278" s="81">
        <v>299</v>
      </c>
      <c r="B1278" s="82" t="s">
        <v>3087</v>
      </c>
      <c r="C1278" s="82" t="s">
        <v>3088</v>
      </c>
      <c r="D1278" s="82" t="s">
        <v>3092</v>
      </c>
      <c r="E1278" s="82"/>
      <c r="F1278" s="75" t="str">
        <f t="shared" si="75"/>
        <v>Nyapea</v>
      </c>
      <c r="G1278" s="75" t="str">
        <f t="shared" si="74"/>
        <v>Zombo</v>
      </c>
      <c r="H1278" s="82" t="s">
        <v>3092</v>
      </c>
    </row>
    <row r="1279" spans="1:8">
      <c r="A1279" s="81">
        <v>116</v>
      </c>
      <c r="B1279" s="82" t="s">
        <v>2616</v>
      </c>
      <c r="C1279" s="82" t="s">
        <v>2617</v>
      </c>
      <c r="D1279" s="82" t="s">
        <v>2623</v>
      </c>
      <c r="E1279" s="82"/>
      <c r="F1279" s="75" t="str">
        <f t="shared" si="75"/>
        <v>Nyaravur</v>
      </c>
      <c r="G1279" s="75" t="str">
        <f t="shared" si="74"/>
        <v>Nebbi</v>
      </c>
      <c r="H1279" s="82" t="s">
        <v>2623</v>
      </c>
    </row>
    <row r="1280" spans="1:8">
      <c r="A1280" s="81">
        <v>1228</v>
      </c>
      <c r="B1280" s="82" t="s">
        <v>2097</v>
      </c>
      <c r="C1280" s="82" t="s">
        <v>2098</v>
      </c>
      <c r="D1280" s="82" t="s">
        <v>2109</v>
      </c>
      <c r="E1280" s="82"/>
      <c r="F1280" s="75" t="str">
        <f t="shared" si="75"/>
        <v>Nyarubuye</v>
      </c>
      <c r="G1280" s="75" t="str">
        <f t="shared" si="74"/>
        <v>Kisoro</v>
      </c>
      <c r="H1280" s="82" t="s">
        <v>2109</v>
      </c>
    </row>
    <row r="1281" spans="1:8">
      <c r="A1281" s="81">
        <v>1286</v>
      </c>
      <c r="B1281" s="82" t="s">
        <v>40</v>
      </c>
      <c r="C1281" s="82" t="s">
        <v>2776</v>
      </c>
      <c r="D1281" s="82" t="s">
        <v>2783</v>
      </c>
      <c r="E1281" s="82"/>
      <c r="F1281" s="75" t="str">
        <f t="shared" si="75"/>
        <v>Nyarushanje</v>
      </c>
      <c r="G1281" s="75" t="str">
        <f t="shared" si="74"/>
        <v>Rukungiri</v>
      </c>
      <c r="H1281" s="82" t="s">
        <v>2783</v>
      </c>
    </row>
    <row r="1282" spans="1:8">
      <c r="A1282" s="81">
        <v>1229</v>
      </c>
      <c r="B1282" s="82" t="s">
        <v>2097</v>
      </c>
      <c r="C1282" s="82" t="s">
        <v>2098</v>
      </c>
      <c r="D1282" s="82" t="s">
        <v>2110</v>
      </c>
      <c r="E1282" s="82"/>
      <c r="F1282" s="75" t="str">
        <f t="shared" si="75"/>
        <v>Nyarusiza</v>
      </c>
      <c r="G1282" s="75" t="str">
        <f t="shared" si="74"/>
        <v>Kisoro</v>
      </c>
      <c r="H1282" s="82" t="s">
        <v>2110</v>
      </c>
    </row>
    <row r="1283" spans="1:8" ht="25.5">
      <c r="A1283" s="81">
        <v>450</v>
      </c>
      <c r="B1283" s="82" t="s">
        <v>39</v>
      </c>
      <c r="C1283" s="83" t="s">
        <v>2326</v>
      </c>
      <c r="D1283" s="86" t="s">
        <v>3245</v>
      </c>
      <c r="E1283" s="82"/>
      <c r="F1283" s="76" t="str">
        <f>VLOOKUP(C1283,[2]Municipalities!$C$9:$F$1522,4,FALSE)</f>
        <v>Masaka Municipality</v>
      </c>
      <c r="G1283" s="75" t="str">
        <f t="shared" si="74"/>
        <v>Masaka</v>
      </c>
      <c r="H1283" s="86" t="s">
        <v>3245</v>
      </c>
    </row>
    <row r="1284" spans="1:8">
      <c r="A1284" s="81">
        <v>604</v>
      </c>
      <c r="B1284" s="82" t="s">
        <v>1041</v>
      </c>
      <c r="C1284" s="83" t="s">
        <v>1052</v>
      </c>
      <c r="D1284" s="82" t="s">
        <v>3246</v>
      </c>
      <c r="E1284" s="82"/>
      <c r="F1284" s="76" t="str">
        <f>VLOOKUP(C1284,[2]Municipalities!$C$9:$F$1522,4,FALSE)</f>
        <v>Njeru Municipality</v>
      </c>
      <c r="G1284" s="75" t="str">
        <f t="shared" si="74"/>
        <v>Buikwe</v>
      </c>
      <c r="H1284" s="82" t="s">
        <v>3246</v>
      </c>
    </row>
    <row r="1285" spans="1:8">
      <c r="A1285" s="81">
        <v>767</v>
      </c>
      <c r="B1285" s="82" t="s">
        <v>2149</v>
      </c>
      <c r="C1285" s="82" t="s">
        <v>2149</v>
      </c>
      <c r="D1285" s="82" t="s">
        <v>2153</v>
      </c>
      <c r="E1285" s="82"/>
      <c r="F1285" s="75" t="str">
        <f t="shared" ref="F1285:F1340" si="76">D1285</f>
        <v>Nyero</v>
      </c>
      <c r="G1285" s="75" t="str">
        <f t="shared" si="74"/>
        <v>Kumi</v>
      </c>
      <c r="H1285" s="82" t="s">
        <v>2153</v>
      </c>
    </row>
    <row r="1286" spans="1:8">
      <c r="A1286" s="81">
        <v>440</v>
      </c>
      <c r="B1286" s="82" t="s">
        <v>2255</v>
      </c>
      <c r="C1286" s="82" t="s">
        <v>2257</v>
      </c>
      <c r="D1286" s="82" t="s">
        <v>2271</v>
      </c>
      <c r="E1286" s="82"/>
      <c r="F1286" s="75" t="str">
        <f t="shared" si="76"/>
        <v>Nyimbwa</v>
      </c>
      <c r="G1286" s="75" t="str">
        <f t="shared" si="74"/>
        <v>Luwero</v>
      </c>
      <c r="H1286" s="82" t="s">
        <v>2271</v>
      </c>
    </row>
    <row r="1287" spans="1:8">
      <c r="A1287" s="81">
        <v>789</v>
      </c>
      <c r="B1287" s="82" t="s">
        <v>2362</v>
      </c>
      <c r="C1287" s="82" t="s">
        <v>2363</v>
      </c>
      <c r="D1287" s="82" t="s">
        <v>2385</v>
      </c>
      <c r="E1287" s="82"/>
      <c r="F1287" s="75" t="str">
        <f t="shared" si="76"/>
        <v>Nyondo</v>
      </c>
      <c r="G1287" s="75" t="str">
        <f t="shared" si="74"/>
        <v>Mbale</v>
      </c>
      <c r="H1287" s="82" t="s">
        <v>2385</v>
      </c>
    </row>
    <row r="1288" spans="1:8">
      <c r="A1288" s="81">
        <v>1230</v>
      </c>
      <c r="B1288" s="82" t="s">
        <v>2097</v>
      </c>
      <c r="C1288" s="82" t="s">
        <v>2098</v>
      </c>
      <c r="D1288" s="82" t="s">
        <v>2111</v>
      </c>
      <c r="E1288" s="82"/>
      <c r="F1288" s="75" t="str">
        <f t="shared" si="76"/>
        <v>Nyundo</v>
      </c>
      <c r="G1288" s="75" t="str">
        <f t="shared" si="74"/>
        <v>Kisoro</v>
      </c>
      <c r="H1288" s="82" t="s">
        <v>2111</v>
      </c>
    </row>
    <row r="1289" spans="1:8">
      <c r="A1289" s="81">
        <v>900</v>
      </c>
      <c r="B1289" s="82" t="s">
        <v>921</v>
      </c>
      <c r="C1289" s="82" t="s">
        <v>923</v>
      </c>
      <c r="D1289" s="82" t="s">
        <v>931</v>
      </c>
      <c r="E1289" s="82"/>
      <c r="F1289" s="75" t="str">
        <f t="shared" si="76"/>
        <v>Obalanga</v>
      </c>
      <c r="G1289" s="75" t="str">
        <f t="shared" si="74"/>
        <v>Amuria</v>
      </c>
      <c r="H1289" s="82" t="s">
        <v>931</v>
      </c>
    </row>
    <row r="1290" spans="1:8">
      <c r="A1290" s="81">
        <v>844</v>
      </c>
      <c r="B1290" s="82" t="s">
        <v>1386</v>
      </c>
      <c r="C1290" s="82" t="s">
        <v>1386</v>
      </c>
      <c r="D1290" s="82" t="s">
        <v>1395</v>
      </c>
      <c r="E1290" s="82"/>
      <c r="F1290" s="75" t="str">
        <f t="shared" si="76"/>
        <v>Ochero</v>
      </c>
      <c r="G1290" s="75" t="str">
        <f t="shared" ref="G1290:G1353" si="77">B1290</f>
        <v>Kaberamaido</v>
      </c>
      <c r="H1290" s="82" t="s">
        <v>1395</v>
      </c>
    </row>
    <row r="1291" spans="1:8">
      <c r="A1291" s="81">
        <v>309</v>
      </c>
      <c r="B1291" s="82" t="s">
        <v>901</v>
      </c>
      <c r="C1291" s="82" t="s">
        <v>901</v>
      </c>
      <c r="D1291" s="82" t="s">
        <v>2673</v>
      </c>
      <c r="E1291" s="82"/>
      <c r="F1291" s="75" t="str">
        <f t="shared" si="76"/>
        <v>Odek</v>
      </c>
      <c r="G1291" s="75" t="str">
        <f t="shared" si="77"/>
        <v>Omoro</v>
      </c>
      <c r="H1291" s="82" t="s">
        <v>2673</v>
      </c>
    </row>
    <row r="1292" spans="1:8">
      <c r="A1292" s="81">
        <v>148</v>
      </c>
      <c r="B1292" s="82" t="s">
        <v>3072</v>
      </c>
      <c r="C1292" s="82" t="s">
        <v>3073</v>
      </c>
      <c r="D1292" s="82" t="s">
        <v>3083</v>
      </c>
      <c r="E1292" s="82"/>
      <c r="F1292" s="75" t="str">
        <f t="shared" si="76"/>
        <v>Odravu</v>
      </c>
      <c r="G1292" s="75" t="str">
        <f t="shared" si="77"/>
        <v>Yumbe</v>
      </c>
      <c r="H1292" s="82" t="s">
        <v>3083</v>
      </c>
    </row>
    <row r="1293" spans="1:8">
      <c r="A1293" s="81">
        <v>44</v>
      </c>
      <c r="B1293" s="82" t="s">
        <v>959</v>
      </c>
      <c r="C1293" s="82" t="s">
        <v>962</v>
      </c>
      <c r="D1293" s="82" t="s">
        <v>977</v>
      </c>
      <c r="E1293" s="82"/>
      <c r="F1293" s="75" t="str">
        <f t="shared" si="76"/>
        <v>Odupi</v>
      </c>
      <c r="G1293" s="75" t="str">
        <f t="shared" si="77"/>
        <v>Arua</v>
      </c>
      <c r="H1293" s="82" t="s">
        <v>977</v>
      </c>
    </row>
    <row r="1294" spans="1:8">
      <c r="A1294" s="81">
        <v>33</v>
      </c>
      <c r="B1294" s="82" t="s">
        <v>959</v>
      </c>
      <c r="C1294" s="82" t="s">
        <v>966</v>
      </c>
      <c r="D1294" s="82" t="s">
        <v>978</v>
      </c>
      <c r="E1294" s="82"/>
      <c r="F1294" s="75" t="str">
        <f t="shared" si="76"/>
        <v>Offaka</v>
      </c>
      <c r="G1294" s="75" t="str">
        <f t="shared" si="77"/>
        <v>Arua</v>
      </c>
      <c r="H1294" s="82" t="s">
        <v>978</v>
      </c>
    </row>
    <row r="1295" spans="1:8">
      <c r="A1295" s="81">
        <v>7</v>
      </c>
      <c r="B1295" s="82" t="s">
        <v>863</v>
      </c>
      <c r="C1295" s="82" t="s">
        <v>864</v>
      </c>
      <c r="D1295" s="82" t="s">
        <v>870</v>
      </c>
      <c r="E1295" s="82"/>
      <c r="F1295" s="75" t="str">
        <f t="shared" si="76"/>
        <v>Ofua</v>
      </c>
      <c r="G1295" s="75" t="str">
        <f t="shared" si="77"/>
        <v>Adjumani</v>
      </c>
      <c r="H1295" s="82" t="s">
        <v>870</v>
      </c>
    </row>
    <row r="1296" spans="1:8">
      <c r="A1296" s="81">
        <v>34</v>
      </c>
      <c r="B1296" s="82" t="s">
        <v>959</v>
      </c>
      <c r="C1296" s="82" t="s">
        <v>966</v>
      </c>
      <c r="D1296" s="82" t="s">
        <v>979</v>
      </c>
      <c r="E1296" s="82"/>
      <c r="F1296" s="75" t="str">
        <f t="shared" si="76"/>
        <v>Ogoko</v>
      </c>
      <c r="G1296" s="75" t="str">
        <f t="shared" si="77"/>
        <v>Arua</v>
      </c>
      <c r="H1296" s="82" t="s">
        <v>979</v>
      </c>
    </row>
    <row r="1297" spans="1:8">
      <c r="A1297" s="81">
        <v>893</v>
      </c>
      <c r="B1297" s="82" t="s">
        <v>921</v>
      </c>
      <c r="C1297" s="82" t="s">
        <v>921</v>
      </c>
      <c r="D1297" s="82" t="s">
        <v>932</v>
      </c>
      <c r="E1297" s="82"/>
      <c r="F1297" s="75" t="str">
        <f t="shared" si="76"/>
        <v>Ogolai</v>
      </c>
      <c r="G1297" s="75" t="str">
        <f t="shared" si="77"/>
        <v>Amuria</v>
      </c>
      <c r="H1297" s="82" t="s">
        <v>932</v>
      </c>
    </row>
    <row r="1298" spans="1:8">
      <c r="A1298" s="81">
        <v>133</v>
      </c>
      <c r="B1298" s="82" t="s">
        <v>2700</v>
      </c>
      <c r="C1298" s="82" t="s">
        <v>2701</v>
      </c>
      <c r="D1298" s="82" t="s">
        <v>2708</v>
      </c>
      <c r="E1298" s="82"/>
      <c r="F1298" s="75" t="str">
        <f t="shared" si="76"/>
        <v>Ogom</v>
      </c>
      <c r="G1298" s="75" t="str">
        <f t="shared" si="77"/>
        <v>Pader</v>
      </c>
      <c r="H1298" s="82" t="s">
        <v>2708</v>
      </c>
    </row>
    <row r="1299" spans="1:8">
      <c r="A1299" s="81">
        <v>289</v>
      </c>
      <c r="B1299" s="82" t="s">
        <v>2677</v>
      </c>
      <c r="C1299" s="82" t="s">
        <v>2677</v>
      </c>
      <c r="D1299" s="82" t="s">
        <v>2679</v>
      </c>
      <c r="E1299" s="82"/>
      <c r="F1299" s="75" t="str">
        <f t="shared" si="76"/>
        <v>Ogor</v>
      </c>
      <c r="G1299" s="75" t="str">
        <f t="shared" si="77"/>
        <v>Otuke</v>
      </c>
      <c r="H1299" s="82" t="s">
        <v>2679</v>
      </c>
    </row>
    <row r="1300" spans="1:8">
      <c r="A1300" s="81">
        <v>87</v>
      </c>
      <c r="B1300" s="82" t="s">
        <v>2236</v>
      </c>
      <c r="C1300" s="82" t="s">
        <v>2237</v>
      </c>
      <c r="D1300" s="82" t="s">
        <v>2245</v>
      </c>
      <c r="E1300" s="82"/>
      <c r="F1300" s="75" t="str">
        <f t="shared" si="76"/>
        <v>Ogur</v>
      </c>
      <c r="G1300" s="75" t="str">
        <f t="shared" si="77"/>
        <v>Lira</v>
      </c>
      <c r="H1300" s="82" t="s">
        <v>2245</v>
      </c>
    </row>
    <row r="1301" spans="1:8">
      <c r="A1301" s="81">
        <v>290</v>
      </c>
      <c r="B1301" s="82" t="s">
        <v>2677</v>
      </c>
      <c r="C1301" s="82" t="s">
        <v>2677</v>
      </c>
      <c r="D1301" s="82" t="s">
        <v>2680</v>
      </c>
      <c r="E1301" s="82"/>
      <c r="F1301" s="75" t="str">
        <f t="shared" si="76"/>
        <v>Ogwette</v>
      </c>
      <c r="G1301" s="75" t="str">
        <f t="shared" si="77"/>
        <v>Otuke</v>
      </c>
      <c r="H1301" s="82" t="s">
        <v>2680</v>
      </c>
    </row>
    <row r="1302" spans="1:8">
      <c r="A1302" s="81">
        <v>90</v>
      </c>
      <c r="B1302" s="82" t="s">
        <v>2236</v>
      </c>
      <c r="C1302" s="83" t="s">
        <v>2243</v>
      </c>
      <c r="D1302" s="82" t="s">
        <v>3247</v>
      </c>
      <c r="E1302" s="82"/>
      <c r="F1302" s="76" t="str">
        <f>VLOOKUP(C1302,[2]Municipalities!$C$9:$F$1522,4,FALSE)</f>
        <v>Lira Municipality</v>
      </c>
      <c r="G1302" s="75" t="str">
        <f t="shared" si="77"/>
        <v>Lira</v>
      </c>
      <c r="H1302" s="82" t="s">
        <v>3247</v>
      </c>
    </row>
    <row r="1303" spans="1:8">
      <c r="A1303" s="81">
        <v>35</v>
      </c>
      <c r="B1303" s="82" t="s">
        <v>959</v>
      </c>
      <c r="C1303" s="82" t="s">
        <v>966</v>
      </c>
      <c r="D1303" s="82" t="s">
        <v>980</v>
      </c>
      <c r="E1303" s="82"/>
      <c r="F1303" s="75" t="str">
        <f t="shared" si="76"/>
        <v>Okollo</v>
      </c>
      <c r="G1303" s="75" t="str">
        <f t="shared" si="77"/>
        <v>Arua</v>
      </c>
      <c r="H1303" s="82" t="s">
        <v>980</v>
      </c>
    </row>
    <row r="1304" spans="1:8">
      <c r="A1304" s="81">
        <v>901</v>
      </c>
      <c r="B1304" s="82" t="s">
        <v>921</v>
      </c>
      <c r="C1304" s="82" t="s">
        <v>923</v>
      </c>
      <c r="D1304" s="82" t="s">
        <v>933</v>
      </c>
      <c r="E1304" s="82"/>
      <c r="F1304" s="75" t="str">
        <f t="shared" si="76"/>
        <v>Okungur</v>
      </c>
      <c r="G1304" s="75" t="str">
        <f t="shared" si="77"/>
        <v>Amuria</v>
      </c>
      <c r="H1304" s="82" t="s">
        <v>933</v>
      </c>
    </row>
    <row r="1305" spans="1:8">
      <c r="A1305" s="81">
        <v>182</v>
      </c>
      <c r="B1305" s="82" t="s">
        <v>1222</v>
      </c>
      <c r="C1305" s="82" t="s">
        <v>1222</v>
      </c>
      <c r="D1305" s="82" t="s">
        <v>1230</v>
      </c>
      <c r="E1305" s="82"/>
      <c r="F1305" s="75" t="str">
        <f t="shared" si="76"/>
        <v>Okwalongwen</v>
      </c>
      <c r="G1305" s="75" t="str">
        <f t="shared" si="77"/>
        <v>Dokolo</v>
      </c>
      <c r="H1305" s="82" t="s">
        <v>1230</v>
      </c>
    </row>
    <row r="1306" spans="1:8">
      <c r="A1306" s="81">
        <v>291</v>
      </c>
      <c r="B1306" s="82" t="s">
        <v>2677</v>
      </c>
      <c r="C1306" s="82" t="s">
        <v>2677</v>
      </c>
      <c r="D1306" s="82" t="s">
        <v>2681</v>
      </c>
      <c r="E1306" s="82"/>
      <c r="F1306" s="75" t="str">
        <f t="shared" si="76"/>
        <v>Okwang</v>
      </c>
      <c r="G1306" s="75" t="str">
        <f t="shared" si="77"/>
        <v>Otuke</v>
      </c>
      <c r="H1306" s="82" t="s">
        <v>2681</v>
      </c>
    </row>
    <row r="1307" spans="1:8">
      <c r="A1307" s="81">
        <v>262</v>
      </c>
      <c r="B1307" s="82" t="s">
        <v>2134</v>
      </c>
      <c r="C1307" s="82" t="s">
        <v>2134</v>
      </c>
      <c r="D1307" s="82" t="s">
        <v>2140</v>
      </c>
      <c r="E1307" s="82"/>
      <c r="F1307" s="75" t="str">
        <f t="shared" si="76"/>
        <v>Okwerodot</v>
      </c>
      <c r="G1307" s="75" t="str">
        <f t="shared" si="77"/>
        <v>Kole</v>
      </c>
      <c r="H1307" s="82" t="s">
        <v>2140</v>
      </c>
    </row>
    <row r="1308" spans="1:8">
      <c r="A1308" s="81">
        <v>183</v>
      </c>
      <c r="B1308" s="82" t="s">
        <v>1222</v>
      </c>
      <c r="C1308" s="82" t="s">
        <v>1222</v>
      </c>
      <c r="D1308" s="82" t="s">
        <v>1231</v>
      </c>
      <c r="E1308" s="82"/>
      <c r="F1308" s="75" t="str">
        <f t="shared" si="76"/>
        <v>Okwongodul</v>
      </c>
      <c r="G1308" s="75" t="str">
        <f t="shared" si="77"/>
        <v>Dokolo</v>
      </c>
      <c r="H1308" s="82" t="s">
        <v>1231</v>
      </c>
    </row>
    <row r="1309" spans="1:8">
      <c r="A1309" s="81">
        <v>210</v>
      </c>
      <c r="B1309" s="82" t="s">
        <v>2313</v>
      </c>
      <c r="C1309" s="82" t="s">
        <v>2313</v>
      </c>
      <c r="D1309" s="82" t="s">
        <v>2316</v>
      </c>
      <c r="E1309" s="82"/>
      <c r="F1309" s="75" t="str">
        <f t="shared" si="76"/>
        <v>Oleba</v>
      </c>
      <c r="G1309" s="75" t="str">
        <f t="shared" si="77"/>
        <v>Maracha</v>
      </c>
      <c r="H1309" s="82" t="s">
        <v>2316</v>
      </c>
    </row>
    <row r="1310" spans="1:8">
      <c r="A1310" s="81">
        <v>292</v>
      </c>
      <c r="B1310" s="82" t="s">
        <v>2677</v>
      </c>
      <c r="C1310" s="82" t="s">
        <v>2677</v>
      </c>
      <c r="D1310" s="82" t="s">
        <v>2682</v>
      </c>
      <c r="E1310" s="82"/>
      <c r="F1310" s="75" t="str">
        <f t="shared" si="76"/>
        <v>Olilim</v>
      </c>
      <c r="G1310" s="75" t="str">
        <f t="shared" si="77"/>
        <v>Otuke</v>
      </c>
      <c r="H1310" s="82" t="s">
        <v>2682</v>
      </c>
    </row>
    <row r="1311" spans="1:8">
      <c r="A1311" s="81">
        <v>1076</v>
      </c>
      <c r="B1311" s="82" t="s">
        <v>2786</v>
      </c>
      <c r="C1311" s="82" t="s">
        <v>2786</v>
      </c>
      <c r="D1311" s="82" t="s">
        <v>2794</v>
      </c>
      <c r="E1311" s="82"/>
      <c r="F1311" s="75" t="str">
        <f t="shared" si="76"/>
        <v>Olio</v>
      </c>
      <c r="G1311" s="75" t="str">
        <f t="shared" si="77"/>
        <v>Serere</v>
      </c>
      <c r="H1311" s="82" t="s">
        <v>2794</v>
      </c>
    </row>
    <row r="1312" spans="1:8">
      <c r="A1312" s="81">
        <v>798</v>
      </c>
      <c r="B1312" s="82" t="s">
        <v>2721</v>
      </c>
      <c r="C1312" s="82" t="s">
        <v>2721</v>
      </c>
      <c r="D1312" s="82" t="s">
        <v>2729</v>
      </c>
      <c r="E1312" s="82"/>
      <c r="F1312" s="75" t="str">
        <f t="shared" si="76"/>
        <v>Olok</v>
      </c>
      <c r="G1312" s="75" t="str">
        <f t="shared" si="77"/>
        <v>Pallisa</v>
      </c>
      <c r="H1312" s="82" t="s">
        <v>2729</v>
      </c>
    </row>
    <row r="1313" spans="1:8">
      <c r="A1313" s="81">
        <v>211</v>
      </c>
      <c r="B1313" s="82" t="s">
        <v>2313</v>
      </c>
      <c r="C1313" s="82" t="s">
        <v>2313</v>
      </c>
      <c r="D1313" s="82" t="s">
        <v>2317</v>
      </c>
      <c r="E1313" s="82"/>
      <c r="F1313" s="75" t="str">
        <f t="shared" si="76"/>
        <v>Oluffe</v>
      </c>
      <c r="G1313" s="75" t="str">
        <f t="shared" si="77"/>
        <v>Maracha</v>
      </c>
      <c r="H1313" s="82" t="s">
        <v>2317</v>
      </c>
    </row>
    <row r="1314" spans="1:8">
      <c r="A1314" s="81">
        <v>29</v>
      </c>
      <c r="B1314" s="82" t="s">
        <v>959</v>
      </c>
      <c r="C1314" s="82" t="s">
        <v>960</v>
      </c>
      <c r="D1314" s="82" t="s">
        <v>981</v>
      </c>
      <c r="E1314" s="82"/>
      <c r="F1314" s="75" t="str">
        <f t="shared" si="76"/>
        <v>Oluko</v>
      </c>
      <c r="G1314" s="75" t="str">
        <f t="shared" si="77"/>
        <v>Arua</v>
      </c>
      <c r="H1314" s="82" t="s">
        <v>981</v>
      </c>
    </row>
    <row r="1315" spans="1:8">
      <c r="A1315" s="81">
        <v>212</v>
      </c>
      <c r="B1315" s="82" t="s">
        <v>2313</v>
      </c>
      <c r="C1315" s="82" t="s">
        <v>2313</v>
      </c>
      <c r="D1315" s="82" t="s">
        <v>2318</v>
      </c>
      <c r="E1315" s="82"/>
      <c r="F1315" s="75" t="str">
        <f t="shared" si="76"/>
        <v>Oluvu</v>
      </c>
      <c r="G1315" s="75" t="str">
        <f t="shared" si="77"/>
        <v>Maracha</v>
      </c>
      <c r="H1315" s="82" t="s">
        <v>2318</v>
      </c>
    </row>
    <row r="1316" spans="1:8">
      <c r="A1316" s="81">
        <v>65</v>
      </c>
      <c r="B1316" s="82" t="s">
        <v>2114</v>
      </c>
      <c r="C1316" s="82" t="s">
        <v>2115</v>
      </c>
      <c r="D1316" s="82" t="s">
        <v>2123</v>
      </c>
      <c r="E1316" s="82"/>
      <c r="F1316" s="75" t="str">
        <f t="shared" si="76"/>
        <v>Omiya Anyima</v>
      </c>
      <c r="G1316" s="75" t="str">
        <f t="shared" si="77"/>
        <v>Kitgum</v>
      </c>
      <c r="H1316" s="82" t="s">
        <v>2123</v>
      </c>
    </row>
    <row r="1317" spans="1:8">
      <c r="A1317" s="81">
        <v>236</v>
      </c>
      <c r="B1317" s="82" t="s">
        <v>875</v>
      </c>
      <c r="C1317" s="82" t="s">
        <v>875</v>
      </c>
      <c r="D1317" s="82" t="s">
        <v>884</v>
      </c>
      <c r="E1317" s="82"/>
      <c r="F1317" s="75" t="str">
        <f t="shared" si="76"/>
        <v>Omiya Pacwa</v>
      </c>
      <c r="G1317" s="75" t="str">
        <f t="shared" si="77"/>
        <v>Agago</v>
      </c>
      <c r="H1317" s="82" t="s">
        <v>884</v>
      </c>
    </row>
    <row r="1318" spans="1:8">
      <c r="A1318" s="81">
        <v>755</v>
      </c>
      <c r="B1318" s="82" t="s">
        <v>2007</v>
      </c>
      <c r="C1318" s="82" t="s">
        <v>2008</v>
      </c>
      <c r="D1318" s="82" t="s">
        <v>2013</v>
      </c>
      <c r="E1318" s="82"/>
      <c r="F1318" s="75" t="str">
        <f t="shared" si="76"/>
        <v>Omodoi</v>
      </c>
      <c r="G1318" s="75" t="str">
        <f t="shared" si="77"/>
        <v>Katakwi</v>
      </c>
      <c r="H1318" s="82" t="s">
        <v>2013</v>
      </c>
    </row>
    <row r="1319" spans="1:8">
      <c r="A1319" s="81">
        <v>251</v>
      </c>
      <c r="B1319" s="82" t="s">
        <v>892</v>
      </c>
      <c r="C1319" s="82" t="s">
        <v>893</v>
      </c>
      <c r="D1319" s="82" t="s">
        <v>901</v>
      </c>
      <c r="E1319" s="82"/>
      <c r="F1319" s="75" t="str">
        <f t="shared" si="76"/>
        <v>Omoro</v>
      </c>
      <c r="G1319" s="75" t="str">
        <f t="shared" si="77"/>
        <v>Alebtong</v>
      </c>
      <c r="H1319" s="82" t="s">
        <v>901</v>
      </c>
    </row>
    <row r="1320" spans="1:8">
      <c r="A1320" s="81">
        <v>311</v>
      </c>
      <c r="B1320" s="82" t="s">
        <v>901</v>
      </c>
      <c r="C1320" s="82" t="s">
        <v>901</v>
      </c>
      <c r="D1320" s="82" t="s">
        <v>2674</v>
      </c>
      <c r="E1320" s="82"/>
      <c r="F1320" s="75" t="str">
        <f t="shared" si="76"/>
        <v>Omoro Town Council</v>
      </c>
      <c r="G1320" s="75" t="str">
        <f t="shared" si="77"/>
        <v>Omoro</v>
      </c>
      <c r="H1320" s="82" t="s">
        <v>2674</v>
      </c>
    </row>
    <row r="1321" spans="1:8">
      <c r="A1321" s="81">
        <v>237</v>
      </c>
      <c r="B1321" s="82" t="s">
        <v>875</v>
      </c>
      <c r="C1321" s="82" t="s">
        <v>875</v>
      </c>
      <c r="D1321" s="82" t="s">
        <v>885</v>
      </c>
      <c r="E1321" s="82"/>
      <c r="F1321" s="75" t="str">
        <f t="shared" si="76"/>
        <v>Omot</v>
      </c>
      <c r="G1321" s="75" t="str">
        <f t="shared" si="77"/>
        <v>Agago</v>
      </c>
      <c r="H1321" s="82" t="s">
        <v>885</v>
      </c>
    </row>
    <row r="1322" spans="1:8">
      <c r="A1322" s="81">
        <v>43</v>
      </c>
      <c r="B1322" s="82" t="s">
        <v>959</v>
      </c>
      <c r="C1322" s="82" t="s">
        <v>962</v>
      </c>
      <c r="D1322" s="82" t="s">
        <v>982</v>
      </c>
      <c r="E1322" s="82"/>
      <c r="F1322" s="75" t="str">
        <f t="shared" si="76"/>
        <v>Omugo</v>
      </c>
      <c r="G1322" s="75" t="str">
        <f t="shared" si="77"/>
        <v>Arua</v>
      </c>
      <c r="H1322" s="82" t="s">
        <v>982</v>
      </c>
    </row>
    <row r="1323" spans="1:8">
      <c r="A1323" s="81">
        <v>310</v>
      </c>
      <c r="B1323" s="82" t="s">
        <v>901</v>
      </c>
      <c r="C1323" s="82" t="s">
        <v>901</v>
      </c>
      <c r="D1323" s="82" t="s">
        <v>2675</v>
      </c>
      <c r="E1323" s="82"/>
      <c r="F1323" s="75" t="str">
        <f t="shared" si="76"/>
        <v>Ongako</v>
      </c>
      <c r="G1323" s="75" t="str">
        <f t="shared" si="77"/>
        <v>Omoro</v>
      </c>
      <c r="H1323" s="82" t="s">
        <v>2675</v>
      </c>
    </row>
    <row r="1324" spans="1:8">
      <c r="A1324" s="81">
        <v>768</v>
      </c>
      <c r="B1324" s="82" t="s">
        <v>2149</v>
      </c>
      <c r="C1324" s="82" t="s">
        <v>2149</v>
      </c>
      <c r="D1324" s="82" t="s">
        <v>2154</v>
      </c>
      <c r="E1324" s="82"/>
      <c r="F1324" s="75" t="str">
        <f t="shared" si="76"/>
        <v>Ongino</v>
      </c>
      <c r="G1324" s="75" t="str">
        <f t="shared" si="77"/>
        <v>Kumi</v>
      </c>
      <c r="H1324" s="82" t="s">
        <v>2154</v>
      </c>
    </row>
    <row r="1325" spans="1:8">
      <c r="A1325" s="81">
        <v>760</v>
      </c>
      <c r="B1325" s="82" t="s">
        <v>2007</v>
      </c>
      <c r="C1325" s="82" t="s">
        <v>2009</v>
      </c>
      <c r="D1325" s="82" t="s">
        <v>2014</v>
      </c>
      <c r="E1325" s="82"/>
      <c r="F1325" s="75" t="str">
        <f t="shared" si="76"/>
        <v>Ongongoja</v>
      </c>
      <c r="G1325" s="75" t="str">
        <f t="shared" si="77"/>
        <v>Katakwi</v>
      </c>
      <c r="H1325" s="82" t="s">
        <v>2014</v>
      </c>
    </row>
    <row r="1326" spans="1:8" ht="25.5">
      <c r="A1326" s="81">
        <v>1083</v>
      </c>
      <c r="B1326" s="82" t="s">
        <v>1193</v>
      </c>
      <c r="C1326" s="82" t="s">
        <v>1194</v>
      </c>
      <c r="D1326" s="82" t="s">
        <v>1201</v>
      </c>
      <c r="E1326" s="82"/>
      <c r="F1326" s="75" t="str">
        <f t="shared" si="76"/>
        <v>Opwateta</v>
      </c>
      <c r="G1326" s="75" t="str">
        <f t="shared" si="77"/>
        <v>Butebo</v>
      </c>
      <c r="H1326" s="82" t="s">
        <v>1201</v>
      </c>
    </row>
    <row r="1327" spans="1:8">
      <c r="A1327" s="81">
        <v>66</v>
      </c>
      <c r="B1327" s="82" t="s">
        <v>2114</v>
      </c>
      <c r="C1327" s="82" t="s">
        <v>2115</v>
      </c>
      <c r="D1327" s="82" t="s">
        <v>2124</v>
      </c>
      <c r="E1327" s="82"/>
      <c r="F1327" s="75" t="str">
        <f t="shared" si="76"/>
        <v>Orom</v>
      </c>
      <c r="G1327" s="75" t="str">
        <f t="shared" si="77"/>
        <v>Kitgum</v>
      </c>
      <c r="H1327" s="82" t="s">
        <v>2124</v>
      </c>
    </row>
    <row r="1328" spans="1:8">
      <c r="A1328" s="81">
        <v>1386</v>
      </c>
      <c r="B1328" s="82" t="s">
        <v>48</v>
      </c>
      <c r="C1328" s="82" t="s">
        <v>48</v>
      </c>
      <c r="D1328" s="82" t="s">
        <v>1315</v>
      </c>
      <c r="E1328" s="82"/>
      <c r="F1328" s="75" t="str">
        <f t="shared" si="76"/>
        <v>Oruchinga Refugee Camp</v>
      </c>
      <c r="G1328" s="75" t="str">
        <f t="shared" si="77"/>
        <v>Isingiro</v>
      </c>
      <c r="H1328" s="82" t="s">
        <v>1315</v>
      </c>
    </row>
    <row r="1329" spans="1:9">
      <c r="A1329" s="81">
        <v>293</v>
      </c>
      <c r="B1329" s="82" t="s">
        <v>2677</v>
      </c>
      <c r="C1329" s="82" t="s">
        <v>2677</v>
      </c>
      <c r="D1329" s="82" t="s">
        <v>2683</v>
      </c>
      <c r="E1329" s="82"/>
      <c r="F1329" s="75" t="str">
        <f t="shared" si="76"/>
        <v>Orum</v>
      </c>
      <c r="G1329" s="75" t="str">
        <f t="shared" si="77"/>
        <v>Otuke</v>
      </c>
      <c r="H1329" s="82" t="s">
        <v>2683</v>
      </c>
    </row>
    <row r="1330" spans="1:9">
      <c r="A1330" s="81">
        <v>894</v>
      </c>
      <c r="B1330" s="82" t="s">
        <v>921</v>
      </c>
      <c r="C1330" s="82" t="s">
        <v>921</v>
      </c>
      <c r="D1330" s="82" t="s">
        <v>934</v>
      </c>
      <c r="E1330" s="82"/>
      <c r="F1330" s="75" t="str">
        <f t="shared" si="76"/>
        <v>Orungo</v>
      </c>
      <c r="G1330" s="75" t="str">
        <f t="shared" si="77"/>
        <v>Amuria</v>
      </c>
      <c r="H1330" s="82" t="s">
        <v>934</v>
      </c>
    </row>
    <row r="1331" spans="1:9">
      <c r="A1331" s="81">
        <v>824</v>
      </c>
      <c r="B1331" s="82" t="s">
        <v>2856</v>
      </c>
      <c r="C1331" s="82" t="s">
        <v>2856</v>
      </c>
      <c r="D1331" s="82" t="s">
        <v>2871</v>
      </c>
      <c r="E1331" s="82"/>
      <c r="F1331" s="75" t="str">
        <f t="shared" si="76"/>
        <v>Osukuru</v>
      </c>
      <c r="G1331" s="75" t="str">
        <f t="shared" si="77"/>
        <v>Tororo</v>
      </c>
      <c r="H1331" s="82" t="s">
        <v>2871</v>
      </c>
    </row>
    <row r="1332" spans="1:9">
      <c r="A1332" s="81">
        <v>850</v>
      </c>
      <c r="B1332" s="82" t="s">
        <v>1386</v>
      </c>
      <c r="C1332" s="82" t="s">
        <v>1388</v>
      </c>
      <c r="D1332" s="82" t="s">
        <v>1396</v>
      </c>
      <c r="E1332" s="82"/>
      <c r="F1332" s="75" t="str">
        <f t="shared" si="76"/>
        <v>Otuboi</v>
      </c>
      <c r="G1332" s="75" t="str">
        <f t="shared" si="77"/>
        <v>Kaberamaido</v>
      </c>
      <c r="H1332" s="82" t="s">
        <v>1396</v>
      </c>
    </row>
    <row r="1333" spans="1:9">
      <c r="A1333" s="81">
        <v>294</v>
      </c>
      <c r="B1333" s="82" t="s">
        <v>2677</v>
      </c>
      <c r="C1333" s="82" t="s">
        <v>2677</v>
      </c>
      <c r="D1333" s="82" t="s">
        <v>2684</v>
      </c>
      <c r="E1333" s="82"/>
      <c r="F1333" s="75" t="str">
        <f t="shared" si="76"/>
        <v>Otuke Town Council</v>
      </c>
      <c r="G1333" s="75" t="str">
        <f t="shared" si="77"/>
        <v>Otuke</v>
      </c>
      <c r="H1333" s="82" t="s">
        <v>2684</v>
      </c>
    </row>
    <row r="1334" spans="1:9">
      <c r="A1334" s="81">
        <v>225</v>
      </c>
      <c r="B1334" s="82" t="s">
        <v>2686</v>
      </c>
      <c r="C1334" s="82" t="s">
        <v>2686</v>
      </c>
      <c r="D1334" s="82" t="s">
        <v>2697</v>
      </c>
      <c r="E1334" s="82"/>
      <c r="F1334" s="75" t="str">
        <f t="shared" si="76"/>
        <v>Otwal</v>
      </c>
      <c r="G1334" s="75" t="str">
        <f t="shared" si="77"/>
        <v>Oyam</v>
      </c>
      <c r="H1334" s="82" t="s">
        <v>2697</v>
      </c>
    </row>
    <row r="1335" spans="1:9">
      <c r="A1335" s="81">
        <v>226</v>
      </c>
      <c r="B1335" s="82" t="s">
        <v>2686</v>
      </c>
      <c r="C1335" s="82" t="s">
        <v>2686</v>
      </c>
      <c r="D1335" s="82" t="s">
        <v>2698</v>
      </c>
      <c r="E1335" s="82"/>
      <c r="F1335" s="75" t="str">
        <f t="shared" si="76"/>
        <v>Oyam Town Council</v>
      </c>
      <c r="G1335" s="75" t="str">
        <f t="shared" si="77"/>
        <v>Oyam</v>
      </c>
      <c r="H1335" s="82" t="s">
        <v>2698</v>
      </c>
    </row>
    <row r="1336" spans="1:9">
      <c r="A1336" s="81">
        <v>1492</v>
      </c>
      <c r="B1336" s="82" t="s">
        <v>1398</v>
      </c>
      <c r="C1336" s="82" t="s">
        <v>1399</v>
      </c>
      <c r="D1336" s="82" t="s">
        <v>1413</v>
      </c>
      <c r="E1336" s="82"/>
      <c r="F1336" s="75" t="str">
        <f t="shared" si="76"/>
        <v>Paacwa</v>
      </c>
      <c r="G1336" s="75" t="str">
        <f t="shared" si="77"/>
        <v>Kagadi</v>
      </c>
      <c r="H1336" s="82" t="s">
        <v>1413</v>
      </c>
    </row>
    <row r="1337" spans="1:9">
      <c r="A1337" s="81">
        <v>172</v>
      </c>
      <c r="B1337" s="82" t="s">
        <v>937</v>
      </c>
      <c r="C1337" s="82" t="s">
        <v>938</v>
      </c>
      <c r="D1337" s="82" t="s">
        <v>943</v>
      </c>
      <c r="E1337" s="82"/>
      <c r="F1337" s="75" t="str">
        <f t="shared" si="76"/>
        <v>Pabo</v>
      </c>
      <c r="G1337" s="75" t="str">
        <f t="shared" si="77"/>
        <v>Amuru</v>
      </c>
      <c r="H1337" s="82" t="s">
        <v>943</v>
      </c>
    </row>
    <row r="1338" spans="1:9">
      <c r="A1338" s="81">
        <v>9</v>
      </c>
      <c r="B1338" s="82" t="s">
        <v>863</v>
      </c>
      <c r="C1338" s="82" t="s">
        <v>864</v>
      </c>
      <c r="D1338" s="82" t="s">
        <v>871</v>
      </c>
      <c r="E1338" s="82"/>
      <c r="F1338" s="75" t="str">
        <f t="shared" si="76"/>
        <v>Pacara</v>
      </c>
      <c r="G1338" s="75" t="str">
        <f t="shared" si="77"/>
        <v>Adjumani</v>
      </c>
      <c r="H1338" s="82" t="s">
        <v>871</v>
      </c>
    </row>
    <row r="1339" spans="1:9">
      <c r="A1339" s="81">
        <v>134</v>
      </c>
      <c r="B1339" s="82" t="s">
        <v>2700</v>
      </c>
      <c r="C1339" s="82" t="s">
        <v>2701</v>
      </c>
      <c r="D1339" s="82" t="s">
        <v>2700</v>
      </c>
      <c r="E1339" s="82"/>
      <c r="F1339" s="75" t="str">
        <f t="shared" si="76"/>
        <v>Pader</v>
      </c>
      <c r="G1339" s="75" t="str">
        <f t="shared" si="77"/>
        <v>Pader</v>
      </c>
      <c r="H1339" s="82" t="s">
        <v>2700</v>
      </c>
    </row>
    <row r="1340" spans="1:9">
      <c r="A1340" s="81">
        <v>135</v>
      </c>
      <c r="B1340" s="82" t="s">
        <v>2700</v>
      </c>
      <c r="C1340" s="82" t="s">
        <v>2701</v>
      </c>
      <c r="D1340" s="82" t="s">
        <v>2709</v>
      </c>
      <c r="E1340" s="82"/>
      <c r="F1340" s="75" t="str">
        <f t="shared" si="76"/>
        <v>Pader Town Council</v>
      </c>
      <c r="G1340" s="75" t="str">
        <f t="shared" si="77"/>
        <v>Pader</v>
      </c>
      <c r="H1340" s="82" t="s">
        <v>2709</v>
      </c>
    </row>
    <row r="1341" spans="1:9">
      <c r="A1341" s="81">
        <v>269</v>
      </c>
      <c r="B1341" s="82" t="s">
        <v>2228</v>
      </c>
      <c r="C1341" s="82" t="s">
        <v>2228</v>
      </c>
      <c r="D1341" s="86" t="s">
        <v>3248</v>
      </c>
      <c r="E1341" s="82"/>
      <c r="F1341" s="86" t="s">
        <v>2232</v>
      </c>
      <c r="G1341" s="75" t="str">
        <f t="shared" si="77"/>
        <v>Lamwo</v>
      </c>
      <c r="H1341" s="86" t="s">
        <v>3248</v>
      </c>
    </row>
    <row r="1342" spans="1:9">
      <c r="A1342" s="81">
        <v>273</v>
      </c>
      <c r="B1342" s="82" t="s">
        <v>2228</v>
      </c>
      <c r="C1342" s="82" t="s">
        <v>2228</v>
      </c>
      <c r="D1342" s="82" t="s">
        <v>3249</v>
      </c>
      <c r="E1342" s="82"/>
      <c r="F1342" s="86" t="s">
        <v>2232</v>
      </c>
      <c r="G1342" s="75" t="str">
        <f t="shared" si="77"/>
        <v>Lamwo</v>
      </c>
      <c r="H1342" s="82" t="s">
        <v>3249</v>
      </c>
      <c r="I1342" s="87" t="s">
        <v>3148</v>
      </c>
    </row>
    <row r="1343" spans="1:9">
      <c r="A1343" s="81">
        <v>267</v>
      </c>
      <c r="B1343" s="82" t="s">
        <v>2228</v>
      </c>
      <c r="C1343" s="82" t="s">
        <v>2228</v>
      </c>
      <c r="D1343" s="86" t="s">
        <v>3250</v>
      </c>
      <c r="E1343" s="82"/>
      <c r="F1343" s="86" t="s">
        <v>2232</v>
      </c>
      <c r="G1343" s="75" t="str">
        <f t="shared" si="77"/>
        <v>Lamwo</v>
      </c>
      <c r="H1343" s="86" t="s">
        <v>3250</v>
      </c>
      <c r="I1343" s="87" t="s">
        <v>3148</v>
      </c>
    </row>
    <row r="1344" spans="1:9" ht="25.5">
      <c r="A1344" s="81">
        <v>68</v>
      </c>
      <c r="B1344" s="82" t="s">
        <v>2114</v>
      </c>
      <c r="C1344" s="83" t="s">
        <v>2116</v>
      </c>
      <c r="D1344" s="82" t="s">
        <v>3251</v>
      </c>
      <c r="E1344" s="82"/>
      <c r="F1344" s="76" t="str">
        <f>VLOOKUP(C1344,[2]Municipalities!$C$9:$F$1522,4,FALSE)</f>
        <v>Kitgum Municipality</v>
      </c>
      <c r="G1344" s="75" t="str">
        <f t="shared" si="77"/>
        <v>Kitgum</v>
      </c>
      <c r="H1344" s="82" t="s">
        <v>3251</v>
      </c>
    </row>
    <row r="1345" spans="1:9">
      <c r="A1345" s="81">
        <v>52</v>
      </c>
      <c r="B1345" s="82" t="s">
        <v>1239</v>
      </c>
      <c r="C1345" s="82" t="s">
        <v>1240</v>
      </c>
      <c r="D1345" s="82" t="s">
        <v>1245</v>
      </c>
      <c r="E1345" s="82"/>
      <c r="F1345" s="75" t="str">
        <f t="shared" ref="F1345:F1354" si="78">D1345</f>
        <v>Paicho</v>
      </c>
      <c r="G1345" s="75" t="str">
        <f t="shared" si="77"/>
        <v>Gulu</v>
      </c>
      <c r="H1345" s="82" t="s">
        <v>1245</v>
      </c>
    </row>
    <row r="1346" spans="1:9">
      <c r="A1346" s="81">
        <v>300</v>
      </c>
      <c r="B1346" s="82" t="s">
        <v>3087</v>
      </c>
      <c r="C1346" s="82" t="s">
        <v>3088</v>
      </c>
      <c r="D1346" s="82" t="s">
        <v>3093</v>
      </c>
      <c r="E1346" s="82"/>
      <c r="F1346" s="75" t="str">
        <f t="shared" si="78"/>
        <v>Paidha</v>
      </c>
      <c r="G1346" s="75" t="str">
        <f t="shared" si="77"/>
        <v>Zombo</v>
      </c>
      <c r="H1346" s="82" t="s">
        <v>3093</v>
      </c>
    </row>
    <row r="1347" spans="1:9">
      <c r="A1347" s="81">
        <v>301</v>
      </c>
      <c r="B1347" s="82" t="s">
        <v>3087</v>
      </c>
      <c r="C1347" s="82" t="s">
        <v>3088</v>
      </c>
      <c r="D1347" s="82" t="s">
        <v>3094</v>
      </c>
      <c r="E1347" s="82"/>
      <c r="F1347" s="75" t="str">
        <f t="shared" si="78"/>
        <v>Paidha Town Council</v>
      </c>
      <c r="G1347" s="75" t="str">
        <f t="shared" si="77"/>
        <v>Zombo</v>
      </c>
      <c r="H1347" s="82" t="s">
        <v>3094</v>
      </c>
    </row>
    <row r="1348" spans="1:9">
      <c r="A1348" s="81">
        <v>238</v>
      </c>
      <c r="B1348" s="82" t="s">
        <v>875</v>
      </c>
      <c r="C1348" s="82" t="s">
        <v>875</v>
      </c>
      <c r="D1348" s="82" t="s">
        <v>886</v>
      </c>
      <c r="E1348" s="82"/>
      <c r="F1348" s="75" t="str">
        <f t="shared" si="78"/>
        <v>Paimol</v>
      </c>
      <c r="G1348" s="75" t="str">
        <f t="shared" si="77"/>
        <v>Agago</v>
      </c>
      <c r="H1348" s="82" t="s">
        <v>886</v>
      </c>
    </row>
    <row r="1349" spans="1:9">
      <c r="A1349" s="81">
        <v>136</v>
      </c>
      <c r="B1349" s="82" t="s">
        <v>2700</v>
      </c>
      <c r="C1349" s="82" t="s">
        <v>2701</v>
      </c>
      <c r="D1349" s="82" t="s">
        <v>2710</v>
      </c>
      <c r="E1349" s="82"/>
      <c r="F1349" s="75" t="str">
        <f t="shared" si="78"/>
        <v>Pajule</v>
      </c>
      <c r="G1349" s="75" t="str">
        <f t="shared" si="77"/>
        <v>Pader</v>
      </c>
      <c r="H1349" s="82" t="s">
        <v>2710</v>
      </c>
    </row>
    <row r="1350" spans="1:9">
      <c r="A1350" s="81">
        <v>30</v>
      </c>
      <c r="B1350" s="82" t="s">
        <v>959</v>
      </c>
      <c r="C1350" s="82" t="s">
        <v>960</v>
      </c>
      <c r="D1350" s="82" t="s">
        <v>983</v>
      </c>
      <c r="E1350" s="82"/>
      <c r="F1350" s="75" t="str">
        <f t="shared" si="78"/>
        <v>Pajulu</v>
      </c>
      <c r="G1350" s="75" t="str">
        <f t="shared" si="77"/>
        <v>Arua</v>
      </c>
      <c r="H1350" s="82" t="s">
        <v>983</v>
      </c>
    </row>
    <row r="1351" spans="1:9">
      <c r="A1351" s="81">
        <v>1239</v>
      </c>
      <c r="B1351" s="82" t="s">
        <v>2337</v>
      </c>
      <c r="C1351" s="82" t="s">
        <v>2341</v>
      </c>
      <c r="D1351" s="82" t="s">
        <v>2344</v>
      </c>
      <c r="E1351" s="82"/>
      <c r="F1351" s="75" t="str">
        <f t="shared" si="78"/>
        <v>Pakanyi</v>
      </c>
      <c r="G1351" s="75" t="str">
        <f t="shared" si="77"/>
        <v>Masindi</v>
      </c>
      <c r="H1351" s="82" t="s">
        <v>2344</v>
      </c>
    </row>
    <row r="1352" spans="1:9">
      <c r="A1352" s="81">
        <v>10</v>
      </c>
      <c r="B1352" s="82" t="s">
        <v>863</v>
      </c>
      <c r="C1352" s="82" t="s">
        <v>864</v>
      </c>
      <c r="D1352" s="82" t="s">
        <v>872</v>
      </c>
      <c r="E1352" s="82"/>
      <c r="F1352" s="75" t="str">
        <f t="shared" si="78"/>
        <v>Pakele</v>
      </c>
      <c r="G1352" s="75" t="str">
        <f t="shared" si="77"/>
        <v>Adjumani</v>
      </c>
      <c r="H1352" s="82" t="s">
        <v>872</v>
      </c>
    </row>
    <row r="1353" spans="1:9">
      <c r="A1353" s="81">
        <v>313</v>
      </c>
      <c r="B1353" s="82" t="s">
        <v>2713</v>
      </c>
      <c r="C1353" s="82" t="s">
        <v>2714</v>
      </c>
      <c r="D1353" s="82" t="s">
        <v>2713</v>
      </c>
      <c r="E1353" s="82"/>
      <c r="F1353" s="75" t="str">
        <f t="shared" si="78"/>
        <v>Pakwach</v>
      </c>
      <c r="G1353" s="75" t="str">
        <f t="shared" si="77"/>
        <v>Pakwach</v>
      </c>
      <c r="H1353" s="82" t="s">
        <v>2713</v>
      </c>
    </row>
    <row r="1354" spans="1:9">
      <c r="A1354" s="81">
        <v>314</v>
      </c>
      <c r="B1354" s="82" t="s">
        <v>2713</v>
      </c>
      <c r="C1354" s="82" t="s">
        <v>2714</v>
      </c>
      <c r="D1354" s="82" t="s">
        <v>2716</v>
      </c>
      <c r="E1354" s="82"/>
      <c r="F1354" s="75" t="str">
        <f t="shared" si="78"/>
        <v>Pakwach Town Council</v>
      </c>
      <c r="G1354" s="75" t="str">
        <f t="shared" ref="G1354:G1417" si="79">B1354</f>
        <v>Pakwach</v>
      </c>
      <c r="H1354" s="82" t="s">
        <v>2716</v>
      </c>
    </row>
    <row r="1355" spans="1:9">
      <c r="A1355" s="81">
        <v>265</v>
      </c>
      <c r="B1355" s="82" t="s">
        <v>2228</v>
      </c>
      <c r="C1355" s="82" t="s">
        <v>2228</v>
      </c>
      <c r="D1355" s="86" t="s">
        <v>3252</v>
      </c>
      <c r="E1355" s="82"/>
      <c r="F1355" s="86" t="s">
        <v>2233</v>
      </c>
      <c r="G1355" s="75" t="str">
        <f t="shared" si="79"/>
        <v>Lamwo</v>
      </c>
      <c r="H1355" s="86" t="s">
        <v>3252</v>
      </c>
    </row>
    <row r="1356" spans="1:9">
      <c r="A1356" s="81">
        <v>270</v>
      </c>
      <c r="B1356" s="82" t="s">
        <v>2228</v>
      </c>
      <c r="C1356" s="82" t="s">
        <v>2228</v>
      </c>
      <c r="D1356" s="86" t="s">
        <v>3253</v>
      </c>
      <c r="E1356" s="82"/>
      <c r="F1356" s="86" t="s">
        <v>2233</v>
      </c>
      <c r="G1356" s="75" t="str">
        <f t="shared" si="79"/>
        <v>Lamwo</v>
      </c>
      <c r="H1356" s="86" t="s">
        <v>3253</v>
      </c>
      <c r="I1356" s="87" t="s">
        <v>3148</v>
      </c>
    </row>
    <row r="1357" spans="1:9">
      <c r="A1357" s="81">
        <v>271</v>
      </c>
      <c r="B1357" s="82" t="s">
        <v>2228</v>
      </c>
      <c r="C1357" s="82" t="s">
        <v>2228</v>
      </c>
      <c r="D1357" s="86" t="s">
        <v>3254</v>
      </c>
      <c r="E1357" s="82"/>
      <c r="F1357" s="86" t="s">
        <v>2233</v>
      </c>
      <c r="G1357" s="75" t="str">
        <f t="shared" si="79"/>
        <v>Lamwo</v>
      </c>
      <c r="H1357" s="86" t="s">
        <v>3254</v>
      </c>
      <c r="I1357" s="87" t="s">
        <v>3148</v>
      </c>
    </row>
    <row r="1358" spans="1:9">
      <c r="A1358" s="81">
        <v>761</v>
      </c>
      <c r="B1358" s="82" t="s">
        <v>2007</v>
      </c>
      <c r="C1358" s="82" t="s">
        <v>2009</v>
      </c>
      <c r="D1358" s="82" t="s">
        <v>2015</v>
      </c>
      <c r="E1358" s="82"/>
      <c r="F1358" s="75" t="str">
        <f t="shared" ref="F1358:F1388" si="80">D1358</f>
        <v>Palam</v>
      </c>
      <c r="G1358" s="75" t="str">
        <f t="shared" si="79"/>
        <v>Katakwi</v>
      </c>
      <c r="H1358" s="82" t="s">
        <v>2015</v>
      </c>
    </row>
    <row r="1359" spans="1:9">
      <c r="A1359" s="81">
        <v>799</v>
      </c>
      <c r="B1359" s="82" t="s">
        <v>2721</v>
      </c>
      <c r="C1359" s="82" t="s">
        <v>2721</v>
      </c>
      <c r="D1359" s="82" t="s">
        <v>2721</v>
      </c>
      <c r="E1359" s="82"/>
      <c r="F1359" s="75" t="str">
        <f t="shared" si="80"/>
        <v>Pallisa</v>
      </c>
      <c r="G1359" s="75" t="str">
        <f t="shared" si="79"/>
        <v>Pallisa</v>
      </c>
      <c r="H1359" s="82" t="s">
        <v>2721</v>
      </c>
    </row>
    <row r="1360" spans="1:9">
      <c r="A1360" s="81">
        <v>800</v>
      </c>
      <c r="B1360" s="82" t="s">
        <v>2721</v>
      </c>
      <c r="C1360" s="82" t="s">
        <v>2721</v>
      </c>
      <c r="D1360" s="82" t="s">
        <v>2730</v>
      </c>
      <c r="E1360" s="82"/>
      <c r="F1360" s="75" t="str">
        <f t="shared" si="80"/>
        <v>Pallisa Town Council</v>
      </c>
      <c r="G1360" s="75" t="str">
        <f t="shared" si="79"/>
        <v>Pallisa</v>
      </c>
      <c r="H1360" s="82" t="s">
        <v>2730</v>
      </c>
    </row>
    <row r="1361" spans="1:8">
      <c r="A1361" s="81">
        <v>272</v>
      </c>
      <c r="B1361" s="82" t="s">
        <v>2228</v>
      </c>
      <c r="C1361" s="82" t="s">
        <v>2228</v>
      </c>
      <c r="D1361" s="82" t="s">
        <v>2234</v>
      </c>
      <c r="E1361" s="82"/>
      <c r="F1361" s="75" t="str">
        <f t="shared" si="80"/>
        <v>Paloga</v>
      </c>
      <c r="G1361" s="75" t="str">
        <f t="shared" si="79"/>
        <v>Lamwo</v>
      </c>
      <c r="H1361" s="82" t="s">
        <v>2234</v>
      </c>
    </row>
    <row r="1362" spans="1:8" ht="25.5">
      <c r="A1362" s="81">
        <v>69</v>
      </c>
      <c r="B1362" s="84" t="s">
        <v>2114</v>
      </c>
      <c r="C1362" s="85" t="s">
        <v>2116</v>
      </c>
      <c r="D1362" s="84" t="s">
        <v>3255</v>
      </c>
      <c r="E1362" s="84"/>
      <c r="F1362" s="76" t="str">
        <f>VLOOKUP(C1362,[2]Municipalities!$C$9:$F$1522,4,FALSE)</f>
        <v>Kitgum Municipality</v>
      </c>
      <c r="G1362" s="75" t="str">
        <f t="shared" si="79"/>
        <v>Kitgum</v>
      </c>
      <c r="H1362" s="84" t="s">
        <v>3255</v>
      </c>
    </row>
    <row r="1363" spans="1:8">
      <c r="A1363" s="81">
        <v>74</v>
      </c>
      <c r="B1363" s="82" t="s">
        <v>2142</v>
      </c>
      <c r="C1363" s="82" t="s">
        <v>2143</v>
      </c>
      <c r="D1363" s="82" t="s">
        <v>2146</v>
      </c>
      <c r="E1363" s="82"/>
      <c r="F1363" s="75" t="str">
        <f t="shared" si="80"/>
        <v>Panyangara</v>
      </c>
      <c r="G1363" s="75" t="str">
        <f t="shared" si="79"/>
        <v>Kotido</v>
      </c>
      <c r="H1363" s="82" t="s">
        <v>2146</v>
      </c>
    </row>
    <row r="1364" spans="1:8">
      <c r="A1364" s="81">
        <v>315</v>
      </c>
      <c r="B1364" s="82" t="s">
        <v>2713</v>
      </c>
      <c r="C1364" s="82" t="s">
        <v>2714</v>
      </c>
      <c r="D1364" s="82" t="s">
        <v>2717</v>
      </c>
      <c r="E1364" s="82"/>
      <c r="F1364" s="75" t="str">
        <f t="shared" si="80"/>
        <v>Panyango</v>
      </c>
      <c r="G1364" s="75" t="str">
        <f t="shared" si="79"/>
        <v>Pakwach</v>
      </c>
      <c r="H1364" s="82" t="s">
        <v>2717</v>
      </c>
    </row>
    <row r="1365" spans="1:8">
      <c r="A1365" s="81">
        <v>316</v>
      </c>
      <c r="B1365" s="82" t="s">
        <v>2713</v>
      </c>
      <c r="C1365" s="82" t="s">
        <v>2714</v>
      </c>
      <c r="D1365" s="82" t="s">
        <v>2718</v>
      </c>
      <c r="E1365" s="82"/>
      <c r="F1365" s="75" t="str">
        <f t="shared" si="80"/>
        <v>Panyimur</v>
      </c>
      <c r="G1365" s="75" t="str">
        <f t="shared" si="79"/>
        <v>Pakwach</v>
      </c>
      <c r="H1365" s="82" t="s">
        <v>2718</v>
      </c>
    </row>
    <row r="1366" spans="1:8">
      <c r="A1366" s="81">
        <v>239</v>
      </c>
      <c r="B1366" s="82" t="s">
        <v>875</v>
      </c>
      <c r="C1366" s="82" t="s">
        <v>875</v>
      </c>
      <c r="D1366" s="82" t="s">
        <v>887</v>
      </c>
      <c r="E1366" s="82"/>
      <c r="F1366" s="75" t="str">
        <f t="shared" si="80"/>
        <v>Parabongo</v>
      </c>
      <c r="G1366" s="75" t="str">
        <f t="shared" si="79"/>
        <v>Agago</v>
      </c>
      <c r="H1366" s="82" t="s">
        <v>887</v>
      </c>
    </row>
    <row r="1367" spans="1:8">
      <c r="A1367" s="81">
        <v>117</v>
      </c>
      <c r="B1367" s="82" t="s">
        <v>2616</v>
      </c>
      <c r="C1367" s="82" t="s">
        <v>2617</v>
      </c>
      <c r="D1367" s="82" t="s">
        <v>2624</v>
      </c>
      <c r="E1367" s="82"/>
      <c r="F1367" s="75" t="str">
        <f t="shared" si="80"/>
        <v>Parombo</v>
      </c>
      <c r="G1367" s="75" t="str">
        <f t="shared" si="79"/>
        <v>Nebbi</v>
      </c>
      <c r="H1367" s="82" t="s">
        <v>2624</v>
      </c>
    </row>
    <row r="1368" spans="1:8">
      <c r="A1368" s="81">
        <v>240</v>
      </c>
      <c r="B1368" s="82" t="s">
        <v>875</v>
      </c>
      <c r="C1368" s="82" t="s">
        <v>875</v>
      </c>
      <c r="D1368" s="82" t="s">
        <v>888</v>
      </c>
      <c r="E1368" s="82"/>
      <c r="F1368" s="75" t="str">
        <f t="shared" si="80"/>
        <v>Patongo</v>
      </c>
      <c r="G1368" s="75" t="str">
        <f t="shared" si="79"/>
        <v>Agago</v>
      </c>
      <c r="H1368" s="82" t="s">
        <v>888</v>
      </c>
    </row>
    <row r="1369" spans="1:8">
      <c r="A1369" s="81">
        <v>241</v>
      </c>
      <c r="B1369" s="82" t="s">
        <v>875</v>
      </c>
      <c r="C1369" s="82" t="s">
        <v>875</v>
      </c>
      <c r="D1369" s="82" t="s">
        <v>889</v>
      </c>
      <c r="E1369" s="82"/>
      <c r="F1369" s="75" t="str">
        <f t="shared" si="80"/>
        <v>Patongo Town Council</v>
      </c>
      <c r="G1369" s="75" t="str">
        <f t="shared" si="79"/>
        <v>Agago</v>
      </c>
      <c r="H1369" s="82" t="s">
        <v>889</v>
      </c>
    </row>
    <row r="1370" spans="1:8">
      <c r="A1370" s="81">
        <v>36</v>
      </c>
      <c r="B1370" s="82" t="s">
        <v>959</v>
      </c>
      <c r="C1370" s="82" t="s">
        <v>966</v>
      </c>
      <c r="D1370" s="82" t="s">
        <v>984</v>
      </c>
      <c r="E1370" s="82"/>
      <c r="F1370" s="75" t="str">
        <f t="shared" si="80"/>
        <v>Pawor</v>
      </c>
      <c r="G1370" s="75" t="str">
        <f t="shared" si="79"/>
        <v>Arua</v>
      </c>
      <c r="H1370" s="82" t="s">
        <v>984</v>
      </c>
    </row>
    <row r="1371" spans="1:8">
      <c r="A1371" s="81">
        <v>835</v>
      </c>
      <c r="B1371" s="82" t="s">
        <v>2856</v>
      </c>
      <c r="C1371" s="82" t="s">
        <v>2857</v>
      </c>
      <c r="D1371" s="82" t="s">
        <v>2872</v>
      </c>
      <c r="E1371" s="82"/>
      <c r="F1371" s="75" t="str">
        <f t="shared" si="80"/>
        <v>Paya</v>
      </c>
      <c r="G1371" s="75" t="str">
        <f t="shared" si="79"/>
        <v>Tororo</v>
      </c>
      <c r="H1371" s="82" t="s">
        <v>2872</v>
      </c>
    </row>
    <row r="1372" spans="1:8">
      <c r="A1372" s="81">
        <v>57</v>
      </c>
      <c r="B1372" s="82" t="s">
        <v>1239</v>
      </c>
      <c r="C1372" s="83" t="s">
        <v>1242</v>
      </c>
      <c r="D1372" s="82" t="s">
        <v>3256</v>
      </c>
      <c r="E1372" s="82"/>
      <c r="F1372" s="76" t="str">
        <f>VLOOKUP(C1372,[2]Municipalities!$C$9:$F$1522,4,FALSE)</f>
        <v>Gulu Municipality</v>
      </c>
      <c r="G1372" s="75" t="str">
        <f t="shared" si="79"/>
        <v>Gulu</v>
      </c>
      <c r="H1372" s="82" t="s">
        <v>3256</v>
      </c>
    </row>
    <row r="1373" spans="1:8" ht="25.5">
      <c r="A1373" s="81">
        <v>1084</v>
      </c>
      <c r="B1373" s="82" t="s">
        <v>1193</v>
      </c>
      <c r="C1373" s="82" t="s">
        <v>1194</v>
      </c>
      <c r="D1373" s="82" t="s">
        <v>1202</v>
      </c>
      <c r="E1373" s="82"/>
      <c r="F1373" s="75" t="str">
        <f t="shared" si="80"/>
        <v>Petete</v>
      </c>
      <c r="G1373" s="75" t="str">
        <f t="shared" si="79"/>
        <v>Butebo</v>
      </c>
      <c r="H1373" s="82" t="s">
        <v>1202</v>
      </c>
    </row>
    <row r="1374" spans="1:8">
      <c r="A1374" s="81">
        <v>836</v>
      </c>
      <c r="B1374" s="82" t="s">
        <v>2856</v>
      </c>
      <c r="C1374" s="82" t="s">
        <v>2857</v>
      </c>
      <c r="D1374" s="82" t="s">
        <v>2873</v>
      </c>
      <c r="E1374" s="82"/>
      <c r="F1374" s="75" t="str">
        <f t="shared" si="80"/>
        <v>Petta</v>
      </c>
      <c r="G1374" s="75" t="str">
        <f t="shared" si="79"/>
        <v>Tororo</v>
      </c>
      <c r="H1374" s="82" t="s">
        <v>2873</v>
      </c>
    </row>
    <row r="1375" spans="1:8">
      <c r="A1375" s="81">
        <v>1072</v>
      </c>
      <c r="B1375" s="82" t="s">
        <v>2786</v>
      </c>
      <c r="C1375" s="82" t="s">
        <v>2788</v>
      </c>
      <c r="D1375" s="82" t="s">
        <v>2795</v>
      </c>
      <c r="E1375" s="82"/>
      <c r="F1375" s="75" t="str">
        <f t="shared" si="80"/>
        <v>Pingire</v>
      </c>
      <c r="G1375" s="75" t="str">
        <f t="shared" si="79"/>
        <v>Serere</v>
      </c>
      <c r="H1375" s="82" t="s">
        <v>2795</v>
      </c>
    </row>
    <row r="1376" spans="1:8">
      <c r="A1376" s="81">
        <v>137</v>
      </c>
      <c r="B1376" s="82" t="s">
        <v>2700</v>
      </c>
      <c r="C1376" s="82" t="s">
        <v>2701</v>
      </c>
      <c r="D1376" s="82" t="s">
        <v>2711</v>
      </c>
      <c r="E1376" s="82"/>
      <c r="F1376" s="75" t="str">
        <f t="shared" si="80"/>
        <v>Puranga</v>
      </c>
      <c r="G1376" s="75" t="str">
        <f t="shared" si="79"/>
        <v>Pader</v>
      </c>
      <c r="H1376" s="82" t="s">
        <v>2711</v>
      </c>
    </row>
    <row r="1377" spans="1:8">
      <c r="A1377" s="81">
        <v>286</v>
      </c>
      <c r="B1377" s="82" t="s">
        <v>2664</v>
      </c>
      <c r="C1377" s="82" t="s">
        <v>2664</v>
      </c>
      <c r="D1377" s="82" t="s">
        <v>2668</v>
      </c>
      <c r="E1377" s="82"/>
      <c r="F1377" s="75" t="str">
        <f t="shared" si="80"/>
        <v>Purongo</v>
      </c>
      <c r="G1377" s="75" t="str">
        <f t="shared" si="79"/>
        <v>Nwoya</v>
      </c>
      <c r="H1377" s="82" t="s">
        <v>2668</v>
      </c>
    </row>
    <row r="1378" spans="1:8">
      <c r="A1378" s="81">
        <v>801</v>
      </c>
      <c r="B1378" s="82" t="s">
        <v>2721</v>
      </c>
      <c r="C1378" s="82" t="s">
        <v>2721</v>
      </c>
      <c r="D1378" s="82" t="s">
        <v>2731</v>
      </c>
      <c r="E1378" s="82"/>
      <c r="F1378" s="75" t="str">
        <f t="shared" si="80"/>
        <v>Puti-Puti</v>
      </c>
      <c r="G1378" s="75" t="str">
        <f t="shared" si="79"/>
        <v>Pallisa</v>
      </c>
      <c r="H1378" s="82" t="s">
        <v>2731</v>
      </c>
    </row>
    <row r="1379" spans="1:8">
      <c r="A1379" s="81">
        <v>91</v>
      </c>
      <c r="B1379" s="82" t="s">
        <v>2236</v>
      </c>
      <c r="C1379" s="83" t="s">
        <v>2243</v>
      </c>
      <c r="D1379" s="82" t="s">
        <v>3257</v>
      </c>
      <c r="E1379" s="82"/>
      <c r="F1379" s="76" t="str">
        <f>VLOOKUP(C1379,[2]Municipalities!$C$9:$F$1522,4,FALSE)</f>
        <v>Lira Municipality</v>
      </c>
      <c r="G1379" s="75" t="str">
        <f t="shared" si="79"/>
        <v>Lira</v>
      </c>
      <c r="H1379" s="82" t="s">
        <v>3257</v>
      </c>
    </row>
    <row r="1380" spans="1:8">
      <c r="A1380" s="81">
        <v>514</v>
      </c>
      <c r="B1380" s="82" t="s">
        <v>2733</v>
      </c>
      <c r="C1380" s="82" t="s">
        <v>2220</v>
      </c>
      <c r="D1380" s="82" t="s">
        <v>2743</v>
      </c>
      <c r="E1380" s="82"/>
      <c r="F1380" s="75" t="str">
        <f t="shared" si="80"/>
        <v>Rakai Town Council</v>
      </c>
      <c r="G1380" s="75" t="str">
        <f t="shared" si="79"/>
        <v>Rakai</v>
      </c>
      <c r="H1380" s="82" t="s">
        <v>2743</v>
      </c>
    </row>
    <row r="1381" spans="1:8">
      <c r="A1381" s="81">
        <v>72</v>
      </c>
      <c r="B1381" s="82" t="s">
        <v>2142</v>
      </c>
      <c r="C1381" s="82" t="s">
        <v>2143</v>
      </c>
      <c r="D1381" s="82" t="s">
        <v>2147</v>
      </c>
      <c r="E1381" s="82"/>
      <c r="F1381" s="75" t="str">
        <f t="shared" si="80"/>
        <v>Rengen</v>
      </c>
      <c r="G1381" s="75" t="str">
        <f t="shared" si="79"/>
        <v>Kotido</v>
      </c>
      <c r="H1381" s="82" t="s">
        <v>2147</v>
      </c>
    </row>
    <row r="1382" spans="1:8">
      <c r="A1382" s="81">
        <v>37</v>
      </c>
      <c r="B1382" s="82" t="s">
        <v>959</v>
      </c>
      <c r="C1382" s="82" t="s">
        <v>966</v>
      </c>
      <c r="D1382" s="82" t="s">
        <v>985</v>
      </c>
      <c r="E1382" s="82"/>
      <c r="F1382" s="75" t="str">
        <f t="shared" si="80"/>
        <v>Rhino Camp</v>
      </c>
      <c r="G1382" s="75" t="str">
        <f t="shared" si="79"/>
        <v>Arua</v>
      </c>
      <c r="H1382" s="82" t="s">
        <v>985</v>
      </c>
    </row>
    <row r="1383" spans="1:8">
      <c r="A1383" s="81">
        <v>38</v>
      </c>
      <c r="B1383" s="82" t="s">
        <v>959</v>
      </c>
      <c r="C1383" s="82" t="s">
        <v>966</v>
      </c>
      <c r="D1383" s="82" t="s">
        <v>986</v>
      </c>
      <c r="E1383" s="82"/>
      <c r="F1383" s="75" t="str">
        <f t="shared" si="80"/>
        <v>Rigbo</v>
      </c>
      <c r="G1383" s="75" t="str">
        <f t="shared" si="79"/>
        <v>Arua</v>
      </c>
      <c r="H1383" s="82" t="s">
        <v>986</v>
      </c>
    </row>
    <row r="1384" spans="1:8">
      <c r="A1384" s="81">
        <v>23</v>
      </c>
      <c r="B1384" s="84" t="s">
        <v>959</v>
      </c>
      <c r="C1384" s="85" t="s">
        <v>969</v>
      </c>
      <c r="D1384" s="84" t="s">
        <v>3258</v>
      </c>
      <c r="E1384" s="84"/>
      <c r="F1384" s="76" t="str">
        <f>VLOOKUP(C1384,[2]Municipalities!$C$9:$F$1522,4,FALSE)</f>
        <v>Arua Municipality</v>
      </c>
      <c r="G1384" s="75" t="str">
        <f t="shared" si="79"/>
        <v>Arua</v>
      </c>
      <c r="H1384" s="84" t="s">
        <v>3258</v>
      </c>
    </row>
    <row r="1385" spans="1:8">
      <c r="A1385" s="81">
        <v>945</v>
      </c>
      <c r="B1385" s="82" t="s">
        <v>1067</v>
      </c>
      <c r="C1385" s="82" t="s">
        <v>1068</v>
      </c>
      <c r="D1385" s="82" t="s">
        <v>1076</v>
      </c>
      <c r="E1385" s="82"/>
      <c r="F1385" s="75" t="str">
        <f t="shared" si="80"/>
        <v>Riwo</v>
      </c>
      <c r="G1385" s="75" t="str">
        <f t="shared" si="79"/>
        <v>Bukwo</v>
      </c>
      <c r="H1385" s="82" t="s">
        <v>1076</v>
      </c>
    </row>
    <row r="1386" spans="1:8">
      <c r="A1386" s="81">
        <v>149</v>
      </c>
      <c r="B1386" s="82" t="s">
        <v>3072</v>
      </c>
      <c r="C1386" s="82" t="s">
        <v>3073</v>
      </c>
      <c r="D1386" s="82" t="s">
        <v>3084</v>
      </c>
      <c r="E1386" s="82"/>
      <c r="F1386" s="75" t="str">
        <f t="shared" si="80"/>
        <v>Romogi</v>
      </c>
      <c r="G1386" s="75" t="str">
        <f t="shared" si="79"/>
        <v>Yumbe</v>
      </c>
      <c r="H1386" s="82" t="s">
        <v>3084</v>
      </c>
    </row>
    <row r="1387" spans="1:8">
      <c r="A1387" s="81">
        <v>1280</v>
      </c>
      <c r="B1387" s="82" t="s">
        <v>47</v>
      </c>
      <c r="C1387" s="82" t="s">
        <v>2648</v>
      </c>
      <c r="D1387" s="82" t="s">
        <v>55</v>
      </c>
      <c r="E1387" s="82"/>
      <c r="F1387" s="75" t="str">
        <f t="shared" si="80"/>
        <v>Rubaare</v>
      </c>
      <c r="G1387" s="75" t="str">
        <f t="shared" si="79"/>
        <v>Ntungamo</v>
      </c>
      <c r="H1387" s="82" t="s">
        <v>55</v>
      </c>
    </row>
    <row r="1388" spans="1:8">
      <c r="A1388" s="81">
        <v>1281</v>
      </c>
      <c r="B1388" s="82" t="s">
        <v>47</v>
      </c>
      <c r="C1388" s="82" t="s">
        <v>2648</v>
      </c>
      <c r="D1388" s="82" t="s">
        <v>2657</v>
      </c>
      <c r="E1388" s="82"/>
      <c r="F1388" s="75" t="str">
        <f t="shared" si="80"/>
        <v>Rubaare Town Council</v>
      </c>
      <c r="G1388" s="75" t="str">
        <f t="shared" si="79"/>
        <v>Ntungamo</v>
      </c>
      <c r="H1388" s="82" t="s">
        <v>2657</v>
      </c>
    </row>
    <row r="1389" spans="1:8">
      <c r="A1389" s="81">
        <v>364</v>
      </c>
      <c r="B1389" s="82" t="s">
        <v>1460</v>
      </c>
      <c r="C1389" s="82" t="s">
        <v>1461</v>
      </c>
      <c r="D1389" s="82" t="s">
        <v>1483</v>
      </c>
      <c r="E1389" s="82" t="s">
        <v>1482</v>
      </c>
      <c r="F1389" s="82" t="s">
        <v>1482</v>
      </c>
      <c r="G1389" s="75" t="str">
        <f t="shared" si="79"/>
        <v>Kampala</v>
      </c>
      <c r="H1389" s="82" t="s">
        <v>1483</v>
      </c>
    </row>
    <row r="1390" spans="1:8">
      <c r="A1390" s="81">
        <v>365</v>
      </c>
      <c r="B1390" s="82" t="s">
        <v>1460</v>
      </c>
      <c r="C1390" s="82" t="s">
        <v>1461</v>
      </c>
      <c r="D1390" s="82" t="s">
        <v>1483</v>
      </c>
      <c r="E1390" s="82" t="s">
        <v>1666</v>
      </c>
      <c r="F1390" s="82" t="s">
        <v>1666</v>
      </c>
      <c r="G1390" s="75" t="str">
        <f t="shared" si="79"/>
        <v>Kampala</v>
      </c>
      <c r="H1390" s="82" t="s">
        <v>1483</v>
      </c>
    </row>
    <row r="1391" spans="1:8">
      <c r="A1391" s="81">
        <v>366</v>
      </c>
      <c r="B1391" s="82" t="s">
        <v>1460</v>
      </c>
      <c r="C1391" s="82" t="s">
        <v>1461</v>
      </c>
      <c r="D1391" s="82" t="s">
        <v>1483</v>
      </c>
      <c r="E1391" s="82" t="s">
        <v>1686</v>
      </c>
      <c r="F1391" s="82" t="s">
        <v>1686</v>
      </c>
      <c r="G1391" s="75" t="str">
        <f t="shared" si="79"/>
        <v>Kampala</v>
      </c>
      <c r="H1391" s="82" t="s">
        <v>1483</v>
      </c>
    </row>
    <row r="1392" spans="1:8">
      <c r="A1392" s="81">
        <v>367</v>
      </c>
      <c r="B1392" s="82" t="s">
        <v>1460</v>
      </c>
      <c r="C1392" s="82" t="s">
        <v>1461</v>
      </c>
      <c r="D1392" s="82" t="s">
        <v>1483</v>
      </c>
      <c r="E1392" s="82" t="s">
        <v>1752</v>
      </c>
      <c r="F1392" s="82" t="s">
        <v>1752</v>
      </c>
      <c r="G1392" s="75" t="str">
        <f t="shared" si="79"/>
        <v>Kampala</v>
      </c>
      <c r="H1392" s="82" t="s">
        <v>1483</v>
      </c>
    </row>
    <row r="1393" spans="1:9">
      <c r="A1393" s="81">
        <v>368</v>
      </c>
      <c r="B1393" s="82" t="s">
        <v>1460</v>
      </c>
      <c r="C1393" s="82" t="s">
        <v>1461</v>
      </c>
      <c r="D1393" s="82" t="s">
        <v>1483</v>
      </c>
      <c r="E1393" s="82" t="s">
        <v>1210</v>
      </c>
      <c r="F1393" s="82" t="s">
        <v>1210</v>
      </c>
      <c r="G1393" s="75" t="str">
        <f t="shared" si="79"/>
        <v>Kampala</v>
      </c>
      <c r="H1393" s="82" t="s">
        <v>1483</v>
      </c>
    </row>
    <row r="1394" spans="1:9">
      <c r="A1394" s="81">
        <v>369</v>
      </c>
      <c r="B1394" s="82" t="s">
        <v>1460</v>
      </c>
      <c r="C1394" s="82" t="s">
        <v>1461</v>
      </c>
      <c r="D1394" s="82" t="s">
        <v>1483</v>
      </c>
      <c r="E1394" s="82" t="s">
        <v>1754</v>
      </c>
      <c r="F1394" s="82" t="s">
        <v>1754</v>
      </c>
      <c r="G1394" s="75" t="str">
        <f t="shared" si="79"/>
        <v>Kampala</v>
      </c>
      <c r="H1394" s="82" t="s">
        <v>1483</v>
      </c>
    </row>
    <row r="1395" spans="1:9">
      <c r="A1395" s="81">
        <v>370</v>
      </c>
      <c r="B1395" s="82" t="s">
        <v>1460</v>
      </c>
      <c r="C1395" s="82" t="s">
        <v>1461</v>
      </c>
      <c r="D1395" s="82" t="s">
        <v>1483</v>
      </c>
      <c r="E1395" s="82" t="s">
        <v>1791</v>
      </c>
      <c r="F1395" s="82" t="s">
        <v>1791</v>
      </c>
      <c r="G1395" s="75" t="str">
        <f t="shared" si="79"/>
        <v>Kampala</v>
      </c>
      <c r="H1395" s="82" t="s">
        <v>1483</v>
      </c>
    </row>
    <row r="1396" spans="1:9">
      <c r="A1396" s="81">
        <v>371</v>
      </c>
      <c r="B1396" s="82" t="s">
        <v>1460</v>
      </c>
      <c r="C1396" s="82" t="s">
        <v>1461</v>
      </c>
      <c r="D1396" s="82" t="s">
        <v>1483</v>
      </c>
      <c r="E1396" s="86" t="s">
        <v>3259</v>
      </c>
      <c r="F1396" s="86" t="s">
        <v>1815</v>
      </c>
      <c r="G1396" s="75" t="str">
        <f t="shared" si="79"/>
        <v>Kampala</v>
      </c>
      <c r="H1396" s="82" t="s">
        <v>1483</v>
      </c>
    </row>
    <row r="1397" spans="1:9">
      <c r="A1397" s="81">
        <v>372</v>
      </c>
      <c r="B1397" s="82" t="s">
        <v>1460</v>
      </c>
      <c r="C1397" s="82" t="s">
        <v>1461</v>
      </c>
      <c r="D1397" s="82" t="s">
        <v>1483</v>
      </c>
      <c r="E1397" s="86" t="s">
        <v>3260</v>
      </c>
      <c r="F1397" s="86" t="s">
        <v>1815</v>
      </c>
      <c r="G1397" s="75" t="str">
        <f t="shared" si="79"/>
        <v>Kampala</v>
      </c>
      <c r="H1397" s="82" t="s">
        <v>1483</v>
      </c>
      <c r="I1397" s="87" t="s">
        <v>3148</v>
      </c>
    </row>
    <row r="1398" spans="1:9">
      <c r="A1398" s="81">
        <v>373</v>
      </c>
      <c r="B1398" s="82" t="s">
        <v>1460</v>
      </c>
      <c r="C1398" s="82" t="s">
        <v>1461</v>
      </c>
      <c r="D1398" s="82" t="s">
        <v>1483</v>
      </c>
      <c r="E1398" s="82" t="s">
        <v>1856</v>
      </c>
      <c r="F1398" s="82" t="s">
        <v>1856</v>
      </c>
      <c r="G1398" s="75" t="str">
        <f t="shared" si="79"/>
        <v>Kampala</v>
      </c>
      <c r="H1398" s="82" t="s">
        <v>1483</v>
      </c>
    </row>
    <row r="1399" spans="1:9">
      <c r="A1399" s="81">
        <v>374</v>
      </c>
      <c r="B1399" s="82" t="s">
        <v>1460</v>
      </c>
      <c r="C1399" s="82" t="s">
        <v>1461</v>
      </c>
      <c r="D1399" s="82" t="s">
        <v>1483</v>
      </c>
      <c r="E1399" s="86" t="s">
        <v>3261</v>
      </c>
      <c r="F1399" s="82" t="s">
        <v>1860</v>
      </c>
      <c r="G1399" s="75" t="str">
        <f t="shared" si="79"/>
        <v>Kampala</v>
      </c>
      <c r="H1399" s="82" t="s">
        <v>1483</v>
      </c>
    </row>
    <row r="1400" spans="1:9">
      <c r="A1400" s="81">
        <v>375</v>
      </c>
      <c r="B1400" s="82" t="s">
        <v>1460</v>
      </c>
      <c r="C1400" s="82" t="s">
        <v>1461</v>
      </c>
      <c r="D1400" s="82" t="s">
        <v>1483</v>
      </c>
      <c r="E1400" s="82" t="s">
        <v>1864</v>
      </c>
      <c r="F1400" s="82" t="s">
        <v>1864</v>
      </c>
      <c r="G1400" s="75" t="str">
        <f t="shared" si="79"/>
        <v>Kampala</v>
      </c>
      <c r="H1400" s="82" t="s">
        <v>1483</v>
      </c>
    </row>
    <row r="1401" spans="1:9">
      <c r="A1401" s="81">
        <v>376</v>
      </c>
      <c r="B1401" s="82" t="s">
        <v>1460</v>
      </c>
      <c r="C1401" s="82" t="s">
        <v>1461</v>
      </c>
      <c r="D1401" s="82" t="s">
        <v>1483</v>
      </c>
      <c r="E1401" s="82" t="s">
        <v>1866</v>
      </c>
      <c r="F1401" s="82" t="s">
        <v>1866</v>
      </c>
      <c r="G1401" s="75" t="str">
        <f t="shared" si="79"/>
        <v>Kampala</v>
      </c>
      <c r="H1401" s="82" t="s">
        <v>1483</v>
      </c>
    </row>
    <row r="1402" spans="1:9">
      <c r="A1402" s="81">
        <v>1514</v>
      </c>
      <c r="B1402" s="82" t="s">
        <v>2746</v>
      </c>
      <c r="C1402" s="82" t="s">
        <v>2746</v>
      </c>
      <c r="D1402" s="82" t="s">
        <v>2753</v>
      </c>
      <c r="E1402" s="82"/>
      <c r="F1402" s="75" t="str">
        <f t="shared" ref="F1402" si="81">D1402</f>
        <v>Rubanda Town Council</v>
      </c>
      <c r="G1402" s="75" t="str">
        <f t="shared" si="79"/>
        <v>Rubanda</v>
      </c>
      <c r="H1402" s="82" t="s">
        <v>2753</v>
      </c>
    </row>
    <row r="1403" spans="1:9">
      <c r="A1403" s="81">
        <v>1160</v>
      </c>
      <c r="B1403" s="82" t="s">
        <v>1353</v>
      </c>
      <c r="C1403" s="82" t="s">
        <v>1354</v>
      </c>
      <c r="D1403" s="86" t="s">
        <v>3262</v>
      </c>
      <c r="E1403" s="82"/>
      <c r="F1403" s="75" t="str">
        <f t="shared" ref="F1403:F1404" si="82">D1403&amp;"-"&amp;B1403</f>
        <v>Rubaya-Kabale</v>
      </c>
      <c r="G1403" s="75" t="str">
        <f t="shared" si="79"/>
        <v>Kabale</v>
      </c>
      <c r="H1403" s="86" t="s">
        <v>3262</v>
      </c>
    </row>
    <row r="1404" spans="1:9">
      <c r="A1404" s="81">
        <v>1248</v>
      </c>
      <c r="B1404" s="82" t="s">
        <v>2388</v>
      </c>
      <c r="C1404" s="82" t="s">
        <v>2389</v>
      </c>
      <c r="D1404" s="86" t="s">
        <v>3262</v>
      </c>
      <c r="E1404" s="82"/>
      <c r="F1404" s="75" t="str">
        <f t="shared" si="82"/>
        <v>Rubaya-Mbarara</v>
      </c>
      <c r="G1404" s="75" t="str">
        <f t="shared" si="79"/>
        <v>Mbarara</v>
      </c>
      <c r="H1404" s="86" t="s">
        <v>3262</v>
      </c>
    </row>
    <row r="1405" spans="1:9">
      <c r="A1405" s="81">
        <v>1249</v>
      </c>
      <c r="B1405" s="82" t="s">
        <v>2388</v>
      </c>
      <c r="C1405" s="82" t="s">
        <v>2389</v>
      </c>
      <c r="D1405" s="82" t="s">
        <v>2401</v>
      </c>
      <c r="E1405" s="82"/>
      <c r="F1405" s="75" t="str">
        <f t="shared" ref="F1405:F1412" si="83">D1405</f>
        <v>Rubindi</v>
      </c>
      <c r="G1405" s="75" t="str">
        <f t="shared" si="79"/>
        <v>Mbarara</v>
      </c>
      <c r="H1405" s="82" t="s">
        <v>2401</v>
      </c>
    </row>
    <row r="1406" spans="1:9">
      <c r="A1406" s="81">
        <v>1455</v>
      </c>
      <c r="B1406" s="82" t="s">
        <v>2756</v>
      </c>
      <c r="C1406" s="82" t="s">
        <v>49</v>
      </c>
      <c r="D1406" s="82" t="s">
        <v>2763</v>
      </c>
      <c r="E1406" s="82"/>
      <c r="F1406" s="75" t="str">
        <f t="shared" si="83"/>
        <v>Rubiriziri Town Council</v>
      </c>
      <c r="G1406" s="75" t="str">
        <f t="shared" si="79"/>
        <v>Rubirizi</v>
      </c>
      <c r="H1406" s="82" t="s">
        <v>2763</v>
      </c>
    </row>
    <row r="1407" spans="1:9">
      <c r="A1407" s="81">
        <v>1521</v>
      </c>
      <c r="B1407" s="82" t="s">
        <v>1131</v>
      </c>
      <c r="C1407" s="82" t="s">
        <v>1131</v>
      </c>
      <c r="D1407" s="82" t="s">
        <v>1139</v>
      </c>
      <c r="E1407" s="82"/>
      <c r="F1407" s="75" t="str">
        <f t="shared" si="83"/>
        <v>Rubona Town Council</v>
      </c>
      <c r="G1407" s="75" t="str">
        <f t="shared" si="79"/>
        <v>Bunyangabu</v>
      </c>
      <c r="H1407" s="82" t="s">
        <v>1139</v>
      </c>
    </row>
    <row r="1408" spans="1:9">
      <c r="A1408" s="81">
        <v>837</v>
      </c>
      <c r="B1408" s="82" t="s">
        <v>2856</v>
      </c>
      <c r="C1408" s="82" t="s">
        <v>2857</v>
      </c>
      <c r="D1408" s="82" t="s">
        <v>2874</v>
      </c>
      <c r="E1408" s="82"/>
      <c r="F1408" s="75" t="str">
        <f t="shared" si="83"/>
        <v>Rubongi</v>
      </c>
      <c r="G1408" s="75" t="str">
        <f t="shared" si="79"/>
        <v>Tororo</v>
      </c>
      <c r="H1408" s="82" t="s">
        <v>2874</v>
      </c>
    </row>
    <row r="1409" spans="1:8">
      <c r="A1409" s="81">
        <v>1385</v>
      </c>
      <c r="B1409" s="82" t="s">
        <v>48</v>
      </c>
      <c r="C1409" s="82" t="s">
        <v>48</v>
      </c>
      <c r="D1409" s="82" t="s">
        <v>1316</v>
      </c>
      <c r="E1409" s="82"/>
      <c r="F1409" s="75" t="str">
        <f t="shared" si="83"/>
        <v>Ruborogota</v>
      </c>
      <c r="G1409" s="75" t="str">
        <f t="shared" si="79"/>
        <v>Isingiro</v>
      </c>
      <c r="H1409" s="82" t="s">
        <v>1316</v>
      </c>
    </row>
    <row r="1410" spans="1:8">
      <c r="A1410" s="81">
        <v>1231</v>
      </c>
      <c r="B1410" s="82" t="s">
        <v>2097</v>
      </c>
      <c r="C1410" s="82" t="s">
        <v>2098</v>
      </c>
      <c r="D1410" s="82" t="s">
        <v>2112</v>
      </c>
      <c r="E1410" s="82"/>
      <c r="F1410" s="75" t="str">
        <f t="shared" si="83"/>
        <v>Rubuguri Town Council</v>
      </c>
      <c r="G1410" s="75" t="str">
        <f t="shared" si="79"/>
        <v>Kisoro</v>
      </c>
      <c r="H1410" s="82" t="s">
        <v>2112</v>
      </c>
    </row>
    <row r="1411" spans="1:8">
      <c r="A1411" s="81">
        <v>1370</v>
      </c>
      <c r="B1411" s="82" t="s">
        <v>48</v>
      </c>
      <c r="C1411" s="82" t="s">
        <v>1299</v>
      </c>
      <c r="D1411" s="82" t="s">
        <v>1317</v>
      </c>
      <c r="E1411" s="82"/>
      <c r="F1411" s="75" t="str">
        <f t="shared" si="83"/>
        <v>Rugaaga</v>
      </c>
      <c r="G1411" s="75" t="str">
        <f t="shared" si="79"/>
        <v>Isingiro</v>
      </c>
      <c r="H1411" s="82" t="s">
        <v>1317</v>
      </c>
    </row>
    <row r="1412" spans="1:8">
      <c r="A1412" s="81">
        <v>1260</v>
      </c>
      <c r="B1412" s="82" t="s">
        <v>2388</v>
      </c>
      <c r="C1412" s="82" t="s">
        <v>2391</v>
      </c>
      <c r="D1412" s="82" t="s">
        <v>2402</v>
      </c>
      <c r="E1412" s="82"/>
      <c r="F1412" s="75" t="str">
        <f t="shared" si="83"/>
        <v>Rugando</v>
      </c>
      <c r="G1412" s="75" t="str">
        <f t="shared" si="79"/>
        <v>Mbarara</v>
      </c>
      <c r="H1412" s="82" t="s">
        <v>2402</v>
      </c>
    </row>
    <row r="1413" spans="1:8">
      <c r="A1413" s="81">
        <v>1282</v>
      </c>
      <c r="B1413" s="82" t="s">
        <v>47</v>
      </c>
      <c r="C1413" s="82" t="s">
        <v>2648</v>
      </c>
      <c r="D1413" s="86" t="s">
        <v>3263</v>
      </c>
      <c r="E1413" s="82"/>
      <c r="F1413" s="75" t="str">
        <f t="shared" ref="F1413:F1414" si="84">D1413&amp;"-"&amp;B1413</f>
        <v>Rugarama-Ntungamo</v>
      </c>
      <c r="G1413" s="75" t="str">
        <f t="shared" si="79"/>
        <v>Ntungamo</v>
      </c>
      <c r="H1413" s="86" t="s">
        <v>3263</v>
      </c>
    </row>
    <row r="1414" spans="1:8">
      <c r="A1414" s="81">
        <v>1469</v>
      </c>
      <c r="B1414" s="82" t="s">
        <v>41</v>
      </c>
      <c r="C1414" s="82" t="s">
        <v>41</v>
      </c>
      <c r="D1414" s="86" t="s">
        <v>3263</v>
      </c>
      <c r="E1414" s="82"/>
      <c r="F1414" s="75" t="str">
        <f t="shared" si="84"/>
        <v>Rugarama-Sheema</v>
      </c>
      <c r="G1414" s="75" t="str">
        <f t="shared" si="79"/>
        <v>Sheema</v>
      </c>
      <c r="H1414" s="86" t="s">
        <v>3263</v>
      </c>
    </row>
    <row r="1415" spans="1:8">
      <c r="A1415" s="81">
        <v>1493</v>
      </c>
      <c r="B1415" s="82" t="s">
        <v>1398</v>
      </c>
      <c r="C1415" s="82" t="s">
        <v>1399</v>
      </c>
      <c r="D1415" s="82" t="s">
        <v>1414</v>
      </c>
      <c r="E1415" s="82"/>
      <c r="F1415" s="75" t="str">
        <f t="shared" ref="F1415:F1428" si="85">D1415</f>
        <v>Rugashari</v>
      </c>
      <c r="G1415" s="75" t="str">
        <f t="shared" si="79"/>
        <v>Kagadi</v>
      </c>
      <c r="H1415" s="82" t="s">
        <v>1414</v>
      </c>
    </row>
    <row r="1416" spans="1:8">
      <c r="A1416" s="81">
        <v>1328</v>
      </c>
      <c r="B1416" s="82" t="s">
        <v>1945</v>
      </c>
      <c r="C1416" s="82" t="s">
        <v>1946</v>
      </c>
      <c r="D1416" s="82" t="s">
        <v>1961</v>
      </c>
      <c r="E1416" s="82"/>
      <c r="F1416" s="75" t="str">
        <f t="shared" si="85"/>
        <v>Rugyeyo</v>
      </c>
      <c r="G1416" s="75" t="str">
        <f t="shared" si="79"/>
        <v>Kanungu</v>
      </c>
      <c r="H1416" s="82" t="s">
        <v>1961</v>
      </c>
    </row>
    <row r="1417" spans="1:8">
      <c r="A1417" s="81">
        <v>1274</v>
      </c>
      <c r="B1417" s="82" t="s">
        <v>47</v>
      </c>
      <c r="C1417" s="82" t="s">
        <v>2645</v>
      </c>
      <c r="D1417" s="82" t="s">
        <v>2645</v>
      </c>
      <c r="E1417" s="82"/>
      <c r="F1417" s="75" t="str">
        <f t="shared" si="85"/>
        <v>Ruhaama</v>
      </c>
      <c r="G1417" s="75" t="str">
        <f t="shared" si="79"/>
        <v>Ntungamo</v>
      </c>
      <c r="H1417" s="82" t="s">
        <v>2645</v>
      </c>
    </row>
    <row r="1418" spans="1:8">
      <c r="A1418" s="81">
        <v>1513</v>
      </c>
      <c r="B1418" s="82" t="s">
        <v>2746</v>
      </c>
      <c r="C1418" s="82" t="s">
        <v>2746</v>
      </c>
      <c r="D1418" s="82" t="s">
        <v>2754</v>
      </c>
      <c r="E1418" s="82"/>
      <c r="F1418" s="75" t="str">
        <f t="shared" si="85"/>
        <v>Ruhija</v>
      </c>
      <c r="G1418" s="75" t="str">
        <f t="shared" ref="G1418:G1481" si="86">B1418</f>
        <v>Rubanda</v>
      </c>
      <c r="H1418" s="82" t="s">
        <v>2754</v>
      </c>
    </row>
    <row r="1419" spans="1:8">
      <c r="A1419" s="81">
        <v>1293</v>
      </c>
      <c r="B1419" s="82" t="s">
        <v>40</v>
      </c>
      <c r="C1419" s="82" t="s">
        <v>2774</v>
      </c>
      <c r="D1419" s="82" t="s">
        <v>2405</v>
      </c>
      <c r="E1419" s="82"/>
      <c r="F1419" s="75" t="str">
        <f t="shared" si="85"/>
        <v>Ruhinda</v>
      </c>
      <c r="G1419" s="75" t="str">
        <f t="shared" si="86"/>
        <v>Rukungiri</v>
      </c>
      <c r="H1419" s="82" t="s">
        <v>2405</v>
      </c>
    </row>
    <row r="1420" spans="1:8">
      <c r="A1420" s="81">
        <v>1133</v>
      </c>
      <c r="B1420" s="82" t="s">
        <v>38</v>
      </c>
      <c r="C1420" s="82" t="s">
        <v>1143</v>
      </c>
      <c r="D1420" s="82" t="s">
        <v>1154</v>
      </c>
      <c r="E1420" s="82"/>
      <c r="F1420" s="75" t="str">
        <f t="shared" si="85"/>
        <v>Ruhumuro</v>
      </c>
      <c r="G1420" s="75" t="str">
        <f t="shared" si="86"/>
        <v>Bushenyi</v>
      </c>
      <c r="H1420" s="82" t="s">
        <v>1154</v>
      </c>
    </row>
    <row r="1421" spans="1:8">
      <c r="A1421" s="81">
        <v>1361</v>
      </c>
      <c r="B1421" s="82" t="s">
        <v>43</v>
      </c>
      <c r="C1421" s="82" t="s">
        <v>43</v>
      </c>
      <c r="D1421" s="82" t="s">
        <v>1276</v>
      </c>
      <c r="E1421" s="82"/>
      <c r="F1421" s="75" t="str">
        <f t="shared" si="85"/>
        <v>Rukiri</v>
      </c>
      <c r="G1421" s="75" t="str">
        <f t="shared" si="86"/>
        <v>Ibanda</v>
      </c>
      <c r="H1421" s="82" t="s">
        <v>1276</v>
      </c>
    </row>
    <row r="1422" spans="1:8">
      <c r="A1422" s="81">
        <v>1204</v>
      </c>
      <c r="B1422" s="82" t="s">
        <v>36</v>
      </c>
      <c r="C1422" s="82" t="s">
        <v>1978</v>
      </c>
      <c r="D1422" s="82" t="s">
        <v>2005</v>
      </c>
      <c r="E1422" s="82"/>
      <c r="F1422" s="75" t="str">
        <f t="shared" si="85"/>
        <v>Rukoki</v>
      </c>
      <c r="G1422" s="75" t="str">
        <f t="shared" si="86"/>
        <v>Kasese</v>
      </c>
      <c r="H1422" s="82" t="s">
        <v>2005</v>
      </c>
    </row>
    <row r="1423" spans="1:8">
      <c r="A1423" s="81">
        <v>1275</v>
      </c>
      <c r="B1423" s="82" t="s">
        <v>47</v>
      </c>
      <c r="C1423" s="82" t="s">
        <v>2645</v>
      </c>
      <c r="D1423" s="82" t="s">
        <v>2659</v>
      </c>
      <c r="E1423" s="82"/>
      <c r="F1423" s="75" t="str">
        <f t="shared" si="85"/>
        <v>Rukoni East</v>
      </c>
      <c r="G1423" s="75" t="str">
        <f t="shared" si="86"/>
        <v>Ntungamo</v>
      </c>
      <c r="H1423" s="82" t="s">
        <v>2659</v>
      </c>
    </row>
    <row r="1424" spans="1:8">
      <c r="A1424" s="81">
        <v>1276</v>
      </c>
      <c r="B1424" s="82" t="s">
        <v>47</v>
      </c>
      <c r="C1424" s="82" t="s">
        <v>2645</v>
      </c>
      <c r="D1424" s="82" t="s">
        <v>2660</v>
      </c>
      <c r="E1424" s="82"/>
      <c r="F1424" s="75" t="str">
        <f t="shared" si="85"/>
        <v>Rukoni West</v>
      </c>
      <c r="G1424" s="75" t="str">
        <f t="shared" si="86"/>
        <v>Ntungamo</v>
      </c>
      <c r="H1424" s="82" t="s">
        <v>2660</v>
      </c>
    </row>
    <row r="1425" spans="1:8">
      <c r="A1425" s="81">
        <v>94</v>
      </c>
      <c r="B1425" s="82" t="s">
        <v>893</v>
      </c>
      <c r="C1425" s="82" t="s">
        <v>2442</v>
      </c>
      <c r="D1425" s="82" t="s">
        <v>2446</v>
      </c>
      <c r="E1425" s="82"/>
      <c r="F1425" s="75" t="str">
        <f t="shared" si="85"/>
        <v>Rupa</v>
      </c>
      <c r="G1425" s="75" t="str">
        <f t="shared" si="86"/>
        <v>Moroto</v>
      </c>
      <c r="H1425" s="82" t="s">
        <v>2446</v>
      </c>
    </row>
    <row r="1426" spans="1:8">
      <c r="A1426" s="81">
        <v>1441</v>
      </c>
      <c r="B1426" s="82" t="s">
        <v>46</v>
      </c>
      <c r="C1426" s="82" t="s">
        <v>2405</v>
      </c>
      <c r="D1426" s="82" t="s">
        <v>2414</v>
      </c>
      <c r="E1426" s="82"/>
      <c r="F1426" s="75" t="str">
        <f t="shared" si="85"/>
        <v>Rurehe</v>
      </c>
      <c r="G1426" s="75" t="str">
        <f t="shared" si="86"/>
        <v>Mitooma</v>
      </c>
      <c r="H1426" s="82" t="s">
        <v>2414</v>
      </c>
    </row>
    <row r="1427" spans="1:8">
      <c r="A1427" s="81">
        <v>1362</v>
      </c>
      <c r="B1427" s="82" t="s">
        <v>43</v>
      </c>
      <c r="C1427" s="82" t="s">
        <v>43</v>
      </c>
      <c r="D1427" s="82" t="s">
        <v>1277</v>
      </c>
      <c r="E1427" s="82"/>
      <c r="F1427" s="75" t="str">
        <f t="shared" si="85"/>
        <v>Rushango Town Council</v>
      </c>
      <c r="G1427" s="75" t="str">
        <f t="shared" si="86"/>
        <v>Ibanda</v>
      </c>
      <c r="H1427" s="82" t="s">
        <v>1277</v>
      </c>
    </row>
    <row r="1428" spans="1:8">
      <c r="A1428" s="81">
        <v>1371</v>
      </c>
      <c r="B1428" s="82" t="s">
        <v>48</v>
      </c>
      <c r="C1428" s="82" t="s">
        <v>1299</v>
      </c>
      <c r="D1428" s="82" t="s">
        <v>1318</v>
      </c>
      <c r="E1428" s="82"/>
      <c r="F1428" s="75" t="str">
        <f t="shared" si="85"/>
        <v>Rushasha</v>
      </c>
      <c r="G1428" s="75" t="str">
        <f t="shared" si="86"/>
        <v>Isingiro</v>
      </c>
      <c r="H1428" s="82" t="s">
        <v>1318</v>
      </c>
    </row>
    <row r="1429" spans="1:8">
      <c r="A1429" s="81">
        <v>1173</v>
      </c>
      <c r="B1429" s="82" t="s">
        <v>1367</v>
      </c>
      <c r="C1429" s="82" t="s">
        <v>1368</v>
      </c>
      <c r="D1429" s="86" t="s">
        <v>3264</v>
      </c>
      <c r="E1429" s="82"/>
      <c r="F1429" s="75" t="str">
        <f t="shared" ref="F1429:F1430" si="87">D1429&amp;"-"&amp;B1429</f>
        <v>Ruteete-Kabarole</v>
      </c>
      <c r="G1429" s="75" t="str">
        <f t="shared" si="86"/>
        <v>Kabarole</v>
      </c>
      <c r="H1429" s="86" t="s">
        <v>3264</v>
      </c>
    </row>
    <row r="1430" spans="1:8">
      <c r="A1430" s="81">
        <v>1494</v>
      </c>
      <c r="B1430" s="82" t="s">
        <v>1398</v>
      </c>
      <c r="C1430" s="82" t="s">
        <v>1399</v>
      </c>
      <c r="D1430" s="86" t="s">
        <v>3264</v>
      </c>
      <c r="E1430" s="82"/>
      <c r="F1430" s="75" t="str">
        <f t="shared" si="87"/>
        <v>Ruteete-Kagadi</v>
      </c>
      <c r="G1430" s="75" t="str">
        <f t="shared" si="86"/>
        <v>Kagadi</v>
      </c>
      <c r="H1430" s="86" t="s">
        <v>3264</v>
      </c>
    </row>
    <row r="1431" spans="1:8">
      <c r="A1431" s="81">
        <v>1329</v>
      </c>
      <c r="B1431" s="82" t="s">
        <v>1945</v>
      </c>
      <c r="C1431" s="82" t="s">
        <v>1946</v>
      </c>
      <c r="D1431" s="82" t="s">
        <v>1962</v>
      </c>
      <c r="E1431" s="82"/>
      <c r="F1431" s="75" t="str">
        <f t="shared" ref="F1431:F1470" si="88">D1431</f>
        <v>Rutenga</v>
      </c>
      <c r="G1431" s="75" t="str">
        <f t="shared" si="86"/>
        <v>Kanungu</v>
      </c>
      <c r="H1431" s="82" t="s">
        <v>1962</v>
      </c>
    </row>
    <row r="1432" spans="1:8">
      <c r="A1432" s="81">
        <v>1456</v>
      </c>
      <c r="B1432" s="82" t="s">
        <v>2756</v>
      </c>
      <c r="C1432" s="82" t="s">
        <v>49</v>
      </c>
      <c r="D1432" s="82" t="s">
        <v>2764</v>
      </c>
      <c r="E1432" s="82"/>
      <c r="F1432" s="75" t="str">
        <f t="shared" si="88"/>
        <v>Rutoto</v>
      </c>
      <c r="G1432" s="75" t="str">
        <f t="shared" si="86"/>
        <v>Rubirizi</v>
      </c>
      <c r="H1432" s="82" t="s">
        <v>2764</v>
      </c>
    </row>
    <row r="1433" spans="1:8">
      <c r="A1433" s="81">
        <v>1427</v>
      </c>
      <c r="B1433" s="82" t="s">
        <v>2187</v>
      </c>
      <c r="C1433" s="82" t="s">
        <v>2188</v>
      </c>
      <c r="D1433" s="82" t="s">
        <v>2195</v>
      </c>
      <c r="E1433" s="82"/>
      <c r="F1433" s="75" t="str">
        <f t="shared" si="88"/>
        <v>Ruyonza</v>
      </c>
      <c r="G1433" s="75" t="str">
        <f t="shared" si="86"/>
        <v>Kyegegwa</v>
      </c>
      <c r="H1433" s="82" t="s">
        <v>2195</v>
      </c>
    </row>
    <row r="1434" spans="1:8">
      <c r="A1434" s="81">
        <v>1530</v>
      </c>
      <c r="B1434" s="82" t="s">
        <v>2767</v>
      </c>
      <c r="C1434" s="82" t="s">
        <v>2767</v>
      </c>
      <c r="D1434" s="82" t="s">
        <v>3265</v>
      </c>
      <c r="E1434" s="82"/>
      <c r="F1434" s="75" t="str">
        <f t="shared" si="88"/>
        <v>Rwamucucu</v>
      </c>
      <c r="G1434" s="75" t="str">
        <f t="shared" si="86"/>
        <v>Rukiga</v>
      </c>
      <c r="H1434" s="82" t="s">
        <v>3265</v>
      </c>
    </row>
    <row r="1435" spans="1:8">
      <c r="A1435" s="81">
        <v>1306</v>
      </c>
      <c r="B1435" s="82" t="s">
        <v>45</v>
      </c>
      <c r="C1435" s="82" t="s">
        <v>1198</v>
      </c>
      <c r="D1435" s="82" t="s">
        <v>1943</v>
      </c>
      <c r="E1435" s="82"/>
      <c r="F1435" s="75" t="str">
        <f t="shared" si="88"/>
        <v>Rwamwanja Refugee Camp</v>
      </c>
      <c r="G1435" s="75" t="str">
        <f t="shared" si="86"/>
        <v>Kamwenge</v>
      </c>
      <c r="H1435" s="82" t="s">
        <v>1943</v>
      </c>
    </row>
    <row r="1436" spans="1:8">
      <c r="A1436" s="81">
        <v>1250</v>
      </c>
      <c r="B1436" s="82" t="s">
        <v>2388</v>
      </c>
      <c r="C1436" s="82" t="s">
        <v>2389</v>
      </c>
      <c r="D1436" s="82" t="s">
        <v>2403</v>
      </c>
      <c r="E1436" s="82"/>
      <c r="F1436" s="75" t="str">
        <f t="shared" si="88"/>
        <v>Rwanyamahembe</v>
      </c>
      <c r="G1436" s="75" t="str">
        <f t="shared" si="86"/>
        <v>Mbarara</v>
      </c>
      <c r="H1436" s="82" t="s">
        <v>2403</v>
      </c>
    </row>
    <row r="1437" spans="1:8">
      <c r="A1437" s="81">
        <v>1265</v>
      </c>
      <c r="B1437" s="82" t="s">
        <v>47</v>
      </c>
      <c r="C1437" s="82" t="s">
        <v>2642</v>
      </c>
      <c r="D1437" s="82" t="s">
        <v>2661</v>
      </c>
      <c r="E1437" s="82"/>
      <c r="F1437" s="75" t="str">
        <f t="shared" si="88"/>
        <v>Rwashamaire Town Council</v>
      </c>
      <c r="G1437" s="75" t="str">
        <f t="shared" si="86"/>
        <v>Ntungamo</v>
      </c>
      <c r="H1437" s="82" t="s">
        <v>2661</v>
      </c>
    </row>
    <row r="1438" spans="1:8">
      <c r="A1438" s="81">
        <v>1450</v>
      </c>
      <c r="B1438" s="82" t="s">
        <v>2631</v>
      </c>
      <c r="C1438" s="82" t="s">
        <v>2631</v>
      </c>
      <c r="D1438" s="82" t="s">
        <v>2639</v>
      </c>
      <c r="E1438" s="82"/>
      <c r="F1438" s="75" t="str">
        <f t="shared" si="88"/>
        <v>Rwebisengo</v>
      </c>
      <c r="G1438" s="75" t="str">
        <f t="shared" si="86"/>
        <v>Ntoroko</v>
      </c>
      <c r="H1438" s="82" t="s">
        <v>2639</v>
      </c>
    </row>
    <row r="1439" spans="1:8">
      <c r="A1439" s="81">
        <v>1451</v>
      </c>
      <c r="B1439" s="82" t="s">
        <v>2631</v>
      </c>
      <c r="C1439" s="82" t="s">
        <v>2631</v>
      </c>
      <c r="D1439" s="82" t="s">
        <v>2640</v>
      </c>
      <c r="E1439" s="82"/>
      <c r="F1439" s="75" t="str">
        <f t="shared" si="88"/>
        <v>Rwebisengo Town Council</v>
      </c>
      <c r="G1439" s="75" t="str">
        <f t="shared" si="86"/>
        <v>Ntoroko</v>
      </c>
      <c r="H1439" s="82" t="s">
        <v>2640</v>
      </c>
    </row>
    <row r="1440" spans="1:8">
      <c r="A1440" s="81">
        <v>1277</v>
      </c>
      <c r="B1440" s="82" t="s">
        <v>47</v>
      </c>
      <c r="C1440" s="82" t="s">
        <v>2645</v>
      </c>
      <c r="D1440" s="82" t="s">
        <v>2662</v>
      </c>
      <c r="E1440" s="82"/>
      <c r="F1440" s="75" t="str">
        <f t="shared" si="88"/>
        <v>Rweikiniro</v>
      </c>
      <c r="G1440" s="75" t="str">
        <f t="shared" si="86"/>
        <v>Ntungamo</v>
      </c>
      <c r="H1440" s="82" t="s">
        <v>2662</v>
      </c>
    </row>
    <row r="1441" spans="1:8">
      <c r="A1441" s="81">
        <v>1394</v>
      </c>
      <c r="B1441" s="82" t="s">
        <v>2064</v>
      </c>
      <c r="C1441" s="82" t="s">
        <v>2065</v>
      </c>
      <c r="D1441" s="82" t="s">
        <v>2081</v>
      </c>
      <c r="E1441" s="82"/>
      <c r="F1441" s="75" t="str">
        <f t="shared" si="88"/>
        <v>Rwemikoma</v>
      </c>
      <c r="G1441" s="75" t="str">
        <f t="shared" si="86"/>
        <v>Kiruhura</v>
      </c>
      <c r="H1441" s="82" t="s">
        <v>2081</v>
      </c>
    </row>
    <row r="1442" spans="1:8">
      <c r="A1442" s="81">
        <v>1412</v>
      </c>
      <c r="B1442" s="82" t="s">
        <v>1033</v>
      </c>
      <c r="C1442" s="82" t="s">
        <v>1033</v>
      </c>
      <c r="D1442" s="82" t="s">
        <v>1040</v>
      </c>
      <c r="E1442" s="82"/>
      <c r="F1442" s="75" t="str">
        <f t="shared" si="88"/>
        <v>Rwengwe</v>
      </c>
      <c r="G1442" s="75" t="str">
        <f t="shared" si="86"/>
        <v>Buhweju</v>
      </c>
      <c r="H1442" s="82" t="s">
        <v>1040</v>
      </c>
    </row>
    <row r="1443" spans="1:8">
      <c r="A1443" s="81">
        <v>1428</v>
      </c>
      <c r="B1443" s="82" t="s">
        <v>2187</v>
      </c>
      <c r="C1443" s="82" t="s">
        <v>2188</v>
      </c>
      <c r="D1443" s="82" t="s">
        <v>2196</v>
      </c>
      <c r="E1443" s="82"/>
      <c r="F1443" s="75" t="str">
        <f t="shared" si="88"/>
        <v>Rwentuha</v>
      </c>
      <c r="G1443" s="75" t="str">
        <f t="shared" si="86"/>
        <v>Kyegegwa</v>
      </c>
      <c r="H1443" s="82" t="s">
        <v>2196</v>
      </c>
    </row>
    <row r="1444" spans="1:8">
      <c r="A1444" s="81">
        <v>1522</v>
      </c>
      <c r="B1444" s="82" t="s">
        <v>1131</v>
      </c>
      <c r="C1444" s="82" t="s">
        <v>1131</v>
      </c>
      <c r="D1444" s="82" t="s">
        <v>1140</v>
      </c>
      <c r="E1444" s="82"/>
      <c r="F1444" s="75" t="str">
        <f t="shared" si="88"/>
        <v>Rwimi</v>
      </c>
      <c r="G1444" s="75" t="str">
        <f t="shared" si="86"/>
        <v>Bunyangabu</v>
      </c>
      <c r="H1444" s="82" t="s">
        <v>1140</v>
      </c>
    </row>
    <row r="1445" spans="1:8">
      <c r="A1445" s="81">
        <v>1523</v>
      </c>
      <c r="B1445" s="82" t="s">
        <v>1131</v>
      </c>
      <c r="C1445" s="82" t="s">
        <v>1131</v>
      </c>
      <c r="D1445" s="82" t="s">
        <v>1141</v>
      </c>
      <c r="E1445" s="82"/>
      <c r="F1445" s="75" t="str">
        <f t="shared" si="88"/>
        <v>Rwimi Town Council</v>
      </c>
      <c r="G1445" s="75" t="str">
        <f t="shared" si="86"/>
        <v>Bunyangabu</v>
      </c>
      <c r="H1445" s="82" t="s">
        <v>1141</v>
      </c>
    </row>
    <row r="1446" spans="1:8">
      <c r="A1446" s="81">
        <v>1161</v>
      </c>
      <c r="B1446" s="82" t="s">
        <v>1353</v>
      </c>
      <c r="C1446" s="82" t="s">
        <v>1354</v>
      </c>
      <c r="D1446" s="82" t="s">
        <v>1365</v>
      </c>
      <c r="E1446" s="82"/>
      <c r="F1446" s="75" t="str">
        <f t="shared" si="88"/>
        <v>Ryakirimira Town Council</v>
      </c>
      <c r="G1446" s="75" t="str">
        <f t="shared" si="86"/>
        <v>Kabale</v>
      </c>
      <c r="H1446" s="82" t="s">
        <v>1365</v>
      </c>
    </row>
    <row r="1447" spans="1:8">
      <c r="A1447" s="81">
        <v>1457</v>
      </c>
      <c r="B1447" s="82" t="s">
        <v>2756</v>
      </c>
      <c r="C1447" s="82" t="s">
        <v>49</v>
      </c>
      <c r="D1447" s="82" t="s">
        <v>2765</v>
      </c>
      <c r="E1447" s="82"/>
      <c r="F1447" s="75" t="str">
        <f t="shared" si="88"/>
        <v>Ryeru</v>
      </c>
      <c r="G1447" s="75" t="str">
        <f t="shared" si="86"/>
        <v>Rubirizi</v>
      </c>
      <c r="H1447" s="82" t="s">
        <v>2765</v>
      </c>
    </row>
    <row r="1448" spans="1:8">
      <c r="A1448" s="81">
        <v>1403</v>
      </c>
      <c r="B1448" s="82" t="s">
        <v>2064</v>
      </c>
      <c r="C1448" s="82" t="s">
        <v>2070</v>
      </c>
      <c r="D1448" s="82" t="s">
        <v>2082</v>
      </c>
      <c r="E1448" s="82"/>
      <c r="F1448" s="75" t="str">
        <f t="shared" si="88"/>
        <v>Sanga</v>
      </c>
      <c r="G1448" s="75" t="str">
        <f t="shared" si="86"/>
        <v>Kiruhura</v>
      </c>
      <c r="H1448" s="82" t="s">
        <v>2082</v>
      </c>
    </row>
    <row r="1449" spans="1:8">
      <c r="A1449" s="81">
        <v>1404</v>
      </c>
      <c r="B1449" s="82" t="s">
        <v>2064</v>
      </c>
      <c r="C1449" s="82" t="s">
        <v>2070</v>
      </c>
      <c r="D1449" s="82" t="s">
        <v>2083</v>
      </c>
      <c r="E1449" s="82"/>
      <c r="F1449" s="75" t="str">
        <f t="shared" si="88"/>
        <v>Sanga Town Council</v>
      </c>
      <c r="G1449" s="75" t="str">
        <f t="shared" si="86"/>
        <v>Kiruhura</v>
      </c>
      <c r="H1449" s="82" t="s">
        <v>2083</v>
      </c>
    </row>
    <row r="1450" spans="1:8">
      <c r="A1450" s="81">
        <v>492</v>
      </c>
      <c r="B1450" s="82" t="s">
        <v>2500</v>
      </c>
      <c r="C1450" s="82" t="s">
        <v>2501</v>
      </c>
      <c r="D1450" s="82" t="s">
        <v>2524</v>
      </c>
      <c r="E1450" s="82"/>
      <c r="F1450" s="75" t="str">
        <f t="shared" si="88"/>
        <v>Seeta Namuganga</v>
      </c>
      <c r="G1450" s="75" t="str">
        <f t="shared" si="86"/>
        <v>Mukono</v>
      </c>
      <c r="H1450" s="82" t="s">
        <v>2524</v>
      </c>
    </row>
    <row r="1451" spans="1:8">
      <c r="A1451" s="81">
        <v>522</v>
      </c>
      <c r="B1451" s="82" t="s">
        <v>2844</v>
      </c>
      <c r="C1451" s="82" t="s">
        <v>2845</v>
      </c>
      <c r="D1451" s="82" t="s">
        <v>2852</v>
      </c>
      <c r="E1451" s="82"/>
      <c r="F1451" s="75" t="str">
        <f t="shared" si="88"/>
        <v>Sembabule Town Council</v>
      </c>
      <c r="G1451" s="75" t="str">
        <f t="shared" si="86"/>
        <v>Ssembabule</v>
      </c>
      <c r="H1451" s="82" t="s">
        <v>2852</v>
      </c>
    </row>
    <row r="1452" spans="1:8">
      <c r="A1452" s="81">
        <v>591</v>
      </c>
      <c r="B1452" s="82" t="s">
        <v>2537</v>
      </c>
      <c r="C1452" s="82" t="s">
        <v>2537</v>
      </c>
      <c r="D1452" s="82" t="s">
        <v>2550</v>
      </c>
      <c r="E1452" s="82"/>
      <c r="F1452" s="75" t="str">
        <f t="shared" si="88"/>
        <v>Semuto</v>
      </c>
      <c r="G1452" s="75" t="str">
        <f t="shared" si="86"/>
        <v>Nakaseke</v>
      </c>
      <c r="H1452" s="82" t="s">
        <v>2550</v>
      </c>
    </row>
    <row r="1453" spans="1:8">
      <c r="A1453" s="81">
        <v>592</v>
      </c>
      <c r="B1453" s="82" t="s">
        <v>2537</v>
      </c>
      <c r="C1453" s="82" t="s">
        <v>2537</v>
      </c>
      <c r="D1453" s="82" t="s">
        <v>2552</v>
      </c>
      <c r="E1453" s="82"/>
      <c r="F1453" s="75" t="str">
        <f t="shared" si="88"/>
        <v>Semuto Town Council</v>
      </c>
      <c r="G1453" s="75" t="str">
        <f t="shared" si="86"/>
        <v>Nakaseke</v>
      </c>
      <c r="H1453" s="82" t="s">
        <v>2552</v>
      </c>
    </row>
    <row r="1454" spans="1:8">
      <c r="A1454" s="81">
        <v>946</v>
      </c>
      <c r="B1454" s="82" t="s">
        <v>1067</v>
      </c>
      <c r="C1454" s="82" t="s">
        <v>1068</v>
      </c>
      <c r="D1454" s="82" t="s">
        <v>1077</v>
      </c>
      <c r="E1454" s="82"/>
      <c r="F1454" s="75" t="str">
        <f t="shared" si="88"/>
        <v>Senendet</v>
      </c>
      <c r="G1454" s="75" t="str">
        <f t="shared" si="86"/>
        <v>Bukwo</v>
      </c>
      <c r="H1454" s="82" t="s">
        <v>1077</v>
      </c>
    </row>
    <row r="1455" spans="1:8">
      <c r="A1455" s="81">
        <v>1077</v>
      </c>
      <c r="B1455" s="82" t="s">
        <v>2786</v>
      </c>
      <c r="C1455" s="82" t="s">
        <v>2786</v>
      </c>
      <c r="D1455" s="82" t="s">
        <v>2796</v>
      </c>
      <c r="E1455" s="82"/>
      <c r="F1455" s="75" t="str">
        <f t="shared" si="88"/>
        <v>Serere Town Council</v>
      </c>
      <c r="G1455" s="75" t="str">
        <f t="shared" si="86"/>
        <v>Serere</v>
      </c>
      <c r="H1455" s="82" t="s">
        <v>2796</v>
      </c>
    </row>
    <row r="1456" spans="1:8" ht="25.5">
      <c r="A1456" s="81">
        <v>1476</v>
      </c>
      <c r="B1456" s="84" t="s">
        <v>41</v>
      </c>
      <c r="C1456" s="85" t="s">
        <v>2799</v>
      </c>
      <c r="D1456" s="84" t="s">
        <v>3266</v>
      </c>
      <c r="E1456" s="84"/>
      <c r="F1456" s="76" t="str">
        <f>VLOOKUP(C1456,[2]Municipalities!$C$9:$F$1522,4,FALSE)</f>
        <v>Sheema Municipality</v>
      </c>
      <c r="G1456" s="75" t="str">
        <f t="shared" si="86"/>
        <v>Sheema</v>
      </c>
      <c r="H1456" s="84" t="s">
        <v>3266</v>
      </c>
    </row>
    <row r="1457" spans="1:8">
      <c r="A1457" s="81">
        <v>1470</v>
      </c>
      <c r="B1457" s="82" t="s">
        <v>41</v>
      </c>
      <c r="C1457" s="82" t="s">
        <v>41</v>
      </c>
      <c r="D1457" s="82" t="s">
        <v>2809</v>
      </c>
      <c r="E1457" s="82"/>
      <c r="F1457" s="75" t="str">
        <f t="shared" si="88"/>
        <v>Shuuku</v>
      </c>
      <c r="G1457" s="75" t="str">
        <f t="shared" si="86"/>
        <v>Sheema</v>
      </c>
      <c r="H1457" s="82" t="s">
        <v>2809</v>
      </c>
    </row>
    <row r="1458" spans="1:8">
      <c r="A1458" s="81">
        <v>1471</v>
      </c>
      <c r="B1458" s="82" t="s">
        <v>41</v>
      </c>
      <c r="C1458" s="82" t="s">
        <v>41</v>
      </c>
      <c r="D1458" s="82" t="s">
        <v>2810</v>
      </c>
      <c r="E1458" s="82"/>
      <c r="F1458" s="75" t="str">
        <f t="shared" si="88"/>
        <v>Shuuku Town Council</v>
      </c>
      <c r="G1458" s="75" t="str">
        <f t="shared" si="86"/>
        <v>Sheema</v>
      </c>
      <c r="H1458" s="82" t="s">
        <v>2810</v>
      </c>
    </row>
    <row r="1459" spans="1:8">
      <c r="A1459" s="81">
        <v>985</v>
      </c>
      <c r="B1459" s="82" t="s">
        <v>2294</v>
      </c>
      <c r="C1459" s="82" t="s">
        <v>2295</v>
      </c>
      <c r="D1459" s="82" t="s">
        <v>2309</v>
      </c>
      <c r="E1459" s="82"/>
      <c r="F1459" s="75" t="str">
        <f t="shared" si="88"/>
        <v>Sibanga</v>
      </c>
      <c r="G1459" s="75" t="str">
        <f t="shared" si="86"/>
        <v>Manafwa</v>
      </c>
      <c r="H1459" s="82" t="s">
        <v>2309</v>
      </c>
    </row>
    <row r="1460" spans="1:8">
      <c r="A1460" s="81">
        <v>197</v>
      </c>
      <c r="B1460" s="82" t="s">
        <v>1337</v>
      </c>
      <c r="C1460" s="82" t="s">
        <v>1338</v>
      </c>
      <c r="D1460" s="82" t="s">
        <v>1351</v>
      </c>
      <c r="E1460" s="82"/>
      <c r="F1460" s="75" t="str">
        <f t="shared" si="88"/>
        <v>Sidok</v>
      </c>
      <c r="G1460" s="75" t="str">
        <f t="shared" si="86"/>
        <v>Kaabong</v>
      </c>
      <c r="H1460" s="82" t="s">
        <v>1351</v>
      </c>
    </row>
    <row r="1461" spans="1:8">
      <c r="A1461" s="81">
        <v>1062</v>
      </c>
      <c r="B1461" s="82" t="s">
        <v>2567</v>
      </c>
      <c r="C1461" s="82" t="s">
        <v>2568</v>
      </c>
      <c r="D1461" s="82" t="s">
        <v>2577</v>
      </c>
      <c r="E1461" s="82"/>
      <c r="F1461" s="75" t="str">
        <f t="shared" si="88"/>
        <v>Sigulu Island</v>
      </c>
      <c r="G1461" s="75" t="str">
        <f t="shared" si="86"/>
        <v>Namayingo</v>
      </c>
      <c r="H1461" s="82" t="s">
        <v>2577</v>
      </c>
    </row>
    <row r="1462" spans="1:8">
      <c r="A1462" s="81">
        <v>696</v>
      </c>
      <c r="B1462" s="82" t="s">
        <v>1156</v>
      </c>
      <c r="C1462" s="82" t="s">
        <v>1157</v>
      </c>
      <c r="D1462" s="82" t="s">
        <v>1172</v>
      </c>
      <c r="E1462" s="82"/>
      <c r="F1462" s="75" t="str">
        <f t="shared" si="88"/>
        <v>Sikuda</v>
      </c>
      <c r="G1462" s="75" t="str">
        <f t="shared" si="86"/>
        <v>Busia</v>
      </c>
      <c r="H1462" s="82" t="s">
        <v>1172</v>
      </c>
    </row>
    <row r="1463" spans="1:8">
      <c r="A1463" s="81">
        <v>1004</v>
      </c>
      <c r="B1463" s="82" t="s">
        <v>1081</v>
      </c>
      <c r="C1463" s="82" t="s">
        <v>1081</v>
      </c>
      <c r="D1463" s="82" t="s">
        <v>1098</v>
      </c>
      <c r="E1463" s="82"/>
      <c r="F1463" s="75" t="str">
        <f t="shared" si="88"/>
        <v>Simu</v>
      </c>
      <c r="G1463" s="75" t="str">
        <f t="shared" si="86"/>
        <v>Bulambuli</v>
      </c>
      <c r="H1463" s="82" t="s">
        <v>1098</v>
      </c>
    </row>
    <row r="1464" spans="1:8">
      <c r="A1464" s="81">
        <v>1107</v>
      </c>
      <c r="B1464" s="82" t="s">
        <v>1108</v>
      </c>
      <c r="C1464" s="82" t="s">
        <v>1112</v>
      </c>
      <c r="D1464" s="82" t="s">
        <v>1128</v>
      </c>
      <c r="E1464" s="82"/>
      <c r="F1464" s="75" t="str">
        <f t="shared" si="88"/>
        <v>Sindila</v>
      </c>
      <c r="G1464" s="75" t="str">
        <f t="shared" si="86"/>
        <v>Bundibugyo</v>
      </c>
      <c r="H1464" s="82" t="s">
        <v>1128</v>
      </c>
    </row>
    <row r="1465" spans="1:8">
      <c r="A1465" s="81">
        <v>749</v>
      </c>
      <c r="B1465" s="82" t="s">
        <v>1964</v>
      </c>
      <c r="C1465" s="82" t="s">
        <v>1965</v>
      </c>
      <c r="D1465" s="82" t="s">
        <v>1976</v>
      </c>
      <c r="E1465" s="82"/>
      <c r="F1465" s="75" t="str">
        <f t="shared" si="88"/>
        <v>Sipi</v>
      </c>
      <c r="G1465" s="75" t="str">
        <f t="shared" si="86"/>
        <v>Kapchorwa</v>
      </c>
      <c r="H1465" s="82" t="s">
        <v>1976</v>
      </c>
    </row>
    <row r="1466" spans="1:8">
      <c r="A1466" s="81">
        <v>884</v>
      </c>
      <c r="B1466" s="82" t="s">
        <v>2812</v>
      </c>
      <c r="C1466" s="82" t="s">
        <v>2813</v>
      </c>
      <c r="D1466" s="82" t="s">
        <v>2832</v>
      </c>
      <c r="E1466" s="82"/>
      <c r="F1466" s="75" t="str">
        <f t="shared" si="88"/>
        <v>Sironko Town Council</v>
      </c>
      <c r="G1466" s="75" t="str">
        <f t="shared" si="86"/>
        <v>Sironko</v>
      </c>
      <c r="H1466" s="82" t="s">
        <v>2832</v>
      </c>
    </row>
    <row r="1467" spans="1:8">
      <c r="A1467" s="81">
        <v>1016</v>
      </c>
      <c r="B1467" s="82" t="s">
        <v>1081</v>
      </c>
      <c r="C1467" s="82" t="s">
        <v>1081</v>
      </c>
      <c r="D1467" s="82" t="s">
        <v>1099</v>
      </c>
      <c r="E1467" s="82"/>
      <c r="F1467" s="75" t="str">
        <f t="shared" si="88"/>
        <v>Sisiyi</v>
      </c>
      <c r="G1467" s="75" t="str">
        <f t="shared" si="86"/>
        <v>Bulambuli</v>
      </c>
      <c r="H1467" s="82" t="s">
        <v>1099</v>
      </c>
    </row>
    <row r="1468" spans="1:8">
      <c r="A1468" s="81">
        <v>986</v>
      </c>
      <c r="B1468" s="82" t="s">
        <v>2294</v>
      </c>
      <c r="C1468" s="82" t="s">
        <v>2295</v>
      </c>
      <c r="D1468" s="82" t="s">
        <v>2310</v>
      </c>
      <c r="E1468" s="82"/>
      <c r="F1468" s="75" t="str">
        <f t="shared" si="88"/>
        <v>Sisuni</v>
      </c>
      <c r="G1468" s="75" t="str">
        <f t="shared" si="86"/>
        <v>Manafwa</v>
      </c>
      <c r="H1468" s="82" t="s">
        <v>2310</v>
      </c>
    </row>
    <row r="1469" spans="1:8">
      <c r="A1469" s="81">
        <v>838</v>
      </c>
      <c r="B1469" s="82" t="s">
        <v>2856</v>
      </c>
      <c r="C1469" s="82" t="s">
        <v>2857</v>
      </c>
      <c r="D1469" s="82" t="s">
        <v>2875</v>
      </c>
      <c r="E1469" s="82"/>
      <c r="F1469" s="75" t="str">
        <f t="shared" si="88"/>
        <v>Sop-Sop</v>
      </c>
      <c r="G1469" s="75" t="str">
        <f t="shared" si="86"/>
        <v>Tororo</v>
      </c>
      <c r="H1469" s="82" t="s">
        <v>2875</v>
      </c>
    </row>
    <row r="1470" spans="1:8">
      <c r="A1470" s="81">
        <v>812</v>
      </c>
      <c r="B1470" s="82" t="s">
        <v>2835</v>
      </c>
      <c r="C1470" s="82" t="s">
        <v>2835</v>
      </c>
      <c r="D1470" s="82" t="s">
        <v>2835</v>
      </c>
      <c r="E1470" s="82"/>
      <c r="F1470" s="75" t="str">
        <f t="shared" si="88"/>
        <v>Soroti</v>
      </c>
      <c r="G1470" s="75" t="str">
        <f t="shared" si="86"/>
        <v>Soroti</v>
      </c>
      <c r="H1470" s="82" t="s">
        <v>2835</v>
      </c>
    </row>
    <row r="1471" spans="1:8" ht="25.5">
      <c r="A1471" s="81">
        <v>1234</v>
      </c>
      <c r="B1471" s="82" t="s">
        <v>2097</v>
      </c>
      <c r="C1471" s="83" t="s">
        <v>2103</v>
      </c>
      <c r="D1471" s="82" t="s">
        <v>3267</v>
      </c>
      <c r="E1471" s="82"/>
      <c r="F1471" s="76" t="str">
        <f>VLOOKUP(C1471,[2]Municipalities!$C$9:$F$1522,4,FALSE)</f>
        <v>Kisoro Municipality</v>
      </c>
      <c r="G1471" s="75" t="str">
        <f t="shared" si="86"/>
        <v>Kisoro</v>
      </c>
      <c r="H1471" s="82" t="s">
        <v>3267</v>
      </c>
    </row>
    <row r="1472" spans="1:8" ht="25.5">
      <c r="A1472" s="81">
        <v>205</v>
      </c>
      <c r="B1472" s="82" t="s">
        <v>2126</v>
      </c>
      <c r="C1472" s="83" t="s">
        <v>2128</v>
      </c>
      <c r="D1472" s="86" t="s">
        <v>3268</v>
      </c>
      <c r="E1472" s="82"/>
      <c r="F1472" s="76" t="str">
        <f>VLOOKUP(C1472,[2]Municipalities!$C$9:$F$1522,4,FALSE)</f>
        <v>Koboko Municipality</v>
      </c>
      <c r="G1472" s="75" t="str">
        <f t="shared" si="86"/>
        <v>Koboko</v>
      </c>
      <c r="H1472" s="86" t="s">
        <v>3268</v>
      </c>
    </row>
    <row r="1473" spans="1:8" ht="25.5">
      <c r="A1473" s="81">
        <v>477</v>
      </c>
      <c r="B1473" s="82" t="s">
        <v>2473</v>
      </c>
      <c r="C1473" s="83" t="s">
        <v>2492</v>
      </c>
      <c r="D1473" s="86" t="s">
        <v>3268</v>
      </c>
      <c r="E1473" s="82"/>
      <c r="F1473" s="76" t="str">
        <f>VLOOKUP(C1473,[2]Municipalities!$C$9:$F$1522,4,FALSE)</f>
        <v>Mubende Municipality</v>
      </c>
      <c r="G1473" s="75" t="str">
        <f t="shared" si="86"/>
        <v>Mubende</v>
      </c>
      <c r="H1473" s="86" t="s">
        <v>3268</v>
      </c>
    </row>
    <row r="1474" spans="1:8" ht="25.5">
      <c r="A1474" s="81">
        <v>738</v>
      </c>
      <c r="B1474" s="82" t="s">
        <v>1911</v>
      </c>
      <c r="C1474" s="83" t="s">
        <v>1917</v>
      </c>
      <c r="D1474" s="86" t="s">
        <v>3268</v>
      </c>
      <c r="E1474" s="82"/>
      <c r="F1474" s="76" t="str">
        <f>VLOOKUP(C1474,[2]Municipalities!$C$9:$F$1522,4,FALSE)</f>
        <v>Kamuli Municipality</v>
      </c>
      <c r="G1474" s="75" t="str">
        <f t="shared" si="86"/>
        <v>Kamuli</v>
      </c>
      <c r="H1474" s="86" t="s">
        <v>3268</v>
      </c>
    </row>
    <row r="1475" spans="1:8">
      <c r="A1475" s="81">
        <v>770</v>
      </c>
      <c r="B1475" s="82" t="s">
        <v>2149</v>
      </c>
      <c r="C1475" s="83" t="s">
        <v>2151</v>
      </c>
      <c r="D1475" s="86" t="s">
        <v>3268</v>
      </c>
      <c r="E1475" s="82"/>
      <c r="F1475" s="76" t="str">
        <f>VLOOKUP(C1475,[2]Municipalities!$C$9:$F$1522,4,FALSE)</f>
        <v>Kumi Municipality</v>
      </c>
      <c r="G1475" s="75" t="str">
        <f t="shared" si="86"/>
        <v>Kumi</v>
      </c>
      <c r="H1475" s="86" t="s">
        <v>3268</v>
      </c>
    </row>
    <row r="1476" spans="1:8" ht="25.5">
      <c r="A1476" s="81">
        <v>1151</v>
      </c>
      <c r="B1476" s="82" t="s">
        <v>1353</v>
      </c>
      <c r="C1476" s="83" t="s">
        <v>1356</v>
      </c>
      <c r="D1476" s="86" t="s">
        <v>3268</v>
      </c>
      <c r="E1476" s="82"/>
      <c r="F1476" s="76" t="str">
        <f>VLOOKUP(C1476,[2]Municipalities!$C$9:$F$1522,4,FALSE)</f>
        <v>Kabale Municipality</v>
      </c>
      <c r="G1476" s="75" t="str">
        <f t="shared" si="86"/>
        <v>Kabale</v>
      </c>
      <c r="H1476" s="86" t="s">
        <v>3268</v>
      </c>
    </row>
    <row r="1477" spans="1:8" ht="25.5">
      <c r="A1477" s="81">
        <v>1176</v>
      </c>
      <c r="B1477" s="82" t="s">
        <v>1367</v>
      </c>
      <c r="C1477" s="83" t="s">
        <v>1370</v>
      </c>
      <c r="D1477" s="86" t="s">
        <v>3268</v>
      </c>
      <c r="E1477" s="82"/>
      <c r="F1477" s="76" t="str">
        <f>VLOOKUP(C1477,[2]Municipalities!$C$9:$F$1522,4,FALSE)</f>
        <v>Fort Portal Municipality</v>
      </c>
      <c r="G1477" s="75" t="str">
        <f t="shared" si="86"/>
        <v>Kabarole</v>
      </c>
      <c r="H1477" s="86" t="s">
        <v>3268</v>
      </c>
    </row>
    <row r="1478" spans="1:8" ht="25.5">
      <c r="A1478" s="81">
        <v>1295</v>
      </c>
      <c r="B1478" s="82" t="s">
        <v>40</v>
      </c>
      <c r="C1478" s="83" t="s">
        <v>2784</v>
      </c>
      <c r="D1478" s="86" t="s">
        <v>3268</v>
      </c>
      <c r="E1478" s="82"/>
      <c r="F1478" s="76" t="str">
        <f>VLOOKUP(C1478,[2]Municipalities!$C$9:$F$1522,4,FALSE)</f>
        <v>Rukungiri Municipality</v>
      </c>
      <c r="G1478" s="75" t="str">
        <f t="shared" si="86"/>
        <v>Rukungiri</v>
      </c>
      <c r="H1478" s="86" t="s">
        <v>3268</v>
      </c>
    </row>
    <row r="1479" spans="1:8" ht="25.5">
      <c r="A1479" s="81">
        <v>97</v>
      </c>
      <c r="B1479" s="82" t="s">
        <v>893</v>
      </c>
      <c r="C1479" s="83" t="s">
        <v>2443</v>
      </c>
      <c r="D1479" s="86" t="s">
        <v>3269</v>
      </c>
      <c r="E1479" s="82"/>
      <c r="F1479" s="76" t="str">
        <f>VLOOKUP(C1479,[2]Municipalities!$C$9:$F$1522,4,FALSE)</f>
        <v>Moroto Municipality</v>
      </c>
      <c r="G1479" s="75" t="str">
        <f t="shared" si="86"/>
        <v>Moroto</v>
      </c>
      <c r="H1479" s="86" t="s">
        <v>3269</v>
      </c>
    </row>
    <row r="1480" spans="1:8">
      <c r="A1480" s="81">
        <v>574</v>
      </c>
      <c r="B1480" s="82" t="s">
        <v>2416</v>
      </c>
      <c r="C1480" s="82" t="s">
        <v>2416</v>
      </c>
      <c r="D1480" s="82" t="s">
        <v>2440</v>
      </c>
      <c r="E1480" s="82"/>
      <c r="F1480" s="75" t="str">
        <f t="shared" ref="F1480:F1484" si="89">D1480</f>
        <v>Ssekanyonyi</v>
      </c>
      <c r="G1480" s="75" t="str">
        <f t="shared" si="86"/>
        <v>Mityana</v>
      </c>
      <c r="H1480" s="82" t="s">
        <v>2440</v>
      </c>
    </row>
    <row r="1481" spans="1:8">
      <c r="A1481" s="81">
        <v>599</v>
      </c>
      <c r="B1481" s="82" t="s">
        <v>1041</v>
      </c>
      <c r="C1481" s="82" t="s">
        <v>1041</v>
      </c>
      <c r="D1481" s="82" t="s">
        <v>1054</v>
      </c>
      <c r="E1481" s="82"/>
      <c r="F1481" s="75" t="str">
        <f t="shared" si="89"/>
        <v>Ssi-Bukunja</v>
      </c>
      <c r="G1481" s="75" t="str">
        <f t="shared" si="86"/>
        <v>Buikwe</v>
      </c>
      <c r="H1481" s="82" t="s">
        <v>1054</v>
      </c>
    </row>
    <row r="1482" spans="1:8">
      <c r="A1482" s="81">
        <v>947</v>
      </c>
      <c r="B1482" s="82" t="s">
        <v>1067</v>
      </c>
      <c r="C1482" s="82" t="s">
        <v>1068</v>
      </c>
      <c r="D1482" s="82" t="s">
        <v>1078</v>
      </c>
      <c r="E1482" s="82"/>
      <c r="F1482" s="75" t="str">
        <f t="shared" si="89"/>
        <v>Suam</v>
      </c>
      <c r="G1482" s="75" t="str">
        <f t="shared" ref="G1482:G1532" si="90">B1482</f>
        <v>Bukwo</v>
      </c>
      <c r="H1482" s="82" t="s">
        <v>1078</v>
      </c>
    </row>
    <row r="1483" spans="1:8">
      <c r="A1483" s="81">
        <v>95</v>
      </c>
      <c r="B1483" s="82" t="s">
        <v>893</v>
      </c>
      <c r="C1483" s="82" t="s">
        <v>2442</v>
      </c>
      <c r="D1483" s="82" t="s">
        <v>2447</v>
      </c>
      <c r="E1483" s="82"/>
      <c r="F1483" s="75" t="str">
        <f t="shared" si="89"/>
        <v>Tapac</v>
      </c>
      <c r="G1483" s="75" t="str">
        <f t="shared" si="90"/>
        <v>Moroto</v>
      </c>
      <c r="H1483" s="82" t="s">
        <v>2447</v>
      </c>
    </row>
    <row r="1484" spans="1:8">
      <c r="A1484" s="81">
        <v>213</v>
      </c>
      <c r="B1484" s="82" t="s">
        <v>2313</v>
      </c>
      <c r="C1484" s="82" t="s">
        <v>2313</v>
      </c>
      <c r="D1484" s="82" t="s">
        <v>2319</v>
      </c>
      <c r="E1484" s="82"/>
      <c r="F1484" s="75" t="str">
        <f t="shared" si="89"/>
        <v>Tara</v>
      </c>
      <c r="G1484" s="75" t="str">
        <f t="shared" si="90"/>
        <v>Maracha</v>
      </c>
      <c r="H1484" s="82" t="s">
        <v>2319</v>
      </c>
    </row>
    <row r="1485" spans="1:8">
      <c r="A1485" s="81">
        <v>109</v>
      </c>
      <c r="B1485" s="82" t="s">
        <v>2616</v>
      </c>
      <c r="C1485" s="83" t="s">
        <v>2622</v>
      </c>
      <c r="D1485" s="82" t="s">
        <v>3270</v>
      </c>
      <c r="E1485" s="82"/>
      <c r="F1485" s="76" t="str">
        <f>VLOOKUP(C1485,[2]Municipalities!$C$9:$F$1522,4,FALSE)</f>
        <v>Nebbi Municipality</v>
      </c>
      <c r="G1485" s="75" t="str">
        <f t="shared" si="90"/>
        <v>Nebbi</v>
      </c>
      <c r="H1485" s="82" t="s">
        <v>3270</v>
      </c>
    </row>
    <row r="1486" spans="1:8">
      <c r="A1486" s="81">
        <v>1033</v>
      </c>
      <c r="B1486" s="82" t="s">
        <v>2054</v>
      </c>
      <c r="C1486" s="82" t="s">
        <v>2054</v>
      </c>
      <c r="D1486" s="82" t="s">
        <v>2062</v>
      </c>
      <c r="E1486" s="82"/>
      <c r="F1486" s="75" t="str">
        <f t="shared" ref="F1486:F1489" si="91">D1486</f>
        <v>Tirinyi</v>
      </c>
      <c r="G1486" s="75" t="str">
        <f t="shared" si="90"/>
        <v>Kibuku</v>
      </c>
      <c r="H1486" s="82" t="s">
        <v>2062</v>
      </c>
    </row>
    <row r="1487" spans="1:8">
      <c r="A1487" s="81">
        <v>1121</v>
      </c>
      <c r="B1487" s="82" t="s">
        <v>1108</v>
      </c>
      <c r="C1487" s="82" t="s">
        <v>1109</v>
      </c>
      <c r="D1487" s="82" t="s">
        <v>1129</v>
      </c>
      <c r="E1487" s="82"/>
      <c r="F1487" s="75" t="str">
        <f t="shared" si="91"/>
        <v>Tokwe</v>
      </c>
      <c r="G1487" s="75" t="str">
        <f t="shared" si="90"/>
        <v>Bundibugyo</v>
      </c>
      <c r="H1487" s="82" t="s">
        <v>1129</v>
      </c>
    </row>
    <row r="1488" spans="1:8">
      <c r="A1488" s="81">
        <v>756</v>
      </c>
      <c r="B1488" s="82" t="s">
        <v>2007</v>
      </c>
      <c r="C1488" s="82" t="s">
        <v>2008</v>
      </c>
      <c r="D1488" s="82" t="s">
        <v>2008</v>
      </c>
      <c r="E1488" s="82"/>
      <c r="F1488" s="75" t="str">
        <f t="shared" si="91"/>
        <v>Toroma</v>
      </c>
      <c r="G1488" s="75" t="str">
        <f t="shared" si="90"/>
        <v>Katakwi</v>
      </c>
      <c r="H1488" s="82" t="s">
        <v>2008</v>
      </c>
    </row>
    <row r="1489" spans="1:8">
      <c r="A1489" s="81">
        <v>1099</v>
      </c>
      <c r="B1489" s="82" t="s">
        <v>2579</v>
      </c>
      <c r="C1489" s="82" t="s">
        <v>2579</v>
      </c>
      <c r="D1489" s="82" t="s">
        <v>2595</v>
      </c>
      <c r="E1489" s="82"/>
      <c r="F1489" s="75" t="str">
        <f t="shared" si="91"/>
        <v>Tsekululu</v>
      </c>
      <c r="G1489" s="75" t="str">
        <f t="shared" si="90"/>
        <v>Namisindwa</v>
      </c>
      <c r="H1489" s="82" t="s">
        <v>2595</v>
      </c>
    </row>
    <row r="1490" spans="1:8" ht="25.5">
      <c r="A1490" s="81">
        <v>578</v>
      </c>
      <c r="B1490" s="82" t="s">
        <v>2416</v>
      </c>
      <c r="C1490" s="83" t="s">
        <v>2420</v>
      </c>
      <c r="D1490" s="82" t="s">
        <v>3271</v>
      </c>
      <c r="E1490" s="82"/>
      <c r="F1490" s="76" t="str">
        <f>VLOOKUP(C1490,[2]Municipalities!$C$9:$F$1522,4,FALSE)</f>
        <v>Mityana Municipality</v>
      </c>
      <c r="G1490" s="75" t="str">
        <f t="shared" si="90"/>
        <v>Mityana</v>
      </c>
      <c r="H1490" s="82" t="s">
        <v>3271</v>
      </c>
    </row>
    <row r="1491" spans="1:8">
      <c r="A1491" s="81">
        <v>808</v>
      </c>
      <c r="B1491" s="82" t="s">
        <v>2835</v>
      </c>
      <c r="C1491" s="82" t="s">
        <v>2835</v>
      </c>
      <c r="D1491" s="82" t="s">
        <v>2842</v>
      </c>
      <c r="E1491" s="82"/>
      <c r="F1491" s="75" t="str">
        <f t="shared" ref="F1491:F1502" si="92">D1491</f>
        <v>Tubur</v>
      </c>
      <c r="G1491" s="75" t="str">
        <f t="shared" si="90"/>
        <v>Soroti</v>
      </c>
      <c r="H1491" s="82" t="s">
        <v>2842</v>
      </c>
    </row>
    <row r="1492" spans="1:8">
      <c r="A1492" s="81">
        <v>948</v>
      </c>
      <c r="B1492" s="82" t="s">
        <v>1067</v>
      </c>
      <c r="C1492" s="82" t="s">
        <v>1068</v>
      </c>
      <c r="D1492" s="82" t="s">
        <v>1079</v>
      </c>
      <c r="E1492" s="82"/>
      <c r="F1492" s="75" t="str">
        <f t="shared" si="92"/>
        <v>Tulel</v>
      </c>
      <c r="G1492" s="75" t="str">
        <f t="shared" si="90"/>
        <v>Bukwo</v>
      </c>
      <c r="H1492" s="82" t="s">
        <v>1079</v>
      </c>
    </row>
    <row r="1493" spans="1:8">
      <c r="A1493" s="81">
        <v>8</v>
      </c>
      <c r="B1493" s="82" t="s">
        <v>863</v>
      </c>
      <c r="C1493" s="82" t="s">
        <v>864</v>
      </c>
      <c r="D1493" s="82" t="s">
        <v>873</v>
      </c>
      <c r="E1493" s="82"/>
      <c r="F1493" s="75" t="str">
        <f t="shared" si="92"/>
        <v>Ukusijoni</v>
      </c>
      <c r="G1493" s="75" t="str">
        <f t="shared" si="90"/>
        <v>Adjumani</v>
      </c>
      <c r="H1493" s="82" t="s">
        <v>873</v>
      </c>
    </row>
    <row r="1494" spans="1:8">
      <c r="A1494" s="81">
        <v>39</v>
      </c>
      <c r="B1494" s="82" t="s">
        <v>959</v>
      </c>
      <c r="C1494" s="82" t="s">
        <v>966</v>
      </c>
      <c r="D1494" s="82" t="s">
        <v>987</v>
      </c>
      <c r="E1494" s="82"/>
      <c r="F1494" s="75" t="str">
        <f t="shared" si="92"/>
        <v>Uleppi</v>
      </c>
      <c r="G1494" s="75" t="str">
        <f t="shared" si="90"/>
        <v>Arua</v>
      </c>
      <c r="H1494" s="82" t="s">
        <v>987</v>
      </c>
    </row>
    <row r="1495" spans="1:8">
      <c r="A1495" s="81">
        <v>53</v>
      </c>
      <c r="B1495" s="82" t="s">
        <v>1239</v>
      </c>
      <c r="C1495" s="82" t="s">
        <v>1240</v>
      </c>
      <c r="D1495" s="82" t="s">
        <v>1246</v>
      </c>
      <c r="E1495" s="82"/>
      <c r="F1495" s="75" t="str">
        <f t="shared" si="92"/>
        <v>Unyama</v>
      </c>
      <c r="G1495" s="75" t="str">
        <f t="shared" si="90"/>
        <v>Gulu</v>
      </c>
      <c r="H1495" s="82" t="s">
        <v>1246</v>
      </c>
    </row>
    <row r="1496" spans="1:8">
      <c r="A1496" s="81">
        <v>45</v>
      </c>
      <c r="B1496" s="82" t="s">
        <v>959</v>
      </c>
      <c r="C1496" s="82" t="s">
        <v>962</v>
      </c>
      <c r="D1496" s="82" t="s">
        <v>988</v>
      </c>
      <c r="E1496" s="82"/>
      <c r="F1496" s="75" t="str">
        <f t="shared" si="92"/>
        <v>Uriama</v>
      </c>
      <c r="G1496" s="75" t="str">
        <f t="shared" si="90"/>
        <v>Arua</v>
      </c>
      <c r="H1496" s="82" t="s">
        <v>988</v>
      </c>
    </row>
    <row r="1497" spans="1:8">
      <c r="A1497" s="81">
        <v>762</v>
      </c>
      <c r="B1497" s="82" t="s">
        <v>2007</v>
      </c>
      <c r="C1497" s="82" t="s">
        <v>2009</v>
      </c>
      <c r="D1497" s="82" t="s">
        <v>2009</v>
      </c>
      <c r="E1497" s="82"/>
      <c r="F1497" s="75" t="str">
        <f t="shared" si="92"/>
        <v>Usuk</v>
      </c>
      <c r="G1497" s="75" t="str">
        <f t="shared" si="90"/>
        <v>Katakwi</v>
      </c>
      <c r="H1497" s="82" t="s">
        <v>2009</v>
      </c>
    </row>
    <row r="1498" spans="1:8">
      <c r="A1498" s="81">
        <v>49</v>
      </c>
      <c r="B1498" s="82" t="s">
        <v>959</v>
      </c>
      <c r="C1498" s="82" t="s">
        <v>964</v>
      </c>
      <c r="D1498" s="82" t="s">
        <v>964</v>
      </c>
      <c r="E1498" s="82"/>
      <c r="F1498" s="75" t="str">
        <f t="shared" si="92"/>
        <v>Vurra</v>
      </c>
      <c r="G1498" s="75" t="str">
        <f t="shared" si="90"/>
        <v>Arua</v>
      </c>
      <c r="H1498" s="82" t="s">
        <v>964</v>
      </c>
    </row>
    <row r="1499" spans="1:8">
      <c r="A1499" s="81">
        <v>503</v>
      </c>
      <c r="B1499" s="82" t="s">
        <v>2555</v>
      </c>
      <c r="C1499" s="82" t="s">
        <v>2341</v>
      </c>
      <c r="D1499" s="82" t="s">
        <v>2566</v>
      </c>
      <c r="E1499" s="82"/>
      <c r="F1499" s="75" t="str">
        <f t="shared" si="92"/>
        <v>Wabinyonyi</v>
      </c>
      <c r="G1499" s="75" t="str">
        <f t="shared" si="90"/>
        <v>Nakasongola</v>
      </c>
      <c r="H1499" s="82" t="s">
        <v>2566</v>
      </c>
    </row>
    <row r="1500" spans="1:8">
      <c r="A1500" s="81">
        <v>317</v>
      </c>
      <c r="B1500" s="82" t="s">
        <v>2713</v>
      </c>
      <c r="C1500" s="82" t="s">
        <v>2714</v>
      </c>
      <c r="D1500" s="82" t="s">
        <v>2719</v>
      </c>
      <c r="E1500" s="82"/>
      <c r="F1500" s="75" t="str">
        <f t="shared" si="92"/>
        <v>Wadelai</v>
      </c>
      <c r="G1500" s="75" t="str">
        <f t="shared" si="90"/>
        <v>Pakwach</v>
      </c>
      <c r="H1500" s="82" t="s">
        <v>2719</v>
      </c>
    </row>
    <row r="1501" spans="1:8">
      <c r="A1501" s="81">
        <v>1053</v>
      </c>
      <c r="B1501" s="82" t="s">
        <v>2246</v>
      </c>
      <c r="C1501" s="82" t="s">
        <v>2246</v>
      </c>
      <c r="D1501" s="82" t="s">
        <v>2253</v>
      </c>
      <c r="E1501" s="82"/>
      <c r="F1501" s="75" t="str">
        <f t="shared" si="92"/>
        <v>Waibuga</v>
      </c>
      <c r="G1501" s="75" t="str">
        <f t="shared" si="90"/>
        <v>Luuka</v>
      </c>
      <c r="H1501" s="82" t="s">
        <v>2253</v>
      </c>
    </row>
    <row r="1502" spans="1:8">
      <c r="A1502" s="81">
        <v>863</v>
      </c>
      <c r="B1502" s="82" t="s">
        <v>2346</v>
      </c>
      <c r="C1502" s="82" t="s">
        <v>2347</v>
      </c>
      <c r="D1502" s="82" t="s">
        <v>2360</v>
      </c>
      <c r="E1502" s="82"/>
      <c r="F1502" s="75" t="str">
        <f t="shared" si="92"/>
        <v>Wairasa</v>
      </c>
      <c r="G1502" s="75" t="str">
        <f t="shared" si="90"/>
        <v>Mayuge</v>
      </c>
      <c r="H1502" s="82" t="s">
        <v>2360</v>
      </c>
    </row>
    <row r="1503" spans="1:8">
      <c r="A1503" s="81">
        <v>605</v>
      </c>
      <c r="B1503" s="82" t="s">
        <v>1041</v>
      </c>
      <c r="C1503" s="83" t="s">
        <v>1052</v>
      </c>
      <c r="D1503" s="82" t="s">
        <v>3272</v>
      </c>
      <c r="E1503" s="82"/>
      <c r="F1503" s="76" t="str">
        <f>VLOOKUP(C1503,[2]Municipalities!$C$9:$F$1522,4,FALSE)</f>
        <v>Njeru Municipality</v>
      </c>
      <c r="G1503" s="75" t="str">
        <f t="shared" si="90"/>
        <v>Buikwe</v>
      </c>
      <c r="H1503" s="82" t="s">
        <v>3272</v>
      </c>
    </row>
    <row r="1504" spans="1:8">
      <c r="A1504" s="81">
        <v>544</v>
      </c>
      <c r="B1504" s="82" t="s">
        <v>2879</v>
      </c>
      <c r="C1504" s="82" t="s">
        <v>2882</v>
      </c>
      <c r="D1504" s="82" t="s">
        <v>2879</v>
      </c>
      <c r="E1504" s="82"/>
      <c r="F1504" s="75" t="str">
        <f t="shared" ref="F1504:F1507" si="93">D1504</f>
        <v>Wakiso</v>
      </c>
      <c r="G1504" s="75" t="str">
        <f t="shared" si="90"/>
        <v>Wakiso</v>
      </c>
      <c r="H1504" s="82" t="s">
        <v>2879</v>
      </c>
    </row>
    <row r="1505" spans="1:8">
      <c r="A1505" s="81">
        <v>545</v>
      </c>
      <c r="B1505" s="82" t="s">
        <v>2879</v>
      </c>
      <c r="C1505" s="82" t="s">
        <v>2882</v>
      </c>
      <c r="D1505" s="82" t="s">
        <v>3069</v>
      </c>
      <c r="E1505" s="82"/>
      <c r="F1505" s="75" t="str">
        <f t="shared" si="93"/>
        <v>Wakiso Town Council</v>
      </c>
      <c r="G1505" s="75" t="str">
        <f t="shared" si="90"/>
        <v>Wakiso</v>
      </c>
      <c r="H1505" s="82" t="s">
        <v>3069</v>
      </c>
    </row>
    <row r="1506" spans="1:8">
      <c r="A1506" s="81">
        <v>593</v>
      </c>
      <c r="B1506" s="82" t="s">
        <v>2537</v>
      </c>
      <c r="C1506" s="82" t="s">
        <v>2537</v>
      </c>
      <c r="D1506" s="82" t="s">
        <v>2553</v>
      </c>
      <c r="E1506" s="82"/>
      <c r="F1506" s="75" t="str">
        <f t="shared" si="93"/>
        <v>Wakyato</v>
      </c>
      <c r="G1506" s="75" t="str">
        <f t="shared" si="90"/>
        <v>Nakaseke</v>
      </c>
      <c r="H1506" s="82" t="s">
        <v>2553</v>
      </c>
    </row>
    <row r="1507" spans="1:8">
      <c r="A1507" s="81">
        <v>790</v>
      </c>
      <c r="B1507" s="82" t="s">
        <v>2362</v>
      </c>
      <c r="C1507" s="82" t="s">
        <v>2363</v>
      </c>
      <c r="D1507" s="82" t="s">
        <v>2386</v>
      </c>
      <c r="E1507" s="82"/>
      <c r="F1507" s="75" t="str">
        <f t="shared" si="93"/>
        <v>Wanale</v>
      </c>
      <c r="G1507" s="75" t="str">
        <f t="shared" si="90"/>
        <v>Mbale</v>
      </c>
      <c r="H1507" s="82" t="s">
        <v>2386</v>
      </c>
    </row>
    <row r="1508" spans="1:8" ht="25.5">
      <c r="A1508" s="81">
        <v>795</v>
      </c>
      <c r="B1508" s="82" t="s">
        <v>2362</v>
      </c>
      <c r="C1508" s="83" t="s">
        <v>2378</v>
      </c>
      <c r="D1508" s="82" t="s">
        <v>3273</v>
      </c>
      <c r="E1508" s="82"/>
      <c r="F1508" s="76" t="str">
        <f>VLOOKUP(C1508,[2]Municipalities!$C$9:$F$1522,4,FALSE)</f>
        <v>Mbale Municipality</v>
      </c>
      <c r="G1508" s="75" t="str">
        <f t="shared" si="90"/>
        <v>Mbale</v>
      </c>
      <c r="H1508" s="82" t="s">
        <v>3273</v>
      </c>
    </row>
    <row r="1509" spans="1:8">
      <c r="A1509" s="81">
        <v>736</v>
      </c>
      <c r="B1509" s="82" t="s">
        <v>1911</v>
      </c>
      <c r="C1509" s="82" t="s">
        <v>1914</v>
      </c>
      <c r="D1509" s="82" t="s">
        <v>1925</v>
      </c>
      <c r="E1509" s="82"/>
      <c r="F1509" s="75" t="str">
        <f t="shared" ref="F1509:F1512" si="94">D1509</f>
        <v>Wankole</v>
      </c>
      <c r="G1509" s="75" t="str">
        <f t="shared" si="90"/>
        <v>Kamuli</v>
      </c>
      <c r="H1509" s="82" t="s">
        <v>1925</v>
      </c>
    </row>
    <row r="1510" spans="1:8">
      <c r="A1510" s="81">
        <v>302</v>
      </c>
      <c r="B1510" s="82" t="s">
        <v>3087</v>
      </c>
      <c r="C1510" s="82" t="s">
        <v>3088</v>
      </c>
      <c r="D1510" s="82" t="s">
        <v>3095</v>
      </c>
      <c r="E1510" s="82"/>
      <c r="F1510" s="75" t="str">
        <f t="shared" si="94"/>
        <v>Warr</v>
      </c>
      <c r="G1510" s="75" t="str">
        <f t="shared" si="90"/>
        <v>Zombo</v>
      </c>
      <c r="H1510" s="82" t="s">
        <v>3095</v>
      </c>
    </row>
    <row r="1511" spans="1:8">
      <c r="A1511" s="81">
        <v>648</v>
      </c>
      <c r="B1511" s="82" t="s">
        <v>2169</v>
      </c>
      <c r="C1511" s="82" t="s">
        <v>2042</v>
      </c>
      <c r="D1511" s="82" t="s">
        <v>2185</v>
      </c>
      <c r="E1511" s="82"/>
      <c r="F1511" s="75" t="str">
        <f t="shared" si="94"/>
        <v>Wattuba</v>
      </c>
      <c r="G1511" s="75" t="str">
        <f t="shared" si="90"/>
        <v>Kyankwanzi</v>
      </c>
      <c r="H1511" s="82" t="s">
        <v>2185</v>
      </c>
    </row>
    <row r="1512" spans="1:8">
      <c r="A1512" s="81">
        <v>895</v>
      </c>
      <c r="B1512" s="82" t="s">
        <v>921</v>
      </c>
      <c r="C1512" s="82" t="s">
        <v>921</v>
      </c>
      <c r="D1512" s="82" t="s">
        <v>935</v>
      </c>
      <c r="E1512" s="82"/>
      <c r="F1512" s="75" t="str">
        <f t="shared" si="94"/>
        <v>Wera</v>
      </c>
      <c r="G1512" s="75" t="str">
        <f t="shared" si="90"/>
        <v>Amuria</v>
      </c>
      <c r="H1512" s="82" t="s">
        <v>935</v>
      </c>
    </row>
    <row r="1513" spans="1:8" ht="25.5">
      <c r="A1513" s="81">
        <v>206</v>
      </c>
      <c r="B1513" s="82" t="s">
        <v>2126</v>
      </c>
      <c r="C1513" s="83" t="s">
        <v>2128</v>
      </c>
      <c r="D1513" s="86" t="s">
        <v>3274</v>
      </c>
      <c r="E1513" s="82"/>
      <c r="F1513" s="76" t="str">
        <f>VLOOKUP(C1513,[2]Municipalities!$C$9:$F$1522,4,FALSE)</f>
        <v>Koboko Municipality</v>
      </c>
      <c r="G1513" s="75" t="str">
        <f t="shared" si="90"/>
        <v>Koboko</v>
      </c>
      <c r="H1513" s="86" t="s">
        <v>3274</v>
      </c>
    </row>
    <row r="1514" spans="1:8" ht="25.5">
      <c r="A1514" s="81">
        <v>476</v>
      </c>
      <c r="B1514" s="82" t="s">
        <v>2473</v>
      </c>
      <c r="C1514" s="83" t="s">
        <v>2492</v>
      </c>
      <c r="D1514" s="86" t="s">
        <v>3274</v>
      </c>
      <c r="E1514" s="82"/>
      <c r="F1514" s="76" t="str">
        <f>VLOOKUP(C1514,[2]Municipalities!$C$9:$F$1522,4,FALSE)</f>
        <v>Mubende Municipality</v>
      </c>
      <c r="G1514" s="75" t="str">
        <f t="shared" si="90"/>
        <v>Mubende</v>
      </c>
      <c r="H1514" s="86" t="s">
        <v>3274</v>
      </c>
    </row>
    <row r="1515" spans="1:8">
      <c r="A1515" s="81">
        <v>670</v>
      </c>
      <c r="B1515" s="82" t="s">
        <v>1020</v>
      </c>
      <c r="C1515" s="83" t="s">
        <v>1022</v>
      </c>
      <c r="D1515" s="86" t="s">
        <v>3274</v>
      </c>
      <c r="E1515" s="82"/>
      <c r="F1515" s="76" t="str">
        <f>VLOOKUP(C1515,[2]Municipalities!$C$9:$F$1522,4,FALSE)</f>
        <v>Bugiri Municipality</v>
      </c>
      <c r="G1515" s="75" t="str">
        <f t="shared" si="90"/>
        <v>Bugiri</v>
      </c>
      <c r="H1515" s="86" t="s">
        <v>3274</v>
      </c>
    </row>
    <row r="1516" spans="1:8">
      <c r="A1516" s="81">
        <v>682</v>
      </c>
      <c r="B1516" s="82" t="s">
        <v>1156</v>
      </c>
      <c r="C1516" s="83" t="s">
        <v>1159</v>
      </c>
      <c r="D1516" s="86" t="s">
        <v>3274</v>
      </c>
      <c r="E1516" s="82"/>
      <c r="F1516" s="76" t="str">
        <f>VLOOKUP(C1516,[2]Municipalities!$C$9:$F$1522,4,FALSE)</f>
        <v>Busia Municipality</v>
      </c>
      <c r="G1516" s="75" t="str">
        <f t="shared" si="90"/>
        <v>Busia</v>
      </c>
      <c r="H1516" s="86" t="s">
        <v>3274</v>
      </c>
    </row>
    <row r="1517" spans="1:8" ht="25.5">
      <c r="A1517" s="81">
        <v>752</v>
      </c>
      <c r="B1517" s="82" t="s">
        <v>1964</v>
      </c>
      <c r="C1517" s="83" t="s">
        <v>1970</v>
      </c>
      <c r="D1517" s="86" t="s">
        <v>3274</v>
      </c>
      <c r="E1517" s="82"/>
      <c r="F1517" s="76" t="str">
        <f>VLOOKUP(C1517,[2]Municipalities!$C$9:$F$1522,4,FALSE)</f>
        <v>Kapchorwa Municipality</v>
      </c>
      <c r="G1517" s="75" t="str">
        <f t="shared" si="90"/>
        <v>Kapchorwa</v>
      </c>
      <c r="H1517" s="86" t="s">
        <v>3274</v>
      </c>
    </row>
    <row r="1518" spans="1:8">
      <c r="A1518" s="81">
        <v>817</v>
      </c>
      <c r="B1518" s="82" t="s">
        <v>2835</v>
      </c>
      <c r="C1518" s="83" t="s">
        <v>2840</v>
      </c>
      <c r="D1518" s="86" t="s">
        <v>3274</v>
      </c>
      <c r="E1518" s="82"/>
      <c r="F1518" s="76" t="str">
        <f>VLOOKUP(C1518,[2]Municipalities!$C$9:$F$1522,4,FALSE)</f>
        <v>Soroti Municipality</v>
      </c>
      <c r="G1518" s="75" t="str">
        <f t="shared" si="90"/>
        <v>Soroti</v>
      </c>
      <c r="H1518" s="86" t="s">
        <v>3274</v>
      </c>
    </row>
    <row r="1519" spans="1:8" ht="25.5">
      <c r="A1519" s="81">
        <v>826</v>
      </c>
      <c r="B1519" s="82" t="s">
        <v>2856</v>
      </c>
      <c r="C1519" s="83" t="s">
        <v>2876</v>
      </c>
      <c r="D1519" s="86" t="s">
        <v>3274</v>
      </c>
      <c r="E1519" s="82"/>
      <c r="F1519" s="76" t="str">
        <f>VLOOKUP(C1519,[2]Municipalities!$C$9:$F$1522,4,FALSE)</f>
        <v>Tororo Municipality</v>
      </c>
      <c r="G1519" s="75" t="str">
        <f t="shared" si="90"/>
        <v>Tororo</v>
      </c>
      <c r="H1519" s="86" t="s">
        <v>3274</v>
      </c>
    </row>
    <row r="1520" spans="1:8" ht="25.5">
      <c r="A1520" s="81">
        <v>1177</v>
      </c>
      <c r="B1520" s="82" t="s">
        <v>1367</v>
      </c>
      <c r="C1520" s="83" t="s">
        <v>1370</v>
      </c>
      <c r="D1520" s="86" t="s">
        <v>3274</v>
      </c>
      <c r="E1520" s="82"/>
      <c r="F1520" s="76" t="str">
        <f>VLOOKUP(C1520,[2]Municipalities!$C$9:$F$1522,4,FALSE)</f>
        <v>Fort Portal Municipality</v>
      </c>
      <c r="G1520" s="75" t="str">
        <f t="shared" si="90"/>
        <v>Kabarole</v>
      </c>
      <c r="H1520" s="86" t="s">
        <v>3274</v>
      </c>
    </row>
    <row r="1521" spans="1:8" ht="25.5">
      <c r="A1521" s="81">
        <v>1269</v>
      </c>
      <c r="B1521" s="82" t="s">
        <v>47</v>
      </c>
      <c r="C1521" s="83" t="s">
        <v>2652</v>
      </c>
      <c r="D1521" s="86" t="s">
        <v>3274</v>
      </c>
      <c r="E1521" s="82"/>
      <c r="F1521" s="76" t="str">
        <f>VLOOKUP(C1521,[2]Municipalities!$C$9:$F$1522,4,FALSE)</f>
        <v>Ntungamo Municipality</v>
      </c>
      <c r="G1521" s="75" t="str">
        <f t="shared" si="90"/>
        <v>Ntungamo</v>
      </c>
      <c r="H1521" s="86" t="s">
        <v>3274</v>
      </c>
    </row>
    <row r="1522" spans="1:8" ht="25.5">
      <c r="A1522" s="81">
        <v>1296</v>
      </c>
      <c r="B1522" s="82" t="s">
        <v>40</v>
      </c>
      <c r="C1522" s="83" t="s">
        <v>2784</v>
      </c>
      <c r="D1522" s="86" t="s">
        <v>3274</v>
      </c>
      <c r="E1522" s="82"/>
      <c r="F1522" s="76" t="str">
        <f>VLOOKUP(C1522,[2]Municipalities!$C$9:$F$1522,4,FALSE)</f>
        <v>Rukungiri Municipality</v>
      </c>
      <c r="G1522" s="75" t="str">
        <f t="shared" si="90"/>
        <v>Rukungiri</v>
      </c>
      <c r="H1522" s="86" t="s">
        <v>3274</v>
      </c>
    </row>
    <row r="1523" spans="1:8">
      <c r="A1523" s="81">
        <v>987</v>
      </c>
      <c r="B1523" s="82" t="s">
        <v>2294</v>
      </c>
      <c r="C1523" s="82" t="s">
        <v>2295</v>
      </c>
      <c r="D1523" s="82" t="s">
        <v>2311</v>
      </c>
      <c r="E1523" s="82"/>
      <c r="F1523" s="75" t="str">
        <f t="shared" ref="F1523:F1532" si="95">D1523</f>
        <v>Weswa</v>
      </c>
      <c r="G1523" s="75" t="str">
        <f t="shared" si="90"/>
        <v>Manafwa</v>
      </c>
      <c r="H1523" s="82" t="s">
        <v>2311</v>
      </c>
    </row>
    <row r="1524" spans="1:8">
      <c r="A1524" s="81">
        <v>896</v>
      </c>
      <c r="B1524" s="82" t="s">
        <v>921</v>
      </c>
      <c r="C1524" s="82" t="s">
        <v>921</v>
      </c>
      <c r="D1524" s="82" t="s">
        <v>936</v>
      </c>
      <c r="E1524" s="82"/>
      <c r="F1524" s="75" t="str">
        <f t="shared" si="95"/>
        <v>Willa</v>
      </c>
      <c r="G1524" s="75" t="str">
        <f t="shared" si="90"/>
        <v>Amuria</v>
      </c>
      <c r="H1524" s="82" t="s">
        <v>936</v>
      </c>
    </row>
    <row r="1525" spans="1:8">
      <c r="A1525" s="81">
        <v>441</v>
      </c>
      <c r="B1525" s="82" t="s">
        <v>2255</v>
      </c>
      <c r="C1525" s="82" t="s">
        <v>2257</v>
      </c>
      <c r="D1525" s="82" t="s">
        <v>2272</v>
      </c>
      <c r="E1525" s="82"/>
      <c r="F1525" s="75" t="str">
        <f t="shared" si="95"/>
        <v>Wobulenzi Town Council</v>
      </c>
      <c r="G1525" s="75" t="str">
        <f t="shared" si="90"/>
        <v>Luwero</v>
      </c>
      <c r="H1525" s="82" t="s">
        <v>2272</v>
      </c>
    </row>
    <row r="1526" spans="1:8">
      <c r="A1526" s="81">
        <v>242</v>
      </c>
      <c r="B1526" s="82" t="s">
        <v>875</v>
      </c>
      <c r="C1526" s="82" t="s">
        <v>875</v>
      </c>
      <c r="D1526" s="82" t="s">
        <v>890</v>
      </c>
      <c r="E1526" s="82"/>
      <c r="F1526" s="75" t="str">
        <f t="shared" si="95"/>
        <v>Wol</v>
      </c>
      <c r="G1526" s="75" t="str">
        <f t="shared" si="90"/>
        <v>Agago</v>
      </c>
      <c r="H1526" s="82" t="s">
        <v>890</v>
      </c>
    </row>
    <row r="1527" spans="1:8">
      <c r="A1527" s="81">
        <v>214</v>
      </c>
      <c r="B1527" s="82" t="s">
        <v>2313</v>
      </c>
      <c r="C1527" s="82" t="s">
        <v>2313</v>
      </c>
      <c r="D1527" s="82" t="s">
        <v>2320</v>
      </c>
      <c r="E1527" s="82"/>
      <c r="F1527" s="75" t="str">
        <f t="shared" si="95"/>
        <v>Yivu</v>
      </c>
      <c r="G1527" s="75" t="str">
        <f t="shared" si="90"/>
        <v>Maracha</v>
      </c>
      <c r="H1527" s="82" t="s">
        <v>2320</v>
      </c>
    </row>
    <row r="1528" spans="1:8">
      <c r="A1528" s="81">
        <v>150</v>
      </c>
      <c r="B1528" s="82" t="s">
        <v>3072</v>
      </c>
      <c r="C1528" s="82" t="s">
        <v>3073</v>
      </c>
      <c r="D1528" s="82" t="s">
        <v>3085</v>
      </c>
      <c r="E1528" s="82"/>
      <c r="F1528" s="75" t="str">
        <f t="shared" si="95"/>
        <v>Yumbe Town Council</v>
      </c>
      <c r="G1528" s="75" t="str">
        <f t="shared" si="90"/>
        <v>Yumbe</v>
      </c>
      <c r="H1528" s="82" t="s">
        <v>3085</v>
      </c>
    </row>
    <row r="1529" spans="1:8">
      <c r="A1529" s="81">
        <v>885</v>
      </c>
      <c r="B1529" s="82" t="s">
        <v>2812</v>
      </c>
      <c r="C1529" s="82" t="s">
        <v>2813</v>
      </c>
      <c r="D1529" s="82" t="s">
        <v>2833</v>
      </c>
      <c r="E1529" s="82"/>
      <c r="F1529" s="75" t="str">
        <f t="shared" si="95"/>
        <v>Zesui</v>
      </c>
      <c r="G1529" s="75" t="str">
        <f t="shared" si="90"/>
        <v>Sironko</v>
      </c>
      <c r="H1529" s="82" t="s">
        <v>2833</v>
      </c>
    </row>
    <row r="1530" spans="1:8">
      <c r="A1530" s="81">
        <v>303</v>
      </c>
      <c r="B1530" s="82" t="s">
        <v>3087</v>
      </c>
      <c r="C1530" s="82" t="s">
        <v>3088</v>
      </c>
      <c r="D1530" s="82" t="s">
        <v>3096</v>
      </c>
      <c r="E1530" s="82"/>
      <c r="F1530" s="75" t="str">
        <f t="shared" si="95"/>
        <v>Zeu</v>
      </c>
      <c r="G1530" s="75" t="str">
        <f t="shared" si="90"/>
        <v>Zombo</v>
      </c>
      <c r="H1530" s="82" t="s">
        <v>3096</v>
      </c>
    </row>
    <row r="1531" spans="1:8">
      <c r="A1531" s="81">
        <v>433</v>
      </c>
      <c r="B1531" s="82" t="s">
        <v>2255</v>
      </c>
      <c r="C1531" s="82" t="s">
        <v>2254</v>
      </c>
      <c r="D1531" s="82" t="s">
        <v>2276</v>
      </c>
      <c r="E1531" s="82"/>
      <c r="F1531" s="75" t="str">
        <f t="shared" si="95"/>
        <v>Zirobwe</v>
      </c>
      <c r="G1531" s="75" t="str">
        <f t="shared" si="90"/>
        <v>Luwero</v>
      </c>
      <c r="H1531" s="82" t="s">
        <v>2276</v>
      </c>
    </row>
    <row r="1532" spans="1:8">
      <c r="A1532" s="81">
        <v>304</v>
      </c>
      <c r="B1532" s="82" t="s">
        <v>3087</v>
      </c>
      <c r="C1532" s="82" t="s">
        <v>3088</v>
      </c>
      <c r="D1532" s="82" t="s">
        <v>3097</v>
      </c>
      <c r="E1532" s="82"/>
      <c r="F1532" s="75" t="str">
        <f t="shared" si="95"/>
        <v>Zombo Town Council</v>
      </c>
      <c r="G1532" s="75" t="str">
        <f t="shared" si="90"/>
        <v>Zombo</v>
      </c>
      <c r="H1532" s="82" t="s">
        <v>3097</v>
      </c>
    </row>
  </sheetData>
  <autoFilter ref="A1:E1532" xr:uid="{00000000-0009-0000-0000-000004000000}"/>
  <mergeCells count="4">
    <mergeCell ref="F380:F381"/>
    <mergeCell ref="F382:F384"/>
    <mergeCell ref="F385:F388"/>
    <mergeCell ref="F390:F393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AI145"/>
  <sheetViews>
    <sheetView zoomScale="75" zoomScaleNormal="75" zoomScaleSheetLayoutView="80" workbookViewId="0">
      <selection activeCell="AB4" sqref="AB4"/>
    </sheetView>
  </sheetViews>
  <sheetFormatPr defaultRowHeight="12.75"/>
  <cols>
    <col min="1" max="1" width="2.7109375" customWidth="1"/>
    <col min="2" max="2" width="7.28515625" customWidth="1"/>
    <col min="3" max="3" width="10.28515625" customWidth="1"/>
    <col min="4" max="4" width="9.7109375" customWidth="1"/>
    <col min="5" max="5" width="11.5703125" customWidth="1"/>
    <col min="6" max="6" width="15.28515625" customWidth="1"/>
    <col min="7" max="7" width="11.7109375" customWidth="1"/>
    <col min="8" max="8" width="9" customWidth="1"/>
    <col min="9" max="9" width="8.85546875" customWidth="1"/>
    <col min="10" max="10" width="8.42578125" customWidth="1"/>
    <col min="11" max="11" width="10" customWidth="1"/>
    <col min="12" max="12" width="15.7109375" customWidth="1"/>
    <col min="13" max="13" width="11.7109375" customWidth="1"/>
    <col min="14" max="14" width="12.140625" customWidth="1"/>
    <col min="15" max="16" width="9.28515625" customWidth="1"/>
    <col min="17" max="17" width="12.7109375" customWidth="1"/>
    <col min="18" max="18" width="15.140625" customWidth="1"/>
    <col min="19" max="21" width="9.28515625" customWidth="1"/>
    <col min="22" max="22" width="11.140625" customWidth="1"/>
    <col min="23" max="23" width="11" customWidth="1"/>
    <col min="24" max="24" width="10.7109375" customWidth="1"/>
    <col min="25" max="25" width="9" customWidth="1"/>
    <col min="26" max="26" width="10.7109375" customWidth="1"/>
    <col min="27" max="27" width="8.42578125" customWidth="1"/>
    <col min="28" max="28" width="8" customWidth="1"/>
  </cols>
  <sheetData>
    <row r="1" spans="2:35" s="1" customFormat="1" ht="15.75">
      <c r="B1" s="143" t="s">
        <v>832</v>
      </c>
      <c r="C1" s="143"/>
      <c r="D1" s="143"/>
      <c r="E1" s="143"/>
      <c r="F1" s="143"/>
      <c r="G1" s="143"/>
      <c r="H1" s="143"/>
      <c r="I1" s="143"/>
      <c r="J1" s="143"/>
      <c r="K1" s="143"/>
      <c r="L1" s="143"/>
      <c r="M1" s="143"/>
      <c r="N1" s="143"/>
      <c r="O1" s="143"/>
      <c r="P1" s="143"/>
      <c r="Q1" s="143"/>
      <c r="R1" s="143"/>
      <c r="S1" s="143"/>
      <c r="T1" s="143"/>
      <c r="U1" s="143"/>
      <c r="V1" s="143"/>
      <c r="W1" s="143"/>
      <c r="X1" s="143"/>
      <c r="Y1" s="143"/>
      <c r="Z1" s="143"/>
      <c r="AA1" s="143"/>
      <c r="AB1" s="143"/>
      <c r="AC1" s="6"/>
      <c r="AD1" s="6"/>
      <c r="AE1" s="6"/>
      <c r="AF1" s="6"/>
      <c r="AG1" s="6"/>
      <c r="AH1" s="6"/>
      <c r="AI1" s="6"/>
    </row>
    <row r="2" spans="2:35" ht="15">
      <c r="B2" s="143" t="s">
        <v>1</v>
      </c>
      <c r="C2" s="143"/>
      <c r="D2" s="143"/>
      <c r="E2" s="143"/>
      <c r="F2" s="143"/>
      <c r="G2" s="143"/>
      <c r="H2" s="143"/>
      <c r="I2" s="143"/>
      <c r="J2" s="143"/>
      <c r="K2" s="143"/>
      <c r="L2" s="143"/>
      <c r="M2" s="143"/>
      <c r="N2" s="143"/>
      <c r="O2" s="143"/>
      <c r="P2" s="143"/>
      <c r="Q2" s="143"/>
      <c r="R2" s="143"/>
      <c r="S2" s="143"/>
      <c r="T2" s="143"/>
      <c r="U2" s="143"/>
      <c r="V2" s="143"/>
      <c r="W2" s="143"/>
      <c r="X2" s="143"/>
      <c r="Y2" s="143"/>
      <c r="Z2" s="143"/>
      <c r="AA2" s="143"/>
      <c r="AB2" s="143"/>
      <c r="AC2" s="7"/>
      <c r="AD2" s="7"/>
      <c r="AE2" s="7"/>
      <c r="AF2" s="7"/>
      <c r="AG2" s="7"/>
      <c r="AH2" s="7"/>
      <c r="AI2" s="7"/>
    </row>
    <row r="3" spans="2:35" ht="15"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</row>
    <row r="4" spans="2:35" ht="15" customHeight="1">
      <c r="B4" s="26" t="s">
        <v>2</v>
      </c>
      <c r="C4" s="31" t="s">
        <v>563</v>
      </c>
      <c r="E4" s="1" t="s">
        <v>65</v>
      </c>
      <c r="F4" s="152" t="str">
        <f>'14.10 KASANGATI-MATUGGA'!F4:G4</f>
        <v>MATUGGA-WAKISO ROAD</v>
      </c>
      <c r="G4" s="153"/>
      <c r="I4" s="27" t="s">
        <v>66</v>
      </c>
      <c r="J4" s="5"/>
      <c r="K4" s="5"/>
      <c r="L4" s="62" t="s">
        <v>147</v>
      </c>
      <c r="M4" s="2"/>
      <c r="N4" s="1" t="s">
        <v>68</v>
      </c>
      <c r="O4" s="154" t="s">
        <v>565</v>
      </c>
      <c r="P4" s="155"/>
      <c r="Q4" s="155"/>
      <c r="R4" s="155"/>
      <c r="S4" s="155"/>
      <c r="T4" s="155"/>
      <c r="V4" s="1" t="s">
        <v>69</v>
      </c>
      <c r="W4" s="65" t="s">
        <v>567</v>
      </c>
      <c r="Y4" s="27" t="s">
        <v>6</v>
      </c>
      <c r="Z4" s="39" t="str">
        <f>'14.10 KASANGATI-MATUGGA'!Z4</f>
        <v>DAVID</v>
      </c>
      <c r="AA4" s="32" t="s">
        <v>7</v>
      </c>
      <c r="AB4" s="39" t="s">
        <v>848</v>
      </c>
      <c r="AE4" s="10"/>
      <c r="AF4" s="5"/>
    </row>
    <row r="5" spans="2:35" ht="15" customHeight="1">
      <c r="B5" s="2"/>
      <c r="C5" s="2"/>
      <c r="D5" s="2"/>
      <c r="E5" s="22"/>
      <c r="F5" s="2"/>
      <c r="G5" s="2"/>
      <c r="I5" s="28" t="s">
        <v>67</v>
      </c>
      <c r="J5" s="2"/>
      <c r="K5" s="2"/>
      <c r="L5" s="63" t="s">
        <v>564</v>
      </c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  <c r="AB5" s="2"/>
    </row>
    <row r="6" spans="2:35" ht="13.5" thickBot="1"/>
    <row r="7" spans="2:35" ht="30.75" customHeight="1">
      <c r="B7" s="144" t="s">
        <v>34</v>
      </c>
      <c r="C7" s="150" t="s">
        <v>56</v>
      </c>
      <c r="D7" s="146" t="s">
        <v>9</v>
      </c>
      <c r="E7" s="150" t="s">
        <v>35</v>
      </c>
      <c r="F7" s="159" t="s">
        <v>12</v>
      </c>
      <c r="G7" s="160"/>
      <c r="H7" s="161"/>
      <c r="I7" s="146" t="s">
        <v>59</v>
      </c>
      <c r="J7" s="150" t="s">
        <v>15</v>
      </c>
      <c r="K7" s="150" t="s">
        <v>128</v>
      </c>
      <c r="L7" s="159" t="s">
        <v>17</v>
      </c>
      <c r="M7" s="160"/>
      <c r="N7" s="161"/>
      <c r="O7" s="146" t="s">
        <v>60</v>
      </c>
      <c r="P7" s="150" t="s">
        <v>18</v>
      </c>
      <c r="Q7" s="150" t="s">
        <v>129</v>
      </c>
      <c r="R7" s="150" t="s">
        <v>130</v>
      </c>
      <c r="S7" s="150" t="s">
        <v>132</v>
      </c>
      <c r="T7" s="150" t="s">
        <v>131</v>
      </c>
      <c r="U7" s="150" t="s">
        <v>61</v>
      </c>
      <c r="V7" s="163" t="s">
        <v>64</v>
      </c>
      <c r="W7" s="164"/>
      <c r="X7" s="165"/>
      <c r="Y7" s="150" t="s">
        <v>63</v>
      </c>
      <c r="Z7" s="150" t="s">
        <v>135</v>
      </c>
      <c r="AA7" s="146" t="s">
        <v>20</v>
      </c>
      <c r="AB7" s="148" t="s">
        <v>21</v>
      </c>
      <c r="AD7" s="19"/>
    </row>
    <row r="8" spans="2:35" ht="38.25" customHeight="1">
      <c r="B8" s="156"/>
      <c r="C8" s="151"/>
      <c r="D8" s="157"/>
      <c r="E8" s="158"/>
      <c r="F8" s="23" t="s">
        <v>70</v>
      </c>
      <c r="G8" s="23" t="s">
        <v>57</v>
      </c>
      <c r="H8" s="24" t="s">
        <v>58</v>
      </c>
      <c r="I8" s="157"/>
      <c r="J8" s="151"/>
      <c r="K8" s="151"/>
      <c r="L8" s="23" t="s">
        <v>70</v>
      </c>
      <c r="M8" s="23" t="s">
        <v>57</v>
      </c>
      <c r="N8" s="23" t="s">
        <v>58</v>
      </c>
      <c r="O8" s="157"/>
      <c r="P8" s="151"/>
      <c r="Q8" s="151"/>
      <c r="R8" s="151"/>
      <c r="S8" s="151"/>
      <c r="T8" s="151"/>
      <c r="U8" s="151"/>
      <c r="V8" s="29" t="s">
        <v>62</v>
      </c>
      <c r="W8" s="30" t="s">
        <v>133</v>
      </c>
      <c r="X8" s="30" t="s">
        <v>134</v>
      </c>
      <c r="Y8" s="151"/>
      <c r="Z8" s="151"/>
      <c r="AA8" s="157"/>
      <c r="AB8" s="162"/>
    </row>
    <row r="9" spans="2:35" s="19" customFormat="1">
      <c r="B9" s="40">
        <v>0.67152777777777783</v>
      </c>
      <c r="C9" s="40" t="s">
        <v>568</v>
      </c>
      <c r="D9" s="41">
        <v>8</v>
      </c>
      <c r="E9" s="42">
        <v>1</v>
      </c>
      <c r="F9" s="42" t="s">
        <v>569</v>
      </c>
      <c r="G9" s="43" t="s">
        <v>154</v>
      </c>
      <c r="H9" s="42" t="s">
        <v>155</v>
      </c>
      <c r="I9" s="43">
        <v>9</v>
      </c>
      <c r="J9" s="43">
        <v>1</v>
      </c>
      <c r="K9" s="25" t="str">
        <f>VLOOKUP(J9,Key!$E$2:$F$9,2,FALSE)</f>
        <v>Home</v>
      </c>
      <c r="L9" s="42" t="s">
        <v>564</v>
      </c>
      <c r="M9" s="43" t="s">
        <v>154</v>
      </c>
      <c r="N9" s="42" t="s">
        <v>155</v>
      </c>
      <c r="O9" s="43">
        <v>1</v>
      </c>
      <c r="P9" s="43">
        <v>1</v>
      </c>
      <c r="Q9" s="25" t="str">
        <f>VLOOKUP(P9,Key!$E$2:$F$9,2,FALSE)</f>
        <v>Home</v>
      </c>
      <c r="R9" s="25" t="str">
        <f>K9&amp;"-"&amp;Q9</f>
        <v>Home-Home</v>
      </c>
      <c r="S9" s="58"/>
      <c r="T9" s="58"/>
      <c r="U9" s="43">
        <v>1</v>
      </c>
      <c r="V9" s="43">
        <v>11</v>
      </c>
      <c r="W9" s="58"/>
      <c r="X9" s="58"/>
      <c r="Y9" s="59" t="s">
        <v>156</v>
      </c>
      <c r="Z9" s="60">
        <v>3000</v>
      </c>
      <c r="AA9" s="25"/>
      <c r="AB9" s="25"/>
    </row>
    <row r="10" spans="2:35">
      <c r="B10" s="40">
        <v>0.67291666666666661</v>
      </c>
      <c r="C10" s="40" t="s">
        <v>570</v>
      </c>
      <c r="D10" s="41">
        <v>1</v>
      </c>
      <c r="E10" s="42">
        <v>2</v>
      </c>
      <c r="F10" s="42" t="s">
        <v>571</v>
      </c>
      <c r="G10" s="43" t="s">
        <v>154</v>
      </c>
      <c r="H10" s="42" t="s">
        <v>155</v>
      </c>
      <c r="I10" s="43">
        <v>7</v>
      </c>
      <c r="J10" s="43">
        <v>1</v>
      </c>
      <c r="K10" s="25" t="str">
        <f>VLOOKUP(J10,Key!$E$2:$F$9,2,FALSE)</f>
        <v>Home</v>
      </c>
      <c r="L10" s="42" t="s">
        <v>468</v>
      </c>
      <c r="M10" s="43" t="s">
        <v>159</v>
      </c>
      <c r="N10" s="42" t="s">
        <v>155</v>
      </c>
      <c r="O10" s="43">
        <v>1</v>
      </c>
      <c r="P10" s="43">
        <v>1</v>
      </c>
      <c r="Q10" s="25" t="str">
        <f>VLOOKUP(P10,Key!$E$2:$F$9,2,FALSE)</f>
        <v>Home</v>
      </c>
      <c r="R10" s="25" t="str">
        <f t="shared" ref="R10:R37" si="0">K10&amp;"-"&amp;Q10</f>
        <v>Home-Home</v>
      </c>
      <c r="S10" s="58">
        <v>3</v>
      </c>
      <c r="T10" s="58"/>
      <c r="U10" s="43">
        <v>1</v>
      </c>
      <c r="V10" s="43"/>
      <c r="W10" s="58"/>
      <c r="X10" s="58"/>
      <c r="Y10" s="59" t="s">
        <v>156</v>
      </c>
      <c r="Z10" s="60">
        <v>3500</v>
      </c>
      <c r="AA10" s="25"/>
      <c r="AB10" s="25"/>
    </row>
    <row r="11" spans="2:35">
      <c r="B11" s="40">
        <v>0.62222222222222223</v>
      </c>
      <c r="C11" s="40" t="s">
        <v>572</v>
      </c>
      <c r="D11" s="41">
        <v>1</v>
      </c>
      <c r="E11" s="42">
        <v>5</v>
      </c>
      <c r="F11" s="42" t="s">
        <v>245</v>
      </c>
      <c r="G11" s="43" t="s">
        <v>154</v>
      </c>
      <c r="H11" s="42" t="s">
        <v>155</v>
      </c>
      <c r="I11" s="43">
        <v>1</v>
      </c>
      <c r="J11" s="43">
        <v>3</v>
      </c>
      <c r="K11" s="25" t="str">
        <f>VLOOKUP(J11,Key!$E$2:$F$9,2,FALSE)</f>
        <v>Study</v>
      </c>
      <c r="L11" s="42" t="s">
        <v>268</v>
      </c>
      <c r="M11" s="43" t="s">
        <v>154</v>
      </c>
      <c r="N11" s="42" t="s">
        <v>155</v>
      </c>
      <c r="O11" s="43">
        <v>4</v>
      </c>
      <c r="P11" s="43">
        <v>3</v>
      </c>
      <c r="Q11" s="25" t="str">
        <f>VLOOKUP(P11,Key!$E$2:$F$9,2,FALSE)</f>
        <v>Study</v>
      </c>
      <c r="R11" s="25" t="str">
        <f t="shared" si="0"/>
        <v>Study-Study</v>
      </c>
      <c r="S11" s="58"/>
      <c r="T11" s="58">
        <v>0.1</v>
      </c>
      <c r="U11" s="43">
        <v>1</v>
      </c>
      <c r="V11" s="43"/>
      <c r="W11" s="58"/>
      <c r="X11" s="58"/>
      <c r="Y11" s="59" t="s">
        <v>156</v>
      </c>
      <c r="Z11" s="60">
        <v>3500</v>
      </c>
      <c r="AA11" s="25"/>
      <c r="AB11" s="25"/>
    </row>
    <row r="12" spans="2:35">
      <c r="B12" s="40">
        <v>0.625</v>
      </c>
      <c r="C12" s="40" t="s">
        <v>573</v>
      </c>
      <c r="D12" s="41">
        <v>1</v>
      </c>
      <c r="E12" s="42">
        <v>4</v>
      </c>
      <c r="F12" s="42" t="s">
        <v>147</v>
      </c>
      <c r="G12" s="43" t="s">
        <v>154</v>
      </c>
      <c r="H12" s="42" t="s">
        <v>155</v>
      </c>
      <c r="I12" s="43">
        <v>1</v>
      </c>
      <c r="J12" s="43">
        <v>8</v>
      </c>
      <c r="K12" s="25" t="str">
        <f>VLOOKUP(J12,Key!$E$2:$F$9,2,FALSE)</f>
        <v>Others</v>
      </c>
      <c r="L12" s="42" t="s">
        <v>420</v>
      </c>
      <c r="M12" s="43" t="s">
        <v>159</v>
      </c>
      <c r="N12" s="42" t="s">
        <v>155</v>
      </c>
      <c r="O12" s="43">
        <v>4</v>
      </c>
      <c r="P12" s="43">
        <v>8</v>
      </c>
      <c r="Q12" s="25" t="str">
        <f>VLOOKUP(P12,Key!$E$2:$F$9,2,FALSE)</f>
        <v>Others</v>
      </c>
      <c r="R12" s="25" t="str">
        <f t="shared" si="0"/>
        <v>Others-Others</v>
      </c>
      <c r="S12" s="58">
        <v>7</v>
      </c>
      <c r="T12" s="58">
        <v>0.2</v>
      </c>
      <c r="U12" s="43">
        <v>5</v>
      </c>
      <c r="V12" s="43"/>
      <c r="W12" s="58"/>
      <c r="X12" s="58"/>
      <c r="Y12" s="59" t="s">
        <v>156</v>
      </c>
      <c r="Z12" s="60">
        <v>1000</v>
      </c>
      <c r="AA12" s="25"/>
      <c r="AB12" s="25"/>
    </row>
    <row r="13" spans="2:35">
      <c r="B13" s="40">
        <v>0.62986111111111109</v>
      </c>
      <c r="C13" s="40" t="s">
        <v>574</v>
      </c>
      <c r="D13" s="41">
        <v>1</v>
      </c>
      <c r="E13" s="42">
        <v>2</v>
      </c>
      <c r="F13" s="42" t="s">
        <v>575</v>
      </c>
      <c r="G13" s="43" t="s">
        <v>154</v>
      </c>
      <c r="H13" s="42" t="s">
        <v>155</v>
      </c>
      <c r="I13" s="43">
        <v>1</v>
      </c>
      <c r="J13" s="43">
        <v>2</v>
      </c>
      <c r="K13" s="25" t="str">
        <f>VLOOKUP(J13,Key!$E$2:$F$9,2,FALSE)</f>
        <v>Work</v>
      </c>
      <c r="L13" s="42" t="s">
        <v>564</v>
      </c>
      <c r="M13" s="43" t="s">
        <v>154</v>
      </c>
      <c r="N13" s="42" t="s">
        <v>155</v>
      </c>
      <c r="O13" s="43">
        <v>7</v>
      </c>
      <c r="P13" s="43">
        <v>4</v>
      </c>
      <c r="Q13" s="25" t="str">
        <f>VLOOKUP(P13,Key!$E$2:$F$9,2,FALSE)</f>
        <v>Commercial</v>
      </c>
      <c r="R13" s="25" t="str">
        <f t="shared" si="0"/>
        <v>Work-Commercial</v>
      </c>
      <c r="S13" s="58"/>
      <c r="T13" s="58">
        <v>0.1</v>
      </c>
      <c r="U13" s="43">
        <v>1</v>
      </c>
      <c r="V13" s="43"/>
      <c r="W13" s="58"/>
      <c r="X13" s="58"/>
      <c r="Y13" s="59" t="s">
        <v>156</v>
      </c>
      <c r="Z13" s="60">
        <v>400</v>
      </c>
      <c r="AA13" s="25"/>
      <c r="AB13" s="25"/>
    </row>
    <row r="14" spans="2:35">
      <c r="B14" s="40">
        <v>0.62777777777777777</v>
      </c>
      <c r="C14" s="40" t="s">
        <v>576</v>
      </c>
      <c r="D14" s="41">
        <v>1</v>
      </c>
      <c r="E14" s="42">
        <v>1</v>
      </c>
      <c r="F14" s="42" t="s">
        <v>245</v>
      </c>
      <c r="G14" s="43" t="s">
        <v>154</v>
      </c>
      <c r="H14" s="42" t="s">
        <v>155</v>
      </c>
      <c r="I14" s="43">
        <v>1</v>
      </c>
      <c r="J14" s="43">
        <v>7</v>
      </c>
      <c r="K14" s="25" t="str">
        <f>VLOOKUP(J14,Key!$E$2:$F$9,2,FALSE)</f>
        <v>Hospital</v>
      </c>
      <c r="L14" s="42" t="s">
        <v>184</v>
      </c>
      <c r="M14" s="43" t="s">
        <v>154</v>
      </c>
      <c r="N14" s="42" t="s">
        <v>155</v>
      </c>
      <c r="O14" s="43">
        <v>5</v>
      </c>
      <c r="P14" s="43">
        <v>7</v>
      </c>
      <c r="Q14" s="25" t="str">
        <f>VLOOKUP(P14,Key!$E$2:$F$9,2,FALSE)</f>
        <v>Hospital</v>
      </c>
      <c r="R14" s="25" t="str">
        <f t="shared" si="0"/>
        <v>Hospital-Hospital</v>
      </c>
      <c r="S14" s="58">
        <v>5</v>
      </c>
      <c r="T14" s="58">
        <v>0.1</v>
      </c>
      <c r="U14" s="43">
        <v>1</v>
      </c>
      <c r="V14" s="43"/>
      <c r="W14" s="58"/>
      <c r="X14" s="58"/>
      <c r="Y14" s="59" t="s">
        <v>156</v>
      </c>
      <c r="Z14" s="60">
        <v>5000</v>
      </c>
      <c r="AA14" s="25"/>
      <c r="AB14" s="25"/>
    </row>
    <row r="15" spans="2:35">
      <c r="B15" s="40">
        <v>0.65833333333333333</v>
      </c>
      <c r="C15" s="40" t="s">
        <v>577</v>
      </c>
      <c r="D15" s="41">
        <v>1</v>
      </c>
      <c r="E15" s="42">
        <v>3</v>
      </c>
      <c r="F15" s="42" t="s">
        <v>245</v>
      </c>
      <c r="G15" s="43" t="s">
        <v>154</v>
      </c>
      <c r="H15" s="42" t="s">
        <v>155</v>
      </c>
      <c r="I15" s="43">
        <v>1</v>
      </c>
      <c r="J15" s="43">
        <v>1</v>
      </c>
      <c r="K15" s="25" t="str">
        <f>VLOOKUP(J15,Key!$E$2:$F$9,2,FALSE)</f>
        <v>Home</v>
      </c>
      <c r="L15" s="42" t="s">
        <v>564</v>
      </c>
      <c r="M15" s="43" t="s">
        <v>154</v>
      </c>
      <c r="N15" s="42" t="s">
        <v>155</v>
      </c>
      <c r="O15" s="43">
        <v>5</v>
      </c>
      <c r="P15" s="43">
        <v>7</v>
      </c>
      <c r="Q15" s="25" t="str">
        <f>VLOOKUP(P15,Key!$E$2:$F$9,2,FALSE)</f>
        <v>Hospital</v>
      </c>
      <c r="R15" s="25" t="str">
        <f t="shared" si="0"/>
        <v>Home-Hospital</v>
      </c>
      <c r="S15" s="58">
        <v>2</v>
      </c>
      <c r="T15" s="58">
        <v>0.1</v>
      </c>
      <c r="U15" s="43">
        <v>6</v>
      </c>
      <c r="V15" s="43"/>
      <c r="W15" s="58"/>
      <c r="X15" s="58"/>
      <c r="Y15" s="59" t="s">
        <v>156</v>
      </c>
      <c r="Z15" s="60">
        <v>500</v>
      </c>
      <c r="AA15" s="25"/>
      <c r="AB15" s="25"/>
    </row>
    <row r="16" spans="2:35">
      <c r="B16" s="40">
        <v>0.66319444444444442</v>
      </c>
      <c r="C16" s="40" t="s">
        <v>578</v>
      </c>
      <c r="D16" s="41">
        <v>3</v>
      </c>
      <c r="E16" s="42">
        <v>2</v>
      </c>
      <c r="F16" s="42" t="s">
        <v>579</v>
      </c>
      <c r="G16" s="43" t="s">
        <v>154</v>
      </c>
      <c r="H16" s="42" t="s">
        <v>155</v>
      </c>
      <c r="I16" s="43">
        <v>1</v>
      </c>
      <c r="J16" s="43">
        <v>6</v>
      </c>
      <c r="K16" s="25" t="str">
        <f>VLOOKUP(J16,Key!$E$2:$F$9,2,FALSE)</f>
        <v>Leisure/Social</v>
      </c>
      <c r="L16" s="42" t="s">
        <v>564</v>
      </c>
      <c r="M16" s="43" t="s">
        <v>154</v>
      </c>
      <c r="N16" s="42" t="s">
        <v>155</v>
      </c>
      <c r="O16" s="43">
        <v>7</v>
      </c>
      <c r="P16" s="43">
        <v>6</v>
      </c>
      <c r="Q16" s="25" t="str">
        <f>VLOOKUP(P16,Key!$E$2:$F$9,2,FALSE)</f>
        <v>Leisure/Social</v>
      </c>
      <c r="R16" s="25" t="str">
        <f t="shared" si="0"/>
        <v>Leisure/Social-Leisure/Social</v>
      </c>
      <c r="S16" s="58">
        <v>0.5</v>
      </c>
      <c r="T16" s="58">
        <v>0.1</v>
      </c>
      <c r="U16" s="43">
        <v>1</v>
      </c>
      <c r="V16" s="43"/>
      <c r="W16" s="58"/>
      <c r="X16" s="58"/>
      <c r="Y16" s="59" t="s">
        <v>156</v>
      </c>
      <c r="Z16" s="60">
        <v>1000</v>
      </c>
      <c r="AA16" s="25"/>
      <c r="AB16" s="25"/>
    </row>
    <row r="17" spans="2:28">
      <c r="B17" s="40">
        <v>0.61458333333333337</v>
      </c>
      <c r="C17" s="40" t="s">
        <v>580</v>
      </c>
      <c r="D17" s="41">
        <v>1</v>
      </c>
      <c r="E17" s="42">
        <v>2</v>
      </c>
      <c r="F17" s="42" t="s">
        <v>147</v>
      </c>
      <c r="G17" s="43" t="s">
        <v>154</v>
      </c>
      <c r="H17" s="42" t="s">
        <v>155</v>
      </c>
      <c r="I17" s="43">
        <v>1</v>
      </c>
      <c r="J17" s="43">
        <v>6</v>
      </c>
      <c r="K17" s="25" t="str">
        <f>VLOOKUP(J17,Key!$E$2:$F$9,2,FALSE)</f>
        <v>Leisure/Social</v>
      </c>
      <c r="L17" s="42" t="s">
        <v>184</v>
      </c>
      <c r="M17" s="43" t="s">
        <v>154</v>
      </c>
      <c r="N17" s="42" t="s">
        <v>155</v>
      </c>
      <c r="O17" s="43">
        <v>1</v>
      </c>
      <c r="P17" s="43">
        <v>6</v>
      </c>
      <c r="Q17" s="25" t="str">
        <f>VLOOKUP(P17,Key!$E$2:$F$9,2,FALSE)</f>
        <v>Leisure/Social</v>
      </c>
      <c r="R17" s="25" t="str">
        <f t="shared" si="0"/>
        <v>Leisure/Social-Leisure/Social</v>
      </c>
      <c r="S17" s="58">
        <v>7</v>
      </c>
      <c r="T17" s="58">
        <v>0.1</v>
      </c>
      <c r="U17" s="43">
        <v>1</v>
      </c>
      <c r="V17" s="43"/>
      <c r="W17" s="58"/>
      <c r="X17" s="58"/>
      <c r="Y17" s="59" t="s">
        <v>156</v>
      </c>
      <c r="Z17" s="60">
        <v>1000</v>
      </c>
      <c r="AA17" s="25"/>
      <c r="AB17" s="25"/>
    </row>
    <row r="18" spans="2:28">
      <c r="B18" s="40">
        <v>0.6118055555555556</v>
      </c>
      <c r="C18" s="40" t="s">
        <v>581</v>
      </c>
      <c r="D18" s="41">
        <v>1</v>
      </c>
      <c r="E18" s="42">
        <v>6</v>
      </c>
      <c r="F18" s="42" t="s">
        <v>582</v>
      </c>
      <c r="G18" s="43" t="s">
        <v>154</v>
      </c>
      <c r="H18" s="42" t="s">
        <v>155</v>
      </c>
      <c r="I18" s="43">
        <v>1</v>
      </c>
      <c r="J18" s="43">
        <v>6</v>
      </c>
      <c r="K18" s="25" t="str">
        <f>VLOOKUP(J18,Key!$E$2:$F$9,2,FALSE)</f>
        <v>Leisure/Social</v>
      </c>
      <c r="L18" s="42" t="s">
        <v>583</v>
      </c>
      <c r="M18" s="43" t="s">
        <v>154</v>
      </c>
      <c r="N18" s="42" t="s">
        <v>155</v>
      </c>
      <c r="O18" s="43">
        <v>1</v>
      </c>
      <c r="P18" s="43">
        <v>6</v>
      </c>
      <c r="Q18" s="25" t="str">
        <f>VLOOKUP(P18,Key!$E$2:$F$9,2,FALSE)</f>
        <v>Leisure/Social</v>
      </c>
      <c r="R18" s="25" t="str">
        <f t="shared" si="0"/>
        <v>Leisure/Social-Leisure/Social</v>
      </c>
      <c r="S18" s="58">
        <v>3</v>
      </c>
      <c r="T18" s="58">
        <v>0.1</v>
      </c>
      <c r="U18" s="43">
        <v>1</v>
      </c>
      <c r="V18" s="43"/>
      <c r="W18" s="58"/>
      <c r="X18" s="58"/>
      <c r="Y18" s="59" t="s">
        <v>156</v>
      </c>
      <c r="Z18" s="60">
        <v>200</v>
      </c>
      <c r="AA18" s="25"/>
      <c r="AB18" s="25"/>
    </row>
    <row r="19" spans="2:28">
      <c r="B19" s="40">
        <v>0.64097222222222217</v>
      </c>
      <c r="C19" s="40" t="s">
        <v>584</v>
      </c>
      <c r="D19" s="41">
        <v>1</v>
      </c>
      <c r="E19" s="42">
        <v>2</v>
      </c>
      <c r="F19" s="42" t="s">
        <v>168</v>
      </c>
      <c r="G19" s="43" t="s">
        <v>154</v>
      </c>
      <c r="H19" s="42" t="s">
        <v>155</v>
      </c>
      <c r="I19" s="43">
        <v>1</v>
      </c>
      <c r="J19" s="43">
        <v>6</v>
      </c>
      <c r="K19" s="25" t="str">
        <f>VLOOKUP(J19,Key!$E$2:$F$9,2,FALSE)</f>
        <v>Leisure/Social</v>
      </c>
      <c r="L19" s="42" t="s">
        <v>564</v>
      </c>
      <c r="M19" s="43" t="s">
        <v>154</v>
      </c>
      <c r="N19" s="42" t="s">
        <v>155</v>
      </c>
      <c r="O19" s="43">
        <v>7</v>
      </c>
      <c r="P19" s="43">
        <v>6</v>
      </c>
      <c r="Q19" s="25" t="str">
        <f>VLOOKUP(P19,Key!$E$2:$F$9,2,FALSE)</f>
        <v>Leisure/Social</v>
      </c>
      <c r="R19" s="25" t="str">
        <f t="shared" si="0"/>
        <v>Leisure/Social-Leisure/Social</v>
      </c>
      <c r="S19" s="58">
        <v>0.5</v>
      </c>
      <c r="T19" s="58">
        <v>0.1</v>
      </c>
      <c r="U19" s="43">
        <v>6</v>
      </c>
      <c r="V19" s="43"/>
      <c r="W19" s="58"/>
      <c r="X19" s="58"/>
      <c r="Y19" s="59" t="s">
        <v>156</v>
      </c>
      <c r="Z19" s="60">
        <v>2000</v>
      </c>
      <c r="AA19" s="25"/>
      <c r="AB19" s="25"/>
    </row>
    <row r="20" spans="2:28">
      <c r="B20" s="40">
        <v>0.63750000000000007</v>
      </c>
      <c r="C20" s="40" t="s">
        <v>585</v>
      </c>
      <c r="D20" s="41">
        <v>1</v>
      </c>
      <c r="E20" s="42">
        <v>5</v>
      </c>
      <c r="F20" s="42" t="s">
        <v>586</v>
      </c>
      <c r="G20" s="43" t="s">
        <v>154</v>
      </c>
      <c r="H20" s="42" t="s">
        <v>155</v>
      </c>
      <c r="I20" s="43">
        <v>1</v>
      </c>
      <c r="J20" s="43">
        <v>5</v>
      </c>
      <c r="K20" s="25" t="str">
        <f>VLOOKUP(J20,Key!$E$2:$F$9,2,FALSE)</f>
        <v>Tourism</v>
      </c>
      <c r="L20" s="42" t="s">
        <v>564</v>
      </c>
      <c r="M20" s="43" t="s">
        <v>154</v>
      </c>
      <c r="N20" s="42" t="s">
        <v>155</v>
      </c>
      <c r="O20" s="43">
        <v>1</v>
      </c>
      <c r="P20" s="43">
        <v>1</v>
      </c>
      <c r="Q20" s="25" t="str">
        <f>VLOOKUP(P20,Key!$E$2:$F$9,2,FALSE)</f>
        <v>Home</v>
      </c>
      <c r="R20" s="25" t="str">
        <f t="shared" si="0"/>
        <v>Tourism-Home</v>
      </c>
      <c r="S20" s="58"/>
      <c r="T20" s="58">
        <v>0.1</v>
      </c>
      <c r="U20" s="43">
        <v>1</v>
      </c>
      <c r="V20" s="43"/>
      <c r="W20" s="58"/>
      <c r="X20" s="58"/>
      <c r="Y20" s="59" t="s">
        <v>156</v>
      </c>
      <c r="Z20" s="60">
        <v>500</v>
      </c>
      <c r="AA20" s="25"/>
      <c r="AB20" s="25"/>
    </row>
    <row r="21" spans="2:28">
      <c r="B21" s="40">
        <v>0.61944444444444446</v>
      </c>
      <c r="C21" s="40" t="s">
        <v>587</v>
      </c>
      <c r="D21" s="41">
        <v>1</v>
      </c>
      <c r="E21" s="42">
        <v>4</v>
      </c>
      <c r="F21" s="42" t="s">
        <v>168</v>
      </c>
      <c r="G21" s="43" t="s">
        <v>154</v>
      </c>
      <c r="H21" s="42" t="s">
        <v>155</v>
      </c>
      <c r="I21" s="43">
        <v>1</v>
      </c>
      <c r="J21" s="43">
        <v>1</v>
      </c>
      <c r="K21" s="25" t="str">
        <f>VLOOKUP(J21,Key!$E$2:$F$9,2,FALSE)</f>
        <v>Home</v>
      </c>
      <c r="L21" s="42" t="s">
        <v>420</v>
      </c>
      <c r="M21" s="43" t="s">
        <v>159</v>
      </c>
      <c r="N21" s="42" t="s">
        <v>155</v>
      </c>
      <c r="O21" s="43">
        <v>1</v>
      </c>
      <c r="P21" s="43">
        <v>1</v>
      </c>
      <c r="Q21" s="25" t="str">
        <f>VLOOKUP(P21,Key!$E$2:$F$9,2,FALSE)</f>
        <v>Home</v>
      </c>
      <c r="R21" s="25" t="str">
        <f t="shared" si="0"/>
        <v>Home-Home</v>
      </c>
      <c r="S21" s="58">
        <v>2</v>
      </c>
      <c r="T21" s="58">
        <v>0.1</v>
      </c>
      <c r="U21" s="43">
        <v>1</v>
      </c>
      <c r="V21" s="43"/>
      <c r="W21" s="58"/>
      <c r="X21" s="58"/>
      <c r="Y21" s="59" t="s">
        <v>156</v>
      </c>
      <c r="Z21" s="60">
        <v>3000</v>
      </c>
      <c r="AA21" s="25"/>
      <c r="AB21" s="25"/>
    </row>
    <row r="22" spans="2:28">
      <c r="B22" s="40">
        <v>0.6166666666666667</v>
      </c>
      <c r="C22" s="40" t="s">
        <v>171</v>
      </c>
      <c r="D22" s="41">
        <v>2</v>
      </c>
      <c r="E22" s="42">
        <v>2</v>
      </c>
      <c r="F22" s="42" t="s">
        <v>168</v>
      </c>
      <c r="G22" s="43" t="s">
        <v>154</v>
      </c>
      <c r="H22" s="42" t="s">
        <v>155</v>
      </c>
      <c r="I22" s="43">
        <v>1</v>
      </c>
      <c r="J22" s="43">
        <v>2</v>
      </c>
      <c r="K22" s="25" t="str">
        <f>VLOOKUP(J22,Key!$E$2:$F$9,2,FALSE)</f>
        <v>Work</v>
      </c>
      <c r="L22" s="42" t="s">
        <v>159</v>
      </c>
      <c r="M22" s="43" t="s">
        <v>159</v>
      </c>
      <c r="N22" s="42" t="s">
        <v>155</v>
      </c>
      <c r="O22" s="43">
        <v>2</v>
      </c>
      <c r="P22" s="43">
        <v>2</v>
      </c>
      <c r="Q22" s="25" t="str">
        <f>VLOOKUP(P22,Key!$E$2:$F$9,2,FALSE)</f>
        <v>Work</v>
      </c>
      <c r="R22" s="25" t="str">
        <f t="shared" si="0"/>
        <v>Work-Work</v>
      </c>
      <c r="S22" s="58">
        <v>1.5</v>
      </c>
      <c r="T22" s="58">
        <v>0.1</v>
      </c>
      <c r="U22" s="43">
        <v>1</v>
      </c>
      <c r="V22" s="43"/>
      <c r="W22" s="58"/>
      <c r="X22" s="58"/>
      <c r="Y22" s="59" t="s">
        <v>156</v>
      </c>
      <c r="Z22" s="60">
        <v>5000</v>
      </c>
      <c r="AA22" s="25"/>
      <c r="AB22" s="25"/>
    </row>
    <row r="23" spans="2:28">
      <c r="B23" s="40">
        <v>0.42986111111111108</v>
      </c>
      <c r="C23" s="40" t="s">
        <v>588</v>
      </c>
      <c r="D23" s="41">
        <v>1</v>
      </c>
      <c r="E23" s="42">
        <v>2</v>
      </c>
      <c r="F23" s="42" t="s">
        <v>589</v>
      </c>
      <c r="G23" s="43" t="s">
        <v>154</v>
      </c>
      <c r="H23" s="42" t="s">
        <v>155</v>
      </c>
      <c r="I23" s="43">
        <v>1</v>
      </c>
      <c r="J23" s="43">
        <v>2</v>
      </c>
      <c r="K23" s="25" t="str">
        <f>VLOOKUP(J23,Key!$E$2:$F$9,2,FALSE)</f>
        <v>Work</v>
      </c>
      <c r="L23" s="42" t="s">
        <v>564</v>
      </c>
      <c r="M23" s="43" t="s">
        <v>154</v>
      </c>
      <c r="N23" s="42" t="s">
        <v>155</v>
      </c>
      <c r="O23" s="43">
        <v>3</v>
      </c>
      <c r="P23" s="43">
        <v>2</v>
      </c>
      <c r="Q23" s="25" t="str">
        <f>VLOOKUP(P23,Key!$E$2:$F$9,2,FALSE)</f>
        <v>Work</v>
      </c>
      <c r="R23" s="25" t="str">
        <f t="shared" si="0"/>
        <v>Work-Work</v>
      </c>
      <c r="S23" s="58">
        <v>1</v>
      </c>
      <c r="T23" s="58">
        <v>0.1</v>
      </c>
      <c r="U23" s="43">
        <v>1</v>
      </c>
      <c r="V23" s="43"/>
      <c r="W23" s="58"/>
      <c r="X23" s="58"/>
      <c r="Y23" s="59" t="s">
        <v>156</v>
      </c>
      <c r="Z23" s="60">
        <v>1000</v>
      </c>
      <c r="AA23" s="25"/>
      <c r="AB23" s="25"/>
    </row>
    <row r="24" spans="2:28">
      <c r="B24" s="40">
        <v>0.43124999999999997</v>
      </c>
      <c r="C24" s="40" t="s">
        <v>590</v>
      </c>
      <c r="D24" s="41">
        <v>1</v>
      </c>
      <c r="E24" s="42">
        <v>6</v>
      </c>
      <c r="F24" s="42" t="s">
        <v>591</v>
      </c>
      <c r="G24" s="43" t="s">
        <v>154</v>
      </c>
      <c r="H24" s="42" t="s">
        <v>155</v>
      </c>
      <c r="I24" s="43">
        <v>1</v>
      </c>
      <c r="J24" s="43">
        <v>6</v>
      </c>
      <c r="K24" s="25" t="str">
        <f>VLOOKUP(J24,Key!$E$2:$F$9,2,FALSE)</f>
        <v>Leisure/Social</v>
      </c>
      <c r="L24" s="42" t="s">
        <v>592</v>
      </c>
      <c r="M24" s="43" t="s">
        <v>159</v>
      </c>
      <c r="N24" s="42" t="s">
        <v>155</v>
      </c>
      <c r="O24" s="43">
        <v>1</v>
      </c>
      <c r="P24" s="43">
        <v>1</v>
      </c>
      <c r="Q24" s="25" t="str">
        <f>VLOOKUP(P24,Key!$E$2:$F$9,2,FALSE)</f>
        <v>Home</v>
      </c>
      <c r="R24" s="25" t="str">
        <f t="shared" si="0"/>
        <v>Leisure/Social-Home</v>
      </c>
      <c r="S24" s="58">
        <v>10</v>
      </c>
      <c r="T24" s="58">
        <v>0.3</v>
      </c>
      <c r="U24" s="43">
        <v>1</v>
      </c>
      <c r="V24" s="43"/>
      <c r="W24" s="58"/>
      <c r="X24" s="58"/>
      <c r="Y24" s="59" t="s">
        <v>156</v>
      </c>
      <c r="Z24" s="60">
        <v>1000</v>
      </c>
      <c r="AA24" s="25"/>
      <c r="AB24" s="25"/>
    </row>
    <row r="25" spans="2:28">
      <c r="B25" s="40">
        <v>0.58333333333333337</v>
      </c>
      <c r="C25" s="40" t="s">
        <v>593</v>
      </c>
      <c r="D25" s="41">
        <v>2</v>
      </c>
      <c r="E25" s="42">
        <v>3</v>
      </c>
      <c r="F25" s="42" t="s">
        <v>382</v>
      </c>
      <c r="G25" s="43" t="s">
        <v>159</v>
      </c>
      <c r="H25" s="42" t="s">
        <v>155</v>
      </c>
      <c r="I25" s="43">
        <v>3</v>
      </c>
      <c r="J25" s="43">
        <v>4</v>
      </c>
      <c r="K25" s="25" t="str">
        <f>VLOOKUP(J25,Key!$E$2:$F$9,2,FALSE)</f>
        <v>Commercial</v>
      </c>
      <c r="L25" s="42" t="s">
        <v>184</v>
      </c>
      <c r="M25" s="43" t="s">
        <v>154</v>
      </c>
      <c r="N25" s="42" t="s">
        <v>155</v>
      </c>
      <c r="O25" s="43">
        <v>4</v>
      </c>
      <c r="P25" s="43">
        <v>4</v>
      </c>
      <c r="Q25" s="25" t="str">
        <f>VLOOKUP(P25,Key!$E$2:$F$9,2,FALSE)</f>
        <v>Commercial</v>
      </c>
      <c r="R25" s="25" t="str">
        <f t="shared" si="0"/>
        <v>Commercial-Commercial</v>
      </c>
      <c r="S25" s="58"/>
      <c r="T25" s="58">
        <v>0.1</v>
      </c>
      <c r="U25" s="43">
        <v>1</v>
      </c>
      <c r="V25" s="43">
        <v>4</v>
      </c>
      <c r="W25" s="58">
        <v>1.5</v>
      </c>
      <c r="X25" s="58">
        <v>2</v>
      </c>
      <c r="Y25" s="59" t="s">
        <v>156</v>
      </c>
      <c r="Z25" s="60">
        <v>2500</v>
      </c>
      <c r="AA25" s="25"/>
      <c r="AB25" s="25"/>
    </row>
    <row r="26" spans="2:28">
      <c r="B26" s="40">
        <v>0.83194444444444438</v>
      </c>
      <c r="C26" s="40" t="s">
        <v>594</v>
      </c>
      <c r="D26" s="41">
        <v>1</v>
      </c>
      <c r="E26" s="42">
        <v>2</v>
      </c>
      <c r="F26" s="42" t="s">
        <v>391</v>
      </c>
      <c r="G26" s="43" t="s">
        <v>154</v>
      </c>
      <c r="H26" s="42" t="s">
        <v>155</v>
      </c>
      <c r="I26" s="43">
        <v>1</v>
      </c>
      <c r="J26" s="43">
        <v>1</v>
      </c>
      <c r="K26" s="25" t="str">
        <f>VLOOKUP(J26,Key!$E$2:$F$9,2,FALSE)</f>
        <v>Home</v>
      </c>
      <c r="L26" s="42" t="s">
        <v>159</v>
      </c>
      <c r="M26" s="43" t="s">
        <v>159</v>
      </c>
      <c r="N26" s="42" t="s">
        <v>155</v>
      </c>
      <c r="O26" s="43">
        <v>5</v>
      </c>
      <c r="P26" s="43">
        <v>7</v>
      </c>
      <c r="Q26" s="25" t="str">
        <f>VLOOKUP(P26,Key!$E$2:$F$9,2,FALSE)</f>
        <v>Hospital</v>
      </c>
      <c r="R26" s="25" t="str">
        <f t="shared" si="0"/>
        <v>Home-Hospital</v>
      </c>
      <c r="S26" s="58">
        <v>3</v>
      </c>
      <c r="T26" s="58">
        <v>0.1</v>
      </c>
      <c r="U26" s="43">
        <v>1</v>
      </c>
      <c r="V26" s="43"/>
      <c r="W26" s="58"/>
      <c r="X26" s="58"/>
      <c r="Y26" s="59" t="s">
        <v>156</v>
      </c>
      <c r="Z26" s="60">
        <v>3000</v>
      </c>
      <c r="AA26" s="25"/>
      <c r="AB26" s="25"/>
    </row>
    <row r="27" spans="2:28">
      <c r="B27" s="40">
        <v>0.43402777777777773</v>
      </c>
      <c r="C27" s="40" t="s">
        <v>595</v>
      </c>
      <c r="D27" s="41">
        <v>1</v>
      </c>
      <c r="E27" s="42">
        <v>3</v>
      </c>
      <c r="F27" s="42" t="s">
        <v>394</v>
      </c>
      <c r="G27" s="43" t="s">
        <v>154</v>
      </c>
      <c r="H27" s="42" t="s">
        <v>155</v>
      </c>
      <c r="I27" s="43">
        <v>1</v>
      </c>
      <c r="J27" s="43">
        <v>1</v>
      </c>
      <c r="K27" s="25" t="str">
        <f>VLOOKUP(J27,Key!$E$2:$F$9,2,FALSE)</f>
        <v>Home</v>
      </c>
      <c r="L27" s="42" t="s">
        <v>159</v>
      </c>
      <c r="M27" s="43" t="s">
        <v>159</v>
      </c>
      <c r="N27" s="42" t="s">
        <v>155</v>
      </c>
      <c r="O27" s="43">
        <v>5</v>
      </c>
      <c r="P27" s="43">
        <v>7</v>
      </c>
      <c r="Q27" s="25" t="str">
        <f>VLOOKUP(P27,Key!$E$2:$F$9,2,FALSE)</f>
        <v>Hospital</v>
      </c>
      <c r="R27" s="25" t="str">
        <f t="shared" si="0"/>
        <v>Home-Hospital</v>
      </c>
      <c r="S27" s="58">
        <v>1.5</v>
      </c>
      <c r="T27" s="58">
        <v>0.1</v>
      </c>
      <c r="U27" s="43">
        <v>1</v>
      </c>
      <c r="V27" s="43"/>
      <c r="W27" s="58"/>
      <c r="X27" s="58"/>
      <c r="Y27" s="59" t="s">
        <v>156</v>
      </c>
      <c r="Z27" s="60">
        <v>2000</v>
      </c>
      <c r="AA27" s="25"/>
      <c r="AB27" s="25"/>
    </row>
    <row r="28" spans="2:28">
      <c r="B28" s="40">
        <v>0.44027777777777777</v>
      </c>
      <c r="C28" s="40" t="s">
        <v>596</v>
      </c>
      <c r="D28" s="41">
        <v>2</v>
      </c>
      <c r="E28" s="42">
        <v>1</v>
      </c>
      <c r="F28" s="42" t="s">
        <v>168</v>
      </c>
      <c r="G28" s="43" t="s">
        <v>154</v>
      </c>
      <c r="H28" s="42" t="s">
        <v>155</v>
      </c>
      <c r="I28" s="43">
        <v>1</v>
      </c>
      <c r="J28" s="43">
        <v>1</v>
      </c>
      <c r="K28" s="25" t="str">
        <f>VLOOKUP(J28,Key!$E$2:$F$9,2,FALSE)</f>
        <v>Home</v>
      </c>
      <c r="L28" s="42" t="s">
        <v>184</v>
      </c>
      <c r="M28" s="43" t="s">
        <v>154</v>
      </c>
      <c r="N28" s="42" t="s">
        <v>155</v>
      </c>
      <c r="O28" s="43">
        <v>7</v>
      </c>
      <c r="P28" s="43">
        <v>4</v>
      </c>
      <c r="Q28" s="25" t="str">
        <f>VLOOKUP(P28,Key!$E$2:$F$9,2,FALSE)</f>
        <v>Commercial</v>
      </c>
      <c r="R28" s="25" t="str">
        <f t="shared" si="0"/>
        <v>Home-Commercial</v>
      </c>
      <c r="S28" s="58">
        <v>5</v>
      </c>
      <c r="T28" s="58">
        <v>0.1</v>
      </c>
      <c r="U28" s="43">
        <v>1</v>
      </c>
      <c r="V28" s="43"/>
      <c r="W28" s="58"/>
      <c r="X28" s="58"/>
      <c r="Y28" s="59" t="s">
        <v>156</v>
      </c>
      <c r="Z28" s="60">
        <v>1000</v>
      </c>
      <c r="AA28" s="25"/>
      <c r="AB28" s="25"/>
    </row>
    <row r="29" spans="2:28">
      <c r="B29" s="40">
        <v>0.44305555555555554</v>
      </c>
      <c r="C29" s="40" t="s">
        <v>597</v>
      </c>
      <c r="D29" s="41">
        <v>1</v>
      </c>
      <c r="E29" s="42">
        <v>2</v>
      </c>
      <c r="F29" s="42" t="s">
        <v>337</v>
      </c>
      <c r="G29" s="43" t="s">
        <v>154</v>
      </c>
      <c r="H29" s="42" t="s">
        <v>155</v>
      </c>
      <c r="I29" s="43">
        <v>1</v>
      </c>
      <c r="J29" s="43">
        <v>4</v>
      </c>
      <c r="K29" s="25" t="str">
        <f>VLOOKUP(J29,Key!$E$2:$F$9,2,FALSE)</f>
        <v>Commercial</v>
      </c>
      <c r="L29" s="42" t="s">
        <v>564</v>
      </c>
      <c r="M29" s="43" t="s">
        <v>154</v>
      </c>
      <c r="N29" s="42" t="s">
        <v>155</v>
      </c>
      <c r="O29" s="43">
        <v>7</v>
      </c>
      <c r="P29" s="43">
        <v>4</v>
      </c>
      <c r="Q29" s="25" t="str">
        <f>VLOOKUP(P29,Key!$E$2:$F$9,2,FALSE)</f>
        <v>Commercial</v>
      </c>
      <c r="R29" s="25" t="str">
        <f t="shared" si="0"/>
        <v>Commercial-Commercial</v>
      </c>
      <c r="S29" s="58"/>
      <c r="T29" s="58">
        <v>0.3</v>
      </c>
      <c r="U29" s="43">
        <v>1</v>
      </c>
      <c r="V29" s="43"/>
      <c r="W29" s="58"/>
      <c r="X29" s="58"/>
      <c r="Y29" s="59" t="s">
        <v>156</v>
      </c>
      <c r="Z29" s="60">
        <v>1000</v>
      </c>
      <c r="AA29" s="25"/>
      <c r="AB29" s="25"/>
    </row>
    <row r="30" spans="2:28">
      <c r="B30" s="40">
        <v>0.44722222222222219</v>
      </c>
      <c r="C30" s="40" t="s">
        <v>598</v>
      </c>
      <c r="D30" s="41">
        <v>1</v>
      </c>
      <c r="E30" s="42">
        <v>2</v>
      </c>
      <c r="F30" s="42" t="s">
        <v>391</v>
      </c>
      <c r="G30" s="43" t="s">
        <v>154</v>
      </c>
      <c r="H30" s="42" t="s">
        <v>155</v>
      </c>
      <c r="I30" s="43">
        <v>1</v>
      </c>
      <c r="J30" s="43">
        <v>4</v>
      </c>
      <c r="K30" s="25" t="str">
        <f>VLOOKUP(J30,Key!$E$2:$F$9,2,FALSE)</f>
        <v>Commercial</v>
      </c>
      <c r="L30" s="42" t="s">
        <v>564</v>
      </c>
      <c r="M30" s="43" t="s">
        <v>154</v>
      </c>
      <c r="N30" s="42" t="s">
        <v>155</v>
      </c>
      <c r="O30" s="43">
        <v>7</v>
      </c>
      <c r="P30" s="43">
        <v>4</v>
      </c>
      <c r="Q30" s="25" t="str">
        <f>VLOOKUP(P30,Key!$E$2:$F$9,2,FALSE)</f>
        <v>Commercial</v>
      </c>
      <c r="R30" s="25" t="str">
        <f t="shared" si="0"/>
        <v>Commercial-Commercial</v>
      </c>
      <c r="S30" s="58">
        <v>10</v>
      </c>
      <c r="T30" s="58">
        <v>0.3</v>
      </c>
      <c r="U30" s="43">
        <v>4</v>
      </c>
      <c r="V30" s="43"/>
      <c r="W30" s="58"/>
      <c r="X30" s="58"/>
      <c r="Y30" s="59" t="s">
        <v>156</v>
      </c>
      <c r="Z30" s="60">
        <v>1000</v>
      </c>
      <c r="AA30" s="25"/>
      <c r="AB30" s="25"/>
    </row>
    <row r="31" spans="2:28">
      <c r="B31" s="40">
        <v>0.50763888888888886</v>
      </c>
      <c r="C31" s="40" t="s">
        <v>599</v>
      </c>
      <c r="D31" s="41">
        <v>1</v>
      </c>
      <c r="E31" s="42">
        <v>1</v>
      </c>
      <c r="F31" s="42" t="s">
        <v>245</v>
      </c>
      <c r="G31" s="43" t="s">
        <v>154</v>
      </c>
      <c r="H31" s="42" t="s">
        <v>155</v>
      </c>
      <c r="I31" s="43">
        <v>1</v>
      </c>
      <c r="J31" s="43">
        <v>2</v>
      </c>
      <c r="K31" s="25" t="str">
        <f>VLOOKUP(J31,Key!$E$2:$F$9,2,FALSE)</f>
        <v>Work</v>
      </c>
      <c r="L31" s="42" t="s">
        <v>564</v>
      </c>
      <c r="M31" s="43" t="s">
        <v>154</v>
      </c>
      <c r="N31" s="42" t="s">
        <v>155</v>
      </c>
      <c r="O31" s="43">
        <v>2</v>
      </c>
      <c r="P31" s="43">
        <v>2</v>
      </c>
      <c r="Q31" s="25" t="str">
        <f>VLOOKUP(P31,Key!$E$2:$F$9,2,FALSE)</f>
        <v>Work</v>
      </c>
      <c r="R31" s="25" t="str">
        <f t="shared" si="0"/>
        <v>Work-Work</v>
      </c>
      <c r="S31" s="58">
        <v>25</v>
      </c>
      <c r="T31" s="58">
        <v>0.1</v>
      </c>
      <c r="U31" s="43">
        <v>1</v>
      </c>
      <c r="V31" s="43"/>
      <c r="W31" s="58"/>
      <c r="X31" s="58"/>
      <c r="Y31" s="59" t="s">
        <v>156</v>
      </c>
      <c r="Z31" s="60">
        <v>1000</v>
      </c>
      <c r="AA31" s="25"/>
      <c r="AB31" s="25"/>
    </row>
    <row r="32" spans="2:28">
      <c r="B32" s="40">
        <v>0.50416666666666665</v>
      </c>
      <c r="C32" s="40" t="s">
        <v>600</v>
      </c>
      <c r="D32" s="41">
        <v>1</v>
      </c>
      <c r="E32" s="42">
        <v>3</v>
      </c>
      <c r="F32" s="42" t="s">
        <v>245</v>
      </c>
      <c r="G32" s="43" t="s">
        <v>154</v>
      </c>
      <c r="H32" s="42" t="s">
        <v>155</v>
      </c>
      <c r="I32" s="43">
        <v>1</v>
      </c>
      <c r="J32" s="43">
        <v>3</v>
      </c>
      <c r="K32" s="25" t="str">
        <f>VLOOKUP(J32,Key!$E$2:$F$9,2,FALSE)</f>
        <v>Study</v>
      </c>
      <c r="L32" s="42" t="s">
        <v>601</v>
      </c>
      <c r="M32" s="43" t="s">
        <v>159</v>
      </c>
      <c r="N32" s="42" t="s">
        <v>155</v>
      </c>
      <c r="O32" s="43">
        <v>4</v>
      </c>
      <c r="P32" s="43">
        <v>3</v>
      </c>
      <c r="Q32" s="25" t="str">
        <f>VLOOKUP(P32,Key!$E$2:$F$9,2,FALSE)</f>
        <v>Study</v>
      </c>
      <c r="R32" s="25" t="str">
        <f t="shared" si="0"/>
        <v>Study-Study</v>
      </c>
      <c r="S32" s="58">
        <v>3</v>
      </c>
      <c r="T32" s="58">
        <v>0.1</v>
      </c>
      <c r="U32" s="43">
        <v>1</v>
      </c>
      <c r="V32" s="43"/>
      <c r="W32" s="58"/>
      <c r="X32" s="58"/>
      <c r="Y32" s="59" t="s">
        <v>156</v>
      </c>
      <c r="Z32" s="60">
        <v>1000</v>
      </c>
      <c r="AA32" s="25"/>
      <c r="AB32" s="25"/>
    </row>
    <row r="33" spans="2:28">
      <c r="B33" s="40">
        <v>0.4548611111111111</v>
      </c>
      <c r="C33" s="40" t="s">
        <v>602</v>
      </c>
      <c r="D33" s="41">
        <v>1</v>
      </c>
      <c r="E33" s="42">
        <v>1</v>
      </c>
      <c r="F33" s="42" t="s">
        <v>391</v>
      </c>
      <c r="G33" s="43" t="s">
        <v>154</v>
      </c>
      <c r="H33" s="42" t="s">
        <v>155</v>
      </c>
      <c r="I33" s="43">
        <v>1</v>
      </c>
      <c r="J33" s="43">
        <v>4</v>
      </c>
      <c r="K33" s="25" t="str">
        <f>VLOOKUP(J33,Key!$E$2:$F$9,2,FALSE)</f>
        <v>Commercial</v>
      </c>
      <c r="L33" s="42" t="s">
        <v>159</v>
      </c>
      <c r="M33" s="43" t="s">
        <v>159</v>
      </c>
      <c r="N33" s="42" t="s">
        <v>155</v>
      </c>
      <c r="O33" s="43">
        <v>7</v>
      </c>
      <c r="P33" s="43">
        <v>4</v>
      </c>
      <c r="Q33" s="25" t="str">
        <f>VLOOKUP(P33,Key!$E$2:$F$9,2,FALSE)</f>
        <v>Commercial</v>
      </c>
      <c r="R33" s="25" t="str">
        <f t="shared" si="0"/>
        <v>Commercial-Commercial</v>
      </c>
      <c r="S33" s="58">
        <v>3</v>
      </c>
      <c r="T33" s="58">
        <v>0.2</v>
      </c>
      <c r="U33" s="43">
        <v>1</v>
      </c>
      <c r="V33" s="43"/>
      <c r="W33" s="58"/>
      <c r="X33" s="58"/>
      <c r="Y33" s="59" t="s">
        <v>156</v>
      </c>
      <c r="Z33" s="60">
        <v>1000</v>
      </c>
      <c r="AA33" s="25"/>
      <c r="AB33" s="25"/>
    </row>
    <row r="34" spans="2:28">
      <c r="B34" s="40">
        <v>0.45347222222222222</v>
      </c>
      <c r="C34" s="40" t="s">
        <v>603</v>
      </c>
      <c r="D34" s="41">
        <v>7</v>
      </c>
      <c r="E34" s="42">
        <v>1</v>
      </c>
      <c r="F34" s="42" t="s">
        <v>604</v>
      </c>
      <c r="G34" s="43" t="s">
        <v>159</v>
      </c>
      <c r="H34" s="42" t="s">
        <v>155</v>
      </c>
      <c r="I34" s="43">
        <v>1</v>
      </c>
      <c r="J34" s="43">
        <v>2</v>
      </c>
      <c r="K34" s="25" t="str">
        <f>VLOOKUP(J34,Key!$E$2:$F$9,2,FALSE)</f>
        <v>Work</v>
      </c>
      <c r="L34" s="42" t="s">
        <v>605</v>
      </c>
      <c r="M34" s="43" t="s">
        <v>159</v>
      </c>
      <c r="N34" s="42" t="s">
        <v>155</v>
      </c>
      <c r="O34" s="43">
        <v>2</v>
      </c>
      <c r="P34" s="43">
        <v>2</v>
      </c>
      <c r="Q34" s="25" t="str">
        <f>VLOOKUP(P34,Key!$E$2:$F$9,2,FALSE)</f>
        <v>Work</v>
      </c>
      <c r="R34" s="25" t="str">
        <f t="shared" si="0"/>
        <v>Work-Work</v>
      </c>
      <c r="S34" s="58">
        <v>12</v>
      </c>
      <c r="T34" s="58">
        <v>3</v>
      </c>
      <c r="U34" s="43">
        <v>6</v>
      </c>
      <c r="V34" s="43">
        <v>11</v>
      </c>
      <c r="W34" s="58"/>
      <c r="X34" s="58"/>
      <c r="Y34" s="59" t="s">
        <v>156</v>
      </c>
      <c r="Z34" s="60">
        <v>2000</v>
      </c>
      <c r="AA34" s="25"/>
      <c r="AB34" s="25"/>
    </row>
    <row r="35" spans="2:28">
      <c r="B35" s="40">
        <v>0.4597222222222222</v>
      </c>
      <c r="C35" s="40" t="s">
        <v>606</v>
      </c>
      <c r="D35" s="41">
        <v>1</v>
      </c>
      <c r="E35" s="42">
        <v>2</v>
      </c>
      <c r="F35" s="42" t="s">
        <v>391</v>
      </c>
      <c r="G35" s="43" t="s">
        <v>154</v>
      </c>
      <c r="H35" s="42" t="s">
        <v>155</v>
      </c>
      <c r="I35" s="43">
        <v>1</v>
      </c>
      <c r="J35" s="43">
        <v>2</v>
      </c>
      <c r="K35" s="25" t="str">
        <f>VLOOKUP(J35,Key!$E$2:$F$9,2,FALSE)</f>
        <v>Work</v>
      </c>
      <c r="L35" s="42" t="s">
        <v>159</v>
      </c>
      <c r="M35" s="43" t="s">
        <v>159</v>
      </c>
      <c r="N35" s="42" t="s">
        <v>155</v>
      </c>
      <c r="O35" s="43">
        <v>2</v>
      </c>
      <c r="P35" s="43">
        <v>2</v>
      </c>
      <c r="Q35" s="25" t="str">
        <f>VLOOKUP(P35,Key!$E$2:$F$9,2,FALSE)</f>
        <v>Work</v>
      </c>
      <c r="R35" s="25" t="str">
        <f t="shared" si="0"/>
        <v>Work-Work</v>
      </c>
      <c r="S35" s="58">
        <v>4</v>
      </c>
      <c r="T35" s="58">
        <v>1</v>
      </c>
      <c r="U35" s="43">
        <v>1</v>
      </c>
      <c r="V35" s="43"/>
      <c r="W35" s="58"/>
      <c r="X35" s="58"/>
      <c r="Y35" s="59" t="s">
        <v>156</v>
      </c>
      <c r="Z35" s="60">
        <v>1000</v>
      </c>
      <c r="AA35" s="25"/>
      <c r="AB35" s="25"/>
    </row>
    <row r="36" spans="2:28">
      <c r="B36" s="40">
        <v>0.46180555555555558</v>
      </c>
      <c r="C36" s="40" t="s">
        <v>607</v>
      </c>
      <c r="D36" s="41">
        <v>1</v>
      </c>
      <c r="E36" s="42">
        <v>1</v>
      </c>
      <c r="F36" s="42" t="s">
        <v>168</v>
      </c>
      <c r="G36" s="43" t="s">
        <v>154</v>
      </c>
      <c r="H36" s="42" t="s">
        <v>155</v>
      </c>
      <c r="I36" s="43">
        <v>1</v>
      </c>
      <c r="J36" s="43">
        <v>2</v>
      </c>
      <c r="K36" s="25" t="str">
        <f>VLOOKUP(J36,Key!$E$2:$F$9,2,FALSE)</f>
        <v>Work</v>
      </c>
      <c r="L36" s="42" t="s">
        <v>159</v>
      </c>
      <c r="M36" s="43" t="s">
        <v>159</v>
      </c>
      <c r="N36" s="42" t="s">
        <v>155</v>
      </c>
      <c r="O36" s="43">
        <v>2</v>
      </c>
      <c r="P36" s="43">
        <v>2</v>
      </c>
      <c r="Q36" s="25" t="str">
        <f>VLOOKUP(P36,Key!$E$2:$F$9,2,FALSE)</f>
        <v>Work</v>
      </c>
      <c r="R36" s="25" t="str">
        <f t="shared" si="0"/>
        <v>Work-Work</v>
      </c>
      <c r="S36" s="58">
        <v>2</v>
      </c>
      <c r="T36" s="58">
        <v>0.1</v>
      </c>
      <c r="U36" s="43">
        <v>1</v>
      </c>
      <c r="V36" s="43"/>
      <c r="W36" s="58"/>
      <c r="X36" s="58"/>
      <c r="Y36" s="59" t="s">
        <v>156</v>
      </c>
      <c r="Z36" s="60">
        <v>1000</v>
      </c>
      <c r="AA36" s="25"/>
      <c r="AB36" s="25"/>
    </row>
    <row r="37" spans="2:28">
      <c r="B37" s="40">
        <v>0.49652777777777773</v>
      </c>
      <c r="C37" s="40" t="s">
        <v>608</v>
      </c>
      <c r="D37" s="41">
        <v>1</v>
      </c>
      <c r="E37" s="42">
        <v>3</v>
      </c>
      <c r="F37" s="42" t="s">
        <v>168</v>
      </c>
      <c r="G37" s="43" t="s">
        <v>154</v>
      </c>
      <c r="H37" s="42" t="s">
        <v>155</v>
      </c>
      <c r="I37" s="43">
        <v>1</v>
      </c>
      <c r="J37" s="43">
        <v>1</v>
      </c>
      <c r="K37" s="25" t="str">
        <f>VLOOKUP(J37,Key!$E$2:$F$9,2,FALSE)</f>
        <v>Home</v>
      </c>
      <c r="L37" s="42" t="s">
        <v>159</v>
      </c>
      <c r="M37" s="43" t="s">
        <v>159</v>
      </c>
      <c r="N37" s="42" t="s">
        <v>155</v>
      </c>
      <c r="O37" s="43">
        <v>2</v>
      </c>
      <c r="P37" s="43">
        <v>2</v>
      </c>
      <c r="Q37" s="25" t="str">
        <f>VLOOKUP(P37,Key!$E$2:$F$9,2,FALSE)</f>
        <v>Work</v>
      </c>
      <c r="R37" s="25" t="str">
        <f t="shared" si="0"/>
        <v>Home-Work</v>
      </c>
      <c r="S37" s="58">
        <v>2</v>
      </c>
      <c r="T37" s="58">
        <v>0.2</v>
      </c>
      <c r="U37" s="43">
        <v>2</v>
      </c>
      <c r="V37" s="43"/>
      <c r="W37" s="58"/>
      <c r="X37" s="58"/>
      <c r="Y37" s="59" t="s">
        <v>156</v>
      </c>
      <c r="Z37" s="60">
        <v>2000</v>
      </c>
      <c r="AA37" s="25"/>
      <c r="AB37" s="25"/>
    </row>
    <row r="38" spans="2:28">
      <c r="B38" s="40">
        <v>0.49583333333333335</v>
      </c>
      <c r="C38" s="40" t="s">
        <v>609</v>
      </c>
      <c r="D38" s="41">
        <v>1</v>
      </c>
      <c r="E38" s="42">
        <v>1</v>
      </c>
      <c r="F38" s="42" t="s">
        <v>168</v>
      </c>
      <c r="G38" s="43" t="s">
        <v>154</v>
      </c>
      <c r="H38" s="42" t="s">
        <v>155</v>
      </c>
      <c r="I38" s="43">
        <v>1</v>
      </c>
      <c r="J38" s="43">
        <v>1</v>
      </c>
      <c r="K38" s="25" t="str">
        <f>VLOOKUP(J38,Key!$E$2:$F$9,2,FALSE)</f>
        <v>Home</v>
      </c>
      <c r="L38" s="42" t="s">
        <v>610</v>
      </c>
      <c r="M38" s="43" t="s">
        <v>159</v>
      </c>
      <c r="N38" s="42" t="s">
        <v>155</v>
      </c>
      <c r="O38" s="43">
        <v>10</v>
      </c>
      <c r="P38" s="43">
        <v>4</v>
      </c>
      <c r="Q38" s="25" t="str">
        <f>VLOOKUP(P38,Key!$E$2:$F$9,2,FALSE)</f>
        <v>Commercial</v>
      </c>
      <c r="R38" s="25" t="str">
        <f t="shared" ref="R38:R101" si="1">K38&amp;"-"&amp;Q38</f>
        <v>Home-Commercial</v>
      </c>
      <c r="S38" s="58">
        <v>2</v>
      </c>
      <c r="T38" s="58">
        <v>0.1</v>
      </c>
      <c r="U38" s="43">
        <v>1</v>
      </c>
      <c r="V38" s="43"/>
      <c r="W38" s="58"/>
      <c r="X38" s="58"/>
      <c r="Y38" s="59" t="s">
        <v>156</v>
      </c>
      <c r="Z38" s="60">
        <v>1500</v>
      </c>
      <c r="AA38" s="25"/>
      <c r="AB38" s="25"/>
    </row>
    <row r="39" spans="2:28">
      <c r="B39" s="40">
        <v>0.4993055555555555</v>
      </c>
      <c r="C39" s="40" t="s">
        <v>611</v>
      </c>
      <c r="D39" s="41">
        <v>4</v>
      </c>
      <c r="E39" s="42">
        <v>6</v>
      </c>
      <c r="F39" s="42" t="s">
        <v>245</v>
      </c>
      <c r="G39" s="43" t="s">
        <v>154</v>
      </c>
      <c r="H39" s="42" t="s">
        <v>155</v>
      </c>
      <c r="I39" s="43">
        <v>1</v>
      </c>
      <c r="J39" s="43">
        <v>7</v>
      </c>
      <c r="K39" s="25" t="str">
        <f>VLOOKUP(J39,Key!$E$2:$F$9,2,FALSE)</f>
        <v>Hospital</v>
      </c>
      <c r="L39" s="42" t="s">
        <v>564</v>
      </c>
      <c r="M39" s="43" t="s">
        <v>154</v>
      </c>
      <c r="N39" s="42" t="s">
        <v>155</v>
      </c>
      <c r="O39" s="43">
        <v>5</v>
      </c>
      <c r="P39" s="43">
        <v>7</v>
      </c>
      <c r="Q39" s="25" t="str">
        <f>VLOOKUP(P39,Key!$E$2:$F$9,2,FALSE)</f>
        <v>Hospital</v>
      </c>
      <c r="R39" s="25" t="str">
        <f t="shared" si="1"/>
        <v>Hospital-Hospital</v>
      </c>
      <c r="S39" s="58">
        <v>5</v>
      </c>
      <c r="T39" s="58">
        <v>0.1</v>
      </c>
      <c r="U39" s="43">
        <v>1</v>
      </c>
      <c r="V39" s="43"/>
      <c r="W39" s="58"/>
      <c r="X39" s="58"/>
      <c r="Y39" s="59" t="s">
        <v>156</v>
      </c>
      <c r="Z39" s="60">
        <v>2000</v>
      </c>
      <c r="AA39" s="25"/>
      <c r="AB39" s="25"/>
    </row>
    <row r="40" spans="2:28">
      <c r="B40" s="40">
        <v>0.49791666666666662</v>
      </c>
      <c r="C40" s="40" t="s">
        <v>612</v>
      </c>
      <c r="D40" s="41">
        <v>1</v>
      </c>
      <c r="E40" s="42">
        <v>3</v>
      </c>
      <c r="F40" s="42" t="s">
        <v>391</v>
      </c>
      <c r="G40" s="43" t="s">
        <v>154</v>
      </c>
      <c r="H40" s="42" t="s">
        <v>155</v>
      </c>
      <c r="I40" s="43">
        <v>1</v>
      </c>
      <c r="J40" s="43">
        <v>6</v>
      </c>
      <c r="K40" s="25" t="str">
        <f>VLOOKUP(J40,Key!$E$2:$F$9,2,FALSE)</f>
        <v>Leisure/Social</v>
      </c>
      <c r="L40" s="42" t="s">
        <v>613</v>
      </c>
      <c r="M40" s="43" t="s">
        <v>154</v>
      </c>
      <c r="N40" s="42" t="s">
        <v>155</v>
      </c>
      <c r="O40" s="43">
        <v>1</v>
      </c>
      <c r="P40" s="43">
        <v>6</v>
      </c>
      <c r="Q40" s="25" t="str">
        <f>VLOOKUP(P40,Key!$E$2:$F$9,2,FALSE)</f>
        <v>Leisure/Social</v>
      </c>
      <c r="R40" s="25" t="str">
        <f t="shared" si="1"/>
        <v>Leisure/Social-Leisure/Social</v>
      </c>
      <c r="S40" s="58">
        <v>2</v>
      </c>
      <c r="T40" s="58">
        <v>0.1</v>
      </c>
      <c r="U40" s="43">
        <v>1</v>
      </c>
      <c r="V40" s="43"/>
      <c r="W40" s="58"/>
      <c r="X40" s="58"/>
      <c r="Y40" s="59" t="s">
        <v>156</v>
      </c>
      <c r="Z40" s="60">
        <v>1000</v>
      </c>
      <c r="AA40" s="25"/>
      <c r="AB40" s="25"/>
    </row>
    <row r="41" spans="2:28">
      <c r="B41" s="40">
        <v>0.46597222222222223</v>
      </c>
      <c r="C41" s="40" t="s">
        <v>614</v>
      </c>
      <c r="D41" s="41">
        <v>1</v>
      </c>
      <c r="E41" s="42">
        <v>1</v>
      </c>
      <c r="F41" s="42" t="s">
        <v>245</v>
      </c>
      <c r="G41" s="43" t="s">
        <v>154</v>
      </c>
      <c r="H41" s="42" t="s">
        <v>155</v>
      </c>
      <c r="I41" s="43">
        <v>1</v>
      </c>
      <c r="J41" s="43">
        <v>7</v>
      </c>
      <c r="K41" s="25" t="str">
        <f>VLOOKUP(J41,Key!$E$2:$F$9,2,FALSE)</f>
        <v>Hospital</v>
      </c>
      <c r="L41" s="42" t="s">
        <v>615</v>
      </c>
      <c r="M41" s="43" t="s">
        <v>163</v>
      </c>
      <c r="N41" s="42" t="s">
        <v>155</v>
      </c>
      <c r="O41" s="43">
        <v>5</v>
      </c>
      <c r="P41" s="43">
        <v>7</v>
      </c>
      <c r="Q41" s="25" t="str">
        <f>VLOOKUP(P41,Key!$E$2:$F$9,2,FALSE)</f>
        <v>Hospital</v>
      </c>
      <c r="R41" s="25" t="str">
        <f t="shared" si="1"/>
        <v>Hospital-Hospital</v>
      </c>
      <c r="S41" s="58">
        <v>5</v>
      </c>
      <c r="T41" s="58">
        <v>0.3</v>
      </c>
      <c r="U41" s="43">
        <v>6</v>
      </c>
      <c r="V41" s="43"/>
      <c r="W41" s="58"/>
      <c r="X41" s="58"/>
      <c r="Y41" s="59" t="s">
        <v>156</v>
      </c>
      <c r="Z41" s="60">
        <v>2000</v>
      </c>
      <c r="AA41" s="25"/>
      <c r="AB41" s="25"/>
    </row>
    <row r="42" spans="2:28">
      <c r="B42" s="40">
        <v>0.47291666666666665</v>
      </c>
      <c r="C42" s="40" t="s">
        <v>616</v>
      </c>
      <c r="D42" s="41">
        <v>8</v>
      </c>
      <c r="E42" s="42">
        <v>1</v>
      </c>
      <c r="F42" s="42" t="s">
        <v>168</v>
      </c>
      <c r="G42" s="43" t="s">
        <v>154</v>
      </c>
      <c r="H42" s="42" t="s">
        <v>155</v>
      </c>
      <c r="I42" s="43">
        <v>1</v>
      </c>
      <c r="J42" s="43">
        <v>2</v>
      </c>
      <c r="K42" s="25" t="str">
        <f>VLOOKUP(J42,Key!$E$2:$F$9,2,FALSE)</f>
        <v>Work</v>
      </c>
      <c r="L42" s="42" t="s">
        <v>564</v>
      </c>
      <c r="M42" s="43" t="s">
        <v>154</v>
      </c>
      <c r="N42" s="42" t="s">
        <v>155</v>
      </c>
      <c r="O42" s="43">
        <v>3</v>
      </c>
      <c r="P42" s="43">
        <v>3</v>
      </c>
      <c r="Q42" s="25" t="str">
        <f>VLOOKUP(P42,Key!$E$2:$F$9,2,FALSE)</f>
        <v>Study</v>
      </c>
      <c r="R42" s="25" t="str">
        <f t="shared" si="1"/>
        <v>Work-Study</v>
      </c>
      <c r="S42" s="58"/>
      <c r="T42" s="58">
        <v>2</v>
      </c>
      <c r="U42" s="43">
        <v>1</v>
      </c>
      <c r="V42" s="43">
        <v>11</v>
      </c>
      <c r="W42" s="58"/>
      <c r="X42" s="58"/>
      <c r="Y42" s="59" t="s">
        <v>156</v>
      </c>
      <c r="Z42" s="60">
        <v>15000</v>
      </c>
      <c r="AA42" s="25"/>
      <c r="AB42" s="25"/>
    </row>
    <row r="43" spans="2:28">
      <c r="B43" s="40">
        <v>0.41875000000000001</v>
      </c>
      <c r="C43" s="40" t="s">
        <v>617</v>
      </c>
      <c r="D43" s="41">
        <v>1</v>
      </c>
      <c r="E43" s="42">
        <v>2</v>
      </c>
      <c r="F43" s="42" t="s">
        <v>618</v>
      </c>
      <c r="G43" s="43" t="s">
        <v>154</v>
      </c>
      <c r="H43" s="42" t="s">
        <v>155</v>
      </c>
      <c r="I43" s="43">
        <v>9</v>
      </c>
      <c r="J43" s="43">
        <v>2</v>
      </c>
      <c r="K43" s="25" t="str">
        <f>VLOOKUP(J43,Key!$E$2:$F$9,2,FALSE)</f>
        <v>Work</v>
      </c>
      <c r="L43" s="42" t="s">
        <v>605</v>
      </c>
      <c r="M43" s="43" t="s">
        <v>159</v>
      </c>
      <c r="N43" s="42" t="s">
        <v>155</v>
      </c>
      <c r="O43" s="43">
        <v>2</v>
      </c>
      <c r="P43" s="43">
        <v>2</v>
      </c>
      <c r="Q43" s="25" t="str">
        <f>VLOOKUP(P43,Key!$E$2:$F$9,2,FALSE)</f>
        <v>Work</v>
      </c>
      <c r="R43" s="25" t="str">
        <f t="shared" si="1"/>
        <v>Work-Work</v>
      </c>
      <c r="S43" s="58">
        <v>7</v>
      </c>
      <c r="T43" s="58">
        <v>0.1</v>
      </c>
      <c r="U43" s="43">
        <v>1</v>
      </c>
      <c r="V43" s="43"/>
      <c r="W43" s="58"/>
      <c r="X43" s="58"/>
      <c r="Y43" s="59" t="s">
        <v>156</v>
      </c>
      <c r="Z43" s="60">
        <v>1000</v>
      </c>
      <c r="AA43" s="25"/>
      <c r="AB43" s="25"/>
    </row>
    <row r="44" spans="2:28">
      <c r="B44" s="40">
        <v>0.42222222222222222</v>
      </c>
      <c r="C44" s="40" t="s">
        <v>619</v>
      </c>
      <c r="D44" s="41">
        <v>1</v>
      </c>
      <c r="E44" s="42">
        <v>1</v>
      </c>
      <c r="F44" s="42" t="s">
        <v>337</v>
      </c>
      <c r="G44" s="43" t="s">
        <v>154</v>
      </c>
      <c r="H44" s="42" t="s">
        <v>155</v>
      </c>
      <c r="I44" s="43">
        <v>1</v>
      </c>
      <c r="J44" s="43">
        <v>2</v>
      </c>
      <c r="K44" s="25" t="str">
        <f>VLOOKUP(J44,Key!$E$2:$F$9,2,FALSE)</f>
        <v>Work</v>
      </c>
      <c r="L44" s="42" t="s">
        <v>199</v>
      </c>
      <c r="M44" s="43" t="s">
        <v>159</v>
      </c>
      <c r="N44" s="42" t="s">
        <v>155</v>
      </c>
      <c r="O44" s="43">
        <v>2</v>
      </c>
      <c r="P44" s="43">
        <v>2</v>
      </c>
      <c r="Q44" s="25" t="str">
        <f>VLOOKUP(P44,Key!$E$2:$F$9,2,FALSE)</f>
        <v>Work</v>
      </c>
      <c r="R44" s="25" t="str">
        <f t="shared" si="1"/>
        <v>Work-Work</v>
      </c>
      <c r="S44" s="58">
        <v>2</v>
      </c>
      <c r="T44" s="58">
        <v>0.1</v>
      </c>
      <c r="U44" s="43">
        <v>6</v>
      </c>
      <c r="V44" s="43"/>
      <c r="W44" s="58"/>
      <c r="X44" s="58"/>
      <c r="Y44" s="59" t="s">
        <v>156</v>
      </c>
      <c r="Z44" s="60">
        <v>1000</v>
      </c>
      <c r="AA44" s="25"/>
      <c r="AB44" s="25"/>
    </row>
    <row r="45" spans="2:28">
      <c r="B45" s="40">
        <v>0.46875</v>
      </c>
      <c r="C45" s="40" t="s">
        <v>620</v>
      </c>
      <c r="D45" s="41">
        <v>11</v>
      </c>
      <c r="E45" s="42">
        <v>2</v>
      </c>
      <c r="F45" s="42" t="s">
        <v>245</v>
      </c>
      <c r="G45" s="43" t="s">
        <v>154</v>
      </c>
      <c r="H45" s="42" t="s">
        <v>155</v>
      </c>
      <c r="I45" s="43">
        <v>1</v>
      </c>
      <c r="J45" s="43">
        <v>1</v>
      </c>
      <c r="K45" s="25" t="str">
        <f>VLOOKUP(J45,Key!$E$2:$F$9,2,FALSE)</f>
        <v>Home</v>
      </c>
      <c r="L45" s="42" t="s">
        <v>564</v>
      </c>
      <c r="M45" s="43" t="s">
        <v>154</v>
      </c>
      <c r="N45" s="42" t="s">
        <v>155</v>
      </c>
      <c r="O45" s="43">
        <v>2</v>
      </c>
      <c r="P45" s="43">
        <v>2</v>
      </c>
      <c r="Q45" s="25" t="str">
        <f>VLOOKUP(P45,Key!$E$2:$F$9,2,FALSE)</f>
        <v>Work</v>
      </c>
      <c r="R45" s="25" t="str">
        <f t="shared" si="1"/>
        <v>Home-Work</v>
      </c>
      <c r="S45" s="58">
        <v>12</v>
      </c>
      <c r="T45" s="58">
        <v>0.1</v>
      </c>
      <c r="U45" s="43">
        <v>2</v>
      </c>
      <c r="V45" s="43"/>
      <c r="W45" s="58"/>
      <c r="X45" s="58"/>
      <c r="Y45" s="59" t="s">
        <v>156</v>
      </c>
      <c r="Z45" s="60">
        <v>1000</v>
      </c>
      <c r="AA45" s="25"/>
      <c r="AB45" s="25"/>
    </row>
    <row r="46" spans="2:28">
      <c r="B46" s="40">
        <v>0.47152777777777777</v>
      </c>
      <c r="C46" s="40" t="s">
        <v>621</v>
      </c>
      <c r="D46" s="41">
        <v>7</v>
      </c>
      <c r="E46" s="42">
        <v>1</v>
      </c>
      <c r="F46" s="42" t="s">
        <v>622</v>
      </c>
      <c r="G46" s="43" t="s">
        <v>154</v>
      </c>
      <c r="H46" s="42" t="s">
        <v>155</v>
      </c>
      <c r="I46" s="43">
        <v>1</v>
      </c>
      <c r="J46" s="43">
        <v>1</v>
      </c>
      <c r="K46" s="25" t="str">
        <f>VLOOKUP(J46,Key!$E$2:$F$9,2,FALSE)</f>
        <v>Home</v>
      </c>
      <c r="L46" s="42" t="s">
        <v>623</v>
      </c>
      <c r="M46" s="43" t="s">
        <v>154</v>
      </c>
      <c r="N46" s="42" t="s">
        <v>155</v>
      </c>
      <c r="O46" s="43">
        <v>2</v>
      </c>
      <c r="P46" s="43">
        <v>2</v>
      </c>
      <c r="Q46" s="25" t="str">
        <f>VLOOKUP(P46,Key!$E$2:$F$9,2,FALSE)</f>
        <v>Work</v>
      </c>
      <c r="R46" s="25" t="str">
        <f t="shared" si="1"/>
        <v>Home-Work</v>
      </c>
      <c r="S46" s="58"/>
      <c r="T46" s="58">
        <v>0.8</v>
      </c>
      <c r="U46" s="43">
        <v>6</v>
      </c>
      <c r="V46" s="43">
        <v>11</v>
      </c>
      <c r="W46" s="58"/>
      <c r="X46" s="58"/>
      <c r="Y46" s="59" t="s">
        <v>156</v>
      </c>
      <c r="Z46" s="60">
        <v>2000</v>
      </c>
      <c r="AA46" s="25"/>
      <c r="AB46" s="25"/>
    </row>
    <row r="47" spans="2:28">
      <c r="B47" s="40">
        <v>0.81388888888888899</v>
      </c>
      <c r="C47" s="40" t="s">
        <v>624</v>
      </c>
      <c r="D47" s="41">
        <v>1</v>
      </c>
      <c r="E47" s="42">
        <v>3</v>
      </c>
      <c r="F47" s="42" t="s">
        <v>168</v>
      </c>
      <c r="G47" s="43" t="s">
        <v>154</v>
      </c>
      <c r="H47" s="42" t="s">
        <v>155</v>
      </c>
      <c r="I47" s="43">
        <v>1</v>
      </c>
      <c r="J47" s="43">
        <v>1</v>
      </c>
      <c r="K47" s="25" t="str">
        <f>VLOOKUP(J47,Key!$E$2:$F$9,2,FALSE)</f>
        <v>Home</v>
      </c>
      <c r="L47" s="42" t="s">
        <v>199</v>
      </c>
      <c r="M47" s="43" t="s">
        <v>159</v>
      </c>
      <c r="N47" s="42" t="s">
        <v>155</v>
      </c>
      <c r="O47" s="43">
        <v>1</v>
      </c>
      <c r="P47" s="43">
        <v>6</v>
      </c>
      <c r="Q47" s="25" t="str">
        <f>VLOOKUP(P47,Key!$E$2:$F$9,2,FALSE)</f>
        <v>Leisure/Social</v>
      </c>
      <c r="R47" s="25" t="str">
        <f t="shared" si="1"/>
        <v>Home-Leisure/Social</v>
      </c>
      <c r="S47" s="58">
        <v>2</v>
      </c>
      <c r="T47" s="58">
        <v>0.1</v>
      </c>
      <c r="U47" s="43">
        <v>1</v>
      </c>
      <c r="V47" s="43"/>
      <c r="W47" s="58"/>
      <c r="X47" s="58"/>
      <c r="Y47" s="59" t="s">
        <v>156</v>
      </c>
      <c r="Z47" s="60">
        <v>1000</v>
      </c>
      <c r="AA47" s="25"/>
      <c r="AB47" s="25"/>
    </row>
    <row r="48" spans="2:28">
      <c r="B48" s="40">
        <v>0.8125</v>
      </c>
      <c r="C48" s="40" t="s">
        <v>625</v>
      </c>
      <c r="D48" s="41">
        <v>8</v>
      </c>
      <c r="E48" s="42">
        <v>3</v>
      </c>
      <c r="F48" s="42" t="s">
        <v>626</v>
      </c>
      <c r="G48" s="43" t="s">
        <v>154</v>
      </c>
      <c r="H48" s="42" t="s">
        <v>155</v>
      </c>
      <c r="I48" s="43">
        <v>1</v>
      </c>
      <c r="J48" s="43">
        <v>4</v>
      </c>
      <c r="K48" s="25" t="str">
        <f>VLOOKUP(J48,Key!$E$2:$F$9,2,FALSE)</f>
        <v>Commercial</v>
      </c>
      <c r="L48" s="42" t="s">
        <v>163</v>
      </c>
      <c r="M48" s="43" t="s">
        <v>163</v>
      </c>
      <c r="N48" s="42" t="s">
        <v>155</v>
      </c>
      <c r="O48" s="43">
        <v>3</v>
      </c>
      <c r="P48" s="43">
        <v>4</v>
      </c>
      <c r="Q48" s="25" t="str">
        <f>VLOOKUP(P48,Key!$E$2:$F$9,2,FALSE)</f>
        <v>Commercial</v>
      </c>
      <c r="R48" s="25" t="str">
        <f t="shared" si="1"/>
        <v>Commercial-Commercial</v>
      </c>
      <c r="S48" s="58"/>
      <c r="T48" s="58">
        <v>2</v>
      </c>
      <c r="U48" s="43">
        <v>1</v>
      </c>
      <c r="V48" s="43">
        <v>1</v>
      </c>
      <c r="W48" s="58">
        <v>8</v>
      </c>
      <c r="X48" s="58">
        <v>12</v>
      </c>
      <c r="Y48" s="59" t="s">
        <v>156</v>
      </c>
      <c r="Z48" s="60">
        <v>2000</v>
      </c>
      <c r="AA48" s="25"/>
      <c r="AB48" s="25"/>
    </row>
    <row r="49" spans="2:28">
      <c r="B49" s="40">
        <v>0.56111111111111112</v>
      </c>
      <c r="C49" s="40" t="s">
        <v>627</v>
      </c>
      <c r="D49" s="41">
        <v>1</v>
      </c>
      <c r="E49" s="42">
        <v>4</v>
      </c>
      <c r="F49" s="42" t="s">
        <v>168</v>
      </c>
      <c r="G49" s="43" t="s">
        <v>154</v>
      </c>
      <c r="H49" s="42" t="s">
        <v>155</v>
      </c>
      <c r="I49" s="43">
        <v>1</v>
      </c>
      <c r="J49" s="43">
        <v>7</v>
      </c>
      <c r="K49" s="25" t="str">
        <f>VLOOKUP(J49,Key!$E$2:$F$9,2,FALSE)</f>
        <v>Hospital</v>
      </c>
      <c r="L49" s="42" t="s">
        <v>628</v>
      </c>
      <c r="M49" s="43" t="s">
        <v>628</v>
      </c>
      <c r="N49" s="42" t="s">
        <v>155</v>
      </c>
      <c r="O49" s="43">
        <v>5</v>
      </c>
      <c r="P49" s="43">
        <v>7</v>
      </c>
      <c r="Q49" s="25" t="str">
        <f>VLOOKUP(P49,Key!$E$2:$F$9,2,FALSE)</f>
        <v>Hospital</v>
      </c>
      <c r="R49" s="25" t="str">
        <f t="shared" si="1"/>
        <v>Hospital-Hospital</v>
      </c>
      <c r="S49" s="58">
        <v>2</v>
      </c>
      <c r="T49" s="58">
        <v>0.2</v>
      </c>
      <c r="U49" s="43">
        <v>1</v>
      </c>
      <c r="V49" s="43"/>
      <c r="W49" s="58"/>
      <c r="X49" s="58"/>
      <c r="Y49" s="59" t="s">
        <v>156</v>
      </c>
      <c r="Z49" s="60">
        <v>1000</v>
      </c>
      <c r="AA49" s="25"/>
      <c r="AB49" s="25"/>
    </row>
    <row r="50" spans="2:28">
      <c r="B50" s="40">
        <v>0.55972222222222223</v>
      </c>
      <c r="C50" s="40" t="s">
        <v>629</v>
      </c>
      <c r="D50" s="41">
        <v>1</v>
      </c>
      <c r="E50" s="42">
        <v>2</v>
      </c>
      <c r="F50" s="42" t="s">
        <v>245</v>
      </c>
      <c r="G50" s="43" t="s">
        <v>154</v>
      </c>
      <c r="H50" s="42" t="s">
        <v>155</v>
      </c>
      <c r="I50" s="43">
        <v>1</v>
      </c>
      <c r="J50" s="43">
        <v>1</v>
      </c>
      <c r="K50" s="25" t="str">
        <f>VLOOKUP(J50,Key!$E$2:$F$9,2,FALSE)</f>
        <v>Home</v>
      </c>
      <c r="L50" s="42" t="s">
        <v>630</v>
      </c>
      <c r="M50" s="43" t="s">
        <v>154</v>
      </c>
      <c r="N50" s="42" t="s">
        <v>155</v>
      </c>
      <c r="O50" s="43">
        <v>4</v>
      </c>
      <c r="P50" s="43">
        <v>3</v>
      </c>
      <c r="Q50" s="25" t="str">
        <f>VLOOKUP(P50,Key!$E$2:$F$9,2,FALSE)</f>
        <v>Study</v>
      </c>
      <c r="R50" s="25" t="str">
        <f t="shared" si="1"/>
        <v>Home-Study</v>
      </c>
      <c r="S50" s="58"/>
      <c r="T50" s="58">
        <v>0.1</v>
      </c>
      <c r="U50" s="43">
        <v>1</v>
      </c>
      <c r="V50" s="43"/>
      <c r="W50" s="58"/>
      <c r="X50" s="58"/>
      <c r="Y50" s="59" t="s">
        <v>156</v>
      </c>
      <c r="Z50" s="60">
        <v>2000</v>
      </c>
      <c r="AA50" s="25"/>
      <c r="AB50" s="25"/>
    </row>
    <row r="51" spans="2:28">
      <c r="B51" s="40">
        <v>0.55763888888888891</v>
      </c>
      <c r="C51" s="40" t="s">
        <v>631</v>
      </c>
      <c r="D51" s="41">
        <v>1</v>
      </c>
      <c r="E51" s="42">
        <v>1</v>
      </c>
      <c r="F51" s="42" t="s">
        <v>391</v>
      </c>
      <c r="G51" s="43" t="s">
        <v>154</v>
      </c>
      <c r="H51" s="42" t="s">
        <v>155</v>
      </c>
      <c r="I51" s="43">
        <v>1</v>
      </c>
      <c r="J51" s="43">
        <v>1</v>
      </c>
      <c r="K51" s="25" t="str">
        <f>VLOOKUP(J51,Key!$E$2:$F$9,2,FALSE)</f>
        <v>Home</v>
      </c>
      <c r="L51" s="42" t="s">
        <v>163</v>
      </c>
      <c r="M51" s="43" t="s">
        <v>163</v>
      </c>
      <c r="N51" s="42" t="s">
        <v>155</v>
      </c>
      <c r="O51" s="43">
        <v>8</v>
      </c>
      <c r="P51" s="43">
        <v>1</v>
      </c>
      <c r="Q51" s="25" t="str">
        <f>VLOOKUP(P51,Key!$E$2:$F$9,2,FALSE)</f>
        <v>Home</v>
      </c>
      <c r="R51" s="25" t="str">
        <f t="shared" si="1"/>
        <v>Home-Home</v>
      </c>
      <c r="S51" s="58">
        <v>7</v>
      </c>
      <c r="T51" s="58">
        <v>0.2</v>
      </c>
      <c r="U51" s="43">
        <v>1</v>
      </c>
      <c r="V51" s="43"/>
      <c r="W51" s="58"/>
      <c r="X51" s="58"/>
      <c r="Y51" s="59" t="s">
        <v>156</v>
      </c>
      <c r="Z51" s="60">
        <v>3000</v>
      </c>
      <c r="AA51" s="25"/>
      <c r="AB51" s="25"/>
    </row>
    <row r="52" spans="2:28">
      <c r="B52" s="40">
        <v>0.55555555555555558</v>
      </c>
      <c r="C52" s="40" t="s">
        <v>632</v>
      </c>
      <c r="D52" s="41">
        <v>1</v>
      </c>
      <c r="E52" s="42">
        <v>1</v>
      </c>
      <c r="F52" s="42" t="s">
        <v>633</v>
      </c>
      <c r="G52" s="43" t="s">
        <v>202</v>
      </c>
      <c r="H52" s="42" t="s">
        <v>155</v>
      </c>
      <c r="I52" s="43">
        <v>4</v>
      </c>
      <c r="J52" s="43">
        <v>3</v>
      </c>
      <c r="K52" s="25" t="str">
        <f>VLOOKUP(J52,Key!$E$2:$F$9,2,FALSE)</f>
        <v>Study</v>
      </c>
      <c r="L52" s="42" t="s">
        <v>163</v>
      </c>
      <c r="M52" s="43" t="s">
        <v>163</v>
      </c>
      <c r="N52" s="42" t="s">
        <v>155</v>
      </c>
      <c r="O52" s="43">
        <v>1</v>
      </c>
      <c r="P52" s="43">
        <v>1</v>
      </c>
      <c r="Q52" s="25" t="str">
        <f>VLOOKUP(P52,Key!$E$2:$F$9,2,FALSE)</f>
        <v>Home</v>
      </c>
      <c r="R52" s="25" t="str">
        <f t="shared" si="1"/>
        <v>Study-Home</v>
      </c>
      <c r="S52" s="58"/>
      <c r="T52" s="58">
        <v>0.7</v>
      </c>
      <c r="U52" s="43">
        <v>4</v>
      </c>
      <c r="V52" s="43"/>
      <c r="W52" s="58"/>
      <c r="X52" s="58"/>
      <c r="Y52" s="59" t="s">
        <v>156</v>
      </c>
      <c r="Z52" s="60">
        <v>1000</v>
      </c>
      <c r="AA52" s="25"/>
      <c r="AB52" s="25"/>
    </row>
    <row r="53" spans="2:28">
      <c r="B53" s="40">
        <v>0.76111111111111107</v>
      </c>
      <c r="C53" s="40" t="s">
        <v>634</v>
      </c>
      <c r="D53" s="41">
        <v>1</v>
      </c>
      <c r="E53" s="42">
        <v>4</v>
      </c>
      <c r="F53" s="42" t="s">
        <v>635</v>
      </c>
      <c r="G53" s="43" t="s">
        <v>154</v>
      </c>
      <c r="H53" s="42" t="s">
        <v>155</v>
      </c>
      <c r="I53" s="43">
        <v>1</v>
      </c>
      <c r="J53" s="43">
        <v>1</v>
      </c>
      <c r="K53" s="25" t="str">
        <f>VLOOKUP(J53,Key!$E$2:$F$9,2,FALSE)</f>
        <v>Home</v>
      </c>
      <c r="L53" s="42" t="s">
        <v>564</v>
      </c>
      <c r="M53" s="43" t="s">
        <v>154</v>
      </c>
      <c r="N53" s="42" t="s">
        <v>155</v>
      </c>
      <c r="O53" s="43">
        <v>9</v>
      </c>
      <c r="P53" s="43">
        <v>2</v>
      </c>
      <c r="Q53" s="25" t="str">
        <f>VLOOKUP(P53,Key!$E$2:$F$9,2,FALSE)</f>
        <v>Work</v>
      </c>
      <c r="R53" s="25" t="str">
        <f t="shared" si="1"/>
        <v>Home-Work</v>
      </c>
      <c r="S53" s="58">
        <v>6</v>
      </c>
      <c r="T53" s="58">
        <v>0.7</v>
      </c>
      <c r="U53" s="43">
        <v>1</v>
      </c>
      <c r="V53" s="43"/>
      <c r="W53" s="58"/>
      <c r="X53" s="58"/>
      <c r="Y53" s="59" t="s">
        <v>156</v>
      </c>
      <c r="Z53" s="60">
        <v>3000</v>
      </c>
      <c r="AA53" s="25"/>
      <c r="AB53" s="25"/>
    </row>
    <row r="54" spans="2:28">
      <c r="B54" s="40">
        <v>0.75</v>
      </c>
      <c r="C54" s="40" t="s">
        <v>636</v>
      </c>
      <c r="D54" s="41">
        <v>2</v>
      </c>
      <c r="E54" s="42">
        <v>2</v>
      </c>
      <c r="F54" s="42" t="s">
        <v>147</v>
      </c>
      <c r="G54" s="43" t="s">
        <v>154</v>
      </c>
      <c r="H54" s="42" t="s">
        <v>155</v>
      </c>
      <c r="I54" s="43">
        <v>9</v>
      </c>
      <c r="J54" s="43">
        <v>2</v>
      </c>
      <c r="K54" s="25" t="str">
        <f>VLOOKUP(J54,Key!$E$2:$F$9,2,FALSE)</f>
        <v>Work</v>
      </c>
      <c r="L54" s="42" t="s">
        <v>564</v>
      </c>
      <c r="M54" s="43" t="s">
        <v>154</v>
      </c>
      <c r="N54" s="42" t="s">
        <v>155</v>
      </c>
      <c r="O54" s="43">
        <v>1</v>
      </c>
      <c r="P54" s="43">
        <v>1</v>
      </c>
      <c r="Q54" s="25" t="str">
        <f>VLOOKUP(P54,Key!$E$2:$F$9,2,FALSE)</f>
        <v>Home</v>
      </c>
      <c r="R54" s="25" t="str">
        <f t="shared" si="1"/>
        <v>Work-Home</v>
      </c>
      <c r="S54" s="58">
        <v>2</v>
      </c>
      <c r="T54" s="58">
        <v>0.7</v>
      </c>
      <c r="U54" s="43">
        <v>1</v>
      </c>
      <c r="V54" s="43"/>
      <c r="W54" s="58"/>
      <c r="X54" s="58"/>
      <c r="Y54" s="59" t="s">
        <v>156</v>
      </c>
      <c r="Z54" s="60">
        <v>3000</v>
      </c>
      <c r="AA54" s="25"/>
      <c r="AB54" s="25"/>
    </row>
    <row r="55" spans="2:28">
      <c r="B55" s="40">
        <v>0.70486111111111116</v>
      </c>
      <c r="C55" s="40" t="s">
        <v>637</v>
      </c>
      <c r="D55" s="41">
        <v>7</v>
      </c>
      <c r="E55" s="42">
        <v>2</v>
      </c>
      <c r="F55" s="42" t="s">
        <v>147</v>
      </c>
      <c r="G55" s="43" t="s">
        <v>154</v>
      </c>
      <c r="H55" s="42" t="s">
        <v>155</v>
      </c>
      <c r="I55" s="43">
        <v>11</v>
      </c>
      <c r="J55" s="43">
        <v>4</v>
      </c>
      <c r="K55" s="25" t="str">
        <f>VLOOKUP(J55,Key!$E$2:$F$9,2,FALSE)</f>
        <v>Commercial</v>
      </c>
      <c r="L55" s="42" t="s">
        <v>564</v>
      </c>
      <c r="M55" s="43" t="s">
        <v>154</v>
      </c>
      <c r="N55" s="42" t="s">
        <v>155</v>
      </c>
      <c r="O55" s="43">
        <v>10</v>
      </c>
      <c r="P55" s="43">
        <v>4</v>
      </c>
      <c r="Q55" s="25" t="str">
        <f>VLOOKUP(P55,Key!$E$2:$F$9,2,FALSE)</f>
        <v>Commercial</v>
      </c>
      <c r="R55" s="25" t="str">
        <f t="shared" si="1"/>
        <v>Commercial-Commercial</v>
      </c>
      <c r="S55" s="58">
        <v>4</v>
      </c>
      <c r="T55" s="58">
        <v>0.5</v>
      </c>
      <c r="U55" s="43">
        <v>1</v>
      </c>
      <c r="V55" s="43">
        <v>10</v>
      </c>
      <c r="W55" s="58">
        <v>1</v>
      </c>
      <c r="X55" s="58">
        <v>0.25</v>
      </c>
      <c r="Y55" s="59" t="s">
        <v>156</v>
      </c>
      <c r="Z55" s="60">
        <v>1000</v>
      </c>
      <c r="AA55" s="25"/>
      <c r="AB55" s="25"/>
    </row>
    <row r="56" spans="2:28">
      <c r="B56" s="40">
        <v>0.70277777777777783</v>
      </c>
      <c r="C56" s="40" t="s">
        <v>638</v>
      </c>
      <c r="D56" s="41">
        <v>2</v>
      </c>
      <c r="E56" s="42">
        <v>4</v>
      </c>
      <c r="F56" s="42" t="s">
        <v>639</v>
      </c>
      <c r="G56" s="43" t="s">
        <v>202</v>
      </c>
      <c r="H56" s="42" t="s">
        <v>155</v>
      </c>
      <c r="I56" s="43">
        <v>9</v>
      </c>
      <c r="J56" s="43">
        <v>2</v>
      </c>
      <c r="K56" s="25" t="str">
        <f>VLOOKUP(J56,Key!$E$2:$F$9,2,FALSE)</f>
        <v>Work</v>
      </c>
      <c r="L56" s="42" t="s">
        <v>564</v>
      </c>
      <c r="M56" s="43" t="s">
        <v>154</v>
      </c>
      <c r="N56" s="42" t="s">
        <v>155</v>
      </c>
      <c r="O56" s="43">
        <v>1</v>
      </c>
      <c r="P56" s="43">
        <v>1</v>
      </c>
      <c r="Q56" s="25" t="str">
        <f>VLOOKUP(P56,Key!$E$2:$F$9,2,FALSE)</f>
        <v>Home</v>
      </c>
      <c r="R56" s="25" t="str">
        <f t="shared" si="1"/>
        <v>Work-Home</v>
      </c>
      <c r="S56" s="58">
        <v>5</v>
      </c>
      <c r="T56" s="58">
        <v>3</v>
      </c>
      <c r="U56" s="43">
        <v>6</v>
      </c>
      <c r="V56" s="43"/>
      <c r="W56" s="58"/>
      <c r="X56" s="58"/>
      <c r="Y56" s="59" t="s">
        <v>156</v>
      </c>
      <c r="Z56" s="60">
        <v>2000</v>
      </c>
      <c r="AA56" s="25"/>
      <c r="AB56" s="25"/>
    </row>
    <row r="57" spans="2:28">
      <c r="B57" s="40">
        <v>0.70000000000000007</v>
      </c>
      <c r="C57" s="40" t="s">
        <v>286</v>
      </c>
      <c r="D57" s="41">
        <v>1</v>
      </c>
      <c r="E57" s="42">
        <v>2</v>
      </c>
      <c r="F57" s="42" t="s">
        <v>147</v>
      </c>
      <c r="G57" s="43" t="s">
        <v>154</v>
      </c>
      <c r="H57" s="42" t="s">
        <v>155</v>
      </c>
      <c r="I57" s="43">
        <v>5</v>
      </c>
      <c r="J57" s="43">
        <v>7</v>
      </c>
      <c r="K57" s="25" t="str">
        <f>VLOOKUP(J57,Key!$E$2:$F$9,2,FALSE)</f>
        <v>Hospital</v>
      </c>
      <c r="L57" s="42" t="s">
        <v>564</v>
      </c>
      <c r="M57" s="43" t="s">
        <v>154</v>
      </c>
      <c r="N57" s="42" t="s">
        <v>155</v>
      </c>
      <c r="O57" s="43">
        <v>1</v>
      </c>
      <c r="P57" s="43">
        <v>1</v>
      </c>
      <c r="Q57" s="25" t="str">
        <f>VLOOKUP(P57,Key!$E$2:$F$9,2,FALSE)</f>
        <v>Home</v>
      </c>
      <c r="R57" s="25" t="str">
        <f t="shared" si="1"/>
        <v>Hospital-Home</v>
      </c>
      <c r="S57" s="58">
        <v>3</v>
      </c>
      <c r="T57" s="58">
        <v>0.3</v>
      </c>
      <c r="U57" s="43">
        <v>1</v>
      </c>
      <c r="V57" s="43"/>
      <c r="W57" s="58"/>
      <c r="X57" s="58"/>
      <c r="Y57" s="59" t="s">
        <v>156</v>
      </c>
      <c r="Z57" s="60">
        <v>500</v>
      </c>
      <c r="AA57" s="25"/>
      <c r="AB57" s="25"/>
    </row>
    <row r="58" spans="2:28">
      <c r="B58" s="40">
        <v>0.6972222222222223</v>
      </c>
      <c r="C58" s="40" t="s">
        <v>640</v>
      </c>
      <c r="D58" s="41">
        <v>1</v>
      </c>
      <c r="E58" s="42">
        <v>1</v>
      </c>
      <c r="F58" s="42" t="s">
        <v>635</v>
      </c>
      <c r="G58" s="43" t="s">
        <v>154</v>
      </c>
      <c r="H58" s="42" t="s">
        <v>155</v>
      </c>
      <c r="I58" s="43">
        <v>16</v>
      </c>
      <c r="J58" s="43">
        <v>6</v>
      </c>
      <c r="K58" s="25" t="str">
        <f>VLOOKUP(J58,Key!$E$2:$F$9,2,FALSE)</f>
        <v>Leisure/Social</v>
      </c>
      <c r="L58" s="42" t="s">
        <v>564</v>
      </c>
      <c r="M58" s="43" t="s">
        <v>154</v>
      </c>
      <c r="N58" s="42" t="s">
        <v>155</v>
      </c>
      <c r="O58" s="43">
        <v>16</v>
      </c>
      <c r="P58" s="43">
        <v>6</v>
      </c>
      <c r="Q58" s="25" t="str">
        <f>VLOOKUP(P58,Key!$E$2:$F$9,2,FALSE)</f>
        <v>Leisure/Social</v>
      </c>
      <c r="R58" s="25" t="str">
        <f t="shared" si="1"/>
        <v>Leisure/Social-Leisure/Social</v>
      </c>
      <c r="S58" s="58"/>
      <c r="T58" s="58">
        <v>0.5</v>
      </c>
      <c r="U58" s="43">
        <v>6</v>
      </c>
      <c r="V58" s="43"/>
      <c r="W58" s="58"/>
      <c r="X58" s="58"/>
      <c r="Y58" s="59" t="s">
        <v>156</v>
      </c>
      <c r="Z58" s="60">
        <v>1000</v>
      </c>
      <c r="AA58" s="25"/>
      <c r="AB58" s="25"/>
    </row>
    <row r="59" spans="2:28">
      <c r="B59" s="40">
        <v>0.6875</v>
      </c>
      <c r="C59" s="40" t="s">
        <v>641</v>
      </c>
      <c r="D59" s="41">
        <v>1</v>
      </c>
      <c r="E59" s="42">
        <v>4</v>
      </c>
      <c r="F59" s="42" t="s">
        <v>147</v>
      </c>
      <c r="G59" s="43" t="s">
        <v>154</v>
      </c>
      <c r="H59" s="42" t="s">
        <v>155</v>
      </c>
      <c r="I59" s="43">
        <v>1</v>
      </c>
      <c r="J59" s="43">
        <v>1</v>
      </c>
      <c r="K59" s="25" t="str">
        <f>VLOOKUP(J59,Key!$E$2:$F$9,2,FALSE)</f>
        <v>Home</v>
      </c>
      <c r="L59" s="42" t="s">
        <v>159</v>
      </c>
      <c r="M59" s="43" t="s">
        <v>159</v>
      </c>
      <c r="N59" s="42" t="s">
        <v>155</v>
      </c>
      <c r="O59" s="43">
        <v>3</v>
      </c>
      <c r="P59" s="43">
        <v>2</v>
      </c>
      <c r="Q59" s="25" t="str">
        <f>VLOOKUP(P59,Key!$E$2:$F$9,2,FALSE)</f>
        <v>Work</v>
      </c>
      <c r="R59" s="25" t="str">
        <f t="shared" si="1"/>
        <v>Home-Work</v>
      </c>
      <c r="S59" s="58">
        <v>5</v>
      </c>
      <c r="T59" s="58">
        <v>0.7</v>
      </c>
      <c r="U59" s="43">
        <v>1</v>
      </c>
      <c r="V59" s="43"/>
      <c r="W59" s="58"/>
      <c r="X59" s="58"/>
      <c r="Y59" s="59" t="s">
        <v>156</v>
      </c>
      <c r="Z59" s="60">
        <v>1000</v>
      </c>
      <c r="AA59" s="25"/>
      <c r="AB59" s="25"/>
    </row>
    <row r="60" spans="2:28">
      <c r="B60" s="40">
        <v>0.67569444444444438</v>
      </c>
      <c r="C60" s="40" t="s">
        <v>642</v>
      </c>
      <c r="D60" s="41">
        <v>1</v>
      </c>
      <c r="E60" s="42">
        <v>3</v>
      </c>
      <c r="F60" s="42" t="s">
        <v>168</v>
      </c>
      <c r="G60" s="43" t="s">
        <v>154</v>
      </c>
      <c r="H60" s="42" t="s">
        <v>155</v>
      </c>
      <c r="I60" s="43">
        <v>9</v>
      </c>
      <c r="J60" s="43">
        <v>2</v>
      </c>
      <c r="K60" s="25" t="str">
        <f>VLOOKUP(J60,Key!$E$2:$F$9,2,FALSE)</f>
        <v>Work</v>
      </c>
      <c r="L60" s="42" t="s">
        <v>241</v>
      </c>
      <c r="M60" s="43" t="s">
        <v>154</v>
      </c>
      <c r="N60" s="42" t="s">
        <v>155</v>
      </c>
      <c r="O60" s="43">
        <v>1</v>
      </c>
      <c r="P60" s="43">
        <v>1</v>
      </c>
      <c r="Q60" s="25" t="str">
        <f>VLOOKUP(P60,Key!$E$2:$F$9,2,FALSE)</f>
        <v>Home</v>
      </c>
      <c r="R60" s="25" t="str">
        <f t="shared" si="1"/>
        <v>Work-Home</v>
      </c>
      <c r="S60" s="58">
        <v>4</v>
      </c>
      <c r="T60" s="58">
        <v>0.5</v>
      </c>
      <c r="U60" s="43">
        <v>1</v>
      </c>
      <c r="V60" s="43"/>
      <c r="W60" s="58"/>
      <c r="X60" s="58"/>
      <c r="Y60" s="59" t="s">
        <v>156</v>
      </c>
      <c r="Z60" s="60">
        <v>2000</v>
      </c>
      <c r="AA60" s="25"/>
      <c r="AB60" s="25"/>
    </row>
    <row r="61" spans="2:28">
      <c r="B61" s="40">
        <v>0.69513888888888886</v>
      </c>
      <c r="C61" s="40" t="s">
        <v>643</v>
      </c>
      <c r="D61" s="41">
        <v>1</v>
      </c>
      <c r="E61" s="42">
        <v>3</v>
      </c>
      <c r="F61" s="42" t="s">
        <v>147</v>
      </c>
      <c r="G61" s="43" t="s">
        <v>154</v>
      </c>
      <c r="H61" s="42" t="s">
        <v>155</v>
      </c>
      <c r="I61" s="43">
        <v>1</v>
      </c>
      <c r="J61" s="43">
        <v>1</v>
      </c>
      <c r="K61" s="25" t="str">
        <f>VLOOKUP(J61,Key!$E$2:$F$9,2,FALSE)</f>
        <v>Home</v>
      </c>
      <c r="L61" s="42" t="s">
        <v>564</v>
      </c>
      <c r="M61" s="43" t="s">
        <v>154</v>
      </c>
      <c r="N61" s="42" t="s">
        <v>155</v>
      </c>
      <c r="O61" s="43">
        <v>5</v>
      </c>
      <c r="P61" s="43">
        <v>7</v>
      </c>
      <c r="Q61" s="25" t="str">
        <f>VLOOKUP(P61,Key!$E$2:$F$9,2,FALSE)</f>
        <v>Hospital</v>
      </c>
      <c r="R61" s="25" t="str">
        <f t="shared" si="1"/>
        <v>Home-Hospital</v>
      </c>
      <c r="S61" s="58"/>
      <c r="T61" s="58">
        <v>0.7</v>
      </c>
      <c r="U61" s="43">
        <v>1</v>
      </c>
      <c r="V61" s="43"/>
      <c r="W61" s="58"/>
      <c r="X61" s="58"/>
      <c r="Y61" s="59" t="s">
        <v>156</v>
      </c>
      <c r="Z61" s="60">
        <v>1000</v>
      </c>
      <c r="AA61" s="25"/>
      <c r="AB61" s="25"/>
    </row>
    <row r="62" spans="2:28">
      <c r="B62" s="40">
        <v>0.69305555555555554</v>
      </c>
      <c r="C62" s="40" t="s">
        <v>644</v>
      </c>
      <c r="D62" s="41">
        <v>1</v>
      </c>
      <c r="E62" s="42">
        <v>2</v>
      </c>
      <c r="F62" s="42" t="s">
        <v>635</v>
      </c>
      <c r="G62" s="43" t="s">
        <v>154</v>
      </c>
      <c r="H62" s="42" t="s">
        <v>155</v>
      </c>
      <c r="I62" s="43">
        <v>1</v>
      </c>
      <c r="J62" s="43">
        <v>1</v>
      </c>
      <c r="K62" s="25" t="str">
        <f>VLOOKUP(J62,Key!$E$2:$F$9,2,FALSE)</f>
        <v>Home</v>
      </c>
      <c r="L62" s="42" t="s">
        <v>159</v>
      </c>
      <c r="M62" s="43" t="s">
        <v>159</v>
      </c>
      <c r="N62" s="42" t="s">
        <v>155</v>
      </c>
      <c r="O62" s="43">
        <v>16</v>
      </c>
      <c r="P62" s="43">
        <v>1</v>
      </c>
      <c r="Q62" s="25" t="str">
        <f>VLOOKUP(P62,Key!$E$2:$F$9,2,FALSE)</f>
        <v>Home</v>
      </c>
      <c r="R62" s="25" t="str">
        <f t="shared" si="1"/>
        <v>Home-Home</v>
      </c>
      <c r="S62" s="58">
        <v>6</v>
      </c>
      <c r="T62" s="58">
        <v>1</v>
      </c>
      <c r="U62" s="43">
        <v>1</v>
      </c>
      <c r="V62" s="43"/>
      <c r="W62" s="58"/>
      <c r="X62" s="58"/>
      <c r="Y62" s="59" t="s">
        <v>156</v>
      </c>
      <c r="Z62" s="60">
        <v>2000</v>
      </c>
      <c r="AA62" s="25"/>
      <c r="AB62" s="25"/>
    </row>
    <row r="63" spans="2:28">
      <c r="B63" s="40">
        <v>0.50486111111111109</v>
      </c>
      <c r="C63" s="40" t="s">
        <v>645</v>
      </c>
      <c r="D63" s="41">
        <v>1</v>
      </c>
      <c r="E63" s="42">
        <v>1</v>
      </c>
      <c r="F63" s="42" t="s">
        <v>376</v>
      </c>
      <c r="G63" s="43" t="s">
        <v>154</v>
      </c>
      <c r="H63" s="42" t="s">
        <v>155</v>
      </c>
      <c r="I63" s="43">
        <v>1</v>
      </c>
      <c r="J63" s="43">
        <v>1</v>
      </c>
      <c r="K63" s="25" t="str">
        <f>VLOOKUP(J63,Key!$E$2:$F$9,2,FALSE)</f>
        <v>Home</v>
      </c>
      <c r="L63" s="42" t="s">
        <v>159</v>
      </c>
      <c r="M63" s="43" t="s">
        <v>159</v>
      </c>
      <c r="N63" s="42" t="s">
        <v>155</v>
      </c>
      <c r="O63" s="43">
        <v>2</v>
      </c>
      <c r="P63" s="43">
        <v>2</v>
      </c>
      <c r="Q63" s="25" t="str">
        <f>VLOOKUP(P63,Key!$E$2:$F$9,2,FALSE)</f>
        <v>Work</v>
      </c>
      <c r="R63" s="25" t="str">
        <f t="shared" si="1"/>
        <v>Home-Work</v>
      </c>
      <c r="S63" s="58">
        <v>5</v>
      </c>
      <c r="T63" s="58">
        <v>0.5</v>
      </c>
      <c r="U63" s="43">
        <v>1</v>
      </c>
      <c r="V63" s="43"/>
      <c r="W63" s="58"/>
      <c r="X63" s="58"/>
      <c r="Y63" s="59" t="s">
        <v>156</v>
      </c>
      <c r="Z63" s="60">
        <v>3000</v>
      </c>
      <c r="AA63" s="25"/>
      <c r="AB63" s="25"/>
    </row>
    <row r="64" spans="2:28">
      <c r="B64" s="40">
        <v>0.50694444444444442</v>
      </c>
      <c r="C64" s="40" t="s">
        <v>491</v>
      </c>
      <c r="D64" s="41">
        <v>2</v>
      </c>
      <c r="E64" s="42">
        <v>1</v>
      </c>
      <c r="F64" s="42" t="s">
        <v>646</v>
      </c>
      <c r="G64" s="43" t="s">
        <v>154</v>
      </c>
      <c r="H64" s="42" t="s">
        <v>155</v>
      </c>
      <c r="I64" s="43">
        <v>1</v>
      </c>
      <c r="J64" s="43">
        <v>1</v>
      </c>
      <c r="K64" s="25" t="str">
        <f>VLOOKUP(J64,Key!$E$2:$F$9,2,FALSE)</f>
        <v>Home</v>
      </c>
      <c r="L64" s="42" t="s">
        <v>564</v>
      </c>
      <c r="M64" s="43" t="s">
        <v>154</v>
      </c>
      <c r="N64" s="42" t="s">
        <v>155</v>
      </c>
      <c r="O64" s="43">
        <v>11</v>
      </c>
      <c r="P64" s="43">
        <v>4</v>
      </c>
      <c r="Q64" s="25" t="str">
        <f>VLOOKUP(P64,Key!$E$2:$F$9,2,FALSE)</f>
        <v>Commercial</v>
      </c>
      <c r="R64" s="25" t="str">
        <f t="shared" si="1"/>
        <v>Home-Commercial</v>
      </c>
      <c r="S64" s="58">
        <v>7</v>
      </c>
      <c r="T64" s="58">
        <v>0.1</v>
      </c>
      <c r="U64" s="43">
        <v>1</v>
      </c>
      <c r="V64" s="43"/>
      <c r="W64" s="58"/>
      <c r="X64" s="58"/>
      <c r="Y64" s="59" t="s">
        <v>156</v>
      </c>
      <c r="Z64" s="60">
        <v>0</v>
      </c>
      <c r="AA64" s="25"/>
      <c r="AB64" s="25"/>
    </row>
    <row r="65" spans="2:28">
      <c r="B65" s="40">
        <v>0.64444444444444449</v>
      </c>
      <c r="C65" s="40" t="s">
        <v>647</v>
      </c>
      <c r="D65" s="41">
        <v>1</v>
      </c>
      <c r="E65" s="42">
        <v>1</v>
      </c>
      <c r="F65" s="42" t="s">
        <v>646</v>
      </c>
      <c r="G65" s="43" t="s">
        <v>154</v>
      </c>
      <c r="H65" s="42" t="s">
        <v>155</v>
      </c>
      <c r="I65" s="43">
        <v>10</v>
      </c>
      <c r="J65" s="43">
        <v>2</v>
      </c>
      <c r="K65" s="25" t="str">
        <f>VLOOKUP(J65,Key!$E$2:$F$9,2,FALSE)</f>
        <v>Work</v>
      </c>
      <c r="L65" s="42" t="s">
        <v>189</v>
      </c>
      <c r="M65" s="43" t="s">
        <v>154</v>
      </c>
      <c r="N65" s="42" t="s">
        <v>155</v>
      </c>
      <c r="O65" s="43">
        <v>1</v>
      </c>
      <c r="P65" s="43">
        <v>1</v>
      </c>
      <c r="Q65" s="25" t="str">
        <f>VLOOKUP(P65,Key!$E$2:$F$9,2,FALSE)</f>
        <v>Home</v>
      </c>
      <c r="R65" s="25" t="str">
        <f t="shared" si="1"/>
        <v>Work-Home</v>
      </c>
      <c r="S65" s="58">
        <v>30</v>
      </c>
      <c r="T65" s="58">
        <v>0.7</v>
      </c>
      <c r="U65" s="43">
        <v>4</v>
      </c>
      <c r="V65" s="43"/>
      <c r="W65" s="58"/>
      <c r="X65" s="58"/>
      <c r="Y65" s="59" t="s">
        <v>156</v>
      </c>
      <c r="Z65" s="60">
        <v>1000</v>
      </c>
      <c r="AA65" s="25"/>
      <c r="AB65" s="25"/>
    </row>
    <row r="66" spans="2:28">
      <c r="B66" s="40">
        <v>0.66111111111111109</v>
      </c>
      <c r="C66" s="40" t="s">
        <v>648</v>
      </c>
      <c r="D66" s="41">
        <v>1</v>
      </c>
      <c r="E66" s="42">
        <v>5</v>
      </c>
      <c r="F66" s="42" t="s">
        <v>375</v>
      </c>
      <c r="G66" s="43" t="s">
        <v>154</v>
      </c>
      <c r="H66" s="42" t="s">
        <v>155</v>
      </c>
      <c r="I66" s="43">
        <v>1</v>
      </c>
      <c r="J66" s="43">
        <v>1</v>
      </c>
      <c r="K66" s="25" t="str">
        <f>VLOOKUP(J66,Key!$E$2:$F$9,2,FALSE)</f>
        <v>Home</v>
      </c>
      <c r="L66" s="42" t="s">
        <v>146</v>
      </c>
      <c r="M66" s="43" t="s">
        <v>154</v>
      </c>
      <c r="N66" s="42" t="s">
        <v>155</v>
      </c>
      <c r="O66" s="43">
        <v>7</v>
      </c>
      <c r="P66" s="43">
        <v>4</v>
      </c>
      <c r="Q66" s="25" t="str">
        <f>VLOOKUP(P66,Key!$E$2:$F$9,2,FALSE)</f>
        <v>Commercial</v>
      </c>
      <c r="R66" s="25" t="str">
        <f t="shared" si="1"/>
        <v>Home-Commercial</v>
      </c>
      <c r="S66" s="58">
        <v>1</v>
      </c>
      <c r="T66" s="58">
        <v>0.1</v>
      </c>
      <c r="U66" s="43">
        <v>6</v>
      </c>
      <c r="V66" s="43"/>
      <c r="W66" s="58"/>
      <c r="X66" s="58"/>
      <c r="Y66" s="59" t="s">
        <v>156</v>
      </c>
      <c r="Z66" s="60">
        <v>10000</v>
      </c>
      <c r="AA66" s="25"/>
      <c r="AB66" s="25"/>
    </row>
    <row r="67" spans="2:28">
      <c r="B67" s="40">
        <v>0.6381944444444444</v>
      </c>
      <c r="C67" s="40" t="s">
        <v>649</v>
      </c>
      <c r="D67" s="41">
        <v>1</v>
      </c>
      <c r="E67" s="42">
        <v>2</v>
      </c>
      <c r="F67" s="42" t="s">
        <v>159</v>
      </c>
      <c r="G67" s="43" t="s">
        <v>159</v>
      </c>
      <c r="H67" s="42" t="s">
        <v>155</v>
      </c>
      <c r="I67" s="43">
        <v>2</v>
      </c>
      <c r="J67" s="43">
        <v>2</v>
      </c>
      <c r="K67" s="25" t="str">
        <f>VLOOKUP(J67,Key!$E$2:$F$9,2,FALSE)</f>
        <v>Work</v>
      </c>
      <c r="L67" s="42" t="s">
        <v>159</v>
      </c>
      <c r="M67" s="43" t="s">
        <v>159</v>
      </c>
      <c r="N67" s="42" t="s">
        <v>155</v>
      </c>
      <c r="O67" s="43">
        <v>2</v>
      </c>
      <c r="P67" s="43">
        <v>2</v>
      </c>
      <c r="Q67" s="25" t="str">
        <f>VLOOKUP(P67,Key!$E$2:$F$9,2,FALSE)</f>
        <v>Work</v>
      </c>
      <c r="R67" s="25" t="str">
        <f t="shared" si="1"/>
        <v>Work-Work</v>
      </c>
      <c r="S67" s="58">
        <v>13</v>
      </c>
      <c r="T67" s="58">
        <v>0.7</v>
      </c>
      <c r="U67" s="43">
        <v>1</v>
      </c>
      <c r="V67" s="43"/>
      <c r="W67" s="58"/>
      <c r="X67" s="58"/>
      <c r="Y67" s="59" t="s">
        <v>156</v>
      </c>
      <c r="Z67" s="60">
        <v>3000</v>
      </c>
      <c r="AA67" s="25"/>
      <c r="AB67" s="25"/>
    </row>
    <row r="68" spans="2:28">
      <c r="B68" s="40">
        <v>0.65625</v>
      </c>
      <c r="C68" s="40" t="s">
        <v>650</v>
      </c>
      <c r="D68" s="41">
        <v>1</v>
      </c>
      <c r="E68" s="42">
        <v>1</v>
      </c>
      <c r="F68" s="42" t="s">
        <v>651</v>
      </c>
      <c r="G68" s="43" t="s">
        <v>154</v>
      </c>
      <c r="H68" s="42" t="s">
        <v>155</v>
      </c>
      <c r="I68" s="43">
        <v>10</v>
      </c>
      <c r="J68" s="43">
        <v>2</v>
      </c>
      <c r="K68" s="25" t="str">
        <f>VLOOKUP(J68,Key!$E$2:$F$9,2,FALSE)</f>
        <v>Work</v>
      </c>
      <c r="L68" s="42" t="s">
        <v>468</v>
      </c>
      <c r="M68" s="43" t="s">
        <v>159</v>
      </c>
      <c r="N68" s="42" t="s">
        <v>155</v>
      </c>
      <c r="O68" s="43">
        <v>1</v>
      </c>
      <c r="P68" s="43">
        <v>1</v>
      </c>
      <c r="Q68" s="25" t="str">
        <f>VLOOKUP(P68,Key!$E$2:$F$9,2,FALSE)</f>
        <v>Home</v>
      </c>
      <c r="R68" s="25" t="str">
        <f t="shared" si="1"/>
        <v>Work-Home</v>
      </c>
      <c r="S68" s="58">
        <v>20</v>
      </c>
      <c r="T68" s="58">
        <v>0.2</v>
      </c>
      <c r="U68" s="43">
        <v>6</v>
      </c>
      <c r="V68" s="43"/>
      <c r="W68" s="58"/>
      <c r="X68" s="58"/>
      <c r="Y68" s="59" t="s">
        <v>156</v>
      </c>
      <c r="Z68" s="60">
        <v>0</v>
      </c>
      <c r="AA68" s="25"/>
      <c r="AB68" s="25"/>
    </row>
    <row r="69" spans="2:28">
      <c r="B69" s="40">
        <v>0.66249999999999998</v>
      </c>
      <c r="C69" s="40" t="s">
        <v>652</v>
      </c>
      <c r="D69" s="41">
        <v>2</v>
      </c>
      <c r="E69" s="42">
        <v>2</v>
      </c>
      <c r="F69" s="42" t="s">
        <v>227</v>
      </c>
      <c r="G69" s="43" t="s">
        <v>227</v>
      </c>
      <c r="H69" s="42" t="s">
        <v>155</v>
      </c>
      <c r="I69" s="43">
        <v>15</v>
      </c>
      <c r="J69" s="43">
        <v>5</v>
      </c>
      <c r="K69" s="25" t="str">
        <f>VLOOKUP(J69,Key!$E$2:$F$9,2,FALSE)</f>
        <v>Tourism</v>
      </c>
      <c r="L69" s="42" t="s">
        <v>159</v>
      </c>
      <c r="M69" s="43" t="s">
        <v>159</v>
      </c>
      <c r="N69" s="42" t="s">
        <v>155</v>
      </c>
      <c r="O69" s="43">
        <v>1</v>
      </c>
      <c r="P69" s="43">
        <v>1</v>
      </c>
      <c r="Q69" s="25" t="str">
        <f>VLOOKUP(P69,Key!$E$2:$F$9,2,FALSE)</f>
        <v>Home</v>
      </c>
      <c r="R69" s="25" t="str">
        <f t="shared" si="1"/>
        <v>Tourism-Home</v>
      </c>
      <c r="S69" s="58">
        <v>400</v>
      </c>
      <c r="T69" s="58">
        <v>5</v>
      </c>
      <c r="U69" s="43">
        <v>6</v>
      </c>
      <c r="V69" s="43"/>
      <c r="W69" s="58"/>
      <c r="X69" s="58"/>
      <c r="Y69" s="59" t="s">
        <v>156</v>
      </c>
      <c r="Z69" s="60">
        <v>10000</v>
      </c>
      <c r="AA69" s="25"/>
      <c r="AB69" s="25"/>
    </row>
    <row r="70" spans="2:28">
      <c r="B70" s="40">
        <v>0.6645833333333333</v>
      </c>
      <c r="C70" s="40" t="s">
        <v>182</v>
      </c>
      <c r="D70" s="41">
        <v>4</v>
      </c>
      <c r="E70" s="42">
        <v>14</v>
      </c>
      <c r="F70" s="42" t="s">
        <v>147</v>
      </c>
      <c r="G70" s="43" t="s">
        <v>154</v>
      </c>
      <c r="H70" s="42" t="s">
        <v>155</v>
      </c>
      <c r="I70" s="43">
        <v>6</v>
      </c>
      <c r="J70" s="43">
        <v>2</v>
      </c>
      <c r="K70" s="25" t="str">
        <f>VLOOKUP(J70,Key!$E$2:$F$9,2,FALSE)</f>
        <v>Work</v>
      </c>
      <c r="L70" s="42" t="s">
        <v>268</v>
      </c>
      <c r="M70" s="43" t="s">
        <v>154</v>
      </c>
      <c r="N70" s="42" t="s">
        <v>155</v>
      </c>
      <c r="O70" s="43">
        <v>6</v>
      </c>
      <c r="P70" s="43">
        <v>2</v>
      </c>
      <c r="Q70" s="25" t="str">
        <f>VLOOKUP(P70,Key!$E$2:$F$9,2,FALSE)</f>
        <v>Work</v>
      </c>
      <c r="R70" s="25" t="str">
        <f t="shared" si="1"/>
        <v>Work-Work</v>
      </c>
      <c r="S70" s="58">
        <v>5</v>
      </c>
      <c r="T70" s="58">
        <v>0.5</v>
      </c>
      <c r="U70" s="43">
        <v>1</v>
      </c>
      <c r="V70" s="43"/>
      <c r="W70" s="58"/>
      <c r="X70" s="58"/>
      <c r="Y70" s="59" t="s">
        <v>156</v>
      </c>
      <c r="Z70" s="60">
        <v>2000</v>
      </c>
      <c r="AA70" s="25"/>
      <c r="AB70" s="25"/>
    </row>
    <row r="71" spans="2:28">
      <c r="B71" s="40">
        <v>0.62638888888888888</v>
      </c>
      <c r="C71" s="40" t="s">
        <v>653</v>
      </c>
      <c r="D71" s="41">
        <v>1</v>
      </c>
      <c r="E71" s="42">
        <v>2</v>
      </c>
      <c r="F71" s="42" t="s">
        <v>147</v>
      </c>
      <c r="G71" s="43" t="s">
        <v>154</v>
      </c>
      <c r="H71" s="42" t="s">
        <v>155</v>
      </c>
      <c r="I71" s="43">
        <v>3</v>
      </c>
      <c r="J71" s="43">
        <v>2</v>
      </c>
      <c r="K71" s="25" t="str">
        <f>VLOOKUP(J71,Key!$E$2:$F$9,2,FALSE)</f>
        <v>Work</v>
      </c>
      <c r="L71" s="42" t="s">
        <v>221</v>
      </c>
      <c r="M71" s="43" t="s">
        <v>154</v>
      </c>
      <c r="N71" s="42" t="s">
        <v>155</v>
      </c>
      <c r="O71" s="43">
        <v>16</v>
      </c>
      <c r="P71" s="43">
        <v>8</v>
      </c>
      <c r="Q71" s="25" t="str">
        <f>VLOOKUP(P71,Key!$E$2:$F$9,2,FALSE)</f>
        <v>Others</v>
      </c>
      <c r="R71" s="25" t="str">
        <f t="shared" si="1"/>
        <v>Work-Others</v>
      </c>
      <c r="S71" s="58">
        <v>55</v>
      </c>
      <c r="T71" s="58">
        <v>2</v>
      </c>
      <c r="U71" s="43">
        <v>1</v>
      </c>
      <c r="V71" s="43"/>
      <c r="W71" s="58"/>
      <c r="X71" s="58"/>
      <c r="Y71" s="59" t="s">
        <v>156</v>
      </c>
      <c r="Z71" s="60">
        <v>3000</v>
      </c>
      <c r="AA71" s="25"/>
      <c r="AB71" s="25"/>
    </row>
    <row r="72" spans="2:28">
      <c r="B72" s="40">
        <v>0.61944444444444446</v>
      </c>
      <c r="C72" s="40" t="s">
        <v>654</v>
      </c>
      <c r="D72" s="41">
        <v>1</v>
      </c>
      <c r="E72" s="42">
        <v>4</v>
      </c>
      <c r="F72" s="42" t="s">
        <v>376</v>
      </c>
      <c r="G72" s="43" t="s">
        <v>154</v>
      </c>
      <c r="H72" s="42" t="s">
        <v>155</v>
      </c>
      <c r="I72" s="43">
        <v>1</v>
      </c>
      <c r="J72" s="43">
        <v>1</v>
      </c>
      <c r="K72" s="25" t="str">
        <f>VLOOKUP(J72,Key!$E$2:$F$9,2,FALSE)</f>
        <v>Home</v>
      </c>
      <c r="L72" s="42" t="s">
        <v>159</v>
      </c>
      <c r="M72" s="43" t="s">
        <v>159</v>
      </c>
      <c r="N72" s="42" t="s">
        <v>155</v>
      </c>
      <c r="O72" s="43">
        <v>16</v>
      </c>
      <c r="P72" s="43">
        <v>6</v>
      </c>
      <c r="Q72" s="25" t="str">
        <f>VLOOKUP(P72,Key!$E$2:$F$9,2,FALSE)</f>
        <v>Leisure/Social</v>
      </c>
      <c r="R72" s="25" t="str">
        <f t="shared" si="1"/>
        <v>Home-Leisure/Social</v>
      </c>
      <c r="S72" s="58">
        <v>14</v>
      </c>
      <c r="T72" s="58">
        <v>0.5</v>
      </c>
      <c r="U72" s="43">
        <v>1</v>
      </c>
      <c r="V72" s="43"/>
      <c r="W72" s="58"/>
      <c r="X72" s="58"/>
      <c r="Y72" s="59" t="s">
        <v>156</v>
      </c>
      <c r="Z72" s="60">
        <v>2000</v>
      </c>
      <c r="AA72" s="25"/>
      <c r="AB72" s="25"/>
    </row>
    <row r="73" spans="2:28">
      <c r="B73" s="40">
        <v>0.63194444444444442</v>
      </c>
      <c r="C73" s="40" t="s">
        <v>655</v>
      </c>
      <c r="D73" s="41">
        <v>7</v>
      </c>
      <c r="E73" s="42">
        <v>1</v>
      </c>
      <c r="F73" s="42" t="s">
        <v>168</v>
      </c>
      <c r="G73" s="43" t="s">
        <v>154</v>
      </c>
      <c r="H73" s="42" t="s">
        <v>155</v>
      </c>
      <c r="I73" s="43">
        <v>1</v>
      </c>
      <c r="J73" s="43">
        <v>1</v>
      </c>
      <c r="K73" s="25" t="str">
        <f>VLOOKUP(J73,Key!$E$2:$F$9,2,FALSE)</f>
        <v>Home</v>
      </c>
      <c r="L73" s="42" t="s">
        <v>259</v>
      </c>
      <c r="M73" s="43" t="s">
        <v>159</v>
      </c>
      <c r="N73" s="42" t="s">
        <v>155</v>
      </c>
      <c r="O73" s="43">
        <v>2</v>
      </c>
      <c r="P73" s="43">
        <v>2</v>
      </c>
      <c r="Q73" s="25" t="str">
        <f>VLOOKUP(P73,Key!$E$2:$F$9,2,FALSE)</f>
        <v>Work</v>
      </c>
      <c r="R73" s="25" t="str">
        <f t="shared" si="1"/>
        <v>Home-Work</v>
      </c>
      <c r="S73" s="58">
        <v>7</v>
      </c>
      <c r="T73" s="58">
        <v>0.7</v>
      </c>
      <c r="U73" s="43">
        <v>1</v>
      </c>
      <c r="V73" s="43">
        <v>3</v>
      </c>
      <c r="W73" s="58">
        <v>0.1</v>
      </c>
      <c r="X73" s="58">
        <v>1</v>
      </c>
      <c r="Y73" s="59" t="s">
        <v>156</v>
      </c>
      <c r="Z73" s="60">
        <v>0</v>
      </c>
      <c r="AA73" s="25"/>
      <c r="AB73" s="25"/>
    </row>
    <row r="74" spans="2:28">
      <c r="B74" s="40">
        <v>0.63402777777777775</v>
      </c>
      <c r="C74" s="40" t="s">
        <v>656</v>
      </c>
      <c r="D74" s="41">
        <v>1</v>
      </c>
      <c r="E74" s="42">
        <v>2</v>
      </c>
      <c r="F74" s="42" t="s">
        <v>651</v>
      </c>
      <c r="G74" s="43" t="s">
        <v>154</v>
      </c>
      <c r="H74" s="42" t="s">
        <v>155</v>
      </c>
      <c r="I74" s="43">
        <v>1</v>
      </c>
      <c r="J74" s="43">
        <v>1</v>
      </c>
      <c r="K74" s="25" t="str">
        <f>VLOOKUP(J74,Key!$E$2:$F$9,2,FALSE)</f>
        <v>Home</v>
      </c>
      <c r="L74" s="42" t="s">
        <v>468</v>
      </c>
      <c r="M74" s="43" t="s">
        <v>159</v>
      </c>
      <c r="N74" s="42" t="s">
        <v>155</v>
      </c>
      <c r="O74" s="43">
        <v>16</v>
      </c>
      <c r="P74" s="43">
        <v>6</v>
      </c>
      <c r="Q74" s="25" t="str">
        <f>VLOOKUP(P74,Key!$E$2:$F$9,2,FALSE)</f>
        <v>Leisure/Social</v>
      </c>
      <c r="R74" s="25" t="str">
        <f t="shared" si="1"/>
        <v>Home-Leisure/Social</v>
      </c>
      <c r="S74" s="58">
        <v>10</v>
      </c>
      <c r="T74" s="58">
        <v>0.5</v>
      </c>
      <c r="U74" s="43">
        <v>1</v>
      </c>
      <c r="V74" s="43"/>
      <c r="W74" s="58"/>
      <c r="X74" s="58"/>
      <c r="Y74" s="59" t="s">
        <v>156</v>
      </c>
      <c r="Z74" s="60">
        <v>1000</v>
      </c>
      <c r="AA74" s="25"/>
      <c r="AB74" s="25"/>
    </row>
    <row r="75" spans="2:28">
      <c r="B75" s="40">
        <v>0.63055555555555554</v>
      </c>
      <c r="C75" s="40" t="s">
        <v>657</v>
      </c>
      <c r="D75" s="41">
        <v>4</v>
      </c>
      <c r="E75" s="42">
        <v>13</v>
      </c>
      <c r="F75" s="42" t="s">
        <v>147</v>
      </c>
      <c r="G75" s="43" t="s">
        <v>154</v>
      </c>
      <c r="H75" s="42" t="s">
        <v>155</v>
      </c>
      <c r="I75" s="43">
        <v>6</v>
      </c>
      <c r="J75" s="43">
        <v>2</v>
      </c>
      <c r="K75" s="25" t="str">
        <f>VLOOKUP(J75,Key!$E$2:$F$9,2,FALSE)</f>
        <v>Work</v>
      </c>
      <c r="L75" s="42" t="s">
        <v>564</v>
      </c>
      <c r="M75" s="43" t="s">
        <v>154</v>
      </c>
      <c r="N75" s="42" t="s">
        <v>155</v>
      </c>
      <c r="O75" s="43">
        <v>6</v>
      </c>
      <c r="P75" s="43">
        <v>2</v>
      </c>
      <c r="Q75" s="25" t="str">
        <f>VLOOKUP(P75,Key!$E$2:$F$9,2,FALSE)</f>
        <v>Work</v>
      </c>
      <c r="R75" s="25" t="str">
        <f t="shared" si="1"/>
        <v>Work-Work</v>
      </c>
      <c r="S75" s="58"/>
      <c r="T75" s="58">
        <v>0.5</v>
      </c>
      <c r="U75" s="43">
        <v>1</v>
      </c>
      <c r="V75" s="43"/>
      <c r="W75" s="58"/>
      <c r="X75" s="58"/>
      <c r="Y75" s="59" t="s">
        <v>156</v>
      </c>
      <c r="Z75" s="60">
        <v>500</v>
      </c>
      <c r="AA75" s="25"/>
      <c r="AB75" s="25"/>
    </row>
    <row r="76" spans="2:28">
      <c r="B76" s="40">
        <v>0.62777777777777777</v>
      </c>
      <c r="C76" s="40" t="s">
        <v>658</v>
      </c>
      <c r="D76" s="41">
        <v>1</v>
      </c>
      <c r="E76" s="42">
        <v>1</v>
      </c>
      <c r="F76" s="42" t="s">
        <v>659</v>
      </c>
      <c r="G76" s="43" t="s">
        <v>154</v>
      </c>
      <c r="H76" s="42" t="s">
        <v>155</v>
      </c>
      <c r="I76" s="43">
        <v>1</v>
      </c>
      <c r="J76" s="43">
        <v>1</v>
      </c>
      <c r="K76" s="25" t="str">
        <f>VLOOKUP(J76,Key!$E$2:$F$9,2,FALSE)</f>
        <v>Home</v>
      </c>
      <c r="L76" s="42" t="s">
        <v>159</v>
      </c>
      <c r="M76" s="43" t="s">
        <v>159</v>
      </c>
      <c r="N76" s="42" t="s">
        <v>155</v>
      </c>
      <c r="O76" s="43">
        <v>2</v>
      </c>
      <c r="P76" s="43">
        <v>2</v>
      </c>
      <c r="Q76" s="25" t="str">
        <f>VLOOKUP(P76,Key!$E$2:$F$9,2,FALSE)</f>
        <v>Work</v>
      </c>
      <c r="R76" s="25" t="str">
        <f t="shared" si="1"/>
        <v>Home-Work</v>
      </c>
      <c r="S76" s="58"/>
      <c r="T76" s="58">
        <v>0.5</v>
      </c>
      <c r="U76" s="43">
        <v>1</v>
      </c>
      <c r="V76" s="43"/>
      <c r="W76" s="58"/>
      <c r="X76" s="58"/>
      <c r="Y76" s="59" t="s">
        <v>156</v>
      </c>
      <c r="Z76" s="60">
        <v>500</v>
      </c>
      <c r="AA76" s="25"/>
      <c r="AB76" s="25"/>
    </row>
    <row r="77" spans="2:28">
      <c r="B77" s="40">
        <v>0.6166666666666667</v>
      </c>
      <c r="C77" s="40" t="s">
        <v>660</v>
      </c>
      <c r="D77" s="41">
        <v>1</v>
      </c>
      <c r="E77" s="42">
        <v>2</v>
      </c>
      <c r="F77" s="42" t="s">
        <v>184</v>
      </c>
      <c r="G77" s="43" t="s">
        <v>154</v>
      </c>
      <c r="H77" s="42" t="s">
        <v>155</v>
      </c>
      <c r="I77" s="43">
        <v>1</v>
      </c>
      <c r="J77" s="43">
        <v>1</v>
      </c>
      <c r="K77" s="25" t="str">
        <f>VLOOKUP(J77,Key!$E$2:$F$9,2,FALSE)</f>
        <v>Home</v>
      </c>
      <c r="L77" s="42" t="s">
        <v>159</v>
      </c>
      <c r="M77" s="43" t="s">
        <v>159</v>
      </c>
      <c r="N77" s="42" t="s">
        <v>155</v>
      </c>
      <c r="O77" s="43">
        <v>7</v>
      </c>
      <c r="P77" s="43">
        <v>4</v>
      </c>
      <c r="Q77" s="25" t="str">
        <f>VLOOKUP(P77,Key!$E$2:$F$9,2,FALSE)</f>
        <v>Commercial</v>
      </c>
      <c r="R77" s="25" t="str">
        <f t="shared" si="1"/>
        <v>Home-Commercial</v>
      </c>
      <c r="S77" s="58">
        <v>18</v>
      </c>
      <c r="T77" s="58">
        <v>0.5</v>
      </c>
      <c r="U77" s="43">
        <v>1</v>
      </c>
      <c r="V77" s="43"/>
      <c r="W77" s="58"/>
      <c r="X77" s="58"/>
      <c r="Y77" s="59" t="s">
        <v>156</v>
      </c>
      <c r="Z77" s="60">
        <v>3000</v>
      </c>
      <c r="AA77" s="25"/>
      <c r="AB77" s="25"/>
    </row>
    <row r="78" spans="2:28">
      <c r="B78" s="40">
        <v>0.6118055555555556</v>
      </c>
      <c r="C78" s="40" t="s">
        <v>661</v>
      </c>
      <c r="D78" s="41">
        <v>1</v>
      </c>
      <c r="E78" s="42">
        <v>1</v>
      </c>
      <c r="F78" s="42" t="s">
        <v>168</v>
      </c>
      <c r="G78" s="43" t="s">
        <v>154</v>
      </c>
      <c r="H78" s="42" t="s">
        <v>155</v>
      </c>
      <c r="I78" s="43">
        <v>1</v>
      </c>
      <c r="J78" s="43">
        <v>1</v>
      </c>
      <c r="K78" s="25" t="str">
        <f>VLOOKUP(J78,Key!$E$2:$F$9,2,FALSE)</f>
        <v>Home</v>
      </c>
      <c r="L78" s="42" t="s">
        <v>564</v>
      </c>
      <c r="M78" s="43" t="s">
        <v>154</v>
      </c>
      <c r="N78" s="42" t="s">
        <v>155</v>
      </c>
      <c r="O78" s="43">
        <v>16</v>
      </c>
      <c r="P78" s="43">
        <v>6</v>
      </c>
      <c r="Q78" s="25" t="str">
        <f>VLOOKUP(P78,Key!$E$2:$F$9,2,FALSE)</f>
        <v>Leisure/Social</v>
      </c>
      <c r="R78" s="25" t="str">
        <f t="shared" si="1"/>
        <v>Home-Leisure/Social</v>
      </c>
      <c r="S78" s="58">
        <v>3</v>
      </c>
      <c r="T78" s="58">
        <v>0.3</v>
      </c>
      <c r="U78" s="43">
        <v>1</v>
      </c>
      <c r="V78" s="43"/>
      <c r="W78" s="58"/>
      <c r="X78" s="58"/>
      <c r="Y78" s="59" t="s">
        <v>156</v>
      </c>
      <c r="Z78" s="60">
        <v>2000</v>
      </c>
      <c r="AA78" s="25"/>
      <c r="AB78" s="25"/>
    </row>
    <row r="79" spans="2:28">
      <c r="B79" s="40">
        <v>0.61388888888888882</v>
      </c>
      <c r="C79" s="40" t="s">
        <v>662</v>
      </c>
      <c r="D79" s="41">
        <v>2</v>
      </c>
      <c r="E79" s="42">
        <v>6</v>
      </c>
      <c r="F79" s="42" t="s">
        <v>168</v>
      </c>
      <c r="G79" s="43" t="s">
        <v>154</v>
      </c>
      <c r="H79" s="42" t="s">
        <v>155</v>
      </c>
      <c r="I79" s="43">
        <v>16</v>
      </c>
      <c r="J79" s="43">
        <v>8</v>
      </c>
      <c r="K79" s="25" t="str">
        <f>VLOOKUP(J79,Key!$E$2:$F$9,2,FALSE)</f>
        <v>Others</v>
      </c>
      <c r="L79" s="42" t="s">
        <v>268</v>
      </c>
      <c r="M79" s="43" t="s">
        <v>154</v>
      </c>
      <c r="N79" s="42" t="s">
        <v>155</v>
      </c>
      <c r="O79" s="43">
        <v>1</v>
      </c>
      <c r="P79" s="43">
        <v>1</v>
      </c>
      <c r="Q79" s="25" t="str">
        <f>VLOOKUP(P79,Key!$E$2:$F$9,2,FALSE)</f>
        <v>Home</v>
      </c>
      <c r="R79" s="25" t="str">
        <f t="shared" si="1"/>
        <v>Others-Home</v>
      </c>
      <c r="S79" s="58">
        <v>8</v>
      </c>
      <c r="T79" s="58">
        <v>0.5</v>
      </c>
      <c r="U79" s="43">
        <v>4</v>
      </c>
      <c r="V79" s="43"/>
      <c r="W79" s="58"/>
      <c r="X79" s="58"/>
      <c r="Y79" s="59" t="s">
        <v>156</v>
      </c>
      <c r="Z79" s="60">
        <v>3000</v>
      </c>
      <c r="AA79" s="25"/>
      <c r="AB79" s="25"/>
    </row>
    <row r="80" spans="2:28">
      <c r="B80" s="40">
        <v>0.81180555555555556</v>
      </c>
      <c r="C80" s="40" t="s">
        <v>663</v>
      </c>
      <c r="D80" s="41">
        <v>2</v>
      </c>
      <c r="E80" s="42">
        <v>4</v>
      </c>
      <c r="F80" s="42" t="s">
        <v>664</v>
      </c>
      <c r="G80" s="43" t="s">
        <v>154</v>
      </c>
      <c r="H80" s="42" t="s">
        <v>155</v>
      </c>
      <c r="I80" s="43">
        <v>4</v>
      </c>
      <c r="J80" s="43">
        <v>2</v>
      </c>
      <c r="K80" s="25" t="str">
        <f>VLOOKUP(J80,Key!$E$2:$F$9,2,FALSE)</f>
        <v>Work</v>
      </c>
      <c r="L80" s="42" t="s">
        <v>154</v>
      </c>
      <c r="M80" s="43" t="s">
        <v>154</v>
      </c>
      <c r="N80" s="42" t="s">
        <v>155</v>
      </c>
      <c r="O80" s="43">
        <v>1</v>
      </c>
      <c r="P80" s="43">
        <v>1</v>
      </c>
      <c r="Q80" s="25" t="str">
        <f>VLOOKUP(P80,Key!$E$2:$F$9,2,FALSE)</f>
        <v>Home</v>
      </c>
      <c r="R80" s="25" t="str">
        <f t="shared" si="1"/>
        <v>Work-Home</v>
      </c>
      <c r="S80" s="58">
        <v>30</v>
      </c>
      <c r="T80" s="58">
        <v>1</v>
      </c>
      <c r="U80" s="43">
        <v>1</v>
      </c>
      <c r="V80" s="43"/>
      <c r="W80" s="58"/>
      <c r="X80" s="58"/>
      <c r="Y80" s="59" t="s">
        <v>156</v>
      </c>
      <c r="Z80" s="60">
        <v>1000</v>
      </c>
      <c r="AA80" s="25"/>
      <c r="AB80" s="25"/>
    </row>
    <row r="81" spans="2:28">
      <c r="B81" s="40">
        <v>0.5756944444444444</v>
      </c>
      <c r="C81" s="40" t="s">
        <v>665</v>
      </c>
      <c r="D81" s="41">
        <v>1</v>
      </c>
      <c r="E81" s="42">
        <v>4</v>
      </c>
      <c r="F81" s="42" t="s">
        <v>147</v>
      </c>
      <c r="G81" s="43" t="s">
        <v>154</v>
      </c>
      <c r="H81" s="42" t="s">
        <v>155</v>
      </c>
      <c r="I81" s="43">
        <v>3</v>
      </c>
      <c r="J81" s="43">
        <v>2</v>
      </c>
      <c r="K81" s="25" t="str">
        <f>VLOOKUP(J81,Key!$E$2:$F$9,2,FALSE)</f>
        <v>Work</v>
      </c>
      <c r="L81" s="42" t="s">
        <v>184</v>
      </c>
      <c r="M81" s="43" t="s">
        <v>154</v>
      </c>
      <c r="N81" s="42" t="s">
        <v>155</v>
      </c>
      <c r="O81" s="43">
        <v>1</v>
      </c>
      <c r="P81" s="43">
        <v>1</v>
      </c>
      <c r="Q81" s="25" t="str">
        <f>VLOOKUP(P81,Key!$E$2:$F$9,2,FALSE)</f>
        <v>Home</v>
      </c>
      <c r="R81" s="25" t="str">
        <f t="shared" si="1"/>
        <v>Work-Home</v>
      </c>
      <c r="S81" s="58">
        <v>10</v>
      </c>
      <c r="T81" s="58">
        <v>0.1</v>
      </c>
      <c r="U81" s="43">
        <v>6</v>
      </c>
      <c r="V81" s="43"/>
      <c r="W81" s="58"/>
      <c r="X81" s="58"/>
      <c r="Y81" s="59" t="s">
        <v>156</v>
      </c>
      <c r="Z81" s="60">
        <v>0</v>
      </c>
      <c r="AA81" s="25"/>
      <c r="AB81" s="25"/>
    </row>
    <row r="82" spans="2:28">
      <c r="B82" s="40">
        <v>0.57777777777777783</v>
      </c>
      <c r="C82" s="40" t="s">
        <v>666</v>
      </c>
      <c r="D82" s="41">
        <v>1</v>
      </c>
      <c r="E82" s="42">
        <v>1</v>
      </c>
      <c r="F82" s="42" t="s">
        <v>667</v>
      </c>
      <c r="G82" s="43" t="s">
        <v>154</v>
      </c>
      <c r="H82" s="42" t="s">
        <v>155</v>
      </c>
      <c r="I82" s="43">
        <v>2</v>
      </c>
      <c r="J82" s="43">
        <v>2</v>
      </c>
      <c r="K82" s="25" t="str">
        <f>VLOOKUP(J82,Key!$E$2:$F$9,2,FALSE)</f>
        <v>Work</v>
      </c>
      <c r="L82" s="42" t="s">
        <v>668</v>
      </c>
      <c r="M82" s="43" t="s">
        <v>154</v>
      </c>
      <c r="N82" s="42" t="s">
        <v>155</v>
      </c>
      <c r="O82" s="43">
        <v>1</v>
      </c>
      <c r="P82" s="43">
        <v>1</v>
      </c>
      <c r="Q82" s="25" t="str">
        <f>VLOOKUP(P82,Key!$E$2:$F$9,2,FALSE)</f>
        <v>Home</v>
      </c>
      <c r="R82" s="25" t="str">
        <f t="shared" si="1"/>
        <v>Work-Home</v>
      </c>
      <c r="S82" s="58">
        <v>22</v>
      </c>
      <c r="T82" s="58">
        <v>0.7</v>
      </c>
      <c r="U82" s="43">
        <v>3</v>
      </c>
      <c r="V82" s="43"/>
      <c r="W82" s="58"/>
      <c r="X82" s="58"/>
      <c r="Y82" s="59" t="s">
        <v>156</v>
      </c>
      <c r="Z82" s="60">
        <v>0</v>
      </c>
      <c r="AA82" s="25"/>
      <c r="AB82" s="25"/>
    </row>
    <row r="83" spans="2:28">
      <c r="B83" s="40">
        <v>0.60486111111111118</v>
      </c>
      <c r="C83" s="40" t="s">
        <v>669</v>
      </c>
      <c r="D83" s="41">
        <v>1</v>
      </c>
      <c r="E83" s="42">
        <v>1</v>
      </c>
      <c r="F83" s="42" t="s">
        <v>168</v>
      </c>
      <c r="G83" s="43" t="s">
        <v>154</v>
      </c>
      <c r="H83" s="42" t="s">
        <v>155</v>
      </c>
      <c r="I83" s="43">
        <v>1</v>
      </c>
      <c r="J83" s="43">
        <v>1</v>
      </c>
      <c r="K83" s="25" t="str">
        <f>VLOOKUP(J83,Key!$E$2:$F$9,2,FALSE)</f>
        <v>Home</v>
      </c>
      <c r="L83" s="42" t="s">
        <v>670</v>
      </c>
      <c r="M83" s="43" t="s">
        <v>154</v>
      </c>
      <c r="N83" s="42" t="s">
        <v>155</v>
      </c>
      <c r="O83" s="43">
        <v>7</v>
      </c>
      <c r="P83" s="43">
        <v>2</v>
      </c>
      <c r="Q83" s="25" t="str">
        <f>VLOOKUP(P83,Key!$E$2:$F$9,2,FALSE)</f>
        <v>Work</v>
      </c>
      <c r="R83" s="25" t="str">
        <f t="shared" si="1"/>
        <v>Home-Work</v>
      </c>
      <c r="S83" s="58">
        <v>2</v>
      </c>
      <c r="T83" s="58">
        <v>0.3</v>
      </c>
      <c r="U83" s="43"/>
      <c r="V83" s="43"/>
      <c r="W83" s="58"/>
      <c r="X83" s="58"/>
      <c r="Y83" s="59" t="s">
        <v>156</v>
      </c>
      <c r="Z83" s="60">
        <v>500</v>
      </c>
      <c r="AA83" s="25"/>
      <c r="AB83" s="25"/>
    </row>
    <row r="84" spans="2:28">
      <c r="B84" s="40">
        <v>0.57291666666666663</v>
      </c>
      <c r="C84" s="40" t="s">
        <v>671</v>
      </c>
      <c r="D84" s="41">
        <v>4</v>
      </c>
      <c r="E84" s="42">
        <v>14</v>
      </c>
      <c r="F84" s="42" t="s">
        <v>154</v>
      </c>
      <c r="G84" s="43" t="s">
        <v>154</v>
      </c>
      <c r="H84" s="42" t="s">
        <v>155</v>
      </c>
      <c r="I84" s="43">
        <v>6</v>
      </c>
      <c r="J84" s="43">
        <v>2</v>
      </c>
      <c r="K84" s="25" t="str">
        <f>VLOOKUP(J84,Key!$E$2:$F$9,2,FALSE)</f>
        <v>Work</v>
      </c>
      <c r="L84" s="42" t="s">
        <v>146</v>
      </c>
      <c r="M84" s="43" t="s">
        <v>154</v>
      </c>
      <c r="N84" s="42" t="s">
        <v>155</v>
      </c>
      <c r="O84" s="43">
        <v>6</v>
      </c>
      <c r="P84" s="43">
        <v>2</v>
      </c>
      <c r="Q84" s="25" t="str">
        <f>VLOOKUP(P84,Key!$E$2:$F$9,2,FALSE)</f>
        <v>Work</v>
      </c>
      <c r="R84" s="25" t="str">
        <f t="shared" si="1"/>
        <v>Work-Work</v>
      </c>
      <c r="S84" s="58">
        <v>20</v>
      </c>
      <c r="T84" s="58">
        <v>0.7</v>
      </c>
      <c r="U84" s="43">
        <v>1</v>
      </c>
      <c r="V84" s="43"/>
      <c r="W84" s="58"/>
      <c r="X84" s="58"/>
      <c r="Y84" s="59" t="s">
        <v>156</v>
      </c>
      <c r="Z84" s="60">
        <v>5000</v>
      </c>
      <c r="AA84" s="25"/>
      <c r="AB84" s="25"/>
    </row>
    <row r="85" spans="2:28">
      <c r="B85" s="40">
        <v>0.60555555555555551</v>
      </c>
      <c r="C85" s="40" t="s">
        <v>672</v>
      </c>
      <c r="D85" s="41">
        <v>1</v>
      </c>
      <c r="E85" s="42">
        <v>4</v>
      </c>
      <c r="F85" s="42" t="s">
        <v>168</v>
      </c>
      <c r="G85" s="43" t="s">
        <v>154</v>
      </c>
      <c r="H85" s="42" t="s">
        <v>155</v>
      </c>
      <c r="I85" s="43">
        <v>1</v>
      </c>
      <c r="J85" s="43">
        <v>1</v>
      </c>
      <c r="K85" s="25" t="str">
        <f>VLOOKUP(J85,Key!$E$2:$F$9,2,FALSE)</f>
        <v>Home</v>
      </c>
      <c r="L85" s="42" t="s">
        <v>146</v>
      </c>
      <c r="M85" s="43" t="s">
        <v>154</v>
      </c>
      <c r="N85" s="42" t="s">
        <v>155</v>
      </c>
      <c r="O85" s="43">
        <v>2</v>
      </c>
      <c r="P85" s="43">
        <v>2</v>
      </c>
      <c r="Q85" s="25" t="str">
        <f>VLOOKUP(P85,Key!$E$2:$F$9,2,FALSE)</f>
        <v>Work</v>
      </c>
      <c r="R85" s="25" t="str">
        <f t="shared" si="1"/>
        <v>Home-Work</v>
      </c>
      <c r="S85" s="58">
        <v>4</v>
      </c>
      <c r="T85" s="58">
        <v>0.2</v>
      </c>
      <c r="U85" s="43">
        <v>1</v>
      </c>
      <c r="V85" s="43"/>
      <c r="W85" s="58"/>
      <c r="X85" s="58"/>
      <c r="Y85" s="59" t="s">
        <v>156</v>
      </c>
      <c r="Z85" s="60">
        <v>0</v>
      </c>
      <c r="AA85" s="25"/>
      <c r="AB85" s="25"/>
    </row>
    <row r="86" spans="2:28">
      <c r="B86" s="40">
        <v>0.60625000000000007</v>
      </c>
      <c r="C86" s="40" t="s">
        <v>673</v>
      </c>
      <c r="D86" s="41">
        <v>8</v>
      </c>
      <c r="E86" s="42">
        <v>2</v>
      </c>
      <c r="F86" s="42" t="s">
        <v>639</v>
      </c>
      <c r="G86" s="43" t="s">
        <v>154</v>
      </c>
      <c r="H86" s="42" t="s">
        <v>155</v>
      </c>
      <c r="I86" s="43">
        <v>1</v>
      </c>
      <c r="J86" s="43">
        <v>1</v>
      </c>
      <c r="K86" s="25" t="str">
        <f>VLOOKUP(J86,Key!$E$2:$F$9,2,FALSE)</f>
        <v>Home</v>
      </c>
      <c r="L86" s="42" t="s">
        <v>295</v>
      </c>
      <c r="M86" s="43" t="s">
        <v>154</v>
      </c>
      <c r="N86" s="42" t="s">
        <v>155</v>
      </c>
      <c r="O86" s="43">
        <v>1</v>
      </c>
      <c r="P86" s="43">
        <v>1</v>
      </c>
      <c r="Q86" s="25" t="str">
        <f>VLOOKUP(P86,Key!$E$2:$F$9,2,FALSE)</f>
        <v>Home</v>
      </c>
      <c r="R86" s="25" t="str">
        <f t="shared" si="1"/>
        <v>Home-Home</v>
      </c>
      <c r="S86" s="58">
        <v>78</v>
      </c>
      <c r="T86" s="58">
        <v>2</v>
      </c>
      <c r="U86" s="43">
        <v>6</v>
      </c>
      <c r="V86" s="43"/>
      <c r="W86" s="58"/>
      <c r="X86" s="58"/>
      <c r="Y86" s="59" t="s">
        <v>156</v>
      </c>
      <c r="Z86" s="60">
        <v>2000</v>
      </c>
      <c r="AA86" s="25"/>
      <c r="AB86" s="25"/>
    </row>
    <row r="87" spans="2:28">
      <c r="B87" s="40">
        <v>0.5708333333333333</v>
      </c>
      <c r="C87" s="40" t="s">
        <v>674</v>
      </c>
      <c r="D87" s="41">
        <v>1</v>
      </c>
      <c r="E87" s="42">
        <v>2</v>
      </c>
      <c r="F87" s="42" t="s">
        <v>376</v>
      </c>
      <c r="G87" s="43" t="s">
        <v>154</v>
      </c>
      <c r="H87" s="42" t="s">
        <v>155</v>
      </c>
      <c r="I87" s="43">
        <v>1</v>
      </c>
      <c r="J87" s="43">
        <v>1</v>
      </c>
      <c r="K87" s="25" t="str">
        <f>VLOOKUP(J87,Key!$E$2:$F$9,2,FALSE)</f>
        <v>Home</v>
      </c>
      <c r="L87" s="42" t="s">
        <v>159</v>
      </c>
      <c r="M87" s="43" t="s">
        <v>159</v>
      </c>
      <c r="N87" s="42" t="s">
        <v>155</v>
      </c>
      <c r="O87" s="43">
        <v>11</v>
      </c>
      <c r="P87" s="43">
        <v>4</v>
      </c>
      <c r="Q87" s="25" t="str">
        <f>VLOOKUP(P87,Key!$E$2:$F$9,2,FALSE)</f>
        <v>Commercial</v>
      </c>
      <c r="R87" s="25" t="str">
        <f t="shared" si="1"/>
        <v>Home-Commercial</v>
      </c>
      <c r="S87" s="58"/>
      <c r="T87" s="58">
        <v>0.7</v>
      </c>
      <c r="U87" s="43">
        <v>1</v>
      </c>
      <c r="V87" s="43"/>
      <c r="W87" s="58"/>
      <c r="X87" s="58"/>
      <c r="Y87" s="59" t="s">
        <v>156</v>
      </c>
      <c r="Z87" s="60">
        <v>2000</v>
      </c>
      <c r="AA87" s="25"/>
      <c r="AB87" s="25"/>
    </row>
    <row r="88" spans="2:28">
      <c r="B88" s="40">
        <v>0.56527777777777777</v>
      </c>
      <c r="C88" s="40" t="s">
        <v>675</v>
      </c>
      <c r="D88" s="41">
        <v>1</v>
      </c>
      <c r="E88" s="42">
        <v>1</v>
      </c>
      <c r="F88" s="42" t="s">
        <v>564</v>
      </c>
      <c r="G88" s="43" t="s">
        <v>154</v>
      </c>
      <c r="H88" s="42" t="s">
        <v>155</v>
      </c>
      <c r="I88" s="43">
        <v>1</v>
      </c>
      <c r="J88" s="43">
        <v>1</v>
      </c>
      <c r="K88" s="25" t="str">
        <f>VLOOKUP(J88,Key!$E$2:$F$9,2,FALSE)</f>
        <v>Home</v>
      </c>
      <c r="L88" s="42" t="s">
        <v>177</v>
      </c>
      <c r="M88" s="43" t="s">
        <v>159</v>
      </c>
      <c r="N88" s="42" t="s">
        <v>155</v>
      </c>
      <c r="O88" s="43">
        <v>2</v>
      </c>
      <c r="P88" s="43">
        <v>2</v>
      </c>
      <c r="Q88" s="25" t="str">
        <f>VLOOKUP(P88,Key!$E$2:$F$9,2,FALSE)</f>
        <v>Work</v>
      </c>
      <c r="R88" s="25" t="str">
        <f t="shared" si="1"/>
        <v>Home-Work</v>
      </c>
      <c r="S88" s="58">
        <v>23</v>
      </c>
      <c r="T88" s="58">
        <v>0.7</v>
      </c>
      <c r="U88" s="43">
        <v>1</v>
      </c>
      <c r="V88" s="43"/>
      <c r="W88" s="58"/>
      <c r="X88" s="58"/>
      <c r="Y88" s="59" t="s">
        <v>156</v>
      </c>
      <c r="Z88" s="60">
        <v>3000</v>
      </c>
      <c r="AA88" s="25"/>
      <c r="AB88" s="25"/>
    </row>
    <row r="89" spans="2:28">
      <c r="B89" s="40">
        <v>0.5493055555555556</v>
      </c>
      <c r="C89" s="40" t="s">
        <v>676</v>
      </c>
      <c r="D89" s="41">
        <v>7</v>
      </c>
      <c r="E89" s="42">
        <v>2</v>
      </c>
      <c r="F89" s="42" t="s">
        <v>168</v>
      </c>
      <c r="G89" s="43" t="s">
        <v>154</v>
      </c>
      <c r="H89" s="42" t="s">
        <v>155</v>
      </c>
      <c r="I89" s="43">
        <v>1</v>
      </c>
      <c r="J89" s="43">
        <v>1</v>
      </c>
      <c r="K89" s="25" t="str">
        <f>VLOOKUP(J89,Key!$E$2:$F$9,2,FALSE)</f>
        <v>Home</v>
      </c>
      <c r="L89" s="42" t="s">
        <v>564</v>
      </c>
      <c r="M89" s="43" t="s">
        <v>154</v>
      </c>
      <c r="N89" s="42" t="s">
        <v>155</v>
      </c>
      <c r="O89" s="43">
        <v>6</v>
      </c>
      <c r="P89" s="43">
        <v>2</v>
      </c>
      <c r="Q89" s="25" t="str">
        <f>VLOOKUP(P89,Key!$E$2:$F$9,2,FALSE)</f>
        <v>Work</v>
      </c>
      <c r="R89" s="25" t="str">
        <f t="shared" si="1"/>
        <v>Home-Work</v>
      </c>
      <c r="S89" s="58">
        <v>2</v>
      </c>
      <c r="T89" s="58">
        <v>0.1</v>
      </c>
      <c r="U89" s="43">
        <v>6</v>
      </c>
      <c r="V89" s="43">
        <v>5</v>
      </c>
      <c r="W89" s="58">
        <v>0.1</v>
      </c>
      <c r="X89" s="58"/>
      <c r="Y89" s="59" t="s">
        <v>156</v>
      </c>
      <c r="Z89" s="60">
        <v>300</v>
      </c>
      <c r="AA89" s="25"/>
      <c r="AB89" s="25"/>
    </row>
    <row r="90" spans="2:28">
      <c r="B90" s="40">
        <v>0.54999999999999993</v>
      </c>
      <c r="C90" s="40" t="s">
        <v>677</v>
      </c>
      <c r="D90" s="41">
        <v>1</v>
      </c>
      <c r="E90" s="42">
        <v>6</v>
      </c>
      <c r="F90" s="42" t="s">
        <v>376</v>
      </c>
      <c r="G90" s="43" t="s">
        <v>154</v>
      </c>
      <c r="H90" s="42" t="s">
        <v>155</v>
      </c>
      <c r="I90" s="43">
        <v>2</v>
      </c>
      <c r="J90" s="43">
        <v>2</v>
      </c>
      <c r="K90" s="25" t="str">
        <f>VLOOKUP(J90,Key!$E$2:$F$9,2,FALSE)</f>
        <v>Work</v>
      </c>
      <c r="L90" s="42" t="s">
        <v>159</v>
      </c>
      <c r="M90" s="43" t="s">
        <v>159</v>
      </c>
      <c r="N90" s="42" t="s">
        <v>155</v>
      </c>
      <c r="O90" s="43">
        <v>1</v>
      </c>
      <c r="P90" s="43">
        <v>1</v>
      </c>
      <c r="Q90" s="25" t="str">
        <f>VLOOKUP(P90,Key!$E$2:$F$9,2,FALSE)</f>
        <v>Home</v>
      </c>
      <c r="R90" s="25" t="str">
        <f t="shared" si="1"/>
        <v>Work-Home</v>
      </c>
      <c r="S90" s="58">
        <v>10</v>
      </c>
      <c r="T90" s="58">
        <v>2</v>
      </c>
      <c r="U90" s="43">
        <v>1</v>
      </c>
      <c r="V90" s="43"/>
      <c r="W90" s="58"/>
      <c r="X90" s="58"/>
      <c r="Y90" s="59" t="s">
        <v>156</v>
      </c>
      <c r="Z90" s="60">
        <v>0</v>
      </c>
      <c r="AA90" s="25"/>
      <c r="AB90" s="25"/>
    </row>
    <row r="91" spans="2:28">
      <c r="B91" s="40">
        <v>0.5541666666666667</v>
      </c>
      <c r="C91" s="40" t="s">
        <v>678</v>
      </c>
      <c r="D91" s="41">
        <v>2</v>
      </c>
      <c r="E91" s="42">
        <v>1</v>
      </c>
      <c r="F91" s="42" t="s">
        <v>168</v>
      </c>
      <c r="G91" s="43" t="s">
        <v>154</v>
      </c>
      <c r="H91" s="42" t="s">
        <v>155</v>
      </c>
      <c r="I91" s="43">
        <v>1</v>
      </c>
      <c r="J91" s="43">
        <v>1</v>
      </c>
      <c r="K91" s="25" t="str">
        <f>VLOOKUP(J91,Key!$E$2:$F$9,2,FALSE)</f>
        <v>Home</v>
      </c>
      <c r="L91" s="42" t="s">
        <v>159</v>
      </c>
      <c r="M91" s="43" t="s">
        <v>159</v>
      </c>
      <c r="N91" s="42" t="s">
        <v>155</v>
      </c>
      <c r="O91" s="43">
        <v>2</v>
      </c>
      <c r="P91" s="43">
        <v>2</v>
      </c>
      <c r="Q91" s="25" t="str">
        <f>VLOOKUP(P91,Key!$E$2:$F$9,2,FALSE)</f>
        <v>Work</v>
      </c>
      <c r="R91" s="25" t="str">
        <f t="shared" si="1"/>
        <v>Home-Work</v>
      </c>
      <c r="S91" s="58">
        <v>11</v>
      </c>
      <c r="T91" s="58">
        <v>1</v>
      </c>
      <c r="U91" s="43">
        <v>1</v>
      </c>
      <c r="V91" s="43"/>
      <c r="W91" s="58"/>
      <c r="X91" s="58"/>
      <c r="Y91" s="59" t="s">
        <v>156</v>
      </c>
      <c r="Z91" s="60">
        <v>5000</v>
      </c>
      <c r="AA91" s="25"/>
      <c r="AB91" s="25"/>
    </row>
    <row r="92" spans="2:28">
      <c r="B92" s="40">
        <v>0.55833333333333335</v>
      </c>
      <c r="C92" s="40" t="s">
        <v>679</v>
      </c>
      <c r="D92" s="41">
        <v>7</v>
      </c>
      <c r="E92" s="42">
        <v>5</v>
      </c>
      <c r="F92" s="42" t="s">
        <v>168</v>
      </c>
      <c r="G92" s="43" t="s">
        <v>154</v>
      </c>
      <c r="H92" s="42" t="s">
        <v>155</v>
      </c>
      <c r="I92" s="43">
        <v>2</v>
      </c>
      <c r="J92" s="43">
        <v>2</v>
      </c>
      <c r="K92" s="25" t="str">
        <f>VLOOKUP(J92,Key!$E$2:$F$9,2,FALSE)</f>
        <v>Work</v>
      </c>
      <c r="L92" s="42" t="s">
        <v>184</v>
      </c>
      <c r="M92" s="43" t="s">
        <v>154</v>
      </c>
      <c r="N92" s="42" t="s">
        <v>155</v>
      </c>
      <c r="O92" s="43">
        <v>6</v>
      </c>
      <c r="P92" s="43">
        <v>6</v>
      </c>
      <c r="Q92" s="25" t="str">
        <f>VLOOKUP(P92,Key!$E$2:$F$9,2,FALSE)</f>
        <v>Leisure/Social</v>
      </c>
      <c r="R92" s="25" t="str">
        <f t="shared" si="1"/>
        <v>Work-Leisure/Social</v>
      </c>
      <c r="S92" s="58">
        <v>2</v>
      </c>
      <c r="T92" s="58">
        <v>0.2</v>
      </c>
      <c r="U92" s="43">
        <v>1</v>
      </c>
      <c r="V92" s="43"/>
      <c r="W92" s="58"/>
      <c r="X92" s="58"/>
      <c r="Y92" s="59" t="s">
        <v>156</v>
      </c>
      <c r="Z92" s="60">
        <v>5000</v>
      </c>
      <c r="AA92" s="25"/>
      <c r="AB92" s="25"/>
    </row>
    <row r="93" spans="2:28">
      <c r="B93" s="40">
        <v>0.5625</v>
      </c>
      <c r="C93" s="40" t="s">
        <v>680</v>
      </c>
      <c r="D93" s="41">
        <v>2</v>
      </c>
      <c r="E93" s="42">
        <v>1</v>
      </c>
      <c r="F93" s="42" t="s">
        <v>391</v>
      </c>
      <c r="G93" s="43" t="s">
        <v>154</v>
      </c>
      <c r="H93" s="42" t="s">
        <v>155</v>
      </c>
      <c r="I93" s="43">
        <v>1</v>
      </c>
      <c r="J93" s="43">
        <v>1</v>
      </c>
      <c r="K93" s="25" t="str">
        <f>VLOOKUP(J93,Key!$E$2:$F$9,2,FALSE)</f>
        <v>Home</v>
      </c>
      <c r="L93" s="42" t="s">
        <v>681</v>
      </c>
      <c r="M93" s="43" t="s">
        <v>154</v>
      </c>
      <c r="N93" s="42" t="s">
        <v>155</v>
      </c>
      <c r="O93" s="43">
        <v>7</v>
      </c>
      <c r="P93" s="43">
        <v>4</v>
      </c>
      <c r="Q93" s="25" t="str">
        <f>VLOOKUP(P93,Key!$E$2:$F$9,2,FALSE)</f>
        <v>Commercial</v>
      </c>
      <c r="R93" s="25" t="str">
        <f t="shared" si="1"/>
        <v>Home-Commercial</v>
      </c>
      <c r="S93" s="58">
        <v>5</v>
      </c>
      <c r="T93" s="58">
        <v>0.2</v>
      </c>
      <c r="U93" s="43">
        <v>1</v>
      </c>
      <c r="V93" s="43"/>
      <c r="W93" s="58"/>
      <c r="X93" s="58"/>
      <c r="Y93" s="59" t="s">
        <v>156</v>
      </c>
      <c r="Z93" s="60">
        <v>3000</v>
      </c>
      <c r="AA93" s="25"/>
      <c r="AB93" s="25"/>
    </row>
    <row r="94" spans="2:28">
      <c r="B94" s="40">
        <v>0.56666666666666665</v>
      </c>
      <c r="C94" s="40" t="s">
        <v>682</v>
      </c>
      <c r="D94" s="41">
        <v>2</v>
      </c>
      <c r="E94" s="42">
        <v>2</v>
      </c>
      <c r="F94" s="42" t="s">
        <v>147</v>
      </c>
      <c r="G94" s="43" t="s">
        <v>154</v>
      </c>
      <c r="H94" s="42" t="s">
        <v>155</v>
      </c>
      <c r="I94" s="43">
        <v>4</v>
      </c>
      <c r="J94" s="43">
        <v>3</v>
      </c>
      <c r="K94" s="25" t="str">
        <f>VLOOKUP(J94,Key!$E$2:$F$9,2,FALSE)</f>
        <v>Study</v>
      </c>
      <c r="L94" s="42" t="s">
        <v>159</v>
      </c>
      <c r="M94" s="43" t="s">
        <v>159</v>
      </c>
      <c r="N94" s="42" t="s">
        <v>155</v>
      </c>
      <c r="O94" s="43">
        <v>7</v>
      </c>
      <c r="P94" s="43">
        <v>4</v>
      </c>
      <c r="Q94" s="25" t="str">
        <f>VLOOKUP(P94,Key!$E$2:$F$9,2,FALSE)</f>
        <v>Commercial</v>
      </c>
      <c r="R94" s="25" t="str">
        <f t="shared" si="1"/>
        <v>Study-Commercial</v>
      </c>
      <c r="S94" s="58">
        <v>6</v>
      </c>
      <c r="T94" s="58">
        <v>0.3</v>
      </c>
      <c r="U94" s="43">
        <v>6</v>
      </c>
      <c r="V94" s="43"/>
      <c r="W94" s="58"/>
      <c r="X94" s="58"/>
      <c r="Y94" s="59" t="s">
        <v>156</v>
      </c>
      <c r="Z94" s="60">
        <v>0</v>
      </c>
      <c r="AA94" s="25"/>
      <c r="AB94" s="25"/>
    </row>
    <row r="95" spans="2:28">
      <c r="B95" s="40">
        <v>0.56944444444444442</v>
      </c>
      <c r="C95" s="40" t="s">
        <v>683</v>
      </c>
      <c r="D95" s="41">
        <v>1</v>
      </c>
      <c r="E95" s="42">
        <v>2</v>
      </c>
      <c r="F95" s="42" t="s">
        <v>684</v>
      </c>
      <c r="G95" s="43" t="s">
        <v>154</v>
      </c>
      <c r="H95" s="42" t="s">
        <v>155</v>
      </c>
      <c r="I95" s="43">
        <v>1</v>
      </c>
      <c r="J95" s="43">
        <v>1</v>
      </c>
      <c r="K95" s="25" t="str">
        <f>VLOOKUP(J95,Key!$E$2:$F$9,2,FALSE)</f>
        <v>Home</v>
      </c>
      <c r="L95" s="42" t="s">
        <v>159</v>
      </c>
      <c r="M95" s="43" t="s">
        <v>159</v>
      </c>
      <c r="N95" s="42" t="s">
        <v>155</v>
      </c>
      <c r="O95" s="43">
        <v>7</v>
      </c>
      <c r="P95" s="43">
        <v>4</v>
      </c>
      <c r="Q95" s="25" t="str">
        <f>VLOOKUP(P95,Key!$E$2:$F$9,2,FALSE)</f>
        <v>Commercial</v>
      </c>
      <c r="R95" s="25" t="str">
        <f t="shared" si="1"/>
        <v>Home-Commercial</v>
      </c>
      <c r="S95" s="58">
        <v>40</v>
      </c>
      <c r="T95" s="58">
        <v>1</v>
      </c>
      <c r="U95" s="43">
        <v>1</v>
      </c>
      <c r="V95" s="43"/>
      <c r="W95" s="58"/>
      <c r="X95" s="58"/>
      <c r="Y95" s="59" t="s">
        <v>156</v>
      </c>
      <c r="Z95" s="60">
        <v>0</v>
      </c>
      <c r="AA95" s="25"/>
      <c r="AB95" s="25"/>
    </row>
    <row r="96" spans="2:28">
      <c r="B96" s="40">
        <v>0.46666666666666662</v>
      </c>
      <c r="C96" s="40" t="s">
        <v>685</v>
      </c>
      <c r="D96" s="41">
        <v>2</v>
      </c>
      <c r="E96" s="42">
        <v>2</v>
      </c>
      <c r="F96" s="42" t="s">
        <v>686</v>
      </c>
      <c r="G96" s="43" t="s">
        <v>154</v>
      </c>
      <c r="H96" s="42" t="s">
        <v>155</v>
      </c>
      <c r="I96" s="43">
        <v>1</v>
      </c>
      <c r="J96" s="43">
        <v>1</v>
      </c>
      <c r="K96" s="25" t="str">
        <f>VLOOKUP(J96,Key!$E$2:$F$9,2,FALSE)</f>
        <v>Home</v>
      </c>
      <c r="L96" s="42" t="s">
        <v>159</v>
      </c>
      <c r="M96" s="43" t="s">
        <v>159</v>
      </c>
      <c r="N96" s="42" t="s">
        <v>155</v>
      </c>
      <c r="O96" s="43">
        <v>2</v>
      </c>
      <c r="P96" s="43">
        <v>2</v>
      </c>
      <c r="Q96" s="25" t="str">
        <f>VLOOKUP(P96,Key!$E$2:$F$9,2,FALSE)</f>
        <v>Work</v>
      </c>
      <c r="R96" s="25" t="str">
        <f t="shared" si="1"/>
        <v>Home-Work</v>
      </c>
      <c r="S96" s="58">
        <v>15</v>
      </c>
      <c r="T96" s="58">
        <v>1</v>
      </c>
      <c r="U96" s="43">
        <v>1</v>
      </c>
      <c r="V96" s="43"/>
      <c r="W96" s="58"/>
      <c r="X96" s="58"/>
      <c r="Y96" s="59" t="s">
        <v>156</v>
      </c>
      <c r="Z96" s="60">
        <v>2000</v>
      </c>
      <c r="AA96" s="25"/>
      <c r="AB96" s="25"/>
    </row>
    <row r="97" spans="2:28">
      <c r="B97" s="40">
        <v>0.46736111111111112</v>
      </c>
      <c r="C97" s="40" t="s">
        <v>687</v>
      </c>
      <c r="D97" s="41">
        <v>1</v>
      </c>
      <c r="E97" s="42">
        <v>2</v>
      </c>
      <c r="F97" s="42" t="s">
        <v>168</v>
      </c>
      <c r="G97" s="43" t="s">
        <v>154</v>
      </c>
      <c r="H97" s="42" t="s">
        <v>155</v>
      </c>
      <c r="I97" s="43">
        <v>1</v>
      </c>
      <c r="J97" s="43">
        <v>1</v>
      </c>
      <c r="K97" s="25" t="str">
        <f>VLOOKUP(J97,Key!$E$2:$F$9,2,FALSE)</f>
        <v>Home</v>
      </c>
      <c r="L97" s="42" t="s">
        <v>159</v>
      </c>
      <c r="M97" s="43" t="s">
        <v>159</v>
      </c>
      <c r="N97" s="42" t="s">
        <v>155</v>
      </c>
      <c r="O97" s="43">
        <v>2</v>
      </c>
      <c r="P97" s="43">
        <v>2</v>
      </c>
      <c r="Q97" s="25" t="str">
        <f>VLOOKUP(P97,Key!$E$2:$F$9,2,FALSE)</f>
        <v>Work</v>
      </c>
      <c r="R97" s="25" t="str">
        <f t="shared" si="1"/>
        <v>Home-Work</v>
      </c>
      <c r="S97" s="58">
        <v>17</v>
      </c>
      <c r="T97" s="58">
        <v>0.7</v>
      </c>
      <c r="U97" s="43">
        <v>2</v>
      </c>
      <c r="V97" s="43"/>
      <c r="W97" s="58"/>
      <c r="X97" s="58"/>
      <c r="Y97" s="59" t="s">
        <v>156</v>
      </c>
      <c r="Z97" s="60">
        <v>3000</v>
      </c>
      <c r="AA97" s="25"/>
      <c r="AB97" s="25"/>
    </row>
    <row r="98" spans="2:28">
      <c r="B98" s="40">
        <v>0.42083333333333334</v>
      </c>
      <c r="C98" s="40" t="s">
        <v>688</v>
      </c>
      <c r="D98" s="41">
        <v>11</v>
      </c>
      <c r="E98" s="42">
        <v>2</v>
      </c>
      <c r="F98" s="42" t="s">
        <v>689</v>
      </c>
      <c r="G98" s="43" t="s">
        <v>154</v>
      </c>
      <c r="H98" s="42" t="s">
        <v>155</v>
      </c>
      <c r="I98" s="43">
        <v>1</v>
      </c>
      <c r="J98" s="43">
        <v>1</v>
      </c>
      <c r="K98" s="25" t="str">
        <f>VLOOKUP(J98,Key!$E$2:$F$9,2,FALSE)</f>
        <v>Home</v>
      </c>
      <c r="L98" s="42" t="s">
        <v>690</v>
      </c>
      <c r="M98" s="43" t="s">
        <v>154</v>
      </c>
      <c r="N98" s="42" t="s">
        <v>155</v>
      </c>
      <c r="O98" s="43">
        <v>4</v>
      </c>
      <c r="P98" s="43">
        <v>3</v>
      </c>
      <c r="Q98" s="25" t="str">
        <f>VLOOKUP(P98,Key!$E$2:$F$9,2,FALSE)</f>
        <v>Study</v>
      </c>
      <c r="R98" s="25" t="str">
        <f t="shared" si="1"/>
        <v>Home-Study</v>
      </c>
      <c r="S98" s="58">
        <v>16</v>
      </c>
      <c r="T98" s="58">
        <v>0.7</v>
      </c>
      <c r="U98" s="43">
        <v>1</v>
      </c>
      <c r="V98" s="43"/>
      <c r="W98" s="58"/>
      <c r="X98" s="58"/>
      <c r="Y98" s="59" t="s">
        <v>156</v>
      </c>
      <c r="Z98" s="60">
        <v>1000</v>
      </c>
      <c r="AA98" s="25"/>
      <c r="AB98" s="25"/>
    </row>
    <row r="99" spans="2:28">
      <c r="B99" s="40">
        <v>0.4236111111111111</v>
      </c>
      <c r="C99" s="40" t="s">
        <v>691</v>
      </c>
      <c r="D99" s="41">
        <v>2</v>
      </c>
      <c r="E99" s="42">
        <v>1</v>
      </c>
      <c r="F99" s="42" t="s">
        <v>376</v>
      </c>
      <c r="G99" s="43" t="s">
        <v>154</v>
      </c>
      <c r="H99" s="42" t="s">
        <v>155</v>
      </c>
      <c r="I99" s="43">
        <v>10</v>
      </c>
      <c r="J99" s="43">
        <v>2</v>
      </c>
      <c r="K99" s="25" t="str">
        <f>VLOOKUP(J99,Key!$E$2:$F$9,2,FALSE)</f>
        <v>Work</v>
      </c>
      <c r="L99" s="42" t="s">
        <v>241</v>
      </c>
      <c r="M99" s="43" t="s">
        <v>154</v>
      </c>
      <c r="N99" s="42" t="s">
        <v>155</v>
      </c>
      <c r="O99" s="43">
        <v>16</v>
      </c>
      <c r="P99" s="43">
        <v>8</v>
      </c>
      <c r="Q99" s="25" t="str">
        <f>VLOOKUP(P99,Key!$E$2:$F$9,2,FALSE)</f>
        <v>Others</v>
      </c>
      <c r="R99" s="25" t="str">
        <f t="shared" si="1"/>
        <v>Work-Others</v>
      </c>
      <c r="S99" s="58">
        <v>5</v>
      </c>
      <c r="T99" s="58">
        <v>0.5</v>
      </c>
      <c r="U99" s="43">
        <v>2</v>
      </c>
      <c r="V99" s="43"/>
      <c r="W99" s="58"/>
      <c r="X99" s="58"/>
      <c r="Y99" s="59" t="s">
        <v>156</v>
      </c>
      <c r="Z99" s="60">
        <v>0</v>
      </c>
      <c r="AA99" s="25"/>
      <c r="AB99" s="25"/>
    </row>
    <row r="100" spans="2:28">
      <c r="B100" s="40">
        <v>0.4291666666666667</v>
      </c>
      <c r="C100" s="40" t="s">
        <v>692</v>
      </c>
      <c r="D100" s="41">
        <v>1</v>
      </c>
      <c r="E100" s="42">
        <v>1</v>
      </c>
      <c r="F100" s="42" t="s">
        <v>394</v>
      </c>
      <c r="G100" s="43" t="s">
        <v>154</v>
      </c>
      <c r="H100" s="42" t="s">
        <v>155</v>
      </c>
      <c r="I100" s="43">
        <v>1</v>
      </c>
      <c r="J100" s="43">
        <v>1</v>
      </c>
      <c r="K100" s="25" t="str">
        <f>VLOOKUP(J100,Key!$E$2:$F$9,2,FALSE)</f>
        <v>Home</v>
      </c>
      <c r="L100" s="42" t="s">
        <v>184</v>
      </c>
      <c r="M100" s="43" t="s">
        <v>154</v>
      </c>
      <c r="N100" s="42" t="s">
        <v>155</v>
      </c>
      <c r="O100" s="43">
        <v>2</v>
      </c>
      <c r="P100" s="43">
        <v>2</v>
      </c>
      <c r="Q100" s="25" t="str">
        <f>VLOOKUP(P100,Key!$E$2:$F$9,2,FALSE)</f>
        <v>Work</v>
      </c>
      <c r="R100" s="25" t="str">
        <f t="shared" si="1"/>
        <v>Home-Work</v>
      </c>
      <c r="S100" s="58">
        <v>2</v>
      </c>
      <c r="T100" s="58">
        <v>0.1</v>
      </c>
      <c r="U100" s="43">
        <v>2</v>
      </c>
      <c r="V100" s="43"/>
      <c r="W100" s="58"/>
      <c r="X100" s="58"/>
      <c r="Y100" s="59" t="s">
        <v>156</v>
      </c>
      <c r="Z100" s="60">
        <v>0</v>
      </c>
      <c r="AA100" s="25"/>
      <c r="AB100" s="25"/>
    </row>
    <row r="101" spans="2:28">
      <c r="B101" s="40">
        <v>0.42499999999999999</v>
      </c>
      <c r="C101" s="40" t="s">
        <v>693</v>
      </c>
      <c r="D101" s="41">
        <v>1</v>
      </c>
      <c r="E101" s="42">
        <v>1</v>
      </c>
      <c r="F101" s="42" t="s">
        <v>694</v>
      </c>
      <c r="G101" s="43" t="s">
        <v>159</v>
      </c>
      <c r="H101" s="42" t="s">
        <v>155</v>
      </c>
      <c r="I101" s="43">
        <v>9</v>
      </c>
      <c r="J101" s="43">
        <v>2</v>
      </c>
      <c r="K101" s="25" t="str">
        <f>VLOOKUP(J101,Key!$E$2:$F$9,2,FALSE)</f>
        <v>Work</v>
      </c>
      <c r="L101" s="42" t="s">
        <v>694</v>
      </c>
      <c r="M101" s="43" t="s">
        <v>159</v>
      </c>
      <c r="N101" s="42" t="s">
        <v>155</v>
      </c>
      <c r="O101" s="43">
        <v>1</v>
      </c>
      <c r="P101" s="43">
        <v>1</v>
      </c>
      <c r="Q101" s="25" t="str">
        <f>VLOOKUP(P101,Key!$E$2:$F$9,2,FALSE)</f>
        <v>Home</v>
      </c>
      <c r="R101" s="25" t="str">
        <f t="shared" si="1"/>
        <v>Work-Home</v>
      </c>
      <c r="S101" s="58">
        <v>4</v>
      </c>
      <c r="T101" s="58">
        <v>0.2</v>
      </c>
      <c r="U101" s="43">
        <v>1</v>
      </c>
      <c r="V101" s="43"/>
      <c r="W101" s="58"/>
      <c r="X101" s="58"/>
      <c r="Y101" s="59" t="s">
        <v>156</v>
      </c>
      <c r="Z101" s="60">
        <v>0</v>
      </c>
      <c r="AA101" s="25"/>
      <c r="AB101" s="25"/>
    </row>
    <row r="102" spans="2:28">
      <c r="B102" s="40">
        <v>0.47152777777777777</v>
      </c>
      <c r="C102" s="40" t="s">
        <v>695</v>
      </c>
      <c r="D102" s="41">
        <v>1</v>
      </c>
      <c r="E102" s="42">
        <v>2</v>
      </c>
      <c r="F102" s="42" t="s">
        <v>696</v>
      </c>
      <c r="G102" s="43" t="s">
        <v>154</v>
      </c>
      <c r="H102" s="42" t="s">
        <v>155</v>
      </c>
      <c r="I102" s="43">
        <v>1</v>
      </c>
      <c r="J102" s="43">
        <v>1</v>
      </c>
      <c r="K102" s="25" t="str">
        <f>VLOOKUP(J102,Key!$E$2:$F$9,2,FALSE)</f>
        <v>Home</v>
      </c>
      <c r="L102" s="42" t="s">
        <v>564</v>
      </c>
      <c r="M102" s="43" t="s">
        <v>154</v>
      </c>
      <c r="N102" s="42" t="s">
        <v>155</v>
      </c>
      <c r="O102" s="43">
        <v>5</v>
      </c>
      <c r="P102" s="43">
        <v>7</v>
      </c>
      <c r="Q102" s="25" t="str">
        <f>VLOOKUP(P102,Key!$E$2:$F$9,2,FALSE)</f>
        <v>Hospital</v>
      </c>
      <c r="R102" s="25" t="str">
        <f t="shared" ref="R102:R115" si="2">K102&amp;"-"&amp;Q102</f>
        <v>Home-Hospital</v>
      </c>
      <c r="S102" s="58">
        <v>1</v>
      </c>
      <c r="T102" s="58">
        <v>0.1</v>
      </c>
      <c r="U102" s="43">
        <v>2</v>
      </c>
      <c r="V102" s="43"/>
      <c r="W102" s="58"/>
      <c r="X102" s="58"/>
      <c r="Y102" s="59" t="s">
        <v>156</v>
      </c>
      <c r="Z102" s="60">
        <v>1000</v>
      </c>
      <c r="AA102" s="25"/>
      <c r="AB102" s="25"/>
    </row>
    <row r="103" spans="2:28">
      <c r="B103" s="40">
        <v>0.47291666666666665</v>
      </c>
      <c r="C103" s="40" t="s">
        <v>697</v>
      </c>
      <c r="D103" s="41">
        <v>2</v>
      </c>
      <c r="E103" s="42">
        <v>2</v>
      </c>
      <c r="F103" s="42" t="s">
        <v>168</v>
      </c>
      <c r="G103" s="43" t="s">
        <v>154</v>
      </c>
      <c r="H103" s="42" t="s">
        <v>155</v>
      </c>
      <c r="I103" s="43">
        <v>16</v>
      </c>
      <c r="J103" s="43">
        <v>8</v>
      </c>
      <c r="K103" s="25" t="str">
        <f>VLOOKUP(J103,Key!$E$2:$F$9,2,FALSE)</f>
        <v>Others</v>
      </c>
      <c r="L103" s="42" t="s">
        <v>159</v>
      </c>
      <c r="M103" s="43" t="s">
        <v>159</v>
      </c>
      <c r="N103" s="42" t="s">
        <v>155</v>
      </c>
      <c r="O103" s="43">
        <v>5</v>
      </c>
      <c r="P103" s="43">
        <v>7</v>
      </c>
      <c r="Q103" s="25" t="str">
        <f>VLOOKUP(P103,Key!$E$2:$F$9,2,FALSE)</f>
        <v>Hospital</v>
      </c>
      <c r="R103" s="25" t="str">
        <f t="shared" si="2"/>
        <v>Others-Hospital</v>
      </c>
      <c r="S103" s="58">
        <v>20</v>
      </c>
      <c r="T103" s="58">
        <v>2</v>
      </c>
      <c r="U103" s="43">
        <v>2</v>
      </c>
      <c r="V103" s="43"/>
      <c r="W103" s="58"/>
      <c r="X103" s="58"/>
      <c r="Y103" s="59" t="s">
        <v>156</v>
      </c>
      <c r="Z103" s="60">
        <v>2000</v>
      </c>
      <c r="AA103" s="25"/>
      <c r="AB103" s="25"/>
    </row>
    <row r="104" spans="2:28">
      <c r="B104" s="40">
        <v>0.4604166666666667</v>
      </c>
      <c r="C104" s="40" t="s">
        <v>698</v>
      </c>
      <c r="D104" s="41">
        <v>1</v>
      </c>
      <c r="E104" s="42">
        <v>1</v>
      </c>
      <c r="F104" s="42" t="s">
        <v>160</v>
      </c>
      <c r="G104" s="43" t="s">
        <v>154</v>
      </c>
      <c r="H104" s="42" t="s">
        <v>155</v>
      </c>
      <c r="I104" s="43">
        <v>1</v>
      </c>
      <c r="J104" s="43">
        <v>1</v>
      </c>
      <c r="K104" s="25" t="str">
        <f>VLOOKUP(J104,Key!$E$2:$F$9,2,FALSE)</f>
        <v>Home</v>
      </c>
      <c r="L104" s="42" t="s">
        <v>159</v>
      </c>
      <c r="M104" s="43" t="s">
        <v>159</v>
      </c>
      <c r="N104" s="42" t="s">
        <v>155</v>
      </c>
      <c r="O104" s="43">
        <v>2</v>
      </c>
      <c r="P104" s="43">
        <v>2</v>
      </c>
      <c r="Q104" s="25" t="str">
        <f>VLOOKUP(P104,Key!$E$2:$F$9,2,FALSE)</f>
        <v>Work</v>
      </c>
      <c r="R104" s="25" t="str">
        <f t="shared" si="2"/>
        <v>Home-Work</v>
      </c>
      <c r="S104" s="58">
        <v>10</v>
      </c>
      <c r="T104" s="58">
        <v>0.7</v>
      </c>
      <c r="U104" s="43">
        <v>2</v>
      </c>
      <c r="V104" s="43"/>
      <c r="W104" s="58"/>
      <c r="X104" s="58"/>
      <c r="Y104" s="59" t="s">
        <v>156</v>
      </c>
      <c r="Z104" s="60">
        <v>5000</v>
      </c>
      <c r="AA104" s="25"/>
      <c r="AB104" s="25"/>
    </row>
    <row r="105" spans="2:28" ht="12" customHeight="1">
      <c r="B105" s="40">
        <v>0.45624999999999999</v>
      </c>
      <c r="C105" s="40" t="s">
        <v>699</v>
      </c>
      <c r="D105" s="41">
        <v>1</v>
      </c>
      <c r="E105" s="42">
        <v>2</v>
      </c>
      <c r="F105" s="42" t="s">
        <v>147</v>
      </c>
      <c r="G105" s="43" t="s">
        <v>154</v>
      </c>
      <c r="H105" s="42" t="s">
        <v>155</v>
      </c>
      <c r="I105" s="43">
        <v>1</v>
      </c>
      <c r="J105" s="43">
        <v>1</v>
      </c>
      <c r="K105" s="25" t="str">
        <f>VLOOKUP(J105,Key!$E$2:$F$9,2,FALSE)</f>
        <v>Home</v>
      </c>
      <c r="L105" s="42" t="s">
        <v>700</v>
      </c>
      <c r="M105" s="43" t="s">
        <v>202</v>
      </c>
      <c r="N105" s="42" t="s">
        <v>155</v>
      </c>
      <c r="O105" s="43">
        <v>16</v>
      </c>
      <c r="P105" s="43">
        <v>8</v>
      </c>
      <c r="Q105" s="25" t="str">
        <f>VLOOKUP(P105,Key!$E$2:$F$9,2,FALSE)</f>
        <v>Others</v>
      </c>
      <c r="R105" s="25" t="str">
        <f t="shared" si="2"/>
        <v>Home-Others</v>
      </c>
      <c r="S105" s="58">
        <v>40</v>
      </c>
      <c r="T105" s="58">
        <v>0.7</v>
      </c>
      <c r="U105" s="43">
        <v>1</v>
      </c>
      <c r="V105" s="43"/>
      <c r="W105" s="58"/>
      <c r="X105" s="58"/>
      <c r="Y105" s="59" t="s">
        <v>156</v>
      </c>
      <c r="Z105" s="60">
        <v>0</v>
      </c>
      <c r="AA105" s="25"/>
      <c r="AB105" s="25"/>
    </row>
    <row r="106" spans="2:28">
      <c r="B106" s="40">
        <v>0.44930555555555557</v>
      </c>
      <c r="C106" s="40" t="s">
        <v>701</v>
      </c>
      <c r="D106" s="41">
        <v>2</v>
      </c>
      <c r="E106" s="42">
        <v>2</v>
      </c>
      <c r="F106" s="42" t="s">
        <v>160</v>
      </c>
      <c r="G106" s="43" t="s">
        <v>154</v>
      </c>
      <c r="H106" s="42" t="s">
        <v>155</v>
      </c>
      <c r="I106" s="43">
        <v>1</v>
      </c>
      <c r="J106" s="43">
        <v>1</v>
      </c>
      <c r="K106" s="25" t="str">
        <f>VLOOKUP(J106,Key!$E$2:$F$9,2,FALSE)</f>
        <v>Home</v>
      </c>
      <c r="L106" s="42" t="s">
        <v>159</v>
      </c>
      <c r="M106" s="43" t="s">
        <v>159</v>
      </c>
      <c r="N106" s="42" t="s">
        <v>155</v>
      </c>
      <c r="O106" s="43">
        <v>16</v>
      </c>
      <c r="P106" s="43">
        <v>8</v>
      </c>
      <c r="Q106" s="25" t="str">
        <f>VLOOKUP(P106,Key!$E$2:$F$9,2,FALSE)</f>
        <v>Others</v>
      </c>
      <c r="R106" s="25" t="str">
        <f t="shared" si="2"/>
        <v>Home-Others</v>
      </c>
      <c r="S106" s="58">
        <v>18</v>
      </c>
      <c r="T106" s="58">
        <v>1</v>
      </c>
      <c r="U106" s="43">
        <v>1</v>
      </c>
      <c r="V106" s="43"/>
      <c r="W106" s="58"/>
      <c r="X106" s="58"/>
      <c r="Y106" s="59" t="s">
        <v>156</v>
      </c>
      <c r="Z106" s="60">
        <v>2000</v>
      </c>
      <c r="AA106" s="25"/>
      <c r="AB106" s="25"/>
    </row>
    <row r="107" spans="2:28">
      <c r="B107" s="40">
        <v>0.45347222222222222</v>
      </c>
      <c r="C107" s="40" t="s">
        <v>702</v>
      </c>
      <c r="D107" s="41">
        <v>1</v>
      </c>
      <c r="E107" s="42">
        <v>1</v>
      </c>
      <c r="F107" s="42" t="s">
        <v>168</v>
      </c>
      <c r="G107" s="43" t="s">
        <v>154</v>
      </c>
      <c r="H107" s="42" t="s">
        <v>155</v>
      </c>
      <c r="I107" s="43">
        <v>1</v>
      </c>
      <c r="J107" s="43">
        <v>1</v>
      </c>
      <c r="K107" s="25" t="str">
        <f>VLOOKUP(J107,Key!$E$2:$F$9,2,FALSE)</f>
        <v>Home</v>
      </c>
      <c r="L107" s="42" t="s">
        <v>564</v>
      </c>
      <c r="M107" s="43" t="s">
        <v>154</v>
      </c>
      <c r="N107" s="42" t="s">
        <v>155</v>
      </c>
      <c r="O107" s="43">
        <v>1</v>
      </c>
      <c r="P107" s="43">
        <v>8</v>
      </c>
      <c r="Q107" s="25" t="str">
        <f>VLOOKUP(P107,Key!$E$2:$F$9,2,FALSE)</f>
        <v>Others</v>
      </c>
      <c r="R107" s="25" t="str">
        <f t="shared" si="2"/>
        <v>Home-Others</v>
      </c>
      <c r="S107" s="58">
        <v>3</v>
      </c>
      <c r="T107" s="58">
        <v>0.1</v>
      </c>
      <c r="U107" s="43">
        <v>1</v>
      </c>
      <c r="V107" s="43"/>
      <c r="W107" s="58"/>
      <c r="X107" s="58"/>
      <c r="Y107" s="59" t="s">
        <v>156</v>
      </c>
      <c r="Z107" s="60">
        <v>2000</v>
      </c>
      <c r="AA107" s="25"/>
      <c r="AB107" s="25"/>
    </row>
    <row r="108" spans="2:28">
      <c r="B108" s="40">
        <v>0.4993055555555555</v>
      </c>
      <c r="C108" s="40" t="s">
        <v>703</v>
      </c>
      <c r="D108" s="41">
        <v>7</v>
      </c>
      <c r="E108" s="42">
        <v>2</v>
      </c>
      <c r="F108" s="42" t="s">
        <v>147</v>
      </c>
      <c r="G108" s="43" t="s">
        <v>154</v>
      </c>
      <c r="H108" s="42" t="s">
        <v>155</v>
      </c>
      <c r="I108" s="43">
        <v>9</v>
      </c>
      <c r="J108" s="43">
        <v>2</v>
      </c>
      <c r="K108" s="25" t="str">
        <f>VLOOKUP(J108,Key!$E$2:$F$9,2,FALSE)</f>
        <v>Work</v>
      </c>
      <c r="L108" s="42" t="s">
        <v>704</v>
      </c>
      <c r="M108" s="43" t="s">
        <v>154</v>
      </c>
      <c r="N108" s="42" t="s">
        <v>155</v>
      </c>
      <c r="O108" s="43">
        <v>2</v>
      </c>
      <c r="P108" s="43">
        <v>2</v>
      </c>
      <c r="Q108" s="25" t="str">
        <f>VLOOKUP(P108,Key!$E$2:$F$9,2,FALSE)</f>
        <v>Work</v>
      </c>
      <c r="R108" s="25" t="str">
        <f t="shared" si="2"/>
        <v>Work-Work</v>
      </c>
      <c r="S108" s="58">
        <v>44</v>
      </c>
      <c r="T108" s="58">
        <v>1</v>
      </c>
      <c r="U108" s="43">
        <v>6</v>
      </c>
      <c r="V108" s="43"/>
      <c r="W108" s="58"/>
      <c r="X108" s="58"/>
      <c r="Y108" s="59" t="s">
        <v>156</v>
      </c>
      <c r="Z108" s="60">
        <v>10000</v>
      </c>
      <c r="AA108" s="25"/>
      <c r="AB108" s="25"/>
    </row>
    <row r="109" spans="2:28">
      <c r="B109" s="40">
        <v>0.49791666666666662</v>
      </c>
      <c r="C109" s="40" t="s">
        <v>705</v>
      </c>
      <c r="D109" s="41">
        <v>4</v>
      </c>
      <c r="E109" s="42">
        <v>14</v>
      </c>
      <c r="F109" s="42" t="s">
        <v>154</v>
      </c>
      <c r="G109" s="43" t="s">
        <v>154</v>
      </c>
      <c r="H109" s="42" t="s">
        <v>155</v>
      </c>
      <c r="I109" s="43">
        <v>6</v>
      </c>
      <c r="J109" s="43">
        <v>2</v>
      </c>
      <c r="K109" s="25" t="str">
        <f>VLOOKUP(J109,Key!$E$2:$F$9,2,FALSE)</f>
        <v>Work</v>
      </c>
      <c r="L109" s="42" t="s">
        <v>564</v>
      </c>
      <c r="M109" s="43" t="s">
        <v>154</v>
      </c>
      <c r="N109" s="42" t="s">
        <v>155</v>
      </c>
      <c r="O109" s="43">
        <v>3</v>
      </c>
      <c r="P109" s="43">
        <v>3</v>
      </c>
      <c r="Q109" s="25" t="str">
        <f>VLOOKUP(P109,Key!$E$2:$F$9,2,FALSE)</f>
        <v>Study</v>
      </c>
      <c r="R109" s="25" t="str">
        <f t="shared" si="2"/>
        <v>Work-Study</v>
      </c>
      <c r="S109" s="58">
        <v>20</v>
      </c>
      <c r="T109" s="58">
        <v>0.7</v>
      </c>
      <c r="U109" s="43">
        <v>1</v>
      </c>
      <c r="V109" s="43"/>
      <c r="W109" s="58"/>
      <c r="X109" s="58"/>
      <c r="Y109" s="59" t="s">
        <v>156</v>
      </c>
      <c r="Z109" s="60">
        <v>500</v>
      </c>
      <c r="AA109" s="25"/>
      <c r="AB109" s="25"/>
    </row>
    <row r="110" spans="2:28">
      <c r="B110" s="40">
        <v>0.4909722222222222</v>
      </c>
      <c r="C110" s="40" t="s">
        <v>706</v>
      </c>
      <c r="D110" s="41">
        <v>4</v>
      </c>
      <c r="E110" s="42">
        <v>12</v>
      </c>
      <c r="F110" s="42" t="s">
        <v>147</v>
      </c>
      <c r="G110" s="43" t="s">
        <v>154</v>
      </c>
      <c r="H110" s="42" t="s">
        <v>155</v>
      </c>
      <c r="I110" s="43">
        <v>6</v>
      </c>
      <c r="J110" s="43">
        <v>2</v>
      </c>
      <c r="K110" s="25" t="str">
        <f>VLOOKUP(J110,Key!$E$2:$F$9,2,FALSE)</f>
        <v>Work</v>
      </c>
      <c r="L110" s="42" t="s">
        <v>268</v>
      </c>
      <c r="M110" s="43" t="s">
        <v>154</v>
      </c>
      <c r="N110" s="42" t="s">
        <v>155</v>
      </c>
      <c r="O110" s="43">
        <v>6</v>
      </c>
      <c r="P110" s="43">
        <v>3</v>
      </c>
      <c r="Q110" s="25" t="str">
        <f>VLOOKUP(P110,Key!$E$2:$F$9,2,FALSE)</f>
        <v>Study</v>
      </c>
      <c r="R110" s="25" t="str">
        <f t="shared" si="2"/>
        <v>Work-Study</v>
      </c>
      <c r="S110" s="58">
        <v>15</v>
      </c>
      <c r="T110" s="58">
        <v>0.5</v>
      </c>
      <c r="U110" s="43">
        <v>1</v>
      </c>
      <c r="V110" s="43"/>
      <c r="W110" s="58"/>
      <c r="X110" s="58"/>
      <c r="Y110" s="59" t="s">
        <v>156</v>
      </c>
      <c r="Z110" s="60">
        <v>0</v>
      </c>
      <c r="AA110" s="25"/>
      <c r="AB110" s="25"/>
    </row>
    <row r="111" spans="2:28">
      <c r="B111" s="40">
        <v>0.49374999999999997</v>
      </c>
      <c r="C111" s="40" t="s">
        <v>707</v>
      </c>
      <c r="D111" s="41">
        <v>1</v>
      </c>
      <c r="E111" s="42">
        <v>3</v>
      </c>
      <c r="F111" s="42" t="s">
        <v>646</v>
      </c>
      <c r="G111" s="43" t="s">
        <v>154</v>
      </c>
      <c r="H111" s="42" t="s">
        <v>155</v>
      </c>
      <c r="I111" s="43">
        <v>1</v>
      </c>
      <c r="J111" s="43">
        <v>1</v>
      </c>
      <c r="K111" s="25" t="str">
        <f>VLOOKUP(J111,Key!$E$2:$F$9,2,FALSE)</f>
        <v>Home</v>
      </c>
      <c r="L111" s="42" t="s">
        <v>564</v>
      </c>
      <c r="M111" s="43" t="s">
        <v>154</v>
      </c>
      <c r="N111" s="42" t="s">
        <v>155</v>
      </c>
      <c r="O111" s="43">
        <v>11</v>
      </c>
      <c r="P111" s="43">
        <v>4</v>
      </c>
      <c r="Q111" s="25" t="str">
        <f>VLOOKUP(P111,Key!$E$2:$F$9,2,FALSE)</f>
        <v>Commercial</v>
      </c>
      <c r="R111" s="25" t="str">
        <f t="shared" si="2"/>
        <v>Home-Commercial</v>
      </c>
      <c r="S111" s="58">
        <v>6</v>
      </c>
      <c r="T111" s="58">
        <v>0.2</v>
      </c>
      <c r="U111" s="43">
        <v>1</v>
      </c>
      <c r="V111" s="43"/>
      <c r="W111" s="58"/>
      <c r="X111" s="58"/>
      <c r="Y111" s="59" t="s">
        <v>156</v>
      </c>
      <c r="Z111" s="60">
        <v>3000</v>
      </c>
      <c r="AA111" s="25"/>
      <c r="AB111" s="25"/>
    </row>
    <row r="112" spans="2:28">
      <c r="B112" s="40">
        <v>0.44027777777777777</v>
      </c>
      <c r="C112" s="40" t="s">
        <v>708</v>
      </c>
      <c r="D112" s="41">
        <v>1</v>
      </c>
      <c r="E112" s="42">
        <v>2</v>
      </c>
      <c r="F112" s="42" t="s">
        <v>168</v>
      </c>
      <c r="G112" s="43" t="s">
        <v>154</v>
      </c>
      <c r="H112" s="42" t="s">
        <v>155</v>
      </c>
      <c r="I112" s="43">
        <v>1</v>
      </c>
      <c r="J112" s="43">
        <v>1</v>
      </c>
      <c r="K112" s="25" t="str">
        <f>VLOOKUP(J112,Key!$E$2:$F$9,2,FALSE)</f>
        <v>Home</v>
      </c>
      <c r="L112" s="42" t="s">
        <v>159</v>
      </c>
      <c r="M112" s="43" t="s">
        <v>159</v>
      </c>
      <c r="N112" s="42" t="s">
        <v>155</v>
      </c>
      <c r="O112" s="43">
        <v>2</v>
      </c>
      <c r="P112" s="43">
        <v>2</v>
      </c>
      <c r="Q112" s="25" t="str">
        <f>VLOOKUP(P112,Key!$E$2:$F$9,2,FALSE)</f>
        <v>Work</v>
      </c>
      <c r="R112" s="25" t="str">
        <f t="shared" si="2"/>
        <v>Home-Work</v>
      </c>
      <c r="S112" s="58">
        <v>30</v>
      </c>
      <c r="T112" s="58">
        <v>2</v>
      </c>
      <c r="U112" s="43">
        <v>1</v>
      </c>
      <c r="V112" s="43"/>
      <c r="W112" s="58"/>
      <c r="X112" s="58"/>
      <c r="Y112" s="59" t="s">
        <v>156</v>
      </c>
      <c r="Z112" s="60">
        <v>0</v>
      </c>
      <c r="AA112" s="25"/>
      <c r="AB112" s="25"/>
    </row>
    <row r="113" spans="2:28">
      <c r="B113" s="40">
        <v>0.43472222222222223</v>
      </c>
      <c r="C113" s="40" t="s">
        <v>709</v>
      </c>
      <c r="D113" s="41">
        <v>2</v>
      </c>
      <c r="E113" s="42">
        <v>1</v>
      </c>
      <c r="F113" s="42" t="s">
        <v>646</v>
      </c>
      <c r="G113" s="43" t="s">
        <v>154</v>
      </c>
      <c r="H113" s="42" t="s">
        <v>155</v>
      </c>
      <c r="I113" s="43">
        <v>1</v>
      </c>
      <c r="J113" s="43">
        <v>1</v>
      </c>
      <c r="K113" s="25" t="str">
        <f>VLOOKUP(J113,Key!$E$2:$F$9,2,FALSE)</f>
        <v>Home</v>
      </c>
      <c r="L113" s="42" t="s">
        <v>159</v>
      </c>
      <c r="M113" s="43" t="s">
        <v>159</v>
      </c>
      <c r="N113" s="42" t="s">
        <v>155</v>
      </c>
      <c r="O113" s="43">
        <v>2</v>
      </c>
      <c r="P113" s="43">
        <v>2</v>
      </c>
      <c r="Q113" s="25" t="str">
        <f>VLOOKUP(P113,Key!$E$2:$F$9,2,FALSE)</f>
        <v>Work</v>
      </c>
      <c r="R113" s="25" t="str">
        <f t="shared" si="2"/>
        <v>Home-Work</v>
      </c>
      <c r="S113" s="58">
        <v>23</v>
      </c>
      <c r="T113" s="58">
        <v>1.5</v>
      </c>
      <c r="U113" s="43">
        <v>2</v>
      </c>
      <c r="V113" s="43"/>
      <c r="W113" s="58"/>
      <c r="X113" s="58"/>
      <c r="Y113" s="59" t="s">
        <v>156</v>
      </c>
      <c r="Z113" s="60">
        <v>10000</v>
      </c>
      <c r="AA113" s="25"/>
      <c r="AB113" s="25"/>
    </row>
    <row r="114" spans="2:28">
      <c r="B114" s="40">
        <v>0.4458333333333333</v>
      </c>
      <c r="C114" s="40" t="s">
        <v>710</v>
      </c>
      <c r="D114" s="41">
        <v>7</v>
      </c>
      <c r="E114" s="42">
        <v>1</v>
      </c>
      <c r="F114" s="42" t="s">
        <v>147</v>
      </c>
      <c r="G114" s="43" t="s">
        <v>154</v>
      </c>
      <c r="H114" s="42" t="s">
        <v>155</v>
      </c>
      <c r="I114" s="43">
        <v>1</v>
      </c>
      <c r="J114" s="43">
        <v>1</v>
      </c>
      <c r="K114" s="25" t="str">
        <f>VLOOKUP(J114,Key!$E$2:$F$9,2,FALSE)</f>
        <v>Home</v>
      </c>
      <c r="L114" s="42" t="s">
        <v>711</v>
      </c>
      <c r="M114" s="43" t="s">
        <v>712</v>
      </c>
      <c r="N114" s="42" t="s">
        <v>155</v>
      </c>
      <c r="O114" s="43">
        <v>4</v>
      </c>
      <c r="P114" s="43">
        <v>4</v>
      </c>
      <c r="Q114" s="25" t="str">
        <f>VLOOKUP(P114,Key!$E$2:$F$9,2,FALSE)</f>
        <v>Commercial</v>
      </c>
      <c r="R114" s="25" t="str">
        <f t="shared" si="2"/>
        <v>Home-Commercial</v>
      </c>
      <c r="S114" s="58">
        <v>86</v>
      </c>
      <c r="T114" s="58">
        <v>2.5</v>
      </c>
      <c r="U114" s="43">
        <v>1</v>
      </c>
      <c r="V114" s="43">
        <v>11</v>
      </c>
      <c r="W114" s="58"/>
      <c r="X114" s="58"/>
      <c r="Y114" s="59" t="s">
        <v>156</v>
      </c>
      <c r="Z114" s="60">
        <v>2000</v>
      </c>
      <c r="AA114" s="25"/>
      <c r="AB114" s="25"/>
    </row>
    <row r="115" spans="2:28">
      <c r="B115" s="40">
        <v>0.44375000000000003</v>
      </c>
      <c r="C115" s="40" t="s">
        <v>713</v>
      </c>
      <c r="D115" s="41">
        <v>1</v>
      </c>
      <c r="E115" s="42">
        <v>2</v>
      </c>
      <c r="F115" s="42" t="s">
        <v>646</v>
      </c>
      <c r="G115" s="43" t="s">
        <v>154</v>
      </c>
      <c r="H115" s="42" t="s">
        <v>155</v>
      </c>
      <c r="I115" s="43">
        <v>1</v>
      </c>
      <c r="J115" s="43">
        <v>2</v>
      </c>
      <c r="K115" s="25" t="str">
        <f>VLOOKUP(J115,Key!$E$2:$F$9,2,FALSE)</f>
        <v>Work</v>
      </c>
      <c r="L115" s="42" t="s">
        <v>159</v>
      </c>
      <c r="M115" s="43" t="s">
        <v>159</v>
      </c>
      <c r="N115" s="42" t="s">
        <v>155</v>
      </c>
      <c r="O115" s="43">
        <v>11</v>
      </c>
      <c r="P115" s="43">
        <v>4</v>
      </c>
      <c r="Q115" s="25" t="str">
        <f>VLOOKUP(P115,Key!$E$2:$F$9,2,FALSE)</f>
        <v>Commercial</v>
      </c>
      <c r="R115" s="25" t="str">
        <f t="shared" si="2"/>
        <v>Work-Commercial</v>
      </c>
      <c r="S115" s="58">
        <v>20</v>
      </c>
      <c r="T115" s="58">
        <v>1.5</v>
      </c>
      <c r="U115" s="43">
        <v>2</v>
      </c>
      <c r="V115" s="43"/>
      <c r="W115" s="58"/>
      <c r="X115" s="58"/>
      <c r="Y115" s="59" t="s">
        <v>156</v>
      </c>
      <c r="Z115" s="60">
        <v>0</v>
      </c>
      <c r="AA115" s="25"/>
      <c r="AB115" s="25"/>
    </row>
    <row r="143" spans="1:1">
      <c r="A143" s="14"/>
    </row>
    <row r="144" spans="1:1">
      <c r="A144" s="14"/>
    </row>
    <row r="145" spans="1:1">
      <c r="A145" s="14"/>
    </row>
  </sheetData>
  <mergeCells count="25">
    <mergeCell ref="Q7:Q8"/>
    <mergeCell ref="B1:AB1"/>
    <mergeCell ref="B2:AB2"/>
    <mergeCell ref="F4:G4"/>
    <mergeCell ref="O4:T4"/>
    <mergeCell ref="B7:B8"/>
    <mergeCell ref="C7:C8"/>
    <mergeCell ref="D7:D8"/>
    <mergeCell ref="E7:E8"/>
    <mergeCell ref="F7:H7"/>
    <mergeCell ref="I7:I8"/>
    <mergeCell ref="J7:J8"/>
    <mergeCell ref="K7:K8"/>
    <mergeCell ref="L7:N7"/>
    <mergeCell ref="O7:O8"/>
    <mergeCell ref="P7:P8"/>
    <mergeCell ref="Z7:Z8"/>
    <mergeCell ref="AA7:AA8"/>
    <mergeCell ref="AB7:AB8"/>
    <mergeCell ref="R7:R8"/>
    <mergeCell ref="S7:S8"/>
    <mergeCell ref="T7:T8"/>
    <mergeCell ref="U7:U8"/>
    <mergeCell ref="V7:X7"/>
    <mergeCell ref="Y7:Y8"/>
  </mergeCells>
  <pageMargins left="0.2" right="0.2" top="0.15" bottom="0.15" header="0.05" footer="0.05"/>
  <pageSetup paperSize="9" scale="50" orientation="landscape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AI145"/>
  <sheetViews>
    <sheetView topLeftCell="G58" zoomScale="75" zoomScaleNormal="75" zoomScaleSheetLayoutView="80" workbookViewId="0">
      <selection activeCell="B9" sqref="B9:AB92"/>
    </sheetView>
  </sheetViews>
  <sheetFormatPr defaultRowHeight="12.75"/>
  <cols>
    <col min="1" max="1" width="2.7109375" customWidth="1"/>
    <col min="2" max="2" width="7.28515625" customWidth="1"/>
    <col min="3" max="3" width="10.28515625" customWidth="1"/>
    <col min="4" max="4" width="9.7109375" customWidth="1"/>
    <col min="5" max="5" width="11.5703125" customWidth="1"/>
    <col min="6" max="6" width="15.28515625" customWidth="1"/>
    <col min="7" max="7" width="11.7109375" customWidth="1"/>
    <col min="8" max="8" width="9" customWidth="1"/>
    <col min="9" max="9" width="8.85546875" customWidth="1"/>
    <col min="10" max="10" width="8.42578125" customWidth="1"/>
    <col min="11" max="11" width="10" customWidth="1"/>
    <col min="12" max="12" width="15.7109375" customWidth="1"/>
    <col min="13" max="13" width="11.7109375" customWidth="1"/>
    <col min="14" max="14" width="12.140625" customWidth="1"/>
    <col min="15" max="16" width="9.28515625" customWidth="1"/>
    <col min="17" max="17" width="12.7109375" customWidth="1"/>
    <col min="18" max="18" width="15.140625" customWidth="1"/>
    <col min="19" max="21" width="9.28515625" customWidth="1"/>
    <col min="22" max="22" width="11.140625" customWidth="1"/>
    <col min="23" max="23" width="11" customWidth="1"/>
    <col min="24" max="24" width="10.7109375" customWidth="1"/>
    <col min="25" max="25" width="10.5703125" customWidth="1"/>
    <col min="26" max="26" width="10.7109375" customWidth="1"/>
    <col min="27" max="27" width="8.42578125" customWidth="1"/>
    <col min="28" max="28" width="8" customWidth="1"/>
  </cols>
  <sheetData>
    <row r="1" spans="2:35" s="1" customFormat="1" ht="15.75">
      <c r="B1" s="143" t="s">
        <v>832</v>
      </c>
      <c r="C1" s="143"/>
      <c r="D1" s="143"/>
      <c r="E1" s="143"/>
      <c r="F1" s="143"/>
      <c r="G1" s="143"/>
      <c r="H1" s="143"/>
      <c r="I1" s="143"/>
      <c r="J1" s="143"/>
      <c r="K1" s="143"/>
      <c r="L1" s="143"/>
      <c r="M1" s="143"/>
      <c r="N1" s="143"/>
      <c r="O1" s="143"/>
      <c r="P1" s="143"/>
      <c r="Q1" s="143"/>
      <c r="R1" s="143"/>
      <c r="S1" s="143"/>
      <c r="T1" s="143"/>
      <c r="U1" s="143"/>
      <c r="V1" s="143"/>
      <c r="W1" s="143"/>
      <c r="X1" s="143"/>
      <c r="Y1" s="143"/>
      <c r="Z1" s="143"/>
      <c r="AA1" s="143"/>
      <c r="AB1" s="143"/>
      <c r="AC1" s="6"/>
      <c r="AD1" s="6"/>
      <c r="AE1" s="6"/>
      <c r="AF1" s="6"/>
      <c r="AG1" s="6"/>
      <c r="AH1" s="6"/>
      <c r="AI1" s="6"/>
    </row>
    <row r="2" spans="2:35" ht="15">
      <c r="B2" s="143" t="s">
        <v>1</v>
      </c>
      <c r="C2" s="143"/>
      <c r="D2" s="143"/>
      <c r="E2" s="143"/>
      <c r="F2" s="143"/>
      <c r="G2" s="143"/>
      <c r="H2" s="143"/>
      <c r="I2" s="143"/>
      <c r="J2" s="143"/>
      <c r="K2" s="143"/>
      <c r="L2" s="143"/>
      <c r="M2" s="143"/>
      <c r="N2" s="143"/>
      <c r="O2" s="143"/>
      <c r="P2" s="143"/>
      <c r="Q2" s="143"/>
      <c r="R2" s="143"/>
      <c r="S2" s="143"/>
      <c r="T2" s="143"/>
      <c r="U2" s="143"/>
      <c r="V2" s="143"/>
      <c r="W2" s="143"/>
      <c r="X2" s="143"/>
      <c r="Y2" s="143"/>
      <c r="Z2" s="143"/>
      <c r="AA2" s="143"/>
      <c r="AB2" s="143"/>
      <c r="AC2" s="7"/>
      <c r="AD2" s="7"/>
      <c r="AE2" s="7"/>
      <c r="AF2" s="7"/>
      <c r="AG2" s="7"/>
      <c r="AH2" s="7"/>
      <c r="AI2" s="7"/>
    </row>
    <row r="3" spans="2:35" ht="15"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</row>
    <row r="4" spans="2:35" ht="15" customHeight="1">
      <c r="B4" s="26" t="s">
        <v>2</v>
      </c>
      <c r="C4" s="38" t="str">
        <f>'12.10 MATUGGA-KASANGATTI'!C4</f>
        <v>12.10.19</v>
      </c>
      <c r="E4" s="1" t="s">
        <v>65</v>
      </c>
      <c r="F4" s="152" t="str">
        <f>'12.10 MATUGGA-KASANGATTI'!F4:G4</f>
        <v>MATUGGA-WAKISO ROAD</v>
      </c>
      <c r="G4" s="153"/>
      <c r="I4" s="27" t="s">
        <v>66</v>
      </c>
      <c r="J4" s="5"/>
      <c r="K4" s="5"/>
      <c r="L4" s="62" t="s">
        <v>564</v>
      </c>
      <c r="M4" s="2"/>
      <c r="N4" s="1" t="s">
        <v>68</v>
      </c>
      <c r="O4" s="154" t="s">
        <v>566</v>
      </c>
      <c r="P4" s="155"/>
      <c r="Q4" s="155"/>
      <c r="R4" s="155"/>
      <c r="S4" s="155"/>
      <c r="T4" s="155"/>
      <c r="V4" s="1" t="s">
        <v>69</v>
      </c>
      <c r="W4" s="65" t="str">
        <f>'12.10 MATUGGA-KASANGATTI'!W4</f>
        <v>STEVEN</v>
      </c>
      <c r="Y4" s="27" t="s">
        <v>6</v>
      </c>
      <c r="Z4" s="39" t="str">
        <f>'12.10 MATUGGA-KASANGATTI'!Z4</f>
        <v>DAVID</v>
      </c>
      <c r="AA4" s="32" t="s">
        <v>7</v>
      </c>
      <c r="AB4" s="39" t="str">
        <f>'12.10 MATUGGA-KASANGATTI'!AB4</f>
        <v>Bakole Deo</v>
      </c>
      <c r="AE4" s="10"/>
      <c r="AF4" s="5"/>
    </row>
    <row r="5" spans="2:35" ht="15" customHeight="1">
      <c r="B5" s="2"/>
      <c r="C5" s="2"/>
      <c r="D5" s="2"/>
      <c r="E5" s="22"/>
      <c r="F5" s="2"/>
      <c r="G5" s="2"/>
      <c r="I5" s="28" t="s">
        <v>67</v>
      </c>
      <c r="J5" s="2"/>
      <c r="K5" s="2"/>
      <c r="L5" s="63" t="s">
        <v>147</v>
      </c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  <c r="AB5" s="2"/>
    </row>
    <row r="6" spans="2:35" ht="13.5" thickBot="1"/>
    <row r="7" spans="2:35" ht="30.75" customHeight="1">
      <c r="B7" s="144" t="s">
        <v>34</v>
      </c>
      <c r="C7" s="150" t="s">
        <v>56</v>
      </c>
      <c r="D7" s="146" t="s">
        <v>9</v>
      </c>
      <c r="E7" s="150" t="s">
        <v>35</v>
      </c>
      <c r="F7" s="159" t="s">
        <v>12</v>
      </c>
      <c r="G7" s="160"/>
      <c r="H7" s="161"/>
      <c r="I7" s="146" t="s">
        <v>59</v>
      </c>
      <c r="J7" s="150" t="s">
        <v>15</v>
      </c>
      <c r="K7" s="150" t="s">
        <v>128</v>
      </c>
      <c r="L7" s="159" t="s">
        <v>17</v>
      </c>
      <c r="M7" s="160"/>
      <c r="N7" s="161"/>
      <c r="O7" s="146" t="s">
        <v>60</v>
      </c>
      <c r="P7" s="150" t="s">
        <v>18</v>
      </c>
      <c r="Q7" s="150" t="s">
        <v>129</v>
      </c>
      <c r="R7" s="150" t="s">
        <v>130</v>
      </c>
      <c r="S7" s="150" t="s">
        <v>132</v>
      </c>
      <c r="T7" s="150" t="s">
        <v>131</v>
      </c>
      <c r="U7" s="150" t="s">
        <v>61</v>
      </c>
      <c r="V7" s="163" t="s">
        <v>64</v>
      </c>
      <c r="W7" s="164"/>
      <c r="X7" s="165"/>
      <c r="Y7" s="150" t="s">
        <v>63</v>
      </c>
      <c r="Z7" s="150" t="s">
        <v>135</v>
      </c>
      <c r="AA7" s="146" t="s">
        <v>20</v>
      </c>
      <c r="AB7" s="148" t="s">
        <v>21</v>
      </c>
      <c r="AD7" s="19"/>
    </row>
    <row r="8" spans="2:35" ht="38.25" customHeight="1">
      <c r="B8" s="156"/>
      <c r="C8" s="151"/>
      <c r="D8" s="157"/>
      <c r="E8" s="158"/>
      <c r="F8" s="23" t="s">
        <v>70</v>
      </c>
      <c r="G8" s="23" t="s">
        <v>57</v>
      </c>
      <c r="H8" s="24" t="s">
        <v>58</v>
      </c>
      <c r="I8" s="157"/>
      <c r="J8" s="151"/>
      <c r="K8" s="151"/>
      <c r="L8" s="23" t="s">
        <v>70</v>
      </c>
      <c r="M8" s="23" t="s">
        <v>57</v>
      </c>
      <c r="N8" s="23" t="s">
        <v>58</v>
      </c>
      <c r="O8" s="157"/>
      <c r="P8" s="151"/>
      <c r="Q8" s="151"/>
      <c r="R8" s="151"/>
      <c r="S8" s="151"/>
      <c r="T8" s="151"/>
      <c r="U8" s="151"/>
      <c r="V8" s="29" t="s">
        <v>62</v>
      </c>
      <c r="W8" s="30" t="s">
        <v>133</v>
      </c>
      <c r="X8" s="30" t="s">
        <v>134</v>
      </c>
      <c r="Y8" s="151"/>
      <c r="Z8" s="151"/>
      <c r="AA8" s="157"/>
      <c r="AB8" s="162"/>
    </row>
    <row r="9" spans="2:35" s="19" customFormat="1">
      <c r="B9" s="40">
        <v>0.57638888888888895</v>
      </c>
      <c r="C9" s="40" t="s">
        <v>714</v>
      </c>
      <c r="D9" s="41">
        <v>1</v>
      </c>
      <c r="E9" s="42">
        <v>4</v>
      </c>
      <c r="F9" s="42" t="s">
        <v>715</v>
      </c>
      <c r="G9" s="43" t="s">
        <v>159</v>
      </c>
      <c r="H9" s="42" t="s">
        <v>155</v>
      </c>
      <c r="I9" s="43">
        <v>1</v>
      </c>
      <c r="J9" s="43">
        <v>2</v>
      </c>
      <c r="K9" s="25" t="str">
        <f>VLOOKUP(J9,Key!$E$2:$F$9,2,FALSE)</f>
        <v>Work</v>
      </c>
      <c r="L9" s="42" t="s">
        <v>173</v>
      </c>
      <c r="M9" s="43" t="s">
        <v>154</v>
      </c>
      <c r="N9" s="42" t="s">
        <v>155</v>
      </c>
      <c r="O9" s="43">
        <v>16</v>
      </c>
      <c r="P9" s="43">
        <v>8</v>
      </c>
      <c r="Q9" s="25" t="str">
        <f>VLOOKUP(P9,Key!$E$2:$F$9,2,FALSE)</f>
        <v>Others</v>
      </c>
      <c r="R9" s="25" t="str">
        <f>K9&amp;"-"&amp;Q9</f>
        <v>Work-Others</v>
      </c>
      <c r="S9" s="58"/>
      <c r="T9" s="58">
        <v>1</v>
      </c>
      <c r="U9" s="43">
        <v>6</v>
      </c>
      <c r="V9" s="43"/>
      <c r="W9" s="58"/>
      <c r="X9" s="58"/>
      <c r="Y9" s="59" t="s">
        <v>156</v>
      </c>
      <c r="Z9" s="60">
        <v>1000</v>
      </c>
      <c r="AA9" s="25"/>
      <c r="AB9" s="25"/>
    </row>
    <row r="10" spans="2:35">
      <c r="B10" s="40">
        <v>0.5805555555555556</v>
      </c>
      <c r="C10" s="40" t="s">
        <v>716</v>
      </c>
      <c r="D10" s="41">
        <v>1</v>
      </c>
      <c r="E10" s="42">
        <v>1</v>
      </c>
      <c r="F10" s="42" t="s">
        <v>564</v>
      </c>
      <c r="G10" s="43" t="s">
        <v>154</v>
      </c>
      <c r="H10" s="42" t="s">
        <v>155</v>
      </c>
      <c r="I10" s="43">
        <v>16</v>
      </c>
      <c r="J10" s="43">
        <v>8</v>
      </c>
      <c r="K10" s="25" t="str">
        <f>VLOOKUP(J10,Key!$E$2:$F$9,2,FALSE)</f>
        <v>Others</v>
      </c>
      <c r="L10" s="42" t="s">
        <v>717</v>
      </c>
      <c r="M10" s="43" t="s">
        <v>154</v>
      </c>
      <c r="N10" s="42" t="s">
        <v>155</v>
      </c>
      <c r="O10" s="43">
        <v>2</v>
      </c>
      <c r="P10" s="43">
        <v>2</v>
      </c>
      <c r="Q10" s="25" t="str">
        <f>VLOOKUP(P10,Key!$E$2:$F$9,2,FALSE)</f>
        <v>Work</v>
      </c>
      <c r="R10" s="25" t="str">
        <f t="shared" ref="R10:R37" si="0">K10&amp;"-"&amp;Q10</f>
        <v>Others-Work</v>
      </c>
      <c r="S10" s="58">
        <v>4</v>
      </c>
      <c r="T10" s="58">
        <v>0.1</v>
      </c>
      <c r="U10" s="43">
        <v>1</v>
      </c>
      <c r="V10" s="43"/>
      <c r="W10" s="58"/>
      <c r="X10" s="58"/>
      <c r="Y10" s="59" t="s">
        <v>156</v>
      </c>
      <c r="Z10" s="60">
        <v>1000</v>
      </c>
      <c r="AA10" s="25"/>
      <c r="AB10" s="25"/>
    </row>
    <row r="11" spans="2:35">
      <c r="B11" s="40">
        <v>0.55902777777777779</v>
      </c>
      <c r="C11" s="40" t="s">
        <v>718</v>
      </c>
      <c r="D11" s="41">
        <v>2</v>
      </c>
      <c r="E11" s="42">
        <v>2</v>
      </c>
      <c r="F11" s="42" t="s">
        <v>268</v>
      </c>
      <c r="G11" s="43" t="s">
        <v>154</v>
      </c>
      <c r="H11" s="42" t="s">
        <v>155</v>
      </c>
      <c r="I11" s="43">
        <v>2</v>
      </c>
      <c r="J11" s="43">
        <v>2</v>
      </c>
      <c r="K11" s="25" t="str">
        <f>VLOOKUP(J11,Key!$E$2:$F$9,2,FALSE)</f>
        <v>Work</v>
      </c>
      <c r="L11" s="42" t="s">
        <v>175</v>
      </c>
      <c r="M11" s="43" t="s">
        <v>154</v>
      </c>
      <c r="N11" s="42" t="s">
        <v>155</v>
      </c>
      <c r="O11" s="43">
        <v>1</v>
      </c>
      <c r="P11" s="43">
        <v>1</v>
      </c>
      <c r="Q11" s="25" t="str">
        <f>VLOOKUP(P11,Key!$E$2:$F$9,2,FALSE)</f>
        <v>Home</v>
      </c>
      <c r="R11" s="25" t="str">
        <f t="shared" si="0"/>
        <v>Work-Home</v>
      </c>
      <c r="S11" s="58">
        <v>20</v>
      </c>
      <c r="T11" s="58">
        <v>0.6</v>
      </c>
      <c r="U11" s="43">
        <v>1</v>
      </c>
      <c r="V11" s="43"/>
      <c r="W11" s="58"/>
      <c r="X11" s="58"/>
      <c r="Y11" s="59" t="s">
        <v>156</v>
      </c>
      <c r="Z11" s="60">
        <v>1000</v>
      </c>
      <c r="AA11" s="25"/>
      <c r="AB11" s="25"/>
    </row>
    <row r="12" spans="2:35">
      <c r="B12" s="40">
        <v>0.55555555555555558</v>
      </c>
      <c r="C12" s="40" t="s">
        <v>719</v>
      </c>
      <c r="D12" s="41">
        <v>1</v>
      </c>
      <c r="E12" s="42">
        <v>3</v>
      </c>
      <c r="F12" s="42" t="s">
        <v>184</v>
      </c>
      <c r="G12" s="43" t="s">
        <v>154</v>
      </c>
      <c r="H12" s="42" t="s">
        <v>155</v>
      </c>
      <c r="I12" s="43">
        <v>5</v>
      </c>
      <c r="J12" s="43">
        <v>7</v>
      </c>
      <c r="K12" s="25" t="str">
        <f>VLOOKUP(J12,Key!$E$2:$F$9,2,FALSE)</f>
        <v>Hospital</v>
      </c>
      <c r="L12" s="42" t="s">
        <v>168</v>
      </c>
      <c r="M12" s="43" t="s">
        <v>154</v>
      </c>
      <c r="N12" s="42" t="s">
        <v>155</v>
      </c>
      <c r="O12" s="43">
        <v>1</v>
      </c>
      <c r="P12" s="43">
        <v>1</v>
      </c>
      <c r="Q12" s="25" t="str">
        <f>VLOOKUP(P12,Key!$E$2:$F$9,2,FALSE)</f>
        <v>Home</v>
      </c>
      <c r="R12" s="25" t="str">
        <f t="shared" si="0"/>
        <v>Hospital-Home</v>
      </c>
      <c r="S12" s="58">
        <v>12</v>
      </c>
      <c r="T12" s="58">
        <v>0.6</v>
      </c>
      <c r="U12" s="43">
        <v>1</v>
      </c>
      <c r="V12" s="43"/>
      <c r="W12" s="58"/>
      <c r="X12" s="58"/>
      <c r="Y12" s="59" t="s">
        <v>156</v>
      </c>
      <c r="Z12" s="60">
        <v>0</v>
      </c>
      <c r="AA12" s="25"/>
      <c r="AB12" s="25"/>
    </row>
    <row r="13" spans="2:35">
      <c r="B13" s="40">
        <v>0.56736111111111109</v>
      </c>
      <c r="C13" s="40" t="s">
        <v>720</v>
      </c>
      <c r="D13" s="41">
        <v>2</v>
      </c>
      <c r="E13" s="42">
        <v>2</v>
      </c>
      <c r="F13" s="42" t="s">
        <v>712</v>
      </c>
      <c r="G13" s="43" t="s">
        <v>712</v>
      </c>
      <c r="H13" s="42" t="s">
        <v>155</v>
      </c>
      <c r="I13" s="43">
        <v>1</v>
      </c>
      <c r="J13" s="43">
        <v>1</v>
      </c>
      <c r="K13" s="25" t="str">
        <f>VLOOKUP(J13,Key!$E$2:$F$9,2,FALSE)</f>
        <v>Home</v>
      </c>
      <c r="L13" s="42" t="s">
        <v>721</v>
      </c>
      <c r="M13" s="43" t="s">
        <v>154</v>
      </c>
      <c r="N13" s="42" t="s">
        <v>155</v>
      </c>
      <c r="O13" s="43">
        <v>1</v>
      </c>
      <c r="P13" s="43">
        <v>1</v>
      </c>
      <c r="Q13" s="25" t="str">
        <f>VLOOKUP(P13,Key!$E$2:$F$9,2,FALSE)</f>
        <v>Home</v>
      </c>
      <c r="R13" s="25" t="str">
        <f t="shared" si="0"/>
        <v>Home-Home</v>
      </c>
      <c r="S13" s="58"/>
      <c r="T13" s="58">
        <v>1.5</v>
      </c>
      <c r="U13" s="43">
        <v>3</v>
      </c>
      <c r="V13" s="43"/>
      <c r="W13" s="58"/>
      <c r="X13" s="58"/>
      <c r="Y13" s="59" t="s">
        <v>156</v>
      </c>
      <c r="Z13" s="60">
        <v>0</v>
      </c>
      <c r="AA13" s="25"/>
      <c r="AB13" s="25"/>
    </row>
    <row r="14" spans="2:35">
      <c r="B14" s="40">
        <v>0.56458333333333333</v>
      </c>
      <c r="C14" s="40" t="s">
        <v>722</v>
      </c>
      <c r="D14" s="41">
        <v>1</v>
      </c>
      <c r="E14" s="42">
        <v>2</v>
      </c>
      <c r="F14" s="42" t="s">
        <v>723</v>
      </c>
      <c r="G14" s="43" t="s">
        <v>163</v>
      </c>
      <c r="H14" s="42" t="s">
        <v>155</v>
      </c>
      <c r="I14" s="43">
        <v>1</v>
      </c>
      <c r="J14" s="43">
        <v>1</v>
      </c>
      <c r="K14" s="25" t="str">
        <f>VLOOKUP(J14,Key!$E$2:$F$9,2,FALSE)</f>
        <v>Home</v>
      </c>
      <c r="L14" s="42" t="s">
        <v>192</v>
      </c>
      <c r="M14" s="43" t="s">
        <v>154</v>
      </c>
      <c r="N14" s="42" t="s">
        <v>155</v>
      </c>
      <c r="O14" s="43">
        <v>9</v>
      </c>
      <c r="P14" s="43">
        <v>2</v>
      </c>
      <c r="Q14" s="25" t="str">
        <f>VLOOKUP(P14,Key!$E$2:$F$9,2,FALSE)</f>
        <v>Work</v>
      </c>
      <c r="R14" s="25" t="str">
        <f t="shared" si="0"/>
        <v>Home-Work</v>
      </c>
      <c r="S14" s="58">
        <v>80</v>
      </c>
      <c r="T14" s="58">
        <v>1.5</v>
      </c>
      <c r="U14" s="43">
        <v>3</v>
      </c>
      <c r="V14" s="43"/>
      <c r="W14" s="58"/>
      <c r="X14" s="58"/>
      <c r="Y14" s="59" t="s">
        <v>156</v>
      </c>
      <c r="Z14" s="60">
        <v>5000</v>
      </c>
      <c r="AA14" s="25"/>
      <c r="AB14" s="25"/>
    </row>
    <row r="15" spans="2:35">
      <c r="B15" s="40">
        <v>0.50694444444444442</v>
      </c>
      <c r="C15" s="40" t="s">
        <v>724</v>
      </c>
      <c r="D15" s="41">
        <v>2</v>
      </c>
      <c r="E15" s="42">
        <v>1</v>
      </c>
      <c r="F15" s="42" t="s">
        <v>184</v>
      </c>
      <c r="G15" s="43" t="s">
        <v>154</v>
      </c>
      <c r="H15" s="42" t="s">
        <v>155</v>
      </c>
      <c r="I15" s="43">
        <v>11</v>
      </c>
      <c r="J15" s="43">
        <v>4</v>
      </c>
      <c r="K15" s="25" t="str">
        <f>VLOOKUP(J15,Key!$E$2:$F$9,2,FALSE)</f>
        <v>Commercial</v>
      </c>
      <c r="L15" s="42" t="s">
        <v>168</v>
      </c>
      <c r="M15" s="43" t="s">
        <v>154</v>
      </c>
      <c r="N15" s="42" t="s">
        <v>155</v>
      </c>
      <c r="O15" s="43">
        <v>1</v>
      </c>
      <c r="P15" s="43">
        <v>1</v>
      </c>
      <c r="Q15" s="25" t="str">
        <f>VLOOKUP(P15,Key!$E$2:$F$9,2,FALSE)</f>
        <v>Home</v>
      </c>
      <c r="R15" s="25" t="str">
        <f t="shared" si="0"/>
        <v>Commercial-Home</v>
      </c>
      <c r="S15" s="58">
        <v>2</v>
      </c>
      <c r="T15" s="58">
        <v>0.5</v>
      </c>
      <c r="U15" s="43">
        <v>1</v>
      </c>
      <c r="V15" s="43"/>
      <c r="W15" s="58"/>
      <c r="X15" s="58"/>
      <c r="Y15" s="59" t="s">
        <v>156</v>
      </c>
      <c r="Z15" s="60">
        <v>6000</v>
      </c>
      <c r="AA15" s="25"/>
      <c r="AB15" s="25"/>
    </row>
    <row r="16" spans="2:35">
      <c r="B16" s="40">
        <v>0.50208333333333333</v>
      </c>
      <c r="C16" s="40" t="s">
        <v>725</v>
      </c>
      <c r="D16" s="41">
        <v>1</v>
      </c>
      <c r="E16" s="42">
        <v>2</v>
      </c>
      <c r="F16" s="42" t="s">
        <v>726</v>
      </c>
      <c r="G16" s="43" t="s">
        <v>154</v>
      </c>
      <c r="H16" s="42" t="s">
        <v>155</v>
      </c>
      <c r="I16" s="43">
        <v>1</v>
      </c>
      <c r="J16" s="43">
        <v>1</v>
      </c>
      <c r="K16" s="25" t="str">
        <f>VLOOKUP(J16,Key!$E$2:$F$9,2,FALSE)</f>
        <v>Home</v>
      </c>
      <c r="L16" s="42" t="s">
        <v>564</v>
      </c>
      <c r="M16" s="43" t="s">
        <v>154</v>
      </c>
      <c r="N16" s="42" t="s">
        <v>155</v>
      </c>
      <c r="O16" s="43">
        <v>16</v>
      </c>
      <c r="P16" s="43">
        <v>8</v>
      </c>
      <c r="Q16" s="25" t="str">
        <f>VLOOKUP(P16,Key!$E$2:$F$9,2,FALSE)</f>
        <v>Others</v>
      </c>
      <c r="R16" s="25" t="str">
        <f t="shared" si="0"/>
        <v>Home-Others</v>
      </c>
      <c r="S16" s="58"/>
      <c r="T16" s="58">
        <v>0.5</v>
      </c>
      <c r="U16" s="43">
        <v>6</v>
      </c>
      <c r="V16" s="43"/>
      <c r="W16" s="58"/>
      <c r="X16" s="58"/>
      <c r="Y16" s="59" t="s">
        <v>156</v>
      </c>
      <c r="Z16" s="60">
        <v>2000</v>
      </c>
      <c r="AA16" s="25"/>
      <c r="AB16" s="25"/>
    </row>
    <row r="17" spans="2:28">
      <c r="B17" s="40">
        <v>0.49791666666666662</v>
      </c>
      <c r="C17" s="40" t="s">
        <v>727</v>
      </c>
      <c r="D17" s="41">
        <v>1</v>
      </c>
      <c r="E17" s="42">
        <v>1</v>
      </c>
      <c r="F17" s="42" t="s">
        <v>564</v>
      </c>
      <c r="G17" s="43" t="s">
        <v>154</v>
      </c>
      <c r="H17" s="42" t="s">
        <v>155</v>
      </c>
      <c r="I17" s="43">
        <v>16</v>
      </c>
      <c r="J17" s="43">
        <v>2</v>
      </c>
      <c r="K17" s="25" t="str">
        <f>VLOOKUP(J17,Key!$E$2:$F$9,2,FALSE)</f>
        <v>Work</v>
      </c>
      <c r="L17" s="42" t="s">
        <v>168</v>
      </c>
      <c r="M17" s="43" t="s">
        <v>154</v>
      </c>
      <c r="N17" s="42" t="s">
        <v>155</v>
      </c>
      <c r="O17" s="43">
        <v>2</v>
      </c>
      <c r="P17" s="43">
        <v>2</v>
      </c>
      <c r="Q17" s="25" t="str">
        <f>VLOOKUP(P17,Key!$E$2:$F$9,2,FALSE)</f>
        <v>Work</v>
      </c>
      <c r="R17" s="25" t="str">
        <f t="shared" si="0"/>
        <v>Work-Work</v>
      </c>
      <c r="S17" s="58">
        <v>2</v>
      </c>
      <c r="T17" s="58">
        <v>0.1</v>
      </c>
      <c r="U17" s="43">
        <v>1</v>
      </c>
      <c r="V17" s="43"/>
      <c r="W17" s="58"/>
      <c r="X17" s="58"/>
      <c r="Y17" s="59" t="s">
        <v>156</v>
      </c>
      <c r="Z17" s="60">
        <v>2000</v>
      </c>
      <c r="AA17" s="25"/>
      <c r="AB17" s="25"/>
    </row>
    <row r="18" spans="2:28">
      <c r="B18" s="40">
        <v>0.49444444444444446</v>
      </c>
      <c r="C18" s="40" t="s">
        <v>728</v>
      </c>
      <c r="D18" s="41">
        <v>1</v>
      </c>
      <c r="E18" s="42">
        <v>1</v>
      </c>
      <c r="F18" s="42" t="s">
        <v>729</v>
      </c>
      <c r="G18" s="43" t="s">
        <v>154</v>
      </c>
      <c r="H18" s="42" t="s">
        <v>155</v>
      </c>
      <c r="I18" s="43">
        <v>1</v>
      </c>
      <c r="J18" s="43">
        <v>1</v>
      </c>
      <c r="K18" s="25" t="str">
        <f>VLOOKUP(J18,Key!$E$2:$F$9,2,FALSE)</f>
        <v>Home</v>
      </c>
      <c r="L18" s="42" t="s">
        <v>245</v>
      </c>
      <c r="M18" s="43" t="s">
        <v>154</v>
      </c>
      <c r="N18" s="42" t="s">
        <v>155</v>
      </c>
      <c r="O18" s="43">
        <v>1</v>
      </c>
      <c r="P18" s="43">
        <v>1</v>
      </c>
      <c r="Q18" s="25" t="str">
        <f>VLOOKUP(P18,Key!$E$2:$F$9,2,FALSE)</f>
        <v>Home</v>
      </c>
      <c r="R18" s="25" t="str">
        <f t="shared" si="0"/>
        <v>Home-Home</v>
      </c>
      <c r="S18" s="58">
        <v>15</v>
      </c>
      <c r="T18" s="58">
        <v>0.2</v>
      </c>
      <c r="U18" s="43">
        <v>4</v>
      </c>
      <c r="V18" s="43"/>
      <c r="W18" s="58"/>
      <c r="X18" s="58"/>
      <c r="Y18" s="59" t="s">
        <v>156</v>
      </c>
      <c r="Z18" s="60">
        <v>1000</v>
      </c>
      <c r="AA18" s="25"/>
      <c r="AB18" s="25"/>
    </row>
    <row r="19" spans="2:28">
      <c r="B19" s="40">
        <v>0.46666666666666662</v>
      </c>
      <c r="C19" s="40" t="s">
        <v>730</v>
      </c>
      <c r="D19" s="41">
        <v>1</v>
      </c>
      <c r="E19" s="42">
        <v>3</v>
      </c>
      <c r="F19" s="42" t="s">
        <v>731</v>
      </c>
      <c r="G19" s="43" t="s">
        <v>154</v>
      </c>
      <c r="H19" s="42" t="s">
        <v>155</v>
      </c>
      <c r="I19" s="43">
        <v>1</v>
      </c>
      <c r="J19" s="43">
        <v>1</v>
      </c>
      <c r="K19" s="25" t="str">
        <f>VLOOKUP(J19,Key!$E$2:$F$9,2,FALSE)</f>
        <v>Home</v>
      </c>
      <c r="L19" s="42" t="s">
        <v>173</v>
      </c>
      <c r="M19" s="43" t="s">
        <v>154</v>
      </c>
      <c r="N19" s="42" t="s">
        <v>155</v>
      </c>
      <c r="O19" s="43">
        <v>3</v>
      </c>
      <c r="P19" s="43">
        <v>2</v>
      </c>
      <c r="Q19" s="25" t="str">
        <f>VLOOKUP(P19,Key!$E$2:$F$9,2,FALSE)</f>
        <v>Work</v>
      </c>
      <c r="R19" s="25" t="str">
        <f t="shared" si="0"/>
        <v>Home-Work</v>
      </c>
      <c r="S19" s="58">
        <v>2</v>
      </c>
      <c r="T19" s="58">
        <v>0.3</v>
      </c>
      <c r="U19" s="43">
        <v>1</v>
      </c>
      <c r="V19" s="43"/>
      <c r="W19" s="58"/>
      <c r="X19" s="58"/>
      <c r="Y19" s="59" t="s">
        <v>156</v>
      </c>
      <c r="Z19" s="60">
        <v>2000</v>
      </c>
      <c r="AA19" s="25"/>
      <c r="AB19" s="25"/>
    </row>
    <row r="20" spans="2:28">
      <c r="B20" s="40">
        <v>0.47222222222222227</v>
      </c>
      <c r="C20" s="40" t="s">
        <v>732</v>
      </c>
      <c r="D20" s="41">
        <v>2</v>
      </c>
      <c r="E20" s="42">
        <v>2</v>
      </c>
      <c r="F20" s="42" t="s">
        <v>733</v>
      </c>
      <c r="G20" s="43" t="s">
        <v>154</v>
      </c>
      <c r="H20" s="42" t="s">
        <v>155</v>
      </c>
      <c r="I20" s="43">
        <v>10</v>
      </c>
      <c r="J20" s="43">
        <v>2</v>
      </c>
      <c r="K20" s="25" t="str">
        <f>VLOOKUP(J20,Key!$E$2:$F$9,2,FALSE)</f>
        <v>Work</v>
      </c>
      <c r="L20" s="42" t="s">
        <v>734</v>
      </c>
      <c r="M20" s="43" t="s">
        <v>154</v>
      </c>
      <c r="N20" s="42" t="s">
        <v>155</v>
      </c>
      <c r="O20" s="43">
        <v>2</v>
      </c>
      <c r="P20" s="43">
        <v>2</v>
      </c>
      <c r="Q20" s="25" t="str">
        <f>VLOOKUP(P20,Key!$E$2:$F$9,2,FALSE)</f>
        <v>Work</v>
      </c>
      <c r="R20" s="25" t="str">
        <f t="shared" si="0"/>
        <v>Work-Work</v>
      </c>
      <c r="S20" s="58">
        <v>3</v>
      </c>
      <c r="T20" s="58">
        <v>0.1</v>
      </c>
      <c r="U20" s="43">
        <v>1</v>
      </c>
      <c r="V20" s="43"/>
      <c r="W20" s="58"/>
      <c r="X20" s="58"/>
      <c r="Y20" s="59" t="s">
        <v>156</v>
      </c>
      <c r="Z20" s="60">
        <v>1000</v>
      </c>
      <c r="AA20" s="25"/>
      <c r="AB20" s="25"/>
    </row>
    <row r="21" spans="2:28">
      <c r="B21" s="40">
        <v>0.46180555555555558</v>
      </c>
      <c r="C21" s="40" t="s">
        <v>735</v>
      </c>
      <c r="D21" s="41">
        <v>7</v>
      </c>
      <c r="E21" s="42">
        <v>1</v>
      </c>
      <c r="F21" s="42" t="s">
        <v>564</v>
      </c>
      <c r="G21" s="43" t="s">
        <v>154</v>
      </c>
      <c r="H21" s="42" t="s">
        <v>155</v>
      </c>
      <c r="I21" s="43">
        <v>3</v>
      </c>
      <c r="J21" s="43">
        <v>2</v>
      </c>
      <c r="K21" s="25" t="str">
        <f>VLOOKUP(J21,Key!$E$2:$F$9,2,FALSE)</f>
        <v>Work</v>
      </c>
      <c r="L21" s="42" t="s">
        <v>300</v>
      </c>
      <c r="M21" s="43" t="s">
        <v>202</v>
      </c>
      <c r="N21" s="42" t="s">
        <v>155</v>
      </c>
      <c r="O21" s="43">
        <v>3</v>
      </c>
      <c r="P21" s="43">
        <v>2</v>
      </c>
      <c r="Q21" s="25" t="str">
        <f>VLOOKUP(P21,Key!$E$2:$F$9,2,FALSE)</f>
        <v>Work</v>
      </c>
      <c r="R21" s="25" t="str">
        <f t="shared" si="0"/>
        <v>Work-Work</v>
      </c>
      <c r="S21" s="58">
        <v>55</v>
      </c>
      <c r="T21" s="58">
        <v>1.2</v>
      </c>
      <c r="U21" s="43">
        <v>4</v>
      </c>
      <c r="V21" s="43">
        <v>11</v>
      </c>
      <c r="W21" s="58"/>
      <c r="X21" s="58"/>
      <c r="Y21" s="59" t="s">
        <v>156</v>
      </c>
      <c r="Z21" s="60">
        <v>1000</v>
      </c>
      <c r="AA21" s="25"/>
      <c r="AB21" s="25"/>
    </row>
    <row r="22" spans="2:28">
      <c r="B22" s="40">
        <v>0.45624999999999999</v>
      </c>
      <c r="C22" s="40" t="s">
        <v>736</v>
      </c>
      <c r="D22" s="41">
        <v>8</v>
      </c>
      <c r="E22" s="42">
        <v>2</v>
      </c>
      <c r="F22" s="42" t="s">
        <v>241</v>
      </c>
      <c r="G22" s="43" t="s">
        <v>154</v>
      </c>
      <c r="H22" s="42" t="s">
        <v>155</v>
      </c>
      <c r="I22" s="43">
        <v>6</v>
      </c>
      <c r="J22" s="43">
        <v>2</v>
      </c>
      <c r="K22" s="25" t="str">
        <f>VLOOKUP(J22,Key!$E$2:$F$9,2,FALSE)</f>
        <v>Work</v>
      </c>
      <c r="L22" s="42" t="s">
        <v>737</v>
      </c>
      <c r="M22" s="43" t="s">
        <v>154</v>
      </c>
      <c r="N22" s="42" t="s">
        <v>155</v>
      </c>
      <c r="O22" s="43">
        <v>1</v>
      </c>
      <c r="P22" s="43">
        <v>1</v>
      </c>
      <c r="Q22" s="25" t="str">
        <f>VLOOKUP(P22,Key!$E$2:$F$9,2,FALSE)</f>
        <v>Home</v>
      </c>
      <c r="R22" s="25" t="str">
        <f t="shared" si="0"/>
        <v>Work-Home</v>
      </c>
      <c r="S22" s="58">
        <v>2</v>
      </c>
      <c r="T22" s="58">
        <v>0.3</v>
      </c>
      <c r="U22" s="43">
        <v>6</v>
      </c>
      <c r="V22" s="43"/>
      <c r="W22" s="58"/>
      <c r="X22" s="58"/>
      <c r="Y22" s="59" t="s">
        <v>156</v>
      </c>
      <c r="Z22" s="60">
        <v>2000</v>
      </c>
      <c r="AA22" s="25"/>
      <c r="AB22" s="25"/>
    </row>
    <row r="23" spans="2:28">
      <c r="B23" s="40">
        <v>0.45208333333333334</v>
      </c>
      <c r="C23" s="40" t="s">
        <v>738</v>
      </c>
      <c r="D23" s="41">
        <v>1</v>
      </c>
      <c r="E23" s="42">
        <v>1</v>
      </c>
      <c r="F23" s="42" t="s">
        <v>564</v>
      </c>
      <c r="G23" s="43" t="s">
        <v>154</v>
      </c>
      <c r="H23" s="42" t="s">
        <v>155</v>
      </c>
      <c r="I23" s="43">
        <v>1</v>
      </c>
      <c r="J23" s="43">
        <v>1</v>
      </c>
      <c r="K23" s="25" t="str">
        <f>VLOOKUP(J23,Key!$E$2:$F$9,2,FALSE)</f>
        <v>Home</v>
      </c>
      <c r="L23" s="42" t="s">
        <v>160</v>
      </c>
      <c r="M23" s="43" t="s">
        <v>154</v>
      </c>
      <c r="N23" s="42" t="s">
        <v>155</v>
      </c>
      <c r="O23" s="43">
        <v>9</v>
      </c>
      <c r="P23" s="43">
        <v>2</v>
      </c>
      <c r="Q23" s="25" t="str">
        <f>VLOOKUP(P23,Key!$E$2:$F$9,2,FALSE)</f>
        <v>Work</v>
      </c>
      <c r="R23" s="25" t="str">
        <f t="shared" si="0"/>
        <v>Home-Work</v>
      </c>
      <c r="S23" s="58">
        <v>3</v>
      </c>
      <c r="T23" s="58">
        <v>0.5</v>
      </c>
      <c r="U23" s="43">
        <v>4</v>
      </c>
      <c r="V23" s="43"/>
      <c r="W23" s="58"/>
      <c r="X23" s="58"/>
      <c r="Y23" s="59" t="s">
        <v>156</v>
      </c>
      <c r="Z23" s="60">
        <v>2000</v>
      </c>
      <c r="AA23" s="25"/>
      <c r="AB23" s="25"/>
    </row>
    <row r="24" spans="2:28">
      <c r="B24" s="40">
        <v>0.44513888888888892</v>
      </c>
      <c r="C24" s="40" t="s">
        <v>739</v>
      </c>
      <c r="D24" s="41">
        <v>4</v>
      </c>
      <c r="E24" s="42">
        <v>14</v>
      </c>
      <c r="F24" s="42" t="s">
        <v>740</v>
      </c>
      <c r="G24" s="43" t="s">
        <v>154</v>
      </c>
      <c r="H24" s="42" t="s">
        <v>155</v>
      </c>
      <c r="I24" s="43">
        <v>6</v>
      </c>
      <c r="J24" s="43">
        <v>2</v>
      </c>
      <c r="K24" s="25" t="str">
        <f>VLOOKUP(J24,Key!$E$2:$F$9,2,FALSE)</f>
        <v>Work</v>
      </c>
      <c r="L24" s="42" t="s">
        <v>147</v>
      </c>
      <c r="M24" s="43" t="s">
        <v>154</v>
      </c>
      <c r="N24" s="42" t="s">
        <v>155</v>
      </c>
      <c r="O24" s="43">
        <v>6</v>
      </c>
      <c r="P24" s="43">
        <v>1</v>
      </c>
      <c r="Q24" s="25" t="str">
        <f>VLOOKUP(P24,Key!$E$2:$F$9,2,FALSE)</f>
        <v>Home</v>
      </c>
      <c r="R24" s="25" t="str">
        <f t="shared" si="0"/>
        <v>Work-Home</v>
      </c>
      <c r="S24" s="58"/>
      <c r="T24" s="58">
        <v>0.3</v>
      </c>
      <c r="U24" s="43">
        <v>2</v>
      </c>
      <c r="V24" s="43"/>
      <c r="W24" s="58"/>
      <c r="X24" s="58"/>
      <c r="Y24" s="59" t="s">
        <v>741</v>
      </c>
      <c r="Z24" s="60">
        <v>0</v>
      </c>
      <c r="AA24" s="25"/>
      <c r="AB24" s="25"/>
    </row>
    <row r="25" spans="2:28">
      <c r="B25" s="40">
        <v>0.42777777777777781</v>
      </c>
      <c r="C25" s="40" t="s">
        <v>742</v>
      </c>
      <c r="D25" s="41">
        <v>4</v>
      </c>
      <c r="E25" s="42">
        <v>13</v>
      </c>
      <c r="F25" s="42" t="s">
        <v>564</v>
      </c>
      <c r="G25" s="43" t="s">
        <v>154</v>
      </c>
      <c r="H25" s="42" t="s">
        <v>155</v>
      </c>
      <c r="I25" s="43">
        <v>6</v>
      </c>
      <c r="J25" s="43">
        <v>2</v>
      </c>
      <c r="K25" s="25" t="str">
        <f>VLOOKUP(J25,Key!$E$2:$F$9,2,FALSE)</f>
        <v>Work</v>
      </c>
      <c r="L25" s="42" t="s">
        <v>147</v>
      </c>
      <c r="M25" s="43" t="s">
        <v>154</v>
      </c>
      <c r="N25" s="42" t="s">
        <v>155</v>
      </c>
      <c r="O25" s="43">
        <v>6</v>
      </c>
      <c r="P25" s="43">
        <v>2</v>
      </c>
      <c r="Q25" s="25" t="str">
        <f>VLOOKUP(P25,Key!$E$2:$F$9,2,FALSE)</f>
        <v>Work</v>
      </c>
      <c r="R25" s="25" t="str">
        <f t="shared" si="0"/>
        <v>Work-Work</v>
      </c>
      <c r="S25" s="58">
        <v>9.5</v>
      </c>
      <c r="T25" s="58">
        <v>0.2</v>
      </c>
      <c r="U25" s="43">
        <v>1</v>
      </c>
      <c r="V25" s="43"/>
      <c r="W25" s="58"/>
      <c r="X25" s="58"/>
      <c r="Y25" s="59" t="s">
        <v>156</v>
      </c>
      <c r="Z25" s="60">
        <v>10000</v>
      </c>
      <c r="AA25" s="25"/>
      <c r="AB25" s="25"/>
    </row>
    <row r="26" spans="2:28">
      <c r="B26" s="40">
        <v>0.4236111111111111</v>
      </c>
      <c r="C26" s="40" t="s">
        <v>743</v>
      </c>
      <c r="D26" s="41">
        <v>6</v>
      </c>
      <c r="E26" s="42">
        <v>2</v>
      </c>
      <c r="F26" s="42" t="s">
        <v>268</v>
      </c>
      <c r="G26" s="43" t="s">
        <v>154</v>
      </c>
      <c r="H26" s="42" t="s">
        <v>155</v>
      </c>
      <c r="I26" s="43">
        <v>16</v>
      </c>
      <c r="J26" s="43">
        <v>2</v>
      </c>
      <c r="K26" s="25" t="str">
        <f>VLOOKUP(J26,Key!$E$2:$F$9,2,FALSE)</f>
        <v>Work</v>
      </c>
      <c r="L26" s="42" t="s">
        <v>379</v>
      </c>
      <c r="M26" s="43" t="s">
        <v>202</v>
      </c>
      <c r="N26" s="42" t="s">
        <v>155</v>
      </c>
      <c r="O26" s="43">
        <v>16</v>
      </c>
      <c r="P26" s="43">
        <v>2</v>
      </c>
      <c r="Q26" s="25" t="str">
        <f>VLOOKUP(P26,Key!$E$2:$F$9,2,FALSE)</f>
        <v>Work</v>
      </c>
      <c r="R26" s="25" t="str">
        <f t="shared" si="0"/>
        <v>Work-Work</v>
      </c>
      <c r="S26" s="58"/>
      <c r="T26" s="58">
        <v>1</v>
      </c>
      <c r="U26" s="43">
        <v>6</v>
      </c>
      <c r="V26" s="43"/>
      <c r="W26" s="58"/>
      <c r="X26" s="58"/>
      <c r="Y26" s="59" t="s">
        <v>156</v>
      </c>
      <c r="Z26" s="60">
        <v>0</v>
      </c>
      <c r="AA26" s="25"/>
      <c r="AB26" s="25"/>
    </row>
    <row r="27" spans="2:28">
      <c r="B27" s="40">
        <v>0.57361111111111118</v>
      </c>
      <c r="C27" s="40" t="s">
        <v>744</v>
      </c>
      <c r="D27" s="41">
        <v>1</v>
      </c>
      <c r="E27" s="42">
        <v>2</v>
      </c>
      <c r="F27" s="42" t="s">
        <v>165</v>
      </c>
      <c r="G27" s="43" t="s">
        <v>159</v>
      </c>
      <c r="H27" s="42" t="s">
        <v>155</v>
      </c>
      <c r="I27" s="43">
        <v>16</v>
      </c>
      <c r="J27" s="43">
        <v>2</v>
      </c>
      <c r="K27" s="25" t="str">
        <f>VLOOKUP(J27,Key!$E$2:$F$9,2,FALSE)</f>
        <v>Work</v>
      </c>
      <c r="L27" s="42" t="s">
        <v>173</v>
      </c>
      <c r="M27" s="43" t="s">
        <v>154</v>
      </c>
      <c r="N27" s="42" t="s">
        <v>155</v>
      </c>
      <c r="O27" s="43">
        <v>1</v>
      </c>
      <c r="P27" s="43">
        <v>1</v>
      </c>
      <c r="Q27" s="25" t="str">
        <f>VLOOKUP(P27,Key!$E$2:$F$9,2,FALSE)</f>
        <v>Home</v>
      </c>
      <c r="R27" s="25" t="str">
        <f t="shared" si="0"/>
        <v>Work-Home</v>
      </c>
      <c r="S27" s="58"/>
      <c r="T27" s="58">
        <v>1</v>
      </c>
      <c r="U27" s="43">
        <v>3</v>
      </c>
      <c r="V27" s="43"/>
      <c r="W27" s="58"/>
      <c r="X27" s="58"/>
      <c r="Y27" s="59" t="s">
        <v>156</v>
      </c>
      <c r="Z27" s="60">
        <v>0</v>
      </c>
      <c r="AA27" s="25"/>
      <c r="AB27" s="25"/>
    </row>
    <row r="28" spans="2:28">
      <c r="B28" s="40">
        <v>0.5708333333333333</v>
      </c>
      <c r="C28" s="40" t="s">
        <v>745</v>
      </c>
      <c r="D28" s="41">
        <v>7</v>
      </c>
      <c r="E28" s="42">
        <v>5</v>
      </c>
      <c r="F28" s="42" t="s">
        <v>268</v>
      </c>
      <c r="G28" s="43" t="s">
        <v>154</v>
      </c>
      <c r="H28" s="42" t="s">
        <v>155</v>
      </c>
      <c r="I28" s="43">
        <v>3</v>
      </c>
      <c r="J28" s="43">
        <v>2</v>
      </c>
      <c r="K28" s="25" t="str">
        <f>VLOOKUP(J28,Key!$E$2:$F$9,2,FALSE)</f>
        <v>Work</v>
      </c>
      <c r="L28" s="42" t="s">
        <v>147</v>
      </c>
      <c r="M28" s="43" t="s">
        <v>154</v>
      </c>
      <c r="N28" s="42" t="s">
        <v>155</v>
      </c>
      <c r="O28" s="43">
        <v>3</v>
      </c>
      <c r="P28" s="43">
        <v>2</v>
      </c>
      <c r="Q28" s="25" t="str">
        <f>VLOOKUP(P28,Key!$E$2:$F$9,2,FALSE)</f>
        <v>Work</v>
      </c>
      <c r="R28" s="25" t="str">
        <f t="shared" si="0"/>
        <v>Work-Work</v>
      </c>
      <c r="S28" s="58">
        <v>8</v>
      </c>
      <c r="T28" s="58">
        <v>0.5</v>
      </c>
      <c r="U28" s="43">
        <v>3</v>
      </c>
      <c r="V28" s="43">
        <v>11</v>
      </c>
      <c r="W28" s="58"/>
      <c r="X28" s="58"/>
      <c r="Y28" s="59" t="s">
        <v>156</v>
      </c>
      <c r="Z28" s="60">
        <v>2000</v>
      </c>
      <c r="AA28" s="25"/>
      <c r="AB28" s="25"/>
    </row>
    <row r="29" spans="2:28">
      <c r="B29" s="40">
        <v>0.44305555555555554</v>
      </c>
      <c r="C29" s="40" t="s">
        <v>746</v>
      </c>
      <c r="D29" s="41">
        <v>7</v>
      </c>
      <c r="E29" s="42">
        <v>1</v>
      </c>
      <c r="F29" s="42" t="s">
        <v>371</v>
      </c>
      <c r="G29" s="43" t="s">
        <v>154</v>
      </c>
      <c r="H29" s="42" t="s">
        <v>155</v>
      </c>
      <c r="I29" s="43">
        <v>3</v>
      </c>
      <c r="J29" s="43">
        <v>1</v>
      </c>
      <c r="K29" s="25" t="str">
        <f>VLOOKUP(J29,Key!$E$2:$F$9,2,FALSE)</f>
        <v>Home</v>
      </c>
      <c r="L29" s="42" t="s">
        <v>175</v>
      </c>
      <c r="M29" s="43" t="s">
        <v>154</v>
      </c>
      <c r="N29" s="42" t="s">
        <v>155</v>
      </c>
      <c r="O29" s="43">
        <v>11</v>
      </c>
      <c r="P29" s="43">
        <v>4</v>
      </c>
      <c r="Q29" s="25" t="str">
        <f>VLOOKUP(P29,Key!$E$2:$F$9,2,FALSE)</f>
        <v>Commercial</v>
      </c>
      <c r="R29" s="25" t="str">
        <f t="shared" si="0"/>
        <v>Home-Commercial</v>
      </c>
      <c r="S29" s="58">
        <v>1</v>
      </c>
      <c r="T29" s="58">
        <v>0.8</v>
      </c>
      <c r="U29" s="43">
        <v>4</v>
      </c>
      <c r="V29" s="43"/>
      <c r="W29" s="58"/>
      <c r="X29" s="58">
        <v>1.05</v>
      </c>
      <c r="Y29" s="59" t="s">
        <v>156</v>
      </c>
      <c r="Z29" s="60">
        <v>1000</v>
      </c>
      <c r="AA29" s="25"/>
      <c r="AB29" s="25"/>
    </row>
    <row r="30" spans="2:28">
      <c r="B30" s="40">
        <v>0.4381944444444445</v>
      </c>
      <c r="C30" s="40" t="s">
        <v>747</v>
      </c>
      <c r="D30" s="41">
        <v>4</v>
      </c>
      <c r="E30" s="42">
        <v>11</v>
      </c>
      <c r="F30" s="42" t="s">
        <v>259</v>
      </c>
      <c r="G30" s="43" t="s">
        <v>159</v>
      </c>
      <c r="H30" s="42" t="s">
        <v>155</v>
      </c>
      <c r="I30" s="43">
        <v>6</v>
      </c>
      <c r="J30" s="43">
        <v>2</v>
      </c>
      <c r="K30" s="25" t="str">
        <f>VLOOKUP(J30,Key!$E$2:$F$9,2,FALSE)</f>
        <v>Work</v>
      </c>
      <c r="L30" s="42" t="s">
        <v>173</v>
      </c>
      <c r="M30" s="43" t="s">
        <v>154</v>
      </c>
      <c r="N30" s="42" t="s">
        <v>155</v>
      </c>
      <c r="O30" s="43">
        <v>16</v>
      </c>
      <c r="P30" s="43">
        <v>8</v>
      </c>
      <c r="Q30" s="25" t="str">
        <f>VLOOKUP(P30,Key!$E$2:$F$9,2,FALSE)</f>
        <v>Others</v>
      </c>
      <c r="R30" s="25" t="str">
        <f t="shared" si="0"/>
        <v>Work-Others</v>
      </c>
      <c r="S30" s="58"/>
      <c r="T30" s="58">
        <v>0.5</v>
      </c>
      <c r="U30" s="43">
        <v>6</v>
      </c>
      <c r="V30" s="43"/>
      <c r="W30" s="58"/>
      <c r="X30" s="58"/>
      <c r="Y30" s="59" t="s">
        <v>741</v>
      </c>
      <c r="Z30" s="60">
        <v>0</v>
      </c>
      <c r="AA30" s="25"/>
      <c r="AB30" s="25"/>
    </row>
    <row r="31" spans="2:28">
      <c r="B31" s="40">
        <v>0.43124999999999997</v>
      </c>
      <c r="C31" s="40" t="s">
        <v>748</v>
      </c>
      <c r="D31" s="41">
        <v>7</v>
      </c>
      <c r="E31" s="42">
        <v>2</v>
      </c>
      <c r="F31" s="42" t="s">
        <v>189</v>
      </c>
      <c r="G31" s="43" t="s">
        <v>154</v>
      </c>
      <c r="H31" s="42" t="s">
        <v>155</v>
      </c>
      <c r="I31" s="43">
        <v>2</v>
      </c>
      <c r="J31" s="43">
        <v>2</v>
      </c>
      <c r="K31" s="25" t="str">
        <f>VLOOKUP(J31,Key!$E$2:$F$9,2,FALSE)</f>
        <v>Work</v>
      </c>
      <c r="L31" s="42" t="s">
        <v>303</v>
      </c>
      <c r="M31" s="43" t="s">
        <v>202</v>
      </c>
      <c r="N31" s="42" t="s">
        <v>155</v>
      </c>
      <c r="O31" s="43">
        <v>1</v>
      </c>
      <c r="P31" s="43">
        <v>1</v>
      </c>
      <c r="Q31" s="25" t="str">
        <f>VLOOKUP(P31,Key!$E$2:$F$9,2,FALSE)</f>
        <v>Home</v>
      </c>
      <c r="R31" s="25" t="str">
        <f t="shared" si="0"/>
        <v>Work-Home</v>
      </c>
      <c r="S31" s="58"/>
      <c r="T31" s="58">
        <v>1</v>
      </c>
      <c r="U31" s="43">
        <v>3</v>
      </c>
      <c r="V31" s="43"/>
      <c r="W31" s="58"/>
      <c r="X31" s="58"/>
      <c r="Y31" s="59" t="s">
        <v>156</v>
      </c>
      <c r="Z31" s="60">
        <v>1000</v>
      </c>
      <c r="AA31" s="25"/>
      <c r="AB31" s="25"/>
    </row>
    <row r="32" spans="2:28">
      <c r="B32" s="40">
        <v>0.43472222222222223</v>
      </c>
      <c r="C32" s="40" t="s">
        <v>183</v>
      </c>
      <c r="D32" s="41">
        <v>8</v>
      </c>
      <c r="E32" s="42">
        <v>1</v>
      </c>
      <c r="F32" s="42" t="s">
        <v>184</v>
      </c>
      <c r="G32" s="43" t="s">
        <v>154</v>
      </c>
      <c r="H32" s="42" t="s">
        <v>155</v>
      </c>
      <c r="I32" s="43">
        <v>14</v>
      </c>
      <c r="J32" s="43">
        <v>2</v>
      </c>
      <c r="K32" s="25" t="str">
        <f>VLOOKUP(J32,Key!$E$2:$F$9,2,FALSE)</f>
        <v>Work</v>
      </c>
      <c r="L32" s="42" t="s">
        <v>168</v>
      </c>
      <c r="M32" s="43" t="s">
        <v>154</v>
      </c>
      <c r="N32" s="42" t="s">
        <v>155</v>
      </c>
      <c r="O32" s="43">
        <v>16</v>
      </c>
      <c r="P32" s="43">
        <v>6</v>
      </c>
      <c r="Q32" s="25" t="str">
        <f>VLOOKUP(P32,Key!$E$2:$F$9,2,FALSE)</f>
        <v>Leisure/Social</v>
      </c>
      <c r="R32" s="25" t="str">
        <f t="shared" si="0"/>
        <v>Work-Leisure/Social</v>
      </c>
      <c r="S32" s="58">
        <v>1</v>
      </c>
      <c r="T32" s="58">
        <v>0.1</v>
      </c>
      <c r="U32" s="43">
        <v>4</v>
      </c>
      <c r="V32" s="43"/>
      <c r="W32" s="58"/>
      <c r="X32" s="58"/>
      <c r="Y32" s="59" t="s">
        <v>156</v>
      </c>
      <c r="Z32" s="60">
        <v>0</v>
      </c>
      <c r="AA32" s="25"/>
      <c r="AB32" s="25"/>
    </row>
    <row r="33" spans="2:28">
      <c r="B33" s="40">
        <v>0.70416666666666661</v>
      </c>
      <c r="C33" s="40" t="s">
        <v>749</v>
      </c>
      <c r="D33" s="41">
        <v>1</v>
      </c>
      <c r="E33" s="42">
        <v>2</v>
      </c>
      <c r="F33" s="42" t="s">
        <v>750</v>
      </c>
      <c r="G33" s="43" t="s">
        <v>159</v>
      </c>
      <c r="H33" s="42" t="s">
        <v>155</v>
      </c>
      <c r="I33" s="43">
        <v>1</v>
      </c>
      <c r="J33" s="43">
        <v>1</v>
      </c>
      <c r="K33" s="25" t="str">
        <f>VLOOKUP(J33,Key!$E$2:$F$9,2,FALSE)</f>
        <v>Home</v>
      </c>
      <c r="L33" s="42" t="s">
        <v>147</v>
      </c>
      <c r="M33" s="43" t="s">
        <v>154</v>
      </c>
      <c r="N33" s="42" t="s">
        <v>155</v>
      </c>
      <c r="O33" s="43">
        <v>16</v>
      </c>
      <c r="P33" s="43">
        <v>8</v>
      </c>
      <c r="Q33" s="25" t="str">
        <f>VLOOKUP(P33,Key!$E$2:$F$9,2,FALSE)</f>
        <v>Others</v>
      </c>
      <c r="R33" s="25" t="str">
        <f t="shared" si="0"/>
        <v>Home-Others</v>
      </c>
      <c r="S33" s="58">
        <v>25</v>
      </c>
      <c r="T33" s="58">
        <v>2</v>
      </c>
      <c r="U33" s="43">
        <v>4</v>
      </c>
      <c r="V33" s="43"/>
      <c r="W33" s="58"/>
      <c r="X33" s="58"/>
      <c r="Y33" s="59" t="s">
        <v>156</v>
      </c>
      <c r="Z33" s="60">
        <v>2000</v>
      </c>
      <c r="AA33" s="25"/>
      <c r="AB33" s="25"/>
    </row>
    <row r="34" spans="2:28">
      <c r="B34" s="40">
        <v>0.70763888888888893</v>
      </c>
      <c r="C34" s="40" t="s">
        <v>751</v>
      </c>
      <c r="D34" s="41">
        <v>7</v>
      </c>
      <c r="E34" s="42">
        <v>5</v>
      </c>
      <c r="F34" s="42" t="s">
        <v>752</v>
      </c>
      <c r="G34" s="43" t="s">
        <v>154</v>
      </c>
      <c r="H34" s="42" t="s">
        <v>155</v>
      </c>
      <c r="I34" s="43">
        <v>2</v>
      </c>
      <c r="J34" s="43">
        <v>2</v>
      </c>
      <c r="K34" s="25" t="str">
        <f>VLOOKUP(J34,Key!$E$2:$F$9,2,FALSE)</f>
        <v>Work</v>
      </c>
      <c r="L34" s="42" t="s">
        <v>147</v>
      </c>
      <c r="M34" s="43" t="s">
        <v>154</v>
      </c>
      <c r="N34" s="42" t="s">
        <v>155</v>
      </c>
      <c r="O34" s="43">
        <v>1</v>
      </c>
      <c r="P34" s="43">
        <v>1</v>
      </c>
      <c r="Q34" s="25" t="str">
        <f>VLOOKUP(P34,Key!$E$2:$F$9,2,FALSE)</f>
        <v>Home</v>
      </c>
      <c r="R34" s="25" t="str">
        <f t="shared" si="0"/>
        <v>Work-Home</v>
      </c>
      <c r="S34" s="58"/>
      <c r="T34" s="58">
        <v>3</v>
      </c>
      <c r="U34" s="43">
        <v>3</v>
      </c>
      <c r="V34" s="43">
        <v>10</v>
      </c>
      <c r="W34" s="58"/>
      <c r="X34" s="58"/>
      <c r="Y34" s="59" t="s">
        <v>156</v>
      </c>
      <c r="Z34" s="60">
        <v>1000</v>
      </c>
      <c r="AA34" s="25"/>
      <c r="AB34" s="25"/>
    </row>
    <row r="35" spans="2:28">
      <c r="B35" s="40">
        <v>0.69930555555555562</v>
      </c>
      <c r="C35" s="40" t="s">
        <v>753</v>
      </c>
      <c r="D35" s="41">
        <v>1</v>
      </c>
      <c r="E35" s="42">
        <v>5</v>
      </c>
      <c r="F35" s="42" t="s">
        <v>363</v>
      </c>
      <c r="G35" s="43" t="s">
        <v>159</v>
      </c>
      <c r="H35" s="42" t="s">
        <v>155</v>
      </c>
      <c r="I35" s="43">
        <v>2</v>
      </c>
      <c r="J35" s="43">
        <v>2</v>
      </c>
      <c r="K35" s="25" t="str">
        <f>VLOOKUP(J35,Key!$E$2:$F$9,2,FALSE)</f>
        <v>Work</v>
      </c>
      <c r="L35" s="42" t="s">
        <v>754</v>
      </c>
      <c r="M35" s="43" t="s">
        <v>154</v>
      </c>
      <c r="N35" s="42" t="s">
        <v>155</v>
      </c>
      <c r="O35" s="43">
        <v>16</v>
      </c>
      <c r="P35" s="43">
        <v>8</v>
      </c>
      <c r="Q35" s="25" t="str">
        <f>VLOOKUP(P35,Key!$E$2:$F$9,2,FALSE)</f>
        <v>Others</v>
      </c>
      <c r="R35" s="25" t="str">
        <f t="shared" si="0"/>
        <v>Work-Others</v>
      </c>
      <c r="S35" s="58">
        <v>22</v>
      </c>
      <c r="T35" s="58">
        <v>1</v>
      </c>
      <c r="U35" s="43">
        <v>3</v>
      </c>
      <c r="V35" s="43"/>
      <c r="W35" s="58"/>
      <c r="X35" s="58"/>
      <c r="Y35" s="59" t="s">
        <v>156</v>
      </c>
      <c r="Z35" s="60">
        <v>0</v>
      </c>
      <c r="AA35" s="25"/>
      <c r="AB35" s="25"/>
    </row>
    <row r="36" spans="2:28">
      <c r="B36" s="40">
        <v>0.70138888888888884</v>
      </c>
      <c r="C36" s="40" t="s">
        <v>755</v>
      </c>
      <c r="D36" s="41">
        <v>7</v>
      </c>
      <c r="E36" s="42">
        <v>2</v>
      </c>
      <c r="F36" s="42" t="s">
        <v>268</v>
      </c>
      <c r="G36" s="43" t="s">
        <v>154</v>
      </c>
      <c r="H36" s="42" t="s">
        <v>155</v>
      </c>
      <c r="I36" s="43">
        <v>14</v>
      </c>
      <c r="J36" s="43">
        <v>2</v>
      </c>
      <c r="K36" s="25" t="str">
        <f>VLOOKUP(J36,Key!$E$2:$F$9,2,FALSE)</f>
        <v>Work</v>
      </c>
      <c r="L36" s="42" t="s">
        <v>168</v>
      </c>
      <c r="M36" s="43" t="s">
        <v>154</v>
      </c>
      <c r="N36" s="42" t="s">
        <v>155</v>
      </c>
      <c r="O36" s="43">
        <v>1</v>
      </c>
      <c r="P36" s="43">
        <v>1</v>
      </c>
      <c r="Q36" s="25" t="str">
        <f>VLOOKUP(P36,Key!$E$2:$F$9,2,FALSE)</f>
        <v>Home</v>
      </c>
      <c r="R36" s="25" t="str">
        <f t="shared" si="0"/>
        <v>Work-Home</v>
      </c>
      <c r="S36" s="58">
        <v>5</v>
      </c>
      <c r="T36" s="58">
        <v>0.5</v>
      </c>
      <c r="U36" s="43">
        <v>6</v>
      </c>
      <c r="V36" s="43"/>
      <c r="W36" s="58"/>
      <c r="X36" s="58"/>
      <c r="Y36" s="59" t="s">
        <v>156</v>
      </c>
      <c r="Z36" s="60">
        <v>0</v>
      </c>
      <c r="AA36" s="25"/>
      <c r="AB36" s="25"/>
    </row>
    <row r="37" spans="2:28">
      <c r="B37" s="40">
        <v>0.63541666666666663</v>
      </c>
      <c r="C37" s="40" t="s">
        <v>756</v>
      </c>
      <c r="D37" s="41">
        <v>1</v>
      </c>
      <c r="E37" s="42">
        <v>2</v>
      </c>
      <c r="F37" s="42" t="s">
        <v>184</v>
      </c>
      <c r="G37" s="43" t="s">
        <v>154</v>
      </c>
      <c r="H37" s="42" t="s">
        <v>155</v>
      </c>
      <c r="I37" s="43">
        <v>10</v>
      </c>
      <c r="J37" s="43">
        <v>2</v>
      </c>
      <c r="K37" s="25" t="str">
        <f>VLOOKUP(J37,Key!$E$2:$F$9,2,FALSE)</f>
        <v>Work</v>
      </c>
      <c r="L37" s="42" t="s">
        <v>757</v>
      </c>
      <c r="M37" s="43" t="s">
        <v>154</v>
      </c>
      <c r="N37" s="42" t="s">
        <v>155</v>
      </c>
      <c r="O37" s="43">
        <v>16</v>
      </c>
      <c r="P37" s="43">
        <v>8</v>
      </c>
      <c r="Q37" s="25" t="str">
        <f>VLOOKUP(P37,Key!$E$2:$F$9,2,FALSE)</f>
        <v>Others</v>
      </c>
      <c r="R37" s="25" t="str">
        <f t="shared" si="0"/>
        <v>Work-Others</v>
      </c>
      <c r="S37" s="58"/>
      <c r="T37" s="58">
        <v>0.5</v>
      </c>
      <c r="U37" s="43">
        <v>2</v>
      </c>
      <c r="V37" s="43"/>
      <c r="W37" s="58"/>
      <c r="X37" s="58"/>
      <c r="Y37" s="59" t="s">
        <v>156</v>
      </c>
      <c r="Z37" s="60">
        <v>0</v>
      </c>
      <c r="AA37" s="25"/>
      <c r="AB37" s="25"/>
    </row>
    <row r="38" spans="2:28">
      <c r="B38" s="40">
        <v>0.62916666666666665</v>
      </c>
      <c r="C38" s="40" t="s">
        <v>280</v>
      </c>
      <c r="D38" s="41">
        <v>7</v>
      </c>
      <c r="E38" s="42">
        <v>1</v>
      </c>
      <c r="F38" s="42" t="s">
        <v>564</v>
      </c>
      <c r="G38" s="43" t="s">
        <v>154</v>
      </c>
      <c r="H38" s="42" t="s">
        <v>155</v>
      </c>
      <c r="I38" s="43">
        <v>16</v>
      </c>
      <c r="J38" s="43">
        <v>2</v>
      </c>
      <c r="K38" s="25" t="str">
        <f>VLOOKUP(J38,Key!$E$2:$F$9,2,FALSE)</f>
        <v>Work</v>
      </c>
      <c r="L38" s="42" t="s">
        <v>173</v>
      </c>
      <c r="M38" s="43" t="s">
        <v>154</v>
      </c>
      <c r="N38" s="42" t="s">
        <v>155</v>
      </c>
      <c r="O38" s="43">
        <v>1</v>
      </c>
      <c r="P38" s="43">
        <v>1</v>
      </c>
      <c r="Q38" s="25" t="str">
        <f>VLOOKUP(P38,Key!$E$2:$F$9,2,FALSE)</f>
        <v>Home</v>
      </c>
      <c r="R38" s="25" t="str">
        <f t="shared" ref="R38:R92" si="1">K38&amp;"-"&amp;Q38</f>
        <v>Work-Home</v>
      </c>
      <c r="S38" s="58">
        <v>2</v>
      </c>
      <c r="T38" s="58">
        <v>0.1</v>
      </c>
      <c r="U38" s="43">
        <v>2</v>
      </c>
      <c r="V38" s="43"/>
      <c r="W38" s="58"/>
      <c r="X38" s="58"/>
      <c r="Y38" s="59" t="s">
        <v>156</v>
      </c>
      <c r="Z38" s="60">
        <v>1000</v>
      </c>
      <c r="AA38" s="25"/>
      <c r="AB38" s="25"/>
    </row>
    <row r="39" spans="2:28">
      <c r="B39" s="40">
        <v>0.67986111111111114</v>
      </c>
      <c r="C39" s="40" t="s">
        <v>758</v>
      </c>
      <c r="D39" s="41">
        <v>2</v>
      </c>
      <c r="E39" s="42">
        <v>2</v>
      </c>
      <c r="F39" s="42" t="s">
        <v>759</v>
      </c>
      <c r="G39" s="43" t="s">
        <v>154</v>
      </c>
      <c r="H39" s="42" t="s">
        <v>155</v>
      </c>
      <c r="I39" s="43">
        <v>1</v>
      </c>
      <c r="J39" s="43">
        <v>1</v>
      </c>
      <c r="K39" s="25" t="str">
        <f>VLOOKUP(J39,Key!$E$2:$F$9,2,FALSE)</f>
        <v>Home</v>
      </c>
      <c r="L39" s="42" t="s">
        <v>760</v>
      </c>
      <c r="M39" s="43" t="s">
        <v>154</v>
      </c>
      <c r="N39" s="42" t="s">
        <v>155</v>
      </c>
      <c r="O39" s="43">
        <v>10</v>
      </c>
      <c r="P39" s="43">
        <v>2</v>
      </c>
      <c r="Q39" s="25" t="str">
        <f>VLOOKUP(P39,Key!$E$2:$F$9,2,FALSE)</f>
        <v>Work</v>
      </c>
      <c r="R39" s="25" t="str">
        <f t="shared" si="1"/>
        <v>Home-Work</v>
      </c>
      <c r="S39" s="58">
        <v>21</v>
      </c>
      <c r="T39" s="58">
        <v>0.5</v>
      </c>
      <c r="U39" s="43">
        <v>6</v>
      </c>
      <c r="V39" s="43"/>
      <c r="W39" s="58"/>
      <c r="X39" s="58"/>
      <c r="Y39" s="59" t="s">
        <v>156</v>
      </c>
      <c r="Z39" s="60">
        <v>1000</v>
      </c>
      <c r="AA39" s="25"/>
      <c r="AB39" s="25"/>
    </row>
    <row r="40" spans="2:28">
      <c r="B40" s="40">
        <v>0.69374999999999998</v>
      </c>
      <c r="C40" s="40" t="s">
        <v>761</v>
      </c>
      <c r="D40" s="41">
        <v>7</v>
      </c>
      <c r="E40" s="42">
        <v>2</v>
      </c>
      <c r="F40" s="42" t="s">
        <v>564</v>
      </c>
      <c r="G40" s="43" t="s">
        <v>154</v>
      </c>
      <c r="H40" s="42" t="s">
        <v>155</v>
      </c>
      <c r="I40" s="43">
        <v>3</v>
      </c>
      <c r="J40" s="43">
        <v>2</v>
      </c>
      <c r="K40" s="25" t="str">
        <f>VLOOKUP(J40,Key!$E$2:$F$9,2,FALSE)</f>
        <v>Work</v>
      </c>
      <c r="L40" s="42" t="s">
        <v>168</v>
      </c>
      <c r="M40" s="43" t="s">
        <v>154</v>
      </c>
      <c r="N40" s="42" t="s">
        <v>155</v>
      </c>
      <c r="O40" s="43">
        <v>11</v>
      </c>
      <c r="P40" s="43">
        <v>2</v>
      </c>
      <c r="Q40" s="25" t="str">
        <f>VLOOKUP(P40,Key!$E$2:$F$9,2,FALSE)</f>
        <v>Work</v>
      </c>
      <c r="R40" s="25" t="str">
        <f t="shared" si="1"/>
        <v>Work-Work</v>
      </c>
      <c r="S40" s="58"/>
      <c r="T40" s="58">
        <v>0.5</v>
      </c>
      <c r="U40" s="43">
        <v>3</v>
      </c>
      <c r="V40" s="43"/>
      <c r="W40" s="58"/>
      <c r="X40" s="58"/>
      <c r="Y40" s="59" t="s">
        <v>156</v>
      </c>
      <c r="Z40" s="60">
        <v>1000</v>
      </c>
      <c r="AA40" s="25"/>
      <c r="AB40" s="25"/>
    </row>
    <row r="41" spans="2:28">
      <c r="B41" s="40">
        <v>0.62013888888888891</v>
      </c>
      <c r="C41" s="40" t="s">
        <v>762</v>
      </c>
      <c r="D41" s="41">
        <v>1</v>
      </c>
      <c r="E41" s="42">
        <v>2</v>
      </c>
      <c r="F41" s="42" t="s">
        <v>763</v>
      </c>
      <c r="G41" s="43" t="s">
        <v>159</v>
      </c>
      <c r="H41" s="42" t="s">
        <v>155</v>
      </c>
      <c r="I41" s="43">
        <v>1</v>
      </c>
      <c r="J41" s="43">
        <v>1</v>
      </c>
      <c r="K41" s="25" t="str">
        <f>VLOOKUP(J41,Key!$E$2:$F$9,2,FALSE)</f>
        <v>Home</v>
      </c>
      <c r="L41" s="42" t="s">
        <v>564</v>
      </c>
      <c r="M41" s="43" t="s">
        <v>154</v>
      </c>
      <c r="N41" s="42" t="s">
        <v>155</v>
      </c>
      <c r="O41" s="43">
        <v>16</v>
      </c>
      <c r="P41" s="43">
        <v>8</v>
      </c>
      <c r="Q41" s="25" t="str">
        <f>VLOOKUP(P41,Key!$E$2:$F$9,2,FALSE)</f>
        <v>Others</v>
      </c>
      <c r="R41" s="25" t="str">
        <f t="shared" si="1"/>
        <v>Home-Others</v>
      </c>
      <c r="S41" s="58"/>
      <c r="T41" s="58">
        <v>1</v>
      </c>
      <c r="U41" s="43">
        <v>6</v>
      </c>
      <c r="V41" s="43"/>
      <c r="W41" s="58"/>
      <c r="X41" s="58"/>
      <c r="Y41" s="59" t="s">
        <v>156</v>
      </c>
      <c r="Z41" s="60">
        <v>0</v>
      </c>
      <c r="AA41" s="25"/>
      <c r="AB41" s="25"/>
    </row>
    <row r="42" spans="2:28">
      <c r="B42" s="40">
        <v>0.65486111111111112</v>
      </c>
      <c r="C42" s="40" t="s">
        <v>764</v>
      </c>
      <c r="D42" s="41">
        <v>8</v>
      </c>
      <c r="E42" s="42">
        <v>2</v>
      </c>
      <c r="F42" s="42" t="s">
        <v>564</v>
      </c>
      <c r="G42" s="43" t="s">
        <v>154</v>
      </c>
      <c r="H42" s="42" t="s">
        <v>155</v>
      </c>
      <c r="I42" s="43">
        <v>15</v>
      </c>
      <c r="J42" s="43">
        <v>2</v>
      </c>
      <c r="K42" s="25" t="str">
        <f>VLOOKUP(J42,Key!$E$2:$F$9,2,FALSE)</f>
        <v>Work</v>
      </c>
      <c r="L42" s="42" t="s">
        <v>765</v>
      </c>
      <c r="M42" s="43" t="s">
        <v>154</v>
      </c>
      <c r="N42" s="42" t="s">
        <v>155</v>
      </c>
      <c r="O42" s="43">
        <v>10</v>
      </c>
      <c r="P42" s="43">
        <v>2</v>
      </c>
      <c r="Q42" s="25" t="str">
        <f>VLOOKUP(P42,Key!$E$2:$F$9,2,FALSE)</f>
        <v>Work</v>
      </c>
      <c r="R42" s="25" t="str">
        <f t="shared" si="1"/>
        <v>Work-Work</v>
      </c>
      <c r="S42" s="58">
        <v>15</v>
      </c>
      <c r="T42" s="58">
        <v>0.5</v>
      </c>
      <c r="U42" s="43">
        <v>2</v>
      </c>
      <c r="V42" s="43"/>
      <c r="W42" s="58"/>
      <c r="X42" s="58"/>
      <c r="Y42" s="59" t="s">
        <v>156</v>
      </c>
      <c r="Z42" s="60">
        <v>1000</v>
      </c>
      <c r="AA42" s="25"/>
      <c r="AB42" s="25"/>
    </row>
    <row r="43" spans="2:28">
      <c r="B43" s="40">
        <v>0.65069444444444446</v>
      </c>
      <c r="C43" s="40" t="s">
        <v>766</v>
      </c>
      <c r="D43" s="41">
        <v>7</v>
      </c>
      <c r="E43" s="42">
        <v>1</v>
      </c>
      <c r="F43" s="42" t="s">
        <v>767</v>
      </c>
      <c r="G43" s="43" t="s">
        <v>154</v>
      </c>
      <c r="H43" s="42" t="s">
        <v>155</v>
      </c>
      <c r="I43" s="43">
        <v>3</v>
      </c>
      <c r="J43" s="43">
        <v>1</v>
      </c>
      <c r="K43" s="25" t="str">
        <f>VLOOKUP(J43,Key!$E$2:$F$9,2,FALSE)</f>
        <v>Home</v>
      </c>
      <c r="L43" s="42" t="s">
        <v>192</v>
      </c>
      <c r="M43" s="43" t="s">
        <v>192</v>
      </c>
      <c r="N43" s="42" t="s">
        <v>155</v>
      </c>
      <c r="O43" s="43">
        <v>11</v>
      </c>
      <c r="P43" s="43">
        <v>4</v>
      </c>
      <c r="Q43" s="25" t="str">
        <f>VLOOKUP(P43,Key!$E$2:$F$9,2,FALSE)</f>
        <v>Commercial</v>
      </c>
      <c r="R43" s="25" t="str">
        <f t="shared" si="1"/>
        <v>Home-Commercial</v>
      </c>
      <c r="S43" s="58"/>
      <c r="T43" s="58">
        <v>0.5</v>
      </c>
      <c r="U43" s="43">
        <v>2</v>
      </c>
      <c r="V43" s="43">
        <v>11</v>
      </c>
      <c r="W43" s="58"/>
      <c r="X43" s="58"/>
      <c r="Y43" s="59" t="s">
        <v>156</v>
      </c>
      <c r="Z43" s="60">
        <v>0</v>
      </c>
      <c r="AA43" s="25"/>
      <c r="AB43" s="25"/>
    </row>
    <row r="44" spans="2:28">
      <c r="B44" s="40">
        <v>0.64236111111111105</v>
      </c>
      <c r="C44" s="40" t="s">
        <v>768</v>
      </c>
      <c r="D44" s="41">
        <v>1</v>
      </c>
      <c r="E44" s="42">
        <v>1</v>
      </c>
      <c r="F44" s="42" t="s">
        <v>711</v>
      </c>
      <c r="G44" s="43" t="s">
        <v>712</v>
      </c>
      <c r="H44" s="42" t="s">
        <v>155</v>
      </c>
      <c r="I44" s="43">
        <v>16</v>
      </c>
      <c r="J44" s="43">
        <v>8</v>
      </c>
      <c r="K44" s="25" t="str">
        <f>VLOOKUP(J44,Key!$E$2:$F$9,2,FALSE)</f>
        <v>Others</v>
      </c>
      <c r="L44" s="42" t="s">
        <v>769</v>
      </c>
      <c r="M44" s="43" t="s">
        <v>154</v>
      </c>
      <c r="N44" s="42" t="s">
        <v>155</v>
      </c>
      <c r="O44" s="43">
        <v>1</v>
      </c>
      <c r="P44" s="43">
        <v>1</v>
      </c>
      <c r="Q44" s="25" t="str">
        <f>VLOOKUP(P44,Key!$E$2:$F$9,2,FALSE)</f>
        <v>Home</v>
      </c>
      <c r="R44" s="25" t="str">
        <f t="shared" si="1"/>
        <v>Others-Home</v>
      </c>
      <c r="S44" s="58">
        <v>50</v>
      </c>
      <c r="T44" s="58">
        <v>1.5</v>
      </c>
      <c r="U44" s="43">
        <v>6</v>
      </c>
      <c r="V44" s="43"/>
      <c r="W44" s="58"/>
      <c r="X44" s="58"/>
      <c r="Y44" s="59" t="s">
        <v>156</v>
      </c>
      <c r="Z44" s="60">
        <v>0</v>
      </c>
      <c r="AA44" s="25"/>
      <c r="AB44" s="25"/>
    </row>
    <row r="45" spans="2:28">
      <c r="B45" s="40">
        <v>0.64583333333333337</v>
      </c>
      <c r="C45" s="40" t="s">
        <v>770</v>
      </c>
      <c r="D45" s="41">
        <v>7</v>
      </c>
      <c r="E45" s="42">
        <v>4</v>
      </c>
      <c r="F45" s="42" t="s">
        <v>771</v>
      </c>
      <c r="G45" s="43" t="s">
        <v>154</v>
      </c>
      <c r="H45" s="42" t="s">
        <v>155</v>
      </c>
      <c r="I45" s="43">
        <v>1</v>
      </c>
      <c r="J45" s="43">
        <v>1</v>
      </c>
      <c r="K45" s="25" t="str">
        <f>VLOOKUP(J45,Key!$E$2:$F$9,2,FALSE)</f>
        <v>Home</v>
      </c>
      <c r="L45" s="42" t="s">
        <v>147</v>
      </c>
      <c r="M45" s="43" t="s">
        <v>154</v>
      </c>
      <c r="N45" s="42" t="s">
        <v>155</v>
      </c>
      <c r="O45" s="43">
        <v>1</v>
      </c>
      <c r="P45" s="43">
        <v>1</v>
      </c>
      <c r="Q45" s="25" t="str">
        <f>VLOOKUP(P45,Key!$E$2:$F$9,2,FALSE)</f>
        <v>Home</v>
      </c>
      <c r="R45" s="25" t="str">
        <f t="shared" si="1"/>
        <v>Home-Home</v>
      </c>
      <c r="S45" s="58">
        <v>4</v>
      </c>
      <c r="T45" s="58">
        <v>0.1</v>
      </c>
      <c r="U45" s="43">
        <v>2</v>
      </c>
      <c r="V45" s="43">
        <v>11</v>
      </c>
      <c r="W45" s="58"/>
      <c r="X45" s="58"/>
      <c r="Y45" s="59" t="s">
        <v>156</v>
      </c>
      <c r="Z45" s="60">
        <v>2000</v>
      </c>
      <c r="AA45" s="25"/>
      <c r="AB45" s="25"/>
    </row>
    <row r="46" spans="2:28">
      <c r="B46" s="40">
        <v>0.64166666666666672</v>
      </c>
      <c r="C46" s="40" t="s">
        <v>772</v>
      </c>
      <c r="D46" s="41">
        <v>11</v>
      </c>
      <c r="E46" s="42">
        <v>1</v>
      </c>
      <c r="F46" s="42" t="s">
        <v>564</v>
      </c>
      <c r="G46" s="43" t="s">
        <v>154</v>
      </c>
      <c r="H46" s="42" t="s">
        <v>155</v>
      </c>
      <c r="I46" s="43">
        <v>11</v>
      </c>
      <c r="J46" s="43">
        <v>4</v>
      </c>
      <c r="K46" s="25" t="str">
        <f>VLOOKUP(J46,Key!$E$2:$F$9,2,FALSE)</f>
        <v>Commercial</v>
      </c>
      <c r="L46" s="42" t="s">
        <v>168</v>
      </c>
      <c r="M46" s="43" t="s">
        <v>154</v>
      </c>
      <c r="N46" s="42" t="s">
        <v>155</v>
      </c>
      <c r="O46" s="43">
        <v>11</v>
      </c>
      <c r="P46" s="43">
        <v>4</v>
      </c>
      <c r="Q46" s="25" t="str">
        <f>VLOOKUP(P46,Key!$E$2:$F$9,2,FALSE)</f>
        <v>Commercial</v>
      </c>
      <c r="R46" s="25" t="str">
        <f t="shared" si="1"/>
        <v>Commercial-Commercial</v>
      </c>
      <c r="S46" s="58">
        <v>1.3</v>
      </c>
      <c r="T46" s="58">
        <v>0.4</v>
      </c>
      <c r="U46" s="43">
        <v>2</v>
      </c>
      <c r="V46" s="43"/>
      <c r="W46" s="58"/>
      <c r="X46" s="58"/>
      <c r="Y46" s="59" t="s">
        <v>156</v>
      </c>
      <c r="Z46" s="60">
        <v>5000</v>
      </c>
      <c r="AA46" s="25"/>
      <c r="AB46" s="25"/>
    </row>
    <row r="47" spans="2:28">
      <c r="B47" s="40">
        <v>0.62430555555555556</v>
      </c>
      <c r="C47" s="40" t="s">
        <v>773</v>
      </c>
      <c r="D47" s="41">
        <v>1</v>
      </c>
      <c r="E47" s="42">
        <v>1</v>
      </c>
      <c r="F47" s="42" t="s">
        <v>774</v>
      </c>
      <c r="G47" s="43" t="s">
        <v>159</v>
      </c>
      <c r="H47" s="42" t="s">
        <v>155</v>
      </c>
      <c r="I47" s="43">
        <v>1</v>
      </c>
      <c r="J47" s="43">
        <v>1</v>
      </c>
      <c r="K47" s="25" t="str">
        <f>VLOOKUP(J47,Key!$E$2:$F$9,2,FALSE)</f>
        <v>Home</v>
      </c>
      <c r="L47" s="42" t="s">
        <v>394</v>
      </c>
      <c r="M47" s="43" t="s">
        <v>154</v>
      </c>
      <c r="N47" s="42" t="s">
        <v>155</v>
      </c>
      <c r="O47" s="43">
        <v>16</v>
      </c>
      <c r="P47" s="43">
        <v>8</v>
      </c>
      <c r="Q47" s="25" t="str">
        <f>VLOOKUP(P47,Key!$E$2:$F$9,2,FALSE)</f>
        <v>Others</v>
      </c>
      <c r="R47" s="25" t="str">
        <f t="shared" si="1"/>
        <v>Home-Others</v>
      </c>
      <c r="S47" s="58"/>
      <c r="T47" s="58">
        <v>2</v>
      </c>
      <c r="U47" s="43">
        <v>6</v>
      </c>
      <c r="V47" s="43"/>
      <c r="W47" s="58"/>
      <c r="X47" s="58"/>
      <c r="Y47" s="59" t="s">
        <v>741</v>
      </c>
      <c r="Z47" s="60">
        <v>0</v>
      </c>
      <c r="AA47" s="25"/>
      <c r="AB47" s="25"/>
    </row>
    <row r="48" spans="2:28">
      <c r="B48" s="40">
        <v>0.6166666666666667</v>
      </c>
      <c r="C48" s="40" t="s">
        <v>775</v>
      </c>
      <c r="D48" s="41">
        <v>1</v>
      </c>
      <c r="E48" s="42">
        <v>2</v>
      </c>
      <c r="F48" s="42" t="s">
        <v>564</v>
      </c>
      <c r="G48" s="43" t="s">
        <v>154</v>
      </c>
      <c r="H48" s="42" t="s">
        <v>155</v>
      </c>
      <c r="I48" s="43">
        <v>2</v>
      </c>
      <c r="J48" s="43">
        <v>2</v>
      </c>
      <c r="K48" s="25" t="str">
        <f>VLOOKUP(J48,Key!$E$2:$F$9,2,FALSE)</f>
        <v>Work</v>
      </c>
      <c r="L48" s="42" t="s">
        <v>168</v>
      </c>
      <c r="M48" s="43" t="s">
        <v>154</v>
      </c>
      <c r="N48" s="42" t="s">
        <v>155</v>
      </c>
      <c r="O48" s="43">
        <v>1</v>
      </c>
      <c r="P48" s="43">
        <v>1</v>
      </c>
      <c r="Q48" s="25" t="str">
        <f>VLOOKUP(P48,Key!$E$2:$F$9,2,FALSE)</f>
        <v>Home</v>
      </c>
      <c r="R48" s="25" t="str">
        <f t="shared" si="1"/>
        <v>Work-Home</v>
      </c>
      <c r="S48" s="58">
        <v>3</v>
      </c>
      <c r="T48" s="58">
        <v>0.5</v>
      </c>
      <c r="U48" s="43">
        <v>2</v>
      </c>
      <c r="V48" s="43"/>
      <c r="W48" s="58"/>
      <c r="X48" s="58"/>
      <c r="Y48" s="59" t="s">
        <v>156</v>
      </c>
      <c r="Z48" s="60">
        <v>0</v>
      </c>
      <c r="AA48" s="25"/>
      <c r="AB48" s="25"/>
    </row>
    <row r="49" spans="2:28">
      <c r="B49" s="40">
        <v>0.61111111111111105</v>
      </c>
      <c r="C49" s="40" t="s">
        <v>776</v>
      </c>
      <c r="D49" s="41">
        <v>1</v>
      </c>
      <c r="E49" s="42">
        <v>3</v>
      </c>
      <c r="F49" s="42" t="s">
        <v>207</v>
      </c>
      <c r="G49" s="43" t="s">
        <v>159</v>
      </c>
      <c r="H49" s="42" t="s">
        <v>155</v>
      </c>
      <c r="I49" s="43">
        <v>1</v>
      </c>
      <c r="J49" s="43">
        <v>1</v>
      </c>
      <c r="K49" s="25" t="str">
        <f>VLOOKUP(J49,Key!$E$2:$F$9,2,FALSE)</f>
        <v>Home</v>
      </c>
      <c r="L49" s="42" t="s">
        <v>173</v>
      </c>
      <c r="M49" s="43" t="s">
        <v>154</v>
      </c>
      <c r="N49" s="42" t="s">
        <v>155</v>
      </c>
      <c r="O49" s="43">
        <v>16</v>
      </c>
      <c r="P49" s="43">
        <v>2</v>
      </c>
      <c r="Q49" s="25" t="str">
        <f>VLOOKUP(P49,Key!$E$2:$F$9,2,FALSE)</f>
        <v>Work</v>
      </c>
      <c r="R49" s="25" t="str">
        <f t="shared" si="1"/>
        <v>Home-Work</v>
      </c>
      <c r="S49" s="58">
        <v>20</v>
      </c>
      <c r="T49" s="58">
        <v>1</v>
      </c>
      <c r="U49" s="43">
        <v>5</v>
      </c>
      <c r="V49" s="43"/>
      <c r="W49" s="58"/>
      <c r="X49" s="58"/>
      <c r="Y49" s="59" t="s">
        <v>156</v>
      </c>
      <c r="Z49" s="60">
        <v>2000</v>
      </c>
      <c r="AA49" s="25"/>
      <c r="AB49" s="25"/>
    </row>
    <row r="50" spans="2:28">
      <c r="B50" s="40">
        <v>0.60486111111111118</v>
      </c>
      <c r="C50" s="40" t="s">
        <v>777</v>
      </c>
      <c r="D50" s="41">
        <v>1</v>
      </c>
      <c r="E50" s="42">
        <v>1</v>
      </c>
      <c r="F50" s="42" t="s">
        <v>180</v>
      </c>
      <c r="G50" s="43" t="s">
        <v>154</v>
      </c>
      <c r="H50" s="42" t="s">
        <v>155</v>
      </c>
      <c r="I50" s="43">
        <v>16</v>
      </c>
      <c r="J50" s="43">
        <v>2</v>
      </c>
      <c r="K50" s="25" t="str">
        <f>VLOOKUP(J50,Key!$E$2:$F$9,2,FALSE)</f>
        <v>Work</v>
      </c>
      <c r="L50" s="42" t="s">
        <v>160</v>
      </c>
      <c r="M50" s="43" t="s">
        <v>154</v>
      </c>
      <c r="N50" s="42" t="s">
        <v>155</v>
      </c>
      <c r="O50" s="43">
        <v>1</v>
      </c>
      <c r="P50" s="43">
        <v>1</v>
      </c>
      <c r="Q50" s="25" t="str">
        <f>VLOOKUP(P50,Key!$E$2:$F$9,2,FALSE)</f>
        <v>Home</v>
      </c>
      <c r="R50" s="25" t="str">
        <f t="shared" si="1"/>
        <v>Work-Home</v>
      </c>
      <c r="S50" s="58">
        <v>5</v>
      </c>
      <c r="T50" s="58">
        <v>0.5</v>
      </c>
      <c r="U50" s="43">
        <v>2</v>
      </c>
      <c r="V50" s="43"/>
      <c r="W50" s="58"/>
      <c r="X50" s="58"/>
      <c r="Y50" s="59" t="s">
        <v>156</v>
      </c>
      <c r="Z50" s="60">
        <v>0</v>
      </c>
      <c r="AA50" s="25"/>
      <c r="AB50" s="25"/>
    </row>
    <row r="51" spans="2:28">
      <c r="B51" s="40">
        <v>0.71319444444444446</v>
      </c>
      <c r="C51" s="40" t="s">
        <v>778</v>
      </c>
      <c r="D51" s="41">
        <v>2</v>
      </c>
      <c r="E51" s="42">
        <v>2</v>
      </c>
      <c r="F51" s="42" t="s">
        <v>779</v>
      </c>
      <c r="G51" s="43" t="s">
        <v>780</v>
      </c>
      <c r="H51" s="42" t="s">
        <v>155</v>
      </c>
      <c r="I51" s="43">
        <v>16</v>
      </c>
      <c r="J51" s="43">
        <v>8</v>
      </c>
      <c r="K51" s="25" t="str">
        <f>VLOOKUP(J51,Key!$E$2:$F$9,2,FALSE)</f>
        <v>Others</v>
      </c>
      <c r="L51" s="42" t="s">
        <v>168</v>
      </c>
      <c r="M51" s="43" t="s">
        <v>154</v>
      </c>
      <c r="N51" s="42" t="s">
        <v>155</v>
      </c>
      <c r="O51" s="43">
        <v>1</v>
      </c>
      <c r="P51" s="43">
        <v>1</v>
      </c>
      <c r="Q51" s="25" t="str">
        <f>VLOOKUP(P51,Key!$E$2:$F$9,2,FALSE)</f>
        <v>Home</v>
      </c>
      <c r="R51" s="25" t="str">
        <f t="shared" si="1"/>
        <v>Others-Home</v>
      </c>
      <c r="S51" s="58">
        <v>60</v>
      </c>
      <c r="T51" s="58">
        <v>0.8</v>
      </c>
      <c r="U51" s="43">
        <v>2</v>
      </c>
      <c r="V51" s="43"/>
      <c r="W51" s="58"/>
      <c r="X51" s="58"/>
      <c r="Y51" s="59" t="s">
        <v>156</v>
      </c>
      <c r="Z51" s="60">
        <v>2000</v>
      </c>
      <c r="AA51" s="25"/>
      <c r="AB51" s="25"/>
    </row>
    <row r="52" spans="2:28">
      <c r="B52" s="40">
        <v>0.4375</v>
      </c>
      <c r="C52" s="40" t="s">
        <v>781</v>
      </c>
      <c r="D52" s="41">
        <v>1</v>
      </c>
      <c r="E52" s="42">
        <v>4</v>
      </c>
      <c r="F52" s="42" t="s">
        <v>782</v>
      </c>
      <c r="G52" s="43" t="s">
        <v>154</v>
      </c>
      <c r="H52" s="42" t="s">
        <v>155</v>
      </c>
      <c r="I52" s="43">
        <v>1</v>
      </c>
      <c r="J52" s="43">
        <v>1</v>
      </c>
      <c r="K52" s="25" t="str">
        <f>VLOOKUP(J52,Key!$E$2:$F$9,2,FALSE)</f>
        <v>Home</v>
      </c>
      <c r="L52" s="42" t="s">
        <v>168</v>
      </c>
      <c r="M52" s="43" t="s">
        <v>154</v>
      </c>
      <c r="N52" s="42" t="s">
        <v>155</v>
      </c>
      <c r="O52" s="43">
        <v>11</v>
      </c>
      <c r="P52" s="43">
        <v>4</v>
      </c>
      <c r="Q52" s="25" t="str">
        <f>VLOOKUP(P52,Key!$E$2:$F$9,2,FALSE)</f>
        <v>Commercial</v>
      </c>
      <c r="R52" s="25" t="str">
        <f t="shared" si="1"/>
        <v>Home-Commercial</v>
      </c>
      <c r="S52" s="58">
        <v>10</v>
      </c>
      <c r="T52" s="58">
        <v>0.5</v>
      </c>
      <c r="U52" s="43">
        <v>2</v>
      </c>
      <c r="V52" s="43"/>
      <c r="W52" s="58"/>
      <c r="X52" s="58"/>
      <c r="Y52" s="59" t="s">
        <v>156</v>
      </c>
      <c r="Z52" s="60">
        <v>1000</v>
      </c>
      <c r="AA52" s="25"/>
      <c r="AB52" s="25"/>
    </row>
    <row r="53" spans="2:28">
      <c r="B53" s="40">
        <v>0.50277777777777777</v>
      </c>
      <c r="C53" s="40" t="s">
        <v>783</v>
      </c>
      <c r="D53" s="41">
        <v>1</v>
      </c>
      <c r="E53" s="42">
        <v>4</v>
      </c>
      <c r="F53" s="42" t="s">
        <v>177</v>
      </c>
      <c r="G53" s="43" t="s">
        <v>159</v>
      </c>
      <c r="H53" s="42" t="s">
        <v>155</v>
      </c>
      <c r="I53" s="43">
        <v>1</v>
      </c>
      <c r="J53" s="43">
        <v>1</v>
      </c>
      <c r="K53" s="25" t="str">
        <f>VLOOKUP(J53,Key!$E$2:$F$9,2,FALSE)</f>
        <v>Home</v>
      </c>
      <c r="L53" s="42" t="s">
        <v>168</v>
      </c>
      <c r="M53" s="43" t="s">
        <v>154</v>
      </c>
      <c r="N53" s="42" t="s">
        <v>155</v>
      </c>
      <c r="O53" s="43">
        <v>1</v>
      </c>
      <c r="P53" s="43">
        <v>1</v>
      </c>
      <c r="Q53" s="25" t="str">
        <f>VLOOKUP(P53,Key!$E$2:$F$9,2,FALSE)</f>
        <v>Home</v>
      </c>
      <c r="R53" s="25" t="str">
        <f t="shared" si="1"/>
        <v>Home-Home</v>
      </c>
      <c r="S53" s="58"/>
      <c r="T53" s="58">
        <v>1</v>
      </c>
      <c r="U53" s="43">
        <v>6</v>
      </c>
      <c r="V53" s="43"/>
      <c r="W53" s="58"/>
      <c r="X53" s="58"/>
      <c r="Y53" s="59" t="s">
        <v>156</v>
      </c>
      <c r="Z53" s="60">
        <v>1000</v>
      </c>
      <c r="AA53" s="25"/>
      <c r="AB53" s="25"/>
    </row>
    <row r="54" spans="2:28">
      <c r="B54" s="40">
        <v>0.68194444444444446</v>
      </c>
      <c r="C54" s="40" t="s">
        <v>784</v>
      </c>
      <c r="D54" s="41">
        <v>8</v>
      </c>
      <c r="E54" s="42">
        <v>3</v>
      </c>
      <c r="F54" s="42" t="s">
        <v>163</v>
      </c>
      <c r="G54" s="43" t="s">
        <v>163</v>
      </c>
      <c r="H54" s="42" t="s">
        <v>155</v>
      </c>
      <c r="I54" s="43">
        <v>1</v>
      </c>
      <c r="J54" s="43">
        <v>1</v>
      </c>
      <c r="K54" s="25" t="str">
        <f>VLOOKUP(J54,Key!$E$2:$F$9,2,FALSE)</f>
        <v>Home</v>
      </c>
      <c r="L54" s="42" t="s">
        <v>147</v>
      </c>
      <c r="M54" s="43" t="s">
        <v>154</v>
      </c>
      <c r="N54" s="42" t="s">
        <v>155</v>
      </c>
      <c r="O54" s="43">
        <v>2</v>
      </c>
      <c r="P54" s="43">
        <v>2</v>
      </c>
      <c r="Q54" s="25" t="str">
        <f>VLOOKUP(P54,Key!$E$2:$F$9,2,FALSE)</f>
        <v>Work</v>
      </c>
      <c r="R54" s="25" t="str">
        <f t="shared" si="1"/>
        <v>Home-Work</v>
      </c>
      <c r="S54" s="58"/>
      <c r="T54" s="58">
        <v>3</v>
      </c>
      <c r="U54" s="43">
        <v>3</v>
      </c>
      <c r="V54" s="43">
        <v>6</v>
      </c>
      <c r="W54" s="58">
        <v>1</v>
      </c>
      <c r="X54" s="58"/>
      <c r="Y54" s="59" t="s">
        <v>156</v>
      </c>
      <c r="Z54" s="60">
        <v>3000</v>
      </c>
      <c r="AA54" s="25"/>
      <c r="AB54" s="25"/>
    </row>
    <row r="55" spans="2:28">
      <c r="B55" s="40">
        <v>0.63541666666666663</v>
      </c>
      <c r="C55" s="40" t="s">
        <v>785</v>
      </c>
      <c r="D55" s="41">
        <v>1</v>
      </c>
      <c r="E55" s="42">
        <v>5</v>
      </c>
      <c r="F55" s="42" t="s">
        <v>177</v>
      </c>
      <c r="G55" s="43" t="s">
        <v>159</v>
      </c>
      <c r="H55" s="42" t="s">
        <v>155</v>
      </c>
      <c r="I55" s="43">
        <v>1</v>
      </c>
      <c r="J55" s="43">
        <v>1</v>
      </c>
      <c r="K55" s="25" t="str">
        <f>VLOOKUP(J55,Key!$E$2:$F$9,2,FALSE)</f>
        <v>Home</v>
      </c>
      <c r="L55" s="42" t="s">
        <v>245</v>
      </c>
      <c r="M55" s="43" t="s">
        <v>154</v>
      </c>
      <c r="N55" s="42" t="s">
        <v>155</v>
      </c>
      <c r="O55" s="43">
        <v>4</v>
      </c>
      <c r="P55" s="43">
        <v>3</v>
      </c>
      <c r="Q55" s="25" t="str">
        <f>VLOOKUP(P55,Key!$E$2:$F$9,2,FALSE)</f>
        <v>Study</v>
      </c>
      <c r="R55" s="25" t="str">
        <f t="shared" si="1"/>
        <v>Home-Study</v>
      </c>
      <c r="S55" s="58">
        <v>11</v>
      </c>
      <c r="T55" s="58">
        <v>0.5</v>
      </c>
      <c r="U55" s="43">
        <v>6</v>
      </c>
      <c r="V55" s="43"/>
      <c r="W55" s="58"/>
      <c r="X55" s="58"/>
      <c r="Y55" s="59" t="s">
        <v>156</v>
      </c>
      <c r="Z55" s="60">
        <v>3000</v>
      </c>
      <c r="AA55" s="25"/>
      <c r="AB55" s="25"/>
    </row>
    <row r="56" spans="2:28">
      <c r="B56" s="40">
        <v>0.57013888888888886</v>
      </c>
      <c r="C56" s="40" t="s">
        <v>786</v>
      </c>
      <c r="D56" s="41">
        <v>3</v>
      </c>
      <c r="E56" s="42">
        <v>1</v>
      </c>
      <c r="F56" s="42" t="s">
        <v>295</v>
      </c>
      <c r="G56" s="43" t="s">
        <v>154</v>
      </c>
      <c r="H56" s="42" t="s">
        <v>155</v>
      </c>
      <c r="I56" s="43">
        <v>1</v>
      </c>
      <c r="J56" s="43">
        <v>1</v>
      </c>
      <c r="K56" s="25" t="str">
        <f>VLOOKUP(J56,Key!$E$2:$F$9,2,FALSE)</f>
        <v>Home</v>
      </c>
      <c r="L56" s="42" t="s">
        <v>147</v>
      </c>
      <c r="M56" s="43" t="s">
        <v>154</v>
      </c>
      <c r="N56" s="42" t="s">
        <v>155</v>
      </c>
      <c r="O56" s="43">
        <v>16</v>
      </c>
      <c r="P56" s="43">
        <v>8</v>
      </c>
      <c r="Q56" s="25" t="str">
        <f>VLOOKUP(P56,Key!$E$2:$F$9,2,FALSE)</f>
        <v>Others</v>
      </c>
      <c r="R56" s="25" t="str">
        <f t="shared" si="1"/>
        <v>Home-Others</v>
      </c>
      <c r="S56" s="58">
        <v>15</v>
      </c>
      <c r="T56" s="58">
        <v>0.8</v>
      </c>
      <c r="U56" s="43">
        <v>5</v>
      </c>
      <c r="V56" s="43"/>
      <c r="W56" s="58"/>
      <c r="X56" s="58"/>
      <c r="Y56" s="59" t="s">
        <v>156</v>
      </c>
      <c r="Z56" s="60">
        <v>5000</v>
      </c>
      <c r="AA56" s="25"/>
      <c r="AB56" s="25"/>
    </row>
    <row r="57" spans="2:28">
      <c r="B57" s="40">
        <v>0.43055555555555558</v>
      </c>
      <c r="C57" s="40" t="s">
        <v>284</v>
      </c>
      <c r="D57" s="41">
        <v>1</v>
      </c>
      <c r="E57" s="42">
        <v>2</v>
      </c>
      <c r="F57" s="42" t="s">
        <v>564</v>
      </c>
      <c r="G57" s="43" t="s">
        <v>154</v>
      </c>
      <c r="H57" s="42" t="s">
        <v>155</v>
      </c>
      <c r="I57" s="43">
        <v>9</v>
      </c>
      <c r="J57" s="43">
        <v>4</v>
      </c>
      <c r="K57" s="25" t="str">
        <f>VLOOKUP(J57,Key!$E$2:$F$9,2,FALSE)</f>
        <v>Commercial</v>
      </c>
      <c r="L57" s="42" t="s">
        <v>147</v>
      </c>
      <c r="M57" s="43" t="s">
        <v>154</v>
      </c>
      <c r="N57" s="42" t="s">
        <v>155</v>
      </c>
      <c r="O57" s="43">
        <v>9</v>
      </c>
      <c r="P57" s="43">
        <v>2</v>
      </c>
      <c r="Q57" s="25" t="str">
        <f>VLOOKUP(P57,Key!$E$2:$F$9,2,FALSE)</f>
        <v>Work</v>
      </c>
      <c r="R57" s="25" t="str">
        <f t="shared" si="1"/>
        <v>Commercial-Work</v>
      </c>
      <c r="S57" s="58">
        <v>30</v>
      </c>
      <c r="T57" s="58">
        <v>0.5</v>
      </c>
      <c r="U57" s="43">
        <v>2</v>
      </c>
      <c r="V57" s="43"/>
      <c r="W57" s="58"/>
      <c r="X57" s="58"/>
      <c r="Y57" s="59" t="s">
        <v>156</v>
      </c>
      <c r="Z57" s="60">
        <v>1000</v>
      </c>
      <c r="AA57" s="25"/>
      <c r="AB57" s="25"/>
    </row>
    <row r="58" spans="2:28">
      <c r="B58" s="40">
        <v>0.44722222222222219</v>
      </c>
      <c r="C58" s="40" t="s">
        <v>787</v>
      </c>
      <c r="D58" s="41">
        <v>7</v>
      </c>
      <c r="E58" s="42">
        <v>2</v>
      </c>
      <c r="F58" s="42" t="s">
        <v>564</v>
      </c>
      <c r="G58" s="43" t="s">
        <v>154</v>
      </c>
      <c r="H58" s="42" t="s">
        <v>155</v>
      </c>
      <c r="I58" s="43">
        <v>16</v>
      </c>
      <c r="J58" s="43">
        <v>8</v>
      </c>
      <c r="K58" s="25" t="str">
        <f>VLOOKUP(J58,Key!$E$2:$F$9,2,FALSE)</f>
        <v>Others</v>
      </c>
      <c r="L58" s="42" t="s">
        <v>147</v>
      </c>
      <c r="M58" s="43" t="s">
        <v>154</v>
      </c>
      <c r="N58" s="42" t="s">
        <v>155</v>
      </c>
      <c r="O58" s="43">
        <v>10</v>
      </c>
      <c r="P58" s="43">
        <v>2</v>
      </c>
      <c r="Q58" s="25" t="str">
        <f>VLOOKUP(P58,Key!$E$2:$F$9,2,FALSE)</f>
        <v>Work</v>
      </c>
      <c r="R58" s="25" t="str">
        <f t="shared" si="1"/>
        <v>Others-Work</v>
      </c>
      <c r="S58" s="58">
        <v>5</v>
      </c>
      <c r="T58" s="58">
        <v>0.7</v>
      </c>
      <c r="U58" s="43">
        <v>2</v>
      </c>
      <c r="V58" s="43">
        <v>4</v>
      </c>
      <c r="W58" s="58">
        <v>5</v>
      </c>
      <c r="X58" s="58">
        <v>3</v>
      </c>
      <c r="Y58" s="59" t="s">
        <v>156</v>
      </c>
      <c r="Z58" s="60">
        <v>2000</v>
      </c>
      <c r="AA58" s="25"/>
      <c r="AB58" s="25"/>
    </row>
    <row r="59" spans="2:28">
      <c r="B59" s="40">
        <v>0.4375</v>
      </c>
      <c r="C59" s="40" t="s">
        <v>788</v>
      </c>
      <c r="D59" s="41">
        <v>1</v>
      </c>
      <c r="E59" s="42">
        <v>1</v>
      </c>
      <c r="F59" s="42" t="s">
        <v>184</v>
      </c>
      <c r="G59" s="43" t="s">
        <v>154</v>
      </c>
      <c r="H59" s="42" t="s">
        <v>155</v>
      </c>
      <c r="I59" s="43">
        <v>11</v>
      </c>
      <c r="J59" s="43">
        <v>4</v>
      </c>
      <c r="K59" s="25" t="str">
        <f>VLOOKUP(J59,Key!$E$2:$F$9,2,FALSE)</f>
        <v>Commercial</v>
      </c>
      <c r="L59" s="42" t="s">
        <v>207</v>
      </c>
      <c r="M59" s="43" t="s">
        <v>154</v>
      </c>
      <c r="N59" s="42" t="s">
        <v>155</v>
      </c>
      <c r="O59" s="43">
        <v>1</v>
      </c>
      <c r="P59" s="43">
        <v>1</v>
      </c>
      <c r="Q59" s="25" t="str">
        <f>VLOOKUP(P59,Key!$E$2:$F$9,2,FALSE)</f>
        <v>Home</v>
      </c>
      <c r="R59" s="25" t="str">
        <f t="shared" si="1"/>
        <v>Commercial-Home</v>
      </c>
      <c r="S59" s="58">
        <v>3</v>
      </c>
      <c r="T59" s="58">
        <v>0.5</v>
      </c>
      <c r="U59" s="43">
        <v>2</v>
      </c>
      <c r="V59" s="43"/>
      <c r="W59" s="58"/>
      <c r="X59" s="58"/>
      <c r="Y59" s="59" t="s">
        <v>156</v>
      </c>
      <c r="Z59" s="60">
        <v>3500</v>
      </c>
      <c r="AA59" s="25"/>
      <c r="AB59" s="25"/>
    </row>
    <row r="60" spans="2:28">
      <c r="B60" s="40">
        <v>0.43333333333333335</v>
      </c>
      <c r="C60" s="40" t="s">
        <v>789</v>
      </c>
      <c r="D60" s="41">
        <v>1</v>
      </c>
      <c r="E60" s="42">
        <v>3</v>
      </c>
      <c r="F60" s="42" t="s">
        <v>564</v>
      </c>
      <c r="G60" s="43" t="s">
        <v>154</v>
      </c>
      <c r="H60" s="42" t="s">
        <v>155</v>
      </c>
      <c r="I60" s="43">
        <v>11</v>
      </c>
      <c r="J60" s="43">
        <v>4</v>
      </c>
      <c r="K60" s="25" t="str">
        <f>VLOOKUP(J60,Key!$E$2:$F$9,2,FALSE)</f>
        <v>Commercial</v>
      </c>
      <c r="L60" s="42" t="s">
        <v>168</v>
      </c>
      <c r="M60" s="43" t="s">
        <v>154</v>
      </c>
      <c r="N60" s="42" t="s">
        <v>155</v>
      </c>
      <c r="O60" s="43">
        <v>1</v>
      </c>
      <c r="P60" s="43">
        <v>1</v>
      </c>
      <c r="Q60" s="25" t="str">
        <f>VLOOKUP(P60,Key!$E$2:$F$9,2,FALSE)</f>
        <v>Home</v>
      </c>
      <c r="R60" s="25" t="str">
        <f t="shared" si="1"/>
        <v>Commercial-Home</v>
      </c>
      <c r="S60" s="58">
        <v>1.5</v>
      </c>
      <c r="T60" s="58">
        <v>0.3</v>
      </c>
      <c r="U60" s="43">
        <v>2</v>
      </c>
      <c r="V60" s="43"/>
      <c r="W60" s="58"/>
      <c r="X60" s="58"/>
      <c r="Y60" s="59" t="s">
        <v>156</v>
      </c>
      <c r="Z60" s="60">
        <v>4000</v>
      </c>
      <c r="AA60" s="25"/>
      <c r="AB60" s="25"/>
    </row>
    <row r="61" spans="2:28">
      <c r="B61" s="40">
        <v>0.43194444444444446</v>
      </c>
      <c r="C61" s="40" t="s">
        <v>790</v>
      </c>
      <c r="D61" s="41">
        <v>1</v>
      </c>
      <c r="E61" s="42">
        <v>2</v>
      </c>
      <c r="F61" s="42" t="s">
        <v>184</v>
      </c>
      <c r="G61" s="43" t="s">
        <v>154</v>
      </c>
      <c r="H61" s="42" t="s">
        <v>155</v>
      </c>
      <c r="I61" s="43">
        <v>11</v>
      </c>
      <c r="J61" s="43">
        <v>4</v>
      </c>
      <c r="K61" s="25" t="str">
        <f>VLOOKUP(J61,Key!$E$2:$F$9,2,FALSE)</f>
        <v>Commercial</v>
      </c>
      <c r="L61" s="42" t="s">
        <v>207</v>
      </c>
      <c r="M61" s="43" t="s">
        <v>154</v>
      </c>
      <c r="N61" s="42" t="s">
        <v>155</v>
      </c>
      <c r="O61" s="43">
        <v>1</v>
      </c>
      <c r="P61" s="43">
        <v>1</v>
      </c>
      <c r="Q61" s="25" t="str">
        <f>VLOOKUP(P61,Key!$E$2:$F$9,2,FALSE)</f>
        <v>Home</v>
      </c>
      <c r="R61" s="25" t="str">
        <f t="shared" si="1"/>
        <v>Commercial-Home</v>
      </c>
      <c r="S61" s="58">
        <v>5</v>
      </c>
      <c r="T61" s="58">
        <v>0.3</v>
      </c>
      <c r="U61" s="43">
        <v>2</v>
      </c>
      <c r="V61" s="43"/>
      <c r="W61" s="58">
        <v>0.1</v>
      </c>
      <c r="X61" s="58">
        <v>0.2</v>
      </c>
      <c r="Y61" s="59" t="s">
        <v>156</v>
      </c>
      <c r="Z61" s="60">
        <v>1000</v>
      </c>
      <c r="AA61" s="25"/>
      <c r="AB61" s="25"/>
    </row>
    <row r="62" spans="2:28">
      <c r="B62" s="40">
        <v>0.4680555555555555</v>
      </c>
      <c r="C62" s="40" t="s">
        <v>791</v>
      </c>
      <c r="D62" s="41">
        <v>3</v>
      </c>
      <c r="E62" s="42">
        <v>1</v>
      </c>
      <c r="F62" s="42" t="s">
        <v>681</v>
      </c>
      <c r="G62" s="43" t="s">
        <v>159</v>
      </c>
      <c r="H62" s="42" t="s">
        <v>155</v>
      </c>
      <c r="I62" s="43">
        <v>1</v>
      </c>
      <c r="J62" s="43">
        <v>1</v>
      </c>
      <c r="K62" s="25" t="str">
        <f>VLOOKUP(J62,Key!$E$2:$F$9,2,FALSE)</f>
        <v>Home</v>
      </c>
      <c r="L62" s="42" t="s">
        <v>792</v>
      </c>
      <c r="M62" s="43" t="s">
        <v>792</v>
      </c>
      <c r="N62" s="42" t="s">
        <v>155</v>
      </c>
      <c r="O62" s="43">
        <v>2</v>
      </c>
      <c r="P62" s="43">
        <v>2</v>
      </c>
      <c r="Q62" s="25" t="str">
        <f>VLOOKUP(P62,Key!$E$2:$F$9,2,FALSE)</f>
        <v>Work</v>
      </c>
      <c r="R62" s="25" t="str">
        <f t="shared" si="1"/>
        <v>Home-Work</v>
      </c>
      <c r="S62" s="58">
        <v>400</v>
      </c>
      <c r="T62" s="58">
        <v>4</v>
      </c>
      <c r="U62" s="43">
        <v>6</v>
      </c>
      <c r="V62" s="43"/>
      <c r="W62" s="58">
        <v>0.1</v>
      </c>
      <c r="X62" s="58"/>
      <c r="Y62" s="59" t="s">
        <v>156</v>
      </c>
      <c r="Z62" s="60">
        <v>200</v>
      </c>
      <c r="AA62" s="25"/>
      <c r="AB62" s="25"/>
    </row>
    <row r="63" spans="2:28">
      <c r="B63" s="40">
        <v>0.47500000000000003</v>
      </c>
      <c r="C63" s="40" t="s">
        <v>258</v>
      </c>
      <c r="D63" s="41">
        <v>1</v>
      </c>
      <c r="E63" s="42">
        <v>2</v>
      </c>
      <c r="F63" s="42" t="s">
        <v>184</v>
      </c>
      <c r="G63" s="43" t="s">
        <v>154</v>
      </c>
      <c r="H63" s="42" t="s">
        <v>155</v>
      </c>
      <c r="I63" s="43">
        <v>11</v>
      </c>
      <c r="J63" s="43">
        <v>4</v>
      </c>
      <c r="K63" s="25" t="str">
        <f>VLOOKUP(J63,Key!$E$2:$F$9,2,FALSE)</f>
        <v>Commercial</v>
      </c>
      <c r="L63" s="42" t="s">
        <v>168</v>
      </c>
      <c r="M63" s="43" t="s">
        <v>154</v>
      </c>
      <c r="N63" s="42" t="s">
        <v>155</v>
      </c>
      <c r="O63" s="43">
        <v>1</v>
      </c>
      <c r="P63" s="43">
        <v>1</v>
      </c>
      <c r="Q63" s="25" t="str">
        <f>VLOOKUP(P63,Key!$E$2:$F$9,2,FALSE)</f>
        <v>Home</v>
      </c>
      <c r="R63" s="25" t="str">
        <f t="shared" si="1"/>
        <v>Commercial-Home</v>
      </c>
      <c r="S63" s="58">
        <v>2</v>
      </c>
      <c r="T63" s="58">
        <v>0.2</v>
      </c>
      <c r="U63" s="43">
        <v>2</v>
      </c>
      <c r="V63" s="43"/>
      <c r="W63" s="58"/>
      <c r="X63" s="58"/>
      <c r="Y63" s="59" t="s">
        <v>156</v>
      </c>
      <c r="Z63" s="60">
        <v>1000</v>
      </c>
      <c r="AA63" s="25"/>
      <c r="AB63" s="25"/>
    </row>
    <row r="64" spans="2:28">
      <c r="B64" s="40">
        <v>0.46319444444444446</v>
      </c>
      <c r="C64" s="40" t="s">
        <v>793</v>
      </c>
      <c r="D64" s="41">
        <v>1</v>
      </c>
      <c r="E64" s="42">
        <v>2</v>
      </c>
      <c r="F64" s="42" t="s">
        <v>184</v>
      </c>
      <c r="G64" s="43" t="s">
        <v>154</v>
      </c>
      <c r="H64" s="42" t="s">
        <v>155</v>
      </c>
      <c r="I64" s="43">
        <v>11</v>
      </c>
      <c r="J64" s="43">
        <v>4</v>
      </c>
      <c r="K64" s="25" t="str">
        <f>VLOOKUP(J64,Key!$E$2:$F$9,2,FALSE)</f>
        <v>Commercial</v>
      </c>
      <c r="L64" s="42" t="s">
        <v>168</v>
      </c>
      <c r="M64" s="43" t="s">
        <v>154</v>
      </c>
      <c r="N64" s="42" t="s">
        <v>155</v>
      </c>
      <c r="O64" s="43">
        <v>1</v>
      </c>
      <c r="P64" s="43">
        <v>1</v>
      </c>
      <c r="Q64" s="25" t="str">
        <f>VLOOKUP(P64,Key!$E$2:$F$9,2,FALSE)</f>
        <v>Home</v>
      </c>
      <c r="R64" s="25" t="str">
        <f t="shared" si="1"/>
        <v>Commercial-Home</v>
      </c>
      <c r="S64" s="58">
        <v>5</v>
      </c>
      <c r="T64" s="58">
        <v>0.2</v>
      </c>
      <c r="U64" s="43">
        <v>2</v>
      </c>
      <c r="V64" s="43"/>
      <c r="W64" s="58"/>
      <c r="X64" s="58"/>
      <c r="Y64" s="59" t="s">
        <v>156</v>
      </c>
      <c r="Z64" s="60">
        <v>1000</v>
      </c>
      <c r="AA64" s="25"/>
      <c r="AB64" s="25"/>
    </row>
    <row r="65" spans="2:28">
      <c r="B65" s="40">
        <v>0.42638888888888887</v>
      </c>
      <c r="C65" s="40" t="s">
        <v>794</v>
      </c>
      <c r="D65" s="41">
        <v>9</v>
      </c>
      <c r="E65" s="42">
        <v>2</v>
      </c>
      <c r="F65" s="42" t="s">
        <v>184</v>
      </c>
      <c r="G65" s="43" t="s">
        <v>154</v>
      </c>
      <c r="H65" s="42" t="s">
        <v>155</v>
      </c>
      <c r="I65" s="43">
        <v>3</v>
      </c>
      <c r="J65" s="43">
        <v>2</v>
      </c>
      <c r="K65" s="25" t="str">
        <f>VLOOKUP(J65,Key!$E$2:$F$9,2,FALSE)</f>
        <v>Work</v>
      </c>
      <c r="L65" s="42" t="s">
        <v>622</v>
      </c>
      <c r="M65" s="43" t="s">
        <v>154</v>
      </c>
      <c r="N65" s="42" t="s">
        <v>155</v>
      </c>
      <c r="O65" s="43">
        <v>12</v>
      </c>
      <c r="P65" s="43">
        <v>2</v>
      </c>
      <c r="Q65" s="25" t="str">
        <f>VLOOKUP(P65,Key!$E$2:$F$9,2,FALSE)</f>
        <v>Work</v>
      </c>
      <c r="R65" s="25" t="str">
        <f t="shared" si="1"/>
        <v>Work-Work</v>
      </c>
      <c r="S65" s="58">
        <v>48</v>
      </c>
      <c r="T65" s="58">
        <v>2</v>
      </c>
      <c r="U65" s="43">
        <v>2</v>
      </c>
      <c r="V65" s="43">
        <v>4</v>
      </c>
      <c r="W65" s="58">
        <v>2</v>
      </c>
      <c r="X65" s="58"/>
      <c r="Y65" s="59" t="s">
        <v>156</v>
      </c>
      <c r="Z65" s="60">
        <v>2000</v>
      </c>
      <c r="AA65" s="25"/>
      <c r="AB65" s="25"/>
    </row>
    <row r="66" spans="2:28">
      <c r="B66" s="40">
        <v>0.45833333333333331</v>
      </c>
      <c r="C66" s="40" t="s">
        <v>795</v>
      </c>
      <c r="D66" s="41">
        <v>7</v>
      </c>
      <c r="E66" s="42">
        <v>1</v>
      </c>
      <c r="F66" s="42" t="s">
        <v>564</v>
      </c>
      <c r="G66" s="43" t="s">
        <v>154</v>
      </c>
      <c r="H66" s="42" t="s">
        <v>155</v>
      </c>
      <c r="I66" s="43">
        <v>15</v>
      </c>
      <c r="J66" s="43">
        <v>2</v>
      </c>
      <c r="K66" s="25" t="str">
        <f>VLOOKUP(J66,Key!$E$2:$F$9,2,FALSE)</f>
        <v>Work</v>
      </c>
      <c r="L66" s="42" t="s">
        <v>168</v>
      </c>
      <c r="M66" s="43" t="s">
        <v>154</v>
      </c>
      <c r="N66" s="42" t="s">
        <v>155</v>
      </c>
      <c r="O66" s="43">
        <v>10</v>
      </c>
      <c r="P66" s="43">
        <v>2</v>
      </c>
      <c r="Q66" s="25" t="str">
        <f>VLOOKUP(P66,Key!$E$2:$F$9,2,FALSE)</f>
        <v>Work</v>
      </c>
      <c r="R66" s="25" t="str">
        <f t="shared" si="1"/>
        <v>Work-Work</v>
      </c>
      <c r="S66" s="58">
        <v>1.4</v>
      </c>
      <c r="T66" s="58"/>
      <c r="U66" s="43">
        <v>2</v>
      </c>
      <c r="V66" s="43">
        <v>4</v>
      </c>
      <c r="W66" s="58">
        <v>3</v>
      </c>
      <c r="X66" s="58"/>
      <c r="Y66" s="59" t="s">
        <v>156</v>
      </c>
      <c r="Z66" s="60">
        <v>2000</v>
      </c>
      <c r="AA66" s="25"/>
      <c r="AB66" s="25"/>
    </row>
    <row r="67" spans="2:28">
      <c r="B67" s="40">
        <v>0.4597222222222222</v>
      </c>
      <c r="C67" s="40" t="s">
        <v>796</v>
      </c>
      <c r="D67" s="41">
        <v>2</v>
      </c>
      <c r="E67" s="42">
        <v>1</v>
      </c>
      <c r="F67" s="42" t="s">
        <v>248</v>
      </c>
      <c r="G67" s="43" t="s">
        <v>248</v>
      </c>
      <c r="H67" s="42" t="s">
        <v>155</v>
      </c>
      <c r="I67" s="43">
        <v>5</v>
      </c>
      <c r="J67" s="43">
        <v>7</v>
      </c>
      <c r="K67" s="25" t="str">
        <f>VLOOKUP(J67,Key!$E$2:$F$9,2,FALSE)</f>
        <v>Hospital</v>
      </c>
      <c r="L67" s="42" t="s">
        <v>159</v>
      </c>
      <c r="M67" s="43" t="s">
        <v>159</v>
      </c>
      <c r="N67" s="42" t="s">
        <v>155</v>
      </c>
      <c r="O67" s="43">
        <v>1</v>
      </c>
      <c r="P67" s="43">
        <v>1</v>
      </c>
      <c r="Q67" s="25" t="str">
        <f>VLOOKUP(P67,Key!$E$2:$F$9,2,FALSE)</f>
        <v>Home</v>
      </c>
      <c r="R67" s="25" t="str">
        <f t="shared" si="1"/>
        <v>Hospital-Home</v>
      </c>
      <c r="S67" s="58">
        <v>500</v>
      </c>
      <c r="T67" s="58">
        <v>8</v>
      </c>
      <c r="U67" s="43">
        <v>4</v>
      </c>
      <c r="V67" s="43"/>
      <c r="W67" s="58"/>
      <c r="X67" s="58"/>
      <c r="Y67" s="59" t="s">
        <v>156</v>
      </c>
      <c r="Z67" s="60">
        <v>1000</v>
      </c>
      <c r="AA67" s="25"/>
      <c r="AB67" s="25"/>
    </row>
    <row r="68" spans="2:28">
      <c r="B68" s="40">
        <v>0.44166666666666665</v>
      </c>
      <c r="C68" s="40" t="s">
        <v>797</v>
      </c>
      <c r="D68" s="41">
        <v>1</v>
      </c>
      <c r="E68" s="42">
        <v>2</v>
      </c>
      <c r="F68" s="42" t="s">
        <v>564</v>
      </c>
      <c r="G68" s="43" t="s">
        <v>154</v>
      </c>
      <c r="H68" s="42" t="s">
        <v>155</v>
      </c>
      <c r="I68" s="43">
        <v>11</v>
      </c>
      <c r="J68" s="43">
        <v>4</v>
      </c>
      <c r="K68" s="25" t="str">
        <f>VLOOKUP(J68,Key!$E$2:$F$9,2,FALSE)</f>
        <v>Commercial</v>
      </c>
      <c r="L68" s="42" t="s">
        <v>173</v>
      </c>
      <c r="M68" s="43" t="s">
        <v>154</v>
      </c>
      <c r="N68" s="42" t="s">
        <v>155</v>
      </c>
      <c r="O68" s="43">
        <v>1</v>
      </c>
      <c r="P68" s="43">
        <v>1</v>
      </c>
      <c r="Q68" s="25" t="str">
        <f>VLOOKUP(P68,Key!$E$2:$F$9,2,FALSE)</f>
        <v>Home</v>
      </c>
      <c r="R68" s="25" t="str">
        <f t="shared" si="1"/>
        <v>Commercial-Home</v>
      </c>
      <c r="S68" s="58">
        <v>3</v>
      </c>
      <c r="T68" s="58">
        <v>0.2</v>
      </c>
      <c r="U68" s="43">
        <v>3</v>
      </c>
      <c r="V68" s="43"/>
      <c r="W68" s="58"/>
      <c r="X68" s="58"/>
      <c r="Y68" s="59" t="s">
        <v>156</v>
      </c>
      <c r="Z68" s="60">
        <v>1500</v>
      </c>
      <c r="AA68" s="25"/>
      <c r="AB68" s="25"/>
    </row>
    <row r="69" spans="2:28">
      <c r="B69" s="40">
        <v>0.46319444444444446</v>
      </c>
      <c r="C69" s="40" t="s">
        <v>798</v>
      </c>
      <c r="D69" s="41">
        <v>7</v>
      </c>
      <c r="E69" s="42">
        <v>2</v>
      </c>
      <c r="F69" s="42" t="s">
        <v>799</v>
      </c>
      <c r="G69" s="43" t="s">
        <v>163</v>
      </c>
      <c r="H69" s="42" t="s">
        <v>155</v>
      </c>
      <c r="I69" s="43">
        <v>1</v>
      </c>
      <c r="J69" s="43">
        <v>1</v>
      </c>
      <c r="K69" s="25" t="str">
        <f>VLOOKUP(J69,Key!$E$2:$F$9,2,FALSE)</f>
        <v>Home</v>
      </c>
      <c r="L69" s="42" t="s">
        <v>147</v>
      </c>
      <c r="M69" s="43" t="s">
        <v>154</v>
      </c>
      <c r="N69" s="42" t="s">
        <v>155</v>
      </c>
      <c r="O69" s="43">
        <v>7</v>
      </c>
      <c r="P69" s="43">
        <v>4</v>
      </c>
      <c r="Q69" s="25" t="str">
        <f>VLOOKUP(P69,Key!$E$2:$F$9,2,FALSE)</f>
        <v>Commercial</v>
      </c>
      <c r="R69" s="25" t="str">
        <f t="shared" si="1"/>
        <v>Home-Commercial</v>
      </c>
      <c r="S69" s="58"/>
      <c r="T69" s="58">
        <v>1</v>
      </c>
      <c r="U69" s="43">
        <v>4</v>
      </c>
      <c r="V69" s="43">
        <v>1</v>
      </c>
      <c r="W69" s="58">
        <v>0.1</v>
      </c>
      <c r="X69" s="58">
        <v>0.15</v>
      </c>
      <c r="Y69" s="59" t="s">
        <v>156</v>
      </c>
      <c r="Z69" s="60"/>
      <c r="AA69" s="25"/>
      <c r="AB69" s="25"/>
    </row>
    <row r="70" spans="2:28">
      <c r="B70" s="40">
        <v>0.5</v>
      </c>
      <c r="C70" s="40" t="s">
        <v>800</v>
      </c>
      <c r="D70" s="41">
        <v>3</v>
      </c>
      <c r="E70" s="42">
        <v>2</v>
      </c>
      <c r="F70" s="42" t="s">
        <v>801</v>
      </c>
      <c r="G70" s="43" t="s">
        <v>159</v>
      </c>
      <c r="H70" s="42" t="s">
        <v>155</v>
      </c>
      <c r="I70" s="43">
        <v>9</v>
      </c>
      <c r="J70" s="43">
        <v>4</v>
      </c>
      <c r="K70" s="25" t="str">
        <f>VLOOKUP(J70,Key!$E$2:$F$9,2,FALSE)</f>
        <v>Commercial</v>
      </c>
      <c r="L70" s="42" t="s">
        <v>173</v>
      </c>
      <c r="M70" s="43" t="s">
        <v>154</v>
      </c>
      <c r="N70" s="42" t="s">
        <v>155</v>
      </c>
      <c r="O70" s="43">
        <v>1</v>
      </c>
      <c r="P70" s="43">
        <v>1</v>
      </c>
      <c r="Q70" s="25" t="str">
        <f>VLOOKUP(P70,Key!$E$2:$F$9,2,FALSE)</f>
        <v>Home</v>
      </c>
      <c r="R70" s="25" t="str">
        <f t="shared" si="1"/>
        <v>Commercial-Home</v>
      </c>
      <c r="S70" s="58">
        <v>20</v>
      </c>
      <c r="T70" s="58">
        <v>1</v>
      </c>
      <c r="U70" s="43">
        <v>3</v>
      </c>
      <c r="V70" s="43">
        <v>11</v>
      </c>
      <c r="W70" s="58"/>
      <c r="X70" s="58"/>
      <c r="Y70" s="59" t="s">
        <v>156</v>
      </c>
      <c r="Z70" s="60">
        <v>1000</v>
      </c>
      <c r="AA70" s="25"/>
      <c r="AB70" s="25"/>
    </row>
    <row r="71" spans="2:28">
      <c r="B71" s="40">
        <v>0.55833333333333335</v>
      </c>
      <c r="C71" s="40" t="s">
        <v>802</v>
      </c>
      <c r="D71" s="41">
        <v>4</v>
      </c>
      <c r="E71" s="42">
        <v>14</v>
      </c>
      <c r="F71" s="42" t="s">
        <v>564</v>
      </c>
      <c r="G71" s="43" t="s">
        <v>154</v>
      </c>
      <c r="H71" s="42" t="s">
        <v>155</v>
      </c>
      <c r="I71" s="43">
        <v>6</v>
      </c>
      <c r="J71" s="43">
        <v>4</v>
      </c>
      <c r="K71" s="25" t="str">
        <f>VLOOKUP(J71,Key!$E$2:$F$9,2,FALSE)</f>
        <v>Commercial</v>
      </c>
      <c r="L71" s="42" t="s">
        <v>147</v>
      </c>
      <c r="M71" s="43" t="s">
        <v>154</v>
      </c>
      <c r="N71" s="42" t="s">
        <v>155</v>
      </c>
      <c r="O71" s="43">
        <v>6</v>
      </c>
      <c r="P71" s="43">
        <v>4</v>
      </c>
      <c r="Q71" s="25" t="str">
        <f>VLOOKUP(P71,Key!$E$2:$F$9,2,FALSE)</f>
        <v>Commercial</v>
      </c>
      <c r="R71" s="25" t="str">
        <f t="shared" si="1"/>
        <v>Commercial-Commercial</v>
      </c>
      <c r="S71" s="58">
        <v>1.5</v>
      </c>
      <c r="T71" s="58">
        <v>0.5</v>
      </c>
      <c r="U71" s="43">
        <v>2</v>
      </c>
      <c r="V71" s="43"/>
      <c r="W71" s="58"/>
      <c r="X71" s="58"/>
      <c r="Y71" s="59" t="s">
        <v>156</v>
      </c>
      <c r="Z71" s="60">
        <v>3000</v>
      </c>
      <c r="AA71" s="25"/>
      <c r="AB71" s="25"/>
    </row>
    <row r="72" spans="2:28">
      <c r="B72" s="40">
        <v>0.64722222222222225</v>
      </c>
      <c r="C72" s="40" t="s">
        <v>803</v>
      </c>
      <c r="D72" s="41">
        <v>1</v>
      </c>
      <c r="E72" s="42">
        <v>1</v>
      </c>
      <c r="F72" s="42" t="s">
        <v>184</v>
      </c>
      <c r="G72" s="43" t="s">
        <v>154</v>
      </c>
      <c r="H72" s="42" t="s">
        <v>155</v>
      </c>
      <c r="I72" s="43">
        <v>2</v>
      </c>
      <c r="J72" s="43">
        <v>2</v>
      </c>
      <c r="K72" s="25" t="str">
        <f>VLOOKUP(J72,Key!$E$2:$F$9,2,FALSE)</f>
        <v>Work</v>
      </c>
      <c r="L72" s="42" t="s">
        <v>168</v>
      </c>
      <c r="M72" s="43" t="s">
        <v>154</v>
      </c>
      <c r="N72" s="42" t="s">
        <v>155</v>
      </c>
      <c r="O72" s="43">
        <v>1</v>
      </c>
      <c r="P72" s="43">
        <v>1</v>
      </c>
      <c r="Q72" s="25" t="str">
        <f>VLOOKUP(P72,Key!$E$2:$F$9,2,FALSE)</f>
        <v>Home</v>
      </c>
      <c r="R72" s="25" t="str">
        <f t="shared" si="1"/>
        <v>Work-Home</v>
      </c>
      <c r="S72" s="58">
        <v>1.8</v>
      </c>
      <c r="T72" s="58">
        <v>0.3</v>
      </c>
      <c r="U72" s="43">
        <v>2</v>
      </c>
      <c r="V72" s="43"/>
      <c r="W72" s="58"/>
      <c r="X72" s="58"/>
      <c r="Y72" s="59" t="s">
        <v>156</v>
      </c>
      <c r="Z72" s="60">
        <v>2000</v>
      </c>
      <c r="AA72" s="25"/>
      <c r="AB72" s="25"/>
    </row>
    <row r="73" spans="2:28">
      <c r="B73" s="40">
        <v>0.64236111111111105</v>
      </c>
      <c r="C73" s="40" t="s">
        <v>642</v>
      </c>
      <c r="D73" s="41">
        <v>1</v>
      </c>
      <c r="E73" s="42">
        <v>3</v>
      </c>
      <c r="F73" s="42" t="s">
        <v>241</v>
      </c>
      <c r="G73" s="43" t="s">
        <v>154</v>
      </c>
      <c r="H73" s="42" t="s">
        <v>155</v>
      </c>
      <c r="I73" s="43">
        <v>1</v>
      </c>
      <c r="J73" s="43">
        <v>1</v>
      </c>
      <c r="K73" s="25" t="str">
        <f>VLOOKUP(J73,Key!$E$2:$F$9,2,FALSE)</f>
        <v>Home</v>
      </c>
      <c r="L73" s="42" t="s">
        <v>168</v>
      </c>
      <c r="M73" s="43" t="s">
        <v>154</v>
      </c>
      <c r="N73" s="42" t="s">
        <v>155</v>
      </c>
      <c r="O73" s="43">
        <v>9</v>
      </c>
      <c r="P73" s="43">
        <v>8</v>
      </c>
      <c r="Q73" s="25" t="str">
        <f>VLOOKUP(P73,Key!$E$2:$F$9,2,FALSE)</f>
        <v>Others</v>
      </c>
      <c r="R73" s="25" t="str">
        <f t="shared" si="1"/>
        <v>Home-Others</v>
      </c>
      <c r="S73" s="58">
        <v>2.8</v>
      </c>
      <c r="T73" s="58">
        <v>0.5</v>
      </c>
      <c r="U73" s="43">
        <v>2</v>
      </c>
      <c r="V73" s="43"/>
      <c r="W73" s="58"/>
      <c r="X73" s="58"/>
      <c r="Y73" s="59" t="s">
        <v>156</v>
      </c>
      <c r="Z73" s="60">
        <v>2000</v>
      </c>
      <c r="AA73" s="25"/>
      <c r="AB73" s="25"/>
    </row>
    <row r="74" spans="2:28">
      <c r="B74" s="40">
        <v>0.60555555555555551</v>
      </c>
      <c r="C74" s="40" t="s">
        <v>804</v>
      </c>
      <c r="D74" s="41">
        <v>1</v>
      </c>
      <c r="E74" s="42">
        <v>3</v>
      </c>
      <c r="F74" s="42" t="s">
        <v>221</v>
      </c>
      <c r="G74" s="43" t="s">
        <v>154</v>
      </c>
      <c r="H74" s="42" t="s">
        <v>155</v>
      </c>
      <c r="I74" s="43">
        <v>1</v>
      </c>
      <c r="J74" s="43">
        <v>1</v>
      </c>
      <c r="K74" s="25" t="str">
        <f>VLOOKUP(J74,Key!$E$2:$F$9,2,FALSE)</f>
        <v>Home</v>
      </c>
      <c r="L74" s="42" t="s">
        <v>805</v>
      </c>
      <c r="M74" s="43" t="s">
        <v>254</v>
      </c>
      <c r="N74" s="42" t="s">
        <v>155</v>
      </c>
      <c r="O74" s="43">
        <v>1</v>
      </c>
      <c r="P74" s="43">
        <v>1</v>
      </c>
      <c r="Q74" s="25" t="str">
        <f>VLOOKUP(P74,Key!$E$2:$F$9,2,FALSE)</f>
        <v>Home</v>
      </c>
      <c r="R74" s="25" t="str">
        <f t="shared" si="1"/>
        <v>Home-Home</v>
      </c>
      <c r="S74" s="58">
        <v>115</v>
      </c>
      <c r="T74" s="58">
        <v>3</v>
      </c>
      <c r="U74" s="43">
        <v>4</v>
      </c>
      <c r="V74" s="43"/>
      <c r="W74" s="58"/>
      <c r="X74" s="58"/>
      <c r="Y74" s="59" t="s">
        <v>156</v>
      </c>
      <c r="Z74" s="60">
        <v>5000</v>
      </c>
      <c r="AA74" s="25"/>
      <c r="AB74" s="25"/>
    </row>
    <row r="75" spans="2:28">
      <c r="B75" s="40">
        <v>0.56111111111111112</v>
      </c>
      <c r="C75" s="40" t="s">
        <v>806</v>
      </c>
      <c r="D75" s="41">
        <v>1</v>
      </c>
      <c r="E75" s="42">
        <v>4</v>
      </c>
      <c r="F75" s="42" t="s">
        <v>807</v>
      </c>
      <c r="G75" s="43" t="s">
        <v>163</v>
      </c>
      <c r="H75" s="42" t="s">
        <v>155</v>
      </c>
      <c r="I75" s="43">
        <v>1</v>
      </c>
      <c r="J75" s="43">
        <v>1</v>
      </c>
      <c r="K75" s="25" t="str">
        <f>VLOOKUP(J75,Key!$E$2:$F$9,2,FALSE)</f>
        <v>Home</v>
      </c>
      <c r="L75" s="42" t="s">
        <v>309</v>
      </c>
      <c r="M75" s="43" t="s">
        <v>154</v>
      </c>
      <c r="N75" s="42" t="s">
        <v>155</v>
      </c>
      <c r="O75" s="43">
        <v>16</v>
      </c>
      <c r="P75" s="43">
        <v>1</v>
      </c>
      <c r="Q75" s="25" t="str">
        <f>VLOOKUP(P75,Key!$E$2:$F$9,2,FALSE)</f>
        <v>Home</v>
      </c>
      <c r="R75" s="25" t="str">
        <f t="shared" si="1"/>
        <v>Home-Home</v>
      </c>
      <c r="S75" s="58"/>
      <c r="T75" s="58">
        <v>1</v>
      </c>
      <c r="U75" s="43">
        <v>3</v>
      </c>
      <c r="V75" s="43"/>
      <c r="W75" s="58"/>
      <c r="X75" s="58"/>
      <c r="Y75" s="59" t="s">
        <v>156</v>
      </c>
      <c r="Z75" s="60">
        <v>3000</v>
      </c>
      <c r="AA75" s="25"/>
      <c r="AB75" s="25"/>
    </row>
    <row r="76" spans="2:28">
      <c r="B76" s="40">
        <v>0.55694444444444446</v>
      </c>
      <c r="C76" s="40" t="s">
        <v>808</v>
      </c>
      <c r="D76" s="41">
        <v>7</v>
      </c>
      <c r="E76" s="42">
        <v>4</v>
      </c>
      <c r="F76" s="42" t="s">
        <v>184</v>
      </c>
      <c r="G76" s="43" t="s">
        <v>154</v>
      </c>
      <c r="H76" s="42" t="s">
        <v>155</v>
      </c>
      <c r="I76" s="43">
        <v>11</v>
      </c>
      <c r="J76" s="43">
        <v>4</v>
      </c>
      <c r="K76" s="25" t="str">
        <f>VLOOKUP(J76,Key!$E$2:$F$9,2,FALSE)</f>
        <v>Commercial</v>
      </c>
      <c r="L76" s="42" t="s">
        <v>154</v>
      </c>
      <c r="M76" s="43" t="s">
        <v>154</v>
      </c>
      <c r="N76" s="42" t="s">
        <v>155</v>
      </c>
      <c r="O76" s="43">
        <v>11</v>
      </c>
      <c r="P76" s="43">
        <v>4</v>
      </c>
      <c r="Q76" s="25" t="str">
        <f>VLOOKUP(P76,Key!$E$2:$F$9,2,FALSE)</f>
        <v>Commercial</v>
      </c>
      <c r="R76" s="25" t="str">
        <f t="shared" si="1"/>
        <v>Commercial-Commercial</v>
      </c>
      <c r="S76" s="58"/>
      <c r="T76" s="58">
        <v>1</v>
      </c>
      <c r="U76" s="43">
        <v>1</v>
      </c>
      <c r="V76" s="43">
        <v>1</v>
      </c>
      <c r="W76" s="58">
        <v>5</v>
      </c>
      <c r="X76" s="58">
        <v>2</v>
      </c>
      <c r="Y76" s="59" t="s">
        <v>156</v>
      </c>
      <c r="Z76" s="60">
        <v>10000</v>
      </c>
      <c r="AA76" s="25"/>
      <c r="AB76" s="25"/>
    </row>
    <row r="77" spans="2:28">
      <c r="B77" s="40">
        <v>0.5625</v>
      </c>
      <c r="C77" s="40" t="s">
        <v>809</v>
      </c>
      <c r="D77" s="41">
        <v>1</v>
      </c>
      <c r="E77" s="42">
        <v>1</v>
      </c>
      <c r="F77" s="42" t="s">
        <v>268</v>
      </c>
      <c r="G77" s="43" t="s">
        <v>154</v>
      </c>
      <c r="H77" s="42" t="s">
        <v>155</v>
      </c>
      <c r="I77" s="43">
        <v>1</v>
      </c>
      <c r="J77" s="43">
        <v>1</v>
      </c>
      <c r="K77" s="25" t="str">
        <f>VLOOKUP(J77,Key!$E$2:$F$9,2,FALSE)</f>
        <v>Home</v>
      </c>
      <c r="L77" s="42" t="s">
        <v>168</v>
      </c>
      <c r="M77" s="43" t="s">
        <v>154</v>
      </c>
      <c r="N77" s="42" t="s">
        <v>155</v>
      </c>
      <c r="O77" s="43">
        <v>1</v>
      </c>
      <c r="P77" s="43">
        <v>1</v>
      </c>
      <c r="Q77" s="25" t="str">
        <f>VLOOKUP(P77,Key!$E$2:$F$9,2,FALSE)</f>
        <v>Home</v>
      </c>
      <c r="R77" s="25" t="str">
        <f t="shared" si="1"/>
        <v>Home-Home</v>
      </c>
      <c r="S77" s="58">
        <v>5</v>
      </c>
      <c r="T77" s="58">
        <v>0.3</v>
      </c>
      <c r="U77" s="43">
        <v>1</v>
      </c>
      <c r="V77" s="43"/>
      <c r="W77" s="58"/>
      <c r="X77" s="58"/>
      <c r="Y77" s="59" t="s">
        <v>156</v>
      </c>
      <c r="Z77" s="60">
        <v>5000</v>
      </c>
      <c r="AA77" s="25"/>
      <c r="AB77" s="25"/>
    </row>
    <row r="78" spans="2:28">
      <c r="B78" s="40">
        <v>0.55277777777777781</v>
      </c>
      <c r="C78" s="40" t="s">
        <v>810</v>
      </c>
      <c r="D78" s="41">
        <v>2</v>
      </c>
      <c r="E78" s="42">
        <v>6</v>
      </c>
      <c r="F78" s="42" t="s">
        <v>221</v>
      </c>
      <c r="G78" s="43" t="s">
        <v>154</v>
      </c>
      <c r="H78" s="42" t="s">
        <v>155</v>
      </c>
      <c r="I78" s="43">
        <v>1</v>
      </c>
      <c r="J78" s="43">
        <v>1</v>
      </c>
      <c r="K78" s="25" t="str">
        <f>VLOOKUP(J78,Key!$E$2:$F$9,2,FALSE)</f>
        <v>Home</v>
      </c>
      <c r="L78" s="42" t="s">
        <v>168</v>
      </c>
      <c r="M78" s="43" t="s">
        <v>154</v>
      </c>
      <c r="N78" s="42" t="s">
        <v>155</v>
      </c>
      <c r="O78" s="43">
        <v>16</v>
      </c>
      <c r="P78" s="43">
        <v>8</v>
      </c>
      <c r="Q78" s="25" t="str">
        <f>VLOOKUP(P78,Key!$E$2:$F$9,2,FALSE)</f>
        <v>Others</v>
      </c>
      <c r="R78" s="25" t="str">
        <f t="shared" si="1"/>
        <v>Home-Others</v>
      </c>
      <c r="S78" s="58"/>
      <c r="T78" s="58"/>
      <c r="U78" s="43">
        <v>6</v>
      </c>
      <c r="V78" s="43"/>
      <c r="W78" s="58"/>
      <c r="X78" s="58"/>
      <c r="Y78" s="59" t="s">
        <v>156</v>
      </c>
      <c r="Z78" s="60">
        <v>0</v>
      </c>
      <c r="AA78" s="25"/>
      <c r="AB78" s="25"/>
    </row>
    <row r="79" spans="2:28">
      <c r="B79" s="40">
        <v>0.54999999999999993</v>
      </c>
      <c r="C79" s="40" t="s">
        <v>811</v>
      </c>
      <c r="D79" s="41">
        <v>1</v>
      </c>
      <c r="E79" s="42">
        <v>1</v>
      </c>
      <c r="F79" s="42" t="s">
        <v>564</v>
      </c>
      <c r="G79" s="43" t="s">
        <v>154</v>
      </c>
      <c r="H79" s="42" t="s">
        <v>155</v>
      </c>
      <c r="I79" s="43">
        <v>11</v>
      </c>
      <c r="J79" s="43">
        <v>4</v>
      </c>
      <c r="K79" s="25" t="str">
        <f>VLOOKUP(J79,Key!$E$2:$F$9,2,FALSE)</f>
        <v>Commercial</v>
      </c>
      <c r="L79" s="42" t="s">
        <v>391</v>
      </c>
      <c r="M79" s="43" t="s">
        <v>154</v>
      </c>
      <c r="N79" s="42" t="s">
        <v>155</v>
      </c>
      <c r="O79" s="43">
        <v>1</v>
      </c>
      <c r="P79" s="43">
        <v>1</v>
      </c>
      <c r="Q79" s="25" t="str">
        <f>VLOOKUP(P79,Key!$E$2:$F$9,2,FALSE)</f>
        <v>Home</v>
      </c>
      <c r="R79" s="25" t="str">
        <f t="shared" si="1"/>
        <v>Commercial-Home</v>
      </c>
      <c r="S79" s="58">
        <v>3</v>
      </c>
      <c r="T79" s="58">
        <v>0.1</v>
      </c>
      <c r="U79" s="43">
        <v>1</v>
      </c>
      <c r="V79" s="43"/>
      <c r="W79" s="58"/>
      <c r="X79" s="58"/>
      <c r="Y79" s="59" t="s">
        <v>156</v>
      </c>
      <c r="Z79" s="60">
        <v>1000</v>
      </c>
      <c r="AA79" s="25"/>
      <c r="AB79" s="25"/>
    </row>
    <row r="80" spans="2:28">
      <c r="B80" s="40">
        <v>0.55763888888888891</v>
      </c>
      <c r="C80" s="40" t="s">
        <v>812</v>
      </c>
      <c r="D80" s="41">
        <v>1</v>
      </c>
      <c r="E80" s="42">
        <v>4</v>
      </c>
      <c r="F80" s="42" t="s">
        <v>564</v>
      </c>
      <c r="G80" s="43" t="s">
        <v>154</v>
      </c>
      <c r="H80" s="42" t="s">
        <v>155</v>
      </c>
      <c r="I80" s="43">
        <v>12</v>
      </c>
      <c r="J80" s="43">
        <v>4</v>
      </c>
      <c r="K80" s="25" t="str">
        <f>VLOOKUP(J80,Key!$E$2:$F$9,2,FALSE)</f>
        <v>Commercial</v>
      </c>
      <c r="L80" s="42" t="s">
        <v>813</v>
      </c>
      <c r="M80" s="43" t="s">
        <v>154</v>
      </c>
      <c r="N80" s="42" t="s">
        <v>155</v>
      </c>
      <c r="O80" s="43">
        <v>10</v>
      </c>
      <c r="P80" s="43">
        <v>2</v>
      </c>
      <c r="Q80" s="25" t="str">
        <f>VLOOKUP(P80,Key!$E$2:$F$9,2,FALSE)</f>
        <v>Work</v>
      </c>
      <c r="R80" s="25" t="str">
        <f t="shared" si="1"/>
        <v>Commercial-Work</v>
      </c>
      <c r="S80" s="58">
        <v>4</v>
      </c>
      <c r="T80" s="58">
        <v>0.1</v>
      </c>
      <c r="U80" s="43">
        <v>2</v>
      </c>
      <c r="V80" s="43">
        <v>4</v>
      </c>
      <c r="W80" s="58">
        <v>1</v>
      </c>
      <c r="X80" s="58">
        <v>2</v>
      </c>
      <c r="Y80" s="59" t="s">
        <v>156</v>
      </c>
      <c r="Z80" s="60">
        <v>10000</v>
      </c>
      <c r="AA80" s="25"/>
      <c r="AB80" s="25"/>
    </row>
    <row r="81" spans="2:28">
      <c r="B81" s="40">
        <v>0.4368055555555555</v>
      </c>
      <c r="C81" s="40" t="s">
        <v>814</v>
      </c>
      <c r="D81" s="41">
        <v>1</v>
      </c>
      <c r="E81" s="42">
        <v>2</v>
      </c>
      <c r="F81" s="42" t="s">
        <v>564</v>
      </c>
      <c r="G81" s="43" t="s">
        <v>154</v>
      </c>
      <c r="H81" s="42" t="s">
        <v>155</v>
      </c>
      <c r="I81" s="43">
        <v>11</v>
      </c>
      <c r="J81" s="43">
        <v>4</v>
      </c>
      <c r="K81" s="25" t="str">
        <f>VLOOKUP(J81,Key!$E$2:$F$9,2,FALSE)</f>
        <v>Commercial</v>
      </c>
      <c r="L81" s="42" t="s">
        <v>391</v>
      </c>
      <c r="M81" s="43" t="s">
        <v>154</v>
      </c>
      <c r="N81" s="42" t="s">
        <v>155</v>
      </c>
      <c r="O81" s="43">
        <v>1</v>
      </c>
      <c r="P81" s="43">
        <v>1</v>
      </c>
      <c r="Q81" s="25" t="str">
        <f>VLOOKUP(P81,Key!$E$2:$F$9,2,FALSE)</f>
        <v>Home</v>
      </c>
      <c r="R81" s="25" t="str">
        <f t="shared" si="1"/>
        <v>Commercial-Home</v>
      </c>
      <c r="S81" s="58">
        <v>5</v>
      </c>
      <c r="T81" s="58">
        <v>0.1</v>
      </c>
      <c r="U81" s="43">
        <v>1</v>
      </c>
      <c r="V81" s="43"/>
      <c r="W81" s="58"/>
      <c r="X81" s="58"/>
      <c r="Y81" s="59" t="s">
        <v>156</v>
      </c>
      <c r="Z81" s="60">
        <v>1000</v>
      </c>
      <c r="AA81" s="25"/>
      <c r="AB81" s="25"/>
    </row>
    <row r="82" spans="2:28">
      <c r="B82" s="40">
        <v>0.60277777777777775</v>
      </c>
      <c r="C82" s="40" t="s">
        <v>815</v>
      </c>
      <c r="D82" s="41">
        <v>7</v>
      </c>
      <c r="E82" s="42">
        <v>2</v>
      </c>
      <c r="F82" s="42" t="s">
        <v>564</v>
      </c>
      <c r="G82" s="43" t="s">
        <v>154</v>
      </c>
      <c r="H82" s="42" t="s">
        <v>155</v>
      </c>
      <c r="I82" s="43">
        <v>12</v>
      </c>
      <c r="J82" s="43">
        <v>2</v>
      </c>
      <c r="K82" s="25" t="str">
        <f>VLOOKUP(J82,Key!$E$2:$F$9,2,FALSE)</f>
        <v>Work</v>
      </c>
      <c r="L82" s="42" t="s">
        <v>254</v>
      </c>
      <c r="M82" s="43" t="s">
        <v>202</v>
      </c>
      <c r="N82" s="42" t="s">
        <v>155</v>
      </c>
      <c r="O82" s="43">
        <v>12</v>
      </c>
      <c r="P82" s="43">
        <v>2</v>
      </c>
      <c r="Q82" s="25" t="str">
        <f>VLOOKUP(P82,Key!$E$2:$F$9,2,FALSE)</f>
        <v>Work</v>
      </c>
      <c r="R82" s="25" t="str">
        <f t="shared" si="1"/>
        <v>Work-Work</v>
      </c>
      <c r="S82" s="58">
        <v>60</v>
      </c>
      <c r="T82" s="58">
        <v>2</v>
      </c>
      <c r="U82" s="43">
        <v>5</v>
      </c>
      <c r="V82" s="43">
        <v>1</v>
      </c>
      <c r="W82" s="58">
        <v>1.5</v>
      </c>
      <c r="X82" s="58">
        <v>2</v>
      </c>
      <c r="Y82" s="59" t="s">
        <v>156</v>
      </c>
      <c r="Z82" s="60">
        <v>2000</v>
      </c>
      <c r="AA82" s="25"/>
      <c r="AB82" s="25"/>
    </row>
    <row r="83" spans="2:28">
      <c r="B83" s="40">
        <v>0.60763888888888895</v>
      </c>
      <c r="C83" s="40" t="s">
        <v>816</v>
      </c>
      <c r="D83" s="41">
        <v>1</v>
      </c>
      <c r="E83" s="42">
        <v>2</v>
      </c>
      <c r="F83" s="42" t="s">
        <v>564</v>
      </c>
      <c r="G83" s="43" t="s">
        <v>154</v>
      </c>
      <c r="H83" s="42" t="s">
        <v>155</v>
      </c>
      <c r="I83" s="43">
        <v>1</v>
      </c>
      <c r="J83" s="43">
        <v>1</v>
      </c>
      <c r="K83" s="25" t="str">
        <f>VLOOKUP(J83,Key!$E$2:$F$9,2,FALSE)</f>
        <v>Home</v>
      </c>
      <c r="L83" s="42" t="s">
        <v>168</v>
      </c>
      <c r="M83" s="43" t="s">
        <v>154</v>
      </c>
      <c r="N83" s="42" t="s">
        <v>155</v>
      </c>
      <c r="O83" s="43">
        <v>2</v>
      </c>
      <c r="P83" s="43">
        <v>2</v>
      </c>
      <c r="Q83" s="25" t="str">
        <f>VLOOKUP(P83,Key!$E$2:$F$9,2,FALSE)</f>
        <v>Work</v>
      </c>
      <c r="R83" s="25" t="str">
        <f t="shared" si="1"/>
        <v>Home-Work</v>
      </c>
      <c r="S83" s="58">
        <v>3</v>
      </c>
      <c r="T83" s="58">
        <v>0.1</v>
      </c>
      <c r="U83" s="43">
        <v>1</v>
      </c>
      <c r="V83" s="43"/>
      <c r="W83" s="58"/>
      <c r="X83" s="58"/>
      <c r="Y83" s="59" t="s">
        <v>156</v>
      </c>
      <c r="Z83" s="60">
        <v>2000</v>
      </c>
      <c r="AA83" s="25"/>
      <c r="AB83" s="25"/>
    </row>
    <row r="84" spans="2:28">
      <c r="B84" s="40">
        <v>0.63194444444444442</v>
      </c>
      <c r="C84" s="40" t="s">
        <v>817</v>
      </c>
      <c r="D84" s="41">
        <v>2</v>
      </c>
      <c r="E84" s="42">
        <v>2</v>
      </c>
      <c r="F84" s="42" t="s">
        <v>159</v>
      </c>
      <c r="G84" s="43" t="s">
        <v>159</v>
      </c>
      <c r="H84" s="42" t="s">
        <v>155</v>
      </c>
      <c r="I84" s="43">
        <v>11</v>
      </c>
      <c r="J84" s="43">
        <v>4</v>
      </c>
      <c r="K84" s="25" t="str">
        <f>VLOOKUP(J84,Key!$E$2:$F$9,2,FALSE)</f>
        <v>Commercial</v>
      </c>
      <c r="L84" s="42" t="s">
        <v>564</v>
      </c>
      <c r="M84" s="43" t="s">
        <v>154</v>
      </c>
      <c r="N84" s="42" t="s">
        <v>155</v>
      </c>
      <c r="O84" s="43">
        <v>1</v>
      </c>
      <c r="P84" s="43">
        <v>1</v>
      </c>
      <c r="Q84" s="25" t="str">
        <f>VLOOKUP(P84,Key!$E$2:$F$9,2,FALSE)</f>
        <v>Home</v>
      </c>
      <c r="R84" s="25" t="str">
        <f t="shared" si="1"/>
        <v>Commercial-Home</v>
      </c>
      <c r="S84" s="58">
        <v>20</v>
      </c>
      <c r="T84" s="58">
        <v>1</v>
      </c>
      <c r="U84" s="43">
        <v>2</v>
      </c>
      <c r="V84" s="43"/>
      <c r="W84" s="58"/>
      <c r="X84" s="58"/>
      <c r="Y84" s="59" t="s">
        <v>156</v>
      </c>
      <c r="Z84" s="60">
        <v>1000</v>
      </c>
      <c r="AA84" s="25"/>
      <c r="AB84" s="25"/>
    </row>
    <row r="85" spans="2:28">
      <c r="B85" s="40">
        <v>0.625</v>
      </c>
      <c r="C85" s="40" t="s">
        <v>818</v>
      </c>
      <c r="D85" s="41">
        <v>1</v>
      </c>
      <c r="E85" s="42">
        <v>4</v>
      </c>
      <c r="F85" s="42" t="s">
        <v>163</v>
      </c>
      <c r="G85" s="43" t="s">
        <v>163</v>
      </c>
      <c r="H85" s="42" t="s">
        <v>155</v>
      </c>
      <c r="I85" s="43">
        <v>1</v>
      </c>
      <c r="J85" s="43">
        <v>1</v>
      </c>
      <c r="K85" s="25" t="str">
        <f>VLOOKUP(J85,Key!$E$2:$F$9,2,FALSE)</f>
        <v>Home</v>
      </c>
      <c r="L85" s="42" t="s">
        <v>564</v>
      </c>
      <c r="M85" s="43" t="s">
        <v>154</v>
      </c>
      <c r="N85" s="42" t="s">
        <v>155</v>
      </c>
      <c r="O85" s="43">
        <v>1</v>
      </c>
      <c r="P85" s="43">
        <v>1</v>
      </c>
      <c r="Q85" s="25" t="str">
        <f>VLOOKUP(P85,Key!$E$2:$F$9,2,FALSE)</f>
        <v>Home</v>
      </c>
      <c r="R85" s="25" t="str">
        <f t="shared" si="1"/>
        <v>Home-Home</v>
      </c>
      <c r="S85" s="58"/>
      <c r="T85" s="58"/>
      <c r="U85" s="43">
        <v>6</v>
      </c>
      <c r="V85" s="43"/>
      <c r="W85" s="58"/>
      <c r="X85" s="58"/>
      <c r="Y85" s="59" t="s">
        <v>156</v>
      </c>
      <c r="Z85" s="60">
        <v>5000</v>
      </c>
      <c r="AA85" s="25"/>
      <c r="AB85" s="25"/>
    </row>
    <row r="86" spans="2:28">
      <c r="B86" s="40">
        <v>0.59722222222222221</v>
      </c>
      <c r="C86" s="40" t="s">
        <v>819</v>
      </c>
      <c r="D86" s="41">
        <v>1</v>
      </c>
      <c r="E86" s="42">
        <v>2</v>
      </c>
      <c r="F86" s="42" t="s">
        <v>159</v>
      </c>
      <c r="G86" s="43" t="s">
        <v>159</v>
      </c>
      <c r="H86" s="42" t="s">
        <v>155</v>
      </c>
      <c r="I86" s="43">
        <v>2</v>
      </c>
      <c r="J86" s="43">
        <v>2</v>
      </c>
      <c r="K86" s="25" t="str">
        <f>VLOOKUP(J86,Key!$E$2:$F$9,2,FALSE)</f>
        <v>Work</v>
      </c>
      <c r="L86" s="42" t="s">
        <v>168</v>
      </c>
      <c r="M86" s="43" t="s">
        <v>154</v>
      </c>
      <c r="N86" s="42" t="s">
        <v>155</v>
      </c>
      <c r="O86" s="43">
        <v>1</v>
      </c>
      <c r="P86" s="43">
        <v>1</v>
      </c>
      <c r="Q86" s="25" t="str">
        <f>VLOOKUP(P86,Key!$E$2:$F$9,2,FALSE)</f>
        <v>Home</v>
      </c>
      <c r="R86" s="25" t="str">
        <f t="shared" si="1"/>
        <v>Work-Home</v>
      </c>
      <c r="S86" s="58">
        <v>10</v>
      </c>
      <c r="T86" s="58">
        <v>0.7</v>
      </c>
      <c r="U86" s="43">
        <v>1</v>
      </c>
      <c r="V86" s="43"/>
      <c r="W86" s="58"/>
      <c r="X86" s="58"/>
      <c r="Y86" s="59" t="s">
        <v>156</v>
      </c>
      <c r="Z86" s="60">
        <v>2000</v>
      </c>
      <c r="AA86" s="25"/>
      <c r="AB86" s="25"/>
    </row>
    <row r="87" spans="2:28">
      <c r="B87" s="40">
        <v>0.6166666666666667</v>
      </c>
      <c r="C87" s="40" t="s">
        <v>820</v>
      </c>
      <c r="D87" s="41">
        <v>2</v>
      </c>
      <c r="E87" s="42">
        <v>3</v>
      </c>
      <c r="F87" s="42" t="s">
        <v>436</v>
      </c>
      <c r="G87" s="43" t="s">
        <v>154</v>
      </c>
      <c r="H87" s="42" t="s">
        <v>155</v>
      </c>
      <c r="I87" s="43">
        <v>1</v>
      </c>
      <c r="J87" s="43">
        <v>1</v>
      </c>
      <c r="K87" s="25" t="str">
        <f>VLOOKUP(J87,Key!$E$2:$F$9,2,FALSE)</f>
        <v>Home</v>
      </c>
      <c r="L87" s="42" t="s">
        <v>248</v>
      </c>
      <c r="M87" s="43" t="s">
        <v>248</v>
      </c>
      <c r="N87" s="42" t="s">
        <v>155</v>
      </c>
      <c r="O87" s="43">
        <v>1</v>
      </c>
      <c r="P87" s="43">
        <v>1</v>
      </c>
      <c r="Q87" s="25" t="str">
        <f>VLOOKUP(P87,Key!$E$2:$F$9,2,FALSE)</f>
        <v>Home</v>
      </c>
      <c r="R87" s="25" t="str">
        <f t="shared" si="1"/>
        <v>Home-Home</v>
      </c>
      <c r="S87" s="58">
        <v>550</v>
      </c>
      <c r="T87" s="58">
        <v>8</v>
      </c>
      <c r="U87" s="43">
        <v>5</v>
      </c>
      <c r="V87" s="43"/>
      <c r="W87" s="58"/>
      <c r="X87" s="58"/>
      <c r="Y87" s="59" t="s">
        <v>156</v>
      </c>
      <c r="Z87" s="60">
        <v>3000</v>
      </c>
      <c r="AA87" s="25"/>
      <c r="AB87" s="25"/>
    </row>
    <row r="88" spans="2:28">
      <c r="B88" s="40">
        <v>0.75138888888888899</v>
      </c>
      <c r="C88" s="40" t="s">
        <v>821</v>
      </c>
      <c r="D88" s="41">
        <v>1</v>
      </c>
      <c r="E88" s="42">
        <v>3</v>
      </c>
      <c r="F88" s="42" t="s">
        <v>822</v>
      </c>
      <c r="G88" s="43" t="s">
        <v>154</v>
      </c>
      <c r="H88" s="42" t="s">
        <v>155</v>
      </c>
      <c r="I88" s="43">
        <v>1</v>
      </c>
      <c r="J88" s="43">
        <v>1</v>
      </c>
      <c r="K88" s="25" t="str">
        <f>VLOOKUP(J88,Key!$E$2:$F$9,2,FALSE)</f>
        <v>Home</v>
      </c>
      <c r="L88" s="42" t="s">
        <v>823</v>
      </c>
      <c r="M88" s="43" t="s">
        <v>154</v>
      </c>
      <c r="N88" s="42" t="s">
        <v>155</v>
      </c>
      <c r="O88" s="43">
        <v>16</v>
      </c>
      <c r="P88" s="43">
        <v>6</v>
      </c>
      <c r="Q88" s="25" t="str">
        <f>VLOOKUP(P88,Key!$E$2:$F$9,2,FALSE)</f>
        <v>Leisure/Social</v>
      </c>
      <c r="R88" s="25" t="str">
        <f t="shared" si="1"/>
        <v>Home-Leisure/Social</v>
      </c>
      <c r="S88" s="58"/>
      <c r="T88" s="58"/>
      <c r="U88" s="43">
        <v>4</v>
      </c>
      <c r="V88" s="43"/>
      <c r="W88" s="58"/>
      <c r="X88" s="58"/>
      <c r="Y88" s="59" t="s">
        <v>156</v>
      </c>
      <c r="Z88" s="60">
        <v>1000</v>
      </c>
      <c r="AA88" s="25"/>
      <c r="AB88" s="25"/>
    </row>
    <row r="89" spans="2:28">
      <c r="B89" s="40">
        <v>0.1875</v>
      </c>
      <c r="C89" s="40" t="s">
        <v>824</v>
      </c>
      <c r="D89" s="41">
        <v>3</v>
      </c>
      <c r="E89" s="42">
        <v>1</v>
      </c>
      <c r="F89" s="42" t="s">
        <v>825</v>
      </c>
      <c r="G89" s="43" t="s">
        <v>154</v>
      </c>
      <c r="H89" s="42" t="s">
        <v>155</v>
      </c>
      <c r="I89" s="43">
        <v>1</v>
      </c>
      <c r="J89" s="43">
        <v>1</v>
      </c>
      <c r="K89" s="25" t="str">
        <f>VLOOKUP(J89,Key!$E$2:$F$9,2,FALSE)</f>
        <v>Home</v>
      </c>
      <c r="L89" s="42" t="s">
        <v>826</v>
      </c>
      <c r="M89" s="43" t="s">
        <v>154</v>
      </c>
      <c r="N89" s="42" t="s">
        <v>155</v>
      </c>
      <c r="O89" s="43">
        <v>1</v>
      </c>
      <c r="P89" s="43">
        <v>1</v>
      </c>
      <c r="Q89" s="25" t="str">
        <f>VLOOKUP(P89,Key!$E$2:$F$9,2,FALSE)</f>
        <v>Home</v>
      </c>
      <c r="R89" s="25" t="str">
        <f t="shared" si="1"/>
        <v>Home-Home</v>
      </c>
      <c r="S89" s="58">
        <v>14</v>
      </c>
      <c r="T89" s="58">
        <v>0.3</v>
      </c>
      <c r="U89" s="43">
        <v>0.1</v>
      </c>
      <c r="V89" s="43"/>
      <c r="W89" s="58"/>
      <c r="X89" s="58"/>
      <c r="Y89" s="59" t="s">
        <v>156</v>
      </c>
      <c r="Z89" s="60">
        <v>0</v>
      </c>
      <c r="AA89" s="25"/>
      <c r="AB89" s="25"/>
    </row>
    <row r="90" spans="2:28">
      <c r="B90" s="40">
        <v>0.73611111111111116</v>
      </c>
      <c r="C90" s="40" t="s">
        <v>827</v>
      </c>
      <c r="D90" s="41">
        <v>1</v>
      </c>
      <c r="E90" s="42">
        <v>3</v>
      </c>
      <c r="F90" s="42" t="s">
        <v>828</v>
      </c>
      <c r="G90" s="43" t="s">
        <v>154</v>
      </c>
      <c r="H90" s="42" t="s">
        <v>155</v>
      </c>
      <c r="I90" s="43">
        <v>1</v>
      </c>
      <c r="J90" s="43">
        <v>1</v>
      </c>
      <c r="K90" s="25" t="str">
        <f>VLOOKUP(J90,Key!$E$2:$F$9,2,FALSE)</f>
        <v>Home</v>
      </c>
      <c r="L90" s="42" t="s">
        <v>168</v>
      </c>
      <c r="M90" s="43" t="s">
        <v>154</v>
      </c>
      <c r="N90" s="42" t="s">
        <v>155</v>
      </c>
      <c r="O90" s="43">
        <v>1</v>
      </c>
      <c r="P90" s="43">
        <v>6</v>
      </c>
      <c r="Q90" s="25" t="str">
        <f>VLOOKUP(P90,Key!$E$2:$F$9,2,FALSE)</f>
        <v>Leisure/Social</v>
      </c>
      <c r="R90" s="25" t="str">
        <f t="shared" si="1"/>
        <v>Home-Leisure/Social</v>
      </c>
      <c r="S90" s="58">
        <v>3</v>
      </c>
      <c r="T90" s="58">
        <v>0.1</v>
      </c>
      <c r="U90" s="43">
        <v>2</v>
      </c>
      <c r="V90" s="43"/>
      <c r="W90" s="58"/>
      <c r="X90" s="58"/>
      <c r="Y90" s="59" t="s">
        <v>156</v>
      </c>
      <c r="Z90" s="60">
        <v>3000</v>
      </c>
      <c r="AA90" s="25"/>
      <c r="AB90" s="25"/>
    </row>
    <row r="91" spans="2:28">
      <c r="B91" s="40">
        <v>0.48958333333333331</v>
      </c>
      <c r="C91" s="40" t="s">
        <v>829</v>
      </c>
      <c r="D91" s="41">
        <v>1</v>
      </c>
      <c r="E91" s="42">
        <v>3</v>
      </c>
      <c r="F91" s="42" t="s">
        <v>209</v>
      </c>
      <c r="G91" s="43" t="s">
        <v>159</v>
      </c>
      <c r="H91" s="42" t="s">
        <v>155</v>
      </c>
      <c r="I91" s="43">
        <v>1</v>
      </c>
      <c r="J91" s="43">
        <v>1</v>
      </c>
      <c r="K91" s="25" t="str">
        <f>VLOOKUP(J91,Key!$E$2:$F$9,2,FALSE)</f>
        <v>Home</v>
      </c>
      <c r="L91" s="42" t="s">
        <v>303</v>
      </c>
      <c r="M91" s="43" t="s">
        <v>154</v>
      </c>
      <c r="N91" s="42" t="s">
        <v>155</v>
      </c>
      <c r="O91" s="43">
        <v>4</v>
      </c>
      <c r="P91" s="43">
        <v>1</v>
      </c>
      <c r="Q91" s="25" t="str">
        <f>VLOOKUP(P91,Key!$E$2:$F$9,2,FALSE)</f>
        <v>Home</v>
      </c>
      <c r="R91" s="25" t="str">
        <f t="shared" si="1"/>
        <v>Home-Home</v>
      </c>
      <c r="S91" s="58">
        <v>60</v>
      </c>
      <c r="T91" s="58">
        <v>1</v>
      </c>
      <c r="U91" s="43">
        <v>2</v>
      </c>
      <c r="V91" s="43"/>
      <c r="W91" s="58"/>
      <c r="X91" s="58"/>
      <c r="Y91" s="59" t="s">
        <v>156</v>
      </c>
      <c r="Z91" s="60">
        <v>1000</v>
      </c>
      <c r="AA91" s="25"/>
      <c r="AB91" s="25"/>
    </row>
    <row r="92" spans="2:28">
      <c r="B92" s="40">
        <v>0.49305555555555558</v>
      </c>
      <c r="C92" s="40" t="s">
        <v>830</v>
      </c>
      <c r="D92" s="41">
        <v>7</v>
      </c>
      <c r="E92" s="42">
        <v>2</v>
      </c>
      <c r="F92" s="42" t="s">
        <v>159</v>
      </c>
      <c r="G92" s="43" t="s">
        <v>159</v>
      </c>
      <c r="H92" s="42" t="s">
        <v>155</v>
      </c>
      <c r="I92" s="43">
        <v>12</v>
      </c>
      <c r="J92" s="43">
        <v>4</v>
      </c>
      <c r="K92" s="25" t="str">
        <f>VLOOKUP(J92,Key!$E$2:$F$9,2,FALSE)</f>
        <v>Commercial</v>
      </c>
      <c r="L92" s="42" t="s">
        <v>831</v>
      </c>
      <c r="M92" s="43" t="s">
        <v>154</v>
      </c>
      <c r="N92" s="42" t="s">
        <v>155</v>
      </c>
      <c r="O92" s="43">
        <v>1</v>
      </c>
      <c r="P92" s="43">
        <v>1</v>
      </c>
      <c r="Q92" s="25" t="str">
        <f>VLOOKUP(P92,Key!$E$2:$F$9,2,FALSE)</f>
        <v>Home</v>
      </c>
      <c r="R92" s="25" t="str">
        <f t="shared" si="1"/>
        <v>Commercial-Home</v>
      </c>
      <c r="S92" s="58"/>
      <c r="T92" s="58"/>
      <c r="U92" s="43">
        <v>2</v>
      </c>
      <c r="V92" s="43"/>
      <c r="W92" s="58"/>
      <c r="X92" s="58"/>
      <c r="Y92" s="59" t="s">
        <v>156</v>
      </c>
      <c r="Z92" s="60">
        <v>1000</v>
      </c>
      <c r="AA92" s="25"/>
      <c r="AB92" s="25"/>
    </row>
    <row r="105" ht="12" customHeight="1"/>
    <row r="143" spans="1:1">
      <c r="A143" s="14"/>
    </row>
    <row r="144" spans="1:1">
      <c r="A144" s="14"/>
    </row>
    <row r="145" spans="1:1">
      <c r="A145" s="14"/>
    </row>
  </sheetData>
  <mergeCells count="25">
    <mergeCell ref="Q7:Q8"/>
    <mergeCell ref="B1:AB1"/>
    <mergeCell ref="B2:AB2"/>
    <mergeCell ref="F4:G4"/>
    <mergeCell ref="O4:T4"/>
    <mergeCell ref="B7:B8"/>
    <mergeCell ref="C7:C8"/>
    <mergeCell ref="D7:D8"/>
    <mergeCell ref="E7:E8"/>
    <mergeCell ref="F7:H7"/>
    <mergeCell ref="I7:I8"/>
    <mergeCell ref="J7:J8"/>
    <mergeCell ref="K7:K8"/>
    <mergeCell ref="L7:N7"/>
    <mergeCell ref="O7:O8"/>
    <mergeCell ref="P7:P8"/>
    <mergeCell ref="Z7:Z8"/>
    <mergeCell ref="AA7:AA8"/>
    <mergeCell ref="AB7:AB8"/>
    <mergeCell ref="R7:R8"/>
    <mergeCell ref="S7:S8"/>
    <mergeCell ref="T7:T8"/>
    <mergeCell ref="U7:U8"/>
    <mergeCell ref="V7:X7"/>
    <mergeCell ref="Y7:Y8"/>
  </mergeCells>
  <pageMargins left="0.2" right="0.2" top="0.15" bottom="0.15" header="0.05" footer="0.05"/>
  <pageSetup paperSize="9" scale="50" orientation="landscape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AI154"/>
  <sheetViews>
    <sheetView topLeftCell="G118" zoomScale="75" zoomScaleNormal="75" zoomScaleSheetLayoutView="80" workbookViewId="0">
      <selection activeCell="B9" sqref="B9:AB152"/>
    </sheetView>
  </sheetViews>
  <sheetFormatPr defaultRowHeight="12.75"/>
  <cols>
    <col min="1" max="1" width="2.7109375" customWidth="1"/>
    <col min="2" max="2" width="7.28515625" customWidth="1"/>
    <col min="3" max="3" width="10.28515625" customWidth="1"/>
    <col min="4" max="4" width="9.7109375" customWidth="1"/>
    <col min="5" max="5" width="11.5703125" customWidth="1"/>
    <col min="6" max="6" width="15.28515625" customWidth="1"/>
    <col min="7" max="7" width="11.7109375" customWidth="1"/>
    <col min="8" max="8" width="9" customWidth="1"/>
    <col min="9" max="9" width="8.85546875" customWidth="1"/>
    <col min="10" max="10" width="8.42578125" customWidth="1"/>
    <col min="11" max="11" width="10" customWidth="1"/>
    <col min="12" max="12" width="15.7109375" customWidth="1"/>
    <col min="13" max="13" width="11.7109375" customWidth="1"/>
    <col min="14" max="14" width="12.140625" customWidth="1"/>
    <col min="15" max="16" width="9.28515625" customWidth="1"/>
    <col min="17" max="17" width="12.7109375" customWidth="1"/>
    <col min="18" max="18" width="15.140625" customWidth="1"/>
    <col min="19" max="21" width="9.28515625" customWidth="1"/>
    <col min="22" max="22" width="11.140625" customWidth="1"/>
    <col min="23" max="23" width="11" customWidth="1"/>
    <col min="24" max="24" width="10.7109375" customWidth="1"/>
    <col min="25" max="25" width="10.5703125" customWidth="1"/>
    <col min="26" max="26" width="10.7109375" customWidth="1"/>
    <col min="27" max="27" width="8.42578125" customWidth="1"/>
    <col min="28" max="28" width="8" customWidth="1"/>
  </cols>
  <sheetData>
    <row r="1" spans="2:35" s="1" customFormat="1" ht="15.75">
      <c r="B1" s="143" t="s">
        <v>847</v>
      </c>
      <c r="C1" s="143"/>
      <c r="D1" s="143"/>
      <c r="E1" s="143"/>
      <c r="F1" s="143"/>
      <c r="G1" s="143"/>
      <c r="H1" s="143"/>
      <c r="I1" s="143"/>
      <c r="J1" s="143"/>
      <c r="K1" s="143"/>
      <c r="L1" s="143"/>
      <c r="M1" s="143"/>
      <c r="N1" s="143"/>
      <c r="O1" s="143"/>
      <c r="P1" s="143"/>
      <c r="Q1" s="143"/>
      <c r="R1" s="143"/>
      <c r="S1" s="143"/>
      <c r="T1" s="143"/>
      <c r="U1" s="143"/>
      <c r="V1" s="143"/>
      <c r="W1" s="143"/>
      <c r="X1" s="143"/>
      <c r="Y1" s="143"/>
      <c r="Z1" s="143"/>
      <c r="AA1" s="143"/>
      <c r="AB1" s="143"/>
      <c r="AC1" s="6"/>
      <c r="AD1" s="6"/>
      <c r="AE1" s="6"/>
      <c r="AF1" s="6"/>
      <c r="AG1" s="6"/>
      <c r="AH1" s="6"/>
      <c r="AI1" s="6"/>
    </row>
    <row r="2" spans="2:35" ht="15">
      <c r="B2" s="143" t="s">
        <v>1</v>
      </c>
      <c r="C2" s="143"/>
      <c r="D2" s="143"/>
      <c r="E2" s="143"/>
      <c r="F2" s="143"/>
      <c r="G2" s="143"/>
      <c r="H2" s="143"/>
      <c r="I2" s="143"/>
      <c r="J2" s="143"/>
      <c r="K2" s="143"/>
      <c r="L2" s="143"/>
      <c r="M2" s="143"/>
      <c r="N2" s="143"/>
      <c r="O2" s="143"/>
      <c r="P2" s="143"/>
      <c r="Q2" s="143"/>
      <c r="R2" s="143"/>
      <c r="S2" s="143"/>
      <c r="T2" s="143"/>
      <c r="U2" s="143"/>
      <c r="V2" s="143"/>
      <c r="W2" s="143"/>
      <c r="X2" s="143"/>
      <c r="Y2" s="143"/>
      <c r="Z2" s="143"/>
      <c r="AA2" s="143"/>
      <c r="AB2" s="143"/>
      <c r="AC2" s="7"/>
      <c r="AD2" s="7"/>
      <c r="AE2" s="7"/>
      <c r="AF2" s="7"/>
      <c r="AG2" s="7"/>
      <c r="AH2" s="7"/>
      <c r="AI2" s="7"/>
    </row>
    <row r="3" spans="2:35" ht="15"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</row>
    <row r="4" spans="2:35" ht="15" customHeight="1">
      <c r="B4" s="26" t="s">
        <v>2</v>
      </c>
      <c r="C4" s="38" t="str">
        <f>'14.10 KASANGATI-MATUGGA'!C4</f>
        <v>14.10.19</v>
      </c>
      <c r="E4" s="1" t="s">
        <v>833</v>
      </c>
      <c r="F4" s="152" t="str">
        <f>'14.10 KASANGATI-MATUGGA'!F4:G4</f>
        <v>MATUGGA-WAKISO ROAD</v>
      </c>
      <c r="G4" s="153"/>
      <c r="I4" s="27" t="s">
        <v>66</v>
      </c>
      <c r="J4" s="5"/>
      <c r="K4" s="5"/>
      <c r="L4" s="62" t="s">
        <v>147</v>
      </c>
      <c r="M4" s="2"/>
      <c r="N4" s="1" t="s">
        <v>68</v>
      </c>
      <c r="O4" s="154" t="s">
        <v>834</v>
      </c>
      <c r="P4" s="155"/>
      <c r="Q4" s="155"/>
      <c r="R4" s="155"/>
      <c r="S4" s="155"/>
      <c r="T4" s="155"/>
      <c r="V4" s="1" t="s">
        <v>69</v>
      </c>
      <c r="W4" s="65" t="str">
        <f>'14.10 KASANGATI-MATUGGA'!W4</f>
        <v>ANDREW</v>
      </c>
      <c r="Y4" s="27" t="s">
        <v>6</v>
      </c>
      <c r="Z4" s="39" t="str">
        <f>'14.10 KASANGATI-MATUGGA'!Z4</f>
        <v>DAVID</v>
      </c>
      <c r="AA4" s="32" t="s">
        <v>7</v>
      </c>
      <c r="AB4" s="39" t="s">
        <v>848</v>
      </c>
      <c r="AE4" s="10"/>
      <c r="AF4" s="5"/>
    </row>
    <row r="5" spans="2:35" ht="15" customHeight="1">
      <c r="B5" s="2"/>
      <c r="C5" s="2"/>
      <c r="D5" s="2"/>
      <c r="E5" s="22"/>
      <c r="F5" s="2"/>
      <c r="G5" s="2"/>
      <c r="I5" s="28" t="s">
        <v>67</v>
      </c>
      <c r="J5" s="2"/>
      <c r="K5" s="2"/>
      <c r="L5" s="63" t="s">
        <v>146</v>
      </c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  <c r="AB5" s="2"/>
    </row>
    <row r="6" spans="2:35" ht="13.5" thickBot="1"/>
    <row r="7" spans="2:35" ht="30.75" customHeight="1">
      <c r="B7" s="144" t="s">
        <v>34</v>
      </c>
      <c r="C7" s="150" t="s">
        <v>56</v>
      </c>
      <c r="D7" s="146" t="s">
        <v>9</v>
      </c>
      <c r="E7" s="150" t="s">
        <v>35</v>
      </c>
      <c r="F7" s="159" t="s">
        <v>12</v>
      </c>
      <c r="G7" s="160"/>
      <c r="H7" s="161"/>
      <c r="I7" s="146" t="s">
        <v>59</v>
      </c>
      <c r="J7" s="150" t="s">
        <v>15</v>
      </c>
      <c r="K7" s="150" t="s">
        <v>128</v>
      </c>
      <c r="L7" s="159" t="s">
        <v>17</v>
      </c>
      <c r="M7" s="160"/>
      <c r="N7" s="161"/>
      <c r="O7" s="146" t="s">
        <v>60</v>
      </c>
      <c r="P7" s="150" t="s">
        <v>18</v>
      </c>
      <c r="Q7" s="150" t="s">
        <v>129</v>
      </c>
      <c r="R7" s="150" t="s">
        <v>130</v>
      </c>
      <c r="S7" s="150" t="s">
        <v>132</v>
      </c>
      <c r="T7" s="150" t="s">
        <v>131</v>
      </c>
      <c r="U7" s="150" t="s">
        <v>61</v>
      </c>
      <c r="V7" s="163" t="s">
        <v>64</v>
      </c>
      <c r="W7" s="164"/>
      <c r="X7" s="165"/>
      <c r="Y7" s="150" t="s">
        <v>63</v>
      </c>
      <c r="Z7" s="150" t="s">
        <v>135</v>
      </c>
      <c r="AA7" s="146" t="s">
        <v>20</v>
      </c>
      <c r="AB7" s="148" t="s">
        <v>21</v>
      </c>
      <c r="AD7" s="19"/>
    </row>
    <row r="8" spans="2:35" ht="38.25" customHeight="1">
      <c r="B8" s="156"/>
      <c r="C8" s="151"/>
      <c r="D8" s="157"/>
      <c r="E8" s="158"/>
      <c r="F8" s="23" t="s">
        <v>70</v>
      </c>
      <c r="G8" s="23" t="s">
        <v>57</v>
      </c>
      <c r="H8" s="24" t="s">
        <v>58</v>
      </c>
      <c r="I8" s="157"/>
      <c r="J8" s="151"/>
      <c r="K8" s="151"/>
      <c r="L8" s="23" t="s">
        <v>70</v>
      </c>
      <c r="M8" s="23" t="s">
        <v>57</v>
      </c>
      <c r="N8" s="23" t="s">
        <v>58</v>
      </c>
      <c r="O8" s="157"/>
      <c r="P8" s="151"/>
      <c r="Q8" s="151"/>
      <c r="R8" s="151"/>
      <c r="S8" s="151"/>
      <c r="T8" s="151"/>
      <c r="U8" s="151"/>
      <c r="V8" s="29" t="s">
        <v>62</v>
      </c>
      <c r="W8" s="30" t="s">
        <v>133</v>
      </c>
      <c r="X8" s="30" t="s">
        <v>134</v>
      </c>
      <c r="Y8" s="151"/>
      <c r="Z8" s="151"/>
      <c r="AA8" s="157"/>
      <c r="AB8" s="162"/>
    </row>
    <row r="9" spans="2:35" s="19" customFormat="1">
      <c r="B9" s="40">
        <v>0.3444444444444445</v>
      </c>
      <c r="C9" s="40" t="s">
        <v>390</v>
      </c>
      <c r="D9" s="41">
        <v>4</v>
      </c>
      <c r="E9" s="42">
        <v>6</v>
      </c>
      <c r="F9" s="42" t="s">
        <v>391</v>
      </c>
      <c r="G9" s="43" t="s">
        <v>154</v>
      </c>
      <c r="H9" s="42" t="s">
        <v>155</v>
      </c>
      <c r="I9" s="43">
        <v>1</v>
      </c>
      <c r="J9" s="43">
        <v>1</v>
      </c>
      <c r="K9" s="25" t="str">
        <f>VLOOKUP(J9,Key!$E$2:$F$9,2,FALSE)</f>
        <v>Home</v>
      </c>
      <c r="L9" s="42" t="s">
        <v>392</v>
      </c>
      <c r="M9" s="43" t="s">
        <v>154</v>
      </c>
      <c r="N9" s="42" t="s">
        <v>155</v>
      </c>
      <c r="O9" s="43">
        <v>2</v>
      </c>
      <c r="P9" s="43">
        <v>2</v>
      </c>
      <c r="Q9" s="25" t="str">
        <f>VLOOKUP(P9,Key!$E$2:$F$9,2,FALSE)</f>
        <v>Work</v>
      </c>
      <c r="R9" s="25" t="str">
        <f>K9&amp;"-"&amp;Q9</f>
        <v>Home-Work</v>
      </c>
      <c r="S9" s="58"/>
      <c r="T9" s="58">
        <v>0.5</v>
      </c>
      <c r="U9" s="43">
        <v>2</v>
      </c>
      <c r="V9" s="43"/>
      <c r="W9" s="58"/>
      <c r="X9" s="58"/>
      <c r="Y9" s="59" t="s">
        <v>156</v>
      </c>
      <c r="Z9" s="60">
        <v>3000</v>
      </c>
      <c r="AA9" s="25"/>
      <c r="AB9" s="25"/>
    </row>
    <row r="10" spans="2:35">
      <c r="B10" s="40">
        <v>0.34583333333333338</v>
      </c>
      <c r="C10" s="40" t="s">
        <v>393</v>
      </c>
      <c r="D10" s="41">
        <v>1</v>
      </c>
      <c r="E10" s="42">
        <v>3</v>
      </c>
      <c r="F10" s="42" t="s">
        <v>394</v>
      </c>
      <c r="G10" s="43" t="s">
        <v>154</v>
      </c>
      <c r="H10" s="42" t="s">
        <v>155</v>
      </c>
      <c r="I10" s="43">
        <v>1</v>
      </c>
      <c r="J10" s="43">
        <v>1</v>
      </c>
      <c r="K10" s="25" t="str">
        <f>VLOOKUP(J10,Key!$E$2:$F$9,2,FALSE)</f>
        <v>Home</v>
      </c>
      <c r="L10" s="42" t="s">
        <v>146</v>
      </c>
      <c r="M10" s="43" t="s">
        <v>154</v>
      </c>
      <c r="N10" s="42" t="s">
        <v>155</v>
      </c>
      <c r="O10" s="43">
        <v>11</v>
      </c>
      <c r="P10" s="43">
        <v>2</v>
      </c>
      <c r="Q10" s="25" t="str">
        <f>VLOOKUP(P10,Key!$E$2:$F$9,2,FALSE)</f>
        <v>Work</v>
      </c>
      <c r="R10" s="25" t="str">
        <f t="shared" ref="R10:R37" si="0">K10&amp;"-"&amp;Q10</f>
        <v>Home-Work</v>
      </c>
      <c r="S10" s="58"/>
      <c r="T10" s="58">
        <v>0.3</v>
      </c>
      <c r="U10" s="43">
        <v>2</v>
      </c>
      <c r="V10" s="43"/>
      <c r="W10" s="58"/>
      <c r="X10" s="58"/>
      <c r="Y10" s="59" t="s">
        <v>156</v>
      </c>
      <c r="Z10" s="60">
        <v>0</v>
      </c>
      <c r="AA10" s="25"/>
      <c r="AB10" s="25"/>
    </row>
    <row r="11" spans="2:35">
      <c r="B11" s="40">
        <v>0.34930555555555554</v>
      </c>
      <c r="C11" s="40" t="s">
        <v>395</v>
      </c>
      <c r="D11" s="41">
        <v>1</v>
      </c>
      <c r="E11" s="42">
        <v>1</v>
      </c>
      <c r="F11" s="42" t="s">
        <v>147</v>
      </c>
      <c r="G11" s="43" t="s">
        <v>154</v>
      </c>
      <c r="H11" s="42" t="s">
        <v>155</v>
      </c>
      <c r="I11" s="43">
        <v>1</v>
      </c>
      <c r="J11" s="43">
        <v>1</v>
      </c>
      <c r="K11" s="25" t="str">
        <f>VLOOKUP(J11,Key!$E$2:$F$9,2,FALSE)</f>
        <v>Home</v>
      </c>
      <c r="L11" s="42" t="s">
        <v>278</v>
      </c>
      <c r="M11" s="43" t="s">
        <v>154</v>
      </c>
      <c r="N11" s="42" t="s">
        <v>155</v>
      </c>
      <c r="O11" s="43">
        <v>4</v>
      </c>
      <c r="P11" s="43">
        <v>2</v>
      </c>
      <c r="Q11" s="25" t="str">
        <f>VLOOKUP(P11,Key!$E$2:$F$9,2,FALSE)</f>
        <v>Work</v>
      </c>
      <c r="R11" s="25" t="str">
        <f t="shared" si="0"/>
        <v>Home-Work</v>
      </c>
      <c r="S11" s="58"/>
      <c r="T11" s="58">
        <v>1</v>
      </c>
      <c r="U11" s="43">
        <v>2</v>
      </c>
      <c r="V11" s="43"/>
      <c r="W11" s="58"/>
      <c r="X11" s="58"/>
      <c r="Y11" s="59" t="s">
        <v>156</v>
      </c>
      <c r="Z11" s="60">
        <v>0</v>
      </c>
      <c r="AA11" s="25"/>
      <c r="AB11" s="25"/>
    </row>
    <row r="12" spans="2:35">
      <c r="B12" s="40">
        <v>0.3520833333333333</v>
      </c>
      <c r="C12" s="40" t="s">
        <v>396</v>
      </c>
      <c r="D12" s="41">
        <v>1</v>
      </c>
      <c r="E12" s="42">
        <v>2</v>
      </c>
      <c r="F12" s="42" t="s">
        <v>835</v>
      </c>
      <c r="G12" s="43" t="s">
        <v>154</v>
      </c>
      <c r="H12" s="42" t="s">
        <v>155</v>
      </c>
      <c r="I12" s="43">
        <v>1</v>
      </c>
      <c r="J12" s="43">
        <v>1</v>
      </c>
      <c r="K12" s="25" t="str">
        <f>VLOOKUP(J12,Key!$E$2:$F$9,2,FALSE)</f>
        <v>Home</v>
      </c>
      <c r="L12" s="42" t="s">
        <v>199</v>
      </c>
      <c r="M12" s="43" t="s">
        <v>836</v>
      </c>
      <c r="N12" s="42" t="s">
        <v>155</v>
      </c>
      <c r="O12" s="43">
        <v>2</v>
      </c>
      <c r="P12" s="43">
        <v>2</v>
      </c>
      <c r="Q12" s="25" t="str">
        <f>VLOOKUP(P12,Key!$E$2:$F$9,2,FALSE)</f>
        <v>Work</v>
      </c>
      <c r="R12" s="25" t="str">
        <f t="shared" si="0"/>
        <v>Home-Work</v>
      </c>
      <c r="S12" s="58"/>
      <c r="T12" s="58">
        <v>1</v>
      </c>
      <c r="U12" s="43">
        <v>2</v>
      </c>
      <c r="V12" s="43"/>
      <c r="W12" s="58"/>
      <c r="X12" s="58"/>
      <c r="Y12" s="59" t="s">
        <v>156</v>
      </c>
      <c r="Z12" s="60">
        <v>0</v>
      </c>
      <c r="AA12" s="25"/>
      <c r="AB12" s="25"/>
    </row>
    <row r="13" spans="2:35">
      <c r="B13" s="40">
        <v>0.35416666666666669</v>
      </c>
      <c r="C13" s="40" t="s">
        <v>397</v>
      </c>
      <c r="D13" s="41">
        <v>1</v>
      </c>
      <c r="E13" s="42">
        <v>2</v>
      </c>
      <c r="F13" s="42" t="s">
        <v>245</v>
      </c>
      <c r="G13" s="43" t="s">
        <v>154</v>
      </c>
      <c r="H13" s="42" t="s">
        <v>155</v>
      </c>
      <c r="I13" s="43">
        <v>1</v>
      </c>
      <c r="J13" s="43">
        <v>1</v>
      </c>
      <c r="K13" s="25" t="str">
        <f>VLOOKUP(J13,Key!$E$2:$F$9,2,FALSE)</f>
        <v>Home</v>
      </c>
      <c r="L13" s="42" t="s">
        <v>836</v>
      </c>
      <c r="M13" s="43" t="s">
        <v>836</v>
      </c>
      <c r="N13" s="42" t="s">
        <v>155</v>
      </c>
      <c r="O13" s="43">
        <v>2</v>
      </c>
      <c r="P13" s="43">
        <v>2</v>
      </c>
      <c r="Q13" s="25" t="str">
        <f>VLOOKUP(P13,Key!$E$2:$F$9,2,FALSE)</f>
        <v>Work</v>
      </c>
      <c r="R13" s="25" t="str">
        <f t="shared" si="0"/>
        <v>Home-Work</v>
      </c>
      <c r="S13" s="58"/>
      <c r="T13" s="58"/>
      <c r="U13" s="43"/>
      <c r="V13" s="43"/>
      <c r="W13" s="58"/>
      <c r="X13" s="58"/>
      <c r="Y13" s="59" t="s">
        <v>156</v>
      </c>
      <c r="Z13" s="60"/>
      <c r="AA13" s="25"/>
      <c r="AB13" s="25"/>
    </row>
    <row r="14" spans="2:35">
      <c r="B14" s="40">
        <v>0.35833333333333334</v>
      </c>
      <c r="C14" s="40" t="s">
        <v>398</v>
      </c>
      <c r="D14" s="41">
        <v>1</v>
      </c>
      <c r="E14" s="42">
        <v>1</v>
      </c>
      <c r="F14" s="42" t="s">
        <v>399</v>
      </c>
      <c r="G14" s="43" t="s">
        <v>154</v>
      </c>
      <c r="H14" s="42" t="s">
        <v>155</v>
      </c>
      <c r="I14" s="43">
        <v>4</v>
      </c>
      <c r="J14" s="43">
        <v>2</v>
      </c>
      <c r="K14" s="25" t="str">
        <f>VLOOKUP(J14,Key!$E$2:$F$9,2,FALSE)</f>
        <v>Work</v>
      </c>
      <c r="L14" s="42" t="s">
        <v>146</v>
      </c>
      <c r="M14" s="43" t="s">
        <v>154</v>
      </c>
      <c r="N14" s="42" t="s">
        <v>155</v>
      </c>
      <c r="O14" s="43">
        <v>11</v>
      </c>
      <c r="P14" s="43">
        <v>2</v>
      </c>
      <c r="Q14" s="25" t="str">
        <f>VLOOKUP(P14,Key!$E$2:$F$9,2,FALSE)</f>
        <v>Work</v>
      </c>
      <c r="R14" s="25" t="str">
        <f t="shared" si="0"/>
        <v>Work-Work</v>
      </c>
      <c r="S14" s="58">
        <v>1</v>
      </c>
      <c r="T14" s="58">
        <v>0.1</v>
      </c>
      <c r="U14" s="43">
        <v>2</v>
      </c>
      <c r="V14" s="43"/>
      <c r="W14" s="58"/>
      <c r="X14" s="58"/>
      <c r="Y14" s="59" t="s">
        <v>156</v>
      </c>
      <c r="Z14" s="60">
        <v>1000</v>
      </c>
      <c r="AA14" s="25"/>
      <c r="AB14" s="25"/>
    </row>
    <row r="15" spans="2:35">
      <c r="B15" s="40">
        <v>0.36249999999999999</v>
      </c>
      <c r="C15" s="40" t="s">
        <v>400</v>
      </c>
      <c r="D15" s="41">
        <v>7</v>
      </c>
      <c r="E15" s="42">
        <v>1</v>
      </c>
      <c r="F15" s="42" t="s">
        <v>168</v>
      </c>
      <c r="G15" s="43" t="s">
        <v>154</v>
      </c>
      <c r="H15" s="42" t="s">
        <v>155</v>
      </c>
      <c r="I15" s="43">
        <v>1</v>
      </c>
      <c r="J15" s="43">
        <v>1</v>
      </c>
      <c r="K15" s="25" t="str">
        <f>VLOOKUP(J15,Key!$E$2:$F$9,2,FALSE)</f>
        <v>Home</v>
      </c>
      <c r="L15" s="42" t="s">
        <v>146</v>
      </c>
      <c r="M15" s="43" t="s">
        <v>154</v>
      </c>
      <c r="N15" s="42" t="s">
        <v>155</v>
      </c>
      <c r="O15" s="43">
        <v>6</v>
      </c>
      <c r="P15" s="43">
        <v>2</v>
      </c>
      <c r="Q15" s="25" t="str">
        <f>VLOOKUP(P15,Key!$E$2:$F$9,2,FALSE)</f>
        <v>Work</v>
      </c>
      <c r="R15" s="25" t="str">
        <f t="shared" si="0"/>
        <v>Home-Work</v>
      </c>
      <c r="S15" s="58"/>
      <c r="T15" s="58">
        <v>0.1</v>
      </c>
      <c r="U15" s="43">
        <v>6</v>
      </c>
      <c r="V15" s="43"/>
      <c r="W15" s="58"/>
      <c r="X15" s="58"/>
      <c r="Y15" s="59" t="s">
        <v>156</v>
      </c>
      <c r="Z15" s="60">
        <v>300</v>
      </c>
      <c r="AA15" s="25"/>
      <c r="AB15" s="25"/>
    </row>
    <row r="16" spans="2:35">
      <c r="B16" s="40">
        <v>0.36458333333333331</v>
      </c>
      <c r="C16" s="40" t="s">
        <v>401</v>
      </c>
      <c r="D16" s="41">
        <v>4</v>
      </c>
      <c r="E16" s="42">
        <v>16</v>
      </c>
      <c r="F16" s="42" t="s">
        <v>147</v>
      </c>
      <c r="G16" s="43" t="s">
        <v>154</v>
      </c>
      <c r="H16" s="42" t="s">
        <v>155</v>
      </c>
      <c r="I16" s="43">
        <v>6</v>
      </c>
      <c r="J16" s="43">
        <v>2</v>
      </c>
      <c r="K16" s="25" t="str">
        <f>VLOOKUP(J16,Key!$E$2:$F$9,2,FALSE)</f>
        <v>Work</v>
      </c>
      <c r="L16" s="42" t="s">
        <v>146</v>
      </c>
      <c r="M16" s="43" t="s">
        <v>154</v>
      </c>
      <c r="N16" s="42" t="s">
        <v>155</v>
      </c>
      <c r="O16" s="43">
        <v>6</v>
      </c>
      <c r="P16" s="43">
        <v>2</v>
      </c>
      <c r="Q16" s="25" t="str">
        <f>VLOOKUP(P16,Key!$E$2:$F$9,2,FALSE)</f>
        <v>Work</v>
      </c>
      <c r="R16" s="25" t="str">
        <f t="shared" si="0"/>
        <v>Work-Work</v>
      </c>
      <c r="S16" s="58"/>
      <c r="T16" s="58">
        <v>0.1</v>
      </c>
      <c r="U16" s="43">
        <v>1</v>
      </c>
      <c r="V16" s="43"/>
      <c r="W16" s="58"/>
      <c r="X16" s="58"/>
      <c r="Y16" s="59" t="s">
        <v>156</v>
      </c>
      <c r="Z16" s="60">
        <v>0</v>
      </c>
      <c r="AA16" s="25"/>
      <c r="AB16" s="25"/>
    </row>
    <row r="17" spans="2:28">
      <c r="B17" s="40">
        <v>0.36805555555555558</v>
      </c>
      <c r="C17" s="40" t="s">
        <v>402</v>
      </c>
      <c r="D17" s="41">
        <v>1</v>
      </c>
      <c r="E17" s="42">
        <v>2</v>
      </c>
      <c r="F17" s="42" t="s">
        <v>394</v>
      </c>
      <c r="G17" s="43" t="s">
        <v>154</v>
      </c>
      <c r="H17" s="42" t="s">
        <v>155</v>
      </c>
      <c r="I17" s="43">
        <v>1</v>
      </c>
      <c r="J17" s="43">
        <v>1</v>
      </c>
      <c r="K17" s="25" t="str">
        <f>VLOOKUP(J17,Key!$E$2:$F$9,2,FALSE)</f>
        <v>Home</v>
      </c>
      <c r="L17" s="42" t="s">
        <v>146</v>
      </c>
      <c r="M17" s="43" t="s">
        <v>154</v>
      </c>
      <c r="N17" s="42" t="s">
        <v>155</v>
      </c>
      <c r="O17" s="43">
        <v>2</v>
      </c>
      <c r="P17" s="43">
        <v>4</v>
      </c>
      <c r="Q17" s="25" t="str">
        <f>VLOOKUP(P17,Key!$E$2:$F$9,2,FALSE)</f>
        <v>Commercial</v>
      </c>
      <c r="R17" s="25" t="str">
        <f t="shared" si="0"/>
        <v>Home-Commercial</v>
      </c>
      <c r="S17" s="58"/>
      <c r="T17" s="58">
        <v>0.1</v>
      </c>
      <c r="U17" s="43">
        <v>2</v>
      </c>
      <c r="V17" s="43"/>
      <c r="W17" s="58"/>
      <c r="X17" s="58"/>
      <c r="Y17" s="59" t="s">
        <v>156</v>
      </c>
      <c r="Z17" s="60">
        <v>0</v>
      </c>
      <c r="AA17" s="25"/>
      <c r="AB17" s="25"/>
    </row>
    <row r="18" spans="2:28">
      <c r="B18" s="40">
        <v>0.37291666666666662</v>
      </c>
      <c r="C18" s="40" t="s">
        <v>403</v>
      </c>
      <c r="D18" s="41">
        <v>2</v>
      </c>
      <c r="E18" s="42">
        <v>4</v>
      </c>
      <c r="F18" s="42" t="s">
        <v>404</v>
      </c>
      <c r="G18" s="43" t="s">
        <v>154</v>
      </c>
      <c r="H18" s="42" t="s">
        <v>155</v>
      </c>
      <c r="I18" s="43">
        <v>1</v>
      </c>
      <c r="J18" s="43">
        <v>1</v>
      </c>
      <c r="K18" s="25" t="str">
        <f>VLOOKUP(J18,Key!$E$2:$F$9,2,FALSE)</f>
        <v>Home</v>
      </c>
      <c r="L18" s="42" t="s">
        <v>199</v>
      </c>
      <c r="M18" s="43" t="s">
        <v>836</v>
      </c>
      <c r="N18" s="42" t="s">
        <v>155</v>
      </c>
      <c r="O18" s="43">
        <v>10</v>
      </c>
      <c r="P18" s="43">
        <v>2</v>
      </c>
      <c r="Q18" s="25" t="str">
        <f>VLOOKUP(P18,Key!$E$2:$F$9,2,FALSE)</f>
        <v>Work</v>
      </c>
      <c r="R18" s="25" t="str">
        <f t="shared" si="0"/>
        <v>Home-Work</v>
      </c>
      <c r="S18" s="58"/>
      <c r="T18" s="58">
        <v>0.7</v>
      </c>
      <c r="U18" s="43">
        <v>2</v>
      </c>
      <c r="V18" s="43"/>
      <c r="W18" s="58"/>
      <c r="X18" s="58"/>
      <c r="Y18" s="59" t="s">
        <v>156</v>
      </c>
      <c r="Z18" s="60">
        <v>3000</v>
      </c>
      <c r="AA18" s="25"/>
      <c r="AB18" s="25"/>
    </row>
    <row r="19" spans="2:28">
      <c r="B19" s="40">
        <v>0.3888888888888889</v>
      </c>
      <c r="C19" s="40" t="s">
        <v>405</v>
      </c>
      <c r="D19" s="41">
        <v>1</v>
      </c>
      <c r="E19" s="42">
        <v>1</v>
      </c>
      <c r="F19" s="42" t="s">
        <v>404</v>
      </c>
      <c r="G19" s="43" t="s">
        <v>154</v>
      </c>
      <c r="H19" s="42" t="s">
        <v>155</v>
      </c>
      <c r="I19" s="43">
        <v>1</v>
      </c>
      <c r="J19" s="43">
        <v>1</v>
      </c>
      <c r="K19" s="25" t="str">
        <f>VLOOKUP(J19,Key!$E$2:$F$9,2,FALSE)</f>
        <v>Home</v>
      </c>
      <c r="L19" s="42" t="s">
        <v>371</v>
      </c>
      <c r="M19" s="43" t="s">
        <v>836</v>
      </c>
      <c r="N19" s="42" t="s">
        <v>155</v>
      </c>
      <c r="O19" s="43">
        <v>11</v>
      </c>
      <c r="P19" s="43">
        <v>2</v>
      </c>
      <c r="Q19" s="25" t="str">
        <f>VLOOKUP(P19,Key!$E$2:$F$9,2,FALSE)</f>
        <v>Work</v>
      </c>
      <c r="R19" s="25" t="str">
        <f t="shared" si="0"/>
        <v>Home-Work</v>
      </c>
      <c r="S19" s="58"/>
      <c r="T19" s="58">
        <v>0.7</v>
      </c>
      <c r="U19" s="43">
        <v>2</v>
      </c>
      <c r="V19" s="43"/>
      <c r="W19" s="58"/>
      <c r="X19" s="58"/>
      <c r="Y19" s="59" t="s">
        <v>156</v>
      </c>
      <c r="Z19" s="60">
        <v>1000</v>
      </c>
      <c r="AA19" s="25"/>
      <c r="AB19" s="25"/>
    </row>
    <row r="20" spans="2:28">
      <c r="B20" s="40">
        <v>0.38055555555555554</v>
      </c>
      <c r="C20" s="40" t="s">
        <v>406</v>
      </c>
      <c r="D20" s="41">
        <v>1</v>
      </c>
      <c r="E20" s="42">
        <v>1</v>
      </c>
      <c r="F20" s="42" t="s">
        <v>168</v>
      </c>
      <c r="G20" s="43" t="s">
        <v>154</v>
      </c>
      <c r="H20" s="42" t="s">
        <v>155</v>
      </c>
      <c r="I20" s="43">
        <v>1</v>
      </c>
      <c r="J20" s="43">
        <v>1</v>
      </c>
      <c r="K20" s="25" t="str">
        <f>VLOOKUP(J20,Key!$E$2:$F$9,2,FALSE)</f>
        <v>Home</v>
      </c>
      <c r="L20" s="42" t="s">
        <v>836</v>
      </c>
      <c r="M20" s="43" t="s">
        <v>836</v>
      </c>
      <c r="N20" s="42" t="s">
        <v>155</v>
      </c>
      <c r="O20" s="43">
        <v>2</v>
      </c>
      <c r="P20" s="43">
        <v>2</v>
      </c>
      <c r="Q20" s="25" t="str">
        <f>VLOOKUP(P20,Key!$E$2:$F$9,2,FALSE)</f>
        <v>Work</v>
      </c>
      <c r="R20" s="25" t="str">
        <f t="shared" si="0"/>
        <v>Home-Work</v>
      </c>
      <c r="S20" s="58">
        <v>16</v>
      </c>
      <c r="T20" s="58">
        <v>1</v>
      </c>
      <c r="U20" s="43">
        <v>2</v>
      </c>
      <c r="V20" s="43"/>
      <c r="W20" s="58"/>
      <c r="X20" s="58"/>
      <c r="Y20" s="59" t="s">
        <v>156</v>
      </c>
      <c r="Z20" s="60">
        <v>1000</v>
      </c>
      <c r="AA20" s="25"/>
      <c r="AB20" s="25"/>
    </row>
    <row r="21" spans="2:28">
      <c r="B21" s="40">
        <v>0.38263888888888892</v>
      </c>
      <c r="C21" s="40" t="s">
        <v>407</v>
      </c>
      <c r="D21" s="41">
        <v>7</v>
      </c>
      <c r="E21" s="42">
        <v>2</v>
      </c>
      <c r="F21" s="42" t="s">
        <v>168</v>
      </c>
      <c r="G21" s="43" t="s">
        <v>154</v>
      </c>
      <c r="H21" s="42" t="s">
        <v>155</v>
      </c>
      <c r="I21" s="43">
        <v>11</v>
      </c>
      <c r="J21" s="43">
        <v>4</v>
      </c>
      <c r="K21" s="25" t="str">
        <f>VLOOKUP(J21,Key!$E$2:$F$9,2,FALSE)</f>
        <v>Commercial</v>
      </c>
      <c r="L21" s="42" t="s">
        <v>184</v>
      </c>
      <c r="M21" s="43" t="s">
        <v>154</v>
      </c>
      <c r="N21" s="42" t="s">
        <v>155</v>
      </c>
      <c r="O21" s="43">
        <v>11</v>
      </c>
      <c r="P21" s="43">
        <v>4</v>
      </c>
      <c r="Q21" s="25" t="str">
        <f>VLOOKUP(P21,Key!$E$2:$F$9,2,FALSE)</f>
        <v>Commercial</v>
      </c>
      <c r="R21" s="25" t="str">
        <f t="shared" si="0"/>
        <v>Commercial-Commercial</v>
      </c>
      <c r="S21" s="58"/>
      <c r="T21" s="58">
        <v>0.1</v>
      </c>
      <c r="U21" s="43"/>
      <c r="V21" s="43"/>
      <c r="W21" s="58"/>
      <c r="X21" s="58"/>
      <c r="Y21" s="59" t="s">
        <v>156</v>
      </c>
      <c r="Z21" s="60">
        <v>0</v>
      </c>
      <c r="AA21" s="25"/>
      <c r="AB21" s="25"/>
    </row>
    <row r="22" spans="2:28">
      <c r="B22" s="40">
        <v>0.38472222222222219</v>
      </c>
      <c r="C22" s="40" t="s">
        <v>408</v>
      </c>
      <c r="D22" s="41">
        <v>2</v>
      </c>
      <c r="E22" s="42">
        <v>2</v>
      </c>
      <c r="F22" s="42" t="s">
        <v>394</v>
      </c>
      <c r="G22" s="43" t="s">
        <v>154</v>
      </c>
      <c r="H22" s="42" t="s">
        <v>155</v>
      </c>
      <c r="I22" s="43">
        <v>1</v>
      </c>
      <c r="J22" s="43">
        <v>1</v>
      </c>
      <c r="K22" s="25" t="str">
        <f>VLOOKUP(J22,Key!$E$2:$F$9,2,FALSE)</f>
        <v>Home</v>
      </c>
      <c r="L22" s="42" t="s">
        <v>146</v>
      </c>
      <c r="M22" s="43" t="s">
        <v>154</v>
      </c>
      <c r="N22" s="42" t="s">
        <v>155</v>
      </c>
      <c r="O22" s="43">
        <v>11</v>
      </c>
      <c r="P22" s="43">
        <v>2</v>
      </c>
      <c r="Q22" s="25" t="str">
        <f>VLOOKUP(P22,Key!$E$2:$F$9,2,FALSE)</f>
        <v>Work</v>
      </c>
      <c r="R22" s="25" t="str">
        <f t="shared" si="0"/>
        <v>Home-Work</v>
      </c>
      <c r="S22" s="58"/>
      <c r="T22" s="58">
        <v>0.1</v>
      </c>
      <c r="U22" s="43"/>
      <c r="V22" s="43"/>
      <c r="W22" s="58"/>
      <c r="X22" s="58"/>
      <c r="Y22" s="59" t="s">
        <v>156</v>
      </c>
      <c r="Z22" s="60">
        <v>0</v>
      </c>
      <c r="AA22" s="25"/>
      <c r="AB22" s="25"/>
    </row>
    <row r="23" spans="2:28">
      <c r="B23" s="40">
        <v>0.38750000000000001</v>
      </c>
      <c r="C23" s="40" t="s">
        <v>409</v>
      </c>
      <c r="D23" s="41">
        <v>1</v>
      </c>
      <c r="E23" s="42">
        <v>2</v>
      </c>
      <c r="F23" s="42" t="s">
        <v>168</v>
      </c>
      <c r="G23" s="43" t="s">
        <v>154</v>
      </c>
      <c r="H23" s="42" t="s">
        <v>155</v>
      </c>
      <c r="I23" s="43">
        <v>1</v>
      </c>
      <c r="J23" s="43">
        <v>1</v>
      </c>
      <c r="K23" s="25" t="str">
        <f>VLOOKUP(J23,Key!$E$2:$F$9,2,FALSE)</f>
        <v>Home</v>
      </c>
      <c r="L23" s="42" t="s">
        <v>146</v>
      </c>
      <c r="M23" s="43" t="s">
        <v>154</v>
      </c>
      <c r="N23" s="42" t="s">
        <v>155</v>
      </c>
      <c r="O23" s="43">
        <v>4</v>
      </c>
      <c r="P23" s="43">
        <v>2</v>
      </c>
      <c r="Q23" s="25" t="str">
        <f>VLOOKUP(P23,Key!$E$2:$F$9,2,FALSE)</f>
        <v>Work</v>
      </c>
      <c r="R23" s="25" t="str">
        <f t="shared" si="0"/>
        <v>Home-Work</v>
      </c>
      <c r="S23" s="58"/>
      <c r="T23" s="58">
        <v>0.1</v>
      </c>
      <c r="U23" s="43">
        <v>2</v>
      </c>
      <c r="V23" s="43"/>
      <c r="W23" s="58"/>
      <c r="X23" s="58"/>
      <c r="Y23" s="59" t="s">
        <v>156</v>
      </c>
      <c r="Z23" s="60">
        <v>2000</v>
      </c>
      <c r="AA23" s="25"/>
      <c r="AB23" s="25"/>
    </row>
    <row r="24" spans="2:28">
      <c r="B24" s="40">
        <v>0.38958333333333334</v>
      </c>
      <c r="C24" s="40" t="s">
        <v>410</v>
      </c>
      <c r="D24" s="41">
        <v>1</v>
      </c>
      <c r="E24" s="42">
        <v>2</v>
      </c>
      <c r="F24" s="42" t="s">
        <v>168</v>
      </c>
      <c r="G24" s="43" t="s">
        <v>154</v>
      </c>
      <c r="H24" s="42" t="s">
        <v>155</v>
      </c>
      <c r="I24" s="43">
        <v>1</v>
      </c>
      <c r="J24" s="43">
        <v>1</v>
      </c>
      <c r="K24" s="25" t="str">
        <f>VLOOKUP(J24,Key!$E$2:$F$9,2,FALSE)</f>
        <v>Home</v>
      </c>
      <c r="L24" s="42" t="s">
        <v>146</v>
      </c>
      <c r="M24" s="43" t="s">
        <v>154</v>
      </c>
      <c r="N24" s="42" t="s">
        <v>155</v>
      </c>
      <c r="O24" s="43">
        <v>11</v>
      </c>
      <c r="P24" s="43">
        <v>6</v>
      </c>
      <c r="Q24" s="25" t="str">
        <f>VLOOKUP(P24,Key!$E$2:$F$9,2,FALSE)</f>
        <v>Leisure/Social</v>
      </c>
      <c r="R24" s="25" t="str">
        <f t="shared" si="0"/>
        <v>Home-Leisure/Social</v>
      </c>
      <c r="S24" s="58"/>
      <c r="T24" s="58">
        <v>0.1</v>
      </c>
      <c r="U24" s="43">
        <v>6</v>
      </c>
      <c r="V24" s="43"/>
      <c r="W24" s="58"/>
      <c r="X24" s="58"/>
      <c r="Y24" s="59" t="s">
        <v>156</v>
      </c>
      <c r="Z24" s="60">
        <v>0</v>
      </c>
      <c r="AA24" s="25"/>
      <c r="AB24" s="25"/>
    </row>
    <row r="25" spans="2:28">
      <c r="B25" s="40">
        <v>0.3923611111111111</v>
      </c>
      <c r="C25" s="40" t="s">
        <v>411</v>
      </c>
      <c r="D25" s="41">
        <v>1</v>
      </c>
      <c r="E25" s="42">
        <v>1</v>
      </c>
      <c r="F25" s="42" t="s">
        <v>245</v>
      </c>
      <c r="G25" s="43" t="s">
        <v>154</v>
      </c>
      <c r="H25" s="42" t="s">
        <v>155</v>
      </c>
      <c r="I25" s="43">
        <v>1</v>
      </c>
      <c r="J25" s="43">
        <v>1</v>
      </c>
      <c r="K25" s="25" t="str">
        <f>VLOOKUP(J25,Key!$E$2:$F$9,2,FALSE)</f>
        <v>Home</v>
      </c>
      <c r="L25" s="42" t="s">
        <v>836</v>
      </c>
      <c r="M25" s="43" t="s">
        <v>836</v>
      </c>
      <c r="N25" s="42" t="s">
        <v>155</v>
      </c>
      <c r="O25" s="43">
        <v>2</v>
      </c>
      <c r="P25" s="43">
        <v>2</v>
      </c>
      <c r="Q25" s="25" t="str">
        <f>VLOOKUP(P25,Key!$E$2:$F$9,2,FALSE)</f>
        <v>Work</v>
      </c>
      <c r="R25" s="25" t="str">
        <f t="shared" si="0"/>
        <v>Home-Work</v>
      </c>
      <c r="S25" s="58">
        <v>18</v>
      </c>
      <c r="T25" s="58">
        <v>1</v>
      </c>
      <c r="U25" s="43">
        <v>2</v>
      </c>
      <c r="V25" s="43"/>
      <c r="W25" s="58"/>
      <c r="X25" s="58"/>
      <c r="Y25" s="59" t="s">
        <v>156</v>
      </c>
      <c r="Z25" s="60">
        <v>0</v>
      </c>
      <c r="AA25" s="25"/>
      <c r="AB25" s="25"/>
    </row>
    <row r="26" spans="2:28">
      <c r="B26" s="40">
        <v>0.39444444444444443</v>
      </c>
      <c r="C26" s="40" t="s">
        <v>412</v>
      </c>
      <c r="D26" s="41">
        <v>1</v>
      </c>
      <c r="E26" s="42">
        <v>1</v>
      </c>
      <c r="F26" s="42" t="s">
        <v>168</v>
      </c>
      <c r="G26" s="43" t="s">
        <v>154</v>
      </c>
      <c r="H26" s="42" t="s">
        <v>155</v>
      </c>
      <c r="I26" s="43">
        <v>4</v>
      </c>
      <c r="J26" s="43">
        <v>6</v>
      </c>
      <c r="K26" s="25" t="str">
        <f>VLOOKUP(J26,Key!$E$2:$F$9,2,FALSE)</f>
        <v>Leisure/Social</v>
      </c>
      <c r="L26" s="42" t="s">
        <v>413</v>
      </c>
      <c r="M26" s="43" t="s">
        <v>836</v>
      </c>
      <c r="N26" s="42" t="s">
        <v>155</v>
      </c>
      <c r="O26" s="43">
        <v>11</v>
      </c>
      <c r="P26" s="43">
        <v>4</v>
      </c>
      <c r="Q26" s="25" t="str">
        <f>VLOOKUP(P26,Key!$E$2:$F$9,2,FALSE)</f>
        <v>Commercial</v>
      </c>
      <c r="R26" s="25" t="str">
        <f t="shared" si="0"/>
        <v>Leisure/Social-Commercial</v>
      </c>
      <c r="S26" s="58"/>
      <c r="T26" s="58">
        <v>0.5</v>
      </c>
      <c r="U26" s="43">
        <v>6</v>
      </c>
      <c r="V26" s="43"/>
      <c r="W26" s="58"/>
      <c r="X26" s="58"/>
      <c r="Y26" s="59" t="s">
        <v>156</v>
      </c>
      <c r="Z26" s="60">
        <v>2000</v>
      </c>
      <c r="AA26" s="25"/>
      <c r="AB26" s="25"/>
    </row>
    <row r="27" spans="2:28">
      <c r="B27" s="40">
        <v>0.3972222222222222</v>
      </c>
      <c r="C27" s="40" t="s">
        <v>414</v>
      </c>
      <c r="D27" s="41">
        <v>1</v>
      </c>
      <c r="E27" s="42">
        <v>4</v>
      </c>
      <c r="F27" s="42" t="s">
        <v>168</v>
      </c>
      <c r="G27" s="43" t="s">
        <v>154</v>
      </c>
      <c r="H27" s="42" t="s">
        <v>155</v>
      </c>
      <c r="I27" s="43">
        <v>1</v>
      </c>
      <c r="J27" s="43">
        <v>1</v>
      </c>
      <c r="K27" s="25" t="str">
        <f>VLOOKUP(J27,Key!$E$2:$F$9,2,FALSE)</f>
        <v>Home</v>
      </c>
      <c r="L27" s="42" t="s">
        <v>836</v>
      </c>
      <c r="M27" s="43" t="s">
        <v>836</v>
      </c>
      <c r="N27" s="42" t="s">
        <v>155</v>
      </c>
      <c r="O27" s="43">
        <v>11</v>
      </c>
      <c r="P27" s="43">
        <v>2</v>
      </c>
      <c r="Q27" s="25" t="str">
        <f>VLOOKUP(P27,Key!$E$2:$F$9,2,FALSE)</f>
        <v>Work</v>
      </c>
      <c r="R27" s="25" t="str">
        <f t="shared" si="0"/>
        <v>Home-Work</v>
      </c>
      <c r="S27" s="58">
        <v>16</v>
      </c>
      <c r="T27" s="58">
        <v>1</v>
      </c>
      <c r="U27" s="43">
        <v>2</v>
      </c>
      <c r="V27" s="43"/>
      <c r="W27" s="58"/>
      <c r="X27" s="58"/>
      <c r="Y27" s="59" t="s">
        <v>156</v>
      </c>
      <c r="Z27" s="60">
        <v>2000</v>
      </c>
      <c r="AA27" s="25"/>
      <c r="AB27" s="25"/>
    </row>
    <row r="28" spans="2:28">
      <c r="B28" s="40">
        <v>0.39999999999999997</v>
      </c>
      <c r="C28" s="40" t="s">
        <v>415</v>
      </c>
      <c r="D28" s="41">
        <v>1</v>
      </c>
      <c r="E28" s="42">
        <v>1</v>
      </c>
      <c r="F28" s="42" t="s">
        <v>168</v>
      </c>
      <c r="G28" s="43" t="s">
        <v>154</v>
      </c>
      <c r="H28" s="42" t="s">
        <v>155</v>
      </c>
      <c r="I28" s="43">
        <v>4</v>
      </c>
      <c r="J28" s="43">
        <v>2</v>
      </c>
      <c r="K28" s="25" t="str">
        <f>VLOOKUP(J28,Key!$E$2:$F$9,2,FALSE)</f>
        <v>Work</v>
      </c>
      <c r="L28" s="42" t="s">
        <v>146</v>
      </c>
      <c r="M28" s="43" t="s">
        <v>154</v>
      </c>
      <c r="N28" s="42" t="s">
        <v>155</v>
      </c>
      <c r="O28" s="43">
        <v>11</v>
      </c>
      <c r="P28" s="43">
        <v>6</v>
      </c>
      <c r="Q28" s="25" t="str">
        <f>VLOOKUP(P28,Key!$E$2:$F$9,2,FALSE)</f>
        <v>Leisure/Social</v>
      </c>
      <c r="R28" s="25" t="str">
        <f t="shared" si="0"/>
        <v>Work-Leisure/Social</v>
      </c>
      <c r="S28" s="58"/>
      <c r="T28" s="58">
        <v>0.1</v>
      </c>
      <c r="U28" s="43">
        <v>6</v>
      </c>
      <c r="V28" s="43"/>
      <c r="W28" s="58"/>
      <c r="X28" s="58"/>
      <c r="Y28" s="59" t="s">
        <v>156</v>
      </c>
      <c r="Z28" s="60">
        <v>0</v>
      </c>
      <c r="AA28" s="25"/>
      <c r="AB28" s="25"/>
    </row>
    <row r="29" spans="2:28">
      <c r="B29" s="40">
        <v>0.40208333333333335</v>
      </c>
      <c r="C29" s="40" t="s">
        <v>416</v>
      </c>
      <c r="D29" s="41">
        <v>1</v>
      </c>
      <c r="E29" s="42">
        <v>1</v>
      </c>
      <c r="F29" s="42" t="s">
        <v>404</v>
      </c>
      <c r="G29" s="43" t="s">
        <v>154</v>
      </c>
      <c r="H29" s="42" t="s">
        <v>155</v>
      </c>
      <c r="I29" s="43">
        <v>1</v>
      </c>
      <c r="J29" s="43">
        <v>1</v>
      </c>
      <c r="K29" s="25" t="str">
        <f>VLOOKUP(J29,Key!$E$2:$F$9,2,FALSE)</f>
        <v>Home</v>
      </c>
      <c r="L29" s="42" t="s">
        <v>417</v>
      </c>
      <c r="M29" s="43" t="s">
        <v>836</v>
      </c>
      <c r="N29" s="42" t="s">
        <v>155</v>
      </c>
      <c r="O29" s="43">
        <v>16</v>
      </c>
      <c r="P29" s="43">
        <v>6</v>
      </c>
      <c r="Q29" s="25" t="str">
        <f>VLOOKUP(P29,Key!$E$2:$F$9,2,FALSE)</f>
        <v>Leisure/Social</v>
      </c>
      <c r="R29" s="25" t="str">
        <f t="shared" si="0"/>
        <v>Home-Leisure/Social</v>
      </c>
      <c r="S29" s="58"/>
      <c r="T29" s="58">
        <v>1</v>
      </c>
      <c r="U29" s="43">
        <v>6</v>
      </c>
      <c r="V29" s="43"/>
      <c r="W29" s="58"/>
      <c r="X29" s="58"/>
      <c r="Y29" s="59" t="s">
        <v>156</v>
      </c>
      <c r="Z29" s="60">
        <v>5000</v>
      </c>
      <c r="AA29" s="25"/>
      <c r="AB29" s="25"/>
    </row>
    <row r="30" spans="2:28">
      <c r="B30" s="40">
        <v>0.4055555555555555</v>
      </c>
      <c r="C30" s="40" t="s">
        <v>418</v>
      </c>
      <c r="D30" s="41">
        <v>1</v>
      </c>
      <c r="E30" s="42">
        <v>1</v>
      </c>
      <c r="F30" s="42" t="s">
        <v>419</v>
      </c>
      <c r="G30" s="43" t="s">
        <v>154</v>
      </c>
      <c r="H30" s="42" t="s">
        <v>155</v>
      </c>
      <c r="I30" s="43">
        <v>1</v>
      </c>
      <c r="J30" s="43">
        <v>1</v>
      </c>
      <c r="K30" s="25" t="str">
        <f>VLOOKUP(J30,Key!$E$2:$F$9,2,FALSE)</f>
        <v>Home</v>
      </c>
      <c r="L30" s="42" t="s">
        <v>420</v>
      </c>
      <c r="M30" s="43" t="s">
        <v>836</v>
      </c>
      <c r="N30" s="42" t="s">
        <v>155</v>
      </c>
      <c r="O30" s="43">
        <v>5</v>
      </c>
      <c r="P30" s="43">
        <v>2</v>
      </c>
      <c r="Q30" s="25" t="str">
        <f>VLOOKUP(P30,Key!$E$2:$F$9,2,FALSE)</f>
        <v>Work</v>
      </c>
      <c r="R30" s="25" t="str">
        <f t="shared" si="0"/>
        <v>Home-Work</v>
      </c>
      <c r="S30" s="58"/>
      <c r="T30" s="58">
        <v>1</v>
      </c>
      <c r="U30" s="43">
        <v>2</v>
      </c>
      <c r="V30" s="43"/>
      <c r="W30" s="58"/>
      <c r="X30" s="58"/>
      <c r="Y30" s="59" t="s">
        <v>156</v>
      </c>
      <c r="Z30" s="60">
        <v>2000</v>
      </c>
      <c r="AA30" s="25"/>
      <c r="AB30" s="25"/>
    </row>
    <row r="31" spans="2:28">
      <c r="B31" s="40">
        <v>0.41041666666666665</v>
      </c>
      <c r="C31" s="40" t="s">
        <v>421</v>
      </c>
      <c r="D31" s="41">
        <v>1</v>
      </c>
      <c r="E31" s="42">
        <v>3</v>
      </c>
      <c r="F31" s="42" t="s">
        <v>168</v>
      </c>
      <c r="G31" s="43" t="s">
        <v>154</v>
      </c>
      <c r="H31" s="42" t="s">
        <v>155</v>
      </c>
      <c r="I31" s="43">
        <v>4</v>
      </c>
      <c r="J31" s="43">
        <v>2</v>
      </c>
      <c r="K31" s="25" t="str">
        <f>VLOOKUP(J31,Key!$E$2:$F$9,2,FALSE)</f>
        <v>Work</v>
      </c>
      <c r="L31" s="42" t="s">
        <v>146</v>
      </c>
      <c r="M31" s="43" t="s">
        <v>154</v>
      </c>
      <c r="N31" s="42" t="s">
        <v>155</v>
      </c>
      <c r="O31" s="43">
        <v>11</v>
      </c>
      <c r="P31" s="43">
        <v>6</v>
      </c>
      <c r="Q31" s="25" t="str">
        <f>VLOOKUP(P31,Key!$E$2:$F$9,2,FALSE)</f>
        <v>Leisure/Social</v>
      </c>
      <c r="R31" s="25" t="str">
        <f t="shared" si="0"/>
        <v>Work-Leisure/Social</v>
      </c>
      <c r="S31" s="58"/>
      <c r="T31" s="58">
        <v>0.1</v>
      </c>
      <c r="U31" s="43">
        <v>3</v>
      </c>
      <c r="V31" s="43"/>
      <c r="W31" s="58"/>
      <c r="X31" s="58"/>
      <c r="Y31" s="59" t="s">
        <v>156</v>
      </c>
      <c r="Z31" s="60">
        <v>10000</v>
      </c>
      <c r="AA31" s="25"/>
      <c r="AB31" s="25"/>
    </row>
    <row r="32" spans="2:28">
      <c r="B32" s="40">
        <v>0.41319444444444442</v>
      </c>
      <c r="C32" s="40" t="s">
        <v>422</v>
      </c>
      <c r="D32" s="41">
        <v>3</v>
      </c>
      <c r="E32" s="42">
        <v>1</v>
      </c>
      <c r="F32" s="42" t="s">
        <v>168</v>
      </c>
      <c r="G32" s="43" t="s">
        <v>154</v>
      </c>
      <c r="H32" s="42" t="s">
        <v>155</v>
      </c>
      <c r="I32" s="43">
        <v>9</v>
      </c>
      <c r="J32" s="43">
        <v>1</v>
      </c>
      <c r="K32" s="25" t="str">
        <f>VLOOKUP(J32,Key!$E$2:$F$9,2,FALSE)</f>
        <v>Home</v>
      </c>
      <c r="L32" s="42" t="s">
        <v>146</v>
      </c>
      <c r="M32" s="43" t="s">
        <v>154</v>
      </c>
      <c r="N32" s="42" t="s">
        <v>155</v>
      </c>
      <c r="O32" s="43">
        <v>9</v>
      </c>
      <c r="P32" s="43">
        <v>4</v>
      </c>
      <c r="Q32" s="25" t="str">
        <f>VLOOKUP(P32,Key!$E$2:$F$9,2,FALSE)</f>
        <v>Commercial</v>
      </c>
      <c r="R32" s="25" t="str">
        <f t="shared" si="0"/>
        <v>Home-Commercial</v>
      </c>
      <c r="S32" s="58">
        <v>1</v>
      </c>
      <c r="T32" s="58">
        <v>0.5</v>
      </c>
      <c r="U32" s="43">
        <v>2</v>
      </c>
      <c r="V32" s="43"/>
      <c r="W32" s="58"/>
      <c r="X32" s="58"/>
      <c r="Y32" s="59" t="s">
        <v>156</v>
      </c>
      <c r="Z32" s="60">
        <v>4000</v>
      </c>
      <c r="AA32" s="25"/>
      <c r="AB32" s="25"/>
    </row>
    <row r="33" spans="2:28">
      <c r="B33" s="40">
        <v>0.41944444444444445</v>
      </c>
      <c r="C33" s="40" t="s">
        <v>423</v>
      </c>
      <c r="D33" s="41">
        <v>1</v>
      </c>
      <c r="E33" s="42">
        <v>2</v>
      </c>
      <c r="F33" s="42" t="s">
        <v>147</v>
      </c>
      <c r="G33" s="43" t="s">
        <v>154</v>
      </c>
      <c r="H33" s="42" t="s">
        <v>155</v>
      </c>
      <c r="I33" s="43">
        <v>1</v>
      </c>
      <c r="J33" s="43">
        <v>1</v>
      </c>
      <c r="K33" s="25" t="str">
        <f>VLOOKUP(J33,Key!$E$2:$F$9,2,FALSE)</f>
        <v>Home</v>
      </c>
      <c r="L33" s="42" t="s">
        <v>146</v>
      </c>
      <c r="M33" s="43" t="s">
        <v>154</v>
      </c>
      <c r="N33" s="42" t="s">
        <v>155</v>
      </c>
      <c r="O33" s="43">
        <v>16</v>
      </c>
      <c r="P33" s="43">
        <v>3</v>
      </c>
      <c r="Q33" s="25" t="str">
        <f>VLOOKUP(P33,Key!$E$2:$F$9,2,FALSE)</f>
        <v>Study</v>
      </c>
      <c r="R33" s="25" t="str">
        <f t="shared" si="0"/>
        <v>Home-Study</v>
      </c>
      <c r="S33" s="58"/>
      <c r="T33" s="58">
        <v>0.4</v>
      </c>
      <c r="U33" s="43">
        <v>3</v>
      </c>
      <c r="V33" s="43"/>
      <c r="W33" s="58"/>
      <c r="X33" s="58"/>
      <c r="Y33" s="59" t="s">
        <v>156</v>
      </c>
      <c r="Z33" s="60">
        <v>2000</v>
      </c>
      <c r="AA33" s="25"/>
      <c r="AB33" s="25"/>
    </row>
    <row r="34" spans="2:28">
      <c r="B34" s="40">
        <v>0.42291666666666666</v>
      </c>
      <c r="C34" s="40" t="s">
        <v>424</v>
      </c>
      <c r="D34" s="41">
        <v>1</v>
      </c>
      <c r="E34" s="42">
        <v>3</v>
      </c>
      <c r="F34" s="42" t="s">
        <v>168</v>
      </c>
      <c r="G34" s="43" t="s">
        <v>154</v>
      </c>
      <c r="H34" s="42" t="s">
        <v>155</v>
      </c>
      <c r="I34" s="43">
        <v>1</v>
      </c>
      <c r="J34" s="43">
        <v>1</v>
      </c>
      <c r="K34" s="25" t="str">
        <f>VLOOKUP(J34,Key!$E$2:$F$9,2,FALSE)</f>
        <v>Home</v>
      </c>
      <c r="L34" s="42" t="s">
        <v>262</v>
      </c>
      <c r="M34" s="43" t="s">
        <v>262</v>
      </c>
      <c r="N34" s="42" t="s">
        <v>155</v>
      </c>
      <c r="O34" s="43">
        <v>16</v>
      </c>
      <c r="P34" s="43">
        <v>6</v>
      </c>
      <c r="Q34" s="25" t="str">
        <f>VLOOKUP(P34,Key!$E$2:$F$9,2,FALSE)</f>
        <v>Leisure/Social</v>
      </c>
      <c r="R34" s="25" t="str">
        <f t="shared" si="0"/>
        <v>Home-Leisure/Social</v>
      </c>
      <c r="S34" s="58"/>
      <c r="T34" s="58">
        <v>3</v>
      </c>
      <c r="U34" s="43">
        <v>6</v>
      </c>
      <c r="V34" s="43"/>
      <c r="W34" s="58"/>
      <c r="X34" s="58"/>
      <c r="Y34" s="59" t="s">
        <v>156</v>
      </c>
      <c r="Z34" s="60">
        <v>3000</v>
      </c>
      <c r="AA34" s="25"/>
      <c r="AB34" s="25"/>
    </row>
    <row r="35" spans="2:28">
      <c r="B35" s="40">
        <v>0.42638888888888887</v>
      </c>
      <c r="C35" s="40" t="s">
        <v>425</v>
      </c>
      <c r="D35" s="41">
        <v>1</v>
      </c>
      <c r="E35" s="42">
        <v>1</v>
      </c>
      <c r="F35" s="42" t="s">
        <v>394</v>
      </c>
      <c r="G35" s="43" t="s">
        <v>154</v>
      </c>
      <c r="H35" s="42" t="s">
        <v>155</v>
      </c>
      <c r="I35" s="43">
        <v>1</v>
      </c>
      <c r="J35" s="43">
        <v>1</v>
      </c>
      <c r="K35" s="25" t="str">
        <f>VLOOKUP(J35,Key!$E$2:$F$9,2,FALSE)</f>
        <v>Home</v>
      </c>
      <c r="L35" s="42" t="s">
        <v>394</v>
      </c>
      <c r="M35" s="43" t="s">
        <v>154</v>
      </c>
      <c r="N35" s="42" t="s">
        <v>155</v>
      </c>
      <c r="O35" s="43">
        <v>2</v>
      </c>
      <c r="P35" s="43">
        <v>2</v>
      </c>
      <c r="Q35" s="25" t="str">
        <f>VLOOKUP(P35,Key!$E$2:$F$9,2,FALSE)</f>
        <v>Work</v>
      </c>
      <c r="R35" s="25" t="str">
        <f t="shared" si="0"/>
        <v>Home-Work</v>
      </c>
      <c r="S35" s="58"/>
      <c r="T35" s="58">
        <v>0.1</v>
      </c>
      <c r="U35" s="43">
        <v>2</v>
      </c>
      <c r="V35" s="43"/>
      <c r="W35" s="58"/>
      <c r="X35" s="58"/>
      <c r="Y35" s="59" t="s">
        <v>156</v>
      </c>
      <c r="Z35" s="60">
        <v>3000</v>
      </c>
      <c r="AA35" s="25"/>
      <c r="AB35" s="25"/>
    </row>
    <row r="36" spans="2:28">
      <c r="B36" s="40">
        <v>0.4291666666666667</v>
      </c>
      <c r="C36" s="40" t="s">
        <v>426</v>
      </c>
      <c r="D36" s="41">
        <v>1</v>
      </c>
      <c r="E36" s="42">
        <v>2</v>
      </c>
      <c r="F36" s="42" t="s">
        <v>404</v>
      </c>
      <c r="G36" s="43" t="s">
        <v>154</v>
      </c>
      <c r="H36" s="42" t="s">
        <v>155</v>
      </c>
      <c r="I36" s="43">
        <v>1</v>
      </c>
      <c r="J36" s="43">
        <v>1</v>
      </c>
      <c r="K36" s="25" t="str">
        <f>VLOOKUP(J36,Key!$E$2:$F$9,2,FALSE)</f>
        <v>Home</v>
      </c>
      <c r="L36" s="42" t="s">
        <v>217</v>
      </c>
      <c r="M36" s="43" t="s">
        <v>836</v>
      </c>
      <c r="N36" s="42" t="s">
        <v>155</v>
      </c>
      <c r="O36" s="43">
        <v>4</v>
      </c>
      <c r="P36" s="43">
        <v>2</v>
      </c>
      <c r="Q36" s="25" t="str">
        <f>VLOOKUP(P36,Key!$E$2:$F$9,2,FALSE)</f>
        <v>Work</v>
      </c>
      <c r="R36" s="25" t="str">
        <f t="shared" si="0"/>
        <v>Home-Work</v>
      </c>
      <c r="S36" s="58">
        <v>25</v>
      </c>
      <c r="T36" s="58">
        <v>0.7</v>
      </c>
      <c r="U36" s="43">
        <v>2</v>
      </c>
      <c r="V36" s="43"/>
      <c r="W36" s="58"/>
      <c r="X36" s="58"/>
      <c r="Y36" s="59" t="s">
        <v>156</v>
      </c>
      <c r="Z36" s="60">
        <v>1000</v>
      </c>
      <c r="AA36" s="25"/>
      <c r="AB36" s="25"/>
    </row>
    <row r="37" spans="2:28">
      <c r="B37" s="40">
        <v>0.43888888888888888</v>
      </c>
      <c r="C37" s="40" t="s">
        <v>427</v>
      </c>
      <c r="D37" s="41">
        <v>7</v>
      </c>
      <c r="E37" s="42">
        <v>1</v>
      </c>
      <c r="F37" s="42" t="s">
        <v>404</v>
      </c>
      <c r="G37" s="43" t="s">
        <v>154</v>
      </c>
      <c r="H37" s="42" t="s">
        <v>155</v>
      </c>
      <c r="I37" s="43">
        <v>9</v>
      </c>
      <c r="J37" s="43">
        <v>1</v>
      </c>
      <c r="K37" s="25" t="str">
        <f>VLOOKUP(J37,Key!$E$2:$F$9,2,FALSE)</f>
        <v>Home</v>
      </c>
      <c r="L37" s="42" t="s">
        <v>837</v>
      </c>
      <c r="M37" s="43" t="s">
        <v>154</v>
      </c>
      <c r="N37" s="42" t="s">
        <v>155</v>
      </c>
      <c r="O37" s="43">
        <v>6</v>
      </c>
      <c r="P37" s="43">
        <v>2</v>
      </c>
      <c r="Q37" s="25" t="str">
        <f>VLOOKUP(P37,Key!$E$2:$F$9,2,FALSE)</f>
        <v>Work</v>
      </c>
      <c r="R37" s="25" t="str">
        <f t="shared" si="0"/>
        <v>Home-Work</v>
      </c>
      <c r="S37" s="58">
        <v>8</v>
      </c>
      <c r="T37" s="58">
        <v>0.2</v>
      </c>
      <c r="U37" s="58">
        <v>6</v>
      </c>
      <c r="V37" s="43"/>
      <c r="W37" s="58"/>
      <c r="X37" s="58"/>
      <c r="Y37" s="59" t="s">
        <v>156</v>
      </c>
      <c r="Z37" s="60">
        <v>3000</v>
      </c>
      <c r="AA37" s="25"/>
      <c r="AB37" s="25"/>
    </row>
    <row r="38" spans="2:28">
      <c r="B38" s="40">
        <v>0.43472222222222223</v>
      </c>
      <c r="C38" s="40" t="s">
        <v>428</v>
      </c>
      <c r="D38" s="44">
        <v>4</v>
      </c>
      <c r="E38" s="42">
        <v>10</v>
      </c>
      <c r="F38" s="42" t="s">
        <v>154</v>
      </c>
      <c r="G38" s="43" t="s">
        <v>154</v>
      </c>
      <c r="H38" s="42" t="s">
        <v>155</v>
      </c>
      <c r="I38" s="43">
        <v>6</v>
      </c>
      <c r="J38" s="43">
        <v>2</v>
      </c>
      <c r="K38" s="25" t="str">
        <f>VLOOKUP(J38,Key!$E$2:$F$9,2,FALSE)</f>
        <v>Work</v>
      </c>
      <c r="L38" s="42" t="s">
        <v>146</v>
      </c>
      <c r="M38" s="43" t="s">
        <v>154</v>
      </c>
      <c r="N38" s="42" t="s">
        <v>155</v>
      </c>
      <c r="O38" s="43">
        <v>6</v>
      </c>
      <c r="P38" s="43">
        <v>2</v>
      </c>
      <c r="Q38" s="25" t="str">
        <f>VLOOKUP(P38,Key!$E$2:$F$9,2,FALSE)</f>
        <v>Work</v>
      </c>
      <c r="R38" s="25" t="str">
        <f t="shared" ref="R38:R101" si="1">K38&amp;"-"&amp;Q38</f>
        <v>Work-Work</v>
      </c>
      <c r="S38" s="58"/>
      <c r="T38" s="58">
        <v>0.5</v>
      </c>
      <c r="U38" s="58">
        <v>1</v>
      </c>
      <c r="V38" s="56"/>
      <c r="W38" s="56"/>
      <c r="X38" s="56"/>
      <c r="Y38" s="59" t="s">
        <v>156</v>
      </c>
      <c r="Z38" s="60">
        <v>0</v>
      </c>
      <c r="AA38" s="25"/>
      <c r="AB38" s="25"/>
    </row>
    <row r="39" spans="2:28">
      <c r="B39" s="40">
        <v>0.43263888888888885</v>
      </c>
      <c r="C39" s="40" t="s">
        <v>427</v>
      </c>
      <c r="D39" s="45">
        <v>7</v>
      </c>
      <c r="E39" s="42">
        <v>1</v>
      </c>
      <c r="F39" s="42" t="s">
        <v>404</v>
      </c>
      <c r="G39" s="43" t="s">
        <v>154</v>
      </c>
      <c r="H39" s="42" t="s">
        <v>155</v>
      </c>
      <c r="I39" s="43">
        <v>9</v>
      </c>
      <c r="J39" s="43">
        <v>1</v>
      </c>
      <c r="K39" s="25" t="str">
        <f>VLOOKUP(J39,Key!$E$2:$F$9,2,FALSE)</f>
        <v>Home</v>
      </c>
      <c r="L39" s="42" t="s">
        <v>837</v>
      </c>
      <c r="M39" s="43" t="s">
        <v>154</v>
      </c>
      <c r="N39" s="42" t="s">
        <v>155</v>
      </c>
      <c r="O39" s="43">
        <v>6</v>
      </c>
      <c r="P39" s="43">
        <v>2</v>
      </c>
      <c r="Q39" s="25" t="str">
        <f>VLOOKUP(P39,Key!$E$2:$F$9,2,FALSE)</f>
        <v>Work</v>
      </c>
      <c r="R39" s="25" t="str">
        <f t="shared" si="1"/>
        <v>Home-Work</v>
      </c>
      <c r="S39" s="58">
        <v>8</v>
      </c>
      <c r="T39" s="58">
        <v>0.2</v>
      </c>
      <c r="U39" s="58">
        <v>6</v>
      </c>
      <c r="V39" s="56"/>
      <c r="W39" s="56"/>
      <c r="X39" s="56"/>
      <c r="Y39" s="59" t="s">
        <v>156</v>
      </c>
      <c r="Z39" s="60">
        <v>3000</v>
      </c>
      <c r="AA39" s="25"/>
      <c r="AB39" s="25"/>
    </row>
    <row r="40" spans="2:28">
      <c r="B40" s="40">
        <v>0.43958333333333338</v>
      </c>
      <c r="C40" s="40" t="s">
        <v>429</v>
      </c>
      <c r="D40" s="45">
        <v>2</v>
      </c>
      <c r="E40" s="42">
        <v>1</v>
      </c>
      <c r="F40" s="42" t="s">
        <v>147</v>
      </c>
      <c r="G40" s="43" t="s">
        <v>154</v>
      </c>
      <c r="H40" s="42" t="s">
        <v>155</v>
      </c>
      <c r="I40" s="43">
        <v>1</v>
      </c>
      <c r="J40" s="43">
        <v>1</v>
      </c>
      <c r="K40" s="25" t="str">
        <f>VLOOKUP(J40,Key!$E$2:$F$9,2,FALSE)</f>
        <v>Home</v>
      </c>
      <c r="L40" s="42" t="s">
        <v>430</v>
      </c>
      <c r="M40" s="43" t="s">
        <v>163</v>
      </c>
      <c r="N40" s="42" t="s">
        <v>155</v>
      </c>
      <c r="O40" s="43">
        <v>9</v>
      </c>
      <c r="P40" s="43">
        <v>2</v>
      </c>
      <c r="Q40" s="25" t="str">
        <f>VLOOKUP(P40,Key!$E$2:$F$9,2,FALSE)</f>
        <v>Work</v>
      </c>
      <c r="R40" s="25" t="str">
        <f t="shared" si="1"/>
        <v>Home-Work</v>
      </c>
      <c r="S40" s="58"/>
      <c r="T40" s="58">
        <v>2</v>
      </c>
      <c r="U40" s="58">
        <v>3</v>
      </c>
      <c r="V40" s="56"/>
      <c r="W40" s="56"/>
      <c r="X40" s="56"/>
      <c r="Y40" s="59" t="s">
        <v>156</v>
      </c>
      <c r="Z40" s="60">
        <v>0</v>
      </c>
      <c r="AA40" s="25"/>
      <c r="AB40" s="25"/>
    </row>
    <row r="41" spans="2:28">
      <c r="B41" s="40">
        <v>0.44444444444444442</v>
      </c>
      <c r="C41" s="40" t="s">
        <v>431</v>
      </c>
      <c r="D41" s="44">
        <v>7</v>
      </c>
      <c r="E41" s="45">
        <v>3</v>
      </c>
      <c r="F41" s="42" t="s">
        <v>838</v>
      </c>
      <c r="G41" s="43" t="s">
        <v>154</v>
      </c>
      <c r="H41" s="42" t="s">
        <v>155</v>
      </c>
      <c r="I41" s="43">
        <v>11</v>
      </c>
      <c r="J41" s="43">
        <v>4</v>
      </c>
      <c r="K41" s="25" t="str">
        <f>VLOOKUP(J41,Key!$E$2:$F$9,2,FALSE)</f>
        <v>Commercial</v>
      </c>
      <c r="L41" s="42" t="s">
        <v>184</v>
      </c>
      <c r="M41" s="43" t="s">
        <v>154</v>
      </c>
      <c r="N41" s="42" t="s">
        <v>155</v>
      </c>
      <c r="O41" s="43">
        <v>11</v>
      </c>
      <c r="P41" s="43">
        <v>4</v>
      </c>
      <c r="Q41" s="25" t="str">
        <f>VLOOKUP(P41,Key!$E$2:$F$9,2,FALSE)</f>
        <v>Commercial</v>
      </c>
      <c r="R41" s="25" t="str">
        <f t="shared" si="1"/>
        <v>Commercial-Commercial</v>
      </c>
      <c r="S41" s="58"/>
      <c r="T41" s="58">
        <v>0.5</v>
      </c>
      <c r="U41" s="58">
        <v>1</v>
      </c>
      <c r="V41" s="56">
        <v>10</v>
      </c>
      <c r="W41" s="56"/>
      <c r="X41" s="56"/>
      <c r="Y41" s="59" t="s">
        <v>156</v>
      </c>
      <c r="Z41" s="60">
        <v>500</v>
      </c>
      <c r="AA41" s="25"/>
      <c r="AB41" s="25"/>
    </row>
    <row r="42" spans="2:28">
      <c r="B42" s="40">
        <v>0.44861111111111113</v>
      </c>
      <c r="C42" s="40" t="s">
        <v>432</v>
      </c>
      <c r="D42" s="44">
        <v>7</v>
      </c>
      <c r="E42" s="45">
        <v>2</v>
      </c>
      <c r="F42" s="42" t="s">
        <v>168</v>
      </c>
      <c r="G42" s="43" t="s">
        <v>154</v>
      </c>
      <c r="H42" s="42" t="s">
        <v>155</v>
      </c>
      <c r="I42" s="43">
        <v>1</v>
      </c>
      <c r="J42" s="43">
        <v>1</v>
      </c>
      <c r="K42" s="25" t="str">
        <f>VLOOKUP(J42,Key!$E$2:$F$9,2,FALSE)</f>
        <v>Home</v>
      </c>
      <c r="L42" s="42" t="s">
        <v>146</v>
      </c>
      <c r="M42" s="43" t="s">
        <v>154</v>
      </c>
      <c r="N42" s="42" t="s">
        <v>155</v>
      </c>
      <c r="O42" s="43">
        <v>6</v>
      </c>
      <c r="P42" s="43">
        <v>2</v>
      </c>
      <c r="Q42" s="25" t="str">
        <f>VLOOKUP(P42,Key!$E$2:$F$9,2,FALSE)</f>
        <v>Work</v>
      </c>
      <c r="R42" s="25" t="str">
        <f t="shared" si="1"/>
        <v>Home-Work</v>
      </c>
      <c r="S42" s="58"/>
      <c r="T42" s="58">
        <v>0.1</v>
      </c>
      <c r="U42" s="58">
        <v>2</v>
      </c>
      <c r="V42" s="56"/>
      <c r="W42" s="56"/>
      <c r="X42" s="56"/>
      <c r="Y42" s="59" t="s">
        <v>156</v>
      </c>
      <c r="Z42" s="60">
        <v>0</v>
      </c>
      <c r="AA42" s="25"/>
      <c r="AB42" s="25"/>
    </row>
    <row r="43" spans="2:28">
      <c r="B43" s="40">
        <v>0.45</v>
      </c>
      <c r="C43" s="40" t="s">
        <v>433</v>
      </c>
      <c r="D43" s="45">
        <v>1</v>
      </c>
      <c r="E43" s="45">
        <v>1</v>
      </c>
      <c r="F43" s="42" t="s">
        <v>154</v>
      </c>
      <c r="G43" s="43" t="s">
        <v>154</v>
      </c>
      <c r="H43" s="42" t="s">
        <v>155</v>
      </c>
      <c r="I43" s="43">
        <v>16</v>
      </c>
      <c r="J43" s="43">
        <v>1</v>
      </c>
      <c r="K43" s="25" t="str">
        <f>VLOOKUP(J43,Key!$E$2:$F$9,2,FALSE)</f>
        <v>Home</v>
      </c>
      <c r="L43" s="42" t="s">
        <v>268</v>
      </c>
      <c r="M43" s="43" t="s">
        <v>154</v>
      </c>
      <c r="N43" s="42" t="s">
        <v>155</v>
      </c>
      <c r="O43" s="43">
        <v>2</v>
      </c>
      <c r="P43" s="43">
        <v>2</v>
      </c>
      <c r="Q43" s="25" t="str">
        <f>VLOOKUP(P43,Key!$E$2:$F$9,2,FALSE)</f>
        <v>Work</v>
      </c>
      <c r="R43" s="25" t="str">
        <f t="shared" si="1"/>
        <v>Home-Work</v>
      </c>
      <c r="S43" s="58"/>
      <c r="T43" s="58">
        <v>0.5</v>
      </c>
      <c r="U43" s="58">
        <v>6</v>
      </c>
      <c r="V43" s="56"/>
      <c r="W43" s="56"/>
      <c r="X43" s="56"/>
      <c r="Y43" s="59" t="s">
        <v>156</v>
      </c>
      <c r="Z43" s="60" t="s">
        <v>434</v>
      </c>
      <c r="AA43" s="25"/>
      <c r="AB43" s="25"/>
    </row>
    <row r="44" spans="2:28">
      <c r="B44" s="40">
        <v>0.4548611111111111</v>
      </c>
      <c r="C44" s="40" t="s">
        <v>435</v>
      </c>
      <c r="D44" s="44">
        <v>3</v>
      </c>
      <c r="E44" s="45">
        <v>1</v>
      </c>
      <c r="F44" s="42" t="s">
        <v>436</v>
      </c>
      <c r="G44" s="43" t="s">
        <v>154</v>
      </c>
      <c r="H44" s="42" t="s">
        <v>155</v>
      </c>
      <c r="I44" s="43">
        <v>1</v>
      </c>
      <c r="J44" s="43">
        <v>1</v>
      </c>
      <c r="K44" s="25" t="str">
        <f>VLOOKUP(J44,Key!$E$2:$F$9,2,FALSE)</f>
        <v>Home</v>
      </c>
      <c r="L44" s="42" t="s">
        <v>146</v>
      </c>
      <c r="M44" s="43" t="s">
        <v>154</v>
      </c>
      <c r="N44" s="42" t="s">
        <v>155</v>
      </c>
      <c r="O44" s="43">
        <v>16</v>
      </c>
      <c r="P44" s="43">
        <v>6</v>
      </c>
      <c r="Q44" s="25" t="str">
        <f>VLOOKUP(P44,Key!$E$2:$F$9,2,FALSE)</f>
        <v>Leisure/Social</v>
      </c>
      <c r="R44" s="25" t="str">
        <f t="shared" si="1"/>
        <v>Home-Leisure/Social</v>
      </c>
      <c r="S44" s="58"/>
      <c r="T44" s="58">
        <v>0.7</v>
      </c>
      <c r="U44" s="58">
        <v>6</v>
      </c>
      <c r="V44" s="56"/>
      <c r="W44" s="56"/>
      <c r="X44" s="56"/>
      <c r="Y44" s="59" t="s">
        <v>156</v>
      </c>
      <c r="Z44" s="60">
        <v>1000</v>
      </c>
      <c r="AA44" s="25"/>
      <c r="AB44" s="25"/>
    </row>
    <row r="45" spans="2:28">
      <c r="B45" s="40">
        <v>0.45833333333333331</v>
      </c>
      <c r="C45" s="40" t="s">
        <v>437</v>
      </c>
      <c r="D45" s="45">
        <v>1</v>
      </c>
      <c r="E45" s="42">
        <v>1</v>
      </c>
      <c r="F45" s="42" t="s">
        <v>168</v>
      </c>
      <c r="G45" s="43" t="s">
        <v>154</v>
      </c>
      <c r="H45" s="42" t="s">
        <v>155</v>
      </c>
      <c r="I45" s="43">
        <v>1</v>
      </c>
      <c r="J45" s="43">
        <v>1</v>
      </c>
      <c r="K45" s="25" t="str">
        <f>VLOOKUP(J45,Key!$E$2:$F$9,2,FALSE)</f>
        <v>Home</v>
      </c>
      <c r="L45" s="41" t="s">
        <v>836</v>
      </c>
      <c r="M45" s="43" t="s">
        <v>836</v>
      </c>
      <c r="N45" s="42" t="s">
        <v>155</v>
      </c>
      <c r="O45" s="43">
        <v>11</v>
      </c>
      <c r="P45" s="43">
        <v>2</v>
      </c>
      <c r="Q45" s="25" t="str">
        <f>VLOOKUP(P45,Key!$E$2:$F$9,2,FALSE)</f>
        <v>Work</v>
      </c>
      <c r="R45" s="25" t="str">
        <f t="shared" si="1"/>
        <v>Home-Work</v>
      </c>
      <c r="S45" s="58">
        <v>17</v>
      </c>
      <c r="T45" s="58">
        <v>0.5</v>
      </c>
      <c r="U45" s="58">
        <v>2</v>
      </c>
      <c r="V45" s="56"/>
      <c r="W45" s="56"/>
      <c r="X45" s="56"/>
      <c r="Y45" s="59" t="s">
        <v>156</v>
      </c>
      <c r="Z45" s="60">
        <v>0</v>
      </c>
      <c r="AA45" s="25"/>
      <c r="AB45" s="25"/>
    </row>
    <row r="46" spans="2:28">
      <c r="B46" s="40">
        <v>0.46180555555555558</v>
      </c>
      <c r="C46" s="40" t="s">
        <v>438</v>
      </c>
      <c r="D46" s="44">
        <v>7</v>
      </c>
      <c r="E46" s="45">
        <v>2</v>
      </c>
      <c r="F46" s="42" t="s">
        <v>168</v>
      </c>
      <c r="G46" s="43" t="s">
        <v>154</v>
      </c>
      <c r="H46" s="42" t="s">
        <v>155</v>
      </c>
      <c r="I46" s="43">
        <v>4</v>
      </c>
      <c r="J46" s="43">
        <v>2</v>
      </c>
      <c r="K46" s="25" t="str">
        <f>VLOOKUP(J46,Key!$E$2:$F$9,2,FALSE)</f>
        <v>Work</v>
      </c>
      <c r="L46" s="42" t="s">
        <v>146</v>
      </c>
      <c r="M46" s="43" t="s">
        <v>154</v>
      </c>
      <c r="N46" s="42" t="s">
        <v>155</v>
      </c>
      <c r="O46" s="43">
        <v>11</v>
      </c>
      <c r="P46" s="43">
        <v>6</v>
      </c>
      <c r="Q46" s="25" t="str">
        <f>VLOOKUP(P46,Key!$E$2:$F$9,2,FALSE)</f>
        <v>Leisure/Social</v>
      </c>
      <c r="R46" s="25" t="str">
        <f t="shared" si="1"/>
        <v>Work-Leisure/Social</v>
      </c>
      <c r="S46" s="58">
        <v>1</v>
      </c>
      <c r="T46" s="58">
        <v>0.1</v>
      </c>
      <c r="U46" s="58">
        <v>2</v>
      </c>
      <c r="V46" s="56"/>
      <c r="W46" s="56"/>
      <c r="X46" s="56"/>
      <c r="Y46" s="59" t="s">
        <v>156</v>
      </c>
      <c r="Z46" s="60">
        <v>3000</v>
      </c>
      <c r="AA46" s="25"/>
      <c r="AB46" s="25"/>
    </row>
    <row r="47" spans="2:28">
      <c r="B47" s="40">
        <v>0.4680555555555555</v>
      </c>
      <c r="C47" s="40" t="s">
        <v>439</v>
      </c>
      <c r="D47" s="45">
        <v>7</v>
      </c>
      <c r="E47" s="45">
        <v>1</v>
      </c>
      <c r="F47" s="42" t="s">
        <v>154</v>
      </c>
      <c r="G47" s="43" t="s">
        <v>154</v>
      </c>
      <c r="H47" s="42" t="s">
        <v>155</v>
      </c>
      <c r="I47" s="43">
        <v>1</v>
      </c>
      <c r="J47" s="43">
        <v>1</v>
      </c>
      <c r="K47" s="25" t="str">
        <f>VLOOKUP(J47,Key!$E$2:$F$9,2,FALSE)</f>
        <v>Home</v>
      </c>
      <c r="L47" s="42" t="s">
        <v>440</v>
      </c>
      <c r="M47" s="43" t="s">
        <v>154</v>
      </c>
      <c r="N47" s="42" t="s">
        <v>155</v>
      </c>
      <c r="O47" s="43">
        <v>3</v>
      </c>
      <c r="P47" s="43">
        <v>2</v>
      </c>
      <c r="Q47" s="25" t="str">
        <f>VLOOKUP(P47,Key!$E$2:$F$9,2,FALSE)</f>
        <v>Work</v>
      </c>
      <c r="R47" s="25" t="str">
        <f t="shared" si="1"/>
        <v>Home-Work</v>
      </c>
      <c r="S47" s="58"/>
      <c r="T47" s="58">
        <v>1</v>
      </c>
      <c r="U47" s="58">
        <v>6</v>
      </c>
      <c r="V47" s="56"/>
      <c r="W47" s="56"/>
      <c r="X47" s="56"/>
      <c r="Y47" s="59" t="s">
        <v>156</v>
      </c>
      <c r="Z47" s="60">
        <v>0</v>
      </c>
      <c r="AA47" s="25"/>
      <c r="AB47" s="25"/>
    </row>
    <row r="48" spans="2:28">
      <c r="B48" s="40">
        <v>0.47361111111111115</v>
      </c>
      <c r="C48" s="40" t="s">
        <v>441</v>
      </c>
      <c r="D48" s="44">
        <v>1</v>
      </c>
      <c r="E48" s="42">
        <v>1</v>
      </c>
      <c r="F48" s="42" t="s">
        <v>442</v>
      </c>
      <c r="G48" s="43" t="s">
        <v>154</v>
      </c>
      <c r="H48" s="42" t="s">
        <v>155</v>
      </c>
      <c r="I48" s="43">
        <v>1</v>
      </c>
      <c r="J48" s="43">
        <v>1</v>
      </c>
      <c r="K48" s="25" t="str">
        <f>VLOOKUP(J48,Key!$E$2:$F$9,2,FALSE)</f>
        <v>Home</v>
      </c>
      <c r="L48" s="42" t="s">
        <v>836</v>
      </c>
      <c r="M48" s="43" t="s">
        <v>836</v>
      </c>
      <c r="N48" s="42" t="s">
        <v>155</v>
      </c>
      <c r="O48" s="43">
        <v>11</v>
      </c>
      <c r="P48" s="43">
        <v>2</v>
      </c>
      <c r="Q48" s="25" t="str">
        <f>VLOOKUP(P48,Key!$E$2:$F$9,2,FALSE)</f>
        <v>Work</v>
      </c>
      <c r="R48" s="25" t="str">
        <f t="shared" si="1"/>
        <v>Home-Work</v>
      </c>
      <c r="S48" s="58">
        <v>20</v>
      </c>
      <c r="T48" s="58">
        <v>0.7</v>
      </c>
      <c r="U48" s="58">
        <v>2</v>
      </c>
      <c r="V48" s="56"/>
      <c r="W48" s="56"/>
      <c r="X48" s="56"/>
      <c r="Y48" s="59" t="s">
        <v>156</v>
      </c>
      <c r="Z48" s="60">
        <v>1000</v>
      </c>
      <c r="AA48" s="25"/>
      <c r="AB48" s="25"/>
    </row>
    <row r="49" spans="2:28">
      <c r="B49" s="40">
        <v>0.4777777777777778</v>
      </c>
      <c r="C49" s="40" t="s">
        <v>443</v>
      </c>
      <c r="D49" s="45">
        <v>1</v>
      </c>
      <c r="E49" s="45">
        <v>1</v>
      </c>
      <c r="F49" s="42" t="s">
        <v>168</v>
      </c>
      <c r="G49" s="43" t="s">
        <v>154</v>
      </c>
      <c r="H49" s="42" t="s">
        <v>155</v>
      </c>
      <c r="I49" s="43">
        <v>1</v>
      </c>
      <c r="J49" s="43">
        <v>1</v>
      </c>
      <c r="K49" s="25" t="str">
        <f>VLOOKUP(J49,Key!$E$2:$F$9,2,FALSE)</f>
        <v>Home</v>
      </c>
      <c r="L49" s="42" t="s">
        <v>184</v>
      </c>
      <c r="M49" s="43" t="s">
        <v>154</v>
      </c>
      <c r="N49" s="42" t="s">
        <v>155</v>
      </c>
      <c r="O49" s="43">
        <v>11</v>
      </c>
      <c r="P49" s="43">
        <v>6</v>
      </c>
      <c r="Q49" s="25" t="str">
        <f>VLOOKUP(P49,Key!$E$2:$F$9,2,FALSE)</f>
        <v>Leisure/Social</v>
      </c>
      <c r="R49" s="25" t="str">
        <f t="shared" si="1"/>
        <v>Home-Leisure/Social</v>
      </c>
      <c r="S49" s="58"/>
      <c r="T49" s="58">
        <v>0.2</v>
      </c>
      <c r="U49" s="58">
        <v>3</v>
      </c>
      <c r="V49" s="56"/>
      <c r="W49" s="56"/>
      <c r="X49" s="56"/>
      <c r="Y49" s="59" t="s">
        <v>156</v>
      </c>
      <c r="Z49" s="60">
        <v>5000</v>
      </c>
      <c r="AA49" s="25"/>
      <c r="AB49" s="25"/>
    </row>
    <row r="50" spans="2:28">
      <c r="B50" s="40">
        <v>0.4826388888888889</v>
      </c>
      <c r="C50" s="40" t="s">
        <v>444</v>
      </c>
      <c r="D50" s="44">
        <v>1</v>
      </c>
      <c r="E50" s="45">
        <v>1</v>
      </c>
      <c r="F50" s="42" t="s">
        <v>245</v>
      </c>
      <c r="G50" s="43" t="s">
        <v>154</v>
      </c>
      <c r="H50" s="42" t="s">
        <v>155</v>
      </c>
      <c r="I50" s="43">
        <v>1</v>
      </c>
      <c r="J50" s="43">
        <v>1</v>
      </c>
      <c r="K50" s="25" t="str">
        <f>VLOOKUP(J50,Key!$E$2:$F$9,2,FALSE)</f>
        <v>Home</v>
      </c>
      <c r="L50" s="42" t="s">
        <v>184</v>
      </c>
      <c r="M50" s="43" t="s">
        <v>154</v>
      </c>
      <c r="N50" s="42" t="s">
        <v>155</v>
      </c>
      <c r="O50" s="43">
        <v>11</v>
      </c>
      <c r="P50" s="43">
        <v>6</v>
      </c>
      <c r="Q50" s="25" t="str">
        <f>VLOOKUP(P50,Key!$E$2:$F$9,2,FALSE)</f>
        <v>Leisure/Social</v>
      </c>
      <c r="R50" s="25" t="str">
        <f t="shared" si="1"/>
        <v>Home-Leisure/Social</v>
      </c>
      <c r="S50" s="58"/>
      <c r="T50" s="58">
        <v>0.2</v>
      </c>
      <c r="U50" s="58">
        <v>6</v>
      </c>
      <c r="V50" s="56"/>
      <c r="W50" s="56"/>
      <c r="X50" s="56"/>
      <c r="Y50" s="59" t="s">
        <v>156</v>
      </c>
      <c r="Z50" s="60">
        <v>0</v>
      </c>
      <c r="AA50" s="25"/>
      <c r="AB50" s="25"/>
    </row>
    <row r="51" spans="2:28">
      <c r="B51" s="40">
        <v>0.49305555555555558</v>
      </c>
      <c r="C51" s="40" t="s">
        <v>445</v>
      </c>
      <c r="D51" s="45">
        <v>1</v>
      </c>
      <c r="E51" s="45">
        <v>1</v>
      </c>
      <c r="F51" s="42" t="s">
        <v>446</v>
      </c>
      <c r="G51" s="43" t="s">
        <v>154</v>
      </c>
      <c r="H51" s="42" t="s">
        <v>155</v>
      </c>
      <c r="I51" s="43">
        <v>1</v>
      </c>
      <c r="J51" s="43">
        <v>1</v>
      </c>
      <c r="K51" s="25" t="str">
        <f>VLOOKUP(J51,Key!$E$2:$F$9,2,FALSE)</f>
        <v>Home</v>
      </c>
      <c r="L51" s="42" t="s">
        <v>836</v>
      </c>
      <c r="M51" s="43" t="s">
        <v>836</v>
      </c>
      <c r="N51" s="42" t="s">
        <v>155</v>
      </c>
      <c r="O51" s="43">
        <v>11</v>
      </c>
      <c r="P51" s="43">
        <v>2</v>
      </c>
      <c r="Q51" s="25" t="str">
        <f>VLOOKUP(P51,Key!$E$2:$F$9,2,FALSE)</f>
        <v>Work</v>
      </c>
      <c r="R51" s="25" t="str">
        <f t="shared" si="1"/>
        <v>Home-Work</v>
      </c>
      <c r="S51" s="58">
        <v>20</v>
      </c>
      <c r="T51" s="58">
        <v>0.3</v>
      </c>
      <c r="U51" s="58">
        <v>2</v>
      </c>
      <c r="V51" s="56"/>
      <c r="W51" s="56"/>
      <c r="X51" s="56"/>
      <c r="Y51" s="59" t="s">
        <v>156</v>
      </c>
      <c r="Z51" s="60">
        <v>1000</v>
      </c>
      <c r="AA51" s="25"/>
      <c r="AB51" s="25"/>
    </row>
    <row r="52" spans="2:28">
      <c r="B52" s="40">
        <v>0.50277777777777777</v>
      </c>
      <c r="C52" s="40" t="s">
        <v>447</v>
      </c>
      <c r="D52" s="45">
        <v>7</v>
      </c>
      <c r="E52" s="45">
        <v>2</v>
      </c>
      <c r="F52" s="42" t="s">
        <v>154</v>
      </c>
      <c r="G52" s="43" t="s">
        <v>154</v>
      </c>
      <c r="H52" s="42" t="s">
        <v>155</v>
      </c>
      <c r="I52" s="43">
        <v>14</v>
      </c>
      <c r="J52" s="43">
        <v>4</v>
      </c>
      <c r="K52" s="25" t="str">
        <f>VLOOKUP(J52,Key!$E$2:$F$9,2,FALSE)</f>
        <v>Commercial</v>
      </c>
      <c r="L52" s="42" t="s">
        <v>146</v>
      </c>
      <c r="M52" s="43" t="s">
        <v>154</v>
      </c>
      <c r="N52" s="42" t="s">
        <v>155</v>
      </c>
      <c r="O52" s="43">
        <v>14</v>
      </c>
      <c r="P52" s="43">
        <v>4</v>
      </c>
      <c r="Q52" s="25" t="str">
        <f>VLOOKUP(P52,Key!$E$2:$F$9,2,FALSE)</f>
        <v>Commercial</v>
      </c>
      <c r="R52" s="25" t="str">
        <f t="shared" si="1"/>
        <v>Commercial-Commercial</v>
      </c>
      <c r="S52" s="58"/>
      <c r="T52" s="58">
        <v>1</v>
      </c>
      <c r="U52" s="58">
        <v>6</v>
      </c>
      <c r="V52" s="56">
        <v>6</v>
      </c>
      <c r="W52" s="56">
        <v>1.5</v>
      </c>
      <c r="X52" s="56"/>
      <c r="Y52" s="59" t="s">
        <v>156</v>
      </c>
      <c r="Z52" s="60">
        <v>0</v>
      </c>
      <c r="AA52" s="25"/>
      <c r="AB52" s="25"/>
    </row>
    <row r="53" spans="2:28">
      <c r="B53" s="40">
        <v>0.50972222222222219</v>
      </c>
      <c r="C53" s="40" t="s">
        <v>448</v>
      </c>
      <c r="D53" s="45">
        <v>1</v>
      </c>
      <c r="E53" s="45">
        <v>1</v>
      </c>
      <c r="F53" s="42" t="s">
        <v>245</v>
      </c>
      <c r="G53" s="43" t="s">
        <v>154</v>
      </c>
      <c r="H53" s="42" t="s">
        <v>155</v>
      </c>
      <c r="I53" s="43">
        <v>1</v>
      </c>
      <c r="J53" s="43">
        <v>1</v>
      </c>
      <c r="K53" s="25" t="str">
        <f>VLOOKUP(J53,Key!$E$2:$F$9,2,FALSE)</f>
        <v>Home</v>
      </c>
      <c r="L53" s="42" t="s">
        <v>268</v>
      </c>
      <c r="M53" s="43" t="s">
        <v>154</v>
      </c>
      <c r="N53" s="42" t="s">
        <v>155</v>
      </c>
      <c r="O53" s="43">
        <v>4</v>
      </c>
      <c r="P53" s="43">
        <v>2</v>
      </c>
      <c r="Q53" s="25" t="str">
        <f>VLOOKUP(P53,Key!$E$2:$F$9,2,FALSE)</f>
        <v>Work</v>
      </c>
      <c r="R53" s="25" t="str">
        <f t="shared" si="1"/>
        <v>Home-Work</v>
      </c>
      <c r="S53" s="58"/>
      <c r="T53" s="58">
        <v>0.5</v>
      </c>
      <c r="U53" s="58">
        <v>2</v>
      </c>
      <c r="V53" s="56"/>
      <c r="W53" s="56"/>
      <c r="X53" s="56"/>
      <c r="Y53" s="59" t="s">
        <v>156</v>
      </c>
      <c r="Z53" s="60">
        <v>0</v>
      </c>
      <c r="AA53" s="25"/>
      <c r="AB53" s="25"/>
    </row>
    <row r="54" spans="2:28">
      <c r="B54" s="40">
        <v>0.51250000000000007</v>
      </c>
      <c r="C54" s="40" t="s">
        <v>449</v>
      </c>
      <c r="D54" s="44">
        <v>1</v>
      </c>
      <c r="E54" s="45">
        <v>2</v>
      </c>
      <c r="F54" s="42" t="s">
        <v>168</v>
      </c>
      <c r="G54" s="43" t="s">
        <v>154</v>
      </c>
      <c r="H54" s="42" t="s">
        <v>155</v>
      </c>
      <c r="I54" s="43">
        <v>16</v>
      </c>
      <c r="J54" s="43">
        <v>6</v>
      </c>
      <c r="K54" s="25" t="str">
        <f>VLOOKUP(J54,Key!$E$2:$F$9,2,FALSE)</f>
        <v>Leisure/Social</v>
      </c>
      <c r="L54" s="42" t="s">
        <v>268</v>
      </c>
      <c r="M54" s="43" t="s">
        <v>154</v>
      </c>
      <c r="N54" s="42" t="s">
        <v>155</v>
      </c>
      <c r="O54" s="43">
        <v>3</v>
      </c>
      <c r="P54" s="43">
        <v>2</v>
      </c>
      <c r="Q54" s="25" t="str">
        <f>VLOOKUP(P54,Key!$E$2:$F$9,2,FALSE)</f>
        <v>Work</v>
      </c>
      <c r="R54" s="25" t="str">
        <f t="shared" si="1"/>
        <v>Leisure/Social-Work</v>
      </c>
      <c r="S54" s="58">
        <v>2</v>
      </c>
      <c r="T54" s="58">
        <v>0.1</v>
      </c>
      <c r="U54" s="58">
        <v>6</v>
      </c>
      <c r="V54" s="56"/>
      <c r="W54" s="56"/>
      <c r="X54" s="56"/>
      <c r="Y54" s="59" t="s">
        <v>156</v>
      </c>
      <c r="Z54" s="60">
        <v>1000</v>
      </c>
      <c r="AA54" s="25"/>
      <c r="AB54" s="25"/>
    </row>
    <row r="55" spans="2:28">
      <c r="B55" s="40">
        <v>0.52638888888888891</v>
      </c>
      <c r="C55" s="40" t="s">
        <v>450</v>
      </c>
      <c r="D55" s="45">
        <v>1</v>
      </c>
      <c r="E55" s="45">
        <v>2</v>
      </c>
      <c r="F55" s="42" t="s">
        <v>168</v>
      </c>
      <c r="G55" s="43" t="s">
        <v>154</v>
      </c>
      <c r="H55" s="42" t="s">
        <v>155</v>
      </c>
      <c r="I55" s="43">
        <v>1</v>
      </c>
      <c r="J55" s="43">
        <v>1</v>
      </c>
      <c r="K55" s="25" t="str">
        <f>VLOOKUP(J55,Key!$E$2:$F$9,2,FALSE)</f>
        <v>Home</v>
      </c>
      <c r="L55" s="42" t="s">
        <v>836</v>
      </c>
      <c r="M55" s="43" t="s">
        <v>836</v>
      </c>
      <c r="N55" s="42" t="s">
        <v>155</v>
      </c>
      <c r="O55" s="43">
        <v>11</v>
      </c>
      <c r="P55" s="43">
        <v>2</v>
      </c>
      <c r="Q55" s="25" t="str">
        <f>VLOOKUP(P55,Key!$E$2:$F$9,2,FALSE)</f>
        <v>Work</v>
      </c>
      <c r="R55" s="25" t="str">
        <f t="shared" si="1"/>
        <v>Home-Work</v>
      </c>
      <c r="S55" s="58">
        <v>1</v>
      </c>
      <c r="T55" s="58">
        <v>0.5</v>
      </c>
      <c r="U55" s="58"/>
      <c r="V55" s="56"/>
      <c r="W55" s="56"/>
      <c r="X55" s="56"/>
      <c r="Y55" s="59" t="s">
        <v>156</v>
      </c>
      <c r="Z55" s="60">
        <v>5000</v>
      </c>
      <c r="AA55" s="25"/>
      <c r="AB55" s="25"/>
    </row>
    <row r="56" spans="2:28">
      <c r="B56" s="40">
        <v>0.52777777777777779</v>
      </c>
      <c r="C56" s="40" t="s">
        <v>451</v>
      </c>
      <c r="D56" s="45">
        <v>7</v>
      </c>
      <c r="E56" s="45">
        <v>2</v>
      </c>
      <c r="F56" s="42" t="s">
        <v>303</v>
      </c>
      <c r="G56" s="43" t="s">
        <v>154</v>
      </c>
      <c r="H56" s="42" t="s">
        <v>155</v>
      </c>
      <c r="I56" s="43">
        <v>9</v>
      </c>
      <c r="J56" s="43">
        <v>4</v>
      </c>
      <c r="K56" s="25" t="str">
        <f>VLOOKUP(J56,Key!$E$2:$F$9,2,FALSE)</f>
        <v>Commercial</v>
      </c>
      <c r="L56" s="42" t="s">
        <v>452</v>
      </c>
      <c r="M56" s="43" t="s">
        <v>836</v>
      </c>
      <c r="N56" s="42" t="s">
        <v>155</v>
      </c>
      <c r="O56" s="43">
        <v>11</v>
      </c>
      <c r="P56" s="43">
        <v>4</v>
      </c>
      <c r="Q56" s="25" t="str">
        <f>VLOOKUP(P56,Key!$E$2:$F$9,2,FALSE)</f>
        <v>Commercial</v>
      </c>
      <c r="R56" s="25" t="str">
        <f t="shared" si="1"/>
        <v>Commercial-Commercial</v>
      </c>
      <c r="S56" s="58"/>
      <c r="T56" s="58">
        <v>1</v>
      </c>
      <c r="U56" s="58">
        <v>4</v>
      </c>
      <c r="V56" s="56"/>
      <c r="W56" s="56"/>
      <c r="X56" s="56"/>
      <c r="Y56" s="59" t="s">
        <v>156</v>
      </c>
      <c r="Z56" s="60">
        <v>3000</v>
      </c>
      <c r="AA56" s="25"/>
      <c r="AB56" s="25"/>
    </row>
    <row r="57" spans="2:28">
      <c r="B57" s="40">
        <v>0.53819444444444442</v>
      </c>
      <c r="C57" s="40" t="s">
        <v>453</v>
      </c>
      <c r="D57" s="45">
        <v>7</v>
      </c>
      <c r="E57" s="45">
        <v>2</v>
      </c>
      <c r="F57" s="42" t="s">
        <v>147</v>
      </c>
      <c r="G57" s="43" t="s">
        <v>154</v>
      </c>
      <c r="H57" s="42" t="s">
        <v>155</v>
      </c>
      <c r="I57" s="43">
        <v>11</v>
      </c>
      <c r="J57" s="43">
        <v>4</v>
      </c>
      <c r="K57" s="25" t="str">
        <f>VLOOKUP(J57,Key!$E$2:$F$9,2,FALSE)</f>
        <v>Commercial</v>
      </c>
      <c r="L57" s="42" t="s">
        <v>454</v>
      </c>
      <c r="M57" s="43" t="s">
        <v>455</v>
      </c>
      <c r="N57" s="42" t="s">
        <v>155</v>
      </c>
      <c r="O57" s="43">
        <v>3</v>
      </c>
      <c r="P57" s="43">
        <v>4</v>
      </c>
      <c r="Q57" s="25" t="str">
        <f>VLOOKUP(P57,Key!$E$2:$F$9,2,FALSE)</f>
        <v>Commercial</v>
      </c>
      <c r="R57" s="25" t="str">
        <f t="shared" si="1"/>
        <v>Commercial-Commercial</v>
      </c>
      <c r="S57" s="58"/>
      <c r="T57" s="58">
        <v>1.5</v>
      </c>
      <c r="U57" s="58">
        <v>4</v>
      </c>
      <c r="V57" s="56">
        <v>5</v>
      </c>
      <c r="W57" s="56">
        <v>4</v>
      </c>
      <c r="X57" s="56"/>
      <c r="Y57" s="59" t="s">
        <v>156</v>
      </c>
      <c r="Z57" s="60">
        <v>5000</v>
      </c>
      <c r="AA57" s="25"/>
      <c r="AB57" s="25"/>
    </row>
    <row r="58" spans="2:28">
      <c r="B58" s="40">
        <v>0.54722222222222217</v>
      </c>
      <c r="C58" s="40" t="s">
        <v>456</v>
      </c>
      <c r="D58" s="45">
        <v>3</v>
      </c>
      <c r="E58" s="45">
        <v>5</v>
      </c>
      <c r="F58" s="42" t="s">
        <v>147</v>
      </c>
      <c r="G58" s="43" t="s">
        <v>154</v>
      </c>
      <c r="H58" s="42" t="s">
        <v>155</v>
      </c>
      <c r="I58" s="43">
        <v>3</v>
      </c>
      <c r="J58" s="43">
        <v>2</v>
      </c>
      <c r="K58" s="25" t="str">
        <f>VLOOKUP(J58,Key!$E$2:$F$9,2,FALSE)</f>
        <v>Work</v>
      </c>
      <c r="L58" s="42" t="s">
        <v>146</v>
      </c>
      <c r="M58" s="43" t="s">
        <v>154</v>
      </c>
      <c r="N58" s="42" t="s">
        <v>155</v>
      </c>
      <c r="O58" s="43">
        <v>4</v>
      </c>
      <c r="P58" s="43">
        <v>2</v>
      </c>
      <c r="Q58" s="25" t="str">
        <f>VLOOKUP(P58,Key!$E$2:$F$9,2,FALSE)</f>
        <v>Work</v>
      </c>
      <c r="R58" s="25" t="str">
        <f t="shared" si="1"/>
        <v>Work-Work</v>
      </c>
      <c r="S58" s="58"/>
      <c r="T58" s="58">
        <v>0.7</v>
      </c>
      <c r="U58" s="58">
        <v>6</v>
      </c>
      <c r="V58" s="56">
        <v>1</v>
      </c>
      <c r="W58" s="56">
        <v>1</v>
      </c>
      <c r="X58" s="56"/>
      <c r="Y58" s="59" t="s">
        <v>156</v>
      </c>
      <c r="Z58" s="60">
        <v>1000</v>
      </c>
      <c r="AA58" s="25"/>
      <c r="AB58" s="25"/>
    </row>
    <row r="59" spans="2:28">
      <c r="B59" s="40">
        <v>0.55555555555555558</v>
      </c>
      <c r="C59" s="40" t="s">
        <v>457</v>
      </c>
      <c r="D59" s="44">
        <v>1</v>
      </c>
      <c r="E59" s="45">
        <v>2</v>
      </c>
      <c r="F59" s="42" t="s">
        <v>245</v>
      </c>
      <c r="G59" s="43" t="s">
        <v>154</v>
      </c>
      <c r="H59" s="42" t="s">
        <v>155</v>
      </c>
      <c r="I59" s="43">
        <v>1</v>
      </c>
      <c r="J59" s="43">
        <v>1</v>
      </c>
      <c r="K59" s="25" t="str">
        <f>VLOOKUP(J59,Key!$E$2:$F$9,2,FALSE)</f>
        <v>Home</v>
      </c>
      <c r="L59" s="42" t="s">
        <v>836</v>
      </c>
      <c r="M59" s="43" t="s">
        <v>836</v>
      </c>
      <c r="N59" s="42" t="s">
        <v>155</v>
      </c>
      <c r="O59" s="43">
        <v>2</v>
      </c>
      <c r="P59" s="43">
        <v>8</v>
      </c>
      <c r="Q59" s="25" t="str">
        <f>VLOOKUP(P59,Key!$E$2:$F$9,2,FALSE)</f>
        <v>Others</v>
      </c>
      <c r="R59" s="25" t="str">
        <f t="shared" si="1"/>
        <v>Home-Others</v>
      </c>
      <c r="S59" s="58"/>
      <c r="T59" s="58">
        <v>1</v>
      </c>
      <c r="U59" s="58">
        <v>6</v>
      </c>
      <c r="V59" s="56"/>
      <c r="W59" s="56"/>
      <c r="X59" s="56"/>
      <c r="Y59" s="59" t="s">
        <v>156</v>
      </c>
      <c r="Z59" s="60">
        <v>1000</v>
      </c>
      <c r="AA59" s="25"/>
      <c r="AB59" s="25"/>
    </row>
    <row r="60" spans="2:28">
      <c r="B60" s="40">
        <v>5.9027777777777783E-2</v>
      </c>
      <c r="C60" s="40" t="s">
        <v>458</v>
      </c>
      <c r="D60" s="44">
        <v>1</v>
      </c>
      <c r="E60" s="45">
        <v>1</v>
      </c>
      <c r="F60" s="42" t="s">
        <v>168</v>
      </c>
      <c r="G60" s="43" t="s">
        <v>154</v>
      </c>
      <c r="H60" s="42" t="s">
        <v>155</v>
      </c>
      <c r="I60" s="43">
        <v>2</v>
      </c>
      <c r="J60" s="43">
        <v>2</v>
      </c>
      <c r="K60" s="25" t="str">
        <f>VLOOKUP(J60,Key!$E$2:$F$9,2,FALSE)</f>
        <v>Work</v>
      </c>
      <c r="L60" s="42" t="s">
        <v>146</v>
      </c>
      <c r="M60" s="43" t="s">
        <v>154</v>
      </c>
      <c r="N60" s="42" t="s">
        <v>155</v>
      </c>
      <c r="O60" s="43">
        <v>11</v>
      </c>
      <c r="P60" s="43">
        <v>6</v>
      </c>
      <c r="Q60" s="25" t="str">
        <f>VLOOKUP(P60,Key!$E$2:$F$9,2,FALSE)</f>
        <v>Leisure/Social</v>
      </c>
      <c r="R60" s="25" t="str">
        <f t="shared" si="1"/>
        <v>Work-Leisure/Social</v>
      </c>
      <c r="S60" s="58"/>
      <c r="T60" s="58">
        <v>0.1</v>
      </c>
      <c r="U60" s="58">
        <v>2</v>
      </c>
      <c r="V60" s="56"/>
      <c r="W60" s="56"/>
      <c r="X60" s="56"/>
      <c r="Y60" s="59" t="s">
        <v>156</v>
      </c>
      <c r="Z60" s="60">
        <v>0</v>
      </c>
      <c r="AA60" s="25"/>
      <c r="AB60" s="25"/>
    </row>
    <row r="61" spans="2:28">
      <c r="B61" s="40">
        <v>0.56388888888888888</v>
      </c>
      <c r="C61" s="40" t="s">
        <v>459</v>
      </c>
      <c r="D61" s="44">
        <v>1</v>
      </c>
      <c r="E61" s="45">
        <v>2</v>
      </c>
      <c r="F61" s="42" t="s">
        <v>160</v>
      </c>
      <c r="G61" s="43" t="s">
        <v>154</v>
      </c>
      <c r="H61" s="42" t="s">
        <v>155</v>
      </c>
      <c r="I61" s="43">
        <v>16</v>
      </c>
      <c r="J61" s="43">
        <v>2</v>
      </c>
      <c r="K61" s="25" t="str">
        <f>VLOOKUP(J61,Key!$E$2:$F$9,2,FALSE)</f>
        <v>Work</v>
      </c>
      <c r="L61" s="42" t="s">
        <v>146</v>
      </c>
      <c r="M61" s="43" t="s">
        <v>154</v>
      </c>
      <c r="N61" s="42" t="s">
        <v>155</v>
      </c>
      <c r="O61" s="43">
        <v>1</v>
      </c>
      <c r="P61" s="43">
        <v>1</v>
      </c>
      <c r="Q61" s="25" t="str">
        <f>VLOOKUP(P61,Key!$E$2:$F$9,2,FALSE)</f>
        <v>Home</v>
      </c>
      <c r="R61" s="25" t="str">
        <f t="shared" si="1"/>
        <v>Work-Home</v>
      </c>
      <c r="S61" s="58"/>
      <c r="T61" s="58">
        <v>0.2</v>
      </c>
      <c r="U61" s="58">
        <v>6</v>
      </c>
      <c r="V61" s="56"/>
      <c r="W61" s="56"/>
      <c r="X61" s="56"/>
      <c r="Y61" s="59" t="s">
        <v>156</v>
      </c>
      <c r="Z61" s="60">
        <v>500</v>
      </c>
      <c r="AA61" s="25"/>
      <c r="AB61" s="25"/>
    </row>
    <row r="62" spans="2:28">
      <c r="B62" s="40">
        <v>0.56944444444444442</v>
      </c>
      <c r="C62" s="40" t="s">
        <v>460</v>
      </c>
      <c r="D62" s="44">
        <v>1</v>
      </c>
      <c r="E62" s="45">
        <v>1</v>
      </c>
      <c r="F62" s="42" t="s">
        <v>168</v>
      </c>
      <c r="G62" s="43" t="s">
        <v>154</v>
      </c>
      <c r="H62" s="42" t="s">
        <v>155</v>
      </c>
      <c r="I62" s="43">
        <v>16</v>
      </c>
      <c r="J62" s="43">
        <v>6</v>
      </c>
      <c r="K62" s="25" t="str">
        <f>VLOOKUP(J62,Key!$E$2:$F$9,2,FALSE)</f>
        <v>Leisure/Social</v>
      </c>
      <c r="L62" s="42" t="s">
        <v>146</v>
      </c>
      <c r="M62" s="43" t="s">
        <v>154</v>
      </c>
      <c r="N62" s="42" t="s">
        <v>155</v>
      </c>
      <c r="O62" s="43">
        <v>11</v>
      </c>
      <c r="P62" s="43">
        <v>4</v>
      </c>
      <c r="Q62" s="25" t="str">
        <f>VLOOKUP(P62,Key!$E$2:$F$9,2,FALSE)</f>
        <v>Commercial</v>
      </c>
      <c r="R62" s="25" t="str">
        <f t="shared" si="1"/>
        <v>Leisure/Social-Commercial</v>
      </c>
      <c r="S62" s="58">
        <v>1</v>
      </c>
      <c r="T62" s="58">
        <v>0.1</v>
      </c>
      <c r="U62" s="58">
        <v>1</v>
      </c>
      <c r="V62" s="56"/>
      <c r="W62" s="56"/>
      <c r="X62" s="56"/>
      <c r="Y62" s="59" t="s">
        <v>156</v>
      </c>
      <c r="Z62" s="60">
        <v>5000</v>
      </c>
      <c r="AA62" s="25"/>
      <c r="AB62" s="25"/>
    </row>
    <row r="63" spans="2:28">
      <c r="B63" s="40">
        <v>0.61527777777777781</v>
      </c>
      <c r="C63" s="40" t="s">
        <v>461</v>
      </c>
      <c r="D63" s="44">
        <v>1</v>
      </c>
      <c r="E63" s="42">
        <v>2</v>
      </c>
      <c r="F63" s="42" t="s">
        <v>147</v>
      </c>
      <c r="G63" s="43" t="s">
        <v>154</v>
      </c>
      <c r="H63" s="42" t="s">
        <v>155</v>
      </c>
      <c r="I63" s="43">
        <v>1</v>
      </c>
      <c r="J63" s="43">
        <v>1</v>
      </c>
      <c r="K63" s="25" t="str">
        <f>VLOOKUP(J63,Key!$E$2:$F$9,2,FALSE)</f>
        <v>Home</v>
      </c>
      <c r="L63" s="42" t="s">
        <v>836</v>
      </c>
      <c r="M63" s="43" t="s">
        <v>836</v>
      </c>
      <c r="N63" s="42" t="s">
        <v>155</v>
      </c>
      <c r="O63" s="43">
        <v>11</v>
      </c>
      <c r="P63" s="43">
        <v>2</v>
      </c>
      <c r="Q63" s="25" t="str">
        <f>VLOOKUP(P63,Key!$E$2:$F$9,2,FALSE)</f>
        <v>Work</v>
      </c>
      <c r="R63" s="25" t="str">
        <f t="shared" si="1"/>
        <v>Home-Work</v>
      </c>
      <c r="S63" s="58">
        <v>30</v>
      </c>
      <c r="T63" s="58">
        <v>1</v>
      </c>
      <c r="U63" s="58">
        <v>2</v>
      </c>
      <c r="V63" s="56"/>
      <c r="W63" s="56"/>
      <c r="X63" s="56"/>
      <c r="Y63" s="59" t="s">
        <v>156</v>
      </c>
      <c r="Z63" s="60">
        <v>5000</v>
      </c>
      <c r="AA63" s="25"/>
      <c r="AB63" s="25"/>
    </row>
    <row r="64" spans="2:28">
      <c r="B64" s="40">
        <v>0.57638888888888895</v>
      </c>
      <c r="C64" s="40" t="s">
        <v>462</v>
      </c>
      <c r="D64" s="44">
        <v>1</v>
      </c>
      <c r="E64" s="42">
        <v>1</v>
      </c>
      <c r="F64" s="42" t="s">
        <v>463</v>
      </c>
      <c r="G64" s="43" t="s">
        <v>154</v>
      </c>
      <c r="H64" s="42" t="s">
        <v>155</v>
      </c>
      <c r="I64" s="43">
        <v>1</v>
      </c>
      <c r="J64" s="43">
        <v>1</v>
      </c>
      <c r="K64" s="25" t="str">
        <f>VLOOKUP(J64,Key!$E$2:$F$9,2,FALSE)</f>
        <v>Home</v>
      </c>
      <c r="L64" s="42" t="s">
        <v>184</v>
      </c>
      <c r="M64" s="43" t="s">
        <v>154</v>
      </c>
      <c r="N64" s="42" t="s">
        <v>155</v>
      </c>
      <c r="O64" s="43">
        <v>11</v>
      </c>
      <c r="P64" s="43">
        <v>2</v>
      </c>
      <c r="Q64" s="25" t="str">
        <f>VLOOKUP(P64,Key!$E$2:$F$9,2,FALSE)</f>
        <v>Work</v>
      </c>
      <c r="R64" s="25" t="str">
        <f t="shared" si="1"/>
        <v>Home-Work</v>
      </c>
      <c r="S64" s="58"/>
      <c r="T64" s="58">
        <v>0.2</v>
      </c>
      <c r="U64" s="58">
        <v>2</v>
      </c>
      <c r="V64" s="56"/>
      <c r="W64" s="56"/>
      <c r="X64" s="56"/>
      <c r="Y64" s="59" t="s">
        <v>156</v>
      </c>
      <c r="Z64" s="60">
        <v>4000</v>
      </c>
      <c r="AA64" s="25"/>
      <c r="AB64" s="25"/>
    </row>
    <row r="65" spans="2:28">
      <c r="B65" s="40">
        <v>0.58333333333333337</v>
      </c>
      <c r="C65" s="40" t="s">
        <v>464</v>
      </c>
      <c r="D65" s="45">
        <v>7</v>
      </c>
      <c r="E65" s="45">
        <v>3</v>
      </c>
      <c r="F65" s="42" t="s">
        <v>147</v>
      </c>
      <c r="G65" s="43" t="s">
        <v>154</v>
      </c>
      <c r="H65" s="42" t="s">
        <v>155</v>
      </c>
      <c r="I65" s="43">
        <v>11</v>
      </c>
      <c r="J65" s="43">
        <v>4</v>
      </c>
      <c r="K65" s="25" t="str">
        <f>VLOOKUP(J65,Key!$E$2:$F$9,2,FALSE)</f>
        <v>Commercial</v>
      </c>
      <c r="L65" s="42" t="s">
        <v>146</v>
      </c>
      <c r="M65" s="43" t="s">
        <v>154</v>
      </c>
      <c r="N65" s="42" t="s">
        <v>155</v>
      </c>
      <c r="O65" s="43">
        <v>11</v>
      </c>
      <c r="P65" s="43">
        <v>4</v>
      </c>
      <c r="Q65" s="25" t="str">
        <f>VLOOKUP(P65,Key!$E$2:$F$9,2,FALSE)</f>
        <v>Commercial</v>
      </c>
      <c r="R65" s="25" t="str">
        <f t="shared" si="1"/>
        <v>Commercial-Commercial</v>
      </c>
      <c r="S65" s="58"/>
      <c r="T65" s="58">
        <v>0.5</v>
      </c>
      <c r="U65" s="58">
        <v>2</v>
      </c>
      <c r="V65" s="56"/>
      <c r="W65" s="56"/>
      <c r="X65" s="56"/>
      <c r="Y65" s="59" t="s">
        <v>156</v>
      </c>
      <c r="Z65" s="60">
        <v>2000</v>
      </c>
      <c r="AA65" s="25"/>
      <c r="AB65" s="25"/>
    </row>
    <row r="66" spans="2:28">
      <c r="B66" s="40">
        <v>0.58611111111111114</v>
      </c>
      <c r="C66" s="40" t="s">
        <v>465</v>
      </c>
      <c r="D66" s="45">
        <v>1</v>
      </c>
      <c r="E66" s="45">
        <v>1</v>
      </c>
      <c r="F66" s="42" t="s">
        <v>168</v>
      </c>
      <c r="G66" s="43" t="s">
        <v>154</v>
      </c>
      <c r="H66" s="42" t="s">
        <v>155</v>
      </c>
      <c r="I66" s="43">
        <v>1</v>
      </c>
      <c r="J66" s="43">
        <v>1</v>
      </c>
      <c r="K66" s="25" t="str">
        <f>VLOOKUP(J66,Key!$E$2:$F$9,2,FALSE)</f>
        <v>Home</v>
      </c>
      <c r="L66" s="42" t="s">
        <v>146</v>
      </c>
      <c r="M66" s="43" t="s">
        <v>154</v>
      </c>
      <c r="N66" s="42" t="s">
        <v>155</v>
      </c>
      <c r="O66" s="43">
        <v>11</v>
      </c>
      <c r="P66" s="43">
        <v>6</v>
      </c>
      <c r="Q66" s="25" t="str">
        <f>VLOOKUP(P66,Key!$E$2:$F$9,2,FALSE)</f>
        <v>Leisure/Social</v>
      </c>
      <c r="R66" s="25" t="str">
        <f t="shared" si="1"/>
        <v>Home-Leisure/Social</v>
      </c>
      <c r="S66" s="58"/>
      <c r="T66" s="58"/>
      <c r="U66" s="58">
        <v>2</v>
      </c>
      <c r="V66" s="56"/>
      <c r="W66" s="56"/>
      <c r="X66" s="56"/>
      <c r="Y66" s="59" t="s">
        <v>156</v>
      </c>
      <c r="Z66" s="60">
        <v>1000</v>
      </c>
      <c r="AA66" s="25"/>
      <c r="AB66" s="25"/>
    </row>
    <row r="67" spans="2:28">
      <c r="B67" s="40">
        <v>0.58888888888888891</v>
      </c>
      <c r="C67" s="40" t="s">
        <v>466</v>
      </c>
      <c r="D67" s="45">
        <v>4</v>
      </c>
      <c r="E67" s="45">
        <v>2</v>
      </c>
      <c r="F67" s="42" t="s">
        <v>838</v>
      </c>
      <c r="G67" s="43" t="s">
        <v>154</v>
      </c>
      <c r="H67" s="42" t="s">
        <v>155</v>
      </c>
      <c r="I67" s="43">
        <v>11</v>
      </c>
      <c r="J67" s="43">
        <v>4</v>
      </c>
      <c r="K67" s="25" t="str">
        <f>VLOOKUP(J67,Key!$E$2:$F$9,2,FALSE)</f>
        <v>Commercial</v>
      </c>
      <c r="L67" s="42" t="s">
        <v>146</v>
      </c>
      <c r="M67" s="43" t="s">
        <v>154</v>
      </c>
      <c r="N67" s="42" t="s">
        <v>155</v>
      </c>
      <c r="O67" s="43">
        <v>11</v>
      </c>
      <c r="P67" s="43">
        <v>4</v>
      </c>
      <c r="Q67" s="25" t="str">
        <f>VLOOKUP(P67,Key!$E$2:$F$9,2,FALSE)</f>
        <v>Commercial</v>
      </c>
      <c r="R67" s="25" t="str">
        <f t="shared" si="1"/>
        <v>Commercial-Commercial</v>
      </c>
      <c r="S67" s="58"/>
      <c r="T67" s="58">
        <v>0.5</v>
      </c>
      <c r="U67" s="58">
        <v>3</v>
      </c>
      <c r="V67" s="56"/>
      <c r="W67" s="56"/>
      <c r="X67" s="56"/>
      <c r="Y67" s="59" t="s">
        <v>156</v>
      </c>
      <c r="Z67" s="60">
        <v>1000</v>
      </c>
      <c r="AA67" s="25"/>
      <c r="AB67" s="25"/>
    </row>
    <row r="68" spans="2:28">
      <c r="B68" s="40">
        <v>0.59930555555555554</v>
      </c>
      <c r="C68" s="40" t="s">
        <v>839</v>
      </c>
      <c r="D68" s="44">
        <v>3</v>
      </c>
      <c r="E68" s="45">
        <v>2</v>
      </c>
      <c r="F68" s="42" t="s">
        <v>168</v>
      </c>
      <c r="G68" s="43" t="s">
        <v>154</v>
      </c>
      <c r="H68" s="42" t="s">
        <v>155</v>
      </c>
      <c r="I68" s="43">
        <v>9</v>
      </c>
      <c r="J68" s="43">
        <v>2</v>
      </c>
      <c r="K68" s="25" t="str">
        <f>VLOOKUP(J68,Key!$E$2:$F$9,2,FALSE)</f>
        <v>Work</v>
      </c>
      <c r="L68" s="42" t="s">
        <v>382</v>
      </c>
      <c r="M68" s="43" t="s">
        <v>836</v>
      </c>
      <c r="N68" s="42" t="s">
        <v>155</v>
      </c>
      <c r="O68" s="43">
        <v>11</v>
      </c>
      <c r="P68" s="43">
        <v>8</v>
      </c>
      <c r="Q68" s="25" t="str">
        <f>VLOOKUP(P68,Key!$E$2:$F$9,2,FALSE)</f>
        <v>Others</v>
      </c>
      <c r="R68" s="25" t="str">
        <f t="shared" si="1"/>
        <v>Work-Others</v>
      </c>
      <c r="S68" s="58">
        <v>8</v>
      </c>
      <c r="T68" s="58">
        <v>0.3</v>
      </c>
      <c r="U68" s="58">
        <v>6</v>
      </c>
      <c r="V68" s="56"/>
      <c r="W68" s="56"/>
      <c r="X68" s="56"/>
      <c r="Y68" s="59" t="s">
        <v>156</v>
      </c>
      <c r="Z68" s="60">
        <v>1000</v>
      </c>
      <c r="AA68" s="25"/>
      <c r="AB68" s="25"/>
    </row>
    <row r="69" spans="2:28">
      <c r="B69" s="40">
        <v>0.60277777777777775</v>
      </c>
      <c r="C69" s="40" t="s">
        <v>467</v>
      </c>
      <c r="D69" s="44">
        <v>1</v>
      </c>
      <c r="E69" s="45">
        <v>1</v>
      </c>
      <c r="F69" s="42" t="s">
        <v>245</v>
      </c>
      <c r="G69" s="43" t="s">
        <v>154</v>
      </c>
      <c r="H69" s="42" t="s">
        <v>155</v>
      </c>
      <c r="I69" s="43">
        <v>1</v>
      </c>
      <c r="J69" s="43">
        <v>1</v>
      </c>
      <c r="K69" s="25" t="str">
        <f>VLOOKUP(J69,Key!$E$2:$F$9,2,FALSE)</f>
        <v>Home</v>
      </c>
      <c r="L69" s="42" t="s">
        <v>468</v>
      </c>
      <c r="M69" s="43" t="s">
        <v>836</v>
      </c>
      <c r="N69" s="42" t="s">
        <v>155</v>
      </c>
      <c r="O69" s="43">
        <v>2</v>
      </c>
      <c r="P69" s="43">
        <v>2</v>
      </c>
      <c r="Q69" s="25" t="str">
        <f>VLOOKUP(P69,Key!$E$2:$F$9,2,FALSE)</f>
        <v>Work</v>
      </c>
      <c r="R69" s="25" t="str">
        <f t="shared" si="1"/>
        <v>Home-Work</v>
      </c>
      <c r="S69" s="58"/>
      <c r="T69" s="58">
        <v>0.5</v>
      </c>
      <c r="U69" s="58">
        <v>2</v>
      </c>
      <c r="V69" s="56"/>
      <c r="W69" s="56"/>
      <c r="X69" s="56"/>
      <c r="Y69" s="59" t="s">
        <v>156</v>
      </c>
      <c r="Z69" s="60">
        <v>1000</v>
      </c>
      <c r="AA69" s="25"/>
      <c r="AB69" s="25"/>
    </row>
    <row r="70" spans="2:28">
      <c r="B70" s="40">
        <v>0.6069444444444444</v>
      </c>
      <c r="C70" s="40" t="s">
        <v>469</v>
      </c>
      <c r="D70" s="45">
        <v>1</v>
      </c>
      <c r="E70" s="42">
        <v>3</v>
      </c>
      <c r="F70" s="42" t="s">
        <v>245</v>
      </c>
      <c r="G70" s="43" t="s">
        <v>154</v>
      </c>
      <c r="H70" s="42" t="s">
        <v>155</v>
      </c>
      <c r="I70" s="43">
        <v>1</v>
      </c>
      <c r="J70" s="43">
        <v>1</v>
      </c>
      <c r="K70" s="25" t="str">
        <f>VLOOKUP(J70,Key!$E$2:$F$9,2,FALSE)</f>
        <v>Home</v>
      </c>
      <c r="L70" s="42" t="s">
        <v>836</v>
      </c>
      <c r="M70" s="43" t="s">
        <v>836</v>
      </c>
      <c r="N70" s="42" t="s">
        <v>155</v>
      </c>
      <c r="O70" s="43">
        <v>2</v>
      </c>
      <c r="P70" s="43">
        <v>2</v>
      </c>
      <c r="Q70" s="25" t="str">
        <f>VLOOKUP(P70,Key!$E$2:$F$9,2,FALSE)</f>
        <v>Work</v>
      </c>
      <c r="R70" s="25" t="str">
        <f t="shared" si="1"/>
        <v>Home-Work</v>
      </c>
      <c r="S70" s="58"/>
      <c r="T70" s="58">
        <v>0.5</v>
      </c>
      <c r="U70" s="58"/>
      <c r="V70" s="56"/>
      <c r="W70" s="56"/>
      <c r="X70" s="56"/>
      <c r="Y70" s="59" t="s">
        <v>156</v>
      </c>
      <c r="Z70" s="60">
        <v>3000</v>
      </c>
      <c r="AA70" s="25"/>
      <c r="AB70" s="25"/>
    </row>
    <row r="71" spans="2:28">
      <c r="B71" s="40">
        <v>0.68125000000000002</v>
      </c>
      <c r="C71" s="40" t="s">
        <v>470</v>
      </c>
      <c r="D71" s="45">
        <v>4</v>
      </c>
      <c r="E71" s="45">
        <v>10</v>
      </c>
      <c r="F71" s="42" t="s">
        <v>471</v>
      </c>
      <c r="G71" s="43" t="s">
        <v>154</v>
      </c>
      <c r="H71" s="42" t="s">
        <v>155</v>
      </c>
      <c r="I71" s="43">
        <v>4</v>
      </c>
      <c r="J71" s="43">
        <v>2</v>
      </c>
      <c r="K71" s="25" t="str">
        <f>VLOOKUP(J71,Key!$E$2:$F$9,2,FALSE)</f>
        <v>Work</v>
      </c>
      <c r="L71" s="42" t="s">
        <v>184</v>
      </c>
      <c r="M71" s="43" t="s">
        <v>154</v>
      </c>
      <c r="N71" s="42" t="s">
        <v>155</v>
      </c>
      <c r="O71" s="43">
        <v>16</v>
      </c>
      <c r="P71" s="43">
        <v>2</v>
      </c>
      <c r="Q71" s="25" t="str">
        <f>VLOOKUP(P71,Key!$E$2:$F$9,2,FALSE)</f>
        <v>Work</v>
      </c>
      <c r="R71" s="25" t="str">
        <f t="shared" si="1"/>
        <v>Work-Work</v>
      </c>
      <c r="S71" s="58"/>
      <c r="T71" s="58">
        <v>0.3</v>
      </c>
      <c r="U71" s="58">
        <v>2</v>
      </c>
      <c r="V71" s="56"/>
      <c r="W71" s="56"/>
      <c r="X71" s="56"/>
      <c r="Y71" s="59" t="s">
        <v>156</v>
      </c>
      <c r="Z71" s="60">
        <v>2000</v>
      </c>
      <c r="AA71" s="25"/>
      <c r="AB71" s="25"/>
    </row>
    <row r="72" spans="2:28">
      <c r="B72" s="40">
        <v>0.68819444444444444</v>
      </c>
      <c r="C72" s="40" t="s">
        <v>472</v>
      </c>
      <c r="D72" s="45">
        <v>1</v>
      </c>
      <c r="E72" s="45">
        <v>1</v>
      </c>
      <c r="F72" s="42" t="s">
        <v>168</v>
      </c>
      <c r="G72" s="43" t="s">
        <v>154</v>
      </c>
      <c r="H72" s="42" t="s">
        <v>155</v>
      </c>
      <c r="I72" s="43">
        <v>4</v>
      </c>
      <c r="J72" s="43">
        <v>6</v>
      </c>
      <c r="K72" s="25" t="str">
        <f>VLOOKUP(J72,Key!$E$2:$F$9,2,FALSE)</f>
        <v>Leisure/Social</v>
      </c>
      <c r="L72" s="42" t="s">
        <v>473</v>
      </c>
      <c r="M72" s="43" t="s">
        <v>154</v>
      </c>
      <c r="N72" s="42" t="s">
        <v>155</v>
      </c>
      <c r="O72" s="43">
        <v>1</v>
      </c>
      <c r="P72" s="43">
        <v>1</v>
      </c>
      <c r="Q72" s="25" t="str">
        <f>VLOOKUP(P72,Key!$E$2:$F$9,2,FALSE)</f>
        <v>Home</v>
      </c>
      <c r="R72" s="25" t="str">
        <f t="shared" si="1"/>
        <v>Leisure/Social-Home</v>
      </c>
      <c r="S72" s="58"/>
      <c r="T72" s="58">
        <v>0.5</v>
      </c>
      <c r="U72" s="58">
        <v>2</v>
      </c>
      <c r="V72" s="56"/>
      <c r="W72" s="56"/>
      <c r="X72" s="56"/>
      <c r="Y72" s="59" t="s">
        <v>156</v>
      </c>
      <c r="Z72" s="60">
        <v>0</v>
      </c>
      <c r="AA72" s="25"/>
      <c r="AB72" s="25"/>
    </row>
    <row r="73" spans="2:28">
      <c r="B73" s="40">
        <v>0.70694444444444438</v>
      </c>
      <c r="C73" s="40" t="s">
        <v>343</v>
      </c>
      <c r="D73" s="45">
        <v>4</v>
      </c>
      <c r="E73" s="45">
        <v>2</v>
      </c>
      <c r="F73" s="42" t="s">
        <v>168</v>
      </c>
      <c r="G73" s="43" t="s">
        <v>154</v>
      </c>
      <c r="H73" s="42" t="s">
        <v>155</v>
      </c>
      <c r="I73" s="43">
        <v>4</v>
      </c>
      <c r="J73" s="43">
        <v>6</v>
      </c>
      <c r="K73" s="25" t="str">
        <f>VLOOKUP(J73,Key!$E$2:$F$9,2,FALSE)</f>
        <v>Leisure/Social</v>
      </c>
      <c r="L73" s="42" t="s">
        <v>146</v>
      </c>
      <c r="M73" s="43" t="s">
        <v>154</v>
      </c>
      <c r="N73" s="42" t="s">
        <v>155</v>
      </c>
      <c r="O73" s="43">
        <v>1</v>
      </c>
      <c r="P73" s="43">
        <v>1</v>
      </c>
      <c r="Q73" s="25" t="str">
        <f>VLOOKUP(P73,Key!$E$2:$F$9,2,FALSE)</f>
        <v>Home</v>
      </c>
      <c r="R73" s="25" t="str">
        <f t="shared" si="1"/>
        <v>Leisure/Social-Home</v>
      </c>
      <c r="S73" s="58">
        <v>1</v>
      </c>
      <c r="T73" s="58">
        <v>0.1</v>
      </c>
      <c r="U73" s="58">
        <v>2</v>
      </c>
      <c r="V73" s="56"/>
      <c r="W73" s="56"/>
      <c r="X73" s="56"/>
      <c r="Y73" s="59" t="s">
        <v>156</v>
      </c>
      <c r="Z73" s="60">
        <v>1000</v>
      </c>
      <c r="AA73" s="25"/>
      <c r="AB73" s="25"/>
    </row>
    <row r="74" spans="2:28">
      <c r="B74" s="40">
        <v>0.71458333333333324</v>
      </c>
      <c r="C74" s="40" t="s">
        <v>474</v>
      </c>
      <c r="D74" s="45">
        <v>4</v>
      </c>
      <c r="E74" s="45">
        <v>10</v>
      </c>
      <c r="F74" s="42" t="s">
        <v>168</v>
      </c>
      <c r="G74" s="43" t="s">
        <v>154</v>
      </c>
      <c r="H74" s="42" t="s">
        <v>155</v>
      </c>
      <c r="I74" s="43">
        <v>4</v>
      </c>
      <c r="J74" s="43">
        <v>2</v>
      </c>
      <c r="K74" s="25" t="str">
        <f>VLOOKUP(J74,Key!$E$2:$F$9,2,FALSE)</f>
        <v>Work</v>
      </c>
      <c r="L74" s="42" t="s">
        <v>146</v>
      </c>
      <c r="M74" s="43" t="s">
        <v>154</v>
      </c>
      <c r="N74" s="42" t="s">
        <v>155</v>
      </c>
      <c r="O74" s="43">
        <v>1</v>
      </c>
      <c r="P74" s="43">
        <v>1</v>
      </c>
      <c r="Q74" s="25" t="str">
        <f>VLOOKUP(P74,Key!$E$2:$F$9,2,FALSE)</f>
        <v>Home</v>
      </c>
      <c r="R74" s="25" t="str">
        <f t="shared" si="1"/>
        <v>Work-Home</v>
      </c>
      <c r="S74" s="58">
        <v>1</v>
      </c>
      <c r="T74" s="58">
        <v>0.3</v>
      </c>
      <c r="U74" s="58">
        <v>2</v>
      </c>
      <c r="V74" s="56"/>
      <c r="W74" s="56"/>
      <c r="X74" s="56"/>
      <c r="Y74" s="59" t="s">
        <v>156</v>
      </c>
      <c r="Z74" s="60">
        <v>1000</v>
      </c>
      <c r="AA74" s="25"/>
      <c r="AB74" s="25"/>
    </row>
    <row r="75" spans="2:28">
      <c r="B75" s="40">
        <v>0.7270833333333333</v>
      </c>
      <c r="C75" s="40" t="s">
        <v>475</v>
      </c>
      <c r="D75" s="45">
        <v>7</v>
      </c>
      <c r="E75" s="45">
        <v>1</v>
      </c>
      <c r="F75" s="42" t="s">
        <v>168</v>
      </c>
      <c r="G75" s="43" t="s">
        <v>154</v>
      </c>
      <c r="H75" s="42" t="s">
        <v>155</v>
      </c>
      <c r="I75" s="43">
        <v>2</v>
      </c>
      <c r="J75" s="43">
        <v>2</v>
      </c>
      <c r="K75" s="25" t="str">
        <f>VLOOKUP(J75,Key!$E$2:$F$9,2,FALSE)</f>
        <v>Work</v>
      </c>
      <c r="L75" s="42" t="s">
        <v>413</v>
      </c>
      <c r="M75" s="43" t="s">
        <v>836</v>
      </c>
      <c r="N75" s="42" t="s">
        <v>155</v>
      </c>
      <c r="O75" s="43">
        <v>1</v>
      </c>
      <c r="P75" s="43">
        <v>1</v>
      </c>
      <c r="Q75" s="25" t="str">
        <f>VLOOKUP(P75,Key!$E$2:$F$9,2,FALSE)</f>
        <v>Home</v>
      </c>
      <c r="R75" s="25" t="str">
        <f t="shared" si="1"/>
        <v>Work-Home</v>
      </c>
      <c r="S75" s="58">
        <v>10</v>
      </c>
      <c r="T75" s="58">
        <v>1</v>
      </c>
      <c r="U75" s="58">
        <v>6</v>
      </c>
      <c r="V75" s="56"/>
      <c r="W75" s="56"/>
      <c r="X75" s="56"/>
      <c r="Y75" s="59" t="s">
        <v>156</v>
      </c>
      <c r="Z75" s="60">
        <v>3000</v>
      </c>
      <c r="AA75" s="25"/>
      <c r="AB75" s="25"/>
    </row>
    <row r="76" spans="2:28">
      <c r="B76" s="40">
        <v>0.73958333333333337</v>
      </c>
      <c r="C76" s="40" t="s">
        <v>476</v>
      </c>
      <c r="D76" s="44">
        <v>7</v>
      </c>
      <c r="E76" s="45">
        <v>2</v>
      </c>
      <c r="F76" s="42" t="s">
        <v>477</v>
      </c>
      <c r="G76" s="43" t="s">
        <v>154</v>
      </c>
      <c r="H76" s="42" t="s">
        <v>155</v>
      </c>
      <c r="I76" s="43">
        <v>1</v>
      </c>
      <c r="J76" s="43">
        <v>1</v>
      </c>
      <c r="K76" s="25" t="str">
        <f>VLOOKUP(J76,Key!$E$2:$F$9,2,FALSE)</f>
        <v>Home</v>
      </c>
      <c r="L76" s="42" t="s">
        <v>146</v>
      </c>
      <c r="M76" s="43" t="s">
        <v>154</v>
      </c>
      <c r="N76" s="42" t="s">
        <v>155</v>
      </c>
      <c r="O76" s="43">
        <v>3</v>
      </c>
      <c r="P76" s="43">
        <v>2</v>
      </c>
      <c r="Q76" s="25" t="str">
        <f>VLOOKUP(P76,Key!$E$2:$F$9,2,FALSE)</f>
        <v>Work</v>
      </c>
      <c r="R76" s="25" t="str">
        <f t="shared" si="1"/>
        <v>Home-Work</v>
      </c>
      <c r="S76" s="58"/>
      <c r="T76" s="58">
        <v>2</v>
      </c>
      <c r="U76" s="58">
        <v>3</v>
      </c>
      <c r="V76" s="56"/>
      <c r="W76" s="56"/>
      <c r="X76" s="56"/>
      <c r="Y76" s="59" t="s">
        <v>156</v>
      </c>
      <c r="Z76" s="60">
        <v>1000</v>
      </c>
      <c r="AA76" s="25"/>
      <c r="AB76" s="25"/>
    </row>
    <row r="77" spans="2:28">
      <c r="B77" s="40">
        <v>0.74375000000000002</v>
      </c>
      <c r="C77" s="40" t="s">
        <v>478</v>
      </c>
      <c r="D77" s="45">
        <v>1</v>
      </c>
      <c r="E77" s="42">
        <v>3</v>
      </c>
      <c r="F77" s="42" t="s">
        <v>479</v>
      </c>
      <c r="G77" s="43" t="s">
        <v>154</v>
      </c>
      <c r="H77" s="42" t="s">
        <v>155</v>
      </c>
      <c r="I77" s="43">
        <v>15</v>
      </c>
      <c r="J77" s="43">
        <v>2</v>
      </c>
      <c r="K77" s="25" t="str">
        <f>VLOOKUP(J77,Key!$E$2:$F$9,2,FALSE)</f>
        <v>Work</v>
      </c>
      <c r="L77" s="42" t="s">
        <v>199</v>
      </c>
      <c r="M77" s="43" t="s">
        <v>836</v>
      </c>
      <c r="N77" s="42" t="s">
        <v>155</v>
      </c>
      <c r="O77" s="43">
        <v>10</v>
      </c>
      <c r="P77" s="43">
        <v>2</v>
      </c>
      <c r="Q77" s="25" t="str">
        <f>VLOOKUP(P77,Key!$E$2:$F$9,2,FALSE)</f>
        <v>Work</v>
      </c>
      <c r="R77" s="25" t="str">
        <f t="shared" si="1"/>
        <v>Work-Work</v>
      </c>
      <c r="S77" s="58"/>
      <c r="T77" s="58">
        <v>0.7</v>
      </c>
      <c r="U77" s="58">
        <v>6</v>
      </c>
      <c r="V77" s="56">
        <v>4</v>
      </c>
      <c r="W77" s="56"/>
      <c r="X77" s="56"/>
      <c r="Y77" s="59" t="s">
        <v>156</v>
      </c>
      <c r="Z77" s="60">
        <v>2000</v>
      </c>
      <c r="AA77" s="25"/>
      <c r="AB77" s="25"/>
    </row>
    <row r="78" spans="2:28">
      <c r="B78" s="40">
        <v>0.77916666666666667</v>
      </c>
      <c r="C78" s="40" t="s">
        <v>480</v>
      </c>
      <c r="D78" s="45">
        <v>1</v>
      </c>
      <c r="E78" s="45">
        <v>1</v>
      </c>
      <c r="F78" s="42" t="s">
        <v>168</v>
      </c>
      <c r="G78" s="43" t="s">
        <v>154</v>
      </c>
      <c r="H78" s="42" t="s">
        <v>155</v>
      </c>
      <c r="I78" s="43">
        <v>1</v>
      </c>
      <c r="J78" s="43">
        <v>1</v>
      </c>
      <c r="K78" s="25" t="str">
        <f>VLOOKUP(J78,Key!$E$2:$F$9,2,FALSE)</f>
        <v>Home</v>
      </c>
      <c r="L78" s="42" t="s">
        <v>184</v>
      </c>
      <c r="M78" s="43" t="s">
        <v>154</v>
      </c>
      <c r="N78" s="42" t="s">
        <v>155</v>
      </c>
      <c r="O78" s="43">
        <v>4</v>
      </c>
      <c r="P78" s="43">
        <v>2</v>
      </c>
      <c r="Q78" s="25" t="str">
        <f>VLOOKUP(P78,Key!$E$2:$F$9,2,FALSE)</f>
        <v>Work</v>
      </c>
      <c r="R78" s="25" t="str">
        <f t="shared" si="1"/>
        <v>Home-Work</v>
      </c>
      <c r="S78" s="58"/>
      <c r="T78" s="58">
        <v>0.2</v>
      </c>
      <c r="U78" s="58">
        <v>2</v>
      </c>
      <c r="V78" s="56"/>
      <c r="W78" s="56"/>
      <c r="X78" s="56"/>
      <c r="Y78" s="59" t="s">
        <v>156</v>
      </c>
      <c r="Z78" s="60">
        <v>2000</v>
      </c>
      <c r="AA78" s="25"/>
      <c r="AB78" s="25"/>
    </row>
    <row r="79" spans="2:28">
      <c r="B79" s="40">
        <v>0.76458333333333339</v>
      </c>
      <c r="C79" s="40" t="s">
        <v>481</v>
      </c>
      <c r="D79" s="45">
        <v>1</v>
      </c>
      <c r="E79" s="45">
        <v>1</v>
      </c>
      <c r="F79" s="42" t="s">
        <v>168</v>
      </c>
      <c r="G79" s="43" t="s">
        <v>154</v>
      </c>
      <c r="H79" s="42" t="s">
        <v>155</v>
      </c>
      <c r="I79" s="43">
        <v>1</v>
      </c>
      <c r="J79" s="43">
        <v>1</v>
      </c>
      <c r="K79" s="25" t="str">
        <f>VLOOKUP(J79,Key!$E$2:$F$9,2,FALSE)</f>
        <v>Home</v>
      </c>
      <c r="L79" s="42" t="s">
        <v>146</v>
      </c>
      <c r="M79" s="43" t="s">
        <v>154</v>
      </c>
      <c r="N79" s="42" t="s">
        <v>155</v>
      </c>
      <c r="O79" s="43">
        <v>11</v>
      </c>
      <c r="P79" s="43">
        <v>4</v>
      </c>
      <c r="Q79" s="25" t="str">
        <f>VLOOKUP(P79,Key!$E$2:$F$9,2,FALSE)</f>
        <v>Commercial</v>
      </c>
      <c r="R79" s="25" t="str">
        <f t="shared" si="1"/>
        <v>Home-Commercial</v>
      </c>
      <c r="S79" s="58"/>
      <c r="T79" s="58">
        <v>0.1</v>
      </c>
      <c r="U79" s="58">
        <v>2</v>
      </c>
      <c r="V79" s="56"/>
      <c r="W79" s="56"/>
      <c r="X79" s="56"/>
      <c r="Y79" s="59" t="s">
        <v>156</v>
      </c>
      <c r="Z79" s="60">
        <v>4000</v>
      </c>
      <c r="AA79" s="25"/>
      <c r="AB79" s="25"/>
    </row>
    <row r="80" spans="2:28">
      <c r="B80" s="40">
        <v>0.71527777777777779</v>
      </c>
      <c r="C80" s="40" t="s">
        <v>482</v>
      </c>
      <c r="D80" s="45">
        <v>4</v>
      </c>
      <c r="E80" s="45">
        <v>14</v>
      </c>
      <c r="F80" s="42" t="s">
        <v>245</v>
      </c>
      <c r="G80" s="43" t="s">
        <v>154</v>
      </c>
      <c r="H80" s="42" t="s">
        <v>155</v>
      </c>
      <c r="I80" s="43">
        <v>4</v>
      </c>
      <c r="J80" s="43">
        <v>3</v>
      </c>
      <c r="K80" s="25" t="str">
        <f>VLOOKUP(J80,Key!$E$2:$F$9,2,FALSE)</f>
        <v>Study</v>
      </c>
      <c r="L80" s="42" t="s">
        <v>184</v>
      </c>
      <c r="M80" s="43" t="s">
        <v>154</v>
      </c>
      <c r="N80" s="42" t="s">
        <v>155</v>
      </c>
      <c r="O80" s="43">
        <v>3</v>
      </c>
      <c r="P80" s="43">
        <v>3</v>
      </c>
      <c r="Q80" s="25" t="str">
        <f>VLOOKUP(P80,Key!$E$2:$F$9,2,FALSE)</f>
        <v>Study</v>
      </c>
      <c r="R80" s="25" t="str">
        <f t="shared" si="1"/>
        <v>Study-Study</v>
      </c>
      <c r="S80" s="58">
        <v>6</v>
      </c>
      <c r="T80" s="58">
        <v>0.7</v>
      </c>
      <c r="U80" s="58">
        <v>2</v>
      </c>
      <c r="V80" s="56"/>
      <c r="W80" s="56"/>
      <c r="X80" s="56"/>
      <c r="Y80" s="59" t="s">
        <v>156</v>
      </c>
      <c r="Z80" s="60">
        <v>2000</v>
      </c>
      <c r="AA80" s="25"/>
      <c r="AB80" s="25"/>
    </row>
    <row r="81" spans="2:28">
      <c r="B81" s="40">
        <v>0.70833333333333337</v>
      </c>
      <c r="C81" s="40" t="s">
        <v>483</v>
      </c>
      <c r="D81" s="45">
        <v>1</v>
      </c>
      <c r="E81" s="45">
        <v>1</v>
      </c>
      <c r="F81" s="42" t="s">
        <v>147</v>
      </c>
      <c r="G81" s="43" t="s">
        <v>154</v>
      </c>
      <c r="H81" s="42" t="s">
        <v>155</v>
      </c>
      <c r="I81" s="43">
        <v>1</v>
      </c>
      <c r="J81" s="43">
        <v>1</v>
      </c>
      <c r="K81" s="25" t="str">
        <f>VLOOKUP(J81,Key!$E$2:$F$9,2,FALSE)</f>
        <v>Home</v>
      </c>
      <c r="L81" s="42" t="s">
        <v>836</v>
      </c>
      <c r="M81" s="43" t="s">
        <v>836</v>
      </c>
      <c r="N81" s="42" t="s">
        <v>155</v>
      </c>
      <c r="O81" s="43">
        <v>2</v>
      </c>
      <c r="P81" s="43">
        <v>2</v>
      </c>
      <c r="Q81" s="25" t="str">
        <f>VLOOKUP(P81,Key!$E$2:$F$9,2,FALSE)</f>
        <v>Work</v>
      </c>
      <c r="R81" s="25" t="str">
        <f t="shared" si="1"/>
        <v>Home-Work</v>
      </c>
      <c r="S81" s="58">
        <v>12</v>
      </c>
      <c r="T81" s="58">
        <v>1.5</v>
      </c>
      <c r="U81" s="58">
        <v>2</v>
      </c>
      <c r="V81" s="56"/>
      <c r="W81" s="56"/>
      <c r="X81" s="56"/>
      <c r="Y81" s="59" t="s">
        <v>156</v>
      </c>
      <c r="Z81" s="60">
        <v>1000</v>
      </c>
      <c r="AA81" s="25"/>
      <c r="AB81" s="25"/>
    </row>
    <row r="82" spans="2:28">
      <c r="B82" s="40">
        <v>0.73263888888888884</v>
      </c>
      <c r="C82" s="40" t="s">
        <v>484</v>
      </c>
      <c r="D82" s="45">
        <v>1</v>
      </c>
      <c r="E82" s="45">
        <v>3</v>
      </c>
      <c r="F82" s="42" t="s">
        <v>154</v>
      </c>
      <c r="G82" s="43" t="s">
        <v>154</v>
      </c>
      <c r="H82" s="42" t="s">
        <v>155</v>
      </c>
      <c r="I82" s="43">
        <v>2</v>
      </c>
      <c r="J82" s="43">
        <v>2</v>
      </c>
      <c r="K82" s="25" t="str">
        <f>VLOOKUP(J82,Key!$E$2:$F$9,2,FALSE)</f>
        <v>Work</v>
      </c>
      <c r="L82" s="42" t="s">
        <v>836</v>
      </c>
      <c r="M82" s="43" t="s">
        <v>836</v>
      </c>
      <c r="N82" s="42" t="s">
        <v>155</v>
      </c>
      <c r="O82" s="43">
        <v>1</v>
      </c>
      <c r="P82" s="43">
        <v>1</v>
      </c>
      <c r="Q82" s="25" t="str">
        <f>VLOOKUP(P82,Key!$E$2:$F$9,2,FALSE)</f>
        <v>Home</v>
      </c>
      <c r="R82" s="25" t="str">
        <f t="shared" si="1"/>
        <v>Work-Home</v>
      </c>
      <c r="S82" s="58">
        <v>14</v>
      </c>
      <c r="T82" s="58">
        <v>2</v>
      </c>
      <c r="U82" s="58">
        <v>2</v>
      </c>
      <c r="V82" s="56"/>
      <c r="W82" s="56"/>
      <c r="X82" s="56"/>
      <c r="Y82" s="59" t="s">
        <v>156</v>
      </c>
      <c r="Z82" s="60">
        <v>1000</v>
      </c>
      <c r="AA82" s="25"/>
      <c r="AB82" s="25"/>
    </row>
    <row r="83" spans="2:28">
      <c r="B83" s="40">
        <v>0.7680555555555556</v>
      </c>
      <c r="C83" s="40" t="s">
        <v>485</v>
      </c>
      <c r="D83" s="45">
        <v>9</v>
      </c>
      <c r="E83" s="45">
        <v>2</v>
      </c>
      <c r="F83" s="42" t="s">
        <v>300</v>
      </c>
      <c r="G83" s="43" t="s">
        <v>154</v>
      </c>
      <c r="H83" s="42" t="s">
        <v>155</v>
      </c>
      <c r="I83" s="43">
        <v>10</v>
      </c>
      <c r="J83" s="43">
        <v>4</v>
      </c>
      <c r="K83" s="25" t="str">
        <f>VLOOKUP(J83,Key!$E$2:$F$9,2,FALSE)</f>
        <v>Commercial</v>
      </c>
      <c r="L83" s="42" t="s">
        <v>278</v>
      </c>
      <c r="M83" s="43" t="s">
        <v>154</v>
      </c>
      <c r="N83" s="42" t="s">
        <v>155</v>
      </c>
      <c r="O83" s="43">
        <v>10</v>
      </c>
      <c r="P83" s="43">
        <v>4</v>
      </c>
      <c r="Q83" s="25" t="str">
        <f>VLOOKUP(P83,Key!$E$2:$F$9,2,FALSE)</f>
        <v>Commercial</v>
      </c>
      <c r="R83" s="25" t="str">
        <f t="shared" si="1"/>
        <v>Commercial-Commercial</v>
      </c>
      <c r="S83" s="58">
        <v>60</v>
      </c>
      <c r="T83" s="58">
        <v>2.5</v>
      </c>
      <c r="U83" s="58"/>
      <c r="V83" s="56">
        <v>4</v>
      </c>
      <c r="W83" s="56">
        <v>25</v>
      </c>
      <c r="X83" s="56"/>
      <c r="Y83" s="59" t="s">
        <v>156</v>
      </c>
      <c r="Z83" s="60">
        <v>10000</v>
      </c>
      <c r="AA83" s="25"/>
      <c r="AB83" s="25"/>
    </row>
    <row r="84" spans="2:28">
      <c r="B84" s="40">
        <v>0.59861111111111109</v>
      </c>
      <c r="C84" s="40" t="s">
        <v>486</v>
      </c>
      <c r="D84" s="44">
        <v>1</v>
      </c>
      <c r="E84" s="42">
        <v>2</v>
      </c>
      <c r="F84" s="42" t="s">
        <v>163</v>
      </c>
      <c r="G84" s="43" t="s">
        <v>163</v>
      </c>
      <c r="H84" s="42" t="s">
        <v>155</v>
      </c>
      <c r="I84" s="43">
        <v>1</v>
      </c>
      <c r="J84" s="43">
        <v>1</v>
      </c>
      <c r="K84" s="25" t="str">
        <f>VLOOKUP(J84,Key!$E$2:$F$9,2,FALSE)</f>
        <v>Home</v>
      </c>
      <c r="L84" s="42" t="s">
        <v>487</v>
      </c>
      <c r="M84" s="43" t="s">
        <v>154</v>
      </c>
      <c r="N84" s="42" t="s">
        <v>155</v>
      </c>
      <c r="O84" s="43">
        <v>2</v>
      </c>
      <c r="P84" s="43">
        <v>2</v>
      </c>
      <c r="Q84" s="25" t="str">
        <f>VLOOKUP(P84,Key!$E$2:$F$9,2,FALSE)</f>
        <v>Work</v>
      </c>
      <c r="R84" s="25" t="str">
        <f t="shared" si="1"/>
        <v>Home-Work</v>
      </c>
      <c r="S84" s="58"/>
      <c r="T84" s="58"/>
      <c r="U84" s="58">
        <v>2</v>
      </c>
      <c r="V84" s="56"/>
      <c r="W84" s="56"/>
      <c r="X84" s="56"/>
      <c r="Y84" s="59" t="s">
        <v>156</v>
      </c>
      <c r="Z84" s="60">
        <v>1000</v>
      </c>
      <c r="AA84" s="25"/>
      <c r="AB84" s="25"/>
    </row>
    <row r="85" spans="2:28">
      <c r="B85" s="40">
        <v>0.59722222222222221</v>
      </c>
      <c r="C85" s="40" t="s">
        <v>488</v>
      </c>
      <c r="D85" s="45">
        <v>1</v>
      </c>
      <c r="E85" s="45">
        <v>2</v>
      </c>
      <c r="F85" s="42" t="s">
        <v>168</v>
      </c>
      <c r="G85" s="43" t="s">
        <v>154</v>
      </c>
      <c r="H85" s="42" t="s">
        <v>155</v>
      </c>
      <c r="I85" s="43">
        <v>1</v>
      </c>
      <c r="J85" s="43">
        <v>1</v>
      </c>
      <c r="K85" s="25" t="str">
        <f>VLOOKUP(J85,Key!$E$2:$F$9,2,FALSE)</f>
        <v>Home</v>
      </c>
      <c r="L85" s="42" t="s">
        <v>487</v>
      </c>
      <c r="M85" s="43" t="s">
        <v>154</v>
      </c>
      <c r="N85" s="42" t="s">
        <v>155</v>
      </c>
      <c r="O85" s="43">
        <v>4</v>
      </c>
      <c r="P85" s="43">
        <v>3</v>
      </c>
      <c r="Q85" s="25" t="str">
        <f>VLOOKUP(P85,Key!$E$2:$F$9,2,FALSE)</f>
        <v>Study</v>
      </c>
      <c r="R85" s="25" t="str">
        <f t="shared" si="1"/>
        <v>Home-Study</v>
      </c>
      <c r="S85" s="58"/>
      <c r="T85" s="58"/>
      <c r="U85" s="58">
        <v>2</v>
      </c>
      <c r="V85" s="56"/>
      <c r="W85" s="56"/>
      <c r="X85" s="56"/>
      <c r="Y85" s="59" t="s">
        <v>156</v>
      </c>
      <c r="Z85" s="60">
        <v>5000</v>
      </c>
      <c r="AA85" s="25"/>
      <c r="AB85" s="25"/>
    </row>
    <row r="86" spans="2:28">
      <c r="B86" s="40">
        <v>0.60277777777777775</v>
      </c>
      <c r="C86" s="40" t="s">
        <v>489</v>
      </c>
      <c r="D86" s="44">
        <v>1</v>
      </c>
      <c r="E86" s="45">
        <v>3</v>
      </c>
      <c r="F86" s="42" t="s">
        <v>382</v>
      </c>
      <c r="G86" s="43" t="s">
        <v>836</v>
      </c>
      <c r="H86" s="42" t="s">
        <v>155</v>
      </c>
      <c r="I86" s="43">
        <v>1</v>
      </c>
      <c r="J86" s="43">
        <v>1</v>
      </c>
      <c r="K86" s="25" t="str">
        <f>VLOOKUP(J86,Key!$E$2:$F$9,2,FALSE)</f>
        <v>Home</v>
      </c>
      <c r="L86" s="42" t="s">
        <v>490</v>
      </c>
      <c r="M86" s="43" t="s">
        <v>154</v>
      </c>
      <c r="N86" s="42" t="s">
        <v>155</v>
      </c>
      <c r="O86" s="43">
        <v>16</v>
      </c>
      <c r="P86" s="43">
        <v>1</v>
      </c>
      <c r="Q86" s="25" t="str">
        <f>VLOOKUP(P86,Key!$E$2:$F$9,2,FALSE)</f>
        <v>Home</v>
      </c>
      <c r="R86" s="25" t="str">
        <f t="shared" si="1"/>
        <v>Home-Home</v>
      </c>
      <c r="S86" s="58">
        <v>25</v>
      </c>
      <c r="T86" s="58">
        <v>1</v>
      </c>
      <c r="U86" s="58">
        <v>2</v>
      </c>
      <c r="V86" s="56"/>
      <c r="W86" s="56"/>
      <c r="X86" s="56"/>
      <c r="Y86" s="59" t="s">
        <v>156</v>
      </c>
      <c r="Z86" s="60">
        <v>0</v>
      </c>
      <c r="AA86" s="25"/>
      <c r="AB86" s="25"/>
    </row>
    <row r="87" spans="2:28">
      <c r="B87" s="40">
        <v>0.6069444444444444</v>
      </c>
      <c r="C87" s="40" t="s">
        <v>491</v>
      </c>
      <c r="D87" s="45">
        <v>2</v>
      </c>
      <c r="E87" s="42">
        <v>1</v>
      </c>
      <c r="F87" s="42" t="s">
        <v>245</v>
      </c>
      <c r="G87" s="43" t="s">
        <v>154</v>
      </c>
      <c r="H87" s="42" t="s">
        <v>155</v>
      </c>
      <c r="I87" s="43">
        <v>1</v>
      </c>
      <c r="J87" s="43">
        <v>1</v>
      </c>
      <c r="K87" s="25" t="str">
        <f>VLOOKUP(J87,Key!$E$2:$F$9,2,FALSE)</f>
        <v>Home</v>
      </c>
      <c r="L87" s="42" t="s">
        <v>278</v>
      </c>
      <c r="M87" s="43" t="s">
        <v>154</v>
      </c>
      <c r="N87" s="42" t="s">
        <v>155</v>
      </c>
      <c r="O87" s="43">
        <v>2</v>
      </c>
      <c r="P87" s="43">
        <v>2</v>
      </c>
      <c r="Q87" s="25" t="str">
        <f>VLOOKUP(P87,Key!$E$2:$F$9,2,FALSE)</f>
        <v>Work</v>
      </c>
      <c r="R87" s="25" t="str">
        <f t="shared" si="1"/>
        <v>Home-Work</v>
      </c>
      <c r="S87" s="58">
        <v>15</v>
      </c>
      <c r="T87" s="58">
        <v>0.5</v>
      </c>
      <c r="U87" s="58">
        <v>3</v>
      </c>
      <c r="V87" s="56"/>
      <c r="W87" s="56"/>
      <c r="X87" s="56"/>
      <c r="Y87" s="59" t="s">
        <v>156</v>
      </c>
      <c r="Z87" s="60">
        <v>3000</v>
      </c>
      <c r="AA87" s="25"/>
      <c r="AB87" s="25"/>
    </row>
    <row r="88" spans="2:28">
      <c r="B88" s="40">
        <v>0.59166666666666667</v>
      </c>
      <c r="C88" s="40" t="s">
        <v>492</v>
      </c>
      <c r="D88" s="45">
        <v>1</v>
      </c>
      <c r="E88" s="45">
        <v>2</v>
      </c>
      <c r="F88" s="42" t="s">
        <v>147</v>
      </c>
      <c r="G88" s="43" t="s">
        <v>154</v>
      </c>
      <c r="H88" s="42" t="s">
        <v>155</v>
      </c>
      <c r="I88" s="43">
        <v>1</v>
      </c>
      <c r="J88" s="43">
        <v>1</v>
      </c>
      <c r="K88" s="25" t="str">
        <f>VLOOKUP(J88,Key!$E$2:$F$9,2,FALSE)</f>
        <v>Home</v>
      </c>
      <c r="L88" s="42" t="s">
        <v>836</v>
      </c>
      <c r="M88" s="43" t="s">
        <v>836</v>
      </c>
      <c r="N88" s="42" t="s">
        <v>155</v>
      </c>
      <c r="O88" s="43">
        <v>7</v>
      </c>
      <c r="P88" s="43">
        <v>6</v>
      </c>
      <c r="Q88" s="25" t="str">
        <f>VLOOKUP(P88,Key!$E$2:$F$9,2,FALSE)</f>
        <v>Leisure/Social</v>
      </c>
      <c r="R88" s="25" t="str">
        <f t="shared" si="1"/>
        <v>Home-Leisure/Social</v>
      </c>
      <c r="S88" s="58">
        <v>15</v>
      </c>
      <c r="T88" s="58">
        <v>1</v>
      </c>
      <c r="U88" s="58">
        <v>3</v>
      </c>
      <c r="V88" s="56"/>
      <c r="W88" s="56"/>
      <c r="X88" s="56"/>
      <c r="Y88" s="59" t="s">
        <v>156</v>
      </c>
      <c r="Z88" s="60">
        <v>5000</v>
      </c>
      <c r="AA88" s="25"/>
      <c r="AB88" s="25"/>
    </row>
    <row r="89" spans="2:28">
      <c r="B89" s="40">
        <v>0.59444444444444444</v>
      </c>
      <c r="C89" s="40" t="s">
        <v>493</v>
      </c>
      <c r="D89" s="45">
        <v>3</v>
      </c>
      <c r="E89" s="45">
        <v>2</v>
      </c>
      <c r="F89" s="42" t="s">
        <v>147</v>
      </c>
      <c r="G89" s="43" t="s">
        <v>154</v>
      </c>
      <c r="H89" s="42" t="s">
        <v>155</v>
      </c>
      <c r="I89" s="43">
        <v>3</v>
      </c>
      <c r="J89" s="43">
        <v>4</v>
      </c>
      <c r="K89" s="25" t="str">
        <f>VLOOKUP(J89,Key!$E$2:$F$9,2,FALSE)</f>
        <v>Commercial</v>
      </c>
      <c r="L89" s="42" t="s">
        <v>836</v>
      </c>
      <c r="M89" s="43" t="s">
        <v>836</v>
      </c>
      <c r="N89" s="42" t="s">
        <v>155</v>
      </c>
      <c r="O89" s="43">
        <v>12</v>
      </c>
      <c r="P89" s="43">
        <v>4</v>
      </c>
      <c r="Q89" s="25" t="str">
        <f>VLOOKUP(P89,Key!$E$2:$F$9,2,FALSE)</f>
        <v>Commercial</v>
      </c>
      <c r="R89" s="25" t="str">
        <f t="shared" si="1"/>
        <v>Commercial-Commercial</v>
      </c>
      <c r="S89" s="58">
        <v>25</v>
      </c>
      <c r="T89" s="58">
        <v>1.5</v>
      </c>
      <c r="U89" s="58">
        <v>1</v>
      </c>
      <c r="V89" s="56"/>
      <c r="W89" s="56"/>
      <c r="X89" s="56"/>
      <c r="Y89" s="59" t="s">
        <v>156</v>
      </c>
      <c r="Z89" s="60">
        <v>1000</v>
      </c>
      <c r="AA89" s="25"/>
      <c r="AB89" s="25"/>
    </row>
    <row r="90" spans="2:28">
      <c r="B90" s="40">
        <v>0.57291666666666663</v>
      </c>
      <c r="C90" s="40" t="s">
        <v>494</v>
      </c>
      <c r="D90" s="45">
        <v>1</v>
      </c>
      <c r="E90" s="45">
        <v>4</v>
      </c>
      <c r="F90" s="42" t="s">
        <v>836</v>
      </c>
      <c r="G90" s="43" t="s">
        <v>836</v>
      </c>
      <c r="H90" s="42" t="s">
        <v>155</v>
      </c>
      <c r="I90" s="43">
        <v>1</v>
      </c>
      <c r="J90" s="43">
        <v>1</v>
      </c>
      <c r="K90" s="25" t="str">
        <f>VLOOKUP(J90,Key!$E$2:$F$9,2,FALSE)</f>
        <v>Home</v>
      </c>
      <c r="L90" s="42" t="s">
        <v>184</v>
      </c>
      <c r="M90" s="43" t="s">
        <v>154</v>
      </c>
      <c r="N90" s="42" t="s">
        <v>155</v>
      </c>
      <c r="O90" s="43">
        <v>3</v>
      </c>
      <c r="P90" s="43">
        <v>2</v>
      </c>
      <c r="Q90" s="25" t="str">
        <f>VLOOKUP(P90,Key!$E$2:$F$9,2,FALSE)</f>
        <v>Work</v>
      </c>
      <c r="R90" s="25" t="str">
        <f t="shared" si="1"/>
        <v>Home-Work</v>
      </c>
      <c r="S90" s="58">
        <v>20</v>
      </c>
      <c r="T90" s="58">
        <v>0.7</v>
      </c>
      <c r="U90" s="58">
        <v>3</v>
      </c>
      <c r="V90" s="56">
        <v>9</v>
      </c>
      <c r="W90" s="56">
        <v>2</v>
      </c>
      <c r="X90" s="56"/>
      <c r="Y90" s="59" t="s">
        <v>156</v>
      </c>
      <c r="Z90" s="60">
        <v>5000</v>
      </c>
      <c r="AA90" s="25"/>
      <c r="AB90" s="25"/>
    </row>
    <row r="91" spans="2:28">
      <c r="B91" s="40">
        <v>0.58958333333333335</v>
      </c>
      <c r="C91" s="40" t="s">
        <v>495</v>
      </c>
      <c r="D91" s="44">
        <v>2</v>
      </c>
      <c r="E91" s="45">
        <v>3</v>
      </c>
      <c r="F91" s="42" t="s">
        <v>404</v>
      </c>
      <c r="G91" s="43" t="s">
        <v>154</v>
      </c>
      <c r="H91" s="42" t="s">
        <v>155</v>
      </c>
      <c r="I91" s="43">
        <v>1</v>
      </c>
      <c r="J91" s="43">
        <v>1</v>
      </c>
      <c r="K91" s="25" t="str">
        <f>VLOOKUP(J91,Key!$E$2:$F$9,2,FALSE)</f>
        <v>Home</v>
      </c>
      <c r="L91" s="42" t="s">
        <v>146</v>
      </c>
      <c r="M91" s="43" t="s">
        <v>154</v>
      </c>
      <c r="N91" s="42" t="s">
        <v>155</v>
      </c>
      <c r="O91" s="43">
        <v>16</v>
      </c>
      <c r="P91" s="43">
        <v>8</v>
      </c>
      <c r="Q91" s="25" t="str">
        <f>VLOOKUP(P91,Key!$E$2:$F$9,2,FALSE)</f>
        <v>Others</v>
      </c>
      <c r="R91" s="25" t="str">
        <f t="shared" si="1"/>
        <v>Home-Others</v>
      </c>
      <c r="S91" s="58">
        <v>2</v>
      </c>
      <c r="T91" s="58">
        <v>0.1</v>
      </c>
      <c r="U91" s="58">
        <v>2</v>
      </c>
      <c r="V91" s="56"/>
      <c r="W91" s="56"/>
      <c r="X91" s="56"/>
      <c r="Y91" s="59" t="s">
        <v>156</v>
      </c>
      <c r="Z91" s="60">
        <v>3000</v>
      </c>
      <c r="AA91" s="25"/>
      <c r="AB91" s="25"/>
    </row>
    <row r="92" spans="2:28">
      <c r="B92" s="40">
        <v>0.55555555555555558</v>
      </c>
      <c r="C92" s="40" t="s">
        <v>496</v>
      </c>
      <c r="D92" s="44">
        <v>1</v>
      </c>
      <c r="E92" s="45">
        <v>1</v>
      </c>
      <c r="F92" s="42" t="s">
        <v>404</v>
      </c>
      <c r="G92" s="43" t="s">
        <v>154</v>
      </c>
      <c r="H92" s="42" t="s">
        <v>155</v>
      </c>
      <c r="I92" s="43">
        <v>1</v>
      </c>
      <c r="J92" s="43">
        <v>1</v>
      </c>
      <c r="K92" s="25" t="str">
        <f>VLOOKUP(J92,Key!$E$2:$F$9,2,FALSE)</f>
        <v>Home</v>
      </c>
      <c r="L92" s="42" t="s">
        <v>184</v>
      </c>
      <c r="M92" s="43" t="s">
        <v>154</v>
      </c>
      <c r="N92" s="42" t="s">
        <v>155</v>
      </c>
      <c r="O92" s="43">
        <v>1</v>
      </c>
      <c r="P92" s="43">
        <v>1</v>
      </c>
      <c r="Q92" s="25" t="str">
        <f>VLOOKUP(P92,Key!$E$2:$F$9,2,FALSE)</f>
        <v>Home</v>
      </c>
      <c r="R92" s="25" t="str">
        <f t="shared" si="1"/>
        <v>Home-Home</v>
      </c>
      <c r="S92" s="58">
        <v>19</v>
      </c>
      <c r="T92" s="58">
        <v>0.7</v>
      </c>
      <c r="U92" s="58">
        <v>2</v>
      </c>
      <c r="V92" s="56"/>
      <c r="W92" s="56"/>
      <c r="X92" s="56"/>
      <c r="Y92" s="59" t="s">
        <v>156</v>
      </c>
      <c r="Z92" s="60">
        <v>2000</v>
      </c>
      <c r="AA92" s="25"/>
      <c r="AB92" s="25"/>
    </row>
    <row r="93" spans="2:28">
      <c r="B93" s="40">
        <v>0.57013888888888886</v>
      </c>
      <c r="C93" s="40" t="s">
        <v>497</v>
      </c>
      <c r="D93" s="44">
        <v>3</v>
      </c>
      <c r="E93" s="42">
        <v>2</v>
      </c>
      <c r="F93" s="42" t="s">
        <v>404</v>
      </c>
      <c r="G93" s="43" t="s">
        <v>154</v>
      </c>
      <c r="H93" s="42" t="s">
        <v>155</v>
      </c>
      <c r="I93" s="43">
        <v>1</v>
      </c>
      <c r="J93" s="43">
        <v>1</v>
      </c>
      <c r="K93" s="25" t="str">
        <f>VLOOKUP(J93,Key!$E$2:$F$9,2,FALSE)</f>
        <v>Home</v>
      </c>
      <c r="L93" s="42" t="s">
        <v>146</v>
      </c>
      <c r="M93" s="43" t="s">
        <v>154</v>
      </c>
      <c r="N93" s="42" t="s">
        <v>155</v>
      </c>
      <c r="O93" s="43">
        <v>2</v>
      </c>
      <c r="P93" s="43">
        <v>2</v>
      </c>
      <c r="Q93" s="25" t="str">
        <f>VLOOKUP(P93,Key!$E$2:$F$9,2,FALSE)</f>
        <v>Work</v>
      </c>
      <c r="R93" s="25" t="str">
        <f t="shared" si="1"/>
        <v>Home-Work</v>
      </c>
      <c r="S93" s="58">
        <v>2</v>
      </c>
      <c r="T93" s="58"/>
      <c r="U93" s="58">
        <v>2</v>
      </c>
      <c r="V93" s="56"/>
      <c r="W93" s="56"/>
      <c r="X93" s="56"/>
      <c r="Y93" s="59" t="s">
        <v>156</v>
      </c>
      <c r="Z93" s="60">
        <v>1000</v>
      </c>
      <c r="AA93" s="25"/>
      <c r="AB93" s="25"/>
    </row>
    <row r="94" spans="2:28">
      <c r="B94" s="40">
        <v>0.5493055555555556</v>
      </c>
      <c r="C94" s="40" t="s">
        <v>498</v>
      </c>
      <c r="D94" s="44">
        <v>1</v>
      </c>
      <c r="E94" s="42">
        <v>2</v>
      </c>
      <c r="F94" s="42" t="s">
        <v>147</v>
      </c>
      <c r="G94" s="43" t="s">
        <v>154</v>
      </c>
      <c r="H94" s="42" t="s">
        <v>155</v>
      </c>
      <c r="I94" s="43">
        <v>1</v>
      </c>
      <c r="J94" s="43">
        <v>1</v>
      </c>
      <c r="K94" s="25" t="str">
        <f>VLOOKUP(J94,Key!$E$2:$F$9,2,FALSE)</f>
        <v>Home</v>
      </c>
      <c r="L94" s="42" t="s">
        <v>840</v>
      </c>
      <c r="M94" s="43" t="s">
        <v>154</v>
      </c>
      <c r="N94" s="42" t="s">
        <v>155</v>
      </c>
      <c r="O94" s="43">
        <v>16</v>
      </c>
      <c r="P94" s="43">
        <v>8</v>
      </c>
      <c r="Q94" s="25" t="str">
        <f>VLOOKUP(P94,Key!$E$2:$F$9,2,FALSE)</f>
        <v>Others</v>
      </c>
      <c r="R94" s="25" t="str">
        <f t="shared" si="1"/>
        <v>Home-Others</v>
      </c>
      <c r="S94" s="58"/>
      <c r="T94" s="58"/>
      <c r="U94" s="58"/>
      <c r="V94" s="56"/>
      <c r="W94" s="56"/>
      <c r="X94" s="56"/>
      <c r="Y94" s="59" t="s">
        <v>156</v>
      </c>
      <c r="Z94" s="60">
        <v>3000</v>
      </c>
      <c r="AA94" s="25"/>
      <c r="AB94" s="25"/>
    </row>
    <row r="95" spans="2:28">
      <c r="B95" s="40">
        <v>0.55277777777777781</v>
      </c>
      <c r="C95" s="40" t="s">
        <v>499</v>
      </c>
      <c r="D95" s="45">
        <v>2</v>
      </c>
      <c r="E95" s="45">
        <v>4</v>
      </c>
      <c r="F95" s="42" t="s">
        <v>838</v>
      </c>
      <c r="G95" s="43" t="s">
        <v>154</v>
      </c>
      <c r="H95" s="42" t="s">
        <v>155</v>
      </c>
      <c r="I95" s="43">
        <v>6</v>
      </c>
      <c r="J95" s="43">
        <v>1</v>
      </c>
      <c r="K95" s="25" t="str">
        <f>VLOOKUP(J95,Key!$E$2:$F$9,2,FALSE)</f>
        <v>Home</v>
      </c>
      <c r="L95" s="42" t="s">
        <v>163</v>
      </c>
      <c r="M95" s="43" t="s">
        <v>163</v>
      </c>
      <c r="N95" s="42" t="s">
        <v>155</v>
      </c>
      <c r="O95" s="43">
        <v>1</v>
      </c>
      <c r="P95" s="43">
        <v>1</v>
      </c>
      <c r="Q95" s="25" t="str">
        <f>VLOOKUP(P95,Key!$E$2:$F$9,2,FALSE)</f>
        <v>Home</v>
      </c>
      <c r="R95" s="25" t="str">
        <f t="shared" si="1"/>
        <v>Home-Home</v>
      </c>
      <c r="S95" s="58">
        <v>10</v>
      </c>
      <c r="T95" s="58">
        <v>1</v>
      </c>
      <c r="U95" s="58">
        <v>2</v>
      </c>
      <c r="V95" s="56"/>
      <c r="W95" s="56"/>
      <c r="X95" s="56"/>
      <c r="Y95" s="59" t="s">
        <v>156</v>
      </c>
      <c r="Z95" s="60">
        <v>2000</v>
      </c>
      <c r="AA95" s="25"/>
      <c r="AB95" s="25"/>
    </row>
    <row r="96" spans="2:28">
      <c r="B96" s="40">
        <v>0.52638888888888891</v>
      </c>
      <c r="C96" s="40" t="s">
        <v>500</v>
      </c>
      <c r="D96" s="44">
        <v>1</v>
      </c>
      <c r="E96" s="45">
        <v>4</v>
      </c>
      <c r="F96" s="42" t="s">
        <v>404</v>
      </c>
      <c r="G96" s="43" t="s">
        <v>154</v>
      </c>
      <c r="H96" s="42" t="s">
        <v>155</v>
      </c>
      <c r="I96" s="43">
        <v>1</v>
      </c>
      <c r="J96" s="43">
        <v>1</v>
      </c>
      <c r="K96" s="25" t="str">
        <f>VLOOKUP(J96,Key!$E$2:$F$9,2,FALSE)</f>
        <v>Home</v>
      </c>
      <c r="L96" s="42" t="s">
        <v>146</v>
      </c>
      <c r="M96" s="43" t="s">
        <v>154</v>
      </c>
      <c r="N96" s="42" t="s">
        <v>155</v>
      </c>
      <c r="O96" s="43">
        <v>5</v>
      </c>
      <c r="P96" s="43">
        <v>2</v>
      </c>
      <c r="Q96" s="25" t="str">
        <f>VLOOKUP(P96,Key!$E$2:$F$9,2,FALSE)</f>
        <v>Work</v>
      </c>
      <c r="R96" s="25" t="str">
        <f t="shared" si="1"/>
        <v>Home-Work</v>
      </c>
      <c r="S96" s="58">
        <v>4</v>
      </c>
      <c r="T96" s="58">
        <v>0.1</v>
      </c>
      <c r="U96" s="58">
        <v>2</v>
      </c>
      <c r="V96" s="56"/>
      <c r="W96" s="56"/>
      <c r="X96" s="56"/>
      <c r="Y96" s="59" t="s">
        <v>156</v>
      </c>
      <c r="Z96" s="60">
        <v>10000</v>
      </c>
      <c r="AA96" s="25"/>
      <c r="AB96" s="25"/>
    </row>
    <row r="97" spans="2:28">
      <c r="B97" s="40">
        <v>0.54375000000000007</v>
      </c>
      <c r="C97" s="40" t="s">
        <v>501</v>
      </c>
      <c r="D97" s="45">
        <v>1</v>
      </c>
      <c r="E97" s="45">
        <v>3</v>
      </c>
      <c r="F97" s="42" t="s">
        <v>502</v>
      </c>
      <c r="G97" s="43" t="s">
        <v>154</v>
      </c>
      <c r="H97" s="42" t="s">
        <v>155</v>
      </c>
      <c r="I97" s="43">
        <v>1</v>
      </c>
      <c r="J97" s="43">
        <v>1</v>
      </c>
      <c r="K97" s="25" t="str">
        <f>VLOOKUP(J97,Key!$E$2:$F$9,2,FALSE)</f>
        <v>Home</v>
      </c>
      <c r="L97" s="42" t="s">
        <v>199</v>
      </c>
      <c r="M97" s="43" t="s">
        <v>836</v>
      </c>
      <c r="N97" s="42" t="s">
        <v>155</v>
      </c>
      <c r="O97" s="43">
        <v>16</v>
      </c>
      <c r="P97" s="43">
        <v>2</v>
      </c>
      <c r="Q97" s="25" t="str">
        <f>VLOOKUP(P97,Key!$E$2:$F$9,2,FALSE)</f>
        <v>Work</v>
      </c>
      <c r="R97" s="25" t="str">
        <f t="shared" si="1"/>
        <v>Home-Work</v>
      </c>
      <c r="S97" s="58">
        <v>19</v>
      </c>
      <c r="T97" s="58">
        <v>0.5</v>
      </c>
      <c r="U97" s="58">
        <v>6</v>
      </c>
      <c r="V97" s="56"/>
      <c r="W97" s="56"/>
      <c r="X97" s="56"/>
      <c r="Y97" s="59" t="s">
        <v>156</v>
      </c>
      <c r="Z97" s="60">
        <v>2000</v>
      </c>
      <c r="AA97" s="25"/>
      <c r="AB97" s="25"/>
    </row>
    <row r="98" spans="2:28">
      <c r="B98" s="40">
        <v>0.51666666666666672</v>
      </c>
      <c r="C98" s="40" t="s">
        <v>503</v>
      </c>
      <c r="D98" s="45">
        <v>8</v>
      </c>
      <c r="E98" s="45">
        <v>3</v>
      </c>
      <c r="F98" s="42" t="s">
        <v>504</v>
      </c>
      <c r="G98" s="43" t="s">
        <v>154</v>
      </c>
      <c r="H98" s="42" t="s">
        <v>155</v>
      </c>
      <c r="I98" s="43">
        <v>11</v>
      </c>
      <c r="J98" s="43">
        <v>4</v>
      </c>
      <c r="K98" s="25" t="str">
        <f>VLOOKUP(J98,Key!$E$2:$F$9,2,FALSE)</f>
        <v>Commercial</v>
      </c>
      <c r="L98" s="42" t="s">
        <v>146</v>
      </c>
      <c r="M98" s="43" t="s">
        <v>154</v>
      </c>
      <c r="N98" s="42" t="s">
        <v>155</v>
      </c>
      <c r="O98" s="43">
        <v>3</v>
      </c>
      <c r="P98" s="43">
        <v>4</v>
      </c>
      <c r="Q98" s="25" t="str">
        <f>VLOOKUP(P98,Key!$E$2:$F$9,2,FALSE)</f>
        <v>Commercial</v>
      </c>
      <c r="R98" s="25" t="str">
        <f t="shared" si="1"/>
        <v>Commercial-Commercial</v>
      </c>
      <c r="S98" s="58">
        <v>2</v>
      </c>
      <c r="T98" s="58">
        <v>0.5</v>
      </c>
      <c r="U98" s="58">
        <v>6</v>
      </c>
      <c r="V98" s="56">
        <v>6</v>
      </c>
      <c r="W98" s="56">
        <v>4</v>
      </c>
      <c r="X98" s="56"/>
      <c r="Y98" s="59" t="s">
        <v>156</v>
      </c>
      <c r="Z98" s="60">
        <v>500</v>
      </c>
      <c r="AA98" s="25"/>
      <c r="AB98" s="25"/>
    </row>
    <row r="99" spans="2:28">
      <c r="B99" s="40">
        <v>0.52083333333333337</v>
      </c>
      <c r="C99" s="40" t="s">
        <v>505</v>
      </c>
      <c r="D99" s="44">
        <v>1</v>
      </c>
      <c r="E99" s="45">
        <v>1</v>
      </c>
      <c r="F99" s="42" t="s">
        <v>215</v>
      </c>
      <c r="G99" s="43" t="s">
        <v>215</v>
      </c>
      <c r="H99" s="42" t="s">
        <v>155</v>
      </c>
      <c r="I99" s="43">
        <v>16</v>
      </c>
      <c r="J99" s="43">
        <v>1</v>
      </c>
      <c r="K99" s="25" t="str">
        <f>VLOOKUP(J99,Key!$E$2:$F$9,2,FALSE)</f>
        <v>Home</v>
      </c>
      <c r="L99" s="42" t="s">
        <v>146</v>
      </c>
      <c r="M99" s="43" t="s">
        <v>154</v>
      </c>
      <c r="N99" s="42" t="s">
        <v>155</v>
      </c>
      <c r="O99" s="43">
        <v>1</v>
      </c>
      <c r="P99" s="43">
        <v>8</v>
      </c>
      <c r="Q99" s="25" t="str">
        <f>VLOOKUP(P99,Key!$E$2:$F$9,2,FALSE)</f>
        <v>Others</v>
      </c>
      <c r="R99" s="25" t="str">
        <f t="shared" si="1"/>
        <v>Home-Others</v>
      </c>
      <c r="S99" s="58">
        <v>260</v>
      </c>
      <c r="T99" s="58">
        <v>6</v>
      </c>
      <c r="U99" s="58">
        <v>3</v>
      </c>
      <c r="V99" s="56"/>
      <c r="W99" s="56"/>
      <c r="X99" s="56"/>
      <c r="Y99" s="59" t="s">
        <v>156</v>
      </c>
      <c r="Z99" s="60">
        <v>0</v>
      </c>
      <c r="AA99" s="25"/>
      <c r="AB99" s="25"/>
    </row>
    <row r="100" spans="2:28">
      <c r="B100" s="40">
        <v>0.50416666666666665</v>
      </c>
      <c r="C100" s="40" t="s">
        <v>506</v>
      </c>
      <c r="D100" s="45">
        <v>2</v>
      </c>
      <c r="E100" s="45">
        <v>3</v>
      </c>
      <c r="F100" s="42" t="s">
        <v>394</v>
      </c>
      <c r="G100" s="43" t="s">
        <v>154</v>
      </c>
      <c r="H100" s="42" t="s">
        <v>155</v>
      </c>
      <c r="I100" s="43">
        <v>16</v>
      </c>
      <c r="J100" s="43">
        <v>1</v>
      </c>
      <c r="K100" s="25" t="str">
        <f>VLOOKUP(J100,Key!$E$2:$F$9,2,FALSE)</f>
        <v>Home</v>
      </c>
      <c r="L100" s="42" t="s">
        <v>146</v>
      </c>
      <c r="M100" s="43" t="s">
        <v>154</v>
      </c>
      <c r="N100" s="42" t="s">
        <v>155</v>
      </c>
      <c r="O100" s="43">
        <v>2</v>
      </c>
      <c r="P100" s="43">
        <v>2</v>
      </c>
      <c r="Q100" s="25" t="str">
        <f>VLOOKUP(P100,Key!$E$2:$F$9,2,FALSE)</f>
        <v>Work</v>
      </c>
      <c r="R100" s="25" t="str">
        <f t="shared" si="1"/>
        <v>Home-Work</v>
      </c>
      <c r="S100" s="58">
        <v>8</v>
      </c>
      <c r="T100" s="58">
        <v>0.2</v>
      </c>
      <c r="U100" s="58">
        <v>3</v>
      </c>
      <c r="V100" s="56"/>
      <c r="W100" s="56"/>
      <c r="X100" s="56"/>
      <c r="Y100" s="59" t="s">
        <v>156</v>
      </c>
      <c r="Z100" s="60">
        <v>0</v>
      </c>
      <c r="AA100" s="25"/>
      <c r="AB100" s="25"/>
    </row>
    <row r="101" spans="2:28">
      <c r="B101" s="40">
        <v>0.50763888888888886</v>
      </c>
      <c r="C101" s="40" t="s">
        <v>507</v>
      </c>
      <c r="D101" s="45">
        <v>1</v>
      </c>
      <c r="E101" s="45">
        <v>2</v>
      </c>
      <c r="F101" s="42" t="s">
        <v>841</v>
      </c>
      <c r="G101" s="43" t="s">
        <v>154</v>
      </c>
      <c r="H101" s="42" t="s">
        <v>155</v>
      </c>
      <c r="I101" s="43">
        <v>1</v>
      </c>
      <c r="J101" s="43">
        <v>1</v>
      </c>
      <c r="K101" s="25" t="str">
        <f>VLOOKUP(J101,Key!$E$2:$F$9,2,FALSE)</f>
        <v>Home</v>
      </c>
      <c r="L101" s="42" t="s">
        <v>184</v>
      </c>
      <c r="M101" s="43" t="s">
        <v>154</v>
      </c>
      <c r="N101" s="42" t="s">
        <v>155</v>
      </c>
      <c r="O101" s="43">
        <v>1</v>
      </c>
      <c r="P101" s="43">
        <v>1</v>
      </c>
      <c r="Q101" s="25" t="str">
        <f>VLOOKUP(P101,Key!$E$2:$F$9,2,FALSE)</f>
        <v>Home</v>
      </c>
      <c r="R101" s="25" t="str">
        <f t="shared" si="1"/>
        <v>Home-Home</v>
      </c>
      <c r="S101" s="58">
        <v>6</v>
      </c>
      <c r="T101" s="58">
        <v>0.3</v>
      </c>
      <c r="U101" s="58">
        <v>2</v>
      </c>
      <c r="V101" s="56"/>
      <c r="W101" s="56"/>
      <c r="X101" s="56"/>
      <c r="Y101" s="59" t="s">
        <v>156</v>
      </c>
      <c r="Z101" s="60">
        <v>2000</v>
      </c>
      <c r="AA101" s="25"/>
      <c r="AB101" s="25"/>
    </row>
    <row r="102" spans="2:28">
      <c r="B102" s="40">
        <v>0.4909722222222222</v>
      </c>
      <c r="C102" s="40" t="s">
        <v>508</v>
      </c>
      <c r="D102" s="45">
        <v>2</v>
      </c>
      <c r="E102" s="45">
        <v>2</v>
      </c>
      <c r="F102" s="42" t="s">
        <v>509</v>
      </c>
      <c r="G102" s="43" t="s">
        <v>154</v>
      </c>
      <c r="H102" s="42" t="s">
        <v>155</v>
      </c>
      <c r="I102" s="43">
        <v>1</v>
      </c>
      <c r="J102" s="43">
        <v>1</v>
      </c>
      <c r="K102" s="25" t="str">
        <f>VLOOKUP(J102,Key!$E$2:$F$9,2,FALSE)</f>
        <v>Home</v>
      </c>
      <c r="L102" s="42" t="s">
        <v>836</v>
      </c>
      <c r="M102" s="43" t="s">
        <v>836</v>
      </c>
      <c r="N102" s="42" t="s">
        <v>155</v>
      </c>
      <c r="O102" s="43">
        <v>2</v>
      </c>
      <c r="P102" s="43">
        <v>2</v>
      </c>
      <c r="Q102" s="25" t="str">
        <f>VLOOKUP(P102,Key!$E$2:$F$9,2,FALSE)</f>
        <v>Work</v>
      </c>
      <c r="R102" s="25" t="str">
        <f t="shared" ref="R102:R152" si="2">K102&amp;"-"&amp;Q102</f>
        <v>Home-Work</v>
      </c>
      <c r="S102" s="58">
        <v>17</v>
      </c>
      <c r="T102" s="58">
        <v>1</v>
      </c>
      <c r="U102" s="58">
        <v>2</v>
      </c>
      <c r="V102" s="56"/>
      <c r="W102" s="56"/>
      <c r="X102" s="56"/>
      <c r="Y102" s="59" t="s">
        <v>156</v>
      </c>
      <c r="Z102" s="60">
        <v>2000</v>
      </c>
      <c r="AA102" s="25"/>
      <c r="AB102" s="25"/>
    </row>
    <row r="103" spans="2:28">
      <c r="B103" s="40">
        <v>0.50208333333333333</v>
      </c>
      <c r="C103" s="40" t="s">
        <v>510</v>
      </c>
      <c r="D103" s="45">
        <v>7</v>
      </c>
      <c r="E103" s="45">
        <v>2</v>
      </c>
      <c r="F103" s="42" t="s">
        <v>842</v>
      </c>
      <c r="G103" s="43" t="s">
        <v>163</v>
      </c>
      <c r="H103" s="42" t="s">
        <v>155</v>
      </c>
      <c r="I103" s="43">
        <v>3</v>
      </c>
      <c r="J103" s="43">
        <v>4</v>
      </c>
      <c r="K103" s="25" t="str">
        <f>VLOOKUP(J103,Key!$E$2:$F$9,2,FALSE)</f>
        <v>Commercial</v>
      </c>
      <c r="L103" s="42" t="s">
        <v>511</v>
      </c>
      <c r="M103" s="43" t="s">
        <v>154</v>
      </c>
      <c r="N103" s="42" t="s">
        <v>155</v>
      </c>
      <c r="O103" s="43">
        <v>11</v>
      </c>
      <c r="P103" s="43">
        <v>4</v>
      </c>
      <c r="Q103" s="25" t="str">
        <f>VLOOKUP(P103,Key!$E$2:$F$9,2,FALSE)</f>
        <v>Commercial</v>
      </c>
      <c r="R103" s="25" t="str">
        <f t="shared" si="2"/>
        <v>Commercial-Commercial</v>
      </c>
      <c r="S103" s="58">
        <v>35</v>
      </c>
      <c r="T103" s="58">
        <v>3</v>
      </c>
      <c r="U103" s="58">
        <v>3</v>
      </c>
      <c r="V103" s="56">
        <v>2</v>
      </c>
      <c r="W103" s="56">
        <v>2</v>
      </c>
      <c r="X103" s="56"/>
      <c r="Y103" s="59" t="s">
        <v>156</v>
      </c>
      <c r="Z103" s="60">
        <v>2500</v>
      </c>
      <c r="AA103" s="25"/>
      <c r="AB103" s="25"/>
    </row>
    <row r="104" spans="2:28">
      <c r="B104" s="40">
        <v>0.47986111111111113</v>
      </c>
      <c r="C104" s="40" t="s">
        <v>512</v>
      </c>
      <c r="D104" s="45">
        <v>2</v>
      </c>
      <c r="E104" s="45">
        <v>4</v>
      </c>
      <c r="F104" s="42" t="s">
        <v>146</v>
      </c>
      <c r="G104" s="43" t="s">
        <v>154</v>
      </c>
      <c r="H104" s="42" t="s">
        <v>155</v>
      </c>
      <c r="I104" s="43">
        <v>1</v>
      </c>
      <c r="J104" s="43">
        <v>1</v>
      </c>
      <c r="K104" s="25" t="str">
        <f>VLOOKUP(J104,Key!$E$2:$F$9,2,FALSE)</f>
        <v>Home</v>
      </c>
      <c r="L104" s="42" t="s">
        <v>836</v>
      </c>
      <c r="M104" s="43" t="s">
        <v>836</v>
      </c>
      <c r="N104" s="42" t="s">
        <v>155</v>
      </c>
      <c r="O104" s="43">
        <v>2</v>
      </c>
      <c r="P104" s="43">
        <v>2</v>
      </c>
      <c r="Q104" s="25" t="str">
        <f>VLOOKUP(P104,Key!$E$2:$F$9,2,FALSE)</f>
        <v>Work</v>
      </c>
      <c r="R104" s="25" t="str">
        <f t="shared" si="2"/>
        <v>Home-Work</v>
      </c>
      <c r="S104" s="58">
        <v>12</v>
      </c>
      <c r="T104" s="58">
        <v>0.7</v>
      </c>
      <c r="U104" s="58">
        <v>2</v>
      </c>
      <c r="V104" s="56"/>
      <c r="W104" s="56"/>
      <c r="X104" s="56"/>
      <c r="Y104" s="59" t="s">
        <v>156</v>
      </c>
      <c r="Z104" s="60">
        <v>500</v>
      </c>
      <c r="AA104" s="25"/>
      <c r="AB104" s="25"/>
    </row>
    <row r="105" spans="2:28" ht="12" customHeight="1">
      <c r="B105" s="40">
        <v>0.48402777777777778</v>
      </c>
      <c r="C105" s="40" t="s">
        <v>513</v>
      </c>
      <c r="D105" s="44">
        <v>7</v>
      </c>
      <c r="E105" s="45">
        <v>2</v>
      </c>
      <c r="F105" s="46" t="s">
        <v>502</v>
      </c>
      <c r="G105" s="43" t="s">
        <v>154</v>
      </c>
      <c r="H105" s="42" t="s">
        <v>155</v>
      </c>
      <c r="I105" s="43">
        <v>1</v>
      </c>
      <c r="J105" s="43">
        <v>1</v>
      </c>
      <c r="K105" s="25" t="str">
        <f>VLOOKUP(J105,Key!$E$2:$F$9,2,FALSE)</f>
        <v>Home</v>
      </c>
      <c r="L105" s="42" t="s">
        <v>146</v>
      </c>
      <c r="M105" s="43" t="s">
        <v>154</v>
      </c>
      <c r="N105" s="42" t="s">
        <v>155</v>
      </c>
      <c r="O105" s="43">
        <v>2</v>
      </c>
      <c r="P105" s="43">
        <v>2</v>
      </c>
      <c r="Q105" s="25" t="str">
        <f>VLOOKUP(P105,Key!$E$2:$F$9,2,FALSE)</f>
        <v>Work</v>
      </c>
      <c r="R105" s="25" t="str">
        <f t="shared" si="2"/>
        <v>Home-Work</v>
      </c>
      <c r="S105" s="58">
        <v>3</v>
      </c>
      <c r="T105" s="58">
        <v>0.5</v>
      </c>
      <c r="U105" s="58">
        <v>2</v>
      </c>
      <c r="V105" s="56">
        <v>2</v>
      </c>
      <c r="W105" s="56">
        <v>1</v>
      </c>
      <c r="X105" s="56"/>
      <c r="Y105" s="59" t="s">
        <v>156</v>
      </c>
      <c r="Z105" s="60">
        <v>2000</v>
      </c>
      <c r="AA105" s="25"/>
      <c r="AB105" s="25"/>
    </row>
    <row r="106" spans="2:28">
      <c r="B106" s="40">
        <v>0.4777777777777778</v>
      </c>
      <c r="C106" s="40" t="s">
        <v>514</v>
      </c>
      <c r="D106" s="44">
        <v>2</v>
      </c>
      <c r="E106" s="45">
        <v>4</v>
      </c>
      <c r="F106" s="42" t="s">
        <v>147</v>
      </c>
      <c r="G106" s="43" t="s">
        <v>154</v>
      </c>
      <c r="H106" s="42" t="s">
        <v>155</v>
      </c>
      <c r="I106" s="43">
        <v>3</v>
      </c>
      <c r="J106" s="43">
        <v>2</v>
      </c>
      <c r="K106" s="25" t="str">
        <f>VLOOKUP(J106,Key!$E$2:$F$9,2,FALSE)</f>
        <v>Work</v>
      </c>
      <c r="L106" s="42" t="s">
        <v>163</v>
      </c>
      <c r="M106" s="43" t="s">
        <v>163</v>
      </c>
      <c r="N106" s="42" t="s">
        <v>155</v>
      </c>
      <c r="O106" s="43">
        <v>11</v>
      </c>
      <c r="P106" s="43">
        <v>4</v>
      </c>
      <c r="Q106" s="25" t="str">
        <f>VLOOKUP(P106,Key!$E$2:$F$9,2,FALSE)</f>
        <v>Commercial</v>
      </c>
      <c r="R106" s="25" t="str">
        <f t="shared" si="2"/>
        <v>Work-Commercial</v>
      </c>
      <c r="S106" s="58">
        <v>25</v>
      </c>
      <c r="T106" s="58">
        <v>2</v>
      </c>
      <c r="U106" s="58">
        <v>3</v>
      </c>
      <c r="V106" s="42">
        <v>10</v>
      </c>
      <c r="W106" s="42">
        <v>4</v>
      </c>
      <c r="X106" s="42"/>
      <c r="Y106" s="59" t="s">
        <v>156</v>
      </c>
      <c r="Z106" s="60">
        <v>1000</v>
      </c>
      <c r="AA106" s="25"/>
      <c r="AB106" s="25"/>
    </row>
    <row r="107" spans="2:28">
      <c r="B107" s="40">
        <v>0.48055555555555557</v>
      </c>
      <c r="C107" s="40" t="s">
        <v>515</v>
      </c>
      <c r="D107" s="44">
        <v>2</v>
      </c>
      <c r="E107" s="45">
        <v>4</v>
      </c>
      <c r="F107" s="42" t="s">
        <v>245</v>
      </c>
      <c r="G107" s="43" t="s">
        <v>154</v>
      </c>
      <c r="H107" s="42" t="s">
        <v>155</v>
      </c>
      <c r="I107" s="43">
        <v>1</v>
      </c>
      <c r="J107" s="43">
        <v>1</v>
      </c>
      <c r="K107" s="25" t="str">
        <f>VLOOKUP(J107,Key!$E$2:$F$9,2,FALSE)</f>
        <v>Home</v>
      </c>
      <c r="L107" s="42" t="s">
        <v>163</v>
      </c>
      <c r="M107" s="43" t="s">
        <v>154</v>
      </c>
      <c r="N107" s="42" t="s">
        <v>155</v>
      </c>
      <c r="O107" s="43">
        <v>1</v>
      </c>
      <c r="P107" s="43">
        <v>1</v>
      </c>
      <c r="Q107" s="25" t="str">
        <f>VLOOKUP(P107,Key!$E$2:$F$9,2,FALSE)</f>
        <v>Home</v>
      </c>
      <c r="R107" s="25" t="str">
        <f t="shared" si="2"/>
        <v>Home-Home</v>
      </c>
      <c r="S107" s="58"/>
      <c r="T107" s="58"/>
      <c r="U107" s="58">
        <v>2</v>
      </c>
      <c r="V107" s="42"/>
      <c r="W107" s="42"/>
      <c r="X107" s="42"/>
      <c r="Y107" s="59" t="s">
        <v>156</v>
      </c>
      <c r="Z107" s="60">
        <v>0</v>
      </c>
      <c r="AA107" s="25"/>
      <c r="AB107" s="25"/>
    </row>
    <row r="108" spans="2:28">
      <c r="B108" s="40">
        <v>0.46180555555555558</v>
      </c>
      <c r="C108" s="40" t="s">
        <v>516</v>
      </c>
      <c r="D108" s="44">
        <v>1</v>
      </c>
      <c r="E108" s="45">
        <v>3</v>
      </c>
      <c r="F108" s="42" t="s">
        <v>517</v>
      </c>
      <c r="G108" s="43" t="s">
        <v>154</v>
      </c>
      <c r="H108" s="42" t="s">
        <v>155</v>
      </c>
      <c r="I108" s="43">
        <v>1</v>
      </c>
      <c r="J108" s="43">
        <v>1</v>
      </c>
      <c r="K108" s="25" t="str">
        <f>VLOOKUP(J108,Key!$E$2:$F$9,2,FALSE)</f>
        <v>Home</v>
      </c>
      <c r="L108" s="42" t="s">
        <v>836</v>
      </c>
      <c r="M108" s="43" t="s">
        <v>836</v>
      </c>
      <c r="N108" s="42" t="s">
        <v>155</v>
      </c>
      <c r="O108" s="43">
        <v>2</v>
      </c>
      <c r="P108" s="43">
        <v>2</v>
      </c>
      <c r="Q108" s="25" t="str">
        <f>VLOOKUP(P108,Key!$E$2:$F$9,2,FALSE)</f>
        <v>Work</v>
      </c>
      <c r="R108" s="25" t="str">
        <f t="shared" si="2"/>
        <v>Home-Work</v>
      </c>
      <c r="S108" s="58">
        <v>7</v>
      </c>
      <c r="T108" s="58">
        <v>0.5</v>
      </c>
      <c r="U108" s="58">
        <v>2</v>
      </c>
      <c r="V108" s="42"/>
      <c r="W108" s="42"/>
      <c r="X108" s="42"/>
      <c r="Y108" s="59" t="s">
        <v>156</v>
      </c>
      <c r="Z108" s="60">
        <v>2000</v>
      </c>
      <c r="AA108" s="25"/>
      <c r="AB108" s="25"/>
    </row>
    <row r="109" spans="2:28">
      <c r="B109" s="40">
        <v>0.46527777777777773</v>
      </c>
      <c r="C109" s="40" t="s">
        <v>518</v>
      </c>
      <c r="D109" s="44">
        <v>1</v>
      </c>
      <c r="E109" s="45">
        <v>3</v>
      </c>
      <c r="F109" s="42" t="s">
        <v>404</v>
      </c>
      <c r="G109" s="43" t="s">
        <v>154</v>
      </c>
      <c r="H109" s="42" t="s">
        <v>155</v>
      </c>
      <c r="I109" s="43">
        <v>1</v>
      </c>
      <c r="J109" s="43">
        <v>1</v>
      </c>
      <c r="K109" s="25" t="str">
        <f>VLOOKUP(J109,Key!$E$2:$F$9,2,FALSE)</f>
        <v>Home</v>
      </c>
      <c r="L109" s="42" t="s">
        <v>146</v>
      </c>
      <c r="M109" s="43" t="s">
        <v>154</v>
      </c>
      <c r="N109" s="42" t="s">
        <v>155</v>
      </c>
      <c r="O109" s="43">
        <v>5</v>
      </c>
      <c r="P109" s="43">
        <v>2</v>
      </c>
      <c r="Q109" s="25" t="str">
        <f>VLOOKUP(P109,Key!$E$2:$F$9,2,FALSE)</f>
        <v>Work</v>
      </c>
      <c r="R109" s="25" t="str">
        <f t="shared" si="2"/>
        <v>Home-Work</v>
      </c>
      <c r="S109" s="58"/>
      <c r="T109" s="58">
        <v>1</v>
      </c>
      <c r="U109" s="58">
        <v>2</v>
      </c>
      <c r="V109" s="42"/>
      <c r="W109" s="42"/>
      <c r="X109" s="42"/>
      <c r="Y109" s="59" t="s">
        <v>156</v>
      </c>
      <c r="Z109" s="60">
        <v>1000</v>
      </c>
      <c r="AA109" s="25"/>
      <c r="AB109" s="25"/>
    </row>
    <row r="110" spans="2:28">
      <c r="B110" s="40">
        <v>0.45555555555555555</v>
      </c>
      <c r="C110" s="40" t="s">
        <v>519</v>
      </c>
      <c r="D110" s="44">
        <v>1</v>
      </c>
      <c r="E110" s="42">
        <v>4</v>
      </c>
      <c r="F110" s="42" t="s">
        <v>836</v>
      </c>
      <c r="G110" s="43" t="s">
        <v>836</v>
      </c>
      <c r="H110" s="42" t="s">
        <v>155</v>
      </c>
      <c r="I110" s="43">
        <v>1</v>
      </c>
      <c r="J110" s="43">
        <v>1</v>
      </c>
      <c r="K110" s="25" t="str">
        <f>VLOOKUP(J110,Key!$E$2:$F$9,2,FALSE)</f>
        <v>Home</v>
      </c>
      <c r="L110" s="42" t="s">
        <v>184</v>
      </c>
      <c r="M110" s="43" t="s">
        <v>154</v>
      </c>
      <c r="N110" s="42" t="s">
        <v>155</v>
      </c>
      <c r="O110" s="43">
        <v>9</v>
      </c>
      <c r="P110" s="43">
        <v>5</v>
      </c>
      <c r="Q110" s="25" t="str">
        <f>VLOOKUP(P110,Key!$E$2:$F$9,2,FALSE)</f>
        <v>Tourism</v>
      </c>
      <c r="R110" s="25" t="str">
        <f t="shared" si="2"/>
        <v>Home-Tourism</v>
      </c>
      <c r="S110" s="58">
        <v>12</v>
      </c>
      <c r="T110" s="58">
        <v>0.3</v>
      </c>
      <c r="U110" s="58">
        <v>5</v>
      </c>
      <c r="V110" s="42"/>
      <c r="W110" s="42"/>
      <c r="X110" s="42"/>
      <c r="Y110" s="59" t="s">
        <v>156</v>
      </c>
      <c r="Z110" s="60">
        <v>5000</v>
      </c>
      <c r="AA110" s="25"/>
      <c r="AB110" s="25"/>
    </row>
    <row r="111" spans="2:28">
      <c r="B111" s="40">
        <v>0.45763888888888887</v>
      </c>
      <c r="C111" s="40" t="s">
        <v>520</v>
      </c>
      <c r="D111" s="44">
        <v>1</v>
      </c>
      <c r="E111" s="45">
        <v>2</v>
      </c>
      <c r="F111" s="42" t="s">
        <v>147</v>
      </c>
      <c r="G111" s="43" t="s">
        <v>154</v>
      </c>
      <c r="H111" s="42" t="s">
        <v>155</v>
      </c>
      <c r="I111" s="43">
        <v>1</v>
      </c>
      <c r="J111" s="43">
        <v>1</v>
      </c>
      <c r="K111" s="25" t="str">
        <f>VLOOKUP(J111,Key!$E$2:$F$9,2,FALSE)</f>
        <v>Home</v>
      </c>
      <c r="L111" s="42" t="s">
        <v>146</v>
      </c>
      <c r="M111" s="43" t="s">
        <v>154</v>
      </c>
      <c r="N111" s="42" t="s">
        <v>155</v>
      </c>
      <c r="O111" s="43">
        <v>2</v>
      </c>
      <c r="P111" s="43">
        <v>2</v>
      </c>
      <c r="Q111" s="25" t="str">
        <f>VLOOKUP(P111,Key!$E$2:$F$9,2,FALSE)</f>
        <v>Work</v>
      </c>
      <c r="R111" s="25" t="str">
        <f t="shared" si="2"/>
        <v>Home-Work</v>
      </c>
      <c r="S111" s="58">
        <v>10</v>
      </c>
      <c r="T111" s="58">
        <v>0.2</v>
      </c>
      <c r="U111" s="58">
        <v>2</v>
      </c>
      <c r="V111" s="42"/>
      <c r="W111" s="42"/>
      <c r="X111" s="42"/>
      <c r="Y111" s="59" t="s">
        <v>156</v>
      </c>
      <c r="Z111" s="60">
        <v>0</v>
      </c>
      <c r="AA111" s="25"/>
      <c r="AB111" s="25"/>
    </row>
    <row r="112" spans="2:28">
      <c r="B112" s="40">
        <v>0.45069444444444445</v>
      </c>
      <c r="C112" s="40" t="s">
        <v>521</v>
      </c>
      <c r="D112" s="44">
        <v>1</v>
      </c>
      <c r="E112" s="45">
        <v>2</v>
      </c>
      <c r="F112" s="42" t="s">
        <v>394</v>
      </c>
      <c r="G112" s="43" t="s">
        <v>154</v>
      </c>
      <c r="H112" s="42" t="s">
        <v>155</v>
      </c>
      <c r="I112" s="43">
        <v>1</v>
      </c>
      <c r="J112" s="43">
        <v>1</v>
      </c>
      <c r="K112" s="25" t="str">
        <f>VLOOKUP(J112,Key!$E$2:$F$9,2,FALSE)</f>
        <v>Home</v>
      </c>
      <c r="L112" s="42" t="s">
        <v>836</v>
      </c>
      <c r="M112" s="43" t="s">
        <v>836</v>
      </c>
      <c r="N112" s="42" t="s">
        <v>155</v>
      </c>
      <c r="O112" s="43">
        <v>2</v>
      </c>
      <c r="P112" s="43">
        <v>2</v>
      </c>
      <c r="Q112" s="25" t="str">
        <f>VLOOKUP(P112,Key!$E$2:$F$9,2,FALSE)</f>
        <v>Work</v>
      </c>
      <c r="R112" s="25" t="str">
        <f t="shared" si="2"/>
        <v>Home-Work</v>
      </c>
      <c r="S112" s="58">
        <v>4</v>
      </c>
      <c r="T112" s="58">
        <v>1</v>
      </c>
      <c r="U112" s="58">
        <v>2</v>
      </c>
      <c r="V112" s="42"/>
      <c r="W112" s="42"/>
      <c r="X112" s="42"/>
      <c r="Y112" s="59" t="s">
        <v>156</v>
      </c>
      <c r="Z112" s="60">
        <v>1000</v>
      </c>
      <c r="AA112" s="25"/>
      <c r="AB112" s="25"/>
    </row>
    <row r="113" spans="2:28">
      <c r="B113" s="40">
        <v>0.44861111111111113</v>
      </c>
      <c r="C113" s="40" t="s">
        <v>522</v>
      </c>
      <c r="D113" s="44">
        <v>1</v>
      </c>
      <c r="E113" s="45">
        <v>1</v>
      </c>
      <c r="F113" s="42" t="s">
        <v>245</v>
      </c>
      <c r="G113" s="43" t="s">
        <v>154</v>
      </c>
      <c r="H113" s="42" t="s">
        <v>155</v>
      </c>
      <c r="I113" s="43">
        <v>1</v>
      </c>
      <c r="J113" s="43">
        <v>1</v>
      </c>
      <c r="K113" s="25" t="str">
        <f>VLOOKUP(J113,Key!$E$2:$F$9,2,FALSE)</f>
        <v>Home</v>
      </c>
      <c r="L113" s="42" t="s">
        <v>836</v>
      </c>
      <c r="M113" s="43" t="s">
        <v>836</v>
      </c>
      <c r="N113" s="42" t="s">
        <v>155</v>
      </c>
      <c r="O113" s="43">
        <v>2</v>
      </c>
      <c r="P113" s="43">
        <v>2</v>
      </c>
      <c r="Q113" s="25" t="str">
        <f>VLOOKUP(P113,Key!$E$2:$F$9,2,FALSE)</f>
        <v>Work</v>
      </c>
      <c r="R113" s="25" t="str">
        <f t="shared" si="2"/>
        <v>Home-Work</v>
      </c>
      <c r="S113" s="58">
        <v>19</v>
      </c>
      <c r="T113" s="58">
        <v>0.7</v>
      </c>
      <c r="U113" s="58">
        <v>2</v>
      </c>
      <c r="V113" s="42"/>
      <c r="W113" s="42"/>
      <c r="X113" s="42"/>
      <c r="Y113" s="59" t="s">
        <v>156</v>
      </c>
      <c r="Z113" s="60">
        <v>0</v>
      </c>
      <c r="AA113" s="25"/>
      <c r="AB113" s="25"/>
    </row>
    <row r="114" spans="2:28">
      <c r="B114" s="40">
        <v>0.44097222222222227</v>
      </c>
      <c r="C114" s="40" t="s">
        <v>523</v>
      </c>
      <c r="D114" s="44">
        <v>1</v>
      </c>
      <c r="E114" s="45">
        <v>1</v>
      </c>
      <c r="F114" s="42" t="s">
        <v>836</v>
      </c>
      <c r="G114" s="43" t="s">
        <v>836</v>
      </c>
      <c r="H114" s="42" t="s">
        <v>155</v>
      </c>
      <c r="I114" s="43">
        <v>2</v>
      </c>
      <c r="J114" s="43">
        <v>1</v>
      </c>
      <c r="K114" s="25" t="str">
        <f>VLOOKUP(J114,Key!$E$2:$F$9,2,FALSE)</f>
        <v>Home</v>
      </c>
      <c r="L114" s="42" t="s">
        <v>836</v>
      </c>
      <c r="M114" s="43" t="s">
        <v>836</v>
      </c>
      <c r="N114" s="42" t="s">
        <v>155</v>
      </c>
      <c r="O114" s="43">
        <v>1</v>
      </c>
      <c r="P114" s="43">
        <v>2</v>
      </c>
      <c r="Q114" s="25" t="str">
        <f>VLOOKUP(P114,Key!$E$2:$F$9,2,FALSE)</f>
        <v>Work</v>
      </c>
      <c r="R114" s="25" t="str">
        <f t="shared" si="2"/>
        <v>Home-Work</v>
      </c>
      <c r="S114" s="58">
        <v>14</v>
      </c>
      <c r="T114" s="58">
        <v>0.5</v>
      </c>
      <c r="U114" s="58">
        <v>2</v>
      </c>
      <c r="V114" s="42"/>
      <c r="W114" s="42"/>
      <c r="X114" s="42"/>
      <c r="Y114" s="59" t="s">
        <v>156</v>
      </c>
      <c r="Z114" s="60"/>
      <c r="AA114" s="25"/>
      <c r="AB114" s="25"/>
    </row>
    <row r="115" spans="2:28">
      <c r="B115" s="40">
        <v>0.4381944444444445</v>
      </c>
      <c r="C115" s="40" t="s">
        <v>843</v>
      </c>
      <c r="D115" s="44">
        <v>2</v>
      </c>
      <c r="E115" s="45">
        <v>3</v>
      </c>
      <c r="F115" s="42" t="s">
        <v>192</v>
      </c>
      <c r="G115" s="43" t="s">
        <v>192</v>
      </c>
      <c r="H115" s="42" t="s">
        <v>155</v>
      </c>
      <c r="I115" s="43">
        <v>2</v>
      </c>
      <c r="J115" s="43">
        <v>2</v>
      </c>
      <c r="K115" s="25" t="str">
        <f>VLOOKUP(J115,Key!$E$2:$F$9,2,FALSE)</f>
        <v>Work</v>
      </c>
      <c r="L115" s="42" t="s">
        <v>836</v>
      </c>
      <c r="M115" s="43" t="s">
        <v>836</v>
      </c>
      <c r="N115" s="42" t="s">
        <v>155</v>
      </c>
      <c r="O115" s="43">
        <v>1</v>
      </c>
      <c r="P115" s="43">
        <v>1</v>
      </c>
      <c r="Q115" s="25" t="str">
        <f>VLOOKUP(P115,Key!$E$2:$F$9,2,FALSE)</f>
        <v>Home</v>
      </c>
      <c r="R115" s="25" t="str">
        <f t="shared" si="2"/>
        <v>Work-Home</v>
      </c>
      <c r="S115" s="58">
        <v>25</v>
      </c>
      <c r="T115" s="58">
        <v>1</v>
      </c>
      <c r="U115" s="58">
        <v>6</v>
      </c>
      <c r="V115" s="42"/>
      <c r="W115" s="42"/>
      <c r="X115" s="42"/>
      <c r="Y115" s="59" t="s">
        <v>156</v>
      </c>
      <c r="Z115" s="60">
        <v>1000</v>
      </c>
      <c r="AA115" s="25"/>
      <c r="AB115" s="25"/>
    </row>
    <row r="116" spans="2:28">
      <c r="B116" s="40">
        <v>0.43055555555555558</v>
      </c>
      <c r="C116" s="40" t="s">
        <v>524</v>
      </c>
      <c r="D116" s="44">
        <v>3</v>
      </c>
      <c r="E116" s="45">
        <v>3</v>
      </c>
      <c r="F116" s="42" t="s">
        <v>163</v>
      </c>
      <c r="G116" s="43" t="s">
        <v>163</v>
      </c>
      <c r="H116" s="42" t="s">
        <v>155</v>
      </c>
      <c r="I116" s="43">
        <v>1</v>
      </c>
      <c r="J116" s="43">
        <v>1</v>
      </c>
      <c r="K116" s="25" t="str">
        <f>VLOOKUP(J116,Key!$E$2:$F$9,2,FALSE)</f>
        <v>Home</v>
      </c>
      <c r="L116" s="42" t="s">
        <v>487</v>
      </c>
      <c r="M116" s="43" t="s">
        <v>154</v>
      </c>
      <c r="N116" s="42" t="s">
        <v>155</v>
      </c>
      <c r="O116" s="43">
        <v>16</v>
      </c>
      <c r="P116" s="43">
        <v>2</v>
      </c>
      <c r="Q116" s="25" t="str">
        <f>VLOOKUP(P116,Key!$E$2:$F$9,2,FALSE)</f>
        <v>Work</v>
      </c>
      <c r="R116" s="25" t="str">
        <f t="shared" si="2"/>
        <v>Home-Work</v>
      </c>
      <c r="S116" s="58"/>
      <c r="T116" s="58">
        <v>0.5</v>
      </c>
      <c r="U116" s="58">
        <v>2</v>
      </c>
      <c r="V116" s="42"/>
      <c r="W116" s="42"/>
      <c r="X116" s="42"/>
      <c r="Y116" s="59"/>
      <c r="Z116" s="60"/>
      <c r="AA116" s="25"/>
      <c r="AB116" s="25"/>
    </row>
    <row r="117" spans="2:28">
      <c r="B117" s="40">
        <v>0.42499999999999999</v>
      </c>
      <c r="C117" s="40" t="s">
        <v>525</v>
      </c>
      <c r="D117" s="44">
        <v>1</v>
      </c>
      <c r="E117" s="45">
        <v>4</v>
      </c>
      <c r="F117" s="42" t="s">
        <v>146</v>
      </c>
      <c r="G117" s="43" t="s">
        <v>154</v>
      </c>
      <c r="H117" s="42" t="s">
        <v>155</v>
      </c>
      <c r="I117" s="43">
        <v>1</v>
      </c>
      <c r="J117" s="43">
        <v>1</v>
      </c>
      <c r="K117" s="25" t="str">
        <f>VLOOKUP(J117,Key!$E$2:$F$9,2,FALSE)</f>
        <v>Home</v>
      </c>
      <c r="L117" s="42" t="s">
        <v>526</v>
      </c>
      <c r="M117" s="43" t="s">
        <v>836</v>
      </c>
      <c r="N117" s="42" t="s">
        <v>155</v>
      </c>
      <c r="O117" s="43">
        <v>2</v>
      </c>
      <c r="P117" s="43">
        <v>2</v>
      </c>
      <c r="Q117" s="25" t="str">
        <f>VLOOKUP(P117,Key!$E$2:$F$9,2,FALSE)</f>
        <v>Work</v>
      </c>
      <c r="R117" s="25" t="str">
        <f t="shared" si="2"/>
        <v>Home-Work</v>
      </c>
      <c r="S117" s="58">
        <v>4</v>
      </c>
      <c r="T117" s="58">
        <v>0.1</v>
      </c>
      <c r="U117" s="58">
        <v>2</v>
      </c>
      <c r="V117" s="42"/>
      <c r="W117" s="42"/>
      <c r="X117" s="42"/>
      <c r="Y117" s="59" t="s">
        <v>156</v>
      </c>
      <c r="Z117" s="60">
        <v>10000</v>
      </c>
      <c r="AA117" s="25"/>
      <c r="AB117" s="25"/>
    </row>
    <row r="118" spans="2:28">
      <c r="B118" s="40">
        <v>0.4284722222222222</v>
      </c>
      <c r="C118" s="40" t="s">
        <v>527</v>
      </c>
      <c r="D118" s="44">
        <v>7</v>
      </c>
      <c r="E118" s="45">
        <v>4</v>
      </c>
      <c r="F118" s="42" t="s">
        <v>168</v>
      </c>
      <c r="G118" s="43" t="s">
        <v>154</v>
      </c>
      <c r="H118" s="42" t="s">
        <v>155</v>
      </c>
      <c r="I118" s="43">
        <v>1</v>
      </c>
      <c r="J118" s="43">
        <v>1</v>
      </c>
      <c r="K118" s="25" t="str">
        <f>VLOOKUP(J118,Key!$E$2:$F$9,2,FALSE)</f>
        <v>Home</v>
      </c>
      <c r="L118" s="42" t="s">
        <v>836</v>
      </c>
      <c r="M118" s="43" t="s">
        <v>836</v>
      </c>
      <c r="N118" s="42" t="s">
        <v>155</v>
      </c>
      <c r="O118" s="43">
        <v>2</v>
      </c>
      <c r="P118" s="43">
        <v>2</v>
      </c>
      <c r="Q118" s="25" t="str">
        <f>VLOOKUP(P118,Key!$E$2:$F$9,2,FALSE)</f>
        <v>Work</v>
      </c>
      <c r="R118" s="25" t="str">
        <f t="shared" si="2"/>
        <v>Home-Work</v>
      </c>
      <c r="S118" s="58">
        <v>12</v>
      </c>
      <c r="T118" s="58">
        <v>1</v>
      </c>
      <c r="U118" s="58">
        <v>2</v>
      </c>
      <c r="V118" s="42"/>
      <c r="W118" s="42">
        <v>1</v>
      </c>
      <c r="X118" s="42"/>
      <c r="Y118" s="59" t="s">
        <v>156</v>
      </c>
      <c r="Z118" s="60">
        <v>1000</v>
      </c>
      <c r="AA118" s="25"/>
      <c r="AB118" s="25"/>
    </row>
    <row r="119" spans="2:28">
      <c r="B119" s="40">
        <v>0.4201388888888889</v>
      </c>
      <c r="C119" s="40" t="s">
        <v>528</v>
      </c>
      <c r="D119" s="44">
        <v>1</v>
      </c>
      <c r="E119" s="45">
        <v>2</v>
      </c>
      <c r="F119" s="42" t="s">
        <v>154</v>
      </c>
      <c r="G119" s="43" t="s">
        <v>154</v>
      </c>
      <c r="H119" s="42" t="s">
        <v>155</v>
      </c>
      <c r="I119" s="43">
        <v>1</v>
      </c>
      <c r="J119" s="43">
        <v>1</v>
      </c>
      <c r="K119" s="25" t="str">
        <f>VLOOKUP(J119,Key!$E$2:$F$9,2,FALSE)</f>
        <v>Home</v>
      </c>
      <c r="L119" s="42" t="s">
        <v>184</v>
      </c>
      <c r="M119" s="43" t="s">
        <v>154</v>
      </c>
      <c r="N119" s="42" t="s">
        <v>155</v>
      </c>
      <c r="O119" s="43">
        <v>2</v>
      </c>
      <c r="P119" s="43">
        <v>2</v>
      </c>
      <c r="Q119" s="25" t="str">
        <f>VLOOKUP(P119,Key!$E$2:$F$9,2,FALSE)</f>
        <v>Work</v>
      </c>
      <c r="R119" s="25" t="str">
        <f t="shared" si="2"/>
        <v>Home-Work</v>
      </c>
      <c r="S119" s="58">
        <v>25</v>
      </c>
      <c r="T119" s="58">
        <v>0.7</v>
      </c>
      <c r="U119" s="58">
        <v>6</v>
      </c>
      <c r="V119" s="42"/>
      <c r="W119" s="42"/>
      <c r="X119" s="42"/>
      <c r="Y119" s="59" t="s">
        <v>156</v>
      </c>
      <c r="Z119" s="60">
        <v>2000</v>
      </c>
      <c r="AA119" s="25"/>
      <c r="AB119" s="25"/>
    </row>
    <row r="120" spans="2:28">
      <c r="B120" s="40">
        <v>0.42222222222222222</v>
      </c>
      <c r="C120" s="40" t="s">
        <v>529</v>
      </c>
      <c r="D120" s="44">
        <v>1</v>
      </c>
      <c r="E120" s="42">
        <v>2</v>
      </c>
      <c r="F120" s="42" t="s">
        <v>168</v>
      </c>
      <c r="G120" s="43" t="s">
        <v>154</v>
      </c>
      <c r="H120" s="42" t="s">
        <v>155</v>
      </c>
      <c r="I120" s="43">
        <v>1</v>
      </c>
      <c r="J120" s="43">
        <v>1</v>
      </c>
      <c r="K120" s="25" t="str">
        <f>VLOOKUP(J120,Key!$E$2:$F$9,2,FALSE)</f>
        <v>Home</v>
      </c>
      <c r="L120" s="42" t="s">
        <v>413</v>
      </c>
      <c r="M120" s="43" t="s">
        <v>836</v>
      </c>
      <c r="N120" s="42" t="s">
        <v>155</v>
      </c>
      <c r="O120" s="43">
        <v>16</v>
      </c>
      <c r="P120" s="43">
        <v>2</v>
      </c>
      <c r="Q120" s="25" t="str">
        <f>VLOOKUP(P120,Key!$E$2:$F$9,2,FALSE)</f>
        <v>Work</v>
      </c>
      <c r="R120" s="25" t="str">
        <f t="shared" si="2"/>
        <v>Home-Work</v>
      </c>
      <c r="S120" s="58">
        <v>5</v>
      </c>
      <c r="T120" s="58">
        <v>0.7</v>
      </c>
      <c r="U120" s="58">
        <v>2</v>
      </c>
      <c r="V120" s="42"/>
      <c r="W120" s="42"/>
      <c r="X120" s="42"/>
      <c r="Y120" s="59" t="s">
        <v>156</v>
      </c>
      <c r="Z120" s="60">
        <v>0</v>
      </c>
      <c r="AA120" s="25"/>
      <c r="AB120" s="25"/>
    </row>
    <row r="121" spans="2:28">
      <c r="B121" s="40">
        <v>0.41111111111111115</v>
      </c>
      <c r="C121" s="40" t="s">
        <v>530</v>
      </c>
      <c r="D121" s="44">
        <v>2</v>
      </c>
      <c r="E121" s="45">
        <v>3</v>
      </c>
      <c r="F121" s="42" t="s">
        <v>146</v>
      </c>
      <c r="G121" s="43" t="s">
        <v>154</v>
      </c>
      <c r="H121" s="42" t="s">
        <v>155</v>
      </c>
      <c r="I121" s="43">
        <v>10</v>
      </c>
      <c r="J121" s="43">
        <v>4</v>
      </c>
      <c r="K121" s="25" t="str">
        <f>VLOOKUP(J121,Key!$E$2:$F$9,2,FALSE)</f>
        <v>Commercial</v>
      </c>
      <c r="L121" s="42" t="s">
        <v>146</v>
      </c>
      <c r="M121" s="43" t="s">
        <v>154</v>
      </c>
      <c r="N121" s="42" t="s">
        <v>155</v>
      </c>
      <c r="O121" s="43">
        <v>10</v>
      </c>
      <c r="P121" s="43">
        <v>4</v>
      </c>
      <c r="Q121" s="25" t="str">
        <f>VLOOKUP(P121,Key!$E$2:$F$9,2,FALSE)</f>
        <v>Commercial</v>
      </c>
      <c r="R121" s="25" t="str">
        <f t="shared" si="2"/>
        <v>Commercial-Commercial</v>
      </c>
      <c r="S121" s="58">
        <v>2</v>
      </c>
      <c r="T121" s="58">
        <v>0.1</v>
      </c>
      <c r="U121" s="58">
        <v>3</v>
      </c>
      <c r="V121" s="42">
        <v>4</v>
      </c>
      <c r="W121" s="42">
        <v>7</v>
      </c>
      <c r="X121" s="42"/>
      <c r="Y121" s="59" t="s">
        <v>156</v>
      </c>
      <c r="Z121" s="60">
        <v>1000</v>
      </c>
      <c r="AA121" s="25"/>
      <c r="AB121" s="25"/>
    </row>
    <row r="122" spans="2:28">
      <c r="B122" s="40">
        <v>0.4145833333333333</v>
      </c>
      <c r="C122" s="40" t="s">
        <v>844</v>
      </c>
      <c r="D122" s="44">
        <v>2</v>
      </c>
      <c r="E122" s="45">
        <v>3</v>
      </c>
      <c r="F122" s="42" t="s">
        <v>394</v>
      </c>
      <c r="G122" s="43" t="s">
        <v>154</v>
      </c>
      <c r="H122" s="42" t="s">
        <v>155</v>
      </c>
      <c r="I122" s="43">
        <v>1</v>
      </c>
      <c r="J122" s="43">
        <v>1</v>
      </c>
      <c r="K122" s="25" t="str">
        <f>VLOOKUP(J122,Key!$E$2:$F$9,2,FALSE)</f>
        <v>Home</v>
      </c>
      <c r="L122" s="42" t="s">
        <v>487</v>
      </c>
      <c r="M122" s="43" t="s">
        <v>154</v>
      </c>
      <c r="N122" s="42" t="s">
        <v>155</v>
      </c>
      <c r="O122" s="43">
        <v>2</v>
      </c>
      <c r="P122" s="43">
        <v>2</v>
      </c>
      <c r="Q122" s="25" t="str">
        <f>VLOOKUP(P122,Key!$E$2:$F$9,2,FALSE)</f>
        <v>Work</v>
      </c>
      <c r="R122" s="25" t="str">
        <f t="shared" si="2"/>
        <v>Home-Work</v>
      </c>
      <c r="S122" s="58">
        <v>7</v>
      </c>
      <c r="T122" s="58">
        <v>0.5</v>
      </c>
      <c r="U122" s="58">
        <v>2</v>
      </c>
      <c r="V122" s="42"/>
      <c r="W122" s="42"/>
      <c r="X122" s="42"/>
      <c r="Y122" s="59" t="s">
        <v>156</v>
      </c>
      <c r="Z122" s="60">
        <v>0</v>
      </c>
      <c r="AA122" s="25"/>
      <c r="AB122" s="25"/>
    </row>
    <row r="123" spans="2:28">
      <c r="B123" s="40">
        <v>0.40347222222222223</v>
      </c>
      <c r="C123" s="40" t="s">
        <v>531</v>
      </c>
      <c r="D123" s="44">
        <v>2</v>
      </c>
      <c r="E123" s="45">
        <v>4</v>
      </c>
      <c r="F123" s="42" t="s">
        <v>168</v>
      </c>
      <c r="G123" s="43" t="s">
        <v>154</v>
      </c>
      <c r="H123" s="42" t="s">
        <v>155</v>
      </c>
      <c r="I123" s="43">
        <v>1</v>
      </c>
      <c r="J123" s="43">
        <v>1</v>
      </c>
      <c r="K123" s="25" t="str">
        <f>VLOOKUP(J123,Key!$E$2:$F$9,2,FALSE)</f>
        <v>Home</v>
      </c>
      <c r="L123" s="42" t="s">
        <v>836</v>
      </c>
      <c r="M123" s="43" t="s">
        <v>836</v>
      </c>
      <c r="N123" s="42" t="s">
        <v>155</v>
      </c>
      <c r="O123" s="43">
        <v>3</v>
      </c>
      <c r="P123" s="43">
        <v>3</v>
      </c>
      <c r="Q123" s="25" t="str">
        <f>VLOOKUP(P123,Key!$E$2:$F$9,2,FALSE)</f>
        <v>Study</v>
      </c>
      <c r="R123" s="25" t="str">
        <f t="shared" si="2"/>
        <v>Home-Study</v>
      </c>
      <c r="S123" s="58">
        <v>10</v>
      </c>
      <c r="T123" s="58">
        <v>2</v>
      </c>
      <c r="U123" s="58">
        <v>6</v>
      </c>
      <c r="V123" s="42"/>
      <c r="W123" s="42"/>
      <c r="X123" s="42"/>
      <c r="Y123" s="59" t="s">
        <v>156</v>
      </c>
      <c r="Z123" s="60">
        <v>8000</v>
      </c>
      <c r="AA123" s="25"/>
      <c r="AB123" s="25"/>
    </row>
    <row r="124" spans="2:28">
      <c r="B124" s="40">
        <v>0.40902777777777777</v>
      </c>
      <c r="C124" s="40" t="s">
        <v>532</v>
      </c>
      <c r="D124" s="44">
        <v>1</v>
      </c>
      <c r="E124" s="45">
        <v>1</v>
      </c>
      <c r="F124" s="42" t="s">
        <v>394</v>
      </c>
      <c r="G124" s="43" t="s">
        <v>154</v>
      </c>
      <c r="H124" s="42" t="s">
        <v>155</v>
      </c>
      <c r="I124" s="43">
        <v>16</v>
      </c>
      <c r="J124" s="43">
        <v>1</v>
      </c>
      <c r="K124" s="25" t="str">
        <f>VLOOKUP(J124,Key!$E$2:$F$9,2,FALSE)</f>
        <v>Home</v>
      </c>
      <c r="L124" s="42" t="s">
        <v>147</v>
      </c>
      <c r="M124" s="43" t="s">
        <v>154</v>
      </c>
      <c r="N124" s="42" t="s">
        <v>155</v>
      </c>
      <c r="O124" s="43">
        <v>1</v>
      </c>
      <c r="P124" s="43">
        <v>3</v>
      </c>
      <c r="Q124" s="25" t="str">
        <f>VLOOKUP(P124,Key!$E$2:$F$9,2,FALSE)</f>
        <v>Study</v>
      </c>
      <c r="R124" s="25" t="str">
        <f t="shared" si="2"/>
        <v>Home-Study</v>
      </c>
      <c r="S124" s="58">
        <v>6</v>
      </c>
      <c r="T124" s="58">
        <v>0.7</v>
      </c>
      <c r="U124" s="58">
        <v>3</v>
      </c>
      <c r="V124" s="42"/>
      <c r="W124" s="42"/>
      <c r="X124" s="42"/>
      <c r="Y124" s="59" t="s">
        <v>156</v>
      </c>
      <c r="Z124" s="60">
        <v>0</v>
      </c>
      <c r="AA124" s="25"/>
      <c r="AB124" s="25"/>
    </row>
    <row r="125" spans="2:28">
      <c r="B125" s="40">
        <v>0.3972222222222222</v>
      </c>
      <c r="C125" s="40" t="s">
        <v>533</v>
      </c>
      <c r="D125" s="44">
        <v>1</v>
      </c>
      <c r="E125" s="42">
        <v>2</v>
      </c>
      <c r="F125" s="42" t="s">
        <v>404</v>
      </c>
      <c r="G125" s="43" t="s">
        <v>154</v>
      </c>
      <c r="H125" s="42" t="s">
        <v>155</v>
      </c>
      <c r="I125" s="43">
        <v>1</v>
      </c>
      <c r="J125" s="43">
        <v>1</v>
      </c>
      <c r="K125" s="25" t="str">
        <f>VLOOKUP(J125,Key!$E$2:$F$9,2,FALSE)</f>
        <v>Home</v>
      </c>
      <c r="L125" s="42" t="s">
        <v>836</v>
      </c>
      <c r="M125" s="43" t="s">
        <v>836</v>
      </c>
      <c r="N125" s="42" t="s">
        <v>155</v>
      </c>
      <c r="O125" s="43">
        <v>2</v>
      </c>
      <c r="P125" s="43">
        <v>2</v>
      </c>
      <c r="Q125" s="25" t="str">
        <f>VLOOKUP(P125,Key!$E$2:$F$9,2,FALSE)</f>
        <v>Work</v>
      </c>
      <c r="R125" s="25" t="str">
        <f t="shared" si="2"/>
        <v>Home-Work</v>
      </c>
      <c r="S125" s="58">
        <v>16</v>
      </c>
      <c r="T125" s="58">
        <v>1</v>
      </c>
      <c r="U125" s="58">
        <v>2</v>
      </c>
      <c r="V125" s="42"/>
      <c r="W125" s="42"/>
      <c r="X125" s="42"/>
      <c r="Y125" s="59" t="s">
        <v>156</v>
      </c>
      <c r="Z125" s="60">
        <v>5000</v>
      </c>
      <c r="AA125" s="25"/>
      <c r="AB125" s="25"/>
    </row>
    <row r="126" spans="2:28">
      <c r="B126" s="40">
        <v>0.39861111111111108</v>
      </c>
      <c r="C126" s="40" t="s">
        <v>534</v>
      </c>
      <c r="D126" s="44">
        <v>4</v>
      </c>
      <c r="E126" s="45">
        <v>14</v>
      </c>
      <c r="F126" s="42" t="s">
        <v>147</v>
      </c>
      <c r="G126" s="43" t="s">
        <v>154</v>
      </c>
      <c r="H126" s="42" t="s">
        <v>155</v>
      </c>
      <c r="I126" s="43">
        <v>6</v>
      </c>
      <c r="J126" s="43">
        <v>4</v>
      </c>
      <c r="K126" s="25" t="str">
        <f>VLOOKUP(J126,Key!$E$2:$F$9,2,FALSE)</f>
        <v>Commercial</v>
      </c>
      <c r="L126" s="42" t="s">
        <v>146</v>
      </c>
      <c r="M126" s="43" t="s">
        <v>154</v>
      </c>
      <c r="N126" s="42" t="s">
        <v>155</v>
      </c>
      <c r="O126" s="43">
        <v>6</v>
      </c>
      <c r="P126" s="43">
        <v>4</v>
      </c>
      <c r="Q126" s="25" t="str">
        <f>VLOOKUP(P126,Key!$E$2:$F$9,2,FALSE)</f>
        <v>Commercial</v>
      </c>
      <c r="R126" s="25" t="str">
        <f t="shared" si="2"/>
        <v>Commercial-Commercial</v>
      </c>
      <c r="S126" s="58">
        <v>9</v>
      </c>
      <c r="T126" s="58">
        <v>0.4</v>
      </c>
      <c r="U126" s="58">
        <v>2</v>
      </c>
      <c r="V126" s="42"/>
      <c r="W126" s="42"/>
      <c r="X126" s="42"/>
      <c r="Y126" s="59" t="s">
        <v>156</v>
      </c>
      <c r="Z126" s="60">
        <v>0</v>
      </c>
      <c r="AA126" s="25"/>
      <c r="AB126" s="25"/>
    </row>
    <row r="127" spans="2:28">
      <c r="B127" s="40">
        <v>0.39374999999999999</v>
      </c>
      <c r="C127" s="40" t="s">
        <v>535</v>
      </c>
      <c r="D127" s="44">
        <v>1</v>
      </c>
      <c r="E127" s="45">
        <v>1</v>
      </c>
      <c r="F127" s="42" t="s">
        <v>404</v>
      </c>
      <c r="G127" s="43" t="s">
        <v>154</v>
      </c>
      <c r="H127" s="42" t="s">
        <v>155</v>
      </c>
      <c r="I127" s="43">
        <v>1</v>
      </c>
      <c r="J127" s="43">
        <v>1</v>
      </c>
      <c r="K127" s="25" t="str">
        <f>VLOOKUP(J127,Key!$E$2:$F$9,2,FALSE)</f>
        <v>Home</v>
      </c>
      <c r="L127" s="42" t="s">
        <v>836</v>
      </c>
      <c r="M127" s="43" t="s">
        <v>836</v>
      </c>
      <c r="N127" s="42" t="s">
        <v>155</v>
      </c>
      <c r="O127" s="43">
        <v>2</v>
      </c>
      <c r="P127" s="43">
        <v>2</v>
      </c>
      <c r="Q127" s="25" t="str">
        <f>VLOOKUP(P127,Key!$E$2:$F$9,2,FALSE)</f>
        <v>Work</v>
      </c>
      <c r="R127" s="25" t="str">
        <f t="shared" si="2"/>
        <v>Home-Work</v>
      </c>
      <c r="S127" s="58">
        <v>10</v>
      </c>
      <c r="T127" s="58">
        <v>1</v>
      </c>
      <c r="U127" s="58">
        <v>2</v>
      </c>
      <c r="V127" s="42"/>
      <c r="W127" s="42"/>
      <c r="X127" s="42"/>
      <c r="Y127" s="59" t="s">
        <v>156</v>
      </c>
      <c r="Z127" s="60">
        <v>2000</v>
      </c>
      <c r="AA127" s="25"/>
      <c r="AB127" s="25"/>
    </row>
    <row r="128" spans="2:28">
      <c r="B128" s="40">
        <v>0.39027777777777778</v>
      </c>
      <c r="C128" s="40" t="s">
        <v>536</v>
      </c>
      <c r="D128" s="44">
        <v>7</v>
      </c>
      <c r="E128" s="45">
        <v>3</v>
      </c>
      <c r="F128" s="42" t="s">
        <v>168</v>
      </c>
      <c r="G128" s="43" t="s">
        <v>154</v>
      </c>
      <c r="H128" s="42" t="s">
        <v>155</v>
      </c>
      <c r="I128" s="43">
        <v>10</v>
      </c>
      <c r="J128" s="43">
        <v>2</v>
      </c>
      <c r="K128" s="25" t="str">
        <f>VLOOKUP(J128,Key!$E$2:$F$9,2,FALSE)</f>
        <v>Work</v>
      </c>
      <c r="L128" s="42" t="s">
        <v>146</v>
      </c>
      <c r="M128" s="43" t="s">
        <v>154</v>
      </c>
      <c r="N128" s="42" t="s">
        <v>155</v>
      </c>
      <c r="O128" s="43">
        <v>10</v>
      </c>
      <c r="P128" s="43">
        <v>2</v>
      </c>
      <c r="Q128" s="25" t="str">
        <f>VLOOKUP(P128,Key!$E$2:$F$9,2,FALSE)</f>
        <v>Work</v>
      </c>
      <c r="R128" s="25" t="str">
        <f t="shared" si="2"/>
        <v>Work-Work</v>
      </c>
      <c r="S128" s="58">
        <v>15</v>
      </c>
      <c r="T128" s="58">
        <v>1</v>
      </c>
      <c r="U128" s="58">
        <v>2</v>
      </c>
      <c r="V128" s="42">
        <v>4</v>
      </c>
      <c r="W128" s="42">
        <v>6</v>
      </c>
      <c r="X128" s="42"/>
      <c r="Y128" s="59" t="s">
        <v>156</v>
      </c>
      <c r="Z128" s="60">
        <v>0</v>
      </c>
      <c r="AA128" s="25"/>
      <c r="AB128" s="25"/>
    </row>
    <row r="129" spans="1:28">
      <c r="B129" s="40">
        <v>0.3833333333333333</v>
      </c>
      <c r="C129" s="40" t="s">
        <v>537</v>
      </c>
      <c r="D129" s="44">
        <v>1</v>
      </c>
      <c r="E129" s="45">
        <v>3</v>
      </c>
      <c r="F129" s="42" t="s">
        <v>168</v>
      </c>
      <c r="G129" s="43" t="s">
        <v>154</v>
      </c>
      <c r="H129" s="42" t="s">
        <v>155</v>
      </c>
      <c r="I129" s="43">
        <v>1</v>
      </c>
      <c r="J129" s="43">
        <v>1</v>
      </c>
      <c r="K129" s="25" t="str">
        <f>VLOOKUP(J129,Key!$E$2:$F$9,2,FALSE)</f>
        <v>Home</v>
      </c>
      <c r="L129" s="42" t="s">
        <v>836</v>
      </c>
      <c r="M129" s="43" t="s">
        <v>836</v>
      </c>
      <c r="N129" s="42" t="s">
        <v>155</v>
      </c>
      <c r="O129" s="43">
        <v>2</v>
      </c>
      <c r="P129" s="43">
        <v>2</v>
      </c>
      <c r="Q129" s="25" t="str">
        <f>VLOOKUP(P129,Key!$E$2:$F$9,2,FALSE)</f>
        <v>Work</v>
      </c>
      <c r="R129" s="25" t="str">
        <f t="shared" si="2"/>
        <v>Home-Work</v>
      </c>
      <c r="S129" s="58">
        <v>11</v>
      </c>
      <c r="T129" s="58">
        <v>2</v>
      </c>
      <c r="U129" s="58">
        <v>2</v>
      </c>
      <c r="V129" s="42"/>
      <c r="W129" s="42"/>
      <c r="X129" s="42"/>
      <c r="Y129" s="59" t="s">
        <v>156</v>
      </c>
      <c r="Z129" s="60">
        <v>3000</v>
      </c>
      <c r="AA129" s="25"/>
      <c r="AB129" s="25"/>
    </row>
    <row r="130" spans="1:28">
      <c r="B130" s="40">
        <v>0.38472222222222219</v>
      </c>
      <c r="C130" s="40" t="s">
        <v>538</v>
      </c>
      <c r="D130" s="44">
        <v>1</v>
      </c>
      <c r="E130" s="45">
        <v>1</v>
      </c>
      <c r="F130" s="42" t="s">
        <v>245</v>
      </c>
      <c r="G130" s="43" t="s">
        <v>154</v>
      </c>
      <c r="H130" s="42" t="s">
        <v>155</v>
      </c>
      <c r="I130" s="43">
        <v>1</v>
      </c>
      <c r="J130" s="43">
        <v>1</v>
      </c>
      <c r="K130" s="25" t="str">
        <f>VLOOKUP(J130,Key!$E$2:$F$9,2,FALSE)</f>
        <v>Home</v>
      </c>
      <c r="L130" s="42" t="s">
        <v>836</v>
      </c>
      <c r="M130" s="43" t="s">
        <v>836</v>
      </c>
      <c r="N130" s="42" t="s">
        <v>155</v>
      </c>
      <c r="O130" s="43">
        <v>2</v>
      </c>
      <c r="P130" s="43">
        <v>2</v>
      </c>
      <c r="Q130" s="25" t="str">
        <f>VLOOKUP(P130,Key!$E$2:$F$9,2,FALSE)</f>
        <v>Work</v>
      </c>
      <c r="R130" s="25" t="str">
        <f t="shared" si="2"/>
        <v>Home-Work</v>
      </c>
      <c r="S130" s="58">
        <v>25</v>
      </c>
      <c r="T130" s="58">
        <v>0.6</v>
      </c>
      <c r="U130" s="58">
        <v>2</v>
      </c>
      <c r="V130" s="42"/>
      <c r="W130" s="42"/>
      <c r="X130" s="42"/>
      <c r="Y130" s="59" t="s">
        <v>156</v>
      </c>
      <c r="Z130" s="60">
        <v>2000</v>
      </c>
      <c r="AA130" s="25"/>
      <c r="AB130" s="25"/>
    </row>
    <row r="131" spans="1:28">
      <c r="B131" s="40">
        <v>0.37916666666666665</v>
      </c>
      <c r="C131" s="40" t="s">
        <v>539</v>
      </c>
      <c r="D131" s="44">
        <v>7</v>
      </c>
      <c r="E131" s="45">
        <v>3</v>
      </c>
      <c r="F131" s="42" t="s">
        <v>517</v>
      </c>
      <c r="G131" s="43" t="s">
        <v>154</v>
      </c>
      <c r="H131" s="42" t="s">
        <v>155</v>
      </c>
      <c r="I131" s="43">
        <v>10</v>
      </c>
      <c r="J131" s="43">
        <v>2</v>
      </c>
      <c r="K131" s="25" t="str">
        <f>VLOOKUP(J131,Key!$E$2:$F$9,2,FALSE)</f>
        <v>Work</v>
      </c>
      <c r="L131" s="42" t="s">
        <v>382</v>
      </c>
      <c r="M131" s="43" t="s">
        <v>836</v>
      </c>
      <c r="N131" s="42" t="s">
        <v>155</v>
      </c>
      <c r="O131" s="43">
        <v>10</v>
      </c>
      <c r="P131" s="43">
        <v>2</v>
      </c>
      <c r="Q131" s="25" t="str">
        <f>VLOOKUP(P131,Key!$E$2:$F$9,2,FALSE)</f>
        <v>Work</v>
      </c>
      <c r="R131" s="25" t="str">
        <f t="shared" si="2"/>
        <v>Work-Work</v>
      </c>
      <c r="S131" s="58">
        <v>5</v>
      </c>
      <c r="T131" s="58">
        <v>1.3</v>
      </c>
      <c r="U131" s="58">
        <v>3</v>
      </c>
      <c r="V131" s="42">
        <v>4</v>
      </c>
      <c r="W131" s="42">
        <v>4</v>
      </c>
      <c r="X131" s="42"/>
      <c r="Y131" s="59" t="s">
        <v>156</v>
      </c>
      <c r="Z131" s="60">
        <v>5000</v>
      </c>
      <c r="AA131" s="25"/>
      <c r="AB131" s="25"/>
    </row>
    <row r="132" spans="1:28">
      <c r="B132" s="40">
        <v>0.38055555555555554</v>
      </c>
      <c r="C132" s="40" t="s">
        <v>540</v>
      </c>
      <c r="D132" s="44">
        <v>1</v>
      </c>
      <c r="E132" s="42">
        <v>4</v>
      </c>
      <c r="F132" s="42" t="s">
        <v>517</v>
      </c>
      <c r="G132" s="43" t="s">
        <v>154</v>
      </c>
      <c r="H132" s="42" t="s">
        <v>155</v>
      </c>
      <c r="I132" s="43">
        <v>1</v>
      </c>
      <c r="J132" s="43">
        <v>1</v>
      </c>
      <c r="K132" s="25" t="str">
        <f>VLOOKUP(J132,Key!$E$2:$F$9,2,FALSE)</f>
        <v>Home</v>
      </c>
      <c r="L132" s="42" t="s">
        <v>184</v>
      </c>
      <c r="M132" s="43" t="s">
        <v>154</v>
      </c>
      <c r="N132" s="42" t="s">
        <v>155</v>
      </c>
      <c r="O132" s="43">
        <v>4</v>
      </c>
      <c r="P132" s="43">
        <v>2</v>
      </c>
      <c r="Q132" s="25" t="str">
        <f>VLOOKUP(P132,Key!$E$2:$F$9,2,FALSE)</f>
        <v>Work</v>
      </c>
      <c r="R132" s="25" t="str">
        <f t="shared" si="2"/>
        <v>Home-Work</v>
      </c>
      <c r="S132" s="58"/>
      <c r="T132" s="58">
        <v>1</v>
      </c>
      <c r="U132" s="58">
        <v>2</v>
      </c>
      <c r="V132" s="42"/>
      <c r="W132" s="42"/>
      <c r="X132" s="42"/>
      <c r="Y132" s="59" t="s">
        <v>156</v>
      </c>
      <c r="Z132" s="60">
        <v>1000</v>
      </c>
      <c r="AA132" s="25"/>
      <c r="AB132" s="25"/>
    </row>
    <row r="133" spans="1:28">
      <c r="B133" s="49">
        <v>0.36736111111111108</v>
      </c>
      <c r="C133" s="49" t="s">
        <v>541</v>
      </c>
      <c r="D133" s="44">
        <v>3</v>
      </c>
      <c r="E133" s="45">
        <v>3</v>
      </c>
      <c r="F133" s="42" t="s">
        <v>394</v>
      </c>
      <c r="G133" s="43" t="s">
        <v>154</v>
      </c>
      <c r="H133" s="42" t="s">
        <v>155</v>
      </c>
      <c r="I133" s="43">
        <v>1</v>
      </c>
      <c r="J133" s="43">
        <v>1</v>
      </c>
      <c r="K133" s="25" t="str">
        <f>VLOOKUP(J133,Key!$E$2:$F$9,2,FALSE)</f>
        <v>Home</v>
      </c>
      <c r="L133" s="42" t="s">
        <v>163</v>
      </c>
      <c r="M133" s="43" t="s">
        <v>163</v>
      </c>
      <c r="N133" s="42" t="s">
        <v>155</v>
      </c>
      <c r="O133" s="43">
        <v>2</v>
      </c>
      <c r="P133" s="43">
        <v>2</v>
      </c>
      <c r="Q133" s="25" t="str">
        <f>VLOOKUP(P133,Key!$E$2:$F$9,2,FALSE)</f>
        <v>Work</v>
      </c>
      <c r="R133" s="25" t="str">
        <f t="shared" si="2"/>
        <v>Home-Work</v>
      </c>
      <c r="S133" s="58">
        <v>25</v>
      </c>
      <c r="T133" s="58">
        <v>1</v>
      </c>
      <c r="U133" s="58">
        <v>2</v>
      </c>
      <c r="V133" s="42"/>
      <c r="W133" s="42"/>
      <c r="X133" s="42"/>
      <c r="Y133" s="59" t="s">
        <v>156</v>
      </c>
      <c r="Z133" s="60">
        <v>5000</v>
      </c>
      <c r="AA133" s="25"/>
      <c r="AB133" s="25"/>
    </row>
    <row r="134" spans="1:28">
      <c r="B134" s="49">
        <v>0.37152777777777773</v>
      </c>
      <c r="C134" s="49" t="s">
        <v>343</v>
      </c>
      <c r="D134" s="44">
        <v>1</v>
      </c>
      <c r="E134" s="45">
        <v>2</v>
      </c>
      <c r="F134" s="42" t="s">
        <v>168</v>
      </c>
      <c r="G134" s="43" t="s">
        <v>154</v>
      </c>
      <c r="H134" s="42" t="s">
        <v>155</v>
      </c>
      <c r="I134" s="43">
        <v>2</v>
      </c>
      <c r="J134" s="43">
        <v>2</v>
      </c>
      <c r="K134" s="25" t="str">
        <f>VLOOKUP(J134,Key!$E$2:$F$9,2,FALSE)</f>
        <v>Work</v>
      </c>
      <c r="L134" s="42" t="s">
        <v>184</v>
      </c>
      <c r="M134" s="43" t="s">
        <v>154</v>
      </c>
      <c r="N134" s="42" t="s">
        <v>155</v>
      </c>
      <c r="O134" s="43">
        <v>1</v>
      </c>
      <c r="P134" s="43">
        <v>1</v>
      </c>
      <c r="Q134" s="25" t="str">
        <f>VLOOKUP(P134,Key!$E$2:$F$9,2,FALSE)</f>
        <v>Home</v>
      </c>
      <c r="R134" s="25" t="str">
        <f t="shared" si="2"/>
        <v>Work-Home</v>
      </c>
      <c r="S134" s="58">
        <v>10</v>
      </c>
      <c r="T134" s="58">
        <v>1</v>
      </c>
      <c r="U134" s="58">
        <v>2</v>
      </c>
      <c r="V134" s="42"/>
      <c r="W134" s="42"/>
      <c r="X134" s="42"/>
      <c r="Y134" s="59" t="s">
        <v>156</v>
      </c>
      <c r="Z134" s="60">
        <v>1000</v>
      </c>
      <c r="AA134" s="25"/>
      <c r="AB134" s="25"/>
    </row>
    <row r="135" spans="1:28">
      <c r="B135" s="49">
        <v>0.35555555555555557</v>
      </c>
      <c r="C135" s="49" t="s">
        <v>542</v>
      </c>
      <c r="D135" s="44">
        <v>1</v>
      </c>
      <c r="E135" s="47">
        <v>3</v>
      </c>
      <c r="F135" s="42" t="s">
        <v>404</v>
      </c>
      <c r="G135" s="43" t="s">
        <v>154</v>
      </c>
      <c r="H135" s="42" t="s">
        <v>155</v>
      </c>
      <c r="I135" s="43">
        <v>1</v>
      </c>
      <c r="J135" s="43">
        <v>1</v>
      </c>
      <c r="K135" s="25" t="str">
        <f>VLOOKUP(J135,Key!$E$2:$F$9,2,FALSE)</f>
        <v>Home</v>
      </c>
      <c r="L135" s="42" t="s">
        <v>836</v>
      </c>
      <c r="M135" s="43" t="s">
        <v>836</v>
      </c>
      <c r="N135" s="42" t="s">
        <v>155</v>
      </c>
      <c r="O135" s="43">
        <v>2</v>
      </c>
      <c r="P135" s="43">
        <v>2</v>
      </c>
      <c r="Q135" s="25" t="str">
        <f>VLOOKUP(P135,Key!$E$2:$F$9,2,FALSE)</f>
        <v>Work</v>
      </c>
      <c r="R135" s="25" t="str">
        <f t="shared" si="2"/>
        <v>Home-Work</v>
      </c>
      <c r="S135" s="58">
        <v>3</v>
      </c>
      <c r="T135" s="58">
        <v>1</v>
      </c>
      <c r="U135" s="58">
        <v>2</v>
      </c>
      <c r="V135" s="42"/>
      <c r="W135" s="42"/>
      <c r="X135" s="42"/>
      <c r="Y135" s="59" t="s">
        <v>156</v>
      </c>
      <c r="Z135" s="60">
        <v>2000</v>
      </c>
      <c r="AA135" s="25"/>
      <c r="AB135" s="25"/>
    </row>
    <row r="136" spans="1:28">
      <c r="B136" s="49">
        <v>0.36458333333333331</v>
      </c>
      <c r="C136" s="49" t="s">
        <v>543</v>
      </c>
      <c r="D136" s="44">
        <v>1</v>
      </c>
      <c r="E136" s="46">
        <v>2</v>
      </c>
      <c r="F136" s="42" t="s">
        <v>168</v>
      </c>
      <c r="G136" s="43" t="s">
        <v>154</v>
      </c>
      <c r="H136" s="42" t="s">
        <v>155</v>
      </c>
      <c r="I136" s="43">
        <v>1</v>
      </c>
      <c r="J136" s="43">
        <v>1</v>
      </c>
      <c r="K136" s="25" t="str">
        <f>VLOOKUP(J136,Key!$E$2:$F$9,2,FALSE)</f>
        <v>Home</v>
      </c>
      <c r="L136" s="42" t="s">
        <v>836</v>
      </c>
      <c r="M136" s="43" t="s">
        <v>836</v>
      </c>
      <c r="N136" s="42" t="s">
        <v>155</v>
      </c>
      <c r="O136" s="43">
        <v>2</v>
      </c>
      <c r="P136" s="43">
        <v>2</v>
      </c>
      <c r="Q136" s="25" t="str">
        <f>VLOOKUP(P136,Key!$E$2:$F$9,2,FALSE)</f>
        <v>Work</v>
      </c>
      <c r="R136" s="25" t="str">
        <f t="shared" si="2"/>
        <v>Home-Work</v>
      </c>
      <c r="S136" s="58">
        <v>10</v>
      </c>
      <c r="T136" s="58">
        <v>1</v>
      </c>
      <c r="U136" s="58">
        <v>2</v>
      </c>
      <c r="V136" s="42"/>
      <c r="W136" s="42"/>
      <c r="X136" s="42"/>
      <c r="Y136" s="59" t="s">
        <v>156</v>
      </c>
      <c r="Z136" s="60">
        <v>1000</v>
      </c>
      <c r="AA136" s="25"/>
      <c r="AB136" s="25"/>
    </row>
    <row r="137" spans="1:28">
      <c r="B137" s="49">
        <v>0.36041666666666666</v>
      </c>
      <c r="C137" s="50" t="s">
        <v>544</v>
      </c>
      <c r="D137" s="51">
        <v>1</v>
      </c>
      <c r="E137" s="47">
        <v>4</v>
      </c>
      <c r="F137" s="42" t="s">
        <v>168</v>
      </c>
      <c r="G137" s="43" t="s">
        <v>154</v>
      </c>
      <c r="H137" s="42" t="s">
        <v>155</v>
      </c>
      <c r="I137" s="43">
        <v>1</v>
      </c>
      <c r="J137" s="43">
        <v>1</v>
      </c>
      <c r="K137" s="25" t="str">
        <f>VLOOKUP(J137,Key!$E$2:$F$9,2,FALSE)</f>
        <v>Home</v>
      </c>
      <c r="L137" s="42" t="s">
        <v>197</v>
      </c>
      <c r="M137" s="43" t="s">
        <v>836</v>
      </c>
      <c r="N137" s="42" t="s">
        <v>155</v>
      </c>
      <c r="O137" s="43">
        <v>2</v>
      </c>
      <c r="P137" s="43">
        <v>2</v>
      </c>
      <c r="Q137" s="25" t="str">
        <f>VLOOKUP(P137,Key!$E$2:$F$9,2,FALSE)</f>
        <v>Work</v>
      </c>
      <c r="R137" s="25" t="str">
        <f t="shared" si="2"/>
        <v>Home-Work</v>
      </c>
      <c r="S137" s="58">
        <v>16</v>
      </c>
      <c r="T137" s="58">
        <v>2</v>
      </c>
      <c r="U137" s="58">
        <v>2</v>
      </c>
      <c r="V137" s="52"/>
      <c r="W137" s="52"/>
      <c r="X137" s="52"/>
      <c r="Y137" s="59" t="s">
        <v>156</v>
      </c>
      <c r="Z137" s="60">
        <v>10000</v>
      </c>
      <c r="AA137" s="25"/>
      <c r="AB137" s="25"/>
    </row>
    <row r="138" spans="1:28">
      <c r="B138" s="49">
        <v>0.3666666666666667</v>
      </c>
      <c r="C138" s="50" t="s">
        <v>545</v>
      </c>
      <c r="D138" s="51">
        <v>1</v>
      </c>
      <c r="E138" s="47">
        <v>1</v>
      </c>
      <c r="F138" s="42" t="s">
        <v>404</v>
      </c>
      <c r="G138" s="43" t="s">
        <v>154</v>
      </c>
      <c r="H138" s="42" t="s">
        <v>155</v>
      </c>
      <c r="I138" s="43">
        <v>1</v>
      </c>
      <c r="J138" s="43">
        <v>1</v>
      </c>
      <c r="K138" s="25" t="str">
        <f>VLOOKUP(J138,Key!$E$2:$F$9,2,FALSE)</f>
        <v>Home</v>
      </c>
      <c r="L138" s="42" t="s">
        <v>845</v>
      </c>
      <c r="M138" s="43" t="s">
        <v>836</v>
      </c>
      <c r="N138" s="42" t="s">
        <v>155</v>
      </c>
      <c r="O138" s="43">
        <v>2</v>
      </c>
      <c r="P138" s="43">
        <v>2</v>
      </c>
      <c r="Q138" s="25" t="str">
        <f>VLOOKUP(P138,Key!$E$2:$F$9,2,FALSE)</f>
        <v>Work</v>
      </c>
      <c r="R138" s="25" t="str">
        <f t="shared" si="2"/>
        <v>Home-Work</v>
      </c>
      <c r="S138" s="58">
        <v>8</v>
      </c>
      <c r="T138" s="58">
        <v>1</v>
      </c>
      <c r="U138" s="58">
        <v>2</v>
      </c>
      <c r="V138" s="52"/>
      <c r="W138" s="52"/>
      <c r="X138" s="52"/>
      <c r="Y138" s="59" t="s">
        <v>156</v>
      </c>
      <c r="Z138" s="60">
        <v>2000</v>
      </c>
      <c r="AA138" s="25"/>
      <c r="AB138" s="25"/>
    </row>
    <row r="139" spans="1:28">
      <c r="B139" s="49">
        <v>0.3527777777777778</v>
      </c>
      <c r="C139" s="50" t="s">
        <v>546</v>
      </c>
      <c r="D139" s="51">
        <v>2</v>
      </c>
      <c r="E139" s="47">
        <v>2</v>
      </c>
      <c r="F139" s="42" t="s">
        <v>391</v>
      </c>
      <c r="G139" s="43" t="s">
        <v>154</v>
      </c>
      <c r="H139" s="42" t="s">
        <v>155</v>
      </c>
      <c r="I139" s="43">
        <v>1</v>
      </c>
      <c r="J139" s="43">
        <v>1</v>
      </c>
      <c r="K139" s="25" t="str">
        <f>VLOOKUP(J139,Key!$E$2:$F$9,2,FALSE)</f>
        <v>Home</v>
      </c>
      <c r="L139" s="42" t="s">
        <v>836</v>
      </c>
      <c r="M139" s="43" t="s">
        <v>836</v>
      </c>
      <c r="N139" s="42" t="s">
        <v>155</v>
      </c>
      <c r="O139" s="43">
        <v>2</v>
      </c>
      <c r="P139" s="43">
        <v>2</v>
      </c>
      <c r="Q139" s="25" t="str">
        <f>VLOOKUP(P139,Key!$E$2:$F$9,2,FALSE)</f>
        <v>Work</v>
      </c>
      <c r="R139" s="25" t="str">
        <f t="shared" si="2"/>
        <v>Home-Work</v>
      </c>
      <c r="S139" s="58">
        <v>1</v>
      </c>
      <c r="T139" s="58">
        <v>0.1</v>
      </c>
      <c r="U139" s="58">
        <v>2</v>
      </c>
      <c r="V139" s="52"/>
      <c r="W139" s="52"/>
      <c r="X139" s="52"/>
      <c r="Y139" s="59" t="s">
        <v>156</v>
      </c>
      <c r="Z139" s="60">
        <v>1000</v>
      </c>
      <c r="AA139" s="25"/>
      <c r="AB139" s="25"/>
    </row>
    <row r="140" spans="1:28">
      <c r="B140" s="49">
        <v>0.35000000000000003</v>
      </c>
      <c r="C140" s="49" t="s">
        <v>547</v>
      </c>
      <c r="D140" s="44">
        <v>1</v>
      </c>
      <c r="E140" s="47">
        <v>3</v>
      </c>
      <c r="F140" s="42" t="s">
        <v>245</v>
      </c>
      <c r="G140" s="43" t="s">
        <v>154</v>
      </c>
      <c r="H140" s="42" t="s">
        <v>155</v>
      </c>
      <c r="I140" s="43">
        <v>1</v>
      </c>
      <c r="J140" s="43">
        <v>1</v>
      </c>
      <c r="K140" s="25" t="str">
        <f>VLOOKUP(J140,Key!$E$2:$F$9,2,FALSE)</f>
        <v>Home</v>
      </c>
      <c r="L140" s="42" t="s">
        <v>846</v>
      </c>
      <c r="M140" s="43" t="s">
        <v>154</v>
      </c>
      <c r="N140" s="42" t="s">
        <v>155</v>
      </c>
      <c r="O140" s="43">
        <v>2</v>
      </c>
      <c r="P140" s="43">
        <v>2</v>
      </c>
      <c r="Q140" s="25" t="str">
        <f>VLOOKUP(P140,Key!$E$2:$F$9,2,FALSE)</f>
        <v>Work</v>
      </c>
      <c r="R140" s="25" t="str">
        <f t="shared" si="2"/>
        <v>Home-Work</v>
      </c>
      <c r="S140" s="58">
        <v>5</v>
      </c>
      <c r="T140" s="58">
        <v>0.2</v>
      </c>
      <c r="U140" s="58">
        <v>2</v>
      </c>
      <c r="V140" s="42"/>
      <c r="W140" s="42"/>
      <c r="X140" s="42"/>
      <c r="Y140" s="59" t="s">
        <v>156</v>
      </c>
      <c r="Z140" s="60">
        <v>2000</v>
      </c>
      <c r="AA140" s="25"/>
      <c r="AB140" s="25"/>
    </row>
    <row r="141" spans="1:28">
      <c r="B141" s="49">
        <v>0.34097222222222223</v>
      </c>
      <c r="C141" s="49" t="s">
        <v>548</v>
      </c>
      <c r="D141" s="44">
        <v>1</v>
      </c>
      <c r="E141" s="47">
        <v>2</v>
      </c>
      <c r="F141" s="42" t="s">
        <v>404</v>
      </c>
      <c r="G141" s="43" t="s">
        <v>154</v>
      </c>
      <c r="H141" s="42" t="s">
        <v>155</v>
      </c>
      <c r="I141" s="43">
        <v>1</v>
      </c>
      <c r="J141" s="43">
        <v>1</v>
      </c>
      <c r="K141" s="25" t="str">
        <f>VLOOKUP(J141,Key!$E$2:$F$9,2,FALSE)</f>
        <v>Home</v>
      </c>
      <c r="L141" s="42" t="s">
        <v>836</v>
      </c>
      <c r="M141" s="43" t="s">
        <v>836</v>
      </c>
      <c r="N141" s="42" t="s">
        <v>155</v>
      </c>
      <c r="O141" s="43">
        <v>2</v>
      </c>
      <c r="P141" s="43">
        <v>2</v>
      </c>
      <c r="Q141" s="25" t="str">
        <f>VLOOKUP(P141,Key!$E$2:$F$9,2,FALSE)</f>
        <v>Work</v>
      </c>
      <c r="R141" s="25" t="str">
        <f t="shared" si="2"/>
        <v>Home-Work</v>
      </c>
      <c r="S141" s="58">
        <v>8</v>
      </c>
      <c r="T141" s="58">
        <v>0.2</v>
      </c>
      <c r="U141" s="58">
        <v>2</v>
      </c>
      <c r="V141" s="42"/>
      <c r="W141" s="42"/>
      <c r="X141" s="42"/>
      <c r="Y141" s="59" t="s">
        <v>156</v>
      </c>
      <c r="Z141" s="60">
        <v>1000</v>
      </c>
      <c r="AA141" s="25"/>
      <c r="AB141" s="25"/>
    </row>
    <row r="142" spans="1:28">
      <c r="B142" s="50">
        <v>0.3430555555555555</v>
      </c>
      <c r="C142" s="50" t="s">
        <v>549</v>
      </c>
      <c r="D142" s="51">
        <v>1</v>
      </c>
      <c r="E142" s="53">
        <v>2</v>
      </c>
      <c r="F142" s="54" t="s">
        <v>168</v>
      </c>
      <c r="G142" s="43" t="s">
        <v>154</v>
      </c>
      <c r="H142" s="42" t="s">
        <v>155</v>
      </c>
      <c r="I142" s="43">
        <v>1</v>
      </c>
      <c r="J142" s="43">
        <v>1</v>
      </c>
      <c r="K142" s="25" t="str">
        <f>VLOOKUP(J142,Key!$E$2:$F$9,2,FALSE)</f>
        <v>Home</v>
      </c>
      <c r="L142" s="54" t="s">
        <v>836</v>
      </c>
      <c r="M142" s="43" t="s">
        <v>836</v>
      </c>
      <c r="N142" s="42" t="s">
        <v>155</v>
      </c>
      <c r="O142" s="43">
        <v>2</v>
      </c>
      <c r="P142" s="43">
        <v>2</v>
      </c>
      <c r="Q142" s="25" t="str">
        <f>VLOOKUP(P142,Key!$E$2:$F$9,2,FALSE)</f>
        <v>Work</v>
      </c>
      <c r="R142" s="25" t="str">
        <f t="shared" si="2"/>
        <v>Home-Work</v>
      </c>
      <c r="S142" s="58">
        <v>1.5</v>
      </c>
      <c r="T142" s="58">
        <v>0.1</v>
      </c>
      <c r="U142" s="58">
        <v>2</v>
      </c>
      <c r="V142" s="54"/>
      <c r="W142" s="54"/>
      <c r="X142" s="54"/>
      <c r="Y142" s="59" t="s">
        <v>156</v>
      </c>
      <c r="Z142" s="60">
        <v>0</v>
      </c>
      <c r="AA142" s="25"/>
      <c r="AB142" s="25"/>
    </row>
    <row r="143" spans="1:28">
      <c r="A143" s="14"/>
      <c r="B143" s="68">
        <v>0.72430555555555554</v>
      </c>
      <c r="C143" s="52" t="s">
        <v>550</v>
      </c>
      <c r="D143" s="51">
        <v>1</v>
      </c>
      <c r="E143" s="53">
        <v>1</v>
      </c>
      <c r="F143" s="52" t="s">
        <v>245</v>
      </c>
      <c r="G143" s="43" t="s">
        <v>154</v>
      </c>
      <c r="H143" s="42" t="s">
        <v>155</v>
      </c>
      <c r="I143" s="43">
        <v>1</v>
      </c>
      <c r="J143" s="43">
        <v>1</v>
      </c>
      <c r="K143" s="25" t="str">
        <f>VLOOKUP(J143,Key!$E$2:$F$9,2,FALSE)</f>
        <v>Home</v>
      </c>
      <c r="L143" s="52" t="s">
        <v>473</v>
      </c>
      <c r="M143" s="43" t="s">
        <v>154</v>
      </c>
      <c r="N143" s="42" t="s">
        <v>155</v>
      </c>
      <c r="O143" s="43">
        <v>16</v>
      </c>
      <c r="P143" s="43">
        <v>3</v>
      </c>
      <c r="Q143" s="25" t="str">
        <f>VLOOKUP(P143,Key!$E$2:$F$9,2,FALSE)</f>
        <v>Study</v>
      </c>
      <c r="R143" s="25" t="str">
        <f t="shared" si="2"/>
        <v>Home-Study</v>
      </c>
      <c r="S143" s="58">
        <v>4</v>
      </c>
      <c r="T143" s="58">
        <v>1</v>
      </c>
      <c r="U143" s="58">
        <v>2</v>
      </c>
      <c r="V143" s="52"/>
      <c r="W143" s="52"/>
      <c r="X143" s="52"/>
      <c r="Y143" s="59" t="s">
        <v>156</v>
      </c>
      <c r="Z143" s="60">
        <v>1000</v>
      </c>
      <c r="AA143" s="14"/>
      <c r="AB143" s="14"/>
    </row>
    <row r="144" spans="1:28">
      <c r="A144" s="14"/>
      <c r="B144" s="68">
        <v>0.72222222222222221</v>
      </c>
      <c r="C144" s="52" t="s">
        <v>551</v>
      </c>
      <c r="D144" s="51">
        <v>1</v>
      </c>
      <c r="E144" s="53">
        <v>1</v>
      </c>
      <c r="F144" s="52" t="s">
        <v>147</v>
      </c>
      <c r="G144" s="43" t="s">
        <v>154</v>
      </c>
      <c r="H144" s="42" t="s">
        <v>155</v>
      </c>
      <c r="I144" s="43">
        <v>2</v>
      </c>
      <c r="J144" s="43">
        <v>2</v>
      </c>
      <c r="K144" s="25" t="str">
        <f>VLOOKUP(J144,Key!$E$2:$F$9,2,FALSE)</f>
        <v>Work</v>
      </c>
      <c r="L144" s="52" t="s">
        <v>552</v>
      </c>
      <c r="M144" s="43" t="s">
        <v>154</v>
      </c>
      <c r="N144" s="42" t="s">
        <v>155</v>
      </c>
      <c r="O144" s="43">
        <v>2</v>
      </c>
      <c r="P144" s="43">
        <v>2</v>
      </c>
      <c r="Q144" s="25" t="str">
        <f>VLOOKUP(P144,Key!$E$2:$F$9,2,FALSE)</f>
        <v>Work</v>
      </c>
      <c r="R144" s="25" t="str">
        <f t="shared" si="2"/>
        <v>Work-Work</v>
      </c>
      <c r="S144" s="58">
        <v>1.5</v>
      </c>
      <c r="T144" s="58">
        <v>0.3</v>
      </c>
      <c r="U144" s="58">
        <v>2</v>
      </c>
      <c r="V144" s="52"/>
      <c r="W144" s="52"/>
      <c r="X144" s="52"/>
      <c r="Y144" s="59" t="s">
        <v>156</v>
      </c>
      <c r="Z144" s="60">
        <v>5000</v>
      </c>
      <c r="AA144" s="14"/>
      <c r="AB144" s="14"/>
    </row>
    <row r="145" spans="1:28">
      <c r="A145" s="14"/>
      <c r="B145" s="68">
        <v>0.73819444444444438</v>
      </c>
      <c r="C145" s="52" t="s">
        <v>553</v>
      </c>
      <c r="D145" s="51">
        <v>8</v>
      </c>
      <c r="E145" s="53">
        <v>1</v>
      </c>
      <c r="F145" s="52" t="s">
        <v>146</v>
      </c>
      <c r="G145" s="43" t="s">
        <v>154</v>
      </c>
      <c r="H145" s="42" t="s">
        <v>155</v>
      </c>
      <c r="I145" s="43">
        <v>10</v>
      </c>
      <c r="J145" s="43">
        <v>2</v>
      </c>
      <c r="K145" s="25" t="str">
        <f>VLOOKUP(J145,Key!$E$2:$F$9,2,FALSE)</f>
        <v>Work</v>
      </c>
      <c r="L145" s="52" t="s">
        <v>554</v>
      </c>
      <c r="M145" s="43" t="s">
        <v>154</v>
      </c>
      <c r="N145" s="42" t="s">
        <v>155</v>
      </c>
      <c r="O145" s="43">
        <v>10</v>
      </c>
      <c r="P145" s="43">
        <v>2</v>
      </c>
      <c r="Q145" s="25" t="str">
        <f>VLOOKUP(P145,Key!$E$2:$F$9,2,FALSE)</f>
        <v>Work</v>
      </c>
      <c r="R145" s="25" t="str">
        <f t="shared" si="2"/>
        <v>Work-Work</v>
      </c>
      <c r="S145" s="58">
        <v>8</v>
      </c>
      <c r="T145" s="58">
        <v>0.3</v>
      </c>
      <c r="U145" s="58">
        <v>2</v>
      </c>
      <c r="V145" s="52"/>
      <c r="W145" s="52"/>
      <c r="X145" s="52"/>
      <c r="Y145" s="59" t="s">
        <v>156</v>
      </c>
      <c r="Z145" s="60">
        <v>4000</v>
      </c>
      <c r="AA145" s="14"/>
      <c r="AB145" s="14"/>
    </row>
    <row r="146" spans="1:28">
      <c r="B146" s="69">
        <v>0.72986111111111107</v>
      </c>
      <c r="C146" s="55" t="s">
        <v>555</v>
      </c>
      <c r="D146" s="51">
        <v>9</v>
      </c>
      <c r="E146" s="53">
        <v>3</v>
      </c>
      <c r="F146" s="56" t="s">
        <v>147</v>
      </c>
      <c r="G146" s="43" t="s">
        <v>154</v>
      </c>
      <c r="H146" s="42" t="s">
        <v>155</v>
      </c>
      <c r="I146" s="43">
        <v>2</v>
      </c>
      <c r="J146" s="43">
        <v>2</v>
      </c>
      <c r="K146" s="25" t="str">
        <f>VLOOKUP(J146,Key!$E$2:$F$9,2,FALSE)</f>
        <v>Work</v>
      </c>
      <c r="L146" s="56" t="s">
        <v>146</v>
      </c>
      <c r="M146" s="43" t="s">
        <v>154</v>
      </c>
      <c r="N146" s="42" t="s">
        <v>155</v>
      </c>
      <c r="O146" s="43">
        <v>3</v>
      </c>
      <c r="P146" s="43">
        <v>4</v>
      </c>
      <c r="Q146" s="25" t="str">
        <f>VLOOKUP(P146,Key!$E$2:$F$9,2,FALSE)</f>
        <v>Commercial</v>
      </c>
      <c r="R146" s="25" t="str">
        <f t="shared" si="2"/>
        <v>Work-Commercial</v>
      </c>
      <c r="S146" s="58">
        <v>5</v>
      </c>
      <c r="T146" s="58">
        <v>0.3</v>
      </c>
      <c r="U146" s="58">
        <v>3</v>
      </c>
      <c r="V146" s="56"/>
      <c r="W146" s="56">
        <v>10</v>
      </c>
      <c r="X146" s="56"/>
      <c r="Y146" s="59" t="s">
        <v>156</v>
      </c>
      <c r="Z146" s="60">
        <v>1000</v>
      </c>
      <c r="AA146" s="16"/>
      <c r="AB146" s="16"/>
    </row>
    <row r="147" spans="1:28">
      <c r="B147" s="49">
        <v>0.74791666666666667</v>
      </c>
      <c r="C147" s="57" t="s">
        <v>556</v>
      </c>
      <c r="D147" s="51">
        <v>1</v>
      </c>
      <c r="E147" s="53">
        <v>1</v>
      </c>
      <c r="F147" s="48" t="s">
        <v>154</v>
      </c>
      <c r="G147" s="43" t="s">
        <v>154</v>
      </c>
      <c r="H147" s="42" t="s">
        <v>155</v>
      </c>
      <c r="I147" s="43">
        <v>2</v>
      </c>
      <c r="J147" s="43">
        <v>2</v>
      </c>
      <c r="K147" s="25" t="str">
        <f>VLOOKUP(J147,Key!$E$2:$F$9,2,FALSE)</f>
        <v>Work</v>
      </c>
      <c r="L147" s="48" t="s">
        <v>487</v>
      </c>
      <c r="M147" s="43" t="s">
        <v>154</v>
      </c>
      <c r="N147" s="42" t="s">
        <v>155</v>
      </c>
      <c r="O147" s="43">
        <v>1</v>
      </c>
      <c r="P147" s="43">
        <v>1</v>
      </c>
      <c r="Q147" s="25" t="str">
        <f>VLOOKUP(P147,Key!$E$2:$F$9,2,FALSE)</f>
        <v>Home</v>
      </c>
      <c r="R147" s="25" t="str">
        <f t="shared" si="2"/>
        <v>Work-Home</v>
      </c>
      <c r="S147" s="58">
        <v>8</v>
      </c>
      <c r="T147" s="58">
        <v>1</v>
      </c>
      <c r="U147" s="58">
        <v>3</v>
      </c>
      <c r="V147" s="48"/>
      <c r="W147" s="48"/>
      <c r="X147" s="48"/>
      <c r="Y147" s="59" t="s">
        <v>156</v>
      </c>
      <c r="Z147" s="60">
        <v>2000</v>
      </c>
      <c r="AA147" s="12"/>
      <c r="AB147" s="12"/>
    </row>
    <row r="148" spans="1:28">
      <c r="B148" s="49">
        <v>0.74513888888888891</v>
      </c>
      <c r="C148" s="57" t="s">
        <v>557</v>
      </c>
      <c r="D148" s="51">
        <v>1</v>
      </c>
      <c r="E148" s="53">
        <v>2</v>
      </c>
      <c r="F148" s="48" t="s">
        <v>147</v>
      </c>
      <c r="G148" s="43" t="s">
        <v>154</v>
      </c>
      <c r="H148" s="42" t="s">
        <v>155</v>
      </c>
      <c r="I148" s="43">
        <v>2</v>
      </c>
      <c r="J148" s="43">
        <v>2</v>
      </c>
      <c r="K148" s="25" t="str">
        <f>VLOOKUP(J148,Key!$E$2:$F$9,2,FALSE)</f>
        <v>Work</v>
      </c>
      <c r="L148" s="48" t="s">
        <v>184</v>
      </c>
      <c r="M148" s="43" t="s">
        <v>154</v>
      </c>
      <c r="N148" s="42" t="s">
        <v>155</v>
      </c>
      <c r="O148" s="43">
        <v>16</v>
      </c>
      <c r="P148" s="43">
        <v>2</v>
      </c>
      <c r="Q148" s="25" t="str">
        <f>VLOOKUP(P148,Key!$E$2:$F$9,2,FALSE)</f>
        <v>Work</v>
      </c>
      <c r="R148" s="25" t="str">
        <f t="shared" si="2"/>
        <v>Work-Work</v>
      </c>
      <c r="S148" s="58">
        <v>9</v>
      </c>
      <c r="T148" s="58">
        <v>0.3</v>
      </c>
      <c r="U148" s="58">
        <v>2</v>
      </c>
      <c r="V148" s="48"/>
      <c r="W148" s="48"/>
      <c r="X148" s="48"/>
      <c r="Y148" s="59" t="s">
        <v>156</v>
      </c>
      <c r="Z148" s="60">
        <v>2000</v>
      </c>
      <c r="AA148" s="12"/>
      <c r="AB148" s="12"/>
    </row>
    <row r="149" spans="1:28">
      <c r="B149" s="49">
        <v>0.75277777777777777</v>
      </c>
      <c r="C149" s="57" t="s">
        <v>558</v>
      </c>
      <c r="D149" s="51">
        <v>3</v>
      </c>
      <c r="E149" s="53">
        <v>2</v>
      </c>
      <c r="F149" s="48" t="s">
        <v>202</v>
      </c>
      <c r="G149" s="43" t="s">
        <v>202</v>
      </c>
      <c r="H149" s="42" t="s">
        <v>155</v>
      </c>
      <c r="I149" s="43">
        <v>9</v>
      </c>
      <c r="J149" s="43">
        <v>2</v>
      </c>
      <c r="K149" s="25" t="str">
        <f>VLOOKUP(J149,Key!$E$2:$F$9,2,FALSE)</f>
        <v>Work</v>
      </c>
      <c r="L149" s="48" t="s">
        <v>209</v>
      </c>
      <c r="M149" s="43" t="s">
        <v>154</v>
      </c>
      <c r="N149" s="42" t="s">
        <v>155</v>
      </c>
      <c r="O149" s="43">
        <v>12</v>
      </c>
      <c r="P149" s="43">
        <v>4</v>
      </c>
      <c r="Q149" s="25" t="str">
        <f>VLOOKUP(P149,Key!$E$2:$F$9,2,FALSE)</f>
        <v>Commercial</v>
      </c>
      <c r="R149" s="25" t="str">
        <f t="shared" si="2"/>
        <v>Work-Commercial</v>
      </c>
      <c r="S149" s="58">
        <v>11</v>
      </c>
      <c r="T149" s="58">
        <v>1</v>
      </c>
      <c r="U149" s="58">
        <v>6</v>
      </c>
      <c r="V149" s="48">
        <v>1</v>
      </c>
      <c r="W149" s="48">
        <v>1</v>
      </c>
      <c r="X149" s="48"/>
      <c r="Y149" s="59" t="s">
        <v>156</v>
      </c>
      <c r="Z149" s="60">
        <v>5000</v>
      </c>
      <c r="AA149" s="12"/>
      <c r="AB149" s="12"/>
    </row>
    <row r="150" spans="1:28">
      <c r="B150" s="49">
        <v>0.7583333333333333</v>
      </c>
      <c r="C150" s="57" t="s">
        <v>559</v>
      </c>
      <c r="D150" s="51">
        <v>1</v>
      </c>
      <c r="E150" s="53">
        <v>1</v>
      </c>
      <c r="F150" s="48" t="s">
        <v>560</v>
      </c>
      <c r="G150" s="43" t="s">
        <v>154</v>
      </c>
      <c r="H150" s="42" t="s">
        <v>155</v>
      </c>
      <c r="I150" s="43">
        <v>1</v>
      </c>
      <c r="J150" s="43">
        <v>1</v>
      </c>
      <c r="K150" s="25" t="str">
        <f>VLOOKUP(J150,Key!$E$2:$F$9,2,FALSE)</f>
        <v>Home</v>
      </c>
      <c r="L150" s="48" t="s">
        <v>146</v>
      </c>
      <c r="M150" s="43" t="s">
        <v>154</v>
      </c>
      <c r="N150" s="42" t="s">
        <v>155</v>
      </c>
      <c r="O150" s="43">
        <v>16</v>
      </c>
      <c r="P150" s="43">
        <v>8</v>
      </c>
      <c r="Q150" s="25" t="str">
        <f>VLOOKUP(P150,Key!$E$2:$F$9,2,FALSE)</f>
        <v>Others</v>
      </c>
      <c r="R150" s="25" t="str">
        <f t="shared" si="2"/>
        <v>Home-Others</v>
      </c>
      <c r="S150" s="58">
        <v>3</v>
      </c>
      <c r="T150" s="58">
        <v>0.1</v>
      </c>
      <c r="U150" s="58">
        <v>2</v>
      </c>
      <c r="V150" s="48"/>
      <c r="W150" s="48"/>
      <c r="X150" s="48"/>
      <c r="Y150" s="59" t="s">
        <v>156</v>
      </c>
      <c r="Z150" s="60">
        <v>1000</v>
      </c>
      <c r="AA150" s="12"/>
      <c r="AB150" s="12"/>
    </row>
    <row r="151" spans="1:28">
      <c r="B151" s="49">
        <v>0.67708333333333337</v>
      </c>
      <c r="C151" s="57" t="s">
        <v>561</v>
      </c>
      <c r="D151" s="51">
        <v>1</v>
      </c>
      <c r="E151" s="53">
        <v>4</v>
      </c>
      <c r="F151" s="48" t="s">
        <v>487</v>
      </c>
      <c r="G151" s="43" t="s">
        <v>154</v>
      </c>
      <c r="H151" s="42" t="s">
        <v>155</v>
      </c>
      <c r="I151" s="43">
        <v>1</v>
      </c>
      <c r="J151" s="43">
        <v>1</v>
      </c>
      <c r="K151" s="25" t="str">
        <f>VLOOKUP(J151,Key!$E$2:$F$9,2,FALSE)</f>
        <v>Home</v>
      </c>
      <c r="L151" s="48" t="s">
        <v>836</v>
      </c>
      <c r="M151" s="43" t="s">
        <v>836</v>
      </c>
      <c r="N151" s="42" t="s">
        <v>155</v>
      </c>
      <c r="O151" s="43">
        <v>2</v>
      </c>
      <c r="P151" s="43">
        <v>2</v>
      </c>
      <c r="Q151" s="25" t="str">
        <f>VLOOKUP(P151,Key!$E$2:$F$9,2,FALSE)</f>
        <v>Work</v>
      </c>
      <c r="R151" s="25" t="str">
        <f t="shared" si="2"/>
        <v>Home-Work</v>
      </c>
      <c r="S151" s="58">
        <v>12</v>
      </c>
      <c r="T151" s="58">
        <v>2</v>
      </c>
      <c r="U151" s="58">
        <v>3</v>
      </c>
      <c r="V151" s="48"/>
      <c r="W151" s="48"/>
      <c r="X151" s="48"/>
      <c r="Y151" s="59" t="s">
        <v>156</v>
      </c>
      <c r="Z151" s="60">
        <v>1500</v>
      </c>
      <c r="AA151" s="12"/>
      <c r="AB151" s="12"/>
    </row>
    <row r="152" spans="1:28">
      <c r="B152" s="49">
        <v>0.66666666666666663</v>
      </c>
      <c r="C152" s="57" t="s">
        <v>562</v>
      </c>
      <c r="D152" s="51">
        <v>2</v>
      </c>
      <c r="E152" s="53">
        <v>2</v>
      </c>
      <c r="F152" s="48" t="s">
        <v>245</v>
      </c>
      <c r="G152" s="43" t="s">
        <v>154</v>
      </c>
      <c r="H152" s="42" t="s">
        <v>155</v>
      </c>
      <c r="I152" s="43">
        <v>1</v>
      </c>
      <c r="J152" s="43">
        <v>2</v>
      </c>
      <c r="K152" s="25" t="str">
        <f>VLOOKUP(J152,Key!$E$2:$F$9,2,FALSE)</f>
        <v>Work</v>
      </c>
      <c r="L152" s="48" t="s">
        <v>836</v>
      </c>
      <c r="M152" s="43" t="s">
        <v>836</v>
      </c>
      <c r="N152" s="42" t="s">
        <v>155</v>
      </c>
      <c r="O152" s="43">
        <v>2</v>
      </c>
      <c r="P152" s="43">
        <v>2</v>
      </c>
      <c r="Q152" s="25" t="str">
        <f>VLOOKUP(P152,Key!$E$2:$F$9,2,FALSE)</f>
        <v>Work</v>
      </c>
      <c r="R152" s="25" t="str">
        <f t="shared" si="2"/>
        <v>Work-Work</v>
      </c>
      <c r="S152" s="58">
        <v>8</v>
      </c>
      <c r="T152" s="58">
        <v>1.5</v>
      </c>
      <c r="U152" s="58">
        <v>2</v>
      </c>
      <c r="V152" s="48"/>
      <c r="W152" s="48"/>
      <c r="X152" s="48"/>
      <c r="Y152" s="59" t="s">
        <v>156</v>
      </c>
      <c r="Z152" s="60">
        <v>1000</v>
      </c>
      <c r="AA152" s="12"/>
      <c r="AB152" s="12"/>
    </row>
    <row r="153" spans="1:28">
      <c r="B153" s="70"/>
    </row>
    <row r="154" spans="1:28">
      <c r="B154" s="70"/>
    </row>
  </sheetData>
  <mergeCells count="25">
    <mergeCell ref="Q7:Q8"/>
    <mergeCell ref="B1:AB1"/>
    <mergeCell ref="B2:AB2"/>
    <mergeCell ref="F4:G4"/>
    <mergeCell ref="O4:T4"/>
    <mergeCell ref="B7:B8"/>
    <mergeCell ref="C7:C8"/>
    <mergeCell ref="D7:D8"/>
    <mergeCell ref="E7:E8"/>
    <mergeCell ref="F7:H7"/>
    <mergeCell ref="I7:I8"/>
    <mergeCell ref="J7:J8"/>
    <mergeCell ref="K7:K8"/>
    <mergeCell ref="L7:N7"/>
    <mergeCell ref="O7:O8"/>
    <mergeCell ref="P7:P8"/>
    <mergeCell ref="Z7:Z8"/>
    <mergeCell ref="AA7:AA8"/>
    <mergeCell ref="AB7:AB8"/>
    <mergeCell ref="R7:R8"/>
    <mergeCell ref="S7:S8"/>
    <mergeCell ref="T7:T8"/>
    <mergeCell ref="U7:U8"/>
    <mergeCell ref="V7:X7"/>
    <mergeCell ref="Y7:Y8"/>
  </mergeCells>
  <pageMargins left="0.2" right="0.2" top="0.15" bottom="0.15" header="0.05" footer="0.05"/>
  <pageSetup paperSize="9" scale="50" orientation="landscape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AI1270"/>
  <sheetViews>
    <sheetView topLeftCell="G124" zoomScale="75" zoomScaleNormal="75" zoomScaleSheetLayoutView="80" workbookViewId="0">
      <selection activeCell="B9" sqref="B9:AB158"/>
    </sheetView>
  </sheetViews>
  <sheetFormatPr defaultRowHeight="12.75"/>
  <cols>
    <col min="1" max="1" width="2.7109375" customWidth="1"/>
    <col min="2" max="2" width="7.28515625" customWidth="1"/>
    <col min="3" max="3" width="10.28515625" customWidth="1"/>
    <col min="4" max="4" width="9.7109375" customWidth="1"/>
    <col min="5" max="5" width="11.5703125" customWidth="1"/>
    <col min="6" max="6" width="15.28515625" customWidth="1"/>
    <col min="7" max="7" width="11.7109375" customWidth="1"/>
    <col min="8" max="8" width="9" customWidth="1"/>
    <col min="9" max="9" width="8.85546875" customWidth="1"/>
    <col min="10" max="10" width="8.42578125" customWidth="1"/>
    <col min="11" max="11" width="10" customWidth="1"/>
    <col min="12" max="12" width="15.7109375" customWidth="1"/>
    <col min="13" max="13" width="11.7109375" customWidth="1"/>
    <col min="14" max="14" width="12.140625" customWidth="1"/>
    <col min="15" max="16" width="9.28515625" customWidth="1"/>
    <col min="17" max="17" width="12.7109375" customWidth="1"/>
    <col min="18" max="18" width="15.140625" customWidth="1"/>
    <col min="19" max="21" width="9.28515625" customWidth="1"/>
    <col min="22" max="22" width="11.140625" customWidth="1"/>
    <col min="23" max="23" width="11" customWidth="1"/>
    <col min="24" max="24" width="10.7109375" customWidth="1"/>
    <col min="25" max="25" width="9" customWidth="1"/>
    <col min="26" max="26" width="10.7109375" customWidth="1"/>
    <col min="27" max="27" width="8.42578125" customWidth="1"/>
    <col min="28" max="28" width="8" customWidth="1"/>
  </cols>
  <sheetData>
    <row r="1" spans="2:35" s="1" customFormat="1" ht="15.75">
      <c r="B1" s="143" t="s">
        <v>832</v>
      </c>
      <c r="C1" s="143"/>
      <c r="D1" s="143"/>
      <c r="E1" s="143"/>
      <c r="F1" s="143"/>
      <c r="G1" s="143"/>
      <c r="H1" s="143"/>
      <c r="I1" s="143"/>
      <c r="J1" s="143"/>
      <c r="K1" s="143"/>
      <c r="L1" s="143"/>
      <c r="M1" s="143"/>
      <c r="N1" s="143"/>
      <c r="O1" s="143"/>
      <c r="P1" s="143"/>
      <c r="Q1" s="143"/>
      <c r="R1" s="143"/>
      <c r="S1" s="143"/>
      <c r="T1" s="143"/>
      <c r="U1" s="143"/>
      <c r="V1" s="143"/>
      <c r="W1" s="143"/>
      <c r="X1" s="143"/>
      <c r="Y1" s="143"/>
      <c r="Z1" s="143"/>
      <c r="AA1" s="143"/>
      <c r="AB1" s="143"/>
      <c r="AC1" s="6"/>
      <c r="AD1" s="6"/>
      <c r="AE1" s="6"/>
      <c r="AF1" s="6"/>
      <c r="AG1" s="6"/>
      <c r="AH1" s="6"/>
      <c r="AI1" s="6"/>
    </row>
    <row r="2" spans="2:35" ht="15">
      <c r="B2" s="143" t="s">
        <v>1</v>
      </c>
      <c r="C2" s="143"/>
      <c r="D2" s="143"/>
      <c r="E2" s="143"/>
      <c r="F2" s="143"/>
      <c r="G2" s="143"/>
      <c r="H2" s="143"/>
      <c r="I2" s="143"/>
      <c r="J2" s="143"/>
      <c r="K2" s="143"/>
      <c r="L2" s="143"/>
      <c r="M2" s="143"/>
      <c r="N2" s="143"/>
      <c r="O2" s="143"/>
      <c r="P2" s="143"/>
      <c r="Q2" s="143"/>
      <c r="R2" s="143"/>
      <c r="S2" s="143"/>
      <c r="T2" s="143"/>
      <c r="U2" s="143"/>
      <c r="V2" s="143"/>
      <c r="W2" s="143"/>
      <c r="X2" s="143"/>
      <c r="Y2" s="143"/>
      <c r="Z2" s="143"/>
      <c r="AA2" s="143"/>
      <c r="AB2" s="143"/>
      <c r="AC2" s="7"/>
      <c r="AD2" s="7"/>
      <c r="AE2" s="7"/>
      <c r="AF2" s="7"/>
      <c r="AG2" s="7"/>
      <c r="AH2" s="7"/>
      <c r="AI2" s="7"/>
    </row>
    <row r="3" spans="2:35" ht="15"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</row>
    <row r="4" spans="2:35" ht="15" customHeight="1">
      <c r="B4" s="26" t="s">
        <v>2</v>
      </c>
      <c r="C4" s="61" t="s">
        <v>145</v>
      </c>
      <c r="E4" s="1" t="s">
        <v>65</v>
      </c>
      <c r="F4" s="169" t="s">
        <v>148</v>
      </c>
      <c r="G4" s="170"/>
      <c r="I4" s="27" t="s">
        <v>66</v>
      </c>
      <c r="J4" s="5"/>
      <c r="K4" s="5"/>
      <c r="L4" s="62" t="s">
        <v>146</v>
      </c>
      <c r="M4" s="2"/>
      <c r="N4" s="1" t="s">
        <v>68</v>
      </c>
      <c r="O4" s="154" t="s">
        <v>149</v>
      </c>
      <c r="P4" s="155"/>
      <c r="Q4" s="155"/>
      <c r="R4" s="155"/>
      <c r="S4" s="155"/>
      <c r="T4" s="155"/>
      <c r="V4" s="1" t="s">
        <v>69</v>
      </c>
      <c r="W4" s="43" t="s">
        <v>150</v>
      </c>
      <c r="Y4" s="27" t="s">
        <v>6</v>
      </c>
      <c r="Z4" s="64" t="s">
        <v>151</v>
      </c>
      <c r="AA4" s="32" t="s">
        <v>7</v>
      </c>
      <c r="AB4" s="64" t="s">
        <v>848</v>
      </c>
      <c r="AE4" s="10"/>
      <c r="AF4" s="5"/>
    </row>
    <row r="5" spans="2:35" ht="15" customHeight="1">
      <c r="B5" s="2"/>
      <c r="C5" s="2"/>
      <c r="D5" s="2"/>
      <c r="E5" s="22"/>
      <c r="F5" s="2"/>
      <c r="G5" s="2"/>
      <c r="I5" s="28" t="s">
        <v>67</v>
      </c>
      <c r="J5" s="2"/>
      <c r="K5" s="2"/>
      <c r="L5" s="63" t="s">
        <v>147</v>
      </c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  <c r="AB5" s="2"/>
    </row>
    <row r="6" spans="2:35" ht="13.5" thickBot="1"/>
    <row r="7" spans="2:35" ht="30.75" customHeight="1">
      <c r="B7" s="144" t="s">
        <v>34</v>
      </c>
      <c r="C7" s="150" t="s">
        <v>56</v>
      </c>
      <c r="D7" s="146" t="s">
        <v>9</v>
      </c>
      <c r="E7" s="150" t="s">
        <v>35</v>
      </c>
      <c r="F7" s="159" t="s">
        <v>12</v>
      </c>
      <c r="G7" s="160"/>
      <c r="H7" s="161"/>
      <c r="I7" s="146" t="s">
        <v>59</v>
      </c>
      <c r="J7" s="150" t="s">
        <v>15</v>
      </c>
      <c r="K7" s="150" t="s">
        <v>128</v>
      </c>
      <c r="L7" s="159" t="s">
        <v>17</v>
      </c>
      <c r="M7" s="160"/>
      <c r="N7" s="161"/>
      <c r="O7" s="146" t="s">
        <v>60</v>
      </c>
      <c r="P7" s="150" t="s">
        <v>18</v>
      </c>
      <c r="Q7" s="150" t="s">
        <v>129</v>
      </c>
      <c r="R7" s="150" t="s">
        <v>130</v>
      </c>
      <c r="S7" s="150" t="s">
        <v>132</v>
      </c>
      <c r="T7" s="150" t="s">
        <v>131</v>
      </c>
      <c r="U7" s="150" t="s">
        <v>61</v>
      </c>
      <c r="V7" s="163" t="s">
        <v>64</v>
      </c>
      <c r="W7" s="164"/>
      <c r="X7" s="165"/>
      <c r="Y7" s="150" t="s">
        <v>63</v>
      </c>
      <c r="Z7" s="150" t="s">
        <v>135</v>
      </c>
      <c r="AA7" s="146" t="s">
        <v>20</v>
      </c>
      <c r="AB7" s="148" t="s">
        <v>21</v>
      </c>
      <c r="AD7" s="19"/>
    </row>
    <row r="8" spans="2:35" ht="38.25" customHeight="1">
      <c r="B8" s="156"/>
      <c r="C8" s="151"/>
      <c r="D8" s="157"/>
      <c r="E8" s="158"/>
      <c r="F8" s="23" t="s">
        <v>70</v>
      </c>
      <c r="G8" s="23" t="s">
        <v>57</v>
      </c>
      <c r="H8" s="24" t="s">
        <v>58</v>
      </c>
      <c r="I8" s="157"/>
      <c r="J8" s="151"/>
      <c r="K8" s="151"/>
      <c r="L8" s="23" t="s">
        <v>70</v>
      </c>
      <c r="M8" s="23" t="s">
        <v>57</v>
      </c>
      <c r="N8" s="23" t="s">
        <v>58</v>
      </c>
      <c r="O8" s="157"/>
      <c r="P8" s="151"/>
      <c r="Q8" s="151"/>
      <c r="R8" s="151"/>
      <c r="S8" s="151"/>
      <c r="T8" s="151"/>
      <c r="U8" s="151"/>
      <c r="V8" s="29" t="s">
        <v>62</v>
      </c>
      <c r="W8" s="30" t="s">
        <v>133</v>
      </c>
      <c r="X8" s="30" t="s">
        <v>134</v>
      </c>
      <c r="Y8" s="151"/>
      <c r="Z8" s="151"/>
      <c r="AA8" s="157"/>
      <c r="AB8" s="162"/>
    </row>
    <row r="9" spans="2:35" s="19" customFormat="1">
      <c r="B9" s="40">
        <v>0.75486111111111109</v>
      </c>
      <c r="C9" s="40" t="s">
        <v>152</v>
      </c>
      <c r="D9" s="41">
        <v>8</v>
      </c>
      <c r="E9" s="42">
        <v>1</v>
      </c>
      <c r="F9" s="42" t="s">
        <v>153</v>
      </c>
      <c r="G9" s="43" t="s">
        <v>154</v>
      </c>
      <c r="H9" s="42" t="s">
        <v>155</v>
      </c>
      <c r="I9" s="43">
        <v>16</v>
      </c>
      <c r="J9" s="43">
        <v>8</v>
      </c>
      <c r="K9" s="25" t="str">
        <f>VLOOKUP(J9,Key!$E$2:$F$9,2,FALSE)</f>
        <v>Others</v>
      </c>
      <c r="L9" s="42" t="s">
        <v>146</v>
      </c>
      <c r="M9" s="43" t="s">
        <v>154</v>
      </c>
      <c r="N9" s="42" t="s">
        <v>155</v>
      </c>
      <c r="O9" s="43">
        <v>16</v>
      </c>
      <c r="P9" s="43">
        <v>8</v>
      </c>
      <c r="Q9" s="25" t="str">
        <f>VLOOKUP(P9,Key!$E$2:$F$9,2,FALSE)</f>
        <v>Others</v>
      </c>
      <c r="R9" s="25" t="str">
        <f>K9&amp;"-"&amp;Q9</f>
        <v>Others-Others</v>
      </c>
      <c r="S9" s="58"/>
      <c r="T9" s="58"/>
      <c r="U9" s="43">
        <v>3</v>
      </c>
      <c r="V9" s="43"/>
      <c r="W9" s="58"/>
      <c r="X9" s="58"/>
      <c r="Y9" s="59" t="s">
        <v>156</v>
      </c>
      <c r="Z9" s="60">
        <v>1000</v>
      </c>
      <c r="AA9" s="25"/>
      <c r="AB9" s="25"/>
    </row>
    <row r="10" spans="2:35">
      <c r="B10" s="40" t="s">
        <v>157</v>
      </c>
      <c r="C10" s="40" t="s">
        <v>158</v>
      </c>
      <c r="D10" s="41">
        <v>1</v>
      </c>
      <c r="E10" s="42">
        <v>3</v>
      </c>
      <c r="F10" s="42" t="s">
        <v>159</v>
      </c>
      <c r="G10" s="43" t="s">
        <v>159</v>
      </c>
      <c r="H10" s="42" t="s">
        <v>155</v>
      </c>
      <c r="I10" s="43">
        <v>4</v>
      </c>
      <c r="J10" s="43">
        <v>3</v>
      </c>
      <c r="K10" s="25" t="str">
        <f>VLOOKUP(J10,Key!$E$2:$F$9,2,FALSE)</f>
        <v>Study</v>
      </c>
      <c r="L10" s="42" t="s">
        <v>160</v>
      </c>
      <c r="M10" s="43" t="s">
        <v>154</v>
      </c>
      <c r="N10" s="42" t="s">
        <v>155</v>
      </c>
      <c r="O10" s="43">
        <v>1</v>
      </c>
      <c r="P10" s="43">
        <v>1</v>
      </c>
      <c r="Q10" s="25" t="str">
        <f>VLOOKUP(P10,Key!$E$2:$F$9,2,FALSE)</f>
        <v>Home</v>
      </c>
      <c r="R10" s="25" t="str">
        <f t="shared" ref="R10:R37" si="0">K10&amp;"-"&amp;Q10</f>
        <v>Study-Home</v>
      </c>
      <c r="S10" s="58"/>
      <c r="T10" s="58">
        <v>1.5</v>
      </c>
      <c r="U10" s="43">
        <v>2</v>
      </c>
      <c r="V10" s="43"/>
      <c r="W10" s="58"/>
      <c r="X10" s="58"/>
      <c r="Y10" s="59" t="s">
        <v>156</v>
      </c>
      <c r="Z10" s="60">
        <v>1000</v>
      </c>
      <c r="AA10" s="25"/>
      <c r="AB10" s="25"/>
    </row>
    <row r="11" spans="2:35">
      <c r="B11" s="40">
        <v>0.74791666666666667</v>
      </c>
      <c r="C11" s="40" t="s">
        <v>161</v>
      </c>
      <c r="D11" s="41">
        <v>3</v>
      </c>
      <c r="E11" s="42">
        <v>3</v>
      </c>
      <c r="F11" s="42" t="s">
        <v>162</v>
      </c>
      <c r="G11" s="43" t="s">
        <v>163</v>
      </c>
      <c r="H11" s="42" t="s">
        <v>155</v>
      </c>
      <c r="I11" s="43">
        <v>16</v>
      </c>
      <c r="J11" s="43">
        <v>8</v>
      </c>
      <c r="K11" s="25" t="str">
        <f>VLOOKUP(J11,Key!$E$2:$F$9,2,FALSE)</f>
        <v>Others</v>
      </c>
      <c r="L11" s="42" t="s">
        <v>146</v>
      </c>
      <c r="M11" s="43" t="s">
        <v>154</v>
      </c>
      <c r="N11" s="42" t="s">
        <v>155</v>
      </c>
      <c r="O11" s="43">
        <v>16</v>
      </c>
      <c r="P11" s="43">
        <v>8</v>
      </c>
      <c r="Q11" s="25" t="str">
        <f>VLOOKUP(P11,Key!$E$2:$F$9,2,FALSE)</f>
        <v>Others</v>
      </c>
      <c r="R11" s="25" t="str">
        <f t="shared" si="0"/>
        <v>Others-Others</v>
      </c>
      <c r="S11" s="58">
        <v>18</v>
      </c>
      <c r="T11" s="58">
        <v>1.5</v>
      </c>
      <c r="U11" s="43">
        <v>2</v>
      </c>
      <c r="V11" s="43"/>
      <c r="W11" s="58"/>
      <c r="X11" s="58"/>
      <c r="Y11" s="59" t="s">
        <v>156</v>
      </c>
      <c r="Z11" s="60">
        <v>500</v>
      </c>
      <c r="AA11" s="25"/>
      <c r="AB11" s="25"/>
    </row>
    <row r="12" spans="2:35">
      <c r="B12" s="40">
        <v>0.74583333333333324</v>
      </c>
      <c r="C12" s="40" t="s">
        <v>164</v>
      </c>
      <c r="D12" s="41">
        <v>1</v>
      </c>
      <c r="E12" s="42">
        <v>4</v>
      </c>
      <c r="F12" s="42" t="s">
        <v>165</v>
      </c>
      <c r="G12" s="43" t="s">
        <v>159</v>
      </c>
      <c r="H12" s="42" t="s">
        <v>155</v>
      </c>
      <c r="I12" s="43">
        <v>4</v>
      </c>
      <c r="J12" s="43">
        <v>3</v>
      </c>
      <c r="K12" s="25" t="str">
        <f>VLOOKUP(J12,Key!$E$2:$F$9,2,FALSE)</f>
        <v>Study</v>
      </c>
      <c r="L12" s="42" t="s">
        <v>166</v>
      </c>
      <c r="M12" s="43" t="s">
        <v>154</v>
      </c>
      <c r="N12" s="42" t="s">
        <v>155</v>
      </c>
      <c r="O12" s="43">
        <v>1</v>
      </c>
      <c r="P12" s="43">
        <v>1</v>
      </c>
      <c r="Q12" s="25" t="str">
        <f>VLOOKUP(P12,Key!$E$2:$F$9,2,FALSE)</f>
        <v>Home</v>
      </c>
      <c r="R12" s="25" t="str">
        <f t="shared" si="0"/>
        <v>Study-Home</v>
      </c>
      <c r="S12" s="58">
        <v>24</v>
      </c>
      <c r="T12" s="58">
        <v>1</v>
      </c>
      <c r="U12" s="43">
        <v>2</v>
      </c>
      <c r="V12" s="43"/>
      <c r="W12" s="58"/>
      <c r="X12" s="58"/>
      <c r="Y12" s="59" t="s">
        <v>156</v>
      </c>
      <c r="Z12" s="60">
        <v>2000</v>
      </c>
      <c r="AA12" s="25"/>
      <c r="AB12" s="25"/>
    </row>
    <row r="13" spans="2:35">
      <c r="B13" s="40">
        <v>0.7402777777777777</v>
      </c>
      <c r="C13" s="40" t="s">
        <v>167</v>
      </c>
      <c r="D13" s="41">
        <v>2</v>
      </c>
      <c r="E13" s="42">
        <v>2</v>
      </c>
      <c r="F13" s="42" t="s">
        <v>159</v>
      </c>
      <c r="G13" s="43" t="s">
        <v>159</v>
      </c>
      <c r="H13" s="42" t="s">
        <v>155</v>
      </c>
      <c r="I13" s="43">
        <v>16</v>
      </c>
      <c r="J13" s="43">
        <v>2</v>
      </c>
      <c r="K13" s="25" t="str">
        <f>VLOOKUP(J13,Key!$E$2:$F$9,2,FALSE)</f>
        <v>Work</v>
      </c>
      <c r="L13" s="42" t="s">
        <v>168</v>
      </c>
      <c r="M13" s="43" t="s">
        <v>154</v>
      </c>
      <c r="N13" s="42" t="s">
        <v>155</v>
      </c>
      <c r="O13" s="43">
        <v>9</v>
      </c>
      <c r="P13" s="43">
        <v>2</v>
      </c>
      <c r="Q13" s="25" t="str">
        <f>VLOOKUP(P13,Key!$E$2:$F$9,2,FALSE)</f>
        <v>Work</v>
      </c>
      <c r="R13" s="25" t="str">
        <f t="shared" si="0"/>
        <v>Work-Work</v>
      </c>
      <c r="S13" s="58">
        <v>8</v>
      </c>
      <c r="T13" s="58">
        <v>0.7</v>
      </c>
      <c r="U13" s="43">
        <v>6</v>
      </c>
      <c r="V13" s="43"/>
      <c r="W13" s="58"/>
      <c r="X13" s="58"/>
      <c r="Y13" s="59" t="s">
        <v>156</v>
      </c>
      <c r="Z13" s="60">
        <v>2000</v>
      </c>
      <c r="AA13" s="25"/>
      <c r="AB13" s="25"/>
    </row>
    <row r="14" spans="2:35">
      <c r="B14" s="40">
        <v>0.73472222222222217</v>
      </c>
      <c r="C14" s="40" t="s">
        <v>169</v>
      </c>
      <c r="D14" s="41">
        <v>1</v>
      </c>
      <c r="E14" s="42">
        <v>1</v>
      </c>
      <c r="F14" s="42" t="s">
        <v>170</v>
      </c>
      <c r="G14" s="43" t="s">
        <v>159</v>
      </c>
      <c r="H14" s="42" t="s">
        <v>155</v>
      </c>
      <c r="I14" s="43">
        <v>2</v>
      </c>
      <c r="J14" s="43">
        <v>2</v>
      </c>
      <c r="K14" s="25" t="str">
        <f>VLOOKUP(J14,Key!$E$2:$F$9,2,FALSE)</f>
        <v>Work</v>
      </c>
      <c r="L14" s="42" t="s">
        <v>147</v>
      </c>
      <c r="M14" s="43" t="s">
        <v>154</v>
      </c>
      <c r="N14" s="42" t="s">
        <v>155</v>
      </c>
      <c r="O14" s="43">
        <v>1</v>
      </c>
      <c r="P14" s="43">
        <v>1</v>
      </c>
      <c r="Q14" s="25" t="str">
        <f>VLOOKUP(P14,Key!$E$2:$F$9,2,FALSE)</f>
        <v>Home</v>
      </c>
      <c r="R14" s="25" t="str">
        <f t="shared" si="0"/>
        <v>Work-Home</v>
      </c>
      <c r="S14" s="58">
        <v>27</v>
      </c>
      <c r="T14" s="58">
        <v>0.7</v>
      </c>
      <c r="U14" s="43">
        <v>2</v>
      </c>
      <c r="V14" s="43"/>
      <c r="W14" s="58"/>
      <c r="X14" s="58"/>
      <c r="Y14" s="59" t="s">
        <v>156</v>
      </c>
      <c r="Z14" s="60">
        <v>2000</v>
      </c>
      <c r="AA14" s="25"/>
      <c r="AB14" s="25"/>
    </row>
    <row r="15" spans="2:35">
      <c r="B15" s="40">
        <v>0.73958333333333337</v>
      </c>
      <c r="C15" s="40" t="s">
        <v>171</v>
      </c>
      <c r="D15" s="41">
        <v>1</v>
      </c>
      <c r="E15" s="42">
        <v>3</v>
      </c>
      <c r="F15" s="42" t="s">
        <v>159</v>
      </c>
      <c r="G15" s="43" t="s">
        <v>159</v>
      </c>
      <c r="H15" s="42" t="s">
        <v>155</v>
      </c>
      <c r="I15" s="43">
        <v>2</v>
      </c>
      <c r="J15" s="43">
        <v>2</v>
      </c>
      <c r="K15" s="25" t="str">
        <f>VLOOKUP(J15,Key!$E$2:$F$9,2,FALSE)</f>
        <v>Work</v>
      </c>
      <c r="L15" s="42" t="s">
        <v>146</v>
      </c>
      <c r="M15" s="43" t="s">
        <v>154</v>
      </c>
      <c r="N15" s="42" t="s">
        <v>155</v>
      </c>
      <c r="O15" s="43">
        <v>1</v>
      </c>
      <c r="P15" s="43">
        <v>1</v>
      </c>
      <c r="Q15" s="25" t="str">
        <f>VLOOKUP(P15,Key!$E$2:$F$9,2,FALSE)</f>
        <v>Home</v>
      </c>
      <c r="R15" s="25" t="str">
        <f t="shared" si="0"/>
        <v>Work-Home</v>
      </c>
      <c r="S15" s="58">
        <v>10</v>
      </c>
      <c r="T15" s="58">
        <v>0.5</v>
      </c>
      <c r="U15" s="43">
        <v>2</v>
      </c>
      <c r="V15" s="43"/>
      <c r="W15" s="58"/>
      <c r="X15" s="58"/>
      <c r="Y15" s="59" t="s">
        <v>156</v>
      </c>
      <c r="Z15" s="60">
        <v>0</v>
      </c>
      <c r="AA15" s="25"/>
      <c r="AB15" s="25"/>
    </row>
    <row r="16" spans="2:35">
      <c r="B16" s="40">
        <v>0.7270833333333333</v>
      </c>
      <c r="C16" s="40" t="s">
        <v>172</v>
      </c>
      <c r="D16" s="41">
        <v>7</v>
      </c>
      <c r="E16" s="42">
        <v>3</v>
      </c>
      <c r="F16" s="42" t="s">
        <v>146</v>
      </c>
      <c r="G16" s="43" t="s">
        <v>154</v>
      </c>
      <c r="H16" s="42" t="s">
        <v>155</v>
      </c>
      <c r="I16" s="43">
        <v>16</v>
      </c>
      <c r="J16" s="43">
        <v>8</v>
      </c>
      <c r="K16" s="25" t="str">
        <f>VLOOKUP(J16,Key!$E$2:$F$9,2,FALSE)</f>
        <v>Others</v>
      </c>
      <c r="L16" s="42" t="s">
        <v>173</v>
      </c>
      <c r="M16" s="43" t="s">
        <v>154</v>
      </c>
      <c r="N16" s="42" t="s">
        <v>155</v>
      </c>
      <c r="O16" s="43">
        <v>16</v>
      </c>
      <c r="P16" s="43">
        <v>2</v>
      </c>
      <c r="Q16" s="25" t="str">
        <f>VLOOKUP(P16,Key!$E$2:$F$9,2,FALSE)</f>
        <v>Work</v>
      </c>
      <c r="R16" s="25" t="str">
        <f t="shared" si="0"/>
        <v>Others-Work</v>
      </c>
      <c r="S16" s="58">
        <v>3</v>
      </c>
      <c r="T16" s="58">
        <v>0.1</v>
      </c>
      <c r="U16" s="43">
        <v>6</v>
      </c>
      <c r="V16" s="43"/>
      <c r="W16" s="58"/>
      <c r="X16" s="58"/>
      <c r="Y16" s="59" t="s">
        <v>156</v>
      </c>
      <c r="Z16" s="60">
        <v>0</v>
      </c>
      <c r="AA16" s="25"/>
      <c r="AB16" s="25"/>
    </row>
    <row r="17" spans="2:28">
      <c r="B17" s="40">
        <v>0.72569444444444453</v>
      </c>
      <c r="C17" s="40" t="s">
        <v>174</v>
      </c>
      <c r="D17" s="41">
        <v>1</v>
      </c>
      <c r="E17" s="42">
        <v>1</v>
      </c>
      <c r="F17" s="42" t="s">
        <v>159</v>
      </c>
      <c r="G17" s="43" t="s">
        <v>159</v>
      </c>
      <c r="H17" s="42" t="s">
        <v>155</v>
      </c>
      <c r="I17" s="43">
        <v>2</v>
      </c>
      <c r="J17" s="43">
        <v>2</v>
      </c>
      <c r="K17" s="25" t="str">
        <f>VLOOKUP(J17,Key!$E$2:$F$9,2,FALSE)</f>
        <v>Work</v>
      </c>
      <c r="L17" s="42" t="s">
        <v>175</v>
      </c>
      <c r="M17" s="43" t="s">
        <v>154</v>
      </c>
      <c r="N17" s="42" t="s">
        <v>155</v>
      </c>
      <c r="O17" s="43">
        <v>1</v>
      </c>
      <c r="P17" s="43">
        <v>1</v>
      </c>
      <c r="Q17" s="25" t="str">
        <f>VLOOKUP(P17,Key!$E$2:$F$9,2,FALSE)</f>
        <v>Home</v>
      </c>
      <c r="R17" s="25" t="str">
        <f t="shared" si="0"/>
        <v>Work-Home</v>
      </c>
      <c r="S17" s="58">
        <v>24</v>
      </c>
      <c r="T17" s="58">
        <v>1</v>
      </c>
      <c r="U17" s="43">
        <v>2</v>
      </c>
      <c r="V17" s="43"/>
      <c r="W17" s="58"/>
      <c r="X17" s="58"/>
      <c r="Y17" s="59" t="s">
        <v>156</v>
      </c>
      <c r="Z17" s="60">
        <v>500</v>
      </c>
      <c r="AA17" s="25"/>
      <c r="AB17" s="25"/>
    </row>
    <row r="18" spans="2:28">
      <c r="B18" s="40">
        <v>0.72291666666666676</v>
      </c>
      <c r="C18" s="40" t="s">
        <v>176</v>
      </c>
      <c r="D18" s="41">
        <v>1</v>
      </c>
      <c r="E18" s="42">
        <v>2</v>
      </c>
      <c r="F18" s="42" t="s">
        <v>177</v>
      </c>
      <c r="G18" s="43" t="s">
        <v>159</v>
      </c>
      <c r="H18" s="42" t="s">
        <v>155</v>
      </c>
      <c r="I18" s="43">
        <v>2</v>
      </c>
      <c r="J18" s="43">
        <v>2</v>
      </c>
      <c r="K18" s="25" t="str">
        <f>VLOOKUP(J18,Key!$E$2:$F$9,2,FALSE)</f>
        <v>Work</v>
      </c>
      <c r="L18" s="42" t="s">
        <v>168</v>
      </c>
      <c r="M18" s="43" t="s">
        <v>154</v>
      </c>
      <c r="N18" s="42" t="s">
        <v>155</v>
      </c>
      <c r="O18" s="43">
        <v>1</v>
      </c>
      <c r="P18" s="43">
        <v>1</v>
      </c>
      <c r="Q18" s="25" t="str">
        <f>VLOOKUP(P18,Key!$E$2:$F$9,2,FALSE)</f>
        <v>Home</v>
      </c>
      <c r="R18" s="25" t="str">
        <f t="shared" si="0"/>
        <v>Work-Home</v>
      </c>
      <c r="S18" s="58"/>
      <c r="T18" s="58"/>
      <c r="U18" s="43">
        <v>2</v>
      </c>
      <c r="V18" s="43"/>
      <c r="W18" s="58"/>
      <c r="X18" s="58"/>
      <c r="Y18" s="59" t="s">
        <v>156</v>
      </c>
      <c r="Z18" s="60">
        <v>0</v>
      </c>
      <c r="AA18" s="25"/>
      <c r="AB18" s="25"/>
    </row>
    <row r="19" spans="2:28">
      <c r="B19" s="40">
        <v>0.58263888888888882</v>
      </c>
      <c r="C19" s="40" t="s">
        <v>178</v>
      </c>
      <c r="D19" s="41">
        <v>7</v>
      </c>
      <c r="E19" s="42">
        <v>2</v>
      </c>
      <c r="F19" s="42" t="s">
        <v>146</v>
      </c>
      <c r="G19" s="43" t="s">
        <v>154</v>
      </c>
      <c r="H19" s="42" t="s">
        <v>155</v>
      </c>
      <c r="I19" s="43">
        <v>16</v>
      </c>
      <c r="J19" s="43">
        <v>8</v>
      </c>
      <c r="K19" s="25" t="str">
        <f>VLOOKUP(J19,Key!$E$2:$F$9,2,FALSE)</f>
        <v>Others</v>
      </c>
      <c r="L19" s="42" t="s">
        <v>168</v>
      </c>
      <c r="M19" s="43" t="s">
        <v>154</v>
      </c>
      <c r="N19" s="42" t="s">
        <v>155</v>
      </c>
      <c r="O19" s="43">
        <v>14</v>
      </c>
      <c r="P19" s="43">
        <v>2</v>
      </c>
      <c r="Q19" s="25" t="str">
        <f>VLOOKUP(P19,Key!$E$2:$F$9,2,FALSE)</f>
        <v>Work</v>
      </c>
      <c r="R19" s="25" t="str">
        <f t="shared" si="0"/>
        <v>Others-Work</v>
      </c>
      <c r="S19" s="58">
        <v>2</v>
      </c>
      <c r="T19" s="58">
        <v>0.3</v>
      </c>
      <c r="U19" s="43">
        <v>3</v>
      </c>
      <c r="V19" s="43"/>
      <c r="W19" s="58"/>
      <c r="X19" s="58"/>
      <c r="Y19" s="59" t="s">
        <v>156</v>
      </c>
      <c r="Z19" s="60">
        <v>1000</v>
      </c>
      <c r="AA19" s="25"/>
      <c r="AB19" s="25"/>
    </row>
    <row r="20" spans="2:28">
      <c r="B20" s="40">
        <v>0.57777777777777783</v>
      </c>
      <c r="C20" s="40" t="s">
        <v>179</v>
      </c>
      <c r="D20" s="41">
        <v>1</v>
      </c>
      <c r="E20" s="42">
        <v>1</v>
      </c>
      <c r="F20" s="42" t="s">
        <v>180</v>
      </c>
      <c r="G20" s="43" t="s">
        <v>154</v>
      </c>
      <c r="H20" s="42" t="s">
        <v>155</v>
      </c>
      <c r="I20" s="43">
        <v>10</v>
      </c>
      <c r="J20" s="43">
        <v>2</v>
      </c>
      <c r="K20" s="25" t="str">
        <f>VLOOKUP(J20,Key!$E$2:$F$9,2,FALSE)</f>
        <v>Work</v>
      </c>
      <c r="L20" s="42" t="s">
        <v>168</v>
      </c>
      <c r="M20" s="43" t="s">
        <v>154</v>
      </c>
      <c r="N20" s="42" t="s">
        <v>155</v>
      </c>
      <c r="O20" s="43">
        <v>1</v>
      </c>
      <c r="P20" s="43">
        <v>1</v>
      </c>
      <c r="Q20" s="25" t="str">
        <f>VLOOKUP(P20,Key!$E$2:$F$9,2,FALSE)</f>
        <v>Home</v>
      </c>
      <c r="R20" s="25" t="str">
        <f t="shared" si="0"/>
        <v>Work-Home</v>
      </c>
      <c r="S20" s="58">
        <v>3</v>
      </c>
      <c r="T20" s="58">
        <v>0.1</v>
      </c>
      <c r="U20" s="43">
        <v>6</v>
      </c>
      <c r="V20" s="43"/>
      <c r="W20" s="58"/>
      <c r="X20" s="58"/>
      <c r="Y20" s="59" t="s">
        <v>156</v>
      </c>
      <c r="Z20" s="60">
        <v>2000</v>
      </c>
      <c r="AA20" s="25"/>
      <c r="AB20" s="25"/>
    </row>
    <row r="21" spans="2:28">
      <c r="B21" s="40">
        <v>0.57638888888888895</v>
      </c>
      <c r="C21" s="40" t="s">
        <v>181</v>
      </c>
      <c r="D21" s="41">
        <v>7</v>
      </c>
      <c r="E21" s="42">
        <v>1</v>
      </c>
      <c r="F21" s="42" t="s">
        <v>146</v>
      </c>
      <c r="G21" s="43" t="s">
        <v>154</v>
      </c>
      <c r="H21" s="42" t="s">
        <v>155</v>
      </c>
      <c r="I21" s="43">
        <v>1</v>
      </c>
      <c r="J21" s="43">
        <v>1</v>
      </c>
      <c r="K21" s="25" t="str">
        <f>VLOOKUP(J21,Key!$E$2:$F$9,2,FALSE)</f>
        <v>Home</v>
      </c>
      <c r="L21" s="42" t="s">
        <v>168</v>
      </c>
      <c r="M21" s="43" t="s">
        <v>154</v>
      </c>
      <c r="N21" s="42" t="s">
        <v>155</v>
      </c>
      <c r="O21" s="43">
        <v>16</v>
      </c>
      <c r="P21" s="43">
        <v>8</v>
      </c>
      <c r="Q21" s="25" t="str">
        <f>VLOOKUP(P21,Key!$E$2:$F$9,2,FALSE)</f>
        <v>Others</v>
      </c>
      <c r="R21" s="25" t="str">
        <f t="shared" si="0"/>
        <v>Home-Others</v>
      </c>
      <c r="S21" s="58"/>
      <c r="T21" s="58"/>
      <c r="U21" s="43">
        <v>1</v>
      </c>
      <c r="V21" s="43"/>
      <c r="W21" s="58"/>
      <c r="X21" s="58"/>
      <c r="Y21" s="59" t="s">
        <v>156</v>
      </c>
      <c r="Z21" s="60">
        <v>1000</v>
      </c>
      <c r="AA21" s="25"/>
      <c r="AB21" s="25"/>
    </row>
    <row r="22" spans="2:28">
      <c r="B22" s="40">
        <v>0.57152777777777775</v>
      </c>
      <c r="C22" s="40" t="s">
        <v>182</v>
      </c>
      <c r="D22" s="41">
        <v>4</v>
      </c>
      <c r="E22" s="42">
        <v>15</v>
      </c>
      <c r="F22" s="42" t="s">
        <v>146</v>
      </c>
      <c r="G22" s="43" t="s">
        <v>154</v>
      </c>
      <c r="H22" s="42" t="s">
        <v>155</v>
      </c>
      <c r="I22" s="43">
        <v>6</v>
      </c>
      <c r="J22" s="43">
        <v>2</v>
      </c>
      <c r="K22" s="25" t="str">
        <f>VLOOKUP(J22,Key!$E$2:$F$9,2,FALSE)</f>
        <v>Work</v>
      </c>
      <c r="L22" s="42" t="s">
        <v>154</v>
      </c>
      <c r="M22" s="43" t="s">
        <v>154</v>
      </c>
      <c r="N22" s="42" t="s">
        <v>155</v>
      </c>
      <c r="O22" s="43">
        <v>6</v>
      </c>
      <c r="P22" s="43">
        <v>2</v>
      </c>
      <c r="Q22" s="25" t="str">
        <f>VLOOKUP(P22,Key!$E$2:$F$9,2,FALSE)</f>
        <v>Work</v>
      </c>
      <c r="R22" s="25" t="str">
        <f t="shared" si="0"/>
        <v>Work-Work</v>
      </c>
      <c r="S22" s="58">
        <v>10</v>
      </c>
      <c r="T22" s="58">
        <v>1</v>
      </c>
      <c r="U22" s="43">
        <v>2</v>
      </c>
      <c r="V22" s="43"/>
      <c r="W22" s="58"/>
      <c r="X22" s="58"/>
      <c r="Y22" s="59" t="s">
        <v>156</v>
      </c>
      <c r="Z22" s="60">
        <v>1000</v>
      </c>
      <c r="AA22" s="25"/>
      <c r="AB22" s="25"/>
    </row>
    <row r="23" spans="2:28">
      <c r="B23" s="40">
        <v>0.56944444444444442</v>
      </c>
      <c r="C23" s="40" t="s">
        <v>183</v>
      </c>
      <c r="D23" s="41">
        <v>8</v>
      </c>
      <c r="E23" s="42">
        <v>3</v>
      </c>
      <c r="F23" s="42" t="s">
        <v>184</v>
      </c>
      <c r="G23" s="43" t="s">
        <v>154</v>
      </c>
      <c r="H23" s="42" t="s">
        <v>155</v>
      </c>
      <c r="I23" s="43">
        <v>16</v>
      </c>
      <c r="J23" s="43">
        <v>8</v>
      </c>
      <c r="K23" s="25" t="str">
        <f>VLOOKUP(J23,Key!$E$2:$F$9,2,FALSE)</f>
        <v>Others</v>
      </c>
      <c r="L23" s="42" t="s">
        <v>168</v>
      </c>
      <c r="M23" s="43" t="s">
        <v>154</v>
      </c>
      <c r="N23" s="42" t="s">
        <v>155</v>
      </c>
      <c r="O23" s="43">
        <v>16</v>
      </c>
      <c r="P23" s="43">
        <v>8</v>
      </c>
      <c r="Q23" s="25" t="str">
        <f>VLOOKUP(P23,Key!$E$2:$F$9,2,FALSE)</f>
        <v>Others</v>
      </c>
      <c r="R23" s="25" t="str">
        <f t="shared" si="0"/>
        <v>Others-Others</v>
      </c>
      <c r="S23" s="58">
        <v>1.5</v>
      </c>
      <c r="T23" s="58">
        <v>0.1</v>
      </c>
      <c r="U23" s="43">
        <v>3</v>
      </c>
      <c r="V23" s="43"/>
      <c r="W23" s="58"/>
      <c r="X23" s="58"/>
      <c r="Y23" s="59" t="s">
        <v>156</v>
      </c>
      <c r="Z23" s="60">
        <v>0</v>
      </c>
      <c r="AA23" s="25"/>
      <c r="AB23" s="25"/>
    </row>
    <row r="24" spans="2:28">
      <c r="B24" s="40">
        <v>0.56666666666666665</v>
      </c>
      <c r="C24" s="40" t="s">
        <v>185</v>
      </c>
      <c r="D24" s="41">
        <v>1</v>
      </c>
      <c r="E24" s="42">
        <v>1</v>
      </c>
      <c r="F24" s="42" t="s">
        <v>146</v>
      </c>
      <c r="G24" s="43" t="s">
        <v>154</v>
      </c>
      <c r="H24" s="42" t="s">
        <v>155</v>
      </c>
      <c r="I24" s="43">
        <v>7</v>
      </c>
      <c r="J24" s="43">
        <v>8</v>
      </c>
      <c r="K24" s="25" t="str">
        <f>VLOOKUP(J24,Key!$E$2:$F$9,2,FALSE)</f>
        <v>Others</v>
      </c>
      <c r="L24" s="42" t="s">
        <v>168</v>
      </c>
      <c r="M24" s="43" t="s">
        <v>154</v>
      </c>
      <c r="N24" s="42" t="s">
        <v>155</v>
      </c>
      <c r="O24" s="43">
        <v>4</v>
      </c>
      <c r="P24" s="43">
        <v>3</v>
      </c>
      <c r="Q24" s="25" t="str">
        <f>VLOOKUP(P24,Key!$E$2:$F$9,2,FALSE)</f>
        <v>Study</v>
      </c>
      <c r="R24" s="25" t="str">
        <f t="shared" si="0"/>
        <v>Others-Study</v>
      </c>
      <c r="S24" s="58"/>
      <c r="T24" s="58">
        <v>0.1</v>
      </c>
      <c r="U24" s="43">
        <v>2</v>
      </c>
      <c r="V24" s="43"/>
      <c r="W24" s="58"/>
      <c r="X24" s="58"/>
      <c r="Y24" s="59" t="s">
        <v>156</v>
      </c>
      <c r="Z24" s="60">
        <v>1000</v>
      </c>
      <c r="AA24" s="25"/>
      <c r="AB24" s="25"/>
    </row>
    <row r="25" spans="2:28">
      <c r="B25" s="40">
        <v>0.5625</v>
      </c>
      <c r="C25" s="40" t="s">
        <v>186</v>
      </c>
      <c r="D25" s="41">
        <v>8</v>
      </c>
      <c r="E25" s="42">
        <v>3</v>
      </c>
      <c r="F25" s="42" t="s">
        <v>187</v>
      </c>
      <c r="G25" s="43" t="s">
        <v>163</v>
      </c>
      <c r="H25" s="42" t="s">
        <v>155</v>
      </c>
      <c r="I25" s="43">
        <v>16</v>
      </c>
      <c r="J25" s="43">
        <v>8</v>
      </c>
      <c r="K25" s="25" t="str">
        <f>VLOOKUP(J25,Key!$E$2:$F$9,2,FALSE)</f>
        <v>Others</v>
      </c>
      <c r="L25" s="42" t="s">
        <v>147</v>
      </c>
      <c r="M25" s="43" t="s">
        <v>154</v>
      </c>
      <c r="N25" s="42" t="s">
        <v>155</v>
      </c>
      <c r="O25" s="43">
        <v>3</v>
      </c>
      <c r="P25" s="43">
        <v>4</v>
      </c>
      <c r="Q25" s="25" t="str">
        <f>VLOOKUP(P25,Key!$E$2:$F$9,2,FALSE)</f>
        <v>Commercial</v>
      </c>
      <c r="R25" s="25" t="str">
        <f t="shared" si="0"/>
        <v>Others-Commercial</v>
      </c>
      <c r="S25" s="58">
        <v>20</v>
      </c>
      <c r="T25" s="58">
        <v>1</v>
      </c>
      <c r="U25" s="43">
        <v>6</v>
      </c>
      <c r="V25" s="43"/>
      <c r="W25" s="58"/>
      <c r="X25" s="58"/>
      <c r="Y25" s="59" t="s">
        <v>156</v>
      </c>
      <c r="Z25" s="60">
        <v>200</v>
      </c>
      <c r="AA25" s="25"/>
      <c r="AB25" s="25"/>
    </row>
    <row r="26" spans="2:28">
      <c r="B26" s="40">
        <v>0.55833333333333335</v>
      </c>
      <c r="C26" s="40" t="s">
        <v>188</v>
      </c>
      <c r="D26" s="41">
        <v>1</v>
      </c>
      <c r="E26" s="42">
        <v>1</v>
      </c>
      <c r="F26" s="42" t="s">
        <v>189</v>
      </c>
      <c r="G26" s="43" t="s">
        <v>154</v>
      </c>
      <c r="H26" s="42" t="s">
        <v>155</v>
      </c>
      <c r="I26" s="43">
        <v>1</v>
      </c>
      <c r="J26" s="43">
        <v>1</v>
      </c>
      <c r="K26" s="25" t="str">
        <f>VLOOKUP(J26,Key!$E$2:$F$9,2,FALSE)</f>
        <v>Home</v>
      </c>
      <c r="L26" s="42" t="s">
        <v>146</v>
      </c>
      <c r="M26" s="43" t="s">
        <v>154</v>
      </c>
      <c r="N26" s="42" t="s">
        <v>155</v>
      </c>
      <c r="O26" s="43">
        <v>2</v>
      </c>
      <c r="P26" s="43">
        <v>2</v>
      </c>
      <c r="Q26" s="25" t="str">
        <f>VLOOKUP(P26,Key!$E$2:$F$9,2,FALSE)</f>
        <v>Work</v>
      </c>
      <c r="R26" s="25" t="str">
        <f t="shared" si="0"/>
        <v>Home-Work</v>
      </c>
      <c r="S26" s="58">
        <v>15</v>
      </c>
      <c r="T26" s="58">
        <v>0.3</v>
      </c>
      <c r="U26" s="43">
        <v>6</v>
      </c>
      <c r="V26" s="43"/>
      <c r="W26" s="58"/>
      <c r="X26" s="58"/>
      <c r="Y26" s="59" t="s">
        <v>156</v>
      </c>
      <c r="Z26" s="60">
        <v>0</v>
      </c>
      <c r="AA26" s="25"/>
      <c r="AB26" s="25"/>
    </row>
    <row r="27" spans="2:28">
      <c r="B27" s="40">
        <v>0.55347222222222225</v>
      </c>
      <c r="C27" s="40" t="s">
        <v>190</v>
      </c>
      <c r="D27" s="41">
        <v>2</v>
      </c>
      <c r="E27" s="42">
        <v>1</v>
      </c>
      <c r="F27" s="42" t="s">
        <v>146</v>
      </c>
      <c r="G27" s="43" t="s">
        <v>154</v>
      </c>
      <c r="H27" s="42" t="s">
        <v>155</v>
      </c>
      <c r="I27" s="43">
        <v>16</v>
      </c>
      <c r="J27" s="43">
        <v>8</v>
      </c>
      <c r="K27" s="25" t="str">
        <f>VLOOKUP(J27,Key!$E$2:$F$9,2,FALSE)</f>
        <v>Others</v>
      </c>
      <c r="L27" s="42" t="s">
        <v>168</v>
      </c>
      <c r="M27" s="43" t="s">
        <v>154</v>
      </c>
      <c r="N27" s="42" t="s">
        <v>155</v>
      </c>
      <c r="O27" s="43">
        <v>1</v>
      </c>
      <c r="P27" s="43">
        <v>1</v>
      </c>
      <c r="Q27" s="25" t="str">
        <f>VLOOKUP(P27,Key!$E$2:$F$9,2,FALSE)</f>
        <v>Home</v>
      </c>
      <c r="R27" s="25" t="str">
        <f t="shared" si="0"/>
        <v>Others-Home</v>
      </c>
      <c r="S27" s="58">
        <v>3</v>
      </c>
      <c r="T27" s="58">
        <v>0.1</v>
      </c>
      <c r="U27" s="43">
        <v>2</v>
      </c>
      <c r="V27" s="43"/>
      <c r="W27" s="58"/>
      <c r="X27" s="58"/>
      <c r="Y27" s="59" t="s">
        <v>156</v>
      </c>
      <c r="Z27" s="60">
        <v>10000</v>
      </c>
      <c r="AA27" s="25"/>
      <c r="AB27" s="25"/>
    </row>
    <row r="28" spans="2:28">
      <c r="B28" s="40">
        <v>0.55555555555555558</v>
      </c>
      <c r="C28" s="40" t="s">
        <v>191</v>
      </c>
      <c r="D28" s="41">
        <v>5</v>
      </c>
      <c r="E28" s="42">
        <v>30</v>
      </c>
      <c r="F28" s="42" t="s">
        <v>184</v>
      </c>
      <c r="G28" s="43" t="s">
        <v>154</v>
      </c>
      <c r="H28" s="42" t="s">
        <v>155</v>
      </c>
      <c r="I28" s="43">
        <v>1</v>
      </c>
      <c r="J28" s="43">
        <v>1</v>
      </c>
      <c r="K28" s="25" t="str">
        <f>VLOOKUP(J28,Key!$E$2:$F$9,2,FALSE)</f>
        <v>Home</v>
      </c>
      <c r="L28" s="42" t="s">
        <v>192</v>
      </c>
      <c r="M28" s="43" t="s">
        <v>192</v>
      </c>
      <c r="N28" s="42" t="s">
        <v>155</v>
      </c>
      <c r="O28" s="43">
        <v>16</v>
      </c>
      <c r="P28" s="43">
        <v>8</v>
      </c>
      <c r="Q28" s="25" t="str">
        <f>VLOOKUP(P28,Key!$E$2:$F$9,2,FALSE)</f>
        <v>Others</v>
      </c>
      <c r="R28" s="25" t="str">
        <f t="shared" si="0"/>
        <v>Home-Others</v>
      </c>
      <c r="S28" s="58">
        <v>27</v>
      </c>
      <c r="T28" s="58">
        <v>1</v>
      </c>
      <c r="U28" s="43">
        <v>3</v>
      </c>
      <c r="V28" s="43"/>
      <c r="W28" s="58"/>
      <c r="X28" s="58"/>
      <c r="Y28" s="59" t="s">
        <v>156</v>
      </c>
      <c r="Z28" s="60">
        <v>1000</v>
      </c>
      <c r="AA28" s="25"/>
      <c r="AB28" s="25"/>
    </row>
    <row r="29" spans="2:28">
      <c r="B29" s="40">
        <v>0.55208333333333337</v>
      </c>
      <c r="C29" s="40" t="s">
        <v>193</v>
      </c>
      <c r="D29" s="41">
        <v>8</v>
      </c>
      <c r="E29" s="42">
        <v>3</v>
      </c>
      <c r="F29" s="42" t="s">
        <v>194</v>
      </c>
      <c r="G29" s="43" t="s">
        <v>159</v>
      </c>
      <c r="H29" s="42" t="s">
        <v>155</v>
      </c>
      <c r="I29" s="43">
        <v>16</v>
      </c>
      <c r="J29" s="43">
        <v>8</v>
      </c>
      <c r="K29" s="25" t="str">
        <f>VLOOKUP(J29,Key!$E$2:$F$9,2,FALSE)</f>
        <v>Others</v>
      </c>
      <c r="L29" s="42" t="s">
        <v>195</v>
      </c>
      <c r="M29" s="43" t="s">
        <v>154</v>
      </c>
      <c r="N29" s="42" t="s">
        <v>155</v>
      </c>
      <c r="O29" s="43">
        <v>15</v>
      </c>
      <c r="P29" s="43">
        <v>2</v>
      </c>
      <c r="Q29" s="25" t="str">
        <f>VLOOKUP(P29,Key!$E$2:$F$9,2,FALSE)</f>
        <v>Work</v>
      </c>
      <c r="R29" s="25" t="str">
        <f t="shared" si="0"/>
        <v>Others-Work</v>
      </c>
      <c r="S29" s="58"/>
      <c r="T29" s="58">
        <v>0.5</v>
      </c>
      <c r="U29" s="43">
        <v>2</v>
      </c>
      <c r="V29" s="43"/>
      <c r="W29" s="58"/>
      <c r="X29" s="58"/>
      <c r="Y29" s="59" t="s">
        <v>156</v>
      </c>
      <c r="Z29" s="60">
        <v>5000</v>
      </c>
      <c r="AA29" s="25"/>
      <c r="AB29" s="25"/>
    </row>
    <row r="30" spans="2:28">
      <c r="B30" s="40">
        <v>0.5493055555555556</v>
      </c>
      <c r="C30" s="40" t="s">
        <v>196</v>
      </c>
      <c r="D30" s="41">
        <v>1</v>
      </c>
      <c r="E30" s="42">
        <v>3</v>
      </c>
      <c r="F30" s="42" t="s">
        <v>197</v>
      </c>
      <c r="G30" s="43" t="s">
        <v>159</v>
      </c>
      <c r="H30" s="42" t="s">
        <v>155</v>
      </c>
      <c r="I30" s="43">
        <v>5</v>
      </c>
      <c r="J30" s="43">
        <v>7</v>
      </c>
      <c r="K30" s="25" t="str">
        <f>VLOOKUP(J30,Key!$E$2:$F$9,2,FALSE)</f>
        <v>Hospital</v>
      </c>
      <c r="L30" s="42" t="s">
        <v>146</v>
      </c>
      <c r="M30" s="43" t="s">
        <v>154</v>
      </c>
      <c r="N30" s="42" t="s">
        <v>155</v>
      </c>
      <c r="O30" s="43">
        <v>1</v>
      </c>
      <c r="P30" s="43">
        <v>1</v>
      </c>
      <c r="Q30" s="25" t="str">
        <f>VLOOKUP(P30,Key!$E$2:$F$9,2,FALSE)</f>
        <v>Home</v>
      </c>
      <c r="R30" s="25" t="str">
        <f t="shared" si="0"/>
        <v>Hospital-Home</v>
      </c>
      <c r="S30" s="58">
        <v>20</v>
      </c>
      <c r="T30" s="58">
        <v>0.7</v>
      </c>
      <c r="U30" s="43">
        <v>2</v>
      </c>
      <c r="V30" s="43"/>
      <c r="W30" s="58"/>
      <c r="X30" s="58"/>
      <c r="Y30" s="59" t="s">
        <v>156</v>
      </c>
      <c r="Z30" s="60">
        <v>2000</v>
      </c>
      <c r="AA30" s="25"/>
      <c r="AB30" s="25"/>
    </row>
    <row r="31" spans="2:28">
      <c r="B31" s="40">
        <v>0.54375000000000007</v>
      </c>
      <c r="C31" s="40" t="s">
        <v>198</v>
      </c>
      <c r="D31" s="41">
        <v>1</v>
      </c>
      <c r="E31" s="42">
        <v>3</v>
      </c>
      <c r="F31" s="42" t="s">
        <v>199</v>
      </c>
      <c r="G31" s="43" t="s">
        <v>159</v>
      </c>
      <c r="H31" s="42" t="s">
        <v>155</v>
      </c>
      <c r="I31" s="43">
        <v>2</v>
      </c>
      <c r="J31" s="43">
        <v>2</v>
      </c>
      <c r="K31" s="25" t="str">
        <f>VLOOKUP(J31,Key!$E$2:$F$9,2,FALSE)</f>
        <v>Work</v>
      </c>
      <c r="L31" s="42" t="s">
        <v>173</v>
      </c>
      <c r="M31" s="43" t="s">
        <v>154</v>
      </c>
      <c r="N31" s="42" t="s">
        <v>155</v>
      </c>
      <c r="O31" s="43">
        <v>1</v>
      </c>
      <c r="P31" s="43">
        <v>1</v>
      </c>
      <c r="Q31" s="25" t="str">
        <f>VLOOKUP(P31,Key!$E$2:$F$9,2,FALSE)</f>
        <v>Home</v>
      </c>
      <c r="R31" s="25" t="str">
        <f t="shared" si="0"/>
        <v>Work-Home</v>
      </c>
      <c r="S31" s="58">
        <v>18</v>
      </c>
      <c r="T31" s="58">
        <v>0.5</v>
      </c>
      <c r="U31" s="43">
        <v>2</v>
      </c>
      <c r="V31" s="43"/>
      <c r="W31" s="58"/>
      <c r="X31" s="58"/>
      <c r="Y31" s="59" t="s">
        <v>156</v>
      </c>
      <c r="Z31" s="60">
        <v>0</v>
      </c>
      <c r="AA31" s="25"/>
      <c r="AB31" s="25"/>
    </row>
    <row r="32" spans="2:28">
      <c r="B32" s="40">
        <v>0.53263888888888888</v>
      </c>
      <c r="C32" s="40" t="s">
        <v>200</v>
      </c>
      <c r="D32" s="41">
        <v>2</v>
      </c>
      <c r="E32" s="42">
        <v>2</v>
      </c>
      <c r="F32" s="42" t="s">
        <v>146</v>
      </c>
      <c r="G32" s="43" t="s">
        <v>154</v>
      </c>
      <c r="H32" s="42" t="s">
        <v>155</v>
      </c>
      <c r="I32" s="43">
        <v>16</v>
      </c>
      <c r="J32" s="43">
        <v>8</v>
      </c>
      <c r="K32" s="25" t="str">
        <f>VLOOKUP(J32,Key!$E$2:$F$9,2,FALSE)</f>
        <v>Others</v>
      </c>
      <c r="L32" s="42" t="s">
        <v>201</v>
      </c>
      <c r="M32" s="43" t="s">
        <v>202</v>
      </c>
      <c r="N32" s="42" t="s">
        <v>155</v>
      </c>
      <c r="O32" s="43">
        <v>16</v>
      </c>
      <c r="P32" s="43">
        <v>8</v>
      </c>
      <c r="Q32" s="25" t="str">
        <f>VLOOKUP(P32,Key!$E$2:$F$9,2,FALSE)</f>
        <v>Others</v>
      </c>
      <c r="R32" s="25" t="str">
        <f t="shared" si="0"/>
        <v>Others-Others</v>
      </c>
      <c r="S32" s="58">
        <v>60</v>
      </c>
      <c r="T32" s="58">
        <v>4</v>
      </c>
      <c r="U32" s="43">
        <v>2</v>
      </c>
      <c r="V32" s="43"/>
      <c r="W32" s="58"/>
      <c r="X32" s="58"/>
      <c r="Y32" s="59" t="s">
        <v>156</v>
      </c>
      <c r="Z32" s="60">
        <v>0</v>
      </c>
      <c r="AA32" s="25"/>
      <c r="AB32" s="25"/>
    </row>
    <row r="33" spans="2:28">
      <c r="B33" s="40">
        <v>0.53125</v>
      </c>
      <c r="C33" s="40" t="s">
        <v>203</v>
      </c>
      <c r="D33" s="41">
        <v>1</v>
      </c>
      <c r="E33" s="42">
        <v>1</v>
      </c>
      <c r="F33" s="42" t="s">
        <v>146</v>
      </c>
      <c r="G33" s="43" t="s">
        <v>154</v>
      </c>
      <c r="H33" s="42" t="s">
        <v>155</v>
      </c>
      <c r="I33" s="43">
        <v>16</v>
      </c>
      <c r="J33" s="43">
        <v>8</v>
      </c>
      <c r="K33" s="25" t="str">
        <f>VLOOKUP(J33,Key!$E$2:$F$9,2,FALSE)</f>
        <v>Others</v>
      </c>
      <c r="L33" s="42" t="s">
        <v>175</v>
      </c>
      <c r="M33" s="43" t="s">
        <v>154</v>
      </c>
      <c r="N33" s="42" t="s">
        <v>155</v>
      </c>
      <c r="O33" s="43">
        <v>16</v>
      </c>
      <c r="P33" s="43">
        <v>8</v>
      </c>
      <c r="Q33" s="25" t="str">
        <f>VLOOKUP(P33,Key!$E$2:$F$9,2,FALSE)</f>
        <v>Others</v>
      </c>
      <c r="R33" s="25" t="str">
        <f t="shared" si="0"/>
        <v>Others-Others</v>
      </c>
      <c r="S33" s="58"/>
      <c r="T33" s="58">
        <v>0.2</v>
      </c>
      <c r="U33" s="43">
        <v>2</v>
      </c>
      <c r="V33" s="43"/>
      <c r="W33" s="58"/>
      <c r="X33" s="58"/>
      <c r="Y33" s="59" t="s">
        <v>156</v>
      </c>
      <c r="Z33" s="60">
        <v>1000</v>
      </c>
      <c r="AA33" s="25"/>
      <c r="AB33" s="25"/>
    </row>
    <row r="34" spans="2:28">
      <c r="B34" s="40">
        <v>0.52708333333333335</v>
      </c>
      <c r="C34" s="40" t="s">
        <v>204</v>
      </c>
      <c r="D34" s="41">
        <v>2</v>
      </c>
      <c r="E34" s="42">
        <v>2</v>
      </c>
      <c r="F34" s="42" t="s">
        <v>205</v>
      </c>
      <c r="G34" s="43" t="s">
        <v>154</v>
      </c>
      <c r="H34" s="42" t="s">
        <v>155</v>
      </c>
      <c r="I34" s="43">
        <v>16</v>
      </c>
      <c r="J34" s="43">
        <v>2</v>
      </c>
      <c r="K34" s="25" t="str">
        <f>VLOOKUP(J34,Key!$E$2:$F$9,2,FALSE)</f>
        <v>Work</v>
      </c>
      <c r="L34" s="42" t="s">
        <v>147</v>
      </c>
      <c r="M34" s="43" t="s">
        <v>154</v>
      </c>
      <c r="N34" s="42" t="s">
        <v>155</v>
      </c>
      <c r="O34" s="43">
        <v>16</v>
      </c>
      <c r="P34" s="43">
        <v>2</v>
      </c>
      <c r="Q34" s="25" t="str">
        <f>VLOOKUP(P34,Key!$E$2:$F$9,2,FALSE)</f>
        <v>Work</v>
      </c>
      <c r="R34" s="25" t="str">
        <f t="shared" si="0"/>
        <v>Work-Work</v>
      </c>
      <c r="S34" s="58"/>
      <c r="T34" s="58"/>
      <c r="U34" s="43">
        <v>2</v>
      </c>
      <c r="V34" s="43"/>
      <c r="W34" s="58"/>
      <c r="X34" s="58"/>
      <c r="Y34" s="59" t="s">
        <v>156</v>
      </c>
      <c r="Z34" s="60">
        <v>0</v>
      </c>
      <c r="AA34" s="25"/>
      <c r="AB34" s="25"/>
    </row>
    <row r="35" spans="2:28">
      <c r="B35" s="40">
        <v>0.52638888888888891</v>
      </c>
      <c r="C35" s="40" t="s">
        <v>206</v>
      </c>
      <c r="D35" s="41">
        <v>7</v>
      </c>
      <c r="E35" s="42">
        <v>3</v>
      </c>
      <c r="F35" s="42" t="s">
        <v>207</v>
      </c>
      <c r="G35" s="43" t="s">
        <v>154</v>
      </c>
      <c r="H35" s="42" t="s">
        <v>155</v>
      </c>
      <c r="I35" s="43">
        <v>1</v>
      </c>
      <c r="J35" s="43">
        <v>1</v>
      </c>
      <c r="K35" s="25" t="str">
        <f>VLOOKUP(J35,Key!$E$2:$F$9,2,FALSE)</f>
        <v>Home</v>
      </c>
      <c r="L35" s="42" t="s">
        <v>168</v>
      </c>
      <c r="M35" s="43" t="s">
        <v>154</v>
      </c>
      <c r="N35" s="42" t="s">
        <v>155</v>
      </c>
      <c r="O35" s="43">
        <v>16</v>
      </c>
      <c r="P35" s="43">
        <v>8</v>
      </c>
      <c r="Q35" s="25" t="str">
        <f>VLOOKUP(P35,Key!$E$2:$F$9,2,FALSE)</f>
        <v>Others</v>
      </c>
      <c r="R35" s="25" t="str">
        <f t="shared" si="0"/>
        <v>Home-Others</v>
      </c>
      <c r="S35" s="58"/>
      <c r="T35" s="58">
        <v>0.5</v>
      </c>
      <c r="U35" s="43">
        <v>6</v>
      </c>
      <c r="V35" s="43"/>
      <c r="W35" s="58"/>
      <c r="X35" s="58"/>
      <c r="Y35" s="59" t="s">
        <v>156</v>
      </c>
      <c r="Z35" s="60">
        <v>1000</v>
      </c>
      <c r="AA35" s="25"/>
      <c r="AB35" s="25"/>
    </row>
    <row r="36" spans="2:28">
      <c r="B36" s="40">
        <v>0.52152777777777781</v>
      </c>
      <c r="C36" s="40" t="s">
        <v>208</v>
      </c>
      <c r="D36" s="41">
        <v>1</v>
      </c>
      <c r="E36" s="42">
        <v>2</v>
      </c>
      <c r="F36" s="42" t="s">
        <v>209</v>
      </c>
      <c r="G36" s="43" t="s">
        <v>154</v>
      </c>
      <c r="H36" s="42" t="s">
        <v>155</v>
      </c>
      <c r="I36" s="43">
        <v>1</v>
      </c>
      <c r="J36" s="43">
        <v>1</v>
      </c>
      <c r="K36" s="25" t="str">
        <f>VLOOKUP(J36,Key!$E$2:$F$9,2,FALSE)</f>
        <v>Home</v>
      </c>
      <c r="L36" s="42" t="s">
        <v>168</v>
      </c>
      <c r="M36" s="43" t="s">
        <v>154</v>
      </c>
      <c r="N36" s="42" t="s">
        <v>155</v>
      </c>
      <c r="O36" s="43">
        <v>16</v>
      </c>
      <c r="P36" s="43">
        <v>8</v>
      </c>
      <c r="Q36" s="25" t="str">
        <f>VLOOKUP(P36,Key!$E$2:$F$9,2,FALSE)</f>
        <v>Others</v>
      </c>
      <c r="R36" s="25" t="str">
        <f t="shared" si="0"/>
        <v>Home-Others</v>
      </c>
      <c r="S36" s="58"/>
      <c r="T36" s="58">
        <v>0.3</v>
      </c>
      <c r="U36" s="43">
        <v>4</v>
      </c>
      <c r="V36" s="43"/>
      <c r="W36" s="58"/>
      <c r="X36" s="58"/>
      <c r="Y36" s="59" t="s">
        <v>156</v>
      </c>
      <c r="Z36" s="60">
        <v>2000</v>
      </c>
      <c r="AA36" s="25"/>
      <c r="AB36" s="25"/>
    </row>
    <row r="37" spans="2:28">
      <c r="B37" s="40">
        <v>0.51597222222222217</v>
      </c>
      <c r="C37" s="40" t="s">
        <v>210</v>
      </c>
      <c r="D37" s="41">
        <v>4</v>
      </c>
      <c r="E37" s="42">
        <v>15</v>
      </c>
      <c r="F37" s="42" t="s">
        <v>211</v>
      </c>
      <c r="G37" s="43" t="s">
        <v>154</v>
      </c>
      <c r="H37" s="42" t="s">
        <v>155</v>
      </c>
      <c r="I37" s="43">
        <v>1</v>
      </c>
      <c r="J37" s="43">
        <v>1</v>
      </c>
      <c r="K37" s="25" t="str">
        <f>VLOOKUP(J37,Key!$E$2:$F$9,2,FALSE)</f>
        <v>Home</v>
      </c>
      <c r="L37" s="42" t="s">
        <v>192</v>
      </c>
      <c r="M37" s="43" t="s">
        <v>192</v>
      </c>
      <c r="N37" s="42" t="s">
        <v>155</v>
      </c>
      <c r="O37" s="43">
        <v>16</v>
      </c>
      <c r="P37" s="43">
        <v>2</v>
      </c>
      <c r="Q37" s="25" t="str">
        <f>VLOOKUP(P37,Key!$E$2:$F$9,2,FALSE)</f>
        <v>Work</v>
      </c>
      <c r="R37" s="25" t="str">
        <f t="shared" si="0"/>
        <v>Home-Work</v>
      </c>
      <c r="S37" s="58">
        <v>40</v>
      </c>
      <c r="T37" s="58">
        <v>0.7</v>
      </c>
      <c r="U37" s="43">
        <v>6</v>
      </c>
      <c r="V37" s="43"/>
      <c r="W37" s="58"/>
      <c r="X37" s="58"/>
      <c r="Y37" s="59" t="s">
        <v>156</v>
      </c>
      <c r="Z37" s="60">
        <v>500</v>
      </c>
      <c r="AA37" s="25"/>
      <c r="AB37" s="25"/>
    </row>
    <row r="38" spans="2:28">
      <c r="B38" s="40">
        <v>0.51250000000000007</v>
      </c>
      <c r="C38" s="40" t="s">
        <v>212</v>
      </c>
      <c r="D38" s="41">
        <v>2</v>
      </c>
      <c r="E38" s="42">
        <v>1</v>
      </c>
      <c r="F38" s="42" t="s">
        <v>146</v>
      </c>
      <c r="G38" s="43" t="s">
        <v>154</v>
      </c>
      <c r="H38" s="42" t="s">
        <v>155</v>
      </c>
      <c r="I38" s="43">
        <v>1</v>
      </c>
      <c r="J38" s="43">
        <v>2</v>
      </c>
      <c r="K38" s="25" t="str">
        <f>VLOOKUP(J38,Key!$E$2:$F$9,2,FALSE)</f>
        <v>Work</v>
      </c>
      <c r="L38" s="42" t="s">
        <v>146</v>
      </c>
      <c r="M38" s="43" t="s">
        <v>154</v>
      </c>
      <c r="N38" s="42" t="s">
        <v>155</v>
      </c>
      <c r="O38" s="43">
        <v>16</v>
      </c>
      <c r="P38" s="43">
        <v>8</v>
      </c>
      <c r="Q38" s="25" t="str">
        <f>VLOOKUP(P38,Key!$E$2:$F$9,2,FALSE)</f>
        <v>Others</v>
      </c>
      <c r="R38" s="25" t="str">
        <f t="shared" ref="R38:R101" si="1">K38&amp;"-"&amp;Q38</f>
        <v>Work-Others</v>
      </c>
      <c r="S38" s="58"/>
      <c r="T38" s="58"/>
      <c r="U38" s="43">
        <v>6</v>
      </c>
      <c r="V38" s="43"/>
      <c r="W38" s="58"/>
      <c r="X38" s="58"/>
      <c r="Y38" s="59" t="s">
        <v>156</v>
      </c>
      <c r="Z38" s="60">
        <v>0</v>
      </c>
      <c r="AA38" s="25"/>
      <c r="AB38" s="25"/>
    </row>
    <row r="39" spans="2:28">
      <c r="B39" s="40">
        <v>0.51388888888888895</v>
      </c>
      <c r="C39" s="40" t="s">
        <v>213</v>
      </c>
      <c r="D39" s="41">
        <v>8</v>
      </c>
      <c r="E39" s="42">
        <v>2</v>
      </c>
      <c r="F39" s="42" t="s">
        <v>184</v>
      </c>
      <c r="G39" s="43" t="s">
        <v>154</v>
      </c>
      <c r="H39" s="42" t="s">
        <v>155</v>
      </c>
      <c r="I39" s="43">
        <v>11</v>
      </c>
      <c r="J39" s="43">
        <v>4</v>
      </c>
      <c r="K39" s="25" t="str">
        <f>VLOOKUP(J39,Key!$E$2:$F$9,2,FALSE)</f>
        <v>Commercial</v>
      </c>
      <c r="L39" s="42" t="s">
        <v>147</v>
      </c>
      <c r="M39" s="43" t="s">
        <v>154</v>
      </c>
      <c r="N39" s="42" t="s">
        <v>155</v>
      </c>
      <c r="O39" s="43">
        <v>11</v>
      </c>
      <c r="P39" s="43">
        <v>4</v>
      </c>
      <c r="Q39" s="25" t="str">
        <f>VLOOKUP(P39,Key!$E$2:$F$9,2,FALSE)</f>
        <v>Commercial</v>
      </c>
      <c r="R39" s="25" t="str">
        <f t="shared" si="1"/>
        <v>Commercial-Commercial</v>
      </c>
      <c r="S39" s="58"/>
      <c r="T39" s="58">
        <v>12</v>
      </c>
      <c r="U39" s="43">
        <v>0.5</v>
      </c>
      <c r="V39" s="43">
        <v>2</v>
      </c>
      <c r="W39" s="58"/>
      <c r="X39" s="58"/>
      <c r="Y39" s="59" t="s">
        <v>156</v>
      </c>
      <c r="Z39" s="60">
        <v>300</v>
      </c>
      <c r="AA39" s="25"/>
      <c r="AB39" s="25"/>
    </row>
    <row r="40" spans="2:28">
      <c r="B40" s="40">
        <v>0.50555555555555554</v>
      </c>
      <c r="C40" s="40" t="s">
        <v>214</v>
      </c>
      <c r="D40" s="41">
        <v>2</v>
      </c>
      <c r="E40" s="42">
        <v>1</v>
      </c>
      <c r="F40" s="42" t="s">
        <v>159</v>
      </c>
      <c r="G40" s="43" t="s">
        <v>159</v>
      </c>
      <c r="H40" s="42" t="s">
        <v>155</v>
      </c>
      <c r="I40" s="43">
        <v>2</v>
      </c>
      <c r="J40" s="43">
        <v>2</v>
      </c>
      <c r="K40" s="25" t="str">
        <f>VLOOKUP(J40,Key!$E$2:$F$9,2,FALSE)</f>
        <v>Work</v>
      </c>
      <c r="L40" s="42" t="s">
        <v>215</v>
      </c>
      <c r="M40" s="43" t="s">
        <v>215</v>
      </c>
      <c r="N40" s="42" t="s">
        <v>155</v>
      </c>
      <c r="O40" s="43">
        <v>2</v>
      </c>
      <c r="P40" s="43">
        <v>2</v>
      </c>
      <c r="Q40" s="25" t="str">
        <f>VLOOKUP(P40,Key!$E$2:$F$9,2,FALSE)</f>
        <v>Work</v>
      </c>
      <c r="R40" s="25" t="str">
        <f t="shared" si="1"/>
        <v>Work-Work</v>
      </c>
      <c r="S40" s="58">
        <v>300</v>
      </c>
      <c r="T40" s="58">
        <v>6</v>
      </c>
      <c r="U40" s="43">
        <v>4</v>
      </c>
      <c r="V40" s="43"/>
      <c r="W40" s="58"/>
      <c r="X40" s="58"/>
      <c r="Y40" s="59" t="s">
        <v>156</v>
      </c>
      <c r="Z40" s="60">
        <v>0</v>
      </c>
      <c r="AA40" s="25"/>
      <c r="AB40" s="25"/>
    </row>
    <row r="41" spans="2:28">
      <c r="B41" s="40">
        <v>0.50138888888888888</v>
      </c>
      <c r="C41" s="40" t="s">
        <v>216</v>
      </c>
      <c r="D41" s="41">
        <v>2</v>
      </c>
      <c r="E41" s="42">
        <v>2</v>
      </c>
      <c r="F41" s="42" t="s">
        <v>217</v>
      </c>
      <c r="G41" s="43" t="s">
        <v>159</v>
      </c>
      <c r="H41" s="42" t="s">
        <v>155</v>
      </c>
      <c r="I41" s="43">
        <v>2</v>
      </c>
      <c r="J41" s="43">
        <v>2</v>
      </c>
      <c r="K41" s="25" t="str">
        <f>VLOOKUP(J41,Key!$E$2:$F$9,2,FALSE)</f>
        <v>Work</v>
      </c>
      <c r="L41" s="42" t="s">
        <v>154</v>
      </c>
      <c r="M41" s="43" t="s">
        <v>154</v>
      </c>
      <c r="N41" s="42" t="s">
        <v>155</v>
      </c>
      <c r="O41" s="43">
        <v>2</v>
      </c>
      <c r="P41" s="43">
        <v>2</v>
      </c>
      <c r="Q41" s="25" t="str">
        <f>VLOOKUP(P41,Key!$E$2:$F$9,2,FALSE)</f>
        <v>Work</v>
      </c>
      <c r="R41" s="25" t="str">
        <f t="shared" si="1"/>
        <v>Work-Work</v>
      </c>
      <c r="S41" s="58"/>
      <c r="T41" s="58">
        <v>0.5</v>
      </c>
      <c r="U41" s="43">
        <v>3</v>
      </c>
      <c r="V41" s="43"/>
      <c r="W41" s="58"/>
      <c r="X41" s="58"/>
      <c r="Y41" s="59" t="s">
        <v>156</v>
      </c>
      <c r="Z41" s="60">
        <v>500</v>
      </c>
      <c r="AA41" s="25"/>
      <c r="AB41" s="25"/>
    </row>
    <row r="42" spans="2:28">
      <c r="B42" s="40">
        <v>0.49791666666666662</v>
      </c>
      <c r="C42" s="40" t="s">
        <v>218</v>
      </c>
      <c r="D42" s="41">
        <v>2</v>
      </c>
      <c r="E42" s="42">
        <v>3</v>
      </c>
      <c r="F42" s="42" t="s">
        <v>146</v>
      </c>
      <c r="G42" s="43" t="s">
        <v>154</v>
      </c>
      <c r="H42" s="42" t="s">
        <v>155</v>
      </c>
      <c r="I42" s="43">
        <v>16</v>
      </c>
      <c r="J42" s="43">
        <v>8</v>
      </c>
      <c r="K42" s="25" t="str">
        <f>VLOOKUP(J42,Key!$E$2:$F$9,2,FALSE)</f>
        <v>Others</v>
      </c>
      <c r="L42" s="42" t="s">
        <v>173</v>
      </c>
      <c r="M42" s="43" t="s">
        <v>154</v>
      </c>
      <c r="N42" s="42" t="s">
        <v>155</v>
      </c>
      <c r="O42" s="43">
        <v>16</v>
      </c>
      <c r="P42" s="43">
        <v>2</v>
      </c>
      <c r="Q42" s="25" t="str">
        <f>VLOOKUP(P42,Key!$E$2:$F$9,2,FALSE)</f>
        <v>Work</v>
      </c>
      <c r="R42" s="25" t="str">
        <f t="shared" si="1"/>
        <v>Others-Work</v>
      </c>
      <c r="S42" s="58"/>
      <c r="T42" s="58"/>
      <c r="U42" s="43">
        <v>1</v>
      </c>
      <c r="V42" s="43"/>
      <c r="W42" s="58"/>
      <c r="X42" s="58"/>
      <c r="Y42" s="59" t="s">
        <v>156</v>
      </c>
      <c r="Z42" s="60">
        <v>2000</v>
      </c>
      <c r="AA42" s="25"/>
      <c r="AB42" s="25"/>
    </row>
    <row r="43" spans="2:28">
      <c r="B43" s="40">
        <v>0.49027777777777781</v>
      </c>
      <c r="C43" s="40" t="s">
        <v>219</v>
      </c>
      <c r="D43" s="41">
        <v>1</v>
      </c>
      <c r="E43" s="42">
        <v>1</v>
      </c>
      <c r="F43" s="42" t="s">
        <v>146</v>
      </c>
      <c r="G43" s="43" t="s">
        <v>154</v>
      </c>
      <c r="H43" s="42" t="s">
        <v>155</v>
      </c>
      <c r="I43" s="43">
        <v>2</v>
      </c>
      <c r="J43" s="43">
        <v>2</v>
      </c>
      <c r="K43" s="25" t="str">
        <f>VLOOKUP(J43,Key!$E$2:$F$9,2,FALSE)</f>
        <v>Work</v>
      </c>
      <c r="L43" s="42" t="s">
        <v>146</v>
      </c>
      <c r="M43" s="43" t="s">
        <v>154</v>
      </c>
      <c r="N43" s="42" t="s">
        <v>155</v>
      </c>
      <c r="O43" s="43">
        <v>2</v>
      </c>
      <c r="P43" s="43">
        <v>2</v>
      </c>
      <c r="Q43" s="25" t="str">
        <f>VLOOKUP(P43,Key!$E$2:$F$9,2,FALSE)</f>
        <v>Work</v>
      </c>
      <c r="R43" s="25" t="str">
        <f t="shared" si="1"/>
        <v>Work-Work</v>
      </c>
      <c r="S43" s="58"/>
      <c r="T43" s="58"/>
      <c r="U43" s="43">
        <v>1</v>
      </c>
      <c r="V43" s="43"/>
      <c r="W43" s="58"/>
      <c r="X43" s="58"/>
      <c r="Y43" s="59" t="s">
        <v>156</v>
      </c>
      <c r="Z43" s="60">
        <v>0</v>
      </c>
      <c r="AA43" s="25"/>
      <c r="AB43" s="25"/>
    </row>
    <row r="44" spans="2:28">
      <c r="B44" s="40">
        <v>0.48819444444444443</v>
      </c>
      <c r="C44" s="40" t="s">
        <v>220</v>
      </c>
      <c r="D44" s="41">
        <v>1</v>
      </c>
      <c r="E44" s="42">
        <v>5</v>
      </c>
      <c r="F44" s="42" t="s">
        <v>221</v>
      </c>
      <c r="G44" s="43" t="s">
        <v>154</v>
      </c>
      <c r="H44" s="42" t="s">
        <v>155</v>
      </c>
      <c r="I44" s="43">
        <v>1</v>
      </c>
      <c r="J44" s="43">
        <v>1</v>
      </c>
      <c r="K44" s="25" t="str">
        <f>VLOOKUP(J44,Key!$E$2:$F$9,2,FALSE)</f>
        <v>Home</v>
      </c>
      <c r="L44" s="42" t="s">
        <v>222</v>
      </c>
      <c r="M44" s="43" t="s">
        <v>154</v>
      </c>
      <c r="N44" s="42" t="s">
        <v>155</v>
      </c>
      <c r="O44" s="43">
        <v>1</v>
      </c>
      <c r="P44" s="43">
        <v>1</v>
      </c>
      <c r="Q44" s="25" t="str">
        <f>VLOOKUP(P44,Key!$E$2:$F$9,2,FALSE)</f>
        <v>Home</v>
      </c>
      <c r="R44" s="25" t="str">
        <f t="shared" si="1"/>
        <v>Home-Home</v>
      </c>
      <c r="S44" s="58"/>
      <c r="T44" s="58">
        <v>0.5</v>
      </c>
      <c r="U44" s="43">
        <v>3</v>
      </c>
      <c r="V44" s="43"/>
      <c r="W44" s="58"/>
      <c r="X44" s="58"/>
      <c r="Y44" s="59" t="s">
        <v>156</v>
      </c>
      <c r="Z44" s="60">
        <v>500</v>
      </c>
      <c r="AA44" s="25"/>
      <c r="AB44" s="25"/>
    </row>
    <row r="45" spans="2:28">
      <c r="B45" s="40">
        <v>0.48402777777777778</v>
      </c>
      <c r="C45" s="40" t="s">
        <v>223</v>
      </c>
      <c r="D45" s="41">
        <v>1</v>
      </c>
      <c r="E45" s="42">
        <v>2</v>
      </c>
      <c r="F45" s="42" t="s">
        <v>159</v>
      </c>
      <c r="G45" s="43" t="s">
        <v>159</v>
      </c>
      <c r="H45" s="42" t="s">
        <v>155</v>
      </c>
      <c r="I45" s="43">
        <v>16</v>
      </c>
      <c r="J45" s="43">
        <v>2</v>
      </c>
      <c r="K45" s="25" t="str">
        <f>VLOOKUP(J45,Key!$E$2:$F$9,2,FALSE)</f>
        <v>Work</v>
      </c>
      <c r="L45" s="42" t="s">
        <v>168</v>
      </c>
      <c r="M45" s="43" t="s">
        <v>154</v>
      </c>
      <c r="N45" s="42" t="s">
        <v>155</v>
      </c>
      <c r="O45" s="43">
        <v>16</v>
      </c>
      <c r="P45" s="43">
        <v>2</v>
      </c>
      <c r="Q45" s="25" t="str">
        <f>VLOOKUP(P45,Key!$E$2:$F$9,2,FALSE)</f>
        <v>Work</v>
      </c>
      <c r="R45" s="25" t="str">
        <f t="shared" si="1"/>
        <v>Work-Work</v>
      </c>
      <c r="S45" s="58"/>
      <c r="T45" s="58">
        <v>0.2</v>
      </c>
      <c r="U45" s="43">
        <v>6</v>
      </c>
      <c r="V45" s="43"/>
      <c r="W45" s="58"/>
      <c r="X45" s="58"/>
      <c r="Y45" s="59" t="s">
        <v>156</v>
      </c>
      <c r="Z45" s="60">
        <v>2000</v>
      </c>
      <c r="AA45" s="25"/>
      <c r="AB45" s="25"/>
    </row>
    <row r="46" spans="2:28">
      <c r="B46" s="40">
        <v>0.4826388888888889</v>
      </c>
      <c r="C46" s="40" t="s">
        <v>224</v>
      </c>
      <c r="D46" s="41">
        <v>4</v>
      </c>
      <c r="E46" s="42">
        <v>16</v>
      </c>
      <c r="F46" s="42" t="s">
        <v>146</v>
      </c>
      <c r="G46" s="43" t="s">
        <v>154</v>
      </c>
      <c r="H46" s="42" t="s">
        <v>155</v>
      </c>
      <c r="I46" s="43">
        <v>6</v>
      </c>
      <c r="J46" s="43">
        <v>2</v>
      </c>
      <c r="K46" s="25" t="str">
        <f>VLOOKUP(J46,Key!$E$2:$F$9,2,FALSE)</f>
        <v>Work</v>
      </c>
      <c r="L46" s="42" t="s">
        <v>147</v>
      </c>
      <c r="M46" s="43" t="s">
        <v>154</v>
      </c>
      <c r="N46" s="42" t="s">
        <v>155</v>
      </c>
      <c r="O46" s="43">
        <v>6</v>
      </c>
      <c r="P46" s="43">
        <v>2</v>
      </c>
      <c r="Q46" s="25" t="str">
        <f>VLOOKUP(P46,Key!$E$2:$F$9,2,FALSE)</f>
        <v>Work</v>
      </c>
      <c r="R46" s="25" t="str">
        <f t="shared" si="1"/>
        <v>Work-Work</v>
      </c>
      <c r="S46" s="58">
        <v>4</v>
      </c>
      <c r="T46" s="58"/>
      <c r="U46" s="43">
        <v>1</v>
      </c>
      <c r="V46" s="43"/>
      <c r="W46" s="58"/>
      <c r="X46" s="58"/>
      <c r="Y46" s="59" t="s">
        <v>156</v>
      </c>
      <c r="Z46" s="60">
        <v>2000</v>
      </c>
      <c r="AA46" s="25"/>
      <c r="AB46" s="25"/>
    </row>
    <row r="47" spans="2:28">
      <c r="B47" s="40">
        <v>0.47916666666666669</v>
      </c>
      <c r="C47" s="40" t="s">
        <v>225</v>
      </c>
      <c r="D47" s="41">
        <v>2</v>
      </c>
      <c r="E47" s="42">
        <v>1</v>
      </c>
      <c r="F47" s="42" t="s">
        <v>226</v>
      </c>
      <c r="G47" s="43" t="s">
        <v>154</v>
      </c>
      <c r="H47" s="42" t="s">
        <v>155</v>
      </c>
      <c r="I47" s="43">
        <v>1</v>
      </c>
      <c r="J47" s="43">
        <v>1</v>
      </c>
      <c r="K47" s="25" t="str">
        <f>VLOOKUP(J47,Key!$E$2:$F$9,2,FALSE)</f>
        <v>Home</v>
      </c>
      <c r="L47" s="42" t="s">
        <v>227</v>
      </c>
      <c r="M47" s="43" t="s">
        <v>227</v>
      </c>
      <c r="N47" s="42" t="s">
        <v>155</v>
      </c>
      <c r="O47" s="43">
        <v>2</v>
      </c>
      <c r="P47" s="43">
        <v>2</v>
      </c>
      <c r="Q47" s="25" t="str">
        <f>VLOOKUP(P47,Key!$E$2:$F$9,2,FALSE)</f>
        <v>Work</v>
      </c>
      <c r="R47" s="25" t="str">
        <f t="shared" si="1"/>
        <v>Home-Work</v>
      </c>
      <c r="S47" s="58">
        <v>290</v>
      </c>
      <c r="T47" s="58">
        <v>3</v>
      </c>
      <c r="U47" s="43">
        <v>4</v>
      </c>
      <c r="V47" s="43"/>
      <c r="W47" s="58"/>
      <c r="X47" s="58"/>
      <c r="Y47" s="59" t="s">
        <v>156</v>
      </c>
      <c r="Z47" s="60">
        <v>0</v>
      </c>
      <c r="AA47" s="25"/>
      <c r="AB47" s="25"/>
    </row>
    <row r="48" spans="2:28">
      <c r="B48" s="40">
        <v>0.47291666666666665</v>
      </c>
      <c r="C48" s="40" t="s">
        <v>228</v>
      </c>
      <c r="D48" s="41">
        <v>7</v>
      </c>
      <c r="E48" s="42">
        <v>8</v>
      </c>
      <c r="F48" s="42" t="s">
        <v>146</v>
      </c>
      <c r="G48" s="43" t="s">
        <v>154</v>
      </c>
      <c r="H48" s="42" t="s">
        <v>155</v>
      </c>
      <c r="I48" s="43">
        <v>16</v>
      </c>
      <c r="J48" s="43">
        <v>8</v>
      </c>
      <c r="K48" s="25" t="str">
        <f>VLOOKUP(J48,Key!$E$2:$F$9,2,FALSE)</f>
        <v>Others</v>
      </c>
      <c r="L48" s="42" t="s">
        <v>168</v>
      </c>
      <c r="M48" s="43" t="s">
        <v>154</v>
      </c>
      <c r="N48" s="42" t="s">
        <v>155</v>
      </c>
      <c r="O48" s="43">
        <v>15</v>
      </c>
      <c r="P48" s="43">
        <v>2</v>
      </c>
      <c r="Q48" s="25" t="str">
        <f>VLOOKUP(P48,Key!$E$2:$F$9,2,FALSE)</f>
        <v>Work</v>
      </c>
      <c r="R48" s="25" t="str">
        <f t="shared" si="1"/>
        <v>Others-Work</v>
      </c>
      <c r="S48" s="58"/>
      <c r="T48" s="58">
        <v>0.1</v>
      </c>
      <c r="U48" s="43">
        <v>1</v>
      </c>
      <c r="V48" s="43"/>
      <c r="W48" s="58"/>
      <c r="X48" s="58"/>
      <c r="Y48" s="59" t="s">
        <v>156</v>
      </c>
      <c r="Z48" s="60">
        <v>0</v>
      </c>
      <c r="AA48" s="25"/>
      <c r="AB48" s="25"/>
    </row>
    <row r="49" spans="2:28">
      <c r="B49" s="40">
        <v>0.47083333333333338</v>
      </c>
      <c r="C49" s="40" t="s">
        <v>229</v>
      </c>
      <c r="D49" s="41">
        <v>10</v>
      </c>
      <c r="E49" s="42">
        <v>1</v>
      </c>
      <c r="F49" s="42" t="s">
        <v>199</v>
      </c>
      <c r="G49" s="43" t="s">
        <v>159</v>
      </c>
      <c r="H49" s="42" t="s">
        <v>155</v>
      </c>
      <c r="I49" s="43">
        <v>11</v>
      </c>
      <c r="J49" s="43">
        <v>4</v>
      </c>
      <c r="K49" s="25" t="str">
        <f>VLOOKUP(J49,Key!$E$2:$F$9,2,FALSE)</f>
        <v>Commercial</v>
      </c>
      <c r="L49" s="42" t="s">
        <v>147</v>
      </c>
      <c r="M49" s="43" t="s">
        <v>154</v>
      </c>
      <c r="N49" s="42" t="s">
        <v>155</v>
      </c>
      <c r="O49" s="43">
        <v>3</v>
      </c>
      <c r="P49" s="43">
        <v>2</v>
      </c>
      <c r="Q49" s="25" t="str">
        <f>VLOOKUP(P49,Key!$E$2:$F$9,2,FALSE)</f>
        <v>Work</v>
      </c>
      <c r="R49" s="25" t="str">
        <f t="shared" si="1"/>
        <v>Commercial-Work</v>
      </c>
      <c r="S49" s="58"/>
      <c r="T49" s="58">
        <v>0.7</v>
      </c>
      <c r="U49" s="43">
        <v>3</v>
      </c>
      <c r="V49" s="43"/>
      <c r="W49" s="58"/>
      <c r="X49" s="58"/>
      <c r="Y49" s="59" t="s">
        <v>156</v>
      </c>
      <c r="Z49" s="60">
        <v>3000</v>
      </c>
      <c r="AA49" s="25"/>
      <c r="AB49" s="25"/>
    </row>
    <row r="50" spans="2:28">
      <c r="B50" s="40">
        <v>0.46666666666666662</v>
      </c>
      <c r="C50" s="40" t="s">
        <v>230</v>
      </c>
      <c r="D50" s="41">
        <v>1</v>
      </c>
      <c r="E50" s="42">
        <v>2</v>
      </c>
      <c r="F50" s="42" t="s">
        <v>189</v>
      </c>
      <c r="G50" s="43" t="s">
        <v>154</v>
      </c>
      <c r="H50" s="42" t="s">
        <v>155</v>
      </c>
      <c r="I50" s="43">
        <v>1</v>
      </c>
      <c r="J50" s="43">
        <v>1</v>
      </c>
      <c r="K50" s="25" t="str">
        <f>VLOOKUP(J50,Key!$E$2:$F$9,2,FALSE)</f>
        <v>Home</v>
      </c>
      <c r="L50" s="42" t="s">
        <v>147</v>
      </c>
      <c r="M50" s="43" t="s">
        <v>154</v>
      </c>
      <c r="N50" s="42" t="s">
        <v>155</v>
      </c>
      <c r="O50" s="43">
        <v>11</v>
      </c>
      <c r="P50" s="43">
        <v>2</v>
      </c>
      <c r="Q50" s="25" t="str">
        <f>VLOOKUP(P50,Key!$E$2:$F$9,2,FALSE)</f>
        <v>Work</v>
      </c>
      <c r="R50" s="25" t="str">
        <f t="shared" si="1"/>
        <v>Home-Work</v>
      </c>
      <c r="S50" s="58"/>
      <c r="T50" s="58">
        <v>0.7</v>
      </c>
      <c r="U50" s="43">
        <v>3</v>
      </c>
      <c r="V50" s="43"/>
      <c r="W50" s="58"/>
      <c r="X50" s="58"/>
      <c r="Y50" s="59" t="s">
        <v>156</v>
      </c>
      <c r="Z50" s="60">
        <v>1000</v>
      </c>
      <c r="AA50" s="25"/>
      <c r="AB50" s="25"/>
    </row>
    <row r="51" spans="2:28">
      <c r="B51" s="40">
        <v>0.46319444444444446</v>
      </c>
      <c r="C51" s="40" t="s">
        <v>231</v>
      </c>
      <c r="D51" s="41">
        <v>1</v>
      </c>
      <c r="E51" s="42">
        <v>1</v>
      </c>
      <c r="F51" s="42" t="s">
        <v>146</v>
      </c>
      <c r="G51" s="43" t="s">
        <v>154</v>
      </c>
      <c r="H51" s="42" t="s">
        <v>155</v>
      </c>
      <c r="I51" s="43">
        <v>1</v>
      </c>
      <c r="J51" s="43">
        <v>1</v>
      </c>
      <c r="K51" s="25" t="str">
        <f>VLOOKUP(J51,Key!$E$2:$F$9,2,FALSE)</f>
        <v>Home</v>
      </c>
      <c r="L51" s="42" t="s">
        <v>147</v>
      </c>
      <c r="M51" s="43" t="s">
        <v>154</v>
      </c>
      <c r="N51" s="42" t="s">
        <v>155</v>
      </c>
      <c r="O51" s="43">
        <v>3</v>
      </c>
      <c r="P51" s="43">
        <v>2</v>
      </c>
      <c r="Q51" s="25" t="str">
        <f>VLOOKUP(P51,Key!$E$2:$F$9,2,FALSE)</f>
        <v>Work</v>
      </c>
      <c r="R51" s="25" t="str">
        <f t="shared" si="1"/>
        <v>Home-Work</v>
      </c>
      <c r="S51" s="58"/>
      <c r="T51" s="58"/>
      <c r="U51" s="43">
        <v>2</v>
      </c>
      <c r="V51" s="43"/>
      <c r="W51" s="58"/>
      <c r="X51" s="58"/>
      <c r="Y51" s="59" t="s">
        <v>156</v>
      </c>
      <c r="Z51" s="60">
        <v>1000</v>
      </c>
      <c r="AA51" s="25"/>
      <c r="AB51" s="25"/>
    </row>
    <row r="52" spans="2:28">
      <c r="B52" s="40">
        <v>0.44236111111111115</v>
      </c>
      <c r="C52" s="40" t="s">
        <v>232</v>
      </c>
      <c r="D52" s="41">
        <v>2</v>
      </c>
      <c r="E52" s="42">
        <v>3</v>
      </c>
      <c r="F52" s="42" t="s">
        <v>233</v>
      </c>
      <c r="G52" s="43" t="s">
        <v>159</v>
      </c>
      <c r="H52" s="42" t="s">
        <v>155</v>
      </c>
      <c r="I52" s="43">
        <v>1</v>
      </c>
      <c r="J52" s="43">
        <v>1</v>
      </c>
      <c r="K52" s="25" t="str">
        <f>VLOOKUP(J52,Key!$E$2:$F$9,2,FALSE)</f>
        <v>Home</v>
      </c>
      <c r="L52" s="42" t="s">
        <v>146</v>
      </c>
      <c r="M52" s="43" t="s">
        <v>154</v>
      </c>
      <c r="N52" s="42" t="s">
        <v>155</v>
      </c>
      <c r="O52" s="43">
        <v>16</v>
      </c>
      <c r="P52" s="43">
        <v>8</v>
      </c>
      <c r="Q52" s="25" t="str">
        <f>VLOOKUP(P52,Key!$E$2:$F$9,2,FALSE)</f>
        <v>Others</v>
      </c>
      <c r="R52" s="25" t="str">
        <f t="shared" si="1"/>
        <v>Home-Others</v>
      </c>
      <c r="S52" s="58">
        <v>8</v>
      </c>
      <c r="T52" s="58">
        <v>0.4</v>
      </c>
      <c r="U52" s="43">
        <v>6</v>
      </c>
      <c r="V52" s="43"/>
      <c r="W52" s="58"/>
      <c r="X52" s="58"/>
      <c r="Y52" s="59" t="s">
        <v>156</v>
      </c>
      <c r="Z52" s="60">
        <v>1000</v>
      </c>
      <c r="AA52" s="25"/>
      <c r="AB52" s="25"/>
    </row>
    <row r="53" spans="2:28">
      <c r="B53" s="40">
        <v>0.43333333333333335</v>
      </c>
      <c r="C53" s="40" t="s">
        <v>234</v>
      </c>
      <c r="D53" s="41">
        <v>1</v>
      </c>
      <c r="E53" s="42">
        <v>3</v>
      </c>
      <c r="F53" s="42" t="s">
        <v>146</v>
      </c>
      <c r="G53" s="43" t="s">
        <v>154</v>
      </c>
      <c r="H53" s="42" t="s">
        <v>155</v>
      </c>
      <c r="I53" s="43">
        <v>1</v>
      </c>
      <c r="J53" s="43">
        <v>1</v>
      </c>
      <c r="K53" s="25" t="str">
        <f>VLOOKUP(J53,Key!$E$2:$F$9,2,FALSE)</f>
        <v>Home</v>
      </c>
      <c r="L53" s="42" t="s">
        <v>147</v>
      </c>
      <c r="M53" s="43" t="s">
        <v>154</v>
      </c>
      <c r="N53" s="42" t="s">
        <v>155</v>
      </c>
      <c r="O53" s="43">
        <v>11</v>
      </c>
      <c r="P53" s="43">
        <v>2</v>
      </c>
      <c r="Q53" s="25" t="str">
        <f>VLOOKUP(P53,Key!$E$2:$F$9,2,FALSE)</f>
        <v>Work</v>
      </c>
      <c r="R53" s="25" t="str">
        <f t="shared" si="1"/>
        <v>Home-Work</v>
      </c>
      <c r="S53" s="58"/>
      <c r="T53" s="58"/>
      <c r="U53" s="43">
        <v>2</v>
      </c>
      <c r="V53" s="43"/>
      <c r="W53" s="58"/>
      <c r="X53" s="58"/>
      <c r="Y53" s="59" t="s">
        <v>156</v>
      </c>
      <c r="Z53" s="60">
        <v>1000</v>
      </c>
      <c r="AA53" s="25"/>
      <c r="AB53" s="25"/>
    </row>
    <row r="54" spans="2:28">
      <c r="B54" s="40">
        <v>0.43124999999999997</v>
      </c>
      <c r="C54" s="40" t="s">
        <v>235</v>
      </c>
      <c r="D54" s="41">
        <v>7</v>
      </c>
      <c r="E54" s="42">
        <v>3</v>
      </c>
      <c r="F54" s="42" t="s">
        <v>146</v>
      </c>
      <c r="G54" s="43" t="s">
        <v>154</v>
      </c>
      <c r="H54" s="42" t="s">
        <v>155</v>
      </c>
      <c r="I54" s="43">
        <v>16</v>
      </c>
      <c r="J54" s="43">
        <v>8</v>
      </c>
      <c r="K54" s="25" t="str">
        <f>VLOOKUP(J54,Key!$E$2:$F$9,2,FALSE)</f>
        <v>Others</v>
      </c>
      <c r="L54" s="42" t="s">
        <v>192</v>
      </c>
      <c r="M54" s="43" t="s">
        <v>154</v>
      </c>
      <c r="N54" s="42" t="s">
        <v>155</v>
      </c>
      <c r="O54" s="43">
        <v>16</v>
      </c>
      <c r="P54" s="43">
        <v>2</v>
      </c>
      <c r="Q54" s="25" t="str">
        <f>VLOOKUP(P54,Key!$E$2:$F$9,2,FALSE)</f>
        <v>Work</v>
      </c>
      <c r="R54" s="25" t="str">
        <f t="shared" si="1"/>
        <v>Others-Work</v>
      </c>
      <c r="S54" s="58">
        <v>8</v>
      </c>
      <c r="T54" s="58">
        <v>0.4</v>
      </c>
      <c r="U54" s="43">
        <v>1</v>
      </c>
      <c r="V54" s="43"/>
      <c r="W54" s="58"/>
      <c r="X54" s="58"/>
      <c r="Y54" s="59" t="s">
        <v>156</v>
      </c>
      <c r="Z54" s="60">
        <v>500</v>
      </c>
      <c r="AA54" s="25"/>
      <c r="AB54" s="25"/>
    </row>
    <row r="55" spans="2:28">
      <c r="B55" s="40">
        <v>0.4284722222222222</v>
      </c>
      <c r="C55" s="40" t="s">
        <v>236</v>
      </c>
      <c r="D55" s="41">
        <v>2</v>
      </c>
      <c r="E55" s="42">
        <v>2</v>
      </c>
      <c r="F55" s="42" t="s">
        <v>209</v>
      </c>
      <c r="G55" s="43" t="s">
        <v>154</v>
      </c>
      <c r="H55" s="42" t="s">
        <v>155</v>
      </c>
      <c r="I55" s="43">
        <v>1</v>
      </c>
      <c r="J55" s="43">
        <v>1</v>
      </c>
      <c r="K55" s="25" t="str">
        <f>VLOOKUP(J55,Key!$E$2:$F$9,2,FALSE)</f>
        <v>Home</v>
      </c>
      <c r="L55" s="42" t="s">
        <v>175</v>
      </c>
      <c r="M55" s="43" t="s">
        <v>154</v>
      </c>
      <c r="N55" s="42" t="s">
        <v>155</v>
      </c>
      <c r="O55" s="43">
        <v>9</v>
      </c>
      <c r="P55" s="43">
        <v>8</v>
      </c>
      <c r="Q55" s="25" t="str">
        <f>VLOOKUP(P55,Key!$E$2:$F$9,2,FALSE)</f>
        <v>Others</v>
      </c>
      <c r="R55" s="25" t="str">
        <f t="shared" si="1"/>
        <v>Home-Others</v>
      </c>
      <c r="S55" s="58">
        <v>27</v>
      </c>
      <c r="T55" s="58">
        <v>0.7</v>
      </c>
      <c r="U55" s="43">
        <v>3</v>
      </c>
      <c r="V55" s="43"/>
      <c r="W55" s="58"/>
      <c r="X55" s="58"/>
      <c r="Y55" s="59" t="s">
        <v>156</v>
      </c>
      <c r="Z55" s="60">
        <v>0</v>
      </c>
      <c r="AA55" s="25"/>
      <c r="AB55" s="25"/>
    </row>
    <row r="56" spans="2:28">
      <c r="B56" s="40">
        <v>0.42638888888888887</v>
      </c>
      <c r="C56" s="40" t="s">
        <v>237</v>
      </c>
      <c r="D56" s="41">
        <v>1</v>
      </c>
      <c r="E56" s="42">
        <v>1</v>
      </c>
      <c r="F56" s="42" t="s">
        <v>184</v>
      </c>
      <c r="G56" s="43" t="s">
        <v>154</v>
      </c>
      <c r="H56" s="42" t="s">
        <v>155</v>
      </c>
      <c r="I56" s="43">
        <v>1</v>
      </c>
      <c r="J56" s="43">
        <v>1</v>
      </c>
      <c r="K56" s="25" t="str">
        <f>VLOOKUP(J56,Key!$E$2:$F$9,2,FALSE)</f>
        <v>Home</v>
      </c>
      <c r="L56" s="42" t="s">
        <v>202</v>
      </c>
      <c r="M56" s="43" t="s">
        <v>202</v>
      </c>
      <c r="N56" s="42" t="s">
        <v>155</v>
      </c>
      <c r="O56" s="43">
        <v>9</v>
      </c>
      <c r="P56" s="43">
        <v>8</v>
      </c>
      <c r="Q56" s="25" t="str">
        <f>VLOOKUP(P56,Key!$E$2:$F$9,2,FALSE)</f>
        <v>Others</v>
      </c>
      <c r="R56" s="25" t="str">
        <f t="shared" si="1"/>
        <v>Home-Others</v>
      </c>
      <c r="S56" s="58">
        <v>50</v>
      </c>
      <c r="T56" s="58">
        <v>1</v>
      </c>
      <c r="U56" s="43">
        <v>3</v>
      </c>
      <c r="V56" s="43"/>
      <c r="W56" s="58"/>
      <c r="X56" s="58"/>
      <c r="Y56" s="59" t="s">
        <v>156</v>
      </c>
      <c r="Z56" s="60">
        <v>1000</v>
      </c>
      <c r="AA56" s="25"/>
      <c r="AB56" s="25"/>
    </row>
    <row r="57" spans="2:28">
      <c r="B57" s="40">
        <v>0.4236111111111111</v>
      </c>
      <c r="C57" s="40" t="s">
        <v>238</v>
      </c>
      <c r="D57" s="41">
        <v>1</v>
      </c>
      <c r="E57" s="42">
        <v>1</v>
      </c>
      <c r="F57" s="42" t="s">
        <v>239</v>
      </c>
      <c r="G57" s="43" t="s">
        <v>154</v>
      </c>
      <c r="H57" s="42" t="s">
        <v>155</v>
      </c>
      <c r="I57" s="43">
        <v>10</v>
      </c>
      <c r="J57" s="43">
        <v>2</v>
      </c>
      <c r="K57" s="25" t="str">
        <f>VLOOKUP(J57,Key!$E$2:$F$9,2,FALSE)</f>
        <v>Work</v>
      </c>
      <c r="L57" s="42" t="s">
        <v>168</v>
      </c>
      <c r="M57" s="43" t="s">
        <v>154</v>
      </c>
      <c r="N57" s="42" t="s">
        <v>155</v>
      </c>
      <c r="O57" s="43">
        <v>16</v>
      </c>
      <c r="P57" s="43">
        <v>8</v>
      </c>
      <c r="Q57" s="25" t="str">
        <f>VLOOKUP(P57,Key!$E$2:$F$9,2,FALSE)</f>
        <v>Others</v>
      </c>
      <c r="R57" s="25" t="str">
        <f t="shared" si="1"/>
        <v>Work-Others</v>
      </c>
      <c r="S57" s="58">
        <v>3</v>
      </c>
      <c r="T57" s="58">
        <v>0.5</v>
      </c>
      <c r="U57" s="43">
        <v>6</v>
      </c>
      <c r="V57" s="43"/>
      <c r="W57" s="58"/>
      <c r="X57" s="58"/>
      <c r="Y57" s="59" t="s">
        <v>156</v>
      </c>
      <c r="Z57" s="60">
        <v>5000</v>
      </c>
      <c r="AA57" s="25"/>
      <c r="AB57" s="25"/>
    </row>
    <row r="58" spans="2:28">
      <c r="B58" s="40">
        <v>0.41944444444444445</v>
      </c>
      <c r="C58" s="40" t="s">
        <v>240</v>
      </c>
      <c r="D58" s="41">
        <v>1</v>
      </c>
      <c r="E58" s="42">
        <v>1</v>
      </c>
      <c r="F58" s="42" t="s">
        <v>241</v>
      </c>
      <c r="G58" s="43" t="s">
        <v>159</v>
      </c>
      <c r="H58" s="42" t="s">
        <v>155</v>
      </c>
      <c r="I58" s="43">
        <v>1</v>
      </c>
      <c r="J58" s="43">
        <v>1</v>
      </c>
      <c r="K58" s="25" t="str">
        <f>VLOOKUP(J58,Key!$E$2:$F$9,2,FALSE)</f>
        <v>Home</v>
      </c>
      <c r="L58" s="42" t="s">
        <v>146</v>
      </c>
      <c r="M58" s="43" t="s">
        <v>154</v>
      </c>
      <c r="N58" s="42" t="s">
        <v>155</v>
      </c>
      <c r="O58" s="43">
        <v>16</v>
      </c>
      <c r="P58" s="43">
        <v>2</v>
      </c>
      <c r="Q58" s="25" t="str">
        <f>VLOOKUP(P58,Key!$E$2:$F$9,2,FALSE)</f>
        <v>Work</v>
      </c>
      <c r="R58" s="25" t="str">
        <f t="shared" si="1"/>
        <v>Home-Work</v>
      </c>
      <c r="S58" s="58">
        <v>5</v>
      </c>
      <c r="T58" s="58">
        <v>0.1</v>
      </c>
      <c r="U58" s="43">
        <v>2</v>
      </c>
      <c r="V58" s="43"/>
      <c r="W58" s="58"/>
      <c r="X58" s="58"/>
      <c r="Y58" s="59" t="s">
        <v>156</v>
      </c>
      <c r="Z58" s="60">
        <v>1000</v>
      </c>
      <c r="AA58" s="25"/>
      <c r="AB58" s="25"/>
    </row>
    <row r="59" spans="2:28">
      <c r="B59" s="40">
        <v>0.4152777777777778</v>
      </c>
      <c r="C59" s="40" t="s">
        <v>242</v>
      </c>
      <c r="D59" s="41">
        <v>1</v>
      </c>
      <c r="E59" s="42">
        <v>3</v>
      </c>
      <c r="F59" s="42" t="s">
        <v>146</v>
      </c>
      <c r="G59" s="43" t="s">
        <v>154</v>
      </c>
      <c r="H59" s="42" t="s">
        <v>155</v>
      </c>
      <c r="I59" s="43">
        <v>1</v>
      </c>
      <c r="J59" s="43">
        <v>1</v>
      </c>
      <c r="K59" s="25" t="str">
        <f>VLOOKUP(J59,Key!$E$2:$F$9,2,FALSE)</f>
        <v>Home</v>
      </c>
      <c r="L59" s="42" t="s">
        <v>147</v>
      </c>
      <c r="M59" s="43" t="s">
        <v>154</v>
      </c>
      <c r="N59" s="42" t="s">
        <v>155</v>
      </c>
      <c r="O59" s="43">
        <v>16</v>
      </c>
      <c r="P59" s="43">
        <v>2</v>
      </c>
      <c r="Q59" s="25" t="str">
        <f>VLOOKUP(P59,Key!$E$2:$F$9,2,FALSE)</f>
        <v>Work</v>
      </c>
      <c r="R59" s="25" t="str">
        <f t="shared" si="1"/>
        <v>Home-Work</v>
      </c>
      <c r="S59" s="58">
        <v>7</v>
      </c>
      <c r="T59" s="58">
        <v>0.2</v>
      </c>
      <c r="U59" s="43">
        <v>5</v>
      </c>
      <c r="V59" s="43"/>
      <c r="W59" s="58"/>
      <c r="X59" s="58"/>
      <c r="Y59" s="59" t="s">
        <v>156</v>
      </c>
      <c r="Z59" s="60">
        <v>1000</v>
      </c>
      <c r="AA59" s="25"/>
      <c r="AB59" s="25"/>
    </row>
    <row r="60" spans="2:28">
      <c r="B60" s="40">
        <v>0.40972222222222227</v>
      </c>
      <c r="C60" s="40" t="s">
        <v>243</v>
      </c>
      <c r="D60" s="41">
        <v>1</v>
      </c>
      <c r="E60" s="42">
        <v>2</v>
      </c>
      <c r="F60" s="42" t="s">
        <v>184</v>
      </c>
      <c r="G60" s="43" t="s">
        <v>154</v>
      </c>
      <c r="H60" s="42" t="s">
        <v>155</v>
      </c>
      <c r="I60" s="43">
        <v>1</v>
      </c>
      <c r="J60" s="43">
        <v>1</v>
      </c>
      <c r="K60" s="25" t="str">
        <f>VLOOKUP(J60,Key!$E$2:$F$9,2,FALSE)</f>
        <v>Home</v>
      </c>
      <c r="L60" s="42" t="s">
        <v>146</v>
      </c>
      <c r="M60" s="43" t="s">
        <v>154</v>
      </c>
      <c r="N60" s="42" t="s">
        <v>155</v>
      </c>
      <c r="O60" s="43">
        <v>2</v>
      </c>
      <c r="P60" s="43">
        <v>2</v>
      </c>
      <c r="Q60" s="25" t="str">
        <f>VLOOKUP(P60,Key!$E$2:$F$9,2,FALSE)</f>
        <v>Work</v>
      </c>
      <c r="R60" s="25" t="str">
        <f t="shared" si="1"/>
        <v>Home-Work</v>
      </c>
      <c r="S60" s="58"/>
      <c r="T60" s="58"/>
      <c r="U60" s="43">
        <v>2</v>
      </c>
      <c r="V60" s="43"/>
      <c r="W60" s="58"/>
      <c r="X60" s="58"/>
      <c r="Y60" s="59" t="s">
        <v>156</v>
      </c>
      <c r="Z60" s="60">
        <v>2000</v>
      </c>
      <c r="AA60" s="25"/>
      <c r="AB60" s="25"/>
    </row>
    <row r="61" spans="2:28">
      <c r="B61" s="40">
        <v>0.4069444444444445</v>
      </c>
      <c r="C61" s="40" t="s">
        <v>244</v>
      </c>
      <c r="D61" s="41">
        <v>1</v>
      </c>
      <c r="E61" s="42">
        <v>2</v>
      </c>
      <c r="F61" s="42" t="s">
        <v>199</v>
      </c>
      <c r="G61" s="43" t="s">
        <v>159</v>
      </c>
      <c r="H61" s="42" t="s">
        <v>155</v>
      </c>
      <c r="I61" s="43">
        <v>1</v>
      </c>
      <c r="J61" s="43">
        <v>1</v>
      </c>
      <c r="K61" s="25" t="str">
        <f>VLOOKUP(J61,Key!$E$2:$F$9,2,FALSE)</f>
        <v>Home</v>
      </c>
      <c r="L61" s="42" t="s">
        <v>245</v>
      </c>
      <c r="M61" s="43" t="s">
        <v>159</v>
      </c>
      <c r="N61" s="42" t="s">
        <v>155</v>
      </c>
      <c r="O61" s="43">
        <v>9</v>
      </c>
      <c r="P61" s="43">
        <v>2</v>
      </c>
      <c r="Q61" s="25" t="str">
        <f>VLOOKUP(P61,Key!$E$2:$F$9,2,FALSE)</f>
        <v>Work</v>
      </c>
      <c r="R61" s="25" t="str">
        <f t="shared" si="1"/>
        <v>Home-Work</v>
      </c>
      <c r="S61" s="58"/>
      <c r="T61" s="58"/>
      <c r="U61" s="43">
        <v>3</v>
      </c>
      <c r="V61" s="43"/>
      <c r="W61" s="58"/>
      <c r="X61" s="58"/>
      <c r="Y61" s="59" t="s">
        <v>156</v>
      </c>
      <c r="Z61" s="60">
        <v>3000</v>
      </c>
      <c r="AA61" s="25"/>
      <c r="AB61" s="25"/>
    </row>
    <row r="62" spans="2:28">
      <c r="B62" s="40">
        <v>0.40486111111111112</v>
      </c>
      <c r="C62" s="40" t="s">
        <v>246</v>
      </c>
      <c r="D62" s="41">
        <v>2</v>
      </c>
      <c r="E62" s="42">
        <v>2</v>
      </c>
      <c r="F62" s="42" t="s">
        <v>247</v>
      </c>
      <c r="G62" s="43" t="s">
        <v>154</v>
      </c>
      <c r="H62" s="42" t="s">
        <v>155</v>
      </c>
      <c r="I62" s="43">
        <v>1</v>
      </c>
      <c r="J62" s="43">
        <v>1</v>
      </c>
      <c r="K62" s="25" t="str">
        <f>VLOOKUP(J62,Key!$E$2:$F$9,2,FALSE)</f>
        <v>Home</v>
      </c>
      <c r="L62" s="42" t="s">
        <v>248</v>
      </c>
      <c r="M62" s="43" t="s">
        <v>248</v>
      </c>
      <c r="N62" s="42" t="s">
        <v>155</v>
      </c>
      <c r="O62" s="43">
        <v>10</v>
      </c>
      <c r="P62" s="43">
        <v>2</v>
      </c>
      <c r="Q62" s="25" t="str">
        <f>VLOOKUP(P62,Key!$E$2:$F$9,2,FALSE)</f>
        <v>Work</v>
      </c>
      <c r="R62" s="25" t="str">
        <f t="shared" si="1"/>
        <v>Home-Work</v>
      </c>
      <c r="S62" s="58">
        <v>700</v>
      </c>
      <c r="T62" s="58">
        <v>8</v>
      </c>
      <c r="U62" s="43">
        <v>2</v>
      </c>
      <c r="V62" s="43"/>
      <c r="W62" s="58"/>
      <c r="X62" s="58"/>
      <c r="Y62" s="59" t="s">
        <v>156</v>
      </c>
      <c r="Z62" s="60">
        <v>500</v>
      </c>
      <c r="AA62" s="25"/>
      <c r="AB62" s="25"/>
    </row>
    <row r="63" spans="2:28">
      <c r="B63" s="40">
        <v>0.39652777777777781</v>
      </c>
      <c r="C63" s="40" t="s">
        <v>249</v>
      </c>
      <c r="D63" s="41">
        <v>2</v>
      </c>
      <c r="E63" s="42">
        <v>3</v>
      </c>
      <c r="F63" s="42" t="s">
        <v>207</v>
      </c>
      <c r="G63" s="43" t="s">
        <v>154</v>
      </c>
      <c r="H63" s="42" t="s">
        <v>155</v>
      </c>
      <c r="I63" s="43">
        <v>1</v>
      </c>
      <c r="J63" s="43">
        <v>1</v>
      </c>
      <c r="K63" s="25" t="str">
        <f>VLOOKUP(J63,Key!$E$2:$F$9,2,FALSE)</f>
        <v>Home</v>
      </c>
      <c r="L63" s="42" t="s">
        <v>146</v>
      </c>
      <c r="M63" s="43" t="s">
        <v>154</v>
      </c>
      <c r="N63" s="42" t="s">
        <v>155</v>
      </c>
      <c r="O63" s="43">
        <v>2</v>
      </c>
      <c r="P63" s="43">
        <v>2</v>
      </c>
      <c r="Q63" s="25" t="str">
        <f>VLOOKUP(P63,Key!$E$2:$F$9,2,FALSE)</f>
        <v>Work</v>
      </c>
      <c r="R63" s="25" t="str">
        <f t="shared" si="1"/>
        <v>Home-Work</v>
      </c>
      <c r="S63" s="58"/>
      <c r="T63" s="58"/>
      <c r="U63" s="43">
        <v>2</v>
      </c>
      <c r="V63" s="43"/>
      <c r="W63" s="58"/>
      <c r="X63" s="58"/>
      <c r="Y63" s="59" t="s">
        <v>156</v>
      </c>
      <c r="Z63" s="60">
        <v>1000</v>
      </c>
      <c r="AA63" s="25"/>
      <c r="AB63" s="25"/>
    </row>
    <row r="64" spans="2:28">
      <c r="B64" s="40">
        <v>0.40138888888888885</v>
      </c>
      <c r="C64" s="40" t="s">
        <v>250</v>
      </c>
      <c r="D64" s="41">
        <v>8</v>
      </c>
      <c r="E64" s="42">
        <v>2</v>
      </c>
      <c r="F64" s="42" t="s">
        <v>251</v>
      </c>
      <c r="G64" s="43" t="s">
        <v>251</v>
      </c>
      <c r="H64" s="42" t="s">
        <v>155</v>
      </c>
      <c r="I64" s="43">
        <v>9</v>
      </c>
      <c r="J64" s="43">
        <v>4</v>
      </c>
      <c r="K64" s="25" t="str">
        <f>VLOOKUP(J64,Key!$E$2:$F$9,2,FALSE)</f>
        <v>Commercial</v>
      </c>
      <c r="L64" s="42" t="s">
        <v>146</v>
      </c>
      <c r="M64" s="43" t="s">
        <v>154</v>
      </c>
      <c r="N64" s="42" t="s">
        <v>155</v>
      </c>
      <c r="O64" s="43">
        <v>16</v>
      </c>
      <c r="P64" s="43">
        <v>8</v>
      </c>
      <c r="Q64" s="25" t="str">
        <f>VLOOKUP(P64,Key!$E$2:$F$9,2,FALSE)</f>
        <v>Others</v>
      </c>
      <c r="R64" s="25" t="str">
        <f t="shared" si="1"/>
        <v>Commercial-Others</v>
      </c>
      <c r="S64" s="58">
        <v>330</v>
      </c>
      <c r="T64" s="58">
        <v>6</v>
      </c>
      <c r="U64" s="43">
        <v>6</v>
      </c>
      <c r="V64" s="43">
        <v>2</v>
      </c>
      <c r="W64" s="58">
        <v>6</v>
      </c>
      <c r="X64" s="58"/>
      <c r="Y64" s="59" t="s">
        <v>156</v>
      </c>
      <c r="Z64" s="60">
        <v>0</v>
      </c>
      <c r="AA64" s="25"/>
      <c r="AB64" s="25"/>
    </row>
    <row r="65" spans="2:28">
      <c r="B65" s="40">
        <v>0.40277777777777773</v>
      </c>
      <c r="C65" s="40" t="s">
        <v>252</v>
      </c>
      <c r="D65" s="41">
        <v>2</v>
      </c>
      <c r="E65" s="42">
        <v>1</v>
      </c>
      <c r="F65" s="42" t="s">
        <v>184</v>
      </c>
      <c r="G65" s="43" t="s">
        <v>154</v>
      </c>
      <c r="H65" s="42" t="s">
        <v>155</v>
      </c>
      <c r="I65" s="43">
        <v>4</v>
      </c>
      <c r="J65" s="43">
        <v>3</v>
      </c>
      <c r="K65" s="25" t="str">
        <f>VLOOKUP(J65,Key!$E$2:$F$9,2,FALSE)</f>
        <v>Study</v>
      </c>
      <c r="L65" s="42" t="s">
        <v>168</v>
      </c>
      <c r="M65" s="43" t="s">
        <v>154</v>
      </c>
      <c r="N65" s="42" t="s">
        <v>155</v>
      </c>
      <c r="O65" s="43">
        <v>1</v>
      </c>
      <c r="P65" s="43">
        <v>1</v>
      </c>
      <c r="Q65" s="25" t="str">
        <f>VLOOKUP(P65,Key!$E$2:$F$9,2,FALSE)</f>
        <v>Home</v>
      </c>
      <c r="R65" s="25" t="str">
        <f t="shared" si="1"/>
        <v>Study-Home</v>
      </c>
      <c r="S65" s="58"/>
      <c r="T65" s="58"/>
      <c r="U65" s="43">
        <v>2</v>
      </c>
      <c r="V65" s="43"/>
      <c r="W65" s="58"/>
      <c r="X65" s="58"/>
      <c r="Y65" s="59" t="s">
        <v>156</v>
      </c>
      <c r="Z65" s="60">
        <v>0</v>
      </c>
      <c r="AA65" s="25"/>
      <c r="AB65" s="25"/>
    </row>
    <row r="66" spans="2:28">
      <c r="B66" s="40">
        <v>0.38958333333333334</v>
      </c>
      <c r="C66" s="40" t="s">
        <v>253</v>
      </c>
      <c r="D66" s="41">
        <v>1</v>
      </c>
      <c r="E66" s="42">
        <v>1</v>
      </c>
      <c r="F66" s="42" t="s">
        <v>184</v>
      </c>
      <c r="G66" s="43" t="s">
        <v>154</v>
      </c>
      <c r="H66" s="42" t="s">
        <v>155</v>
      </c>
      <c r="I66" s="43">
        <v>1</v>
      </c>
      <c r="J66" s="43">
        <v>1</v>
      </c>
      <c r="K66" s="25" t="str">
        <f>VLOOKUP(J66,Key!$E$2:$F$9,2,FALSE)</f>
        <v>Home</v>
      </c>
      <c r="L66" s="42" t="s">
        <v>254</v>
      </c>
      <c r="M66" s="43" t="s">
        <v>254</v>
      </c>
      <c r="N66" s="42" t="s">
        <v>155</v>
      </c>
      <c r="O66" s="43">
        <v>16</v>
      </c>
      <c r="P66" s="43">
        <v>2</v>
      </c>
      <c r="Q66" s="25" t="str">
        <f>VLOOKUP(P66,Key!$E$2:$F$9,2,FALSE)</f>
        <v>Work</v>
      </c>
      <c r="R66" s="25" t="str">
        <f t="shared" si="1"/>
        <v>Home-Work</v>
      </c>
      <c r="S66" s="58"/>
      <c r="T66" s="58"/>
      <c r="U66" s="43">
        <v>4</v>
      </c>
      <c r="V66" s="43"/>
      <c r="W66" s="58"/>
      <c r="X66" s="58"/>
      <c r="Y66" s="59" t="s">
        <v>156</v>
      </c>
      <c r="Z66" s="60">
        <v>1000</v>
      </c>
      <c r="AA66" s="25"/>
      <c r="AB66" s="25"/>
    </row>
    <row r="67" spans="2:28">
      <c r="B67" s="40">
        <v>0.39166666666666666</v>
      </c>
      <c r="C67" s="40" t="s">
        <v>255</v>
      </c>
      <c r="D67" s="41">
        <v>1</v>
      </c>
      <c r="E67" s="42">
        <v>2</v>
      </c>
      <c r="F67" s="42" t="s">
        <v>184</v>
      </c>
      <c r="G67" s="43" t="s">
        <v>154</v>
      </c>
      <c r="H67" s="42" t="s">
        <v>155</v>
      </c>
      <c r="I67" s="43">
        <v>3</v>
      </c>
      <c r="J67" s="43">
        <v>2</v>
      </c>
      <c r="K67" s="25" t="str">
        <f>VLOOKUP(J67,Key!$E$2:$F$9,2,FALSE)</f>
        <v>Work</v>
      </c>
      <c r="L67" s="42" t="s">
        <v>168</v>
      </c>
      <c r="M67" s="43" t="s">
        <v>154</v>
      </c>
      <c r="N67" s="42" t="s">
        <v>155</v>
      </c>
      <c r="O67" s="43">
        <v>11</v>
      </c>
      <c r="P67" s="43">
        <v>2</v>
      </c>
      <c r="Q67" s="25" t="str">
        <f>VLOOKUP(P67,Key!$E$2:$F$9,2,FALSE)</f>
        <v>Work</v>
      </c>
      <c r="R67" s="25" t="str">
        <f t="shared" si="1"/>
        <v>Work-Work</v>
      </c>
      <c r="S67" s="58"/>
      <c r="T67" s="58"/>
      <c r="U67" s="43">
        <v>3</v>
      </c>
      <c r="V67" s="43"/>
      <c r="W67" s="58"/>
      <c r="X67" s="58"/>
      <c r="Y67" s="59" t="s">
        <v>156</v>
      </c>
      <c r="Z67" s="60">
        <v>1000</v>
      </c>
      <c r="AA67" s="25"/>
      <c r="AB67" s="25"/>
    </row>
    <row r="68" spans="2:28">
      <c r="B68" s="40">
        <v>0.39444444444444443</v>
      </c>
      <c r="C68" s="40" t="s">
        <v>256</v>
      </c>
      <c r="D68" s="41">
        <v>7</v>
      </c>
      <c r="E68" s="42">
        <v>1</v>
      </c>
      <c r="F68" s="42" t="s">
        <v>146</v>
      </c>
      <c r="G68" s="43" t="s">
        <v>154</v>
      </c>
      <c r="H68" s="42" t="s">
        <v>155</v>
      </c>
      <c r="I68" s="43">
        <v>16</v>
      </c>
      <c r="J68" s="43">
        <v>8</v>
      </c>
      <c r="K68" s="25" t="str">
        <f>VLOOKUP(J68,Key!$E$2:$F$9,2,FALSE)</f>
        <v>Others</v>
      </c>
      <c r="L68" s="42" t="s">
        <v>168</v>
      </c>
      <c r="M68" s="43" t="s">
        <v>154</v>
      </c>
      <c r="N68" s="42" t="s">
        <v>155</v>
      </c>
      <c r="O68" s="43">
        <v>10</v>
      </c>
      <c r="P68" s="43">
        <v>2</v>
      </c>
      <c r="Q68" s="25" t="str">
        <f>VLOOKUP(P68,Key!$E$2:$F$9,2,FALSE)</f>
        <v>Work</v>
      </c>
      <c r="R68" s="25" t="str">
        <f t="shared" si="1"/>
        <v>Others-Work</v>
      </c>
      <c r="S68" s="58">
        <v>3</v>
      </c>
      <c r="T68" s="58">
        <v>0.5</v>
      </c>
      <c r="U68" s="43">
        <v>3</v>
      </c>
      <c r="V68" s="43">
        <v>4</v>
      </c>
      <c r="W68" s="58">
        <v>3</v>
      </c>
      <c r="X68" s="58">
        <v>0.15</v>
      </c>
      <c r="Y68" s="59" t="s">
        <v>156</v>
      </c>
      <c r="Z68" s="60">
        <v>0</v>
      </c>
      <c r="AA68" s="25"/>
      <c r="AB68" s="25"/>
    </row>
    <row r="69" spans="2:28">
      <c r="B69" s="40">
        <v>0.38125000000000003</v>
      </c>
      <c r="C69" s="40" t="s">
        <v>257</v>
      </c>
      <c r="D69" s="41">
        <v>7</v>
      </c>
      <c r="E69" s="42">
        <v>1</v>
      </c>
      <c r="F69" s="42" t="s">
        <v>146</v>
      </c>
      <c r="G69" s="43" t="s">
        <v>154</v>
      </c>
      <c r="H69" s="42" t="s">
        <v>155</v>
      </c>
      <c r="I69" s="43">
        <v>16</v>
      </c>
      <c r="J69" s="43">
        <v>8</v>
      </c>
      <c r="K69" s="25" t="str">
        <f>VLOOKUP(J69,Key!$E$2:$F$9,2,FALSE)</f>
        <v>Others</v>
      </c>
      <c r="L69" s="42" t="s">
        <v>147</v>
      </c>
      <c r="M69" s="43" t="s">
        <v>154</v>
      </c>
      <c r="N69" s="42" t="s">
        <v>155</v>
      </c>
      <c r="O69" s="43">
        <v>7</v>
      </c>
      <c r="P69" s="43">
        <v>2</v>
      </c>
      <c r="Q69" s="25" t="str">
        <f>VLOOKUP(P69,Key!$E$2:$F$9,2,FALSE)</f>
        <v>Work</v>
      </c>
      <c r="R69" s="25" t="str">
        <f t="shared" si="1"/>
        <v>Others-Work</v>
      </c>
      <c r="S69" s="58">
        <v>30</v>
      </c>
      <c r="T69" s="58">
        <v>1</v>
      </c>
      <c r="U69" s="43">
        <v>2</v>
      </c>
      <c r="V69" s="43"/>
      <c r="W69" s="58"/>
      <c r="X69" s="58"/>
      <c r="Y69" s="59" t="s">
        <v>156</v>
      </c>
      <c r="Z69" s="60">
        <v>1000</v>
      </c>
      <c r="AA69" s="25"/>
      <c r="AB69" s="25"/>
    </row>
    <row r="70" spans="2:28">
      <c r="B70" s="40">
        <v>0.38680555555555557</v>
      </c>
      <c r="C70" s="40" t="s">
        <v>258</v>
      </c>
      <c r="D70" s="41">
        <v>1</v>
      </c>
      <c r="E70" s="42">
        <v>1</v>
      </c>
      <c r="F70" s="42" t="s">
        <v>259</v>
      </c>
      <c r="G70" s="43" t="s">
        <v>159</v>
      </c>
      <c r="H70" s="42" t="s">
        <v>155</v>
      </c>
      <c r="I70" s="43">
        <v>4</v>
      </c>
      <c r="J70" s="43">
        <v>3</v>
      </c>
      <c r="K70" s="25" t="str">
        <f>VLOOKUP(J70,Key!$E$2:$F$9,2,FALSE)</f>
        <v>Study</v>
      </c>
      <c r="L70" s="42" t="s">
        <v>168</v>
      </c>
      <c r="M70" s="43" t="s">
        <v>154</v>
      </c>
      <c r="N70" s="42" t="s">
        <v>155</v>
      </c>
      <c r="O70" s="43">
        <v>1</v>
      </c>
      <c r="P70" s="43">
        <v>1</v>
      </c>
      <c r="Q70" s="25" t="str">
        <f>VLOOKUP(P70,Key!$E$2:$F$9,2,FALSE)</f>
        <v>Home</v>
      </c>
      <c r="R70" s="25" t="str">
        <f t="shared" si="1"/>
        <v>Study-Home</v>
      </c>
      <c r="S70" s="58">
        <v>10</v>
      </c>
      <c r="T70" s="58">
        <v>0.6</v>
      </c>
      <c r="U70" s="43">
        <v>2</v>
      </c>
      <c r="V70" s="43"/>
      <c r="W70" s="58"/>
      <c r="X70" s="58"/>
      <c r="Y70" s="59" t="s">
        <v>156</v>
      </c>
      <c r="Z70" s="60">
        <v>2000</v>
      </c>
      <c r="AA70" s="25"/>
      <c r="AB70" s="25"/>
    </row>
    <row r="71" spans="2:28">
      <c r="B71" s="40">
        <v>0.37152777777777773</v>
      </c>
      <c r="C71" s="40" t="s">
        <v>260</v>
      </c>
      <c r="D71" s="41">
        <v>4</v>
      </c>
      <c r="E71" s="42">
        <v>16</v>
      </c>
      <c r="F71" s="42" t="s">
        <v>146</v>
      </c>
      <c r="G71" s="43" t="s">
        <v>154</v>
      </c>
      <c r="H71" s="42" t="s">
        <v>155</v>
      </c>
      <c r="I71" s="43">
        <v>16</v>
      </c>
      <c r="J71" s="43">
        <v>2</v>
      </c>
      <c r="K71" s="25" t="str">
        <f>VLOOKUP(J71,Key!$E$2:$F$9,2,FALSE)</f>
        <v>Work</v>
      </c>
      <c r="L71" s="42" t="s">
        <v>147</v>
      </c>
      <c r="M71" s="43" t="s">
        <v>154</v>
      </c>
      <c r="N71" s="42" t="s">
        <v>155</v>
      </c>
      <c r="O71" s="43">
        <v>6</v>
      </c>
      <c r="P71" s="43">
        <v>2</v>
      </c>
      <c r="Q71" s="25" t="str">
        <f>VLOOKUP(P71,Key!$E$2:$F$9,2,FALSE)</f>
        <v>Work</v>
      </c>
      <c r="R71" s="25" t="str">
        <f t="shared" si="1"/>
        <v>Work-Work</v>
      </c>
      <c r="S71" s="58">
        <v>9.5</v>
      </c>
      <c r="T71" s="58">
        <v>0.2</v>
      </c>
      <c r="U71" s="43">
        <v>1</v>
      </c>
      <c r="V71" s="43"/>
      <c r="W71" s="58"/>
      <c r="X71" s="58"/>
      <c r="Y71" s="59" t="s">
        <v>156</v>
      </c>
      <c r="Z71" s="60">
        <v>0</v>
      </c>
      <c r="AA71" s="25"/>
      <c r="AB71" s="25"/>
    </row>
    <row r="72" spans="2:28">
      <c r="B72" s="40">
        <v>0.37777777777777777</v>
      </c>
      <c r="C72" s="40" t="s">
        <v>261</v>
      </c>
      <c r="D72" s="41">
        <v>1</v>
      </c>
      <c r="E72" s="42">
        <v>1</v>
      </c>
      <c r="F72" s="42" t="s">
        <v>262</v>
      </c>
      <c r="G72" s="43" t="s">
        <v>262</v>
      </c>
      <c r="H72" s="42" t="s">
        <v>155</v>
      </c>
      <c r="I72" s="43">
        <v>1</v>
      </c>
      <c r="J72" s="43">
        <v>1</v>
      </c>
      <c r="K72" s="25" t="str">
        <f>VLOOKUP(J72,Key!$E$2:$F$9,2,FALSE)</f>
        <v>Home</v>
      </c>
      <c r="L72" s="42" t="s">
        <v>192</v>
      </c>
      <c r="M72" s="43" t="s">
        <v>192</v>
      </c>
      <c r="N72" s="42" t="s">
        <v>155</v>
      </c>
      <c r="O72" s="43">
        <v>1</v>
      </c>
      <c r="P72" s="43">
        <v>1</v>
      </c>
      <c r="Q72" s="25" t="str">
        <f>VLOOKUP(P72,Key!$E$2:$F$9,2,FALSE)</f>
        <v>Home</v>
      </c>
      <c r="R72" s="25" t="str">
        <f t="shared" si="1"/>
        <v>Home-Home</v>
      </c>
      <c r="S72" s="58"/>
      <c r="T72" s="58">
        <v>2.5</v>
      </c>
      <c r="U72" s="43">
        <v>6</v>
      </c>
      <c r="V72" s="43"/>
      <c r="W72" s="58"/>
      <c r="X72" s="58"/>
      <c r="Y72" s="59" t="s">
        <v>156</v>
      </c>
      <c r="Z72" s="60">
        <v>10000</v>
      </c>
      <c r="AA72" s="25"/>
      <c r="AB72" s="25"/>
    </row>
    <row r="73" spans="2:28">
      <c r="B73" s="40">
        <v>0.36527777777777781</v>
      </c>
      <c r="C73" s="40" t="s">
        <v>263</v>
      </c>
      <c r="D73" s="41">
        <v>2</v>
      </c>
      <c r="E73" s="42">
        <v>1</v>
      </c>
      <c r="F73" s="42" t="s">
        <v>146</v>
      </c>
      <c r="G73" s="43" t="s">
        <v>154</v>
      </c>
      <c r="H73" s="42" t="s">
        <v>155</v>
      </c>
      <c r="I73" s="43">
        <v>1</v>
      </c>
      <c r="J73" s="43">
        <v>1</v>
      </c>
      <c r="K73" s="25" t="str">
        <f>VLOOKUP(J73,Key!$E$2:$F$9,2,FALSE)</f>
        <v>Home</v>
      </c>
      <c r="L73" s="42" t="s">
        <v>168</v>
      </c>
      <c r="M73" s="43" t="s">
        <v>154</v>
      </c>
      <c r="N73" s="42" t="s">
        <v>155</v>
      </c>
      <c r="O73" s="43">
        <v>4</v>
      </c>
      <c r="P73" s="43">
        <v>3</v>
      </c>
      <c r="Q73" s="25" t="str">
        <f>VLOOKUP(P73,Key!$E$2:$F$9,2,FALSE)</f>
        <v>Study</v>
      </c>
      <c r="R73" s="25" t="str">
        <f t="shared" si="1"/>
        <v>Home-Study</v>
      </c>
      <c r="S73" s="58">
        <v>4</v>
      </c>
      <c r="T73" s="58">
        <v>0.1</v>
      </c>
      <c r="U73" s="43">
        <v>6</v>
      </c>
      <c r="V73" s="43"/>
      <c r="W73" s="58"/>
      <c r="X73" s="58"/>
      <c r="Y73" s="59" t="s">
        <v>156</v>
      </c>
      <c r="Z73" s="60">
        <v>1000</v>
      </c>
      <c r="AA73" s="25"/>
      <c r="AB73" s="25"/>
    </row>
    <row r="74" spans="2:28">
      <c r="B74" s="40">
        <v>0.36805555555555558</v>
      </c>
      <c r="C74" s="40" t="s">
        <v>264</v>
      </c>
      <c r="D74" s="41">
        <v>2</v>
      </c>
      <c r="E74" s="42">
        <v>2</v>
      </c>
      <c r="F74" s="42" t="s">
        <v>159</v>
      </c>
      <c r="G74" s="43" t="s">
        <v>159</v>
      </c>
      <c r="H74" s="42" t="s">
        <v>155</v>
      </c>
      <c r="I74" s="43">
        <v>1</v>
      </c>
      <c r="J74" s="43">
        <v>1</v>
      </c>
      <c r="K74" s="25" t="str">
        <f>VLOOKUP(J74,Key!$E$2:$F$9,2,FALSE)</f>
        <v>Home</v>
      </c>
      <c r="L74" s="42" t="s">
        <v>265</v>
      </c>
      <c r="M74" s="43" t="s">
        <v>266</v>
      </c>
      <c r="N74" s="42" t="s">
        <v>155</v>
      </c>
      <c r="O74" s="43">
        <v>10</v>
      </c>
      <c r="P74" s="43">
        <v>2</v>
      </c>
      <c r="Q74" s="25" t="str">
        <f>VLOOKUP(P74,Key!$E$2:$F$9,2,FALSE)</f>
        <v>Work</v>
      </c>
      <c r="R74" s="25" t="str">
        <f t="shared" si="1"/>
        <v>Home-Work</v>
      </c>
      <c r="S74" s="58">
        <v>250</v>
      </c>
      <c r="T74" s="58">
        <v>4</v>
      </c>
      <c r="U74" s="43">
        <v>2</v>
      </c>
      <c r="V74" s="43"/>
      <c r="W74" s="58"/>
      <c r="X74" s="58"/>
      <c r="Y74" s="59" t="s">
        <v>156</v>
      </c>
      <c r="Z74" s="60">
        <v>1000</v>
      </c>
      <c r="AA74" s="25"/>
      <c r="AB74" s="25"/>
    </row>
    <row r="75" spans="2:28">
      <c r="B75" s="40">
        <v>0.36319444444444443</v>
      </c>
      <c r="C75" s="40" t="s">
        <v>267</v>
      </c>
      <c r="D75" s="41">
        <v>1</v>
      </c>
      <c r="E75" s="42">
        <v>4</v>
      </c>
      <c r="F75" s="42" t="s">
        <v>268</v>
      </c>
      <c r="G75" s="43" t="s">
        <v>154</v>
      </c>
      <c r="H75" s="42" t="s">
        <v>155</v>
      </c>
      <c r="I75" s="43">
        <v>1</v>
      </c>
      <c r="J75" s="43">
        <v>1</v>
      </c>
      <c r="K75" s="25" t="str">
        <f>VLOOKUP(J75,Key!$E$2:$F$9,2,FALSE)</f>
        <v>Home</v>
      </c>
      <c r="L75" s="42" t="s">
        <v>269</v>
      </c>
      <c r="M75" s="43" t="s">
        <v>269</v>
      </c>
      <c r="N75" s="42" t="s">
        <v>155</v>
      </c>
      <c r="O75" s="43">
        <v>9</v>
      </c>
      <c r="P75" s="43">
        <v>2</v>
      </c>
      <c r="Q75" s="25" t="str">
        <f>VLOOKUP(P75,Key!$E$2:$F$9,2,FALSE)</f>
        <v>Work</v>
      </c>
      <c r="R75" s="25" t="str">
        <f t="shared" si="1"/>
        <v>Home-Work</v>
      </c>
      <c r="S75" s="58">
        <v>9</v>
      </c>
      <c r="T75" s="58">
        <v>0.1</v>
      </c>
      <c r="U75" s="43">
        <v>1</v>
      </c>
      <c r="V75" s="43"/>
      <c r="W75" s="58"/>
      <c r="X75" s="58"/>
      <c r="Y75" s="59" t="s">
        <v>156</v>
      </c>
      <c r="Z75" s="60">
        <v>1000</v>
      </c>
      <c r="AA75" s="25"/>
      <c r="AB75" s="25"/>
    </row>
    <row r="76" spans="2:28">
      <c r="B76" s="40">
        <v>0.35972222222222222</v>
      </c>
      <c r="C76" s="40" t="s">
        <v>270</v>
      </c>
      <c r="D76" s="41">
        <v>1</v>
      </c>
      <c r="E76" s="42">
        <v>1</v>
      </c>
      <c r="F76" s="42" t="s">
        <v>184</v>
      </c>
      <c r="G76" s="43" t="s">
        <v>154</v>
      </c>
      <c r="H76" s="42" t="s">
        <v>155</v>
      </c>
      <c r="I76" s="43">
        <v>1</v>
      </c>
      <c r="J76" s="43">
        <v>1</v>
      </c>
      <c r="K76" s="25" t="str">
        <f>VLOOKUP(J76,Key!$E$2:$F$9,2,FALSE)</f>
        <v>Home</v>
      </c>
      <c r="L76" s="42" t="s">
        <v>154</v>
      </c>
      <c r="M76" s="43" t="s">
        <v>154</v>
      </c>
      <c r="N76" s="42" t="s">
        <v>155</v>
      </c>
      <c r="O76" s="43">
        <v>2</v>
      </c>
      <c r="P76" s="43">
        <v>2</v>
      </c>
      <c r="Q76" s="25" t="str">
        <f>VLOOKUP(P76,Key!$E$2:$F$9,2,FALSE)</f>
        <v>Work</v>
      </c>
      <c r="R76" s="25" t="str">
        <f t="shared" si="1"/>
        <v>Home-Work</v>
      </c>
      <c r="S76" s="58">
        <v>3</v>
      </c>
      <c r="T76" s="58">
        <v>0.1</v>
      </c>
      <c r="U76" s="43">
        <v>6</v>
      </c>
      <c r="V76" s="43"/>
      <c r="W76" s="58"/>
      <c r="X76" s="58"/>
      <c r="Y76" s="59" t="s">
        <v>156</v>
      </c>
      <c r="Z76" s="60">
        <v>0</v>
      </c>
      <c r="AA76" s="25"/>
      <c r="AB76" s="25"/>
    </row>
    <row r="77" spans="2:28">
      <c r="B77" s="40">
        <v>0.35625000000000001</v>
      </c>
      <c r="C77" s="40" t="s">
        <v>271</v>
      </c>
      <c r="D77" s="41">
        <v>1</v>
      </c>
      <c r="E77" s="42">
        <v>2</v>
      </c>
      <c r="F77" s="42" t="s">
        <v>209</v>
      </c>
      <c r="G77" s="43" t="s">
        <v>154</v>
      </c>
      <c r="H77" s="42" t="s">
        <v>155</v>
      </c>
      <c r="I77" s="43">
        <v>1</v>
      </c>
      <c r="J77" s="43">
        <v>1</v>
      </c>
      <c r="K77" s="25" t="str">
        <f>VLOOKUP(J77,Key!$E$2:$F$9,2,FALSE)</f>
        <v>Home</v>
      </c>
      <c r="L77" s="42" t="s">
        <v>202</v>
      </c>
      <c r="M77" s="43" t="s">
        <v>202</v>
      </c>
      <c r="N77" s="42" t="s">
        <v>155</v>
      </c>
      <c r="O77" s="43">
        <v>9</v>
      </c>
      <c r="P77" s="43">
        <v>2</v>
      </c>
      <c r="Q77" s="25" t="str">
        <f>VLOOKUP(P77,Key!$E$2:$F$9,2,FALSE)</f>
        <v>Work</v>
      </c>
      <c r="R77" s="25" t="str">
        <f t="shared" si="1"/>
        <v>Home-Work</v>
      </c>
      <c r="S77" s="58"/>
      <c r="T77" s="58">
        <v>1</v>
      </c>
      <c r="U77" s="43">
        <v>2</v>
      </c>
      <c r="V77" s="43"/>
      <c r="W77" s="58"/>
      <c r="X77" s="58"/>
      <c r="Y77" s="59" t="s">
        <v>156</v>
      </c>
      <c r="Z77" s="60">
        <v>100</v>
      </c>
      <c r="AA77" s="25"/>
      <c r="AB77" s="25"/>
    </row>
    <row r="78" spans="2:28">
      <c r="B78" s="40">
        <v>0.35069444444444442</v>
      </c>
      <c r="C78" s="40" t="s">
        <v>272</v>
      </c>
      <c r="D78" s="41">
        <v>1</v>
      </c>
      <c r="E78" s="42">
        <v>1</v>
      </c>
      <c r="F78" s="42" t="s">
        <v>184</v>
      </c>
      <c r="G78" s="43" t="s">
        <v>154</v>
      </c>
      <c r="H78" s="42" t="s">
        <v>155</v>
      </c>
      <c r="I78" s="43">
        <v>1</v>
      </c>
      <c r="J78" s="43">
        <v>1</v>
      </c>
      <c r="K78" s="25" t="str">
        <f>VLOOKUP(J78,Key!$E$2:$F$9,2,FALSE)</f>
        <v>Home</v>
      </c>
      <c r="L78" s="42" t="s">
        <v>254</v>
      </c>
      <c r="M78" s="43" t="s">
        <v>254</v>
      </c>
      <c r="N78" s="42" t="s">
        <v>155</v>
      </c>
      <c r="O78" s="43">
        <v>2</v>
      </c>
      <c r="P78" s="43">
        <v>2</v>
      </c>
      <c r="Q78" s="25" t="str">
        <f>VLOOKUP(P78,Key!$E$2:$F$9,2,FALSE)</f>
        <v>Work</v>
      </c>
      <c r="R78" s="25" t="str">
        <f t="shared" si="1"/>
        <v>Home-Work</v>
      </c>
      <c r="S78" s="58">
        <v>78</v>
      </c>
      <c r="T78" s="58">
        <v>1.5</v>
      </c>
      <c r="U78" s="43">
        <v>2</v>
      </c>
      <c r="V78" s="43"/>
      <c r="W78" s="58"/>
      <c r="X78" s="58"/>
      <c r="Y78" s="59" t="s">
        <v>156</v>
      </c>
      <c r="Z78" s="60">
        <v>0</v>
      </c>
      <c r="AA78" s="25"/>
      <c r="AB78" s="25"/>
    </row>
    <row r="79" spans="2:28">
      <c r="B79" s="40">
        <v>0.35069444444444442</v>
      </c>
      <c r="C79" s="40" t="s">
        <v>273</v>
      </c>
      <c r="D79" s="41">
        <v>2</v>
      </c>
      <c r="E79" s="42">
        <v>1</v>
      </c>
      <c r="F79" s="42" t="s">
        <v>268</v>
      </c>
      <c r="G79" s="43" t="s">
        <v>154</v>
      </c>
      <c r="H79" s="42" t="s">
        <v>155</v>
      </c>
      <c r="I79" s="43">
        <v>4</v>
      </c>
      <c r="J79" s="43">
        <v>3</v>
      </c>
      <c r="K79" s="25" t="str">
        <f>VLOOKUP(J79,Key!$E$2:$F$9,2,FALSE)</f>
        <v>Study</v>
      </c>
      <c r="L79" s="42" t="s">
        <v>168</v>
      </c>
      <c r="M79" s="43" t="s">
        <v>154</v>
      </c>
      <c r="N79" s="42" t="s">
        <v>155</v>
      </c>
      <c r="O79" s="43">
        <v>1</v>
      </c>
      <c r="P79" s="43">
        <v>1</v>
      </c>
      <c r="Q79" s="25" t="str">
        <f>VLOOKUP(P79,Key!$E$2:$F$9,2,FALSE)</f>
        <v>Home</v>
      </c>
      <c r="R79" s="25" t="str">
        <f t="shared" si="1"/>
        <v>Study-Home</v>
      </c>
      <c r="S79" s="58">
        <v>10</v>
      </c>
      <c r="T79" s="58">
        <v>0.1</v>
      </c>
      <c r="U79" s="43">
        <v>1</v>
      </c>
      <c r="V79" s="43"/>
      <c r="W79" s="58"/>
      <c r="X79" s="58"/>
      <c r="Y79" s="59" t="s">
        <v>156</v>
      </c>
      <c r="Z79" s="60">
        <v>500</v>
      </c>
      <c r="AA79" s="25"/>
      <c r="AB79" s="25"/>
    </row>
    <row r="80" spans="2:28">
      <c r="B80" s="40">
        <v>0.35347222222222219</v>
      </c>
      <c r="C80" s="40" t="s">
        <v>274</v>
      </c>
      <c r="D80" s="41">
        <v>9</v>
      </c>
      <c r="E80" s="42">
        <v>2</v>
      </c>
      <c r="F80" s="42" t="s">
        <v>146</v>
      </c>
      <c r="G80" s="43" t="s">
        <v>154</v>
      </c>
      <c r="H80" s="42" t="s">
        <v>155</v>
      </c>
      <c r="I80" s="43">
        <v>16</v>
      </c>
      <c r="J80" s="43">
        <v>8</v>
      </c>
      <c r="K80" s="25" t="str">
        <f>VLOOKUP(J80,Key!$E$2:$F$9,2,FALSE)</f>
        <v>Others</v>
      </c>
      <c r="L80" s="42" t="s">
        <v>201</v>
      </c>
      <c r="M80" s="43" t="s">
        <v>202</v>
      </c>
      <c r="N80" s="42" t="s">
        <v>155</v>
      </c>
      <c r="O80" s="43">
        <v>15</v>
      </c>
      <c r="P80" s="43">
        <v>2</v>
      </c>
      <c r="Q80" s="25" t="str">
        <f>VLOOKUP(P80,Key!$E$2:$F$9,2,FALSE)</f>
        <v>Work</v>
      </c>
      <c r="R80" s="25" t="str">
        <f t="shared" si="1"/>
        <v>Others-Work</v>
      </c>
      <c r="S80" s="58"/>
      <c r="T80" s="58"/>
      <c r="U80" s="43">
        <v>2</v>
      </c>
      <c r="V80" s="43"/>
      <c r="W80" s="58"/>
      <c r="X80" s="58"/>
      <c r="Y80" s="59" t="s">
        <v>156</v>
      </c>
      <c r="Z80" s="60">
        <v>1000</v>
      </c>
      <c r="AA80" s="25"/>
      <c r="AB80" s="25"/>
    </row>
    <row r="81" spans="2:28">
      <c r="B81" s="40">
        <v>0.34652777777777777</v>
      </c>
      <c r="C81" s="40" t="s">
        <v>181</v>
      </c>
      <c r="D81" s="41">
        <v>7</v>
      </c>
      <c r="E81" s="42">
        <v>1</v>
      </c>
      <c r="F81" s="42" t="s">
        <v>146</v>
      </c>
      <c r="G81" s="43" t="s">
        <v>154</v>
      </c>
      <c r="H81" s="42" t="s">
        <v>155</v>
      </c>
      <c r="I81" s="43">
        <v>1</v>
      </c>
      <c r="J81" s="43">
        <v>1</v>
      </c>
      <c r="K81" s="25" t="str">
        <f>VLOOKUP(J81,Key!$E$2:$F$9,2,FALSE)</f>
        <v>Home</v>
      </c>
      <c r="L81" s="42" t="s">
        <v>168</v>
      </c>
      <c r="M81" s="43" t="s">
        <v>154</v>
      </c>
      <c r="N81" s="42" t="s">
        <v>155</v>
      </c>
      <c r="O81" s="43">
        <v>16</v>
      </c>
      <c r="P81" s="43">
        <v>8</v>
      </c>
      <c r="Q81" s="25" t="str">
        <f>VLOOKUP(P81,Key!$E$2:$F$9,2,FALSE)</f>
        <v>Others</v>
      </c>
      <c r="R81" s="25" t="str">
        <f t="shared" si="1"/>
        <v>Home-Others</v>
      </c>
      <c r="S81" s="58"/>
      <c r="T81" s="58"/>
      <c r="U81" s="43">
        <v>1</v>
      </c>
      <c r="V81" s="43"/>
      <c r="W81" s="58"/>
      <c r="X81" s="58"/>
      <c r="Y81" s="59" t="s">
        <v>156</v>
      </c>
      <c r="Z81" s="60">
        <v>1000</v>
      </c>
      <c r="AA81" s="25"/>
      <c r="AB81" s="25"/>
    </row>
    <row r="82" spans="2:28">
      <c r="B82" s="40">
        <v>0.34236111111111112</v>
      </c>
      <c r="C82" s="40" t="s">
        <v>275</v>
      </c>
      <c r="D82" s="41">
        <v>2</v>
      </c>
      <c r="E82" s="42">
        <v>4</v>
      </c>
      <c r="F82" s="42" t="s">
        <v>209</v>
      </c>
      <c r="G82" s="43" t="s">
        <v>154</v>
      </c>
      <c r="H82" s="42" t="s">
        <v>155</v>
      </c>
      <c r="I82" s="43">
        <v>1</v>
      </c>
      <c r="J82" s="43">
        <v>1</v>
      </c>
      <c r="K82" s="25" t="str">
        <f>VLOOKUP(J82,Key!$E$2:$F$9,2,FALSE)</f>
        <v>Home</v>
      </c>
      <c r="L82" s="42" t="s">
        <v>154</v>
      </c>
      <c r="M82" s="43" t="s">
        <v>154</v>
      </c>
      <c r="N82" s="42" t="s">
        <v>155</v>
      </c>
      <c r="O82" s="43">
        <v>10</v>
      </c>
      <c r="P82" s="43">
        <v>2</v>
      </c>
      <c r="Q82" s="25" t="str">
        <f>VLOOKUP(P82,Key!$E$2:$F$9,2,FALSE)</f>
        <v>Work</v>
      </c>
      <c r="R82" s="25" t="str">
        <f t="shared" si="1"/>
        <v>Home-Work</v>
      </c>
      <c r="S82" s="58"/>
      <c r="T82" s="58"/>
      <c r="U82" s="43">
        <v>3</v>
      </c>
      <c r="V82" s="43"/>
      <c r="W82" s="58"/>
      <c r="X82" s="58"/>
      <c r="Y82" s="59" t="s">
        <v>156</v>
      </c>
      <c r="Z82" s="60">
        <v>500</v>
      </c>
      <c r="AA82" s="25"/>
      <c r="AB82" s="25"/>
    </row>
    <row r="83" spans="2:28">
      <c r="B83" s="40">
        <v>0.4861111111111111</v>
      </c>
      <c r="C83" s="40" t="s">
        <v>276</v>
      </c>
      <c r="D83" s="41">
        <v>4</v>
      </c>
      <c r="E83" s="42">
        <v>16</v>
      </c>
      <c r="F83" s="42" t="s">
        <v>146</v>
      </c>
      <c r="G83" s="43" t="s">
        <v>154</v>
      </c>
      <c r="H83" s="42" t="s">
        <v>155</v>
      </c>
      <c r="I83" s="43">
        <v>6</v>
      </c>
      <c r="J83" s="43">
        <v>4</v>
      </c>
      <c r="K83" s="25" t="str">
        <f>VLOOKUP(J83,Key!$E$2:$F$9,2,FALSE)</f>
        <v>Commercial</v>
      </c>
      <c r="L83" s="42" t="s">
        <v>147</v>
      </c>
      <c r="M83" s="43" t="s">
        <v>154</v>
      </c>
      <c r="N83" s="42" t="s">
        <v>155</v>
      </c>
      <c r="O83" s="43">
        <v>6</v>
      </c>
      <c r="P83" s="43">
        <v>4</v>
      </c>
      <c r="Q83" s="25" t="str">
        <f>VLOOKUP(P83,Key!$E$2:$F$9,2,FALSE)</f>
        <v>Commercial</v>
      </c>
      <c r="R83" s="25" t="str">
        <f t="shared" si="1"/>
        <v>Commercial-Commercial</v>
      </c>
      <c r="S83" s="58"/>
      <c r="T83" s="58"/>
      <c r="U83" s="43">
        <v>2</v>
      </c>
      <c r="V83" s="43"/>
      <c r="W83" s="58"/>
      <c r="X83" s="58"/>
      <c r="Y83" s="59" t="s">
        <v>156</v>
      </c>
      <c r="Z83" s="60">
        <v>2000</v>
      </c>
      <c r="AA83" s="25"/>
      <c r="AB83" s="25"/>
    </row>
    <row r="84" spans="2:28">
      <c r="B84" s="40">
        <v>0.48402777777777778</v>
      </c>
      <c r="C84" s="40" t="s">
        <v>277</v>
      </c>
      <c r="D84" s="41">
        <v>1</v>
      </c>
      <c r="E84" s="42">
        <v>2</v>
      </c>
      <c r="F84" s="42" t="s">
        <v>278</v>
      </c>
      <c r="G84" s="43" t="s">
        <v>154</v>
      </c>
      <c r="H84" s="42" t="s">
        <v>155</v>
      </c>
      <c r="I84" s="43">
        <v>1</v>
      </c>
      <c r="J84" s="43">
        <v>1</v>
      </c>
      <c r="K84" s="25" t="str">
        <f>VLOOKUP(J84,Key!$E$2:$F$9,2,FALSE)</f>
        <v>Home</v>
      </c>
      <c r="L84" s="42" t="s">
        <v>265</v>
      </c>
      <c r="M84" s="43" t="s">
        <v>266</v>
      </c>
      <c r="N84" s="42" t="s">
        <v>155</v>
      </c>
      <c r="O84" s="43">
        <v>2</v>
      </c>
      <c r="P84" s="43">
        <v>2</v>
      </c>
      <c r="Q84" s="25" t="str">
        <f>VLOOKUP(P84,Key!$E$2:$F$9,2,FALSE)</f>
        <v>Work</v>
      </c>
      <c r="R84" s="25" t="str">
        <f t="shared" si="1"/>
        <v>Home-Work</v>
      </c>
      <c r="S84" s="58">
        <v>267</v>
      </c>
      <c r="T84" s="58">
        <v>4</v>
      </c>
      <c r="U84" s="43">
        <v>3</v>
      </c>
      <c r="V84" s="43"/>
      <c r="W84" s="58"/>
      <c r="X84" s="58"/>
      <c r="Y84" s="59" t="s">
        <v>156</v>
      </c>
      <c r="Z84" s="60">
        <v>1000</v>
      </c>
      <c r="AA84" s="25"/>
      <c r="AB84" s="25"/>
    </row>
    <row r="85" spans="2:28">
      <c r="B85" s="40">
        <v>0.45624999999999999</v>
      </c>
      <c r="C85" s="40" t="s">
        <v>279</v>
      </c>
      <c r="D85" s="41">
        <v>1</v>
      </c>
      <c r="E85" s="42">
        <v>6</v>
      </c>
      <c r="F85" s="42" t="s">
        <v>199</v>
      </c>
      <c r="G85" s="43" t="s">
        <v>159</v>
      </c>
      <c r="H85" s="42" t="s">
        <v>155</v>
      </c>
      <c r="I85" s="43">
        <v>1</v>
      </c>
      <c r="J85" s="43">
        <v>1</v>
      </c>
      <c r="K85" s="25" t="str">
        <f>VLOOKUP(J85,Key!$E$2:$F$9,2,FALSE)</f>
        <v>Home</v>
      </c>
      <c r="L85" s="42" t="s">
        <v>233</v>
      </c>
      <c r="M85" s="43" t="s">
        <v>159</v>
      </c>
      <c r="N85" s="42" t="s">
        <v>155</v>
      </c>
      <c r="O85" s="43">
        <v>2</v>
      </c>
      <c r="P85" s="43">
        <v>2</v>
      </c>
      <c r="Q85" s="25" t="str">
        <f>VLOOKUP(P85,Key!$E$2:$F$9,2,FALSE)</f>
        <v>Work</v>
      </c>
      <c r="R85" s="25" t="str">
        <f t="shared" si="1"/>
        <v>Home-Work</v>
      </c>
      <c r="S85" s="58"/>
      <c r="T85" s="58">
        <v>1</v>
      </c>
      <c r="U85" s="43">
        <v>2</v>
      </c>
      <c r="V85" s="43"/>
      <c r="W85" s="58"/>
      <c r="X85" s="58"/>
      <c r="Y85" s="59" t="s">
        <v>156</v>
      </c>
      <c r="Z85" s="60">
        <v>2000</v>
      </c>
      <c r="AA85" s="25"/>
      <c r="AB85" s="25"/>
    </row>
    <row r="86" spans="2:28">
      <c r="B86" s="40">
        <v>0.4548611111111111</v>
      </c>
      <c r="C86" s="40" t="s">
        <v>280</v>
      </c>
      <c r="D86" s="41">
        <v>7</v>
      </c>
      <c r="E86" s="42">
        <v>2</v>
      </c>
      <c r="F86" s="42" t="s">
        <v>146</v>
      </c>
      <c r="G86" s="43" t="s">
        <v>154</v>
      </c>
      <c r="H86" s="42" t="s">
        <v>155</v>
      </c>
      <c r="I86" s="43">
        <v>14</v>
      </c>
      <c r="J86" s="43">
        <v>4</v>
      </c>
      <c r="K86" s="25" t="str">
        <f>VLOOKUP(J86,Key!$E$2:$F$9,2,FALSE)</f>
        <v>Commercial</v>
      </c>
      <c r="L86" s="42" t="s">
        <v>281</v>
      </c>
      <c r="M86" s="43" t="s">
        <v>154</v>
      </c>
      <c r="N86" s="42" t="s">
        <v>155</v>
      </c>
      <c r="O86" s="43">
        <v>10</v>
      </c>
      <c r="P86" s="43">
        <v>4</v>
      </c>
      <c r="Q86" s="25" t="str">
        <f>VLOOKUP(P86,Key!$E$2:$F$9,2,FALSE)</f>
        <v>Commercial</v>
      </c>
      <c r="R86" s="25" t="str">
        <f t="shared" si="1"/>
        <v>Commercial-Commercial</v>
      </c>
      <c r="S86" s="58">
        <v>2</v>
      </c>
      <c r="T86" s="58">
        <v>0.1</v>
      </c>
      <c r="U86" s="43">
        <v>2</v>
      </c>
      <c r="V86" s="43"/>
      <c r="W86" s="58"/>
      <c r="X86" s="58"/>
      <c r="Y86" s="59" t="s">
        <v>156</v>
      </c>
      <c r="Z86" s="60">
        <v>1000</v>
      </c>
      <c r="AA86" s="25"/>
      <c r="AB86" s="25"/>
    </row>
    <row r="87" spans="2:28">
      <c r="B87" s="40">
        <v>0.48958333333333331</v>
      </c>
      <c r="C87" s="40" t="s">
        <v>282</v>
      </c>
      <c r="D87" s="41">
        <v>4</v>
      </c>
      <c r="E87" s="42">
        <v>1</v>
      </c>
      <c r="F87" s="42" t="s">
        <v>146</v>
      </c>
      <c r="G87" s="43" t="s">
        <v>154</v>
      </c>
      <c r="H87" s="42" t="s">
        <v>155</v>
      </c>
      <c r="I87" s="43">
        <v>6</v>
      </c>
      <c r="J87" s="43">
        <v>4</v>
      </c>
      <c r="K87" s="25" t="str">
        <f>VLOOKUP(J87,Key!$E$2:$F$9,2,FALSE)</f>
        <v>Commercial</v>
      </c>
      <c r="L87" s="42" t="s">
        <v>168</v>
      </c>
      <c r="M87" s="43" t="s">
        <v>154</v>
      </c>
      <c r="N87" s="42" t="s">
        <v>155</v>
      </c>
      <c r="O87" s="43">
        <v>16</v>
      </c>
      <c r="P87" s="43">
        <v>8</v>
      </c>
      <c r="Q87" s="25" t="str">
        <f>VLOOKUP(P87,Key!$E$2:$F$9,2,FALSE)</f>
        <v>Others</v>
      </c>
      <c r="R87" s="25" t="str">
        <f t="shared" si="1"/>
        <v>Commercial-Others</v>
      </c>
      <c r="S87" s="58">
        <v>1</v>
      </c>
      <c r="T87" s="58">
        <v>0.1</v>
      </c>
      <c r="U87" s="43">
        <v>2</v>
      </c>
      <c r="V87" s="43"/>
      <c r="W87" s="58"/>
      <c r="X87" s="58"/>
      <c r="Y87" s="59" t="s">
        <v>156</v>
      </c>
      <c r="Z87" s="60">
        <v>1000</v>
      </c>
      <c r="AA87" s="25"/>
      <c r="AB87" s="25"/>
    </row>
    <row r="88" spans="2:28">
      <c r="B88" s="40">
        <v>0.49305555555555558</v>
      </c>
      <c r="C88" s="40" t="s">
        <v>283</v>
      </c>
      <c r="D88" s="41">
        <v>1</v>
      </c>
      <c r="E88" s="42">
        <v>2</v>
      </c>
      <c r="F88" s="42" t="s">
        <v>146</v>
      </c>
      <c r="G88" s="43" t="s">
        <v>154</v>
      </c>
      <c r="H88" s="42" t="s">
        <v>155</v>
      </c>
      <c r="I88" s="43">
        <v>16</v>
      </c>
      <c r="J88" s="43">
        <v>8</v>
      </c>
      <c r="K88" s="25" t="str">
        <f>VLOOKUP(J88,Key!$E$2:$F$9,2,FALSE)</f>
        <v>Others</v>
      </c>
      <c r="L88" s="42" t="s">
        <v>245</v>
      </c>
      <c r="M88" s="43" t="s">
        <v>154</v>
      </c>
      <c r="N88" s="42" t="s">
        <v>155</v>
      </c>
      <c r="O88" s="43">
        <v>1</v>
      </c>
      <c r="P88" s="43">
        <v>1</v>
      </c>
      <c r="Q88" s="25" t="str">
        <f>VLOOKUP(P88,Key!$E$2:$F$9,2,FALSE)</f>
        <v>Home</v>
      </c>
      <c r="R88" s="25" t="str">
        <f t="shared" si="1"/>
        <v>Others-Home</v>
      </c>
      <c r="S88" s="58">
        <v>3</v>
      </c>
      <c r="T88" s="58">
        <v>0.3</v>
      </c>
      <c r="U88" s="43">
        <v>1</v>
      </c>
      <c r="V88" s="43"/>
      <c r="W88" s="58"/>
      <c r="X88" s="58"/>
      <c r="Y88" s="59" t="s">
        <v>156</v>
      </c>
      <c r="Z88" s="60">
        <v>3000</v>
      </c>
      <c r="AA88" s="25"/>
      <c r="AB88" s="25"/>
    </row>
    <row r="89" spans="2:28">
      <c r="B89" s="40">
        <v>0.50347222222222221</v>
      </c>
      <c r="C89" s="40" t="s">
        <v>284</v>
      </c>
      <c r="D89" s="41">
        <v>1</v>
      </c>
      <c r="E89" s="42">
        <v>1</v>
      </c>
      <c r="F89" s="42" t="s">
        <v>146</v>
      </c>
      <c r="G89" s="43" t="s">
        <v>154</v>
      </c>
      <c r="H89" s="42" t="s">
        <v>155</v>
      </c>
      <c r="I89" s="43">
        <v>1</v>
      </c>
      <c r="J89" s="43">
        <v>1</v>
      </c>
      <c r="K89" s="25" t="str">
        <f>VLOOKUP(J89,Key!$E$2:$F$9,2,FALSE)</f>
        <v>Home</v>
      </c>
      <c r="L89" s="42" t="s">
        <v>285</v>
      </c>
      <c r="M89" s="43" t="s">
        <v>154</v>
      </c>
      <c r="N89" s="42" t="s">
        <v>155</v>
      </c>
      <c r="O89" s="43">
        <v>9</v>
      </c>
      <c r="P89" s="43">
        <v>4</v>
      </c>
      <c r="Q89" s="25" t="str">
        <f>VLOOKUP(P89,Key!$E$2:$F$9,2,FALSE)</f>
        <v>Commercial</v>
      </c>
      <c r="R89" s="25" t="str">
        <f t="shared" si="1"/>
        <v>Home-Commercial</v>
      </c>
      <c r="S89" s="58">
        <v>14</v>
      </c>
      <c r="T89" s="58">
        <v>0.5</v>
      </c>
      <c r="U89" s="43">
        <v>1</v>
      </c>
      <c r="V89" s="43"/>
      <c r="W89" s="58"/>
      <c r="X89" s="58"/>
      <c r="Y89" s="59" t="s">
        <v>156</v>
      </c>
      <c r="Z89" s="60">
        <v>1000</v>
      </c>
      <c r="AA89" s="25"/>
      <c r="AB89" s="25"/>
    </row>
    <row r="90" spans="2:28">
      <c r="B90" s="40">
        <v>0.5</v>
      </c>
      <c r="C90" s="40" t="s">
        <v>286</v>
      </c>
      <c r="D90" s="41">
        <v>1</v>
      </c>
      <c r="E90" s="42">
        <v>1</v>
      </c>
      <c r="F90" s="42" t="s">
        <v>287</v>
      </c>
      <c r="G90" s="43" t="s">
        <v>154</v>
      </c>
      <c r="H90" s="42" t="s">
        <v>155</v>
      </c>
      <c r="I90" s="43">
        <v>1</v>
      </c>
      <c r="J90" s="43">
        <v>1</v>
      </c>
      <c r="K90" s="25" t="str">
        <f>VLOOKUP(J90,Key!$E$2:$F$9,2,FALSE)</f>
        <v>Home</v>
      </c>
      <c r="L90" s="42" t="s">
        <v>168</v>
      </c>
      <c r="M90" s="43" t="s">
        <v>154</v>
      </c>
      <c r="N90" s="42" t="s">
        <v>155</v>
      </c>
      <c r="O90" s="43">
        <v>11</v>
      </c>
      <c r="P90" s="43">
        <v>4</v>
      </c>
      <c r="Q90" s="25" t="str">
        <f>VLOOKUP(P90,Key!$E$2:$F$9,2,FALSE)</f>
        <v>Commercial</v>
      </c>
      <c r="R90" s="25" t="str">
        <f t="shared" si="1"/>
        <v>Home-Commercial</v>
      </c>
      <c r="S90" s="58">
        <v>1</v>
      </c>
      <c r="T90" s="58">
        <v>0.2</v>
      </c>
      <c r="U90" s="43">
        <v>2</v>
      </c>
      <c r="V90" s="43"/>
      <c r="W90" s="58"/>
      <c r="X90" s="58"/>
      <c r="Y90" s="59" t="s">
        <v>156</v>
      </c>
      <c r="Z90" s="60">
        <v>5000</v>
      </c>
      <c r="AA90" s="25"/>
      <c r="AB90" s="25"/>
    </row>
    <row r="91" spans="2:28">
      <c r="B91" s="40">
        <v>0.52777777777777779</v>
      </c>
      <c r="C91" s="40" t="s">
        <v>288</v>
      </c>
      <c r="D91" s="41">
        <v>4</v>
      </c>
      <c r="E91" s="42">
        <v>16</v>
      </c>
      <c r="F91" s="42" t="s">
        <v>146</v>
      </c>
      <c r="G91" s="43" t="s">
        <v>154</v>
      </c>
      <c r="H91" s="42" t="s">
        <v>155</v>
      </c>
      <c r="I91" s="43">
        <v>6</v>
      </c>
      <c r="J91" s="43">
        <v>4</v>
      </c>
      <c r="K91" s="25" t="str">
        <f>VLOOKUP(J91,Key!$E$2:$F$9,2,FALSE)</f>
        <v>Commercial</v>
      </c>
      <c r="L91" s="42" t="s">
        <v>147</v>
      </c>
      <c r="M91" s="43" t="s">
        <v>154</v>
      </c>
      <c r="N91" s="42" t="s">
        <v>155</v>
      </c>
      <c r="O91" s="43">
        <v>6</v>
      </c>
      <c r="P91" s="43">
        <v>4</v>
      </c>
      <c r="Q91" s="25" t="str">
        <f>VLOOKUP(P91,Key!$E$2:$F$9,2,FALSE)</f>
        <v>Commercial</v>
      </c>
      <c r="R91" s="25" t="str">
        <f t="shared" si="1"/>
        <v>Commercial-Commercial</v>
      </c>
      <c r="S91" s="58">
        <v>4</v>
      </c>
      <c r="T91" s="58">
        <v>0.3</v>
      </c>
      <c r="U91" s="43">
        <v>1</v>
      </c>
      <c r="V91" s="43"/>
      <c r="W91" s="58"/>
      <c r="X91" s="58"/>
      <c r="Y91" s="59" t="s">
        <v>156</v>
      </c>
      <c r="Z91" s="60">
        <v>1000</v>
      </c>
      <c r="AA91" s="25"/>
      <c r="AB91" s="25"/>
    </row>
    <row r="92" spans="2:28">
      <c r="B92" s="40">
        <v>0.52569444444444446</v>
      </c>
      <c r="C92" s="40" t="s">
        <v>289</v>
      </c>
      <c r="D92" s="41">
        <v>3</v>
      </c>
      <c r="E92" s="42">
        <v>2</v>
      </c>
      <c r="F92" s="42" t="s">
        <v>159</v>
      </c>
      <c r="G92" s="43" t="s">
        <v>159</v>
      </c>
      <c r="H92" s="42" t="s">
        <v>155</v>
      </c>
      <c r="I92" s="43">
        <v>16</v>
      </c>
      <c r="J92" s="43">
        <v>8</v>
      </c>
      <c r="K92" s="25" t="str">
        <f>VLOOKUP(J92,Key!$E$2:$F$9,2,FALSE)</f>
        <v>Others</v>
      </c>
      <c r="L92" s="42" t="s">
        <v>254</v>
      </c>
      <c r="M92" s="43" t="s">
        <v>254</v>
      </c>
      <c r="N92" s="42" t="s">
        <v>155</v>
      </c>
      <c r="O92" s="43">
        <v>1</v>
      </c>
      <c r="P92" s="43">
        <v>1</v>
      </c>
      <c r="Q92" s="25" t="str">
        <f>VLOOKUP(P92,Key!$E$2:$F$9,2,FALSE)</f>
        <v>Home</v>
      </c>
      <c r="R92" s="25" t="str">
        <f t="shared" si="1"/>
        <v>Others-Home</v>
      </c>
      <c r="S92" s="58"/>
      <c r="T92" s="58">
        <v>1.5</v>
      </c>
      <c r="U92" s="43">
        <v>2</v>
      </c>
      <c r="V92" s="43"/>
      <c r="W92" s="58"/>
      <c r="X92" s="58"/>
      <c r="Y92" s="59" t="s">
        <v>156</v>
      </c>
      <c r="Z92" s="60">
        <v>5000</v>
      </c>
      <c r="AA92" s="25"/>
      <c r="AB92" s="25"/>
    </row>
    <row r="93" spans="2:28">
      <c r="B93" s="40">
        <v>0.50624999999999998</v>
      </c>
      <c r="C93" s="40" t="s">
        <v>290</v>
      </c>
      <c r="D93" s="41">
        <v>1</v>
      </c>
      <c r="E93" s="42">
        <v>1</v>
      </c>
      <c r="F93" s="42" t="s">
        <v>184</v>
      </c>
      <c r="G93" s="43" t="s">
        <v>154</v>
      </c>
      <c r="H93" s="42" t="s">
        <v>155</v>
      </c>
      <c r="I93" s="43">
        <v>11</v>
      </c>
      <c r="J93" s="43">
        <v>4</v>
      </c>
      <c r="K93" s="25" t="str">
        <f>VLOOKUP(J93,Key!$E$2:$F$9,2,FALSE)</f>
        <v>Commercial</v>
      </c>
      <c r="L93" s="42" t="s">
        <v>168</v>
      </c>
      <c r="M93" s="43" t="s">
        <v>154</v>
      </c>
      <c r="N93" s="42" t="s">
        <v>155</v>
      </c>
      <c r="O93" s="43">
        <v>1</v>
      </c>
      <c r="P93" s="43">
        <v>1</v>
      </c>
      <c r="Q93" s="25" t="str">
        <f>VLOOKUP(P93,Key!$E$2:$F$9,2,FALSE)</f>
        <v>Home</v>
      </c>
      <c r="R93" s="25" t="str">
        <f t="shared" si="1"/>
        <v>Commercial-Home</v>
      </c>
      <c r="S93" s="58"/>
      <c r="T93" s="58">
        <v>0.2</v>
      </c>
      <c r="U93" s="43">
        <v>1</v>
      </c>
      <c r="V93" s="43"/>
      <c r="W93" s="58"/>
      <c r="X93" s="58"/>
      <c r="Y93" s="59" t="s">
        <v>156</v>
      </c>
      <c r="Z93" s="60">
        <v>1000</v>
      </c>
      <c r="AA93" s="25"/>
      <c r="AB93" s="25"/>
    </row>
    <row r="94" spans="2:28">
      <c r="B94" s="40">
        <v>0.51111111111111118</v>
      </c>
      <c r="C94" s="40" t="s">
        <v>291</v>
      </c>
      <c r="D94" s="41">
        <v>12</v>
      </c>
      <c r="E94" s="42">
        <v>2</v>
      </c>
      <c r="F94" s="42" t="s">
        <v>292</v>
      </c>
      <c r="G94" s="43" t="s">
        <v>154</v>
      </c>
      <c r="H94" s="42" t="s">
        <v>155</v>
      </c>
      <c r="I94" s="43">
        <v>10</v>
      </c>
      <c r="J94" s="43">
        <v>4</v>
      </c>
      <c r="K94" s="25" t="str">
        <f>VLOOKUP(J94,Key!$E$2:$F$9,2,FALSE)</f>
        <v>Commercial</v>
      </c>
      <c r="L94" s="42" t="s">
        <v>245</v>
      </c>
      <c r="M94" s="43" t="s">
        <v>154</v>
      </c>
      <c r="N94" s="42" t="s">
        <v>155</v>
      </c>
      <c r="O94" s="43">
        <v>1</v>
      </c>
      <c r="P94" s="43">
        <v>1</v>
      </c>
      <c r="Q94" s="25" t="str">
        <f>VLOOKUP(P94,Key!$E$2:$F$9,2,FALSE)</f>
        <v>Home</v>
      </c>
      <c r="R94" s="25" t="str">
        <f t="shared" si="1"/>
        <v>Commercial-Home</v>
      </c>
      <c r="S94" s="58">
        <v>6</v>
      </c>
      <c r="T94" s="58">
        <v>0.7</v>
      </c>
      <c r="U94" s="43">
        <v>6</v>
      </c>
      <c r="V94" s="43"/>
      <c r="W94" s="58"/>
      <c r="X94" s="58"/>
      <c r="Y94" s="59" t="s">
        <v>156</v>
      </c>
      <c r="Z94" s="60">
        <v>5000</v>
      </c>
      <c r="AA94" s="25"/>
      <c r="AB94" s="25"/>
    </row>
    <row r="95" spans="2:28">
      <c r="B95" s="40">
        <v>0.51388888888888895</v>
      </c>
      <c r="C95" s="40" t="s">
        <v>293</v>
      </c>
      <c r="D95" s="41">
        <v>7</v>
      </c>
      <c r="E95" s="42">
        <v>3</v>
      </c>
      <c r="F95" s="42" t="s">
        <v>146</v>
      </c>
      <c r="G95" s="43" t="s">
        <v>154</v>
      </c>
      <c r="H95" s="42" t="s">
        <v>155</v>
      </c>
      <c r="I95" s="43">
        <v>13</v>
      </c>
      <c r="J95" s="43">
        <v>4</v>
      </c>
      <c r="K95" s="25" t="str">
        <f>VLOOKUP(J95,Key!$E$2:$F$9,2,FALSE)</f>
        <v>Commercial</v>
      </c>
      <c r="L95" s="42" t="s">
        <v>168</v>
      </c>
      <c r="M95" s="43" t="s">
        <v>154</v>
      </c>
      <c r="N95" s="42" t="s">
        <v>155</v>
      </c>
      <c r="O95" s="43">
        <v>13</v>
      </c>
      <c r="P95" s="43">
        <v>4</v>
      </c>
      <c r="Q95" s="25" t="str">
        <f>VLOOKUP(P95,Key!$E$2:$F$9,2,FALSE)</f>
        <v>Commercial</v>
      </c>
      <c r="R95" s="25" t="str">
        <f t="shared" si="1"/>
        <v>Commercial-Commercial</v>
      </c>
      <c r="S95" s="58">
        <v>3</v>
      </c>
      <c r="T95" s="58">
        <v>0.2</v>
      </c>
      <c r="U95" s="43">
        <v>1</v>
      </c>
      <c r="V95" s="43"/>
      <c r="W95" s="58"/>
      <c r="X95" s="58"/>
      <c r="Y95" s="59" t="s">
        <v>156</v>
      </c>
      <c r="Z95" s="60">
        <v>1000</v>
      </c>
      <c r="AA95" s="25"/>
      <c r="AB95" s="25"/>
    </row>
    <row r="96" spans="2:28">
      <c r="B96" s="40">
        <v>0.52083333333333337</v>
      </c>
      <c r="C96" s="40" t="s">
        <v>294</v>
      </c>
      <c r="D96" s="41">
        <v>7</v>
      </c>
      <c r="E96" s="42">
        <v>3</v>
      </c>
      <c r="F96" s="42" t="s">
        <v>295</v>
      </c>
      <c r="G96" s="43" t="s">
        <v>154</v>
      </c>
      <c r="H96" s="42" t="s">
        <v>155</v>
      </c>
      <c r="I96" s="43">
        <v>14</v>
      </c>
      <c r="J96" s="43">
        <v>4</v>
      </c>
      <c r="K96" s="25" t="str">
        <f>VLOOKUP(J96,Key!$E$2:$F$9,2,FALSE)</f>
        <v>Commercial</v>
      </c>
      <c r="L96" s="42" t="s">
        <v>146</v>
      </c>
      <c r="M96" s="43" t="s">
        <v>154</v>
      </c>
      <c r="N96" s="42" t="s">
        <v>155</v>
      </c>
      <c r="O96" s="43">
        <v>10</v>
      </c>
      <c r="P96" s="43">
        <v>4</v>
      </c>
      <c r="Q96" s="25" t="str">
        <f>VLOOKUP(P96,Key!$E$2:$F$9,2,FALSE)</f>
        <v>Commercial</v>
      </c>
      <c r="R96" s="25" t="str">
        <f t="shared" si="1"/>
        <v>Commercial-Commercial</v>
      </c>
      <c r="S96" s="58">
        <v>6</v>
      </c>
      <c r="T96" s="58">
        <v>0.4</v>
      </c>
      <c r="U96" s="43">
        <v>6</v>
      </c>
      <c r="V96" s="43"/>
      <c r="W96" s="58"/>
      <c r="X96" s="58"/>
      <c r="Y96" s="59" t="s">
        <v>156</v>
      </c>
      <c r="Z96" s="60">
        <v>1000</v>
      </c>
      <c r="AA96" s="25"/>
      <c r="AB96" s="25"/>
    </row>
    <row r="97" spans="2:28">
      <c r="B97" s="40">
        <v>0.55625000000000002</v>
      </c>
      <c r="C97" s="40" t="s">
        <v>296</v>
      </c>
      <c r="D97" s="41">
        <v>3</v>
      </c>
      <c r="E97" s="42">
        <v>1</v>
      </c>
      <c r="F97" s="42" t="s">
        <v>177</v>
      </c>
      <c r="G97" s="43" t="s">
        <v>159</v>
      </c>
      <c r="H97" s="42" t="s">
        <v>155</v>
      </c>
      <c r="I97" s="43">
        <v>2</v>
      </c>
      <c r="J97" s="43">
        <v>2</v>
      </c>
      <c r="K97" s="25" t="str">
        <f>VLOOKUP(J97,Key!$E$2:$F$9,2,FALSE)</f>
        <v>Work</v>
      </c>
      <c r="L97" s="42" t="s">
        <v>159</v>
      </c>
      <c r="M97" s="43" t="s">
        <v>159</v>
      </c>
      <c r="N97" s="42" t="s">
        <v>155</v>
      </c>
      <c r="O97" s="43">
        <v>16</v>
      </c>
      <c r="P97" s="43">
        <v>8</v>
      </c>
      <c r="Q97" s="25" t="str">
        <f>VLOOKUP(P97,Key!$E$2:$F$9,2,FALSE)</f>
        <v>Others</v>
      </c>
      <c r="R97" s="25" t="str">
        <f t="shared" si="1"/>
        <v>Work-Others</v>
      </c>
      <c r="S97" s="58">
        <v>50</v>
      </c>
      <c r="T97" s="58">
        <v>1</v>
      </c>
      <c r="U97" s="43">
        <v>6</v>
      </c>
      <c r="V97" s="43"/>
      <c r="W97" s="58"/>
      <c r="X97" s="58"/>
      <c r="Y97" s="59" t="s">
        <v>156</v>
      </c>
      <c r="Z97" s="60">
        <v>10000</v>
      </c>
      <c r="AA97" s="25"/>
      <c r="AB97" s="25"/>
    </row>
    <row r="98" spans="2:28">
      <c r="B98" s="40">
        <v>0.56388888888888888</v>
      </c>
      <c r="C98" s="40" t="s">
        <v>297</v>
      </c>
      <c r="D98" s="41">
        <v>1</v>
      </c>
      <c r="E98" s="42">
        <v>1</v>
      </c>
      <c r="F98" s="42" t="s">
        <v>159</v>
      </c>
      <c r="G98" s="43" t="s">
        <v>159</v>
      </c>
      <c r="H98" s="42" t="s">
        <v>155</v>
      </c>
      <c r="I98" s="43">
        <v>16</v>
      </c>
      <c r="J98" s="43">
        <v>8</v>
      </c>
      <c r="K98" s="25" t="str">
        <f>VLOOKUP(J98,Key!$E$2:$F$9,2,FALSE)</f>
        <v>Others</v>
      </c>
      <c r="L98" s="42" t="s">
        <v>168</v>
      </c>
      <c r="M98" s="43" t="s">
        <v>154</v>
      </c>
      <c r="N98" s="42" t="s">
        <v>155</v>
      </c>
      <c r="O98" s="43">
        <v>10</v>
      </c>
      <c r="P98" s="43">
        <v>4</v>
      </c>
      <c r="Q98" s="25" t="str">
        <f>VLOOKUP(P98,Key!$E$2:$F$9,2,FALSE)</f>
        <v>Commercial</v>
      </c>
      <c r="R98" s="25" t="str">
        <f t="shared" si="1"/>
        <v>Others-Commercial</v>
      </c>
      <c r="S98" s="58">
        <v>20</v>
      </c>
      <c r="T98" s="58">
        <v>1.5</v>
      </c>
      <c r="U98" s="43">
        <v>2</v>
      </c>
      <c r="V98" s="43"/>
      <c r="W98" s="58"/>
      <c r="X98" s="58"/>
      <c r="Y98" s="59" t="s">
        <v>156</v>
      </c>
      <c r="Z98" s="60">
        <v>1000</v>
      </c>
      <c r="AA98" s="25"/>
      <c r="AB98" s="25"/>
    </row>
    <row r="99" spans="2:28">
      <c r="B99" s="40">
        <v>0.46319444444444446</v>
      </c>
      <c r="C99" s="40" t="s">
        <v>298</v>
      </c>
      <c r="D99" s="41">
        <v>8</v>
      </c>
      <c r="E99" s="42">
        <v>2</v>
      </c>
      <c r="F99" s="42" t="s">
        <v>184</v>
      </c>
      <c r="G99" s="43" t="s">
        <v>154</v>
      </c>
      <c r="H99" s="42" t="s">
        <v>155</v>
      </c>
      <c r="I99" s="43">
        <v>13</v>
      </c>
      <c r="J99" s="43">
        <v>4</v>
      </c>
      <c r="K99" s="25" t="str">
        <f>VLOOKUP(J99,Key!$E$2:$F$9,2,FALSE)</f>
        <v>Commercial</v>
      </c>
      <c r="L99" s="42" t="s">
        <v>168</v>
      </c>
      <c r="M99" s="43" t="s">
        <v>154</v>
      </c>
      <c r="N99" s="42" t="s">
        <v>155</v>
      </c>
      <c r="O99" s="43">
        <v>10</v>
      </c>
      <c r="P99" s="43">
        <v>4</v>
      </c>
      <c r="Q99" s="25" t="str">
        <f>VLOOKUP(P99,Key!$E$2:$F$9,2,FALSE)</f>
        <v>Commercial</v>
      </c>
      <c r="R99" s="25" t="str">
        <f t="shared" si="1"/>
        <v>Commercial-Commercial</v>
      </c>
      <c r="S99" s="58">
        <v>4</v>
      </c>
      <c r="T99" s="58">
        <v>0.1</v>
      </c>
      <c r="U99" s="43">
        <v>4</v>
      </c>
      <c r="V99" s="43"/>
      <c r="W99" s="58"/>
      <c r="X99" s="58"/>
      <c r="Y99" s="59" t="s">
        <v>156</v>
      </c>
      <c r="Z99" s="60">
        <v>1000</v>
      </c>
      <c r="AA99" s="25"/>
      <c r="AB99" s="25"/>
    </row>
    <row r="100" spans="2:28">
      <c r="B100" s="40">
        <v>0.47152777777777777</v>
      </c>
      <c r="C100" s="40" t="s">
        <v>299</v>
      </c>
      <c r="D100" s="41">
        <v>10</v>
      </c>
      <c r="E100" s="42">
        <v>1</v>
      </c>
      <c r="F100" s="42" t="s">
        <v>187</v>
      </c>
      <c r="G100" s="43" t="s">
        <v>163</v>
      </c>
      <c r="H100" s="42" t="s">
        <v>155</v>
      </c>
      <c r="I100" s="43">
        <v>3</v>
      </c>
      <c r="J100" s="43">
        <v>4</v>
      </c>
      <c r="K100" s="25" t="str">
        <f>VLOOKUP(J100,Key!$E$2:$F$9,2,FALSE)</f>
        <v>Commercial</v>
      </c>
      <c r="L100" s="42" t="s">
        <v>300</v>
      </c>
      <c r="M100" s="43" t="s">
        <v>154</v>
      </c>
      <c r="N100" s="42" t="s">
        <v>155</v>
      </c>
      <c r="O100" s="43">
        <v>15</v>
      </c>
      <c r="P100" s="43">
        <v>4</v>
      </c>
      <c r="Q100" s="25" t="str">
        <f>VLOOKUP(P100,Key!$E$2:$F$9,2,FALSE)</f>
        <v>Commercial</v>
      </c>
      <c r="R100" s="25" t="str">
        <f t="shared" si="1"/>
        <v>Commercial-Commercial</v>
      </c>
      <c r="S100" s="58">
        <v>30</v>
      </c>
      <c r="T100" s="58">
        <v>0.5</v>
      </c>
      <c r="U100" s="43">
        <v>4</v>
      </c>
      <c r="V100" s="43"/>
      <c r="W100" s="58"/>
      <c r="X100" s="58"/>
      <c r="Y100" s="59" t="s">
        <v>156</v>
      </c>
      <c r="Z100" s="60">
        <v>5000</v>
      </c>
      <c r="AA100" s="25"/>
      <c r="AB100" s="25"/>
    </row>
    <row r="101" spans="2:28">
      <c r="B101" s="40">
        <v>0.38055555555555554</v>
      </c>
      <c r="C101" s="40" t="s">
        <v>301</v>
      </c>
      <c r="D101" s="41">
        <v>4</v>
      </c>
      <c r="E101" s="42">
        <v>16</v>
      </c>
      <c r="F101" s="42" t="s">
        <v>146</v>
      </c>
      <c r="G101" s="43" t="s">
        <v>154</v>
      </c>
      <c r="H101" s="42" t="s">
        <v>155</v>
      </c>
      <c r="I101" s="43">
        <v>6</v>
      </c>
      <c r="J101" s="43">
        <v>4</v>
      </c>
      <c r="K101" s="25" t="str">
        <f>VLOOKUP(J101,Key!$E$2:$F$9,2,FALSE)</f>
        <v>Commercial</v>
      </c>
      <c r="L101" s="42" t="s">
        <v>147</v>
      </c>
      <c r="M101" s="43" t="s">
        <v>154</v>
      </c>
      <c r="N101" s="42" t="s">
        <v>155</v>
      </c>
      <c r="O101" s="43">
        <v>6</v>
      </c>
      <c r="P101" s="43">
        <v>4</v>
      </c>
      <c r="Q101" s="25" t="str">
        <f>VLOOKUP(P101,Key!$E$2:$F$9,2,FALSE)</f>
        <v>Commercial</v>
      </c>
      <c r="R101" s="25" t="str">
        <f t="shared" si="1"/>
        <v>Commercial-Commercial</v>
      </c>
      <c r="S101" s="58"/>
      <c r="T101" s="58">
        <v>0.5</v>
      </c>
      <c r="U101" s="43">
        <v>1</v>
      </c>
      <c r="V101" s="43"/>
      <c r="W101" s="58"/>
      <c r="X101" s="58"/>
      <c r="Y101" s="59" t="s">
        <v>156</v>
      </c>
      <c r="Z101" s="60">
        <v>1000</v>
      </c>
      <c r="AA101" s="25"/>
      <c r="AB101" s="25"/>
    </row>
    <row r="102" spans="2:28">
      <c r="B102" s="40">
        <v>0.3833333333333333</v>
      </c>
      <c r="C102" s="40" t="s">
        <v>302</v>
      </c>
      <c r="D102" s="41">
        <v>1</v>
      </c>
      <c r="E102" s="42">
        <v>1</v>
      </c>
      <c r="F102" s="42" t="s">
        <v>268</v>
      </c>
      <c r="G102" s="43" t="s">
        <v>154</v>
      </c>
      <c r="H102" s="42" t="s">
        <v>155</v>
      </c>
      <c r="I102" s="43">
        <v>1</v>
      </c>
      <c r="J102" s="43">
        <v>1</v>
      </c>
      <c r="K102" s="25" t="str">
        <f>VLOOKUP(J102,Key!$E$2:$F$9,2,FALSE)</f>
        <v>Home</v>
      </c>
      <c r="L102" s="42" t="s">
        <v>303</v>
      </c>
      <c r="M102" s="43" t="s">
        <v>202</v>
      </c>
      <c r="N102" s="42" t="s">
        <v>155</v>
      </c>
      <c r="O102" s="43">
        <v>2</v>
      </c>
      <c r="P102" s="43">
        <v>2</v>
      </c>
      <c r="Q102" s="25" t="str">
        <f>VLOOKUP(P102,Key!$E$2:$F$9,2,FALSE)</f>
        <v>Work</v>
      </c>
      <c r="R102" s="25" t="str">
        <f t="shared" ref="R102:R165" si="2">K102&amp;"-"&amp;Q102</f>
        <v>Home-Work</v>
      </c>
      <c r="S102" s="58">
        <v>50</v>
      </c>
      <c r="T102" s="58">
        <v>1</v>
      </c>
      <c r="U102" s="43">
        <v>3</v>
      </c>
      <c r="V102" s="43"/>
      <c r="W102" s="58"/>
      <c r="X102" s="58"/>
      <c r="Y102" s="59" t="s">
        <v>156</v>
      </c>
      <c r="Z102" s="60">
        <v>2000</v>
      </c>
      <c r="AA102" s="25"/>
      <c r="AB102" s="25"/>
    </row>
    <row r="103" spans="2:28">
      <c r="B103" s="40">
        <v>0.3888888888888889</v>
      </c>
      <c r="C103" s="40" t="s">
        <v>304</v>
      </c>
      <c r="D103" s="41">
        <v>1</v>
      </c>
      <c r="E103" s="42">
        <v>2</v>
      </c>
      <c r="F103" s="42" t="s">
        <v>278</v>
      </c>
      <c r="G103" s="43" t="s">
        <v>154</v>
      </c>
      <c r="H103" s="42" t="s">
        <v>155</v>
      </c>
      <c r="I103" s="43">
        <v>1</v>
      </c>
      <c r="J103" s="43">
        <v>1</v>
      </c>
      <c r="K103" s="25" t="str">
        <f>VLOOKUP(J103,Key!$E$2:$F$9,2,FALSE)</f>
        <v>Home</v>
      </c>
      <c r="L103" s="42" t="s">
        <v>305</v>
      </c>
      <c r="M103" s="43" t="s">
        <v>254</v>
      </c>
      <c r="N103" s="42" t="s">
        <v>155</v>
      </c>
      <c r="O103" s="43">
        <v>9</v>
      </c>
      <c r="P103" s="43">
        <v>4</v>
      </c>
      <c r="Q103" s="25" t="str">
        <f>VLOOKUP(P103,Key!$E$2:$F$9,2,FALSE)</f>
        <v>Commercial</v>
      </c>
      <c r="R103" s="25" t="str">
        <f t="shared" si="2"/>
        <v>Home-Commercial</v>
      </c>
      <c r="S103" s="58">
        <v>200</v>
      </c>
      <c r="T103" s="58">
        <v>3</v>
      </c>
      <c r="U103" s="43">
        <v>3</v>
      </c>
      <c r="V103" s="43"/>
      <c r="W103" s="58"/>
      <c r="X103" s="58"/>
      <c r="Y103" s="59" t="s">
        <v>156</v>
      </c>
      <c r="Z103" s="60">
        <v>5000</v>
      </c>
      <c r="AA103" s="25"/>
      <c r="AB103" s="25"/>
    </row>
    <row r="104" spans="2:28">
      <c r="B104" s="40">
        <v>0.39444444444444443</v>
      </c>
      <c r="C104" s="40" t="s">
        <v>306</v>
      </c>
      <c r="D104" s="41">
        <v>7</v>
      </c>
      <c r="E104" s="42">
        <v>3</v>
      </c>
      <c r="F104" s="42" t="s">
        <v>184</v>
      </c>
      <c r="G104" s="43" t="s">
        <v>154</v>
      </c>
      <c r="H104" s="42" t="s">
        <v>155</v>
      </c>
      <c r="I104" s="43">
        <v>1</v>
      </c>
      <c r="J104" s="43">
        <v>1</v>
      </c>
      <c r="K104" s="25" t="str">
        <f>VLOOKUP(J104,Key!$E$2:$F$9,2,FALSE)</f>
        <v>Home</v>
      </c>
      <c r="L104" s="42" t="s">
        <v>168</v>
      </c>
      <c r="M104" s="43" t="s">
        <v>154</v>
      </c>
      <c r="N104" s="42" t="s">
        <v>155</v>
      </c>
      <c r="O104" s="43">
        <v>16</v>
      </c>
      <c r="P104" s="43">
        <v>8</v>
      </c>
      <c r="Q104" s="25" t="str">
        <f>VLOOKUP(P104,Key!$E$2:$F$9,2,FALSE)</f>
        <v>Others</v>
      </c>
      <c r="R104" s="25" t="str">
        <f t="shared" si="2"/>
        <v>Home-Others</v>
      </c>
      <c r="S104" s="58">
        <v>3</v>
      </c>
      <c r="T104" s="58">
        <v>0.5</v>
      </c>
      <c r="U104" s="43">
        <v>1</v>
      </c>
      <c r="V104" s="43"/>
      <c r="W104" s="58"/>
      <c r="X104" s="58"/>
      <c r="Y104" s="59" t="s">
        <v>156</v>
      </c>
      <c r="Z104" s="60">
        <v>1000</v>
      </c>
      <c r="AA104" s="25"/>
      <c r="AB104" s="25"/>
    </row>
    <row r="105" spans="2:28" ht="12" customHeight="1">
      <c r="B105" s="40">
        <v>0.3972222222222222</v>
      </c>
      <c r="C105" s="40" t="s">
        <v>307</v>
      </c>
      <c r="D105" s="41">
        <v>1</v>
      </c>
      <c r="E105" s="42">
        <v>1</v>
      </c>
      <c r="F105" s="42" t="s">
        <v>146</v>
      </c>
      <c r="G105" s="43" t="s">
        <v>154</v>
      </c>
      <c r="H105" s="42" t="s">
        <v>155</v>
      </c>
      <c r="I105" s="43">
        <v>1</v>
      </c>
      <c r="J105" s="43">
        <v>1</v>
      </c>
      <c r="K105" s="25" t="str">
        <f>VLOOKUP(J105,Key!$E$2:$F$9,2,FALSE)</f>
        <v>Home</v>
      </c>
      <c r="L105" s="42" t="s">
        <v>168</v>
      </c>
      <c r="M105" s="43" t="s">
        <v>154</v>
      </c>
      <c r="N105" s="42" t="s">
        <v>155</v>
      </c>
      <c r="O105" s="43">
        <v>16</v>
      </c>
      <c r="P105" s="43">
        <v>8</v>
      </c>
      <c r="Q105" s="25" t="str">
        <f>VLOOKUP(P105,Key!$E$2:$F$9,2,FALSE)</f>
        <v>Others</v>
      </c>
      <c r="R105" s="25" t="str">
        <f t="shared" si="2"/>
        <v>Home-Others</v>
      </c>
      <c r="S105" s="58">
        <v>1.5</v>
      </c>
      <c r="T105" s="58">
        <v>0.1</v>
      </c>
      <c r="U105" s="43">
        <v>1</v>
      </c>
      <c r="V105" s="43"/>
      <c r="W105" s="58"/>
      <c r="X105" s="58"/>
      <c r="Y105" s="59" t="s">
        <v>156</v>
      </c>
      <c r="Z105" s="60">
        <v>1000</v>
      </c>
      <c r="AA105" s="25"/>
      <c r="AB105" s="25"/>
    </row>
    <row r="106" spans="2:28">
      <c r="B106" s="40">
        <v>0.39999999999999997</v>
      </c>
      <c r="C106" s="40" t="s">
        <v>308</v>
      </c>
      <c r="D106" s="41">
        <v>1</v>
      </c>
      <c r="E106" s="42">
        <v>2</v>
      </c>
      <c r="F106" s="42" t="s">
        <v>241</v>
      </c>
      <c r="G106" s="43" t="s">
        <v>154</v>
      </c>
      <c r="H106" s="42" t="s">
        <v>155</v>
      </c>
      <c r="I106" s="43">
        <v>1</v>
      </c>
      <c r="J106" s="43">
        <v>1</v>
      </c>
      <c r="K106" s="25" t="str">
        <f>VLOOKUP(J106,Key!$E$2:$F$9,2,FALSE)</f>
        <v>Home</v>
      </c>
      <c r="L106" s="42" t="s">
        <v>309</v>
      </c>
      <c r="M106" s="43" t="s">
        <v>154</v>
      </c>
      <c r="N106" s="42" t="s">
        <v>155</v>
      </c>
      <c r="O106" s="43">
        <v>4</v>
      </c>
      <c r="P106" s="43">
        <v>4</v>
      </c>
      <c r="Q106" s="25" t="str">
        <f>VLOOKUP(P106,Key!$E$2:$F$9,2,FALSE)</f>
        <v>Commercial</v>
      </c>
      <c r="R106" s="25" t="str">
        <f t="shared" si="2"/>
        <v>Home-Commercial</v>
      </c>
      <c r="S106" s="58">
        <v>20</v>
      </c>
      <c r="T106" s="58">
        <v>0.5</v>
      </c>
      <c r="U106" s="43">
        <v>4</v>
      </c>
      <c r="V106" s="43"/>
      <c r="W106" s="58"/>
      <c r="X106" s="58"/>
      <c r="Y106" s="59" t="s">
        <v>156</v>
      </c>
      <c r="Z106" s="60">
        <v>1000</v>
      </c>
      <c r="AA106" s="25"/>
      <c r="AB106" s="25"/>
    </row>
    <row r="107" spans="2:28">
      <c r="B107" s="40">
        <v>0.40972222222222227</v>
      </c>
      <c r="C107" s="40" t="s">
        <v>310</v>
      </c>
      <c r="D107" s="41">
        <v>1</v>
      </c>
      <c r="E107" s="42">
        <v>1</v>
      </c>
      <c r="F107" s="42" t="s">
        <v>311</v>
      </c>
      <c r="G107" s="43" t="s">
        <v>154</v>
      </c>
      <c r="H107" s="42" t="s">
        <v>155</v>
      </c>
      <c r="I107" s="43">
        <v>1</v>
      </c>
      <c r="J107" s="43">
        <v>1</v>
      </c>
      <c r="K107" s="25" t="str">
        <f>VLOOKUP(J107,Key!$E$2:$F$9,2,FALSE)</f>
        <v>Home</v>
      </c>
      <c r="L107" s="42" t="s">
        <v>168</v>
      </c>
      <c r="M107" s="43" t="s">
        <v>154</v>
      </c>
      <c r="N107" s="42" t="s">
        <v>155</v>
      </c>
      <c r="O107" s="43">
        <v>16</v>
      </c>
      <c r="P107" s="43">
        <v>8</v>
      </c>
      <c r="Q107" s="25" t="str">
        <f>VLOOKUP(P107,Key!$E$2:$F$9,2,FALSE)</f>
        <v>Others</v>
      </c>
      <c r="R107" s="25" t="str">
        <f t="shared" si="2"/>
        <v>Home-Others</v>
      </c>
      <c r="S107" s="58">
        <v>6</v>
      </c>
      <c r="T107" s="58">
        <v>0.1</v>
      </c>
      <c r="U107" s="43">
        <v>4</v>
      </c>
      <c r="V107" s="43"/>
      <c r="W107" s="58"/>
      <c r="X107" s="58"/>
      <c r="Y107" s="59" t="s">
        <v>156</v>
      </c>
      <c r="Z107" s="60">
        <v>1000</v>
      </c>
      <c r="AA107" s="25"/>
      <c r="AB107" s="25"/>
    </row>
    <row r="108" spans="2:28">
      <c r="B108" s="40">
        <v>0.4152777777777778</v>
      </c>
      <c r="C108" s="40" t="s">
        <v>312</v>
      </c>
      <c r="D108" s="41">
        <v>2</v>
      </c>
      <c r="E108" s="42">
        <v>1</v>
      </c>
      <c r="F108" s="42" t="s">
        <v>146</v>
      </c>
      <c r="G108" s="43" t="s">
        <v>154</v>
      </c>
      <c r="H108" s="42" t="s">
        <v>155</v>
      </c>
      <c r="I108" s="43">
        <v>1</v>
      </c>
      <c r="J108" s="43">
        <v>1</v>
      </c>
      <c r="K108" s="25" t="str">
        <f>VLOOKUP(J108,Key!$E$2:$F$9,2,FALSE)</f>
        <v>Home</v>
      </c>
      <c r="L108" s="42" t="s">
        <v>245</v>
      </c>
      <c r="M108" s="43" t="s">
        <v>154</v>
      </c>
      <c r="N108" s="42" t="s">
        <v>155</v>
      </c>
      <c r="O108" s="43">
        <v>11</v>
      </c>
      <c r="P108" s="43">
        <v>4</v>
      </c>
      <c r="Q108" s="25" t="str">
        <f>VLOOKUP(P108,Key!$E$2:$F$9,2,FALSE)</f>
        <v>Commercial</v>
      </c>
      <c r="R108" s="25" t="str">
        <f t="shared" si="2"/>
        <v>Home-Commercial</v>
      </c>
      <c r="S108" s="58">
        <v>7</v>
      </c>
      <c r="T108" s="58">
        <v>0.7</v>
      </c>
      <c r="U108" s="43">
        <v>2</v>
      </c>
      <c r="V108" s="43"/>
      <c r="W108" s="58"/>
      <c r="X108" s="58"/>
      <c r="Y108" s="59" t="s">
        <v>156</v>
      </c>
      <c r="Z108" s="60">
        <v>1000</v>
      </c>
      <c r="AA108" s="25"/>
      <c r="AB108" s="25"/>
    </row>
    <row r="109" spans="2:28">
      <c r="B109" s="40">
        <v>0.42777777777777781</v>
      </c>
      <c r="C109" s="40" t="s">
        <v>313</v>
      </c>
      <c r="D109" s="41">
        <v>7</v>
      </c>
      <c r="E109" s="42">
        <v>3</v>
      </c>
      <c r="F109" s="42" t="s">
        <v>268</v>
      </c>
      <c r="G109" s="43" t="s">
        <v>154</v>
      </c>
      <c r="H109" s="42" t="s">
        <v>155</v>
      </c>
      <c r="I109" s="43">
        <v>16</v>
      </c>
      <c r="J109" s="43">
        <v>8</v>
      </c>
      <c r="K109" s="25" t="str">
        <f>VLOOKUP(J109,Key!$E$2:$F$9,2,FALSE)</f>
        <v>Others</v>
      </c>
      <c r="L109" s="42" t="s">
        <v>245</v>
      </c>
      <c r="M109" s="43" t="s">
        <v>154</v>
      </c>
      <c r="N109" s="42" t="s">
        <v>155</v>
      </c>
      <c r="O109" s="43">
        <v>1</v>
      </c>
      <c r="P109" s="43">
        <v>1</v>
      </c>
      <c r="Q109" s="25" t="str">
        <f>VLOOKUP(P109,Key!$E$2:$F$9,2,FALSE)</f>
        <v>Home</v>
      </c>
      <c r="R109" s="25" t="str">
        <f t="shared" si="2"/>
        <v>Others-Home</v>
      </c>
      <c r="S109" s="58">
        <v>30</v>
      </c>
      <c r="T109" s="58">
        <v>0.2</v>
      </c>
      <c r="U109" s="43">
        <v>1</v>
      </c>
      <c r="V109" s="43"/>
      <c r="W109" s="58"/>
      <c r="X109" s="58"/>
      <c r="Y109" s="59" t="s">
        <v>156</v>
      </c>
      <c r="Z109" s="60">
        <v>1000</v>
      </c>
      <c r="AA109" s="25"/>
      <c r="AB109" s="25"/>
    </row>
    <row r="110" spans="2:28">
      <c r="B110" s="40">
        <v>0.43055555555555558</v>
      </c>
      <c r="C110" s="40" t="s">
        <v>314</v>
      </c>
      <c r="D110" s="41">
        <v>1</v>
      </c>
      <c r="E110" s="42">
        <v>3</v>
      </c>
      <c r="F110" s="42" t="s">
        <v>207</v>
      </c>
      <c r="G110" s="43" t="s">
        <v>154</v>
      </c>
      <c r="H110" s="42" t="s">
        <v>155</v>
      </c>
      <c r="I110" s="43">
        <v>1</v>
      </c>
      <c r="J110" s="43">
        <v>1</v>
      </c>
      <c r="K110" s="25" t="str">
        <f>VLOOKUP(J110,Key!$E$2:$F$9,2,FALSE)</f>
        <v>Home</v>
      </c>
      <c r="L110" s="42" t="s">
        <v>147</v>
      </c>
      <c r="M110" s="43" t="s">
        <v>154</v>
      </c>
      <c r="N110" s="42" t="s">
        <v>155</v>
      </c>
      <c r="O110" s="43">
        <v>2</v>
      </c>
      <c r="P110" s="43">
        <v>2</v>
      </c>
      <c r="Q110" s="25" t="str">
        <f>VLOOKUP(P110,Key!$E$2:$F$9,2,FALSE)</f>
        <v>Work</v>
      </c>
      <c r="R110" s="25" t="str">
        <f t="shared" si="2"/>
        <v>Home-Work</v>
      </c>
      <c r="S110" s="58">
        <v>13</v>
      </c>
      <c r="T110" s="58">
        <v>0.3</v>
      </c>
      <c r="U110" s="43">
        <v>3</v>
      </c>
      <c r="V110" s="43"/>
      <c r="W110" s="58"/>
      <c r="X110" s="58"/>
      <c r="Y110" s="59" t="s">
        <v>156</v>
      </c>
      <c r="Z110" s="60">
        <v>3000</v>
      </c>
      <c r="AA110" s="25"/>
      <c r="AB110" s="25"/>
    </row>
    <row r="111" spans="2:28">
      <c r="B111" s="40">
        <v>0.42083333333333334</v>
      </c>
      <c r="C111" s="40" t="s">
        <v>315</v>
      </c>
      <c r="D111" s="41">
        <v>3</v>
      </c>
      <c r="E111" s="42">
        <v>2</v>
      </c>
      <c r="F111" s="42" t="s">
        <v>189</v>
      </c>
      <c r="G111" s="43" t="s">
        <v>154</v>
      </c>
      <c r="H111" s="42" t="s">
        <v>155</v>
      </c>
      <c r="I111" s="43">
        <v>1</v>
      </c>
      <c r="J111" s="43">
        <v>1</v>
      </c>
      <c r="K111" s="25" t="str">
        <f>VLOOKUP(J111,Key!$E$2:$F$9,2,FALSE)</f>
        <v>Home</v>
      </c>
      <c r="L111" s="42" t="s">
        <v>316</v>
      </c>
      <c r="M111" s="43" t="s">
        <v>254</v>
      </c>
      <c r="N111" s="42" t="s">
        <v>155</v>
      </c>
      <c r="O111" s="43">
        <v>9</v>
      </c>
      <c r="P111" s="43">
        <v>1</v>
      </c>
      <c r="Q111" s="25" t="str">
        <f>VLOOKUP(P111,Key!$E$2:$F$9,2,FALSE)</f>
        <v>Home</v>
      </c>
      <c r="R111" s="25" t="str">
        <f t="shared" si="2"/>
        <v>Home-Home</v>
      </c>
      <c r="S111" s="58">
        <v>110</v>
      </c>
      <c r="T111" s="58">
        <v>2</v>
      </c>
      <c r="U111" s="43">
        <v>3</v>
      </c>
      <c r="V111" s="43"/>
      <c r="W111" s="58"/>
      <c r="X111" s="58"/>
      <c r="Y111" s="59" t="s">
        <v>156</v>
      </c>
      <c r="Z111" s="60">
        <v>2000</v>
      </c>
      <c r="AA111" s="25"/>
      <c r="AB111" s="25"/>
    </row>
    <row r="112" spans="2:28">
      <c r="B112" s="40">
        <v>0.42569444444444443</v>
      </c>
      <c r="C112" s="40" t="s">
        <v>317</v>
      </c>
      <c r="D112" s="41">
        <v>2</v>
      </c>
      <c r="E112" s="42">
        <v>2</v>
      </c>
      <c r="F112" s="42" t="s">
        <v>295</v>
      </c>
      <c r="G112" s="43" t="s">
        <v>154</v>
      </c>
      <c r="H112" s="42" t="s">
        <v>155</v>
      </c>
      <c r="I112" s="43">
        <v>1</v>
      </c>
      <c r="J112" s="43">
        <v>1</v>
      </c>
      <c r="K112" s="25" t="str">
        <f>VLOOKUP(J112,Key!$E$2:$F$9,2,FALSE)</f>
        <v>Home</v>
      </c>
      <c r="L112" s="42" t="s">
        <v>245</v>
      </c>
      <c r="M112" s="43" t="s">
        <v>154</v>
      </c>
      <c r="N112" s="42" t="s">
        <v>155</v>
      </c>
      <c r="O112" s="43">
        <v>9</v>
      </c>
      <c r="P112" s="43">
        <v>4</v>
      </c>
      <c r="Q112" s="25" t="str">
        <f>VLOOKUP(P112,Key!$E$2:$F$9,2,FALSE)</f>
        <v>Commercial</v>
      </c>
      <c r="R112" s="25" t="str">
        <f t="shared" si="2"/>
        <v>Home-Commercial</v>
      </c>
      <c r="S112" s="58">
        <v>14</v>
      </c>
      <c r="T112" s="58">
        <v>1.5</v>
      </c>
      <c r="U112" s="43">
        <v>1</v>
      </c>
      <c r="V112" s="43"/>
      <c r="W112" s="58"/>
      <c r="X112" s="58"/>
      <c r="Y112" s="59" t="s">
        <v>156</v>
      </c>
      <c r="Z112" s="60">
        <v>5000</v>
      </c>
      <c r="AA112" s="25"/>
      <c r="AB112" s="25"/>
    </row>
    <row r="113" spans="2:28">
      <c r="B113" s="40">
        <v>0.40208333333333335</v>
      </c>
      <c r="C113" s="40" t="s">
        <v>318</v>
      </c>
      <c r="D113" s="41">
        <v>7</v>
      </c>
      <c r="E113" s="42">
        <v>3</v>
      </c>
      <c r="F113" s="42" t="s">
        <v>319</v>
      </c>
      <c r="G113" s="43" t="s">
        <v>154</v>
      </c>
      <c r="H113" s="42" t="s">
        <v>155</v>
      </c>
      <c r="I113" s="43">
        <v>11</v>
      </c>
      <c r="J113" s="43">
        <v>2</v>
      </c>
      <c r="K113" s="25" t="str">
        <f>VLOOKUP(J113,Key!$E$2:$F$9,2,FALSE)</f>
        <v>Work</v>
      </c>
      <c r="L113" s="42" t="s">
        <v>320</v>
      </c>
      <c r="M113" s="43" t="s">
        <v>321</v>
      </c>
      <c r="N113" s="42" t="s">
        <v>155</v>
      </c>
      <c r="O113" s="43">
        <v>1</v>
      </c>
      <c r="P113" s="43">
        <v>1</v>
      </c>
      <c r="Q113" s="25" t="str">
        <f>VLOOKUP(P113,Key!$E$2:$F$9,2,FALSE)</f>
        <v>Home</v>
      </c>
      <c r="R113" s="25" t="str">
        <f t="shared" si="2"/>
        <v>Work-Home</v>
      </c>
      <c r="S113" s="58">
        <v>150</v>
      </c>
      <c r="T113" s="58">
        <v>2.5</v>
      </c>
      <c r="U113" s="43">
        <v>4</v>
      </c>
      <c r="V113" s="43"/>
      <c r="W113" s="58"/>
      <c r="X113" s="58"/>
      <c r="Y113" s="59" t="s">
        <v>156</v>
      </c>
      <c r="Z113" s="60">
        <v>5000</v>
      </c>
      <c r="AA113" s="25"/>
      <c r="AB113" s="25"/>
    </row>
    <row r="114" spans="2:28">
      <c r="B114" s="40">
        <v>0.4055555555555555</v>
      </c>
      <c r="C114" s="40" t="s">
        <v>322</v>
      </c>
      <c r="D114" s="41">
        <v>1</v>
      </c>
      <c r="E114" s="42">
        <v>1</v>
      </c>
      <c r="F114" s="42" t="s">
        <v>262</v>
      </c>
      <c r="G114" s="43" t="s">
        <v>262</v>
      </c>
      <c r="H114" s="42" t="s">
        <v>155</v>
      </c>
      <c r="I114" s="43">
        <v>1</v>
      </c>
      <c r="J114" s="43">
        <v>1</v>
      </c>
      <c r="K114" s="25" t="str">
        <f>VLOOKUP(J114,Key!$E$2:$F$9,2,FALSE)</f>
        <v>Home</v>
      </c>
      <c r="L114" s="42" t="s">
        <v>300</v>
      </c>
      <c r="M114" s="43" t="s">
        <v>254</v>
      </c>
      <c r="N114" s="42" t="s">
        <v>155</v>
      </c>
      <c r="O114" s="43">
        <v>1</v>
      </c>
      <c r="P114" s="43">
        <v>1</v>
      </c>
      <c r="Q114" s="25" t="str">
        <f>VLOOKUP(P114,Key!$E$2:$F$9,2,FALSE)</f>
        <v>Home</v>
      </c>
      <c r="R114" s="25" t="str">
        <f t="shared" si="2"/>
        <v>Home-Home</v>
      </c>
      <c r="S114" s="58">
        <v>100</v>
      </c>
      <c r="T114" s="58">
        <v>3.5</v>
      </c>
      <c r="U114" s="43">
        <v>5</v>
      </c>
      <c r="V114" s="43"/>
      <c r="W114" s="58"/>
      <c r="X114" s="58"/>
      <c r="Y114" s="59" t="s">
        <v>156</v>
      </c>
      <c r="Z114" s="60">
        <v>2000</v>
      </c>
      <c r="AA114" s="25"/>
      <c r="AB114" s="25"/>
    </row>
    <row r="115" spans="2:28">
      <c r="B115" s="40">
        <v>0.37847222222222227</v>
      </c>
      <c r="C115" s="40" t="s">
        <v>323</v>
      </c>
      <c r="D115" s="41">
        <v>7</v>
      </c>
      <c r="E115" s="42">
        <v>1</v>
      </c>
      <c r="F115" s="42" t="s">
        <v>146</v>
      </c>
      <c r="G115" s="43" t="s">
        <v>154</v>
      </c>
      <c r="H115" s="42" t="s">
        <v>155</v>
      </c>
      <c r="I115" s="43">
        <v>1</v>
      </c>
      <c r="J115" s="43">
        <v>1</v>
      </c>
      <c r="K115" s="25" t="str">
        <f>VLOOKUP(J115,Key!$E$2:$F$9,2,FALSE)</f>
        <v>Home</v>
      </c>
      <c r="L115" s="42" t="s">
        <v>147</v>
      </c>
      <c r="M115" s="43" t="s">
        <v>154</v>
      </c>
      <c r="N115" s="42" t="s">
        <v>155</v>
      </c>
      <c r="O115" s="43">
        <v>11</v>
      </c>
      <c r="P115" s="43">
        <v>4</v>
      </c>
      <c r="Q115" s="25" t="str">
        <f>VLOOKUP(P115,Key!$E$2:$F$9,2,FALSE)</f>
        <v>Commercial</v>
      </c>
      <c r="R115" s="25" t="str">
        <f t="shared" si="2"/>
        <v>Home-Commercial</v>
      </c>
      <c r="S115" s="58">
        <v>3.5</v>
      </c>
      <c r="T115" s="58">
        <v>1</v>
      </c>
      <c r="U115" s="43">
        <v>1</v>
      </c>
      <c r="V115" s="43"/>
      <c r="W115" s="58"/>
      <c r="X115" s="58"/>
      <c r="Y115" s="59" t="s">
        <v>156</v>
      </c>
      <c r="Z115" s="60">
        <v>1000</v>
      </c>
      <c r="AA115" s="25"/>
      <c r="AB115" s="25"/>
    </row>
    <row r="116" spans="2:28">
      <c r="B116" s="40">
        <v>0.375</v>
      </c>
      <c r="C116" s="40" t="s">
        <v>324</v>
      </c>
      <c r="D116" s="41">
        <v>7</v>
      </c>
      <c r="E116" s="42">
        <v>4</v>
      </c>
      <c r="F116" s="42" t="s">
        <v>184</v>
      </c>
      <c r="G116" s="43" t="s">
        <v>154</v>
      </c>
      <c r="H116" s="42" t="s">
        <v>155</v>
      </c>
      <c r="I116" s="43">
        <v>13</v>
      </c>
      <c r="J116" s="43">
        <v>4</v>
      </c>
      <c r="K116" s="25" t="str">
        <f>VLOOKUP(J116,Key!$E$2:$F$9,2,FALSE)</f>
        <v>Commercial</v>
      </c>
      <c r="L116" s="42" t="s">
        <v>168</v>
      </c>
      <c r="M116" s="43" t="s">
        <v>154</v>
      </c>
      <c r="N116" s="42" t="s">
        <v>155</v>
      </c>
      <c r="O116" s="43">
        <v>10</v>
      </c>
      <c r="P116" s="43">
        <v>4</v>
      </c>
      <c r="Q116" s="25" t="str">
        <f>VLOOKUP(P116,Key!$E$2:$F$9,2,FALSE)</f>
        <v>Commercial</v>
      </c>
      <c r="R116" s="25" t="str">
        <f t="shared" si="2"/>
        <v>Commercial-Commercial</v>
      </c>
      <c r="S116" s="58">
        <v>7</v>
      </c>
      <c r="T116" s="58">
        <v>0.6</v>
      </c>
      <c r="U116" s="43">
        <v>2</v>
      </c>
      <c r="V116" s="43"/>
      <c r="W116" s="58"/>
      <c r="X116" s="58"/>
      <c r="Y116" s="59" t="s">
        <v>156</v>
      </c>
      <c r="Z116" s="60">
        <v>2000</v>
      </c>
      <c r="AA116" s="25"/>
      <c r="AB116" s="25"/>
    </row>
    <row r="117" spans="2:28">
      <c r="B117" s="40">
        <v>0.53611111111111109</v>
      </c>
      <c r="C117" s="40" t="s">
        <v>325</v>
      </c>
      <c r="D117" s="41">
        <v>4</v>
      </c>
      <c r="E117" s="42">
        <v>15</v>
      </c>
      <c r="F117" s="42" t="s">
        <v>278</v>
      </c>
      <c r="G117" s="43" t="s">
        <v>154</v>
      </c>
      <c r="H117" s="42" t="s">
        <v>155</v>
      </c>
      <c r="I117" s="43">
        <v>6</v>
      </c>
      <c r="J117" s="43">
        <v>4</v>
      </c>
      <c r="K117" s="25" t="str">
        <f>VLOOKUP(J117,Key!$E$2:$F$9,2,FALSE)</f>
        <v>Commercial</v>
      </c>
      <c r="L117" s="42" t="s">
        <v>154</v>
      </c>
      <c r="M117" s="43" t="s">
        <v>154</v>
      </c>
      <c r="N117" s="42" t="s">
        <v>155</v>
      </c>
      <c r="O117" s="43">
        <v>6</v>
      </c>
      <c r="P117" s="43">
        <v>4</v>
      </c>
      <c r="Q117" s="25" t="str">
        <f>VLOOKUP(P117,Key!$E$2:$F$9,2,FALSE)</f>
        <v>Commercial</v>
      </c>
      <c r="R117" s="25" t="str">
        <f t="shared" si="2"/>
        <v>Commercial-Commercial</v>
      </c>
      <c r="S117" s="58"/>
      <c r="T117" s="58">
        <v>2</v>
      </c>
      <c r="U117" s="43">
        <v>1</v>
      </c>
      <c r="V117" s="43"/>
      <c r="W117" s="58"/>
      <c r="X117" s="58"/>
      <c r="Y117" s="59" t="s">
        <v>156</v>
      </c>
      <c r="Z117" s="60">
        <v>1000</v>
      </c>
      <c r="AA117" s="25"/>
      <c r="AB117" s="25"/>
    </row>
    <row r="118" spans="2:28">
      <c r="B118" s="40">
        <v>0.53125</v>
      </c>
      <c r="C118" s="40" t="s">
        <v>326</v>
      </c>
      <c r="D118" s="41">
        <v>1</v>
      </c>
      <c r="E118" s="42">
        <v>2</v>
      </c>
      <c r="F118" s="42" t="s">
        <v>184</v>
      </c>
      <c r="G118" s="43" t="s">
        <v>154</v>
      </c>
      <c r="H118" s="42" t="s">
        <v>155</v>
      </c>
      <c r="I118" s="43">
        <v>1</v>
      </c>
      <c r="J118" s="43">
        <v>1</v>
      </c>
      <c r="K118" s="25" t="str">
        <f>VLOOKUP(J118,Key!$E$2:$F$9,2,FALSE)</f>
        <v>Home</v>
      </c>
      <c r="L118" s="42" t="s">
        <v>327</v>
      </c>
      <c r="M118" s="43" t="s">
        <v>154</v>
      </c>
      <c r="N118" s="42" t="s">
        <v>155</v>
      </c>
      <c r="O118" s="43">
        <v>4</v>
      </c>
      <c r="P118" s="43">
        <v>4</v>
      </c>
      <c r="Q118" s="25" t="str">
        <f>VLOOKUP(P118,Key!$E$2:$F$9,2,FALSE)</f>
        <v>Commercial</v>
      </c>
      <c r="R118" s="25" t="str">
        <f t="shared" si="2"/>
        <v>Home-Commercial</v>
      </c>
      <c r="S118" s="58">
        <v>3.5</v>
      </c>
      <c r="T118" s="58">
        <v>0.5</v>
      </c>
      <c r="U118" s="43">
        <v>2</v>
      </c>
      <c r="V118" s="43"/>
      <c r="W118" s="58"/>
      <c r="X118" s="58"/>
      <c r="Y118" s="59" t="s">
        <v>156</v>
      </c>
      <c r="Z118" s="60">
        <v>2000</v>
      </c>
      <c r="AA118" s="25"/>
      <c r="AB118" s="25"/>
    </row>
    <row r="119" spans="2:28">
      <c r="B119" s="40">
        <v>0.6069444444444444</v>
      </c>
      <c r="C119" s="40" t="s">
        <v>328</v>
      </c>
      <c r="D119" s="41">
        <v>4</v>
      </c>
      <c r="E119" s="42">
        <v>16</v>
      </c>
      <c r="F119" s="42" t="s">
        <v>146</v>
      </c>
      <c r="G119" s="43" t="s">
        <v>154</v>
      </c>
      <c r="H119" s="42" t="s">
        <v>155</v>
      </c>
      <c r="I119" s="43">
        <v>6</v>
      </c>
      <c r="J119" s="43">
        <v>4</v>
      </c>
      <c r="K119" s="25" t="str">
        <f>VLOOKUP(J119,Key!$E$2:$F$9,2,FALSE)</f>
        <v>Commercial</v>
      </c>
      <c r="L119" s="42" t="s">
        <v>147</v>
      </c>
      <c r="M119" s="43" t="s">
        <v>154</v>
      </c>
      <c r="N119" s="42" t="s">
        <v>155</v>
      </c>
      <c r="O119" s="43">
        <v>6</v>
      </c>
      <c r="P119" s="43">
        <v>2</v>
      </c>
      <c r="Q119" s="25" t="str">
        <f>VLOOKUP(P119,Key!$E$2:$F$9,2,FALSE)</f>
        <v>Work</v>
      </c>
      <c r="R119" s="25" t="str">
        <f t="shared" si="2"/>
        <v>Commercial-Work</v>
      </c>
      <c r="S119" s="58">
        <v>9</v>
      </c>
      <c r="T119" s="58">
        <v>0.4</v>
      </c>
      <c r="U119" s="43">
        <v>1</v>
      </c>
      <c r="V119" s="43"/>
      <c r="W119" s="58"/>
      <c r="X119" s="58"/>
      <c r="Y119" s="59" t="s">
        <v>156</v>
      </c>
      <c r="Z119" s="60">
        <v>1000</v>
      </c>
      <c r="AA119" s="25"/>
      <c r="AB119" s="25"/>
    </row>
    <row r="120" spans="2:28">
      <c r="B120" s="40">
        <v>0.60277777777777775</v>
      </c>
      <c r="C120" s="40" t="s">
        <v>329</v>
      </c>
      <c r="D120" s="41">
        <v>1</v>
      </c>
      <c r="E120" s="42">
        <v>2</v>
      </c>
      <c r="F120" s="42" t="s">
        <v>159</v>
      </c>
      <c r="G120" s="43" t="s">
        <v>159</v>
      </c>
      <c r="H120" s="42" t="s">
        <v>155</v>
      </c>
      <c r="I120" s="43">
        <v>11</v>
      </c>
      <c r="J120" s="43">
        <v>4</v>
      </c>
      <c r="K120" s="25" t="str">
        <f>VLOOKUP(J120,Key!$E$2:$F$9,2,FALSE)</f>
        <v>Commercial</v>
      </c>
      <c r="L120" s="42" t="s">
        <v>168</v>
      </c>
      <c r="M120" s="43" t="s">
        <v>154</v>
      </c>
      <c r="N120" s="42" t="s">
        <v>155</v>
      </c>
      <c r="O120" s="43">
        <v>1</v>
      </c>
      <c r="P120" s="43">
        <v>1</v>
      </c>
      <c r="Q120" s="25" t="str">
        <f>VLOOKUP(P120,Key!$E$2:$F$9,2,FALSE)</f>
        <v>Home</v>
      </c>
      <c r="R120" s="25" t="str">
        <f t="shared" si="2"/>
        <v>Commercial-Home</v>
      </c>
      <c r="S120" s="58"/>
      <c r="T120" s="58">
        <v>1</v>
      </c>
      <c r="U120" s="43">
        <v>3</v>
      </c>
      <c r="V120" s="43"/>
      <c r="W120" s="58"/>
      <c r="X120" s="58"/>
      <c r="Y120" s="59" t="s">
        <v>156</v>
      </c>
      <c r="Z120" s="60">
        <v>1000</v>
      </c>
      <c r="AA120" s="25"/>
      <c r="AB120" s="25"/>
    </row>
    <row r="121" spans="2:28">
      <c r="B121" s="40">
        <v>0.5444444444444444</v>
      </c>
      <c r="C121" s="40" t="s">
        <v>330</v>
      </c>
      <c r="D121" s="41">
        <v>1</v>
      </c>
      <c r="E121" s="42">
        <v>2</v>
      </c>
      <c r="F121" s="42" t="s">
        <v>170</v>
      </c>
      <c r="G121" s="43" t="s">
        <v>159</v>
      </c>
      <c r="H121" s="42" t="s">
        <v>155</v>
      </c>
      <c r="I121" s="43">
        <v>16</v>
      </c>
      <c r="J121" s="43">
        <v>8</v>
      </c>
      <c r="K121" s="25" t="str">
        <f>VLOOKUP(J121,Key!$E$2:$F$9,2,FALSE)</f>
        <v>Others</v>
      </c>
      <c r="L121" s="42" t="s">
        <v>192</v>
      </c>
      <c r="M121" s="43" t="s">
        <v>202</v>
      </c>
      <c r="N121" s="42" t="s">
        <v>155</v>
      </c>
      <c r="O121" s="43">
        <v>16</v>
      </c>
      <c r="P121" s="43">
        <v>8</v>
      </c>
      <c r="Q121" s="25" t="str">
        <f>VLOOKUP(P121,Key!$E$2:$F$9,2,FALSE)</f>
        <v>Others</v>
      </c>
      <c r="R121" s="25" t="str">
        <f t="shared" si="2"/>
        <v>Others-Others</v>
      </c>
      <c r="S121" s="58"/>
      <c r="T121" s="58">
        <v>1</v>
      </c>
      <c r="U121" s="43">
        <v>3</v>
      </c>
      <c r="V121" s="43"/>
      <c r="W121" s="58"/>
      <c r="X121" s="58"/>
      <c r="Y121" s="59" t="s">
        <v>156</v>
      </c>
      <c r="Z121" s="60">
        <v>5000</v>
      </c>
      <c r="AA121" s="25"/>
      <c r="AB121" s="25"/>
    </row>
    <row r="122" spans="2:28">
      <c r="B122" s="40">
        <v>0.55277777777777781</v>
      </c>
      <c r="C122" s="40" t="s">
        <v>331</v>
      </c>
      <c r="D122" s="41">
        <v>1</v>
      </c>
      <c r="E122" s="42">
        <v>1</v>
      </c>
      <c r="F122" s="42" t="s">
        <v>194</v>
      </c>
      <c r="G122" s="43" t="s">
        <v>159</v>
      </c>
      <c r="H122" s="42" t="s">
        <v>155</v>
      </c>
      <c r="I122" s="43">
        <v>1</v>
      </c>
      <c r="J122" s="43">
        <v>1</v>
      </c>
      <c r="K122" s="25" t="str">
        <f>VLOOKUP(J122,Key!$E$2:$F$9,2,FALSE)</f>
        <v>Home</v>
      </c>
      <c r="L122" s="42" t="s">
        <v>192</v>
      </c>
      <c r="M122" s="43" t="s">
        <v>202</v>
      </c>
      <c r="N122" s="42" t="s">
        <v>155</v>
      </c>
      <c r="O122" s="43">
        <v>4</v>
      </c>
      <c r="P122" s="43">
        <v>4</v>
      </c>
      <c r="Q122" s="25" t="str">
        <f>VLOOKUP(P122,Key!$E$2:$F$9,2,FALSE)</f>
        <v>Commercial</v>
      </c>
      <c r="R122" s="25" t="str">
        <f t="shared" si="2"/>
        <v>Home-Commercial</v>
      </c>
      <c r="S122" s="58"/>
      <c r="T122" s="58">
        <v>0.3</v>
      </c>
      <c r="U122" s="43">
        <v>4</v>
      </c>
      <c r="V122" s="43"/>
      <c r="W122" s="58"/>
      <c r="X122" s="58"/>
      <c r="Y122" s="59" t="s">
        <v>156</v>
      </c>
      <c r="Z122" s="60">
        <v>2000</v>
      </c>
      <c r="AA122" s="25"/>
      <c r="AB122" s="25"/>
    </row>
    <row r="123" spans="2:28">
      <c r="B123" s="40">
        <v>0.44722222222222219</v>
      </c>
      <c r="C123" s="40" t="s">
        <v>332</v>
      </c>
      <c r="D123" s="41">
        <v>8</v>
      </c>
      <c r="E123" s="42">
        <v>2</v>
      </c>
      <c r="F123" s="42" t="s">
        <v>146</v>
      </c>
      <c r="G123" s="43" t="s">
        <v>154</v>
      </c>
      <c r="H123" s="42" t="s">
        <v>155</v>
      </c>
      <c r="I123" s="43">
        <v>16</v>
      </c>
      <c r="J123" s="43">
        <v>8</v>
      </c>
      <c r="K123" s="25" t="str">
        <f>VLOOKUP(J123,Key!$E$2:$F$9,2,FALSE)</f>
        <v>Others</v>
      </c>
      <c r="L123" s="42" t="s">
        <v>168</v>
      </c>
      <c r="M123" s="43" t="s">
        <v>154</v>
      </c>
      <c r="N123" s="42" t="s">
        <v>155</v>
      </c>
      <c r="O123" s="43">
        <v>4</v>
      </c>
      <c r="P123" s="43">
        <v>8</v>
      </c>
      <c r="Q123" s="25" t="str">
        <f>VLOOKUP(P123,Key!$E$2:$F$9,2,FALSE)</f>
        <v>Others</v>
      </c>
      <c r="R123" s="25" t="str">
        <f t="shared" si="2"/>
        <v>Others-Others</v>
      </c>
      <c r="S123" s="58">
        <v>1</v>
      </c>
      <c r="T123" s="58">
        <v>0.1</v>
      </c>
      <c r="U123" s="43">
        <v>1</v>
      </c>
      <c r="V123" s="43"/>
      <c r="W123" s="58"/>
      <c r="X123" s="58"/>
      <c r="Y123" s="59" t="s">
        <v>156</v>
      </c>
      <c r="Z123" s="60">
        <v>1000</v>
      </c>
      <c r="AA123" s="25"/>
      <c r="AB123" s="25"/>
    </row>
    <row r="124" spans="2:28">
      <c r="B124" s="40">
        <v>0.45069444444444445</v>
      </c>
      <c r="C124" s="40" t="s">
        <v>333</v>
      </c>
      <c r="D124" s="41">
        <v>1</v>
      </c>
      <c r="E124" s="42">
        <v>2</v>
      </c>
      <c r="F124" s="42" t="s">
        <v>189</v>
      </c>
      <c r="G124" s="43" t="s">
        <v>154</v>
      </c>
      <c r="H124" s="42" t="s">
        <v>155</v>
      </c>
      <c r="I124" s="43">
        <v>1</v>
      </c>
      <c r="J124" s="43">
        <v>1</v>
      </c>
      <c r="K124" s="25" t="str">
        <f>VLOOKUP(J124,Key!$E$2:$F$9,2,FALSE)</f>
        <v>Home</v>
      </c>
      <c r="L124" s="42" t="s">
        <v>175</v>
      </c>
      <c r="M124" s="43" t="s">
        <v>154</v>
      </c>
      <c r="N124" s="42" t="s">
        <v>155</v>
      </c>
      <c r="O124" s="43">
        <v>1</v>
      </c>
      <c r="P124" s="43">
        <v>1</v>
      </c>
      <c r="Q124" s="25" t="str">
        <f>VLOOKUP(P124,Key!$E$2:$F$9,2,FALSE)</f>
        <v>Home</v>
      </c>
      <c r="R124" s="25" t="str">
        <f t="shared" si="2"/>
        <v>Home-Home</v>
      </c>
      <c r="S124" s="58">
        <v>10</v>
      </c>
      <c r="T124" s="58">
        <v>1</v>
      </c>
      <c r="U124" s="43">
        <v>1</v>
      </c>
      <c r="V124" s="43"/>
      <c r="W124" s="58"/>
      <c r="X124" s="58"/>
      <c r="Y124" s="59" t="s">
        <v>156</v>
      </c>
      <c r="Z124" s="60">
        <v>1000</v>
      </c>
      <c r="AA124" s="25"/>
      <c r="AB124" s="25"/>
    </row>
    <row r="125" spans="2:28">
      <c r="B125" s="40">
        <v>0.56666666666666665</v>
      </c>
      <c r="C125" s="40" t="s">
        <v>334</v>
      </c>
      <c r="D125" s="41">
        <v>7</v>
      </c>
      <c r="E125" s="42">
        <v>2</v>
      </c>
      <c r="F125" s="42" t="s">
        <v>146</v>
      </c>
      <c r="G125" s="43" t="s">
        <v>154</v>
      </c>
      <c r="H125" s="42" t="s">
        <v>155</v>
      </c>
      <c r="I125" s="43">
        <v>13</v>
      </c>
      <c r="J125" s="43">
        <v>4</v>
      </c>
      <c r="K125" s="25" t="str">
        <f>VLOOKUP(J125,Key!$E$2:$F$9,2,FALSE)</f>
        <v>Commercial</v>
      </c>
      <c r="L125" s="42" t="s">
        <v>154</v>
      </c>
      <c r="M125" s="43" t="s">
        <v>154</v>
      </c>
      <c r="N125" s="42" t="s">
        <v>155</v>
      </c>
      <c r="O125" s="43">
        <v>13</v>
      </c>
      <c r="P125" s="43">
        <v>4</v>
      </c>
      <c r="Q125" s="25" t="str">
        <f>VLOOKUP(P125,Key!$E$2:$F$9,2,FALSE)</f>
        <v>Commercial</v>
      </c>
      <c r="R125" s="25" t="str">
        <f t="shared" si="2"/>
        <v>Commercial-Commercial</v>
      </c>
      <c r="S125" s="58"/>
      <c r="T125" s="58">
        <v>0.3</v>
      </c>
      <c r="U125" s="43">
        <v>1</v>
      </c>
      <c r="V125" s="43"/>
      <c r="W125" s="58"/>
      <c r="X125" s="58"/>
      <c r="Y125" s="59" t="s">
        <v>156</v>
      </c>
      <c r="Z125" s="60">
        <v>1000</v>
      </c>
      <c r="AA125" s="25"/>
      <c r="AB125" s="25"/>
    </row>
    <row r="126" spans="2:28">
      <c r="B126" s="40">
        <v>0.56944444444444442</v>
      </c>
      <c r="C126" s="40" t="s">
        <v>335</v>
      </c>
      <c r="D126" s="41">
        <v>7</v>
      </c>
      <c r="E126" s="42">
        <v>1</v>
      </c>
      <c r="F126" s="42" t="s">
        <v>336</v>
      </c>
      <c r="G126" s="43" t="s">
        <v>159</v>
      </c>
      <c r="H126" s="42" t="s">
        <v>155</v>
      </c>
      <c r="I126" s="43">
        <v>1</v>
      </c>
      <c r="J126" s="43">
        <v>1</v>
      </c>
      <c r="K126" s="25" t="str">
        <f>VLOOKUP(J126,Key!$E$2:$F$9,2,FALSE)</f>
        <v>Home</v>
      </c>
      <c r="L126" s="42" t="s">
        <v>337</v>
      </c>
      <c r="M126" s="43" t="s">
        <v>154</v>
      </c>
      <c r="N126" s="42" t="s">
        <v>155</v>
      </c>
      <c r="O126" s="43">
        <v>15</v>
      </c>
      <c r="P126" s="43">
        <v>4</v>
      </c>
      <c r="Q126" s="25" t="str">
        <f>VLOOKUP(P126,Key!$E$2:$F$9,2,FALSE)</f>
        <v>Commercial</v>
      </c>
      <c r="R126" s="25" t="str">
        <f t="shared" si="2"/>
        <v>Home-Commercial</v>
      </c>
      <c r="S126" s="58">
        <v>3</v>
      </c>
      <c r="T126" s="58">
        <v>0.5</v>
      </c>
      <c r="U126" s="43">
        <v>2</v>
      </c>
      <c r="V126" s="43"/>
      <c r="W126" s="58"/>
      <c r="X126" s="58"/>
      <c r="Y126" s="59" t="s">
        <v>156</v>
      </c>
      <c r="Z126" s="60">
        <v>2000</v>
      </c>
      <c r="AA126" s="25"/>
      <c r="AB126" s="25"/>
    </row>
    <row r="127" spans="2:28">
      <c r="B127" s="40">
        <v>0.46180555555555558</v>
      </c>
      <c r="C127" s="40" t="s">
        <v>338</v>
      </c>
      <c r="D127" s="41">
        <v>7</v>
      </c>
      <c r="E127" s="42">
        <v>2</v>
      </c>
      <c r="F127" s="42" t="s">
        <v>146</v>
      </c>
      <c r="G127" s="43" t="s">
        <v>154</v>
      </c>
      <c r="H127" s="42" t="s">
        <v>155</v>
      </c>
      <c r="I127" s="43">
        <v>16</v>
      </c>
      <c r="J127" s="43">
        <v>8</v>
      </c>
      <c r="K127" s="25" t="str">
        <f>VLOOKUP(J127,Key!$E$2:$F$9,2,FALSE)</f>
        <v>Others</v>
      </c>
      <c r="L127" s="42" t="s">
        <v>339</v>
      </c>
      <c r="M127" s="43" t="s">
        <v>154</v>
      </c>
      <c r="N127" s="42" t="s">
        <v>155</v>
      </c>
      <c r="O127" s="43">
        <v>10</v>
      </c>
      <c r="P127" s="43">
        <v>4</v>
      </c>
      <c r="Q127" s="25" t="str">
        <f>VLOOKUP(P127,Key!$E$2:$F$9,2,FALSE)</f>
        <v>Commercial</v>
      </c>
      <c r="R127" s="25" t="str">
        <f t="shared" si="2"/>
        <v>Others-Commercial</v>
      </c>
      <c r="S127" s="58">
        <v>3</v>
      </c>
      <c r="T127" s="58">
        <v>0.5</v>
      </c>
      <c r="U127" s="43">
        <v>1</v>
      </c>
      <c r="V127" s="43"/>
      <c r="W127" s="58"/>
      <c r="X127" s="58"/>
      <c r="Y127" s="59" t="s">
        <v>156</v>
      </c>
      <c r="Z127" s="60">
        <v>2000</v>
      </c>
      <c r="AA127" s="25"/>
      <c r="AB127" s="25"/>
    </row>
    <row r="128" spans="2:28">
      <c r="B128" s="40">
        <v>0.4597222222222222</v>
      </c>
      <c r="C128" s="40" t="s">
        <v>340</v>
      </c>
      <c r="D128" s="41">
        <v>1</v>
      </c>
      <c r="E128" s="42">
        <v>1</v>
      </c>
      <c r="F128" s="42" t="s">
        <v>159</v>
      </c>
      <c r="G128" s="43" t="s">
        <v>159</v>
      </c>
      <c r="H128" s="42" t="s">
        <v>155</v>
      </c>
      <c r="I128" s="43">
        <v>2</v>
      </c>
      <c r="J128" s="43">
        <v>2</v>
      </c>
      <c r="K128" s="25" t="str">
        <f>VLOOKUP(J128,Key!$E$2:$F$9,2,FALSE)</f>
        <v>Work</v>
      </c>
      <c r="L128" s="42" t="s">
        <v>341</v>
      </c>
      <c r="M128" s="43" t="s">
        <v>154</v>
      </c>
      <c r="N128" s="42" t="s">
        <v>155</v>
      </c>
      <c r="O128" s="43">
        <v>1</v>
      </c>
      <c r="P128" s="43">
        <v>1</v>
      </c>
      <c r="Q128" s="25" t="str">
        <f>VLOOKUP(P128,Key!$E$2:$F$9,2,FALSE)</f>
        <v>Home</v>
      </c>
      <c r="R128" s="25" t="str">
        <f t="shared" si="2"/>
        <v>Work-Home</v>
      </c>
      <c r="S128" s="58">
        <v>25</v>
      </c>
      <c r="T128" s="58">
        <v>1</v>
      </c>
      <c r="U128" s="43">
        <v>1</v>
      </c>
      <c r="V128" s="43"/>
      <c r="W128" s="58"/>
      <c r="X128" s="58"/>
      <c r="Y128" s="59" t="s">
        <v>156</v>
      </c>
      <c r="Z128" s="60">
        <v>1000</v>
      </c>
      <c r="AA128" s="25"/>
      <c r="AB128" s="25"/>
    </row>
    <row r="129" spans="1:28">
      <c r="B129" s="40">
        <v>0.4381944444444445</v>
      </c>
      <c r="C129" s="40" t="s">
        <v>342</v>
      </c>
      <c r="D129" s="41">
        <v>1</v>
      </c>
      <c r="E129" s="42">
        <v>1</v>
      </c>
      <c r="F129" s="42" t="s">
        <v>146</v>
      </c>
      <c r="G129" s="43" t="s">
        <v>154</v>
      </c>
      <c r="H129" s="42" t="s">
        <v>155</v>
      </c>
      <c r="I129" s="43">
        <v>11</v>
      </c>
      <c r="J129" s="43">
        <v>4</v>
      </c>
      <c r="K129" s="25" t="str">
        <f>VLOOKUP(J129,Key!$E$2:$F$9,2,FALSE)</f>
        <v>Commercial</v>
      </c>
      <c r="L129" s="42" t="s">
        <v>147</v>
      </c>
      <c r="M129" s="43" t="s">
        <v>154</v>
      </c>
      <c r="N129" s="42" t="s">
        <v>155</v>
      </c>
      <c r="O129" s="43">
        <v>11</v>
      </c>
      <c r="P129" s="43">
        <v>4</v>
      </c>
      <c r="Q129" s="25" t="str">
        <f>VLOOKUP(P129,Key!$E$2:$F$9,2,FALSE)</f>
        <v>Commercial</v>
      </c>
      <c r="R129" s="25" t="str">
        <f t="shared" si="2"/>
        <v>Commercial-Commercial</v>
      </c>
      <c r="S129" s="58">
        <v>12</v>
      </c>
      <c r="T129" s="58">
        <v>0.5</v>
      </c>
      <c r="U129" s="43">
        <v>2</v>
      </c>
      <c r="V129" s="43"/>
      <c r="W129" s="58"/>
      <c r="X129" s="58"/>
      <c r="Y129" s="59" t="s">
        <v>156</v>
      </c>
      <c r="Z129" s="60">
        <v>1000</v>
      </c>
      <c r="AA129" s="25"/>
      <c r="AB129" s="25"/>
    </row>
    <row r="130" spans="1:28">
      <c r="B130" s="40">
        <v>0.44166666666666665</v>
      </c>
      <c r="C130" s="40" t="s">
        <v>343</v>
      </c>
      <c r="D130" s="41">
        <v>4</v>
      </c>
      <c r="E130" s="42">
        <v>2</v>
      </c>
      <c r="F130" s="42" t="s">
        <v>184</v>
      </c>
      <c r="G130" s="43" t="s">
        <v>154</v>
      </c>
      <c r="H130" s="42" t="s">
        <v>155</v>
      </c>
      <c r="I130" s="43">
        <v>1</v>
      </c>
      <c r="J130" s="43">
        <v>1</v>
      </c>
      <c r="K130" s="25" t="str">
        <f>VLOOKUP(J130,Key!$E$2:$F$9,2,FALSE)</f>
        <v>Home</v>
      </c>
      <c r="L130" s="42" t="s">
        <v>344</v>
      </c>
      <c r="M130" s="43" t="s">
        <v>154</v>
      </c>
      <c r="N130" s="42" t="s">
        <v>155</v>
      </c>
      <c r="O130" s="43">
        <v>4</v>
      </c>
      <c r="P130" s="43">
        <v>4</v>
      </c>
      <c r="Q130" s="25" t="str">
        <f>VLOOKUP(P130,Key!$E$2:$F$9,2,FALSE)</f>
        <v>Commercial</v>
      </c>
      <c r="R130" s="25" t="str">
        <f t="shared" si="2"/>
        <v>Home-Commercial</v>
      </c>
      <c r="S130" s="58">
        <v>8</v>
      </c>
      <c r="T130" s="58">
        <v>0.5</v>
      </c>
      <c r="U130" s="43">
        <v>1</v>
      </c>
      <c r="V130" s="43"/>
      <c r="W130" s="58"/>
      <c r="X130" s="58"/>
      <c r="Y130" s="59" t="s">
        <v>156</v>
      </c>
      <c r="Z130" s="60">
        <v>1000</v>
      </c>
      <c r="AA130" s="25"/>
      <c r="AB130" s="25"/>
    </row>
    <row r="131" spans="1:28">
      <c r="B131" s="40">
        <v>0.43541666666666662</v>
      </c>
      <c r="C131" s="40" t="s">
        <v>345</v>
      </c>
      <c r="D131" s="41">
        <v>4</v>
      </c>
      <c r="E131" s="42">
        <v>16</v>
      </c>
      <c r="F131" s="42" t="s">
        <v>146</v>
      </c>
      <c r="G131" s="43" t="s">
        <v>154</v>
      </c>
      <c r="H131" s="42" t="s">
        <v>155</v>
      </c>
      <c r="I131" s="43">
        <v>6</v>
      </c>
      <c r="J131" s="43">
        <v>2</v>
      </c>
      <c r="K131" s="25" t="str">
        <f>VLOOKUP(J131,Key!$E$2:$F$9,2,FALSE)</f>
        <v>Work</v>
      </c>
      <c r="L131" s="42" t="s">
        <v>147</v>
      </c>
      <c r="M131" s="43" t="s">
        <v>154</v>
      </c>
      <c r="N131" s="42" t="s">
        <v>155</v>
      </c>
      <c r="O131" s="43">
        <v>6</v>
      </c>
      <c r="P131" s="43">
        <v>4</v>
      </c>
      <c r="Q131" s="25" t="str">
        <f>VLOOKUP(P131,Key!$E$2:$F$9,2,FALSE)</f>
        <v>Commercial</v>
      </c>
      <c r="R131" s="25" t="str">
        <f t="shared" si="2"/>
        <v>Work-Commercial</v>
      </c>
      <c r="S131" s="58">
        <v>10</v>
      </c>
      <c r="T131" s="58">
        <v>0.5</v>
      </c>
      <c r="U131" s="43">
        <v>2</v>
      </c>
      <c r="V131" s="43"/>
      <c r="W131" s="58"/>
      <c r="X131" s="58"/>
      <c r="Y131" s="59" t="s">
        <v>156</v>
      </c>
      <c r="Z131" s="60">
        <v>1000</v>
      </c>
      <c r="AA131" s="25"/>
      <c r="AB131" s="25"/>
    </row>
    <row r="132" spans="1:28">
      <c r="B132" s="40">
        <v>0.43263888888888885</v>
      </c>
      <c r="C132" s="40" t="s">
        <v>346</v>
      </c>
      <c r="D132" s="41">
        <v>7</v>
      </c>
      <c r="E132" s="42">
        <v>3</v>
      </c>
      <c r="F132" s="42" t="s">
        <v>205</v>
      </c>
      <c r="G132" s="43" t="s">
        <v>202</v>
      </c>
      <c r="H132" s="42" t="s">
        <v>155</v>
      </c>
      <c r="I132" s="43">
        <v>14</v>
      </c>
      <c r="J132" s="43">
        <v>4</v>
      </c>
      <c r="K132" s="25" t="str">
        <f>VLOOKUP(J132,Key!$E$2:$F$9,2,FALSE)</f>
        <v>Commercial</v>
      </c>
      <c r="L132" s="42" t="s">
        <v>168</v>
      </c>
      <c r="M132" s="43" t="s">
        <v>154</v>
      </c>
      <c r="N132" s="42" t="s">
        <v>155</v>
      </c>
      <c r="O132" s="43">
        <v>1</v>
      </c>
      <c r="P132" s="43">
        <v>1</v>
      </c>
      <c r="Q132" s="25" t="str">
        <f>VLOOKUP(P132,Key!$E$2:$F$9,2,FALSE)</f>
        <v>Home</v>
      </c>
      <c r="R132" s="25" t="str">
        <f t="shared" si="2"/>
        <v>Commercial-Home</v>
      </c>
      <c r="S132" s="58">
        <v>25</v>
      </c>
      <c r="T132" s="58">
        <v>1.5</v>
      </c>
      <c r="U132" s="43">
        <v>2</v>
      </c>
      <c r="V132" s="43"/>
      <c r="W132" s="58"/>
      <c r="X132" s="58"/>
      <c r="Y132" s="59" t="s">
        <v>156</v>
      </c>
      <c r="Z132" s="60">
        <v>5000</v>
      </c>
      <c r="AA132" s="25"/>
      <c r="AB132" s="25"/>
    </row>
    <row r="133" spans="1:28">
      <c r="B133" s="40">
        <v>0.5756944444444444</v>
      </c>
      <c r="C133" s="40" t="s">
        <v>347</v>
      </c>
      <c r="D133" s="41">
        <v>1</v>
      </c>
      <c r="E133" s="42">
        <v>5</v>
      </c>
      <c r="F133" s="42" t="s">
        <v>162</v>
      </c>
      <c r="G133" s="43" t="s">
        <v>163</v>
      </c>
      <c r="H133" s="42" t="s">
        <v>155</v>
      </c>
      <c r="I133" s="43">
        <v>1</v>
      </c>
      <c r="J133" s="43">
        <v>1</v>
      </c>
      <c r="K133" s="25" t="str">
        <f>VLOOKUP(J133,Key!$E$2:$F$9,2,FALSE)</f>
        <v>Home</v>
      </c>
      <c r="L133" s="42" t="s">
        <v>348</v>
      </c>
      <c r="M133" s="43" t="s">
        <v>254</v>
      </c>
      <c r="N133" s="42" t="s">
        <v>155</v>
      </c>
      <c r="O133" s="43">
        <v>16</v>
      </c>
      <c r="P133" s="43">
        <v>8</v>
      </c>
      <c r="Q133" s="25" t="str">
        <f>VLOOKUP(P133,Key!$E$2:$F$9,2,FALSE)</f>
        <v>Others</v>
      </c>
      <c r="R133" s="25" t="str">
        <f t="shared" si="2"/>
        <v>Home-Others</v>
      </c>
      <c r="S133" s="58">
        <v>26</v>
      </c>
      <c r="T133" s="58">
        <v>1</v>
      </c>
      <c r="U133" s="43">
        <v>6</v>
      </c>
      <c r="V133" s="43"/>
      <c r="W133" s="58"/>
      <c r="X133" s="58"/>
      <c r="Y133" s="59" t="s">
        <v>156</v>
      </c>
      <c r="Z133" s="60">
        <v>1000</v>
      </c>
      <c r="AA133" s="25"/>
      <c r="AB133" s="25"/>
    </row>
    <row r="134" spans="1:28">
      <c r="B134" s="40">
        <v>0.57152777777777775</v>
      </c>
      <c r="C134" s="40" t="s">
        <v>349</v>
      </c>
      <c r="D134" s="41">
        <v>1</v>
      </c>
      <c r="E134" s="42">
        <v>1</v>
      </c>
      <c r="F134" s="42" t="s">
        <v>184</v>
      </c>
      <c r="G134" s="43" t="s">
        <v>154</v>
      </c>
      <c r="H134" s="42" t="s">
        <v>155</v>
      </c>
      <c r="I134" s="43">
        <v>2</v>
      </c>
      <c r="J134" s="43">
        <v>2</v>
      </c>
      <c r="K134" s="25" t="str">
        <f>VLOOKUP(J134,Key!$E$2:$F$9,2,FALSE)</f>
        <v>Work</v>
      </c>
      <c r="L134" s="42" t="s">
        <v>350</v>
      </c>
      <c r="M134" s="43" t="s">
        <v>154</v>
      </c>
      <c r="N134" s="42" t="s">
        <v>155</v>
      </c>
      <c r="O134" s="43">
        <v>2</v>
      </c>
      <c r="P134" s="43">
        <v>2</v>
      </c>
      <c r="Q134" s="25" t="str">
        <f>VLOOKUP(P134,Key!$E$2:$F$9,2,FALSE)</f>
        <v>Work</v>
      </c>
      <c r="R134" s="25" t="str">
        <f t="shared" si="2"/>
        <v>Work-Work</v>
      </c>
      <c r="S134" s="58">
        <v>6</v>
      </c>
      <c r="T134" s="58">
        <v>0.1</v>
      </c>
      <c r="U134" s="43">
        <v>1</v>
      </c>
      <c r="V134" s="43"/>
      <c r="W134" s="58"/>
      <c r="X134" s="58"/>
      <c r="Y134" s="59" t="s">
        <v>156</v>
      </c>
      <c r="Z134" s="60">
        <v>3000</v>
      </c>
      <c r="AA134" s="25"/>
      <c r="AB134" s="25"/>
    </row>
    <row r="135" spans="1:28">
      <c r="B135" s="40">
        <v>0.34166666666666662</v>
      </c>
      <c r="C135" s="40" t="s">
        <v>351</v>
      </c>
      <c r="D135" s="41">
        <v>3</v>
      </c>
      <c r="E135" s="42">
        <v>1</v>
      </c>
      <c r="F135" s="42" t="s">
        <v>146</v>
      </c>
      <c r="G135" s="43" t="s">
        <v>154</v>
      </c>
      <c r="H135" s="42" t="s">
        <v>155</v>
      </c>
      <c r="I135" s="43">
        <v>16</v>
      </c>
      <c r="J135" s="43">
        <v>8</v>
      </c>
      <c r="K135" s="25" t="str">
        <f>VLOOKUP(J135,Key!$E$2:$F$9,2,FALSE)</f>
        <v>Others</v>
      </c>
      <c r="L135" s="42" t="s">
        <v>160</v>
      </c>
      <c r="M135" s="43" t="s">
        <v>154</v>
      </c>
      <c r="N135" s="42" t="s">
        <v>155</v>
      </c>
      <c r="O135" s="43">
        <v>1</v>
      </c>
      <c r="P135" s="43">
        <v>1</v>
      </c>
      <c r="Q135" s="25" t="str">
        <f>VLOOKUP(P135,Key!$E$2:$F$9,2,FALSE)</f>
        <v>Home</v>
      </c>
      <c r="R135" s="25" t="str">
        <f t="shared" si="2"/>
        <v>Others-Home</v>
      </c>
      <c r="S135" s="58">
        <v>3</v>
      </c>
      <c r="T135" s="58">
        <v>0.1</v>
      </c>
      <c r="U135" s="43">
        <v>1</v>
      </c>
      <c r="V135" s="43"/>
      <c r="W135" s="58"/>
      <c r="X135" s="58"/>
      <c r="Y135" s="59" t="s">
        <v>156</v>
      </c>
      <c r="Z135" s="60">
        <v>3000</v>
      </c>
      <c r="AA135" s="25"/>
      <c r="AB135" s="25"/>
    </row>
    <row r="136" spans="1:28">
      <c r="B136" s="40">
        <v>0.34652777777777777</v>
      </c>
      <c r="C136" s="40" t="s">
        <v>352</v>
      </c>
      <c r="D136" s="41">
        <v>4</v>
      </c>
      <c r="E136" s="42">
        <v>2</v>
      </c>
      <c r="F136" s="42" t="s">
        <v>146</v>
      </c>
      <c r="G136" s="43" t="s">
        <v>154</v>
      </c>
      <c r="H136" s="42" t="s">
        <v>155</v>
      </c>
      <c r="I136" s="43">
        <v>1</v>
      </c>
      <c r="J136" s="43">
        <v>1</v>
      </c>
      <c r="K136" s="25" t="str">
        <f>VLOOKUP(J136,Key!$E$2:$F$9,2,FALSE)</f>
        <v>Home</v>
      </c>
      <c r="L136" s="42" t="s">
        <v>175</v>
      </c>
      <c r="M136" s="43" t="s">
        <v>154</v>
      </c>
      <c r="N136" s="42" t="s">
        <v>155</v>
      </c>
      <c r="O136" s="43">
        <v>5</v>
      </c>
      <c r="P136" s="43">
        <v>7</v>
      </c>
      <c r="Q136" s="25" t="str">
        <f>VLOOKUP(P136,Key!$E$2:$F$9,2,FALSE)</f>
        <v>Hospital</v>
      </c>
      <c r="R136" s="25" t="str">
        <f t="shared" si="2"/>
        <v>Home-Hospital</v>
      </c>
      <c r="S136" s="58">
        <v>7</v>
      </c>
      <c r="T136" s="58">
        <v>0.2</v>
      </c>
      <c r="U136" s="43">
        <v>2</v>
      </c>
      <c r="V136" s="43"/>
      <c r="W136" s="58"/>
      <c r="X136" s="58"/>
      <c r="Y136" s="59" t="s">
        <v>156</v>
      </c>
      <c r="Z136" s="60">
        <v>1000</v>
      </c>
      <c r="AA136" s="25"/>
      <c r="AB136" s="25"/>
    </row>
    <row r="137" spans="1:28">
      <c r="B137" s="40">
        <v>0.35694444444444445</v>
      </c>
      <c r="C137" s="40" t="s">
        <v>353</v>
      </c>
      <c r="D137" s="41">
        <v>1</v>
      </c>
      <c r="E137" s="42">
        <v>4</v>
      </c>
      <c r="F137" s="42" t="s">
        <v>319</v>
      </c>
      <c r="G137" s="43" t="s">
        <v>154</v>
      </c>
      <c r="H137" s="42" t="s">
        <v>155</v>
      </c>
      <c r="I137" s="43">
        <v>1</v>
      </c>
      <c r="J137" s="43">
        <v>1</v>
      </c>
      <c r="K137" s="25" t="str">
        <f>VLOOKUP(J137,Key!$E$2:$F$9,2,FALSE)</f>
        <v>Home</v>
      </c>
      <c r="L137" s="42" t="s">
        <v>175</v>
      </c>
      <c r="M137" s="43" t="s">
        <v>154</v>
      </c>
      <c r="N137" s="42" t="s">
        <v>155</v>
      </c>
      <c r="O137" s="43">
        <v>4</v>
      </c>
      <c r="P137" s="43">
        <v>3</v>
      </c>
      <c r="Q137" s="25" t="str">
        <f>VLOOKUP(P137,Key!$E$2:$F$9,2,FALSE)</f>
        <v>Study</v>
      </c>
      <c r="R137" s="25" t="str">
        <f t="shared" si="2"/>
        <v>Home-Study</v>
      </c>
      <c r="S137" s="58"/>
      <c r="T137" s="58">
        <v>0.7</v>
      </c>
      <c r="U137" s="43">
        <v>2</v>
      </c>
      <c r="V137" s="43"/>
      <c r="W137" s="58"/>
      <c r="X137" s="58"/>
      <c r="Y137" s="59" t="s">
        <v>156</v>
      </c>
      <c r="Z137" s="60">
        <v>1000</v>
      </c>
      <c r="AA137" s="25"/>
      <c r="AB137" s="25"/>
    </row>
    <row r="138" spans="1:28">
      <c r="B138" s="40">
        <v>0.35972222222222222</v>
      </c>
      <c r="C138" s="40" t="s">
        <v>354</v>
      </c>
      <c r="D138" s="41">
        <v>4</v>
      </c>
      <c r="E138" s="42">
        <v>17</v>
      </c>
      <c r="F138" s="42" t="s">
        <v>146</v>
      </c>
      <c r="G138" s="43" t="s">
        <v>154</v>
      </c>
      <c r="H138" s="42" t="s">
        <v>155</v>
      </c>
      <c r="I138" s="43">
        <v>6</v>
      </c>
      <c r="J138" s="43">
        <v>4</v>
      </c>
      <c r="K138" s="25" t="str">
        <f>VLOOKUP(J138,Key!$E$2:$F$9,2,FALSE)</f>
        <v>Commercial</v>
      </c>
      <c r="L138" s="42" t="s">
        <v>147</v>
      </c>
      <c r="M138" s="43" t="s">
        <v>154</v>
      </c>
      <c r="N138" s="42" t="s">
        <v>155</v>
      </c>
      <c r="O138" s="43">
        <v>6</v>
      </c>
      <c r="P138" s="43">
        <v>4</v>
      </c>
      <c r="Q138" s="25" t="str">
        <f>VLOOKUP(P138,Key!$E$2:$F$9,2,FALSE)</f>
        <v>Commercial</v>
      </c>
      <c r="R138" s="25" t="str">
        <f t="shared" si="2"/>
        <v>Commercial-Commercial</v>
      </c>
      <c r="S138" s="58">
        <v>4</v>
      </c>
      <c r="T138" s="58">
        <v>0.3</v>
      </c>
      <c r="U138" s="43">
        <v>1</v>
      </c>
      <c r="V138" s="43"/>
      <c r="W138" s="58"/>
      <c r="X138" s="58"/>
      <c r="Y138" s="59" t="s">
        <v>156</v>
      </c>
      <c r="Z138" s="60">
        <v>1000</v>
      </c>
      <c r="AA138" s="25"/>
      <c r="AB138" s="25"/>
    </row>
    <row r="139" spans="1:28">
      <c r="B139" s="40">
        <v>0.36805555555555558</v>
      </c>
      <c r="C139" s="40" t="s">
        <v>355</v>
      </c>
      <c r="D139" s="41">
        <v>9</v>
      </c>
      <c r="E139" s="42">
        <v>2</v>
      </c>
      <c r="F139" s="42" t="s">
        <v>199</v>
      </c>
      <c r="G139" s="43" t="s">
        <v>159</v>
      </c>
      <c r="H139" s="42" t="s">
        <v>155</v>
      </c>
      <c r="I139" s="43">
        <v>3</v>
      </c>
      <c r="J139" s="43">
        <v>4</v>
      </c>
      <c r="K139" s="25" t="str">
        <f>VLOOKUP(J139,Key!$E$2:$F$9,2,FALSE)</f>
        <v>Commercial</v>
      </c>
      <c r="L139" s="42" t="s">
        <v>146</v>
      </c>
      <c r="M139" s="43" t="s">
        <v>154</v>
      </c>
      <c r="N139" s="42" t="s">
        <v>155</v>
      </c>
      <c r="O139" s="43">
        <v>2</v>
      </c>
      <c r="P139" s="43">
        <v>2</v>
      </c>
      <c r="Q139" s="25" t="str">
        <f>VLOOKUP(P139,Key!$E$2:$F$9,2,FALSE)</f>
        <v>Work</v>
      </c>
      <c r="R139" s="25" t="str">
        <f t="shared" si="2"/>
        <v>Commercial-Work</v>
      </c>
      <c r="S139" s="58"/>
      <c r="T139" s="58">
        <v>1</v>
      </c>
      <c r="U139" s="43">
        <v>2</v>
      </c>
      <c r="V139" s="43"/>
      <c r="W139" s="58"/>
      <c r="X139" s="58"/>
      <c r="Y139" s="59" t="s">
        <v>156</v>
      </c>
      <c r="Z139" s="60">
        <v>5000</v>
      </c>
      <c r="AA139" s="25"/>
      <c r="AB139" s="25"/>
    </row>
    <row r="140" spans="1:28">
      <c r="B140" s="40">
        <v>0.37222222222222223</v>
      </c>
      <c r="C140" s="40" t="s">
        <v>356</v>
      </c>
      <c r="D140" s="41">
        <v>1</v>
      </c>
      <c r="E140" s="42">
        <v>4</v>
      </c>
      <c r="F140" s="42" t="s">
        <v>146</v>
      </c>
      <c r="G140" s="43" t="s">
        <v>154</v>
      </c>
      <c r="H140" s="42" t="s">
        <v>155</v>
      </c>
      <c r="I140" s="43">
        <v>1</v>
      </c>
      <c r="J140" s="43">
        <v>1</v>
      </c>
      <c r="K140" s="25" t="str">
        <f>VLOOKUP(J140,Key!$E$2:$F$9,2,FALSE)</f>
        <v>Home</v>
      </c>
      <c r="L140" s="42" t="s">
        <v>147</v>
      </c>
      <c r="M140" s="43" t="s">
        <v>154</v>
      </c>
      <c r="N140" s="42" t="s">
        <v>155</v>
      </c>
      <c r="O140" s="43">
        <v>10</v>
      </c>
      <c r="P140" s="43">
        <v>4</v>
      </c>
      <c r="Q140" s="25" t="str">
        <f>VLOOKUP(P140,Key!$E$2:$F$9,2,FALSE)</f>
        <v>Commercial</v>
      </c>
      <c r="R140" s="25" t="str">
        <f t="shared" si="2"/>
        <v>Home-Commercial</v>
      </c>
      <c r="S140" s="58">
        <v>5</v>
      </c>
      <c r="T140" s="58">
        <v>0.3</v>
      </c>
      <c r="U140" s="43">
        <v>1</v>
      </c>
      <c r="V140" s="43"/>
      <c r="W140" s="58"/>
      <c r="X140" s="58"/>
      <c r="Y140" s="59" t="s">
        <v>156</v>
      </c>
      <c r="Z140" s="60">
        <v>1000</v>
      </c>
      <c r="AA140" s="25"/>
      <c r="AB140" s="25"/>
    </row>
    <row r="141" spans="1:28">
      <c r="B141" s="40">
        <v>0.3659722222222222</v>
      </c>
      <c r="C141" s="40" t="s">
        <v>357</v>
      </c>
      <c r="D141" s="41">
        <v>8</v>
      </c>
      <c r="E141" s="42">
        <v>1</v>
      </c>
      <c r="F141" s="42" t="s">
        <v>146</v>
      </c>
      <c r="G141" s="43" t="s">
        <v>154</v>
      </c>
      <c r="H141" s="42" t="s">
        <v>155</v>
      </c>
      <c r="I141" s="43">
        <v>16</v>
      </c>
      <c r="J141" s="43">
        <v>8</v>
      </c>
      <c r="K141" s="25" t="str">
        <f>VLOOKUP(J141,Key!$E$2:$F$9,2,FALSE)</f>
        <v>Others</v>
      </c>
      <c r="L141" s="42" t="s">
        <v>168</v>
      </c>
      <c r="M141" s="43" t="s">
        <v>154</v>
      </c>
      <c r="N141" s="42" t="s">
        <v>155</v>
      </c>
      <c r="O141" s="43">
        <v>16</v>
      </c>
      <c r="P141" s="43">
        <v>8</v>
      </c>
      <c r="Q141" s="25" t="str">
        <f>VLOOKUP(P141,Key!$E$2:$F$9,2,FALSE)</f>
        <v>Others</v>
      </c>
      <c r="R141" s="25" t="str">
        <f t="shared" si="2"/>
        <v>Others-Others</v>
      </c>
      <c r="S141" s="58">
        <v>2</v>
      </c>
      <c r="T141" s="58">
        <v>0.1</v>
      </c>
      <c r="U141" s="43">
        <v>2</v>
      </c>
      <c r="V141" s="43"/>
      <c r="W141" s="58"/>
      <c r="X141" s="58"/>
      <c r="Y141" s="59" t="s">
        <v>156</v>
      </c>
      <c r="Z141" s="60">
        <v>3000</v>
      </c>
      <c r="AA141" s="25"/>
      <c r="AB141" s="25"/>
    </row>
    <row r="142" spans="1:28">
      <c r="B142" s="40">
        <v>0.3743055555555555</v>
      </c>
      <c r="C142" s="40" t="s">
        <v>358</v>
      </c>
      <c r="D142" s="41">
        <v>1</v>
      </c>
      <c r="E142" s="42">
        <v>1</v>
      </c>
      <c r="F142" s="42" t="s">
        <v>319</v>
      </c>
      <c r="G142" s="43" t="s">
        <v>154</v>
      </c>
      <c r="H142" s="42" t="s">
        <v>155</v>
      </c>
      <c r="I142" s="43">
        <v>1</v>
      </c>
      <c r="J142" s="43">
        <v>1</v>
      </c>
      <c r="K142" s="25" t="str">
        <f>VLOOKUP(J142,Key!$E$2:$F$9,2,FALSE)</f>
        <v>Home</v>
      </c>
      <c r="L142" s="42" t="s">
        <v>245</v>
      </c>
      <c r="M142" s="43" t="s">
        <v>154</v>
      </c>
      <c r="N142" s="42" t="s">
        <v>155</v>
      </c>
      <c r="O142" s="43">
        <v>9</v>
      </c>
      <c r="P142" s="43">
        <v>4</v>
      </c>
      <c r="Q142" s="25" t="str">
        <f>VLOOKUP(P142,Key!$E$2:$F$9,2,FALSE)</f>
        <v>Commercial</v>
      </c>
      <c r="R142" s="25" t="str">
        <f t="shared" si="2"/>
        <v>Home-Commercial</v>
      </c>
      <c r="S142" s="58">
        <v>10</v>
      </c>
      <c r="T142" s="58">
        <v>1</v>
      </c>
      <c r="U142" s="43">
        <v>2</v>
      </c>
      <c r="V142" s="43"/>
      <c r="W142" s="58"/>
      <c r="X142" s="58"/>
      <c r="Y142" s="59" t="s">
        <v>156</v>
      </c>
      <c r="Z142" s="60">
        <v>2000</v>
      </c>
      <c r="AA142" s="25"/>
      <c r="AB142" s="25"/>
    </row>
    <row r="143" spans="1:28">
      <c r="A143" s="14"/>
      <c r="B143" s="40">
        <v>0.3527777777777778</v>
      </c>
      <c r="C143" s="40" t="s">
        <v>359</v>
      </c>
      <c r="D143" s="41">
        <v>1</v>
      </c>
      <c r="E143" s="42">
        <v>1</v>
      </c>
      <c r="F143" s="42" t="s">
        <v>226</v>
      </c>
      <c r="G143" s="43" t="s">
        <v>154</v>
      </c>
      <c r="H143" s="42" t="s">
        <v>155</v>
      </c>
      <c r="I143" s="43">
        <v>1</v>
      </c>
      <c r="J143" s="43">
        <v>1</v>
      </c>
      <c r="K143" s="25" t="str">
        <f>VLOOKUP(J143,Key!$E$2:$F$9,2,FALSE)</f>
        <v>Home</v>
      </c>
      <c r="L143" s="42" t="s">
        <v>360</v>
      </c>
      <c r="M143" s="43" t="s">
        <v>154</v>
      </c>
      <c r="N143" s="42" t="s">
        <v>155</v>
      </c>
      <c r="O143" s="43">
        <v>4</v>
      </c>
      <c r="P143" s="43">
        <v>4</v>
      </c>
      <c r="Q143" s="25" t="str">
        <f>VLOOKUP(P143,Key!$E$2:$F$9,2,FALSE)</f>
        <v>Commercial</v>
      </c>
      <c r="R143" s="25" t="str">
        <f t="shared" si="2"/>
        <v>Home-Commercial</v>
      </c>
      <c r="S143" s="58"/>
      <c r="T143" s="58">
        <v>0.7</v>
      </c>
      <c r="U143" s="43">
        <v>6</v>
      </c>
      <c r="V143" s="43"/>
      <c r="W143" s="58"/>
      <c r="X143" s="58"/>
      <c r="Y143" s="59"/>
      <c r="Z143" s="60"/>
      <c r="AA143" s="25"/>
      <c r="AB143" s="25"/>
    </row>
    <row r="144" spans="1:28">
      <c r="A144" s="14"/>
      <c r="B144" s="40">
        <v>0.34930555555555554</v>
      </c>
      <c r="C144" s="40" t="s">
        <v>361</v>
      </c>
      <c r="D144" s="41">
        <v>7</v>
      </c>
      <c r="E144" s="42">
        <v>1</v>
      </c>
      <c r="F144" s="42" t="s">
        <v>146</v>
      </c>
      <c r="G144" s="43" t="s">
        <v>154</v>
      </c>
      <c r="H144" s="42" t="s">
        <v>155</v>
      </c>
      <c r="I144" s="43">
        <v>1</v>
      </c>
      <c r="J144" s="43">
        <v>1</v>
      </c>
      <c r="K144" s="25" t="str">
        <f>VLOOKUP(J144,Key!$E$2:$F$9,2,FALSE)</f>
        <v>Home</v>
      </c>
      <c r="L144" s="42" t="s">
        <v>147</v>
      </c>
      <c r="M144" s="43" t="s">
        <v>154</v>
      </c>
      <c r="N144" s="42" t="s">
        <v>155</v>
      </c>
      <c r="O144" s="43">
        <v>13</v>
      </c>
      <c r="P144" s="43">
        <v>4</v>
      </c>
      <c r="Q144" s="25" t="str">
        <f>VLOOKUP(P144,Key!$E$2:$F$9,2,FALSE)</f>
        <v>Commercial</v>
      </c>
      <c r="R144" s="25" t="str">
        <f t="shared" si="2"/>
        <v>Home-Commercial</v>
      </c>
      <c r="S144" s="58">
        <v>4</v>
      </c>
      <c r="T144" s="58">
        <v>0.3</v>
      </c>
      <c r="U144" s="43">
        <v>1</v>
      </c>
      <c r="V144" s="43"/>
      <c r="W144" s="58"/>
      <c r="X144" s="58"/>
      <c r="Y144" s="59" t="s">
        <v>156</v>
      </c>
      <c r="Z144" s="60">
        <v>2000</v>
      </c>
      <c r="AA144" s="25"/>
      <c r="AB144" s="25"/>
    </row>
    <row r="145" spans="1:28">
      <c r="A145" s="14"/>
      <c r="B145" s="40">
        <v>0.7680555555555556</v>
      </c>
      <c r="C145" s="40" t="s">
        <v>362</v>
      </c>
      <c r="D145" s="41">
        <v>1</v>
      </c>
      <c r="E145" s="42">
        <v>2</v>
      </c>
      <c r="F145" s="42" t="s">
        <v>363</v>
      </c>
      <c r="G145" s="43" t="s">
        <v>159</v>
      </c>
      <c r="H145" s="42" t="s">
        <v>155</v>
      </c>
      <c r="I145" s="43">
        <v>2</v>
      </c>
      <c r="J145" s="43">
        <v>2</v>
      </c>
      <c r="K145" s="25" t="str">
        <f>VLOOKUP(J145,Key!$E$2:$F$9,2,FALSE)</f>
        <v>Work</v>
      </c>
      <c r="L145" s="42" t="s">
        <v>364</v>
      </c>
      <c r="M145" s="43" t="s">
        <v>154</v>
      </c>
      <c r="N145" s="42" t="s">
        <v>155</v>
      </c>
      <c r="O145" s="43">
        <v>1</v>
      </c>
      <c r="P145" s="43">
        <v>1</v>
      </c>
      <c r="Q145" s="25" t="str">
        <f>VLOOKUP(P145,Key!$E$2:$F$9,2,FALSE)</f>
        <v>Home</v>
      </c>
      <c r="R145" s="25" t="str">
        <f t="shared" si="2"/>
        <v>Work-Home</v>
      </c>
      <c r="S145" s="58">
        <v>17</v>
      </c>
      <c r="T145" s="58">
        <v>1</v>
      </c>
      <c r="U145" s="43">
        <v>2</v>
      </c>
      <c r="V145" s="43"/>
      <c r="W145" s="58"/>
      <c r="X145" s="58"/>
      <c r="Y145" s="59" t="s">
        <v>156</v>
      </c>
      <c r="Z145" s="60">
        <v>1000</v>
      </c>
      <c r="AA145" s="25"/>
      <c r="AB145" s="25"/>
    </row>
    <row r="146" spans="1:28">
      <c r="B146" s="40">
        <v>0.75902777777777775</v>
      </c>
      <c r="C146" s="40" t="s">
        <v>365</v>
      </c>
      <c r="D146" s="41">
        <v>1</v>
      </c>
      <c r="E146" s="42">
        <v>2</v>
      </c>
      <c r="F146" s="42" t="s">
        <v>366</v>
      </c>
      <c r="G146" s="43" t="s">
        <v>159</v>
      </c>
      <c r="H146" s="42" t="s">
        <v>155</v>
      </c>
      <c r="I146" s="43">
        <v>2</v>
      </c>
      <c r="J146" s="43">
        <v>2</v>
      </c>
      <c r="K146" s="25" t="str">
        <f>VLOOKUP(J146,Key!$E$2:$F$9,2,FALSE)</f>
        <v>Work</v>
      </c>
      <c r="L146" s="42" t="s">
        <v>147</v>
      </c>
      <c r="M146" s="43" t="s">
        <v>154</v>
      </c>
      <c r="N146" s="42" t="s">
        <v>155</v>
      </c>
      <c r="O146" s="43">
        <v>1</v>
      </c>
      <c r="P146" s="43">
        <v>1</v>
      </c>
      <c r="Q146" s="25" t="str">
        <f>VLOOKUP(P146,Key!$E$2:$F$9,2,FALSE)</f>
        <v>Home</v>
      </c>
      <c r="R146" s="25" t="str">
        <f t="shared" si="2"/>
        <v>Work-Home</v>
      </c>
      <c r="S146" s="58"/>
      <c r="T146" s="58">
        <v>1</v>
      </c>
      <c r="U146" s="43">
        <v>2</v>
      </c>
      <c r="V146" s="43"/>
      <c r="W146" s="58"/>
      <c r="X146" s="58"/>
      <c r="Y146" s="59" t="s">
        <v>156</v>
      </c>
      <c r="Z146" s="60">
        <v>1000</v>
      </c>
      <c r="AA146" s="25"/>
      <c r="AB146" s="25"/>
    </row>
    <row r="147" spans="1:28">
      <c r="B147" s="40">
        <v>0.75208333333333333</v>
      </c>
      <c r="C147" s="40" t="s">
        <v>367</v>
      </c>
      <c r="D147" s="41">
        <v>1</v>
      </c>
      <c r="E147" s="42">
        <v>7</v>
      </c>
      <c r="F147" s="42" t="s">
        <v>368</v>
      </c>
      <c r="G147" s="43" t="s">
        <v>154</v>
      </c>
      <c r="H147" s="42" t="s">
        <v>155</v>
      </c>
      <c r="I147" s="43">
        <v>1</v>
      </c>
      <c r="J147" s="43">
        <v>1</v>
      </c>
      <c r="K147" s="25" t="str">
        <f>VLOOKUP(J147,Key!$E$2:$F$9,2,FALSE)</f>
        <v>Home</v>
      </c>
      <c r="L147" s="42" t="s">
        <v>147</v>
      </c>
      <c r="M147" s="43" t="s">
        <v>154</v>
      </c>
      <c r="N147" s="42" t="s">
        <v>155</v>
      </c>
      <c r="O147" s="43">
        <v>1</v>
      </c>
      <c r="P147" s="43">
        <v>1</v>
      </c>
      <c r="Q147" s="25" t="str">
        <f>VLOOKUP(P147,Key!$E$2:$F$9,2,FALSE)</f>
        <v>Home</v>
      </c>
      <c r="R147" s="25" t="str">
        <f t="shared" si="2"/>
        <v>Home-Home</v>
      </c>
      <c r="S147" s="58">
        <v>12</v>
      </c>
      <c r="T147" s="58">
        <v>0.3</v>
      </c>
      <c r="U147" s="43">
        <v>2</v>
      </c>
      <c r="V147" s="43"/>
      <c r="W147" s="58"/>
      <c r="X147" s="58"/>
      <c r="Y147" s="59" t="s">
        <v>156</v>
      </c>
      <c r="Z147" s="60">
        <v>1000</v>
      </c>
      <c r="AA147" s="25"/>
      <c r="AB147" s="25"/>
    </row>
    <row r="148" spans="1:28">
      <c r="B148" s="40">
        <v>0.75624999999999998</v>
      </c>
      <c r="C148" s="40" t="s">
        <v>369</v>
      </c>
      <c r="D148" s="41">
        <v>1</v>
      </c>
      <c r="E148" s="42">
        <v>2</v>
      </c>
      <c r="F148" s="42" t="s">
        <v>292</v>
      </c>
      <c r="G148" s="43" t="s">
        <v>154</v>
      </c>
      <c r="H148" s="42" t="s">
        <v>155</v>
      </c>
      <c r="I148" s="43">
        <v>4</v>
      </c>
      <c r="J148" s="43">
        <v>4</v>
      </c>
      <c r="K148" s="25" t="str">
        <f>VLOOKUP(J148,Key!$E$2:$F$9,2,FALSE)</f>
        <v>Commercial</v>
      </c>
      <c r="L148" s="42" t="s">
        <v>245</v>
      </c>
      <c r="M148" s="43" t="s">
        <v>154</v>
      </c>
      <c r="N148" s="42" t="s">
        <v>155</v>
      </c>
      <c r="O148" s="43">
        <v>1</v>
      </c>
      <c r="P148" s="43">
        <v>1</v>
      </c>
      <c r="Q148" s="25" t="str">
        <f>VLOOKUP(P148,Key!$E$2:$F$9,2,FALSE)</f>
        <v>Home</v>
      </c>
      <c r="R148" s="25" t="str">
        <f t="shared" si="2"/>
        <v>Commercial-Home</v>
      </c>
      <c r="S148" s="58">
        <v>10</v>
      </c>
      <c r="T148" s="58">
        <v>0.7</v>
      </c>
      <c r="U148" s="43">
        <v>1</v>
      </c>
      <c r="V148" s="43"/>
      <c r="W148" s="58"/>
      <c r="X148" s="58"/>
      <c r="Y148" s="59" t="s">
        <v>156</v>
      </c>
      <c r="Z148" s="60">
        <v>1000</v>
      </c>
      <c r="AA148" s="25"/>
      <c r="AB148" s="25"/>
    </row>
    <row r="149" spans="1:28">
      <c r="B149" s="40">
        <v>0.75</v>
      </c>
      <c r="C149" s="40" t="s">
        <v>370</v>
      </c>
      <c r="D149" s="41">
        <v>1</v>
      </c>
      <c r="E149" s="42">
        <v>4</v>
      </c>
      <c r="F149" s="42" t="s">
        <v>371</v>
      </c>
      <c r="G149" s="43" t="s">
        <v>159</v>
      </c>
      <c r="H149" s="42" t="s">
        <v>155</v>
      </c>
      <c r="I149" s="43">
        <v>4</v>
      </c>
      <c r="J149" s="43">
        <v>3</v>
      </c>
      <c r="K149" s="25" t="str">
        <f>VLOOKUP(J149,Key!$E$2:$F$9,2,FALSE)</f>
        <v>Study</v>
      </c>
      <c r="L149" s="42" t="s">
        <v>372</v>
      </c>
      <c r="M149" s="43" t="s">
        <v>154</v>
      </c>
      <c r="N149" s="42" t="s">
        <v>155</v>
      </c>
      <c r="O149" s="43">
        <v>1</v>
      </c>
      <c r="P149" s="43">
        <v>1</v>
      </c>
      <c r="Q149" s="25" t="str">
        <f>VLOOKUP(P149,Key!$E$2:$F$9,2,FALSE)</f>
        <v>Home</v>
      </c>
      <c r="R149" s="25" t="str">
        <f t="shared" si="2"/>
        <v>Study-Home</v>
      </c>
      <c r="S149" s="58">
        <v>5</v>
      </c>
      <c r="T149" s="58">
        <v>0.2</v>
      </c>
      <c r="U149" s="43">
        <v>2</v>
      </c>
      <c r="V149" s="43"/>
      <c r="W149" s="58"/>
      <c r="X149" s="58"/>
      <c r="Y149" s="59" t="s">
        <v>156</v>
      </c>
      <c r="Z149" s="60">
        <v>1000</v>
      </c>
      <c r="AA149" s="25"/>
      <c r="AB149" s="25"/>
    </row>
    <row r="150" spans="1:28">
      <c r="B150" s="40">
        <v>0.74722222222222223</v>
      </c>
      <c r="C150" s="40" t="s">
        <v>373</v>
      </c>
      <c r="D150" s="41">
        <v>1</v>
      </c>
      <c r="E150" s="42">
        <v>3</v>
      </c>
      <c r="F150" s="42" t="s">
        <v>295</v>
      </c>
      <c r="G150" s="43" t="s">
        <v>154</v>
      </c>
      <c r="H150" s="42" t="s">
        <v>155</v>
      </c>
      <c r="I150" s="43">
        <v>2</v>
      </c>
      <c r="J150" s="43">
        <v>2</v>
      </c>
      <c r="K150" s="25" t="str">
        <f>VLOOKUP(J150,Key!$E$2:$F$9,2,FALSE)</f>
        <v>Work</v>
      </c>
      <c r="L150" s="42" t="s">
        <v>147</v>
      </c>
      <c r="M150" s="43" t="s">
        <v>154</v>
      </c>
      <c r="N150" s="42" t="s">
        <v>155</v>
      </c>
      <c r="O150" s="43">
        <v>1</v>
      </c>
      <c r="P150" s="43">
        <v>1</v>
      </c>
      <c r="Q150" s="25" t="str">
        <f>VLOOKUP(P150,Key!$E$2:$F$9,2,FALSE)</f>
        <v>Home</v>
      </c>
      <c r="R150" s="25" t="str">
        <f t="shared" si="2"/>
        <v>Work-Home</v>
      </c>
      <c r="S150" s="58">
        <v>20</v>
      </c>
      <c r="T150" s="58">
        <v>0.7</v>
      </c>
      <c r="U150" s="43">
        <v>2</v>
      </c>
      <c r="V150" s="43"/>
      <c r="W150" s="58"/>
      <c r="X150" s="58"/>
      <c r="Y150" s="59" t="s">
        <v>156</v>
      </c>
      <c r="Z150" s="60">
        <v>5000</v>
      </c>
      <c r="AA150" s="25"/>
      <c r="AB150" s="25"/>
    </row>
    <row r="151" spans="1:28">
      <c r="B151" s="40">
        <v>0.74375000000000002</v>
      </c>
      <c r="C151" s="40" t="s">
        <v>374</v>
      </c>
      <c r="D151" s="41">
        <v>1</v>
      </c>
      <c r="E151" s="42">
        <v>2</v>
      </c>
      <c r="F151" s="42" t="s">
        <v>375</v>
      </c>
      <c r="G151" s="43" t="s">
        <v>154</v>
      </c>
      <c r="H151" s="42" t="s">
        <v>155</v>
      </c>
      <c r="I151" s="43">
        <v>2</v>
      </c>
      <c r="J151" s="43">
        <v>2</v>
      </c>
      <c r="K151" s="25" t="str">
        <f>VLOOKUP(J151,Key!$E$2:$F$9,2,FALSE)</f>
        <v>Work</v>
      </c>
      <c r="L151" s="42" t="s">
        <v>376</v>
      </c>
      <c r="M151" s="43" t="s">
        <v>154</v>
      </c>
      <c r="N151" s="42" t="s">
        <v>155</v>
      </c>
      <c r="O151" s="43">
        <v>1</v>
      </c>
      <c r="P151" s="43">
        <v>1</v>
      </c>
      <c r="Q151" s="25" t="str">
        <f>VLOOKUP(P151,Key!$E$2:$F$9,2,FALSE)</f>
        <v>Home</v>
      </c>
      <c r="R151" s="25" t="str">
        <f t="shared" si="2"/>
        <v>Work-Home</v>
      </c>
      <c r="S151" s="58">
        <v>26</v>
      </c>
      <c r="T151" s="58">
        <v>0.7</v>
      </c>
      <c r="U151" s="43">
        <v>2</v>
      </c>
      <c r="V151" s="43"/>
      <c r="W151" s="58"/>
      <c r="X151" s="58"/>
      <c r="Y151" s="59" t="s">
        <v>156</v>
      </c>
      <c r="Z151" s="60">
        <v>2000</v>
      </c>
      <c r="AA151" s="25"/>
      <c r="AB151" s="25"/>
    </row>
    <row r="152" spans="1:28">
      <c r="B152" s="40">
        <v>0.7416666666666667</v>
      </c>
      <c r="C152" s="40" t="s">
        <v>377</v>
      </c>
      <c r="D152" s="41">
        <v>1</v>
      </c>
      <c r="E152" s="42">
        <v>7</v>
      </c>
      <c r="F152" s="42" t="s">
        <v>378</v>
      </c>
      <c r="G152" s="43" t="s">
        <v>154</v>
      </c>
      <c r="H152" s="42" t="s">
        <v>155</v>
      </c>
      <c r="I152" s="43">
        <v>1</v>
      </c>
      <c r="J152" s="43">
        <v>1</v>
      </c>
      <c r="K152" s="25" t="str">
        <f>VLOOKUP(J152,Key!$E$2:$F$9,2,FALSE)</f>
        <v>Home</v>
      </c>
      <c r="L152" s="42" t="s">
        <v>379</v>
      </c>
      <c r="M152" s="43" t="s">
        <v>380</v>
      </c>
      <c r="N152" s="42" t="s">
        <v>155</v>
      </c>
      <c r="O152" s="43">
        <v>1</v>
      </c>
      <c r="P152" s="43">
        <v>1</v>
      </c>
      <c r="Q152" s="25" t="str">
        <f>VLOOKUP(P152,Key!$E$2:$F$9,2,FALSE)</f>
        <v>Home</v>
      </c>
      <c r="R152" s="25" t="str">
        <f t="shared" si="2"/>
        <v>Home-Home</v>
      </c>
      <c r="S152" s="58"/>
      <c r="T152" s="58">
        <v>2</v>
      </c>
      <c r="U152" s="43">
        <v>5</v>
      </c>
      <c r="V152" s="43"/>
      <c r="W152" s="58"/>
      <c r="X152" s="58"/>
      <c r="Y152" s="59" t="s">
        <v>156</v>
      </c>
      <c r="Z152" s="60">
        <v>1000</v>
      </c>
      <c r="AA152" s="25"/>
      <c r="AB152" s="25"/>
    </row>
    <row r="153" spans="1:28">
      <c r="B153" s="40">
        <v>0.73472222222222217</v>
      </c>
      <c r="C153" s="40" t="s">
        <v>381</v>
      </c>
      <c r="D153" s="41">
        <v>1</v>
      </c>
      <c r="E153" s="42">
        <v>5</v>
      </c>
      <c r="F153" s="42" t="s">
        <v>382</v>
      </c>
      <c r="G153" s="43" t="s">
        <v>159</v>
      </c>
      <c r="H153" s="42" t="s">
        <v>155</v>
      </c>
      <c r="I153" s="43">
        <v>2</v>
      </c>
      <c r="J153" s="43">
        <v>4</v>
      </c>
      <c r="K153" s="25" t="str">
        <f>VLOOKUP(J153,Key!$E$2:$F$9,2,FALSE)</f>
        <v>Commercial</v>
      </c>
      <c r="L153" s="42" t="s">
        <v>168</v>
      </c>
      <c r="M153" s="43" t="s">
        <v>154</v>
      </c>
      <c r="N153" s="42" t="s">
        <v>155</v>
      </c>
      <c r="O153" s="43">
        <v>1</v>
      </c>
      <c r="P153" s="43">
        <v>1</v>
      </c>
      <c r="Q153" s="25" t="str">
        <f>VLOOKUP(P153,Key!$E$2:$F$9,2,FALSE)</f>
        <v>Home</v>
      </c>
      <c r="R153" s="25" t="str">
        <f t="shared" si="2"/>
        <v>Commercial-Home</v>
      </c>
      <c r="S153" s="58">
        <v>5</v>
      </c>
      <c r="T153" s="58">
        <v>1</v>
      </c>
      <c r="U153" s="43">
        <v>1</v>
      </c>
      <c r="V153" s="43"/>
      <c r="W153" s="58"/>
      <c r="X153" s="58"/>
      <c r="Y153" s="59" t="s">
        <v>156</v>
      </c>
      <c r="Z153" s="60">
        <v>1000</v>
      </c>
      <c r="AA153" s="25"/>
      <c r="AB153" s="25"/>
    </row>
    <row r="154" spans="1:28">
      <c r="B154" s="40">
        <v>0.73125000000000007</v>
      </c>
      <c r="C154" s="40" t="s">
        <v>383</v>
      </c>
      <c r="D154" s="41">
        <v>1</v>
      </c>
      <c r="E154" s="42">
        <v>4</v>
      </c>
      <c r="F154" s="42" t="s">
        <v>184</v>
      </c>
      <c r="G154" s="43" t="s">
        <v>154</v>
      </c>
      <c r="H154" s="42" t="s">
        <v>155</v>
      </c>
      <c r="I154" s="43">
        <v>4</v>
      </c>
      <c r="J154" s="43">
        <v>1</v>
      </c>
      <c r="K154" s="25" t="str">
        <f>VLOOKUP(J154,Key!$E$2:$F$9,2,FALSE)</f>
        <v>Home</v>
      </c>
      <c r="L154" s="42" t="s">
        <v>372</v>
      </c>
      <c r="M154" s="43" t="s">
        <v>154</v>
      </c>
      <c r="N154" s="42" t="s">
        <v>155</v>
      </c>
      <c r="O154" s="43">
        <v>1</v>
      </c>
      <c r="P154" s="43">
        <v>1</v>
      </c>
      <c r="Q154" s="25" t="str">
        <f>VLOOKUP(P154,Key!$E$2:$F$9,2,FALSE)</f>
        <v>Home</v>
      </c>
      <c r="R154" s="25" t="str">
        <f t="shared" si="2"/>
        <v>Home-Home</v>
      </c>
      <c r="S154" s="58">
        <v>5</v>
      </c>
      <c r="T154" s="58">
        <v>0.5</v>
      </c>
      <c r="U154" s="43">
        <v>2</v>
      </c>
      <c r="V154" s="43"/>
      <c r="W154" s="58"/>
      <c r="X154" s="58"/>
      <c r="Y154" s="59" t="s">
        <v>156</v>
      </c>
      <c r="Z154" s="60">
        <v>1000</v>
      </c>
      <c r="AA154" s="25"/>
      <c r="AB154" s="25"/>
    </row>
    <row r="155" spans="1:28">
      <c r="B155" s="40">
        <v>0.72291666666666676</v>
      </c>
      <c r="C155" s="40" t="s">
        <v>384</v>
      </c>
      <c r="D155" s="41">
        <v>7</v>
      </c>
      <c r="E155" s="42">
        <v>5</v>
      </c>
      <c r="F155" s="42" t="s">
        <v>184</v>
      </c>
      <c r="G155" s="43" t="s">
        <v>154</v>
      </c>
      <c r="H155" s="42" t="s">
        <v>155</v>
      </c>
      <c r="I155" s="43">
        <v>16</v>
      </c>
      <c r="J155" s="43">
        <v>8</v>
      </c>
      <c r="K155" s="25" t="str">
        <f>VLOOKUP(J155,Key!$E$2:$F$9,2,FALSE)</f>
        <v>Others</v>
      </c>
      <c r="L155" s="42" t="s">
        <v>385</v>
      </c>
      <c r="M155" s="43" t="s">
        <v>154</v>
      </c>
      <c r="N155" s="42" t="s">
        <v>155</v>
      </c>
      <c r="O155" s="43">
        <v>16</v>
      </c>
      <c r="P155" s="43">
        <v>8</v>
      </c>
      <c r="Q155" s="25" t="str">
        <f>VLOOKUP(P155,Key!$E$2:$F$9,2,FALSE)</f>
        <v>Others</v>
      </c>
      <c r="R155" s="25" t="str">
        <f t="shared" si="2"/>
        <v>Others-Others</v>
      </c>
      <c r="S155" s="58">
        <v>4</v>
      </c>
      <c r="T155" s="58">
        <v>0.1</v>
      </c>
      <c r="U155" s="43">
        <v>1</v>
      </c>
      <c r="V155" s="43"/>
      <c r="W155" s="58"/>
      <c r="X155" s="58"/>
      <c r="Y155" s="59"/>
      <c r="Z155" s="60"/>
      <c r="AA155" s="25"/>
      <c r="AB155" s="25"/>
    </row>
    <row r="156" spans="1:28">
      <c r="B156" s="40">
        <v>0.72499999999999998</v>
      </c>
      <c r="C156" s="40" t="s">
        <v>386</v>
      </c>
      <c r="D156" s="41">
        <v>1</v>
      </c>
      <c r="E156" s="42">
        <v>6</v>
      </c>
      <c r="F156" s="42" t="s">
        <v>165</v>
      </c>
      <c r="G156" s="43" t="s">
        <v>159</v>
      </c>
      <c r="H156" s="42" t="s">
        <v>155</v>
      </c>
      <c r="I156" s="43">
        <v>4</v>
      </c>
      <c r="J156" s="43">
        <v>4</v>
      </c>
      <c r="K156" s="25" t="str">
        <f>VLOOKUP(J156,Key!$E$2:$F$9,2,FALSE)</f>
        <v>Commercial</v>
      </c>
      <c r="L156" s="42" t="s">
        <v>160</v>
      </c>
      <c r="M156" s="43" t="s">
        <v>154</v>
      </c>
      <c r="N156" s="42" t="s">
        <v>155</v>
      </c>
      <c r="O156" s="43">
        <v>1</v>
      </c>
      <c r="P156" s="43">
        <v>1</v>
      </c>
      <c r="Q156" s="25" t="str">
        <f>VLOOKUP(P156,Key!$E$2:$F$9,2,FALSE)</f>
        <v>Home</v>
      </c>
      <c r="R156" s="25" t="str">
        <f t="shared" si="2"/>
        <v>Commercial-Home</v>
      </c>
      <c r="S156" s="58"/>
      <c r="T156" s="58">
        <v>0.5</v>
      </c>
      <c r="U156" s="43">
        <v>1</v>
      </c>
      <c r="V156" s="43"/>
      <c r="W156" s="58"/>
      <c r="X156" s="58"/>
      <c r="Y156" s="59" t="s">
        <v>156</v>
      </c>
      <c r="Z156" s="60">
        <v>1000</v>
      </c>
      <c r="AA156" s="25"/>
      <c r="AB156" s="25"/>
    </row>
    <row r="157" spans="1:28">
      <c r="B157" s="40">
        <v>0.47430555555555554</v>
      </c>
      <c r="C157" s="40" t="s">
        <v>387</v>
      </c>
      <c r="D157" s="41">
        <v>1</v>
      </c>
      <c r="E157" s="42">
        <v>4</v>
      </c>
      <c r="F157" s="42" t="s">
        <v>146</v>
      </c>
      <c r="G157" s="43" t="s">
        <v>154</v>
      </c>
      <c r="H157" s="42" t="s">
        <v>155</v>
      </c>
      <c r="I157" s="43">
        <v>1</v>
      </c>
      <c r="J157" s="43">
        <v>1</v>
      </c>
      <c r="K157" s="25" t="str">
        <f>VLOOKUP(J157,Key!$E$2:$F$9,2,FALSE)</f>
        <v>Home</v>
      </c>
      <c r="L157" s="42" t="s">
        <v>388</v>
      </c>
      <c r="M157" s="43" t="s">
        <v>202</v>
      </c>
      <c r="N157" s="42" t="s">
        <v>155</v>
      </c>
      <c r="O157" s="43">
        <v>9</v>
      </c>
      <c r="P157" s="43">
        <v>2</v>
      </c>
      <c r="Q157" s="25" t="str">
        <f>VLOOKUP(P157,Key!$E$2:$F$9,2,FALSE)</f>
        <v>Work</v>
      </c>
      <c r="R157" s="25" t="str">
        <f t="shared" si="2"/>
        <v>Home-Work</v>
      </c>
      <c r="S157" s="58"/>
      <c r="T157" s="58">
        <v>0.5</v>
      </c>
      <c r="U157" s="43">
        <v>3</v>
      </c>
      <c r="V157" s="43"/>
      <c r="W157" s="58"/>
      <c r="X157" s="58"/>
      <c r="Y157" s="59" t="s">
        <v>156</v>
      </c>
      <c r="Z157" s="60">
        <v>1000</v>
      </c>
      <c r="AA157" s="25"/>
      <c r="AB157" s="25"/>
    </row>
    <row r="158" spans="1:28">
      <c r="B158" s="40">
        <v>0.48055555555555557</v>
      </c>
      <c r="C158" s="40" t="s">
        <v>389</v>
      </c>
      <c r="D158" s="41">
        <v>1</v>
      </c>
      <c r="E158" s="42">
        <v>2</v>
      </c>
      <c r="F158" s="42" t="s">
        <v>187</v>
      </c>
      <c r="G158" s="43" t="s">
        <v>163</v>
      </c>
      <c r="H158" s="42" t="s">
        <v>155</v>
      </c>
      <c r="I158" s="43">
        <v>1</v>
      </c>
      <c r="J158" s="43">
        <v>1</v>
      </c>
      <c r="K158" s="25" t="str">
        <f>VLOOKUP(J158,Key!$E$2:$F$9,2,FALSE)</f>
        <v>Home</v>
      </c>
      <c r="L158" s="42" t="s">
        <v>192</v>
      </c>
      <c r="M158" s="43" t="s">
        <v>202</v>
      </c>
      <c r="N158" s="42" t="s">
        <v>155</v>
      </c>
      <c r="O158" s="43">
        <v>1</v>
      </c>
      <c r="P158" s="43">
        <v>1</v>
      </c>
      <c r="Q158" s="25" t="str">
        <f>VLOOKUP(P158,Key!$E$2:$F$9,2,FALSE)</f>
        <v>Home</v>
      </c>
      <c r="R158" s="25" t="str">
        <f t="shared" si="2"/>
        <v>Home-Home</v>
      </c>
      <c r="S158" s="58"/>
      <c r="T158" s="58">
        <v>1.5</v>
      </c>
      <c r="U158" s="43">
        <v>5</v>
      </c>
      <c r="V158" s="43"/>
      <c r="W158" s="58"/>
      <c r="X158" s="58"/>
      <c r="Y158" s="59" t="s">
        <v>156</v>
      </c>
      <c r="Z158" s="60">
        <v>1000</v>
      </c>
      <c r="AA158" s="25"/>
      <c r="AB158" s="25"/>
    </row>
    <row r="159" spans="1:28">
      <c r="B159" s="40"/>
      <c r="C159" s="40"/>
      <c r="D159" s="41"/>
      <c r="E159" s="42"/>
      <c r="F159" s="42"/>
      <c r="G159" s="43" t="s">
        <v>154</v>
      </c>
      <c r="H159" s="42" t="s">
        <v>155</v>
      </c>
      <c r="I159" s="43"/>
      <c r="J159" s="43"/>
      <c r="K159" s="25" t="e">
        <f>VLOOKUP(J159,Key!$E$2:$F$9,2,FALSE)</f>
        <v>#N/A</v>
      </c>
      <c r="L159" s="42"/>
      <c r="M159" s="43" t="s">
        <v>154</v>
      </c>
      <c r="N159" s="42" t="s">
        <v>155</v>
      </c>
      <c r="O159" s="43"/>
      <c r="P159" s="43"/>
      <c r="Q159" s="25" t="e">
        <f>VLOOKUP(P159,Key!$E$2:$F$9,2,FALSE)</f>
        <v>#N/A</v>
      </c>
      <c r="R159" s="25" t="e">
        <f t="shared" si="2"/>
        <v>#N/A</v>
      </c>
      <c r="S159" s="58"/>
      <c r="T159" s="58"/>
      <c r="U159" s="43"/>
      <c r="V159" s="43"/>
      <c r="W159" s="58"/>
      <c r="X159" s="58"/>
      <c r="Y159" s="59" t="s">
        <v>156</v>
      </c>
      <c r="Z159" s="60"/>
      <c r="AA159" s="25"/>
      <c r="AB159" s="25"/>
    </row>
    <row r="160" spans="1:28">
      <c r="B160" s="40"/>
      <c r="C160" s="40"/>
      <c r="D160" s="41"/>
      <c r="E160" s="42"/>
      <c r="F160" s="42"/>
      <c r="G160" s="43" t="s">
        <v>154</v>
      </c>
      <c r="H160" s="42" t="s">
        <v>155</v>
      </c>
      <c r="I160" s="43"/>
      <c r="J160" s="43"/>
      <c r="K160" s="25" t="e">
        <f>VLOOKUP(J160,Key!$E$2:$F$9,2,FALSE)</f>
        <v>#N/A</v>
      </c>
      <c r="L160" s="42"/>
      <c r="M160" s="43" t="s">
        <v>154</v>
      </c>
      <c r="N160" s="42" t="s">
        <v>155</v>
      </c>
      <c r="O160" s="43"/>
      <c r="P160" s="43"/>
      <c r="Q160" s="25" t="e">
        <f>VLOOKUP(P160,Key!$E$2:$F$9,2,FALSE)</f>
        <v>#N/A</v>
      </c>
      <c r="R160" s="25" t="e">
        <f t="shared" si="2"/>
        <v>#N/A</v>
      </c>
      <c r="S160" s="58"/>
      <c r="T160" s="58"/>
      <c r="U160" s="43"/>
      <c r="V160" s="43"/>
      <c r="W160" s="58"/>
      <c r="X160" s="58"/>
      <c r="Y160" s="59" t="s">
        <v>156</v>
      </c>
      <c r="Z160" s="60"/>
      <c r="AA160" s="25"/>
      <c r="AB160" s="25"/>
    </row>
    <row r="161" spans="2:28">
      <c r="B161" s="40"/>
      <c r="C161" s="40"/>
      <c r="D161" s="41"/>
      <c r="E161" s="42"/>
      <c r="F161" s="42"/>
      <c r="G161" s="43" t="s">
        <v>154</v>
      </c>
      <c r="H161" s="42" t="s">
        <v>155</v>
      </c>
      <c r="I161" s="43"/>
      <c r="J161" s="43"/>
      <c r="K161" s="25" t="e">
        <f>VLOOKUP(J161,Key!$E$2:$F$9,2,FALSE)</f>
        <v>#N/A</v>
      </c>
      <c r="L161" s="42"/>
      <c r="M161" s="43" t="s">
        <v>154</v>
      </c>
      <c r="N161" s="42" t="s">
        <v>155</v>
      </c>
      <c r="O161" s="43"/>
      <c r="P161" s="43"/>
      <c r="Q161" s="25" t="e">
        <f>VLOOKUP(P161,Key!$E$2:$F$9,2,FALSE)</f>
        <v>#N/A</v>
      </c>
      <c r="R161" s="25" t="e">
        <f t="shared" si="2"/>
        <v>#N/A</v>
      </c>
      <c r="S161" s="58"/>
      <c r="T161" s="58"/>
      <c r="U161" s="43"/>
      <c r="V161" s="43"/>
      <c r="W161" s="58"/>
      <c r="X161" s="58"/>
      <c r="Y161" s="59" t="s">
        <v>156</v>
      </c>
      <c r="Z161" s="60"/>
      <c r="AA161" s="25"/>
      <c r="AB161" s="25"/>
    </row>
    <row r="162" spans="2:28">
      <c r="B162" s="40"/>
      <c r="C162" s="40"/>
      <c r="D162" s="41"/>
      <c r="E162" s="42"/>
      <c r="F162" s="42"/>
      <c r="G162" s="43" t="s">
        <v>154</v>
      </c>
      <c r="H162" s="42" t="s">
        <v>155</v>
      </c>
      <c r="I162" s="43"/>
      <c r="J162" s="43"/>
      <c r="K162" s="25" t="e">
        <f>VLOOKUP(J162,Key!$E$2:$F$9,2,FALSE)</f>
        <v>#N/A</v>
      </c>
      <c r="L162" s="42"/>
      <c r="M162" s="43" t="s">
        <v>154</v>
      </c>
      <c r="N162" s="42" t="s">
        <v>155</v>
      </c>
      <c r="O162" s="43"/>
      <c r="P162" s="43"/>
      <c r="Q162" s="25" t="e">
        <f>VLOOKUP(P162,Key!$E$2:$F$9,2,FALSE)</f>
        <v>#N/A</v>
      </c>
      <c r="R162" s="25" t="e">
        <f t="shared" si="2"/>
        <v>#N/A</v>
      </c>
      <c r="S162" s="58"/>
      <c r="T162" s="58"/>
      <c r="U162" s="43"/>
      <c r="V162" s="43"/>
      <c r="W162" s="58"/>
      <c r="X162" s="58"/>
      <c r="Y162" s="59" t="s">
        <v>156</v>
      </c>
      <c r="Z162" s="60"/>
      <c r="AA162" s="25"/>
      <c r="AB162" s="25"/>
    </row>
    <row r="163" spans="2:28">
      <c r="B163" s="40"/>
      <c r="C163" s="40"/>
      <c r="D163" s="41"/>
      <c r="E163" s="42"/>
      <c r="F163" s="42"/>
      <c r="G163" s="43" t="s">
        <v>154</v>
      </c>
      <c r="H163" s="42" t="s">
        <v>155</v>
      </c>
      <c r="I163" s="43"/>
      <c r="J163" s="43"/>
      <c r="K163" s="25" t="e">
        <f>VLOOKUP(J163,Key!$E$2:$F$9,2,FALSE)</f>
        <v>#N/A</v>
      </c>
      <c r="L163" s="42"/>
      <c r="M163" s="43" t="s">
        <v>154</v>
      </c>
      <c r="N163" s="42" t="s">
        <v>155</v>
      </c>
      <c r="O163" s="43"/>
      <c r="P163" s="43"/>
      <c r="Q163" s="25" t="e">
        <f>VLOOKUP(P163,Key!$E$2:$F$9,2,FALSE)</f>
        <v>#N/A</v>
      </c>
      <c r="R163" s="25" t="e">
        <f t="shared" si="2"/>
        <v>#N/A</v>
      </c>
      <c r="S163" s="58"/>
      <c r="T163" s="58"/>
      <c r="U163" s="43"/>
      <c r="V163" s="43"/>
      <c r="W163" s="58"/>
      <c r="X163" s="58"/>
      <c r="Y163" s="59" t="s">
        <v>156</v>
      </c>
      <c r="Z163" s="60"/>
      <c r="AA163" s="25"/>
      <c r="AB163" s="25"/>
    </row>
    <row r="164" spans="2:28">
      <c r="B164" s="40"/>
      <c r="C164" s="40"/>
      <c r="D164" s="41"/>
      <c r="E164" s="42"/>
      <c r="F164" s="42"/>
      <c r="G164" s="43" t="s">
        <v>154</v>
      </c>
      <c r="H164" s="42" t="s">
        <v>155</v>
      </c>
      <c r="I164" s="43"/>
      <c r="J164" s="43"/>
      <c r="K164" s="25" t="e">
        <f>VLOOKUP(J164,Key!$E$2:$F$9,2,FALSE)</f>
        <v>#N/A</v>
      </c>
      <c r="L164" s="42"/>
      <c r="M164" s="43" t="s">
        <v>154</v>
      </c>
      <c r="N164" s="42" t="s">
        <v>155</v>
      </c>
      <c r="O164" s="43"/>
      <c r="P164" s="43"/>
      <c r="Q164" s="25" t="e">
        <f>VLOOKUP(P164,Key!$E$2:$F$9,2,FALSE)</f>
        <v>#N/A</v>
      </c>
      <c r="R164" s="25" t="e">
        <f t="shared" si="2"/>
        <v>#N/A</v>
      </c>
      <c r="S164" s="58"/>
      <c r="T164" s="58"/>
      <c r="U164" s="43"/>
      <c r="V164" s="43"/>
      <c r="W164" s="58"/>
      <c r="X164" s="58"/>
      <c r="Y164" s="59" t="s">
        <v>156</v>
      </c>
      <c r="Z164" s="60"/>
      <c r="AA164" s="25"/>
      <c r="AB164" s="25"/>
    </row>
    <row r="165" spans="2:28">
      <c r="B165" s="40"/>
      <c r="C165" s="40"/>
      <c r="D165" s="41"/>
      <c r="E165" s="42"/>
      <c r="F165" s="42"/>
      <c r="G165" s="43" t="s">
        <v>154</v>
      </c>
      <c r="H165" s="42" t="s">
        <v>155</v>
      </c>
      <c r="I165" s="43"/>
      <c r="J165" s="43"/>
      <c r="K165" s="25" t="e">
        <f>VLOOKUP(J165,Key!$E$2:$F$9,2,FALSE)</f>
        <v>#N/A</v>
      </c>
      <c r="L165" s="42"/>
      <c r="M165" s="43" t="s">
        <v>154</v>
      </c>
      <c r="N165" s="42" t="s">
        <v>155</v>
      </c>
      <c r="O165" s="43"/>
      <c r="P165" s="43"/>
      <c r="Q165" s="25" t="e">
        <f>VLOOKUP(P165,Key!$E$2:$F$9,2,FALSE)</f>
        <v>#N/A</v>
      </c>
      <c r="R165" s="25" t="e">
        <f t="shared" si="2"/>
        <v>#N/A</v>
      </c>
      <c r="S165" s="58"/>
      <c r="T165" s="58"/>
      <c r="U165" s="43"/>
      <c r="V165" s="43"/>
      <c r="W165" s="58"/>
      <c r="X165" s="58"/>
      <c r="Y165" s="59" t="s">
        <v>156</v>
      </c>
      <c r="Z165" s="60"/>
      <c r="AA165" s="25"/>
      <c r="AB165" s="25"/>
    </row>
    <row r="166" spans="2:28">
      <c r="B166" s="40"/>
      <c r="C166" s="40"/>
      <c r="D166" s="41"/>
      <c r="E166" s="42"/>
      <c r="F166" s="42"/>
      <c r="G166" s="43" t="s">
        <v>154</v>
      </c>
      <c r="H166" s="42" t="s">
        <v>155</v>
      </c>
      <c r="I166" s="43"/>
      <c r="J166" s="43"/>
      <c r="K166" s="25" t="e">
        <f>VLOOKUP(J166,Key!$E$2:$F$9,2,FALSE)</f>
        <v>#N/A</v>
      </c>
      <c r="L166" s="42"/>
      <c r="M166" s="43" t="s">
        <v>154</v>
      </c>
      <c r="N166" s="42" t="s">
        <v>155</v>
      </c>
      <c r="O166" s="43"/>
      <c r="P166" s="43"/>
      <c r="Q166" s="25" t="e">
        <f>VLOOKUP(P166,Key!$E$2:$F$9,2,FALSE)</f>
        <v>#N/A</v>
      </c>
      <c r="R166" s="25" t="e">
        <f t="shared" ref="R166:R229" si="3">K166&amp;"-"&amp;Q166</f>
        <v>#N/A</v>
      </c>
      <c r="S166" s="58"/>
      <c r="T166" s="58"/>
      <c r="U166" s="43"/>
      <c r="V166" s="43"/>
      <c r="W166" s="58"/>
      <c r="X166" s="58"/>
      <c r="Y166" s="59" t="s">
        <v>156</v>
      </c>
      <c r="Z166" s="60"/>
      <c r="AA166" s="25"/>
      <c r="AB166" s="25"/>
    </row>
    <row r="167" spans="2:28">
      <c r="B167" s="40"/>
      <c r="C167" s="40"/>
      <c r="D167" s="41"/>
      <c r="E167" s="42"/>
      <c r="F167" s="42"/>
      <c r="G167" s="43" t="s">
        <v>154</v>
      </c>
      <c r="H167" s="42" t="s">
        <v>155</v>
      </c>
      <c r="I167" s="43"/>
      <c r="J167" s="43"/>
      <c r="K167" s="25" t="e">
        <f>VLOOKUP(J167,Key!$E$2:$F$9,2,FALSE)</f>
        <v>#N/A</v>
      </c>
      <c r="L167" s="42"/>
      <c r="M167" s="43" t="s">
        <v>154</v>
      </c>
      <c r="N167" s="42" t="s">
        <v>155</v>
      </c>
      <c r="O167" s="43"/>
      <c r="P167" s="43"/>
      <c r="Q167" s="25" t="e">
        <f>VLOOKUP(P167,Key!$E$2:$F$9,2,FALSE)</f>
        <v>#N/A</v>
      </c>
      <c r="R167" s="25" t="e">
        <f t="shared" si="3"/>
        <v>#N/A</v>
      </c>
      <c r="S167" s="58"/>
      <c r="T167" s="58"/>
      <c r="U167" s="43"/>
      <c r="V167" s="43"/>
      <c r="W167" s="58"/>
      <c r="X167" s="58"/>
      <c r="Y167" s="59" t="s">
        <v>156</v>
      </c>
      <c r="Z167" s="60"/>
      <c r="AA167" s="25"/>
      <c r="AB167" s="25"/>
    </row>
    <row r="168" spans="2:28">
      <c r="B168" s="40"/>
      <c r="C168" s="40"/>
      <c r="D168" s="41"/>
      <c r="E168" s="42"/>
      <c r="F168" s="42"/>
      <c r="G168" s="43" t="s">
        <v>154</v>
      </c>
      <c r="H168" s="42" t="s">
        <v>155</v>
      </c>
      <c r="I168" s="43"/>
      <c r="J168" s="43"/>
      <c r="K168" s="25" t="e">
        <f>VLOOKUP(J168,Key!$E$2:$F$9,2,FALSE)</f>
        <v>#N/A</v>
      </c>
      <c r="L168" s="42"/>
      <c r="M168" s="43" t="s">
        <v>154</v>
      </c>
      <c r="N168" s="42" t="s">
        <v>155</v>
      </c>
      <c r="O168" s="43"/>
      <c r="P168" s="43"/>
      <c r="Q168" s="25" t="e">
        <f>VLOOKUP(P168,Key!$E$2:$F$9,2,FALSE)</f>
        <v>#N/A</v>
      </c>
      <c r="R168" s="25" t="e">
        <f t="shared" si="3"/>
        <v>#N/A</v>
      </c>
      <c r="S168" s="58"/>
      <c r="T168" s="58"/>
      <c r="U168" s="43"/>
      <c r="V168" s="43"/>
      <c r="W168" s="58"/>
      <c r="X168" s="58"/>
      <c r="Y168" s="59" t="s">
        <v>156</v>
      </c>
      <c r="Z168" s="60"/>
      <c r="AA168" s="25"/>
      <c r="AB168" s="25"/>
    </row>
    <row r="169" spans="2:28">
      <c r="B169" s="40"/>
      <c r="C169" s="40"/>
      <c r="D169" s="41"/>
      <c r="E169" s="42"/>
      <c r="F169" s="42"/>
      <c r="G169" s="43" t="s">
        <v>154</v>
      </c>
      <c r="H169" s="42" t="s">
        <v>155</v>
      </c>
      <c r="I169" s="43"/>
      <c r="J169" s="43"/>
      <c r="K169" s="25" t="e">
        <f>VLOOKUP(J169,Key!$E$2:$F$9,2,FALSE)</f>
        <v>#N/A</v>
      </c>
      <c r="L169" s="42"/>
      <c r="M169" s="43" t="s">
        <v>154</v>
      </c>
      <c r="N169" s="42" t="s">
        <v>155</v>
      </c>
      <c r="O169" s="43"/>
      <c r="P169" s="43"/>
      <c r="Q169" s="25" t="e">
        <f>VLOOKUP(P169,Key!$E$2:$F$9,2,FALSE)</f>
        <v>#N/A</v>
      </c>
      <c r="R169" s="25" t="e">
        <f t="shared" si="3"/>
        <v>#N/A</v>
      </c>
      <c r="S169" s="58"/>
      <c r="T169" s="58"/>
      <c r="U169" s="43"/>
      <c r="V169" s="43"/>
      <c r="W169" s="58"/>
      <c r="X169" s="58"/>
      <c r="Y169" s="59" t="s">
        <v>156</v>
      </c>
      <c r="Z169" s="60"/>
      <c r="AA169" s="25"/>
      <c r="AB169" s="25"/>
    </row>
    <row r="170" spans="2:28">
      <c r="B170" s="40"/>
      <c r="C170" s="40"/>
      <c r="D170" s="41"/>
      <c r="E170" s="42"/>
      <c r="F170" s="42"/>
      <c r="G170" s="43" t="s">
        <v>154</v>
      </c>
      <c r="H170" s="42" t="s">
        <v>155</v>
      </c>
      <c r="I170" s="43"/>
      <c r="J170" s="43"/>
      <c r="K170" s="25" t="e">
        <f>VLOOKUP(J170,Key!$E$2:$F$9,2,FALSE)</f>
        <v>#N/A</v>
      </c>
      <c r="L170" s="42"/>
      <c r="M170" s="43" t="s">
        <v>154</v>
      </c>
      <c r="N170" s="42" t="s">
        <v>155</v>
      </c>
      <c r="O170" s="43"/>
      <c r="P170" s="43"/>
      <c r="Q170" s="25" t="e">
        <f>VLOOKUP(P170,Key!$E$2:$F$9,2,FALSE)</f>
        <v>#N/A</v>
      </c>
      <c r="R170" s="25" t="e">
        <f t="shared" si="3"/>
        <v>#N/A</v>
      </c>
      <c r="S170" s="58"/>
      <c r="T170" s="58"/>
      <c r="U170" s="43"/>
      <c r="V170" s="43"/>
      <c r="W170" s="58"/>
      <c r="X170" s="58"/>
      <c r="Y170" s="59" t="s">
        <v>156</v>
      </c>
      <c r="Z170" s="60"/>
      <c r="AA170" s="25"/>
      <c r="AB170" s="25"/>
    </row>
    <row r="171" spans="2:28">
      <c r="B171" s="40"/>
      <c r="C171" s="40"/>
      <c r="D171" s="41"/>
      <c r="E171" s="42"/>
      <c r="F171" s="42"/>
      <c r="G171" s="43" t="s">
        <v>154</v>
      </c>
      <c r="H171" s="42" t="s">
        <v>155</v>
      </c>
      <c r="I171" s="43"/>
      <c r="J171" s="43"/>
      <c r="K171" s="25" t="e">
        <f>VLOOKUP(J171,Key!$E$2:$F$9,2,FALSE)</f>
        <v>#N/A</v>
      </c>
      <c r="L171" s="42"/>
      <c r="M171" s="43" t="s">
        <v>154</v>
      </c>
      <c r="N171" s="42" t="s">
        <v>155</v>
      </c>
      <c r="O171" s="43"/>
      <c r="P171" s="43"/>
      <c r="Q171" s="25" t="e">
        <f>VLOOKUP(P171,Key!$E$2:$F$9,2,FALSE)</f>
        <v>#N/A</v>
      </c>
      <c r="R171" s="25" t="e">
        <f t="shared" si="3"/>
        <v>#N/A</v>
      </c>
      <c r="S171" s="58"/>
      <c r="T171" s="58"/>
      <c r="U171" s="43"/>
      <c r="V171" s="43"/>
      <c r="W171" s="58"/>
      <c r="X171" s="58"/>
      <c r="Y171" s="59" t="s">
        <v>156</v>
      </c>
      <c r="Z171" s="60"/>
      <c r="AA171" s="25"/>
      <c r="AB171" s="25"/>
    </row>
    <row r="172" spans="2:28">
      <c r="B172" s="40"/>
      <c r="C172" s="40"/>
      <c r="D172" s="41"/>
      <c r="E172" s="42"/>
      <c r="F172" s="42"/>
      <c r="G172" s="43" t="s">
        <v>154</v>
      </c>
      <c r="H172" s="42" t="s">
        <v>155</v>
      </c>
      <c r="I172" s="43"/>
      <c r="J172" s="43"/>
      <c r="K172" s="25" t="e">
        <f>VLOOKUP(J172,Key!$E$2:$F$9,2,FALSE)</f>
        <v>#N/A</v>
      </c>
      <c r="L172" s="42"/>
      <c r="M172" s="43" t="s">
        <v>154</v>
      </c>
      <c r="N172" s="42" t="s">
        <v>155</v>
      </c>
      <c r="O172" s="43"/>
      <c r="P172" s="43"/>
      <c r="Q172" s="25" t="e">
        <f>VLOOKUP(P172,Key!$E$2:$F$9,2,FALSE)</f>
        <v>#N/A</v>
      </c>
      <c r="R172" s="25" t="e">
        <f t="shared" si="3"/>
        <v>#N/A</v>
      </c>
      <c r="S172" s="58"/>
      <c r="T172" s="58"/>
      <c r="U172" s="43"/>
      <c r="V172" s="43"/>
      <c r="W172" s="58"/>
      <c r="X172" s="58"/>
      <c r="Y172" s="59" t="s">
        <v>156</v>
      </c>
      <c r="Z172" s="60"/>
      <c r="AA172" s="25"/>
      <c r="AB172" s="25"/>
    </row>
    <row r="173" spans="2:28">
      <c r="B173" s="40"/>
      <c r="C173" s="40"/>
      <c r="D173" s="41"/>
      <c r="E173" s="42"/>
      <c r="F173" s="42"/>
      <c r="G173" s="43" t="s">
        <v>154</v>
      </c>
      <c r="H173" s="42" t="s">
        <v>155</v>
      </c>
      <c r="I173" s="43"/>
      <c r="J173" s="43"/>
      <c r="K173" s="25" t="e">
        <f>VLOOKUP(J173,Key!$E$2:$F$9,2,FALSE)</f>
        <v>#N/A</v>
      </c>
      <c r="L173" s="42"/>
      <c r="M173" s="43" t="s">
        <v>154</v>
      </c>
      <c r="N173" s="42" t="s">
        <v>155</v>
      </c>
      <c r="O173" s="43"/>
      <c r="P173" s="43"/>
      <c r="Q173" s="25" t="e">
        <f>VLOOKUP(P173,Key!$E$2:$F$9,2,FALSE)</f>
        <v>#N/A</v>
      </c>
      <c r="R173" s="25" t="e">
        <f t="shared" si="3"/>
        <v>#N/A</v>
      </c>
      <c r="S173" s="58"/>
      <c r="T173" s="58"/>
      <c r="U173" s="43"/>
      <c r="V173" s="43"/>
      <c r="W173" s="58"/>
      <c r="X173" s="58"/>
      <c r="Y173" s="59" t="s">
        <v>156</v>
      </c>
      <c r="Z173" s="60"/>
      <c r="AA173" s="25"/>
      <c r="AB173" s="25"/>
    </row>
    <row r="174" spans="2:28">
      <c r="B174" s="40"/>
      <c r="C174" s="40"/>
      <c r="D174" s="41"/>
      <c r="E174" s="42"/>
      <c r="F174" s="42"/>
      <c r="G174" s="43" t="s">
        <v>154</v>
      </c>
      <c r="H174" s="42" t="s">
        <v>155</v>
      </c>
      <c r="I174" s="43"/>
      <c r="J174" s="43"/>
      <c r="K174" s="25" t="e">
        <f>VLOOKUP(J174,Key!$E$2:$F$9,2,FALSE)</f>
        <v>#N/A</v>
      </c>
      <c r="L174" s="42"/>
      <c r="M174" s="43" t="s">
        <v>154</v>
      </c>
      <c r="N174" s="42" t="s">
        <v>155</v>
      </c>
      <c r="O174" s="43"/>
      <c r="P174" s="43"/>
      <c r="Q174" s="25" t="e">
        <f>VLOOKUP(P174,Key!$E$2:$F$9,2,FALSE)</f>
        <v>#N/A</v>
      </c>
      <c r="R174" s="25" t="e">
        <f t="shared" si="3"/>
        <v>#N/A</v>
      </c>
      <c r="S174" s="58"/>
      <c r="T174" s="58"/>
      <c r="U174" s="43"/>
      <c r="V174" s="43"/>
      <c r="W174" s="58"/>
      <c r="X174" s="58"/>
      <c r="Y174" s="59" t="s">
        <v>156</v>
      </c>
      <c r="Z174" s="60"/>
      <c r="AA174" s="25"/>
      <c r="AB174" s="25"/>
    </row>
    <row r="175" spans="2:28">
      <c r="B175" s="40"/>
      <c r="C175" s="40"/>
      <c r="D175" s="41"/>
      <c r="E175" s="42"/>
      <c r="F175" s="42"/>
      <c r="G175" s="43" t="s">
        <v>154</v>
      </c>
      <c r="H175" s="42" t="s">
        <v>155</v>
      </c>
      <c r="I175" s="43"/>
      <c r="J175" s="43"/>
      <c r="K175" s="25" t="e">
        <f>VLOOKUP(J175,Key!$E$2:$F$9,2,FALSE)</f>
        <v>#N/A</v>
      </c>
      <c r="L175" s="42"/>
      <c r="M175" s="43" t="s">
        <v>154</v>
      </c>
      <c r="N175" s="42" t="s">
        <v>155</v>
      </c>
      <c r="O175" s="43"/>
      <c r="P175" s="43"/>
      <c r="Q175" s="25" t="e">
        <f>VLOOKUP(P175,Key!$E$2:$F$9,2,FALSE)</f>
        <v>#N/A</v>
      </c>
      <c r="R175" s="25" t="e">
        <f t="shared" si="3"/>
        <v>#N/A</v>
      </c>
      <c r="S175" s="58"/>
      <c r="T175" s="58"/>
      <c r="U175" s="43"/>
      <c r="V175" s="43"/>
      <c r="W175" s="58"/>
      <c r="X175" s="58"/>
      <c r="Y175" s="59" t="s">
        <v>156</v>
      </c>
      <c r="Z175" s="60"/>
      <c r="AA175" s="25"/>
      <c r="AB175" s="25"/>
    </row>
    <row r="176" spans="2:28">
      <c r="B176" s="40"/>
      <c r="C176" s="40"/>
      <c r="D176" s="41"/>
      <c r="E176" s="42"/>
      <c r="F176" s="42"/>
      <c r="G176" s="43" t="s">
        <v>154</v>
      </c>
      <c r="H176" s="42" t="s">
        <v>155</v>
      </c>
      <c r="I176" s="43"/>
      <c r="J176" s="43"/>
      <c r="K176" s="25" t="e">
        <f>VLOOKUP(J176,Key!$E$2:$F$9,2,FALSE)</f>
        <v>#N/A</v>
      </c>
      <c r="L176" s="42"/>
      <c r="M176" s="43" t="s">
        <v>154</v>
      </c>
      <c r="N176" s="42" t="s">
        <v>155</v>
      </c>
      <c r="O176" s="43"/>
      <c r="P176" s="43"/>
      <c r="Q176" s="25" t="e">
        <f>VLOOKUP(P176,Key!$E$2:$F$9,2,FALSE)</f>
        <v>#N/A</v>
      </c>
      <c r="R176" s="25" t="e">
        <f t="shared" si="3"/>
        <v>#N/A</v>
      </c>
      <c r="S176" s="58"/>
      <c r="T176" s="58"/>
      <c r="U176" s="43"/>
      <c r="V176" s="43"/>
      <c r="W176" s="58"/>
      <c r="X176" s="58"/>
      <c r="Y176" s="59" t="s">
        <v>156</v>
      </c>
      <c r="Z176" s="60"/>
      <c r="AA176" s="25"/>
      <c r="AB176" s="25"/>
    </row>
    <row r="177" spans="2:28">
      <c r="B177" s="40"/>
      <c r="C177" s="40"/>
      <c r="D177" s="41"/>
      <c r="E177" s="42"/>
      <c r="F177" s="42"/>
      <c r="G177" s="43" t="s">
        <v>154</v>
      </c>
      <c r="H177" s="42" t="s">
        <v>155</v>
      </c>
      <c r="I177" s="43"/>
      <c r="J177" s="43"/>
      <c r="K177" s="25" t="e">
        <f>VLOOKUP(J177,Key!$E$2:$F$9,2,FALSE)</f>
        <v>#N/A</v>
      </c>
      <c r="L177" s="42"/>
      <c r="M177" s="43" t="s">
        <v>154</v>
      </c>
      <c r="N177" s="42" t="s">
        <v>155</v>
      </c>
      <c r="O177" s="43"/>
      <c r="P177" s="43"/>
      <c r="Q177" s="25" t="e">
        <f>VLOOKUP(P177,Key!$E$2:$F$9,2,FALSE)</f>
        <v>#N/A</v>
      </c>
      <c r="R177" s="25" t="e">
        <f t="shared" si="3"/>
        <v>#N/A</v>
      </c>
      <c r="S177" s="58"/>
      <c r="T177" s="58"/>
      <c r="U177" s="43"/>
      <c r="V177" s="43"/>
      <c r="W177" s="58"/>
      <c r="X177" s="58"/>
      <c r="Y177" s="59" t="s">
        <v>156</v>
      </c>
      <c r="Z177" s="60"/>
      <c r="AA177" s="25"/>
      <c r="AB177" s="25"/>
    </row>
    <row r="178" spans="2:28">
      <c r="B178" s="40"/>
      <c r="C178" s="40"/>
      <c r="D178" s="41"/>
      <c r="E178" s="42"/>
      <c r="F178" s="42"/>
      <c r="G178" s="43" t="s">
        <v>154</v>
      </c>
      <c r="H178" s="42" t="s">
        <v>155</v>
      </c>
      <c r="I178" s="43"/>
      <c r="J178" s="43"/>
      <c r="K178" s="25" t="e">
        <f>VLOOKUP(J178,Key!$E$2:$F$9,2,FALSE)</f>
        <v>#N/A</v>
      </c>
      <c r="L178" s="42"/>
      <c r="M178" s="43" t="s">
        <v>154</v>
      </c>
      <c r="N178" s="42" t="s">
        <v>155</v>
      </c>
      <c r="O178" s="43"/>
      <c r="P178" s="43"/>
      <c r="Q178" s="25" t="e">
        <f>VLOOKUP(P178,Key!$E$2:$F$9,2,FALSE)</f>
        <v>#N/A</v>
      </c>
      <c r="R178" s="25" t="e">
        <f t="shared" si="3"/>
        <v>#N/A</v>
      </c>
      <c r="S178" s="58"/>
      <c r="T178" s="58"/>
      <c r="U178" s="43"/>
      <c r="V178" s="43"/>
      <c r="W178" s="58"/>
      <c r="X178" s="58"/>
      <c r="Y178" s="59" t="s">
        <v>156</v>
      </c>
      <c r="Z178" s="60"/>
      <c r="AA178" s="25"/>
      <c r="AB178" s="25"/>
    </row>
    <row r="179" spans="2:28">
      <c r="B179" s="40"/>
      <c r="C179" s="40"/>
      <c r="D179" s="41"/>
      <c r="E179" s="42"/>
      <c r="F179" s="42"/>
      <c r="G179" s="43" t="s">
        <v>154</v>
      </c>
      <c r="H179" s="42" t="s">
        <v>155</v>
      </c>
      <c r="I179" s="43"/>
      <c r="J179" s="43"/>
      <c r="K179" s="25" t="e">
        <f>VLOOKUP(J179,Key!$E$2:$F$9,2,FALSE)</f>
        <v>#N/A</v>
      </c>
      <c r="L179" s="42"/>
      <c r="M179" s="43" t="s">
        <v>154</v>
      </c>
      <c r="N179" s="42" t="s">
        <v>155</v>
      </c>
      <c r="O179" s="43"/>
      <c r="P179" s="43"/>
      <c r="Q179" s="25" t="e">
        <f>VLOOKUP(P179,Key!$E$2:$F$9,2,FALSE)</f>
        <v>#N/A</v>
      </c>
      <c r="R179" s="25" t="e">
        <f t="shared" si="3"/>
        <v>#N/A</v>
      </c>
      <c r="S179" s="58"/>
      <c r="T179" s="58"/>
      <c r="U179" s="43"/>
      <c r="V179" s="43"/>
      <c r="W179" s="58"/>
      <c r="X179" s="58"/>
      <c r="Y179" s="59" t="s">
        <v>156</v>
      </c>
      <c r="Z179" s="60"/>
      <c r="AA179" s="25"/>
      <c r="AB179" s="25"/>
    </row>
    <row r="180" spans="2:28">
      <c r="B180" s="40"/>
      <c r="C180" s="40"/>
      <c r="D180" s="41"/>
      <c r="E180" s="42"/>
      <c r="F180" s="42"/>
      <c r="G180" s="43" t="s">
        <v>154</v>
      </c>
      <c r="H180" s="42" t="s">
        <v>155</v>
      </c>
      <c r="I180" s="43"/>
      <c r="J180" s="43"/>
      <c r="K180" s="25" t="e">
        <f>VLOOKUP(J180,Key!$E$2:$F$9,2,FALSE)</f>
        <v>#N/A</v>
      </c>
      <c r="L180" s="42"/>
      <c r="M180" s="43" t="s">
        <v>154</v>
      </c>
      <c r="N180" s="42" t="s">
        <v>155</v>
      </c>
      <c r="O180" s="43"/>
      <c r="P180" s="43"/>
      <c r="Q180" s="25" t="e">
        <f>VLOOKUP(P180,Key!$E$2:$F$9,2,FALSE)</f>
        <v>#N/A</v>
      </c>
      <c r="R180" s="25" t="e">
        <f t="shared" si="3"/>
        <v>#N/A</v>
      </c>
      <c r="S180" s="58"/>
      <c r="T180" s="58"/>
      <c r="U180" s="43"/>
      <c r="V180" s="43"/>
      <c r="W180" s="58"/>
      <c r="X180" s="58"/>
      <c r="Y180" s="59" t="s">
        <v>156</v>
      </c>
      <c r="Z180" s="60"/>
      <c r="AA180" s="25"/>
      <c r="AB180" s="25"/>
    </row>
    <row r="181" spans="2:28">
      <c r="B181" s="40"/>
      <c r="C181" s="40"/>
      <c r="D181" s="41"/>
      <c r="E181" s="42"/>
      <c r="F181" s="42"/>
      <c r="G181" s="43" t="s">
        <v>154</v>
      </c>
      <c r="H181" s="42" t="s">
        <v>155</v>
      </c>
      <c r="I181" s="43"/>
      <c r="J181" s="43"/>
      <c r="K181" s="25" t="e">
        <f>VLOOKUP(J181,Key!$E$2:$F$9,2,FALSE)</f>
        <v>#N/A</v>
      </c>
      <c r="L181" s="42"/>
      <c r="M181" s="43" t="s">
        <v>154</v>
      </c>
      <c r="N181" s="42" t="s">
        <v>155</v>
      </c>
      <c r="O181" s="43"/>
      <c r="P181" s="43"/>
      <c r="Q181" s="25" t="e">
        <f>VLOOKUP(P181,Key!$E$2:$F$9,2,FALSE)</f>
        <v>#N/A</v>
      </c>
      <c r="R181" s="25" t="e">
        <f t="shared" si="3"/>
        <v>#N/A</v>
      </c>
      <c r="S181" s="58"/>
      <c r="T181" s="58"/>
      <c r="U181" s="43"/>
      <c r="V181" s="43"/>
      <c r="W181" s="58"/>
      <c r="X181" s="58"/>
      <c r="Y181" s="59" t="s">
        <v>156</v>
      </c>
      <c r="Z181" s="60"/>
      <c r="AA181" s="25"/>
      <c r="AB181" s="25"/>
    </row>
    <row r="182" spans="2:28">
      <c r="B182" s="40"/>
      <c r="C182" s="40"/>
      <c r="D182" s="41"/>
      <c r="E182" s="42"/>
      <c r="F182" s="42"/>
      <c r="G182" s="43" t="s">
        <v>154</v>
      </c>
      <c r="H182" s="42" t="s">
        <v>155</v>
      </c>
      <c r="I182" s="43"/>
      <c r="J182" s="43"/>
      <c r="K182" s="25" t="e">
        <f>VLOOKUP(J182,Key!$E$2:$F$9,2,FALSE)</f>
        <v>#N/A</v>
      </c>
      <c r="L182" s="42"/>
      <c r="M182" s="43" t="s">
        <v>154</v>
      </c>
      <c r="N182" s="42" t="s">
        <v>155</v>
      </c>
      <c r="O182" s="43"/>
      <c r="P182" s="43"/>
      <c r="Q182" s="25" t="e">
        <f>VLOOKUP(P182,Key!$E$2:$F$9,2,FALSE)</f>
        <v>#N/A</v>
      </c>
      <c r="R182" s="25" t="e">
        <f t="shared" si="3"/>
        <v>#N/A</v>
      </c>
      <c r="S182" s="58"/>
      <c r="T182" s="58"/>
      <c r="U182" s="43"/>
      <c r="V182" s="43"/>
      <c r="W182" s="58"/>
      <c r="X182" s="58"/>
      <c r="Y182" s="59" t="s">
        <v>156</v>
      </c>
      <c r="Z182" s="60"/>
      <c r="AA182" s="25"/>
      <c r="AB182" s="25"/>
    </row>
    <row r="183" spans="2:28">
      <c r="B183" s="40"/>
      <c r="C183" s="40"/>
      <c r="D183" s="41"/>
      <c r="E183" s="42"/>
      <c r="F183" s="42"/>
      <c r="G183" s="43" t="s">
        <v>154</v>
      </c>
      <c r="H183" s="42" t="s">
        <v>155</v>
      </c>
      <c r="I183" s="43"/>
      <c r="J183" s="43"/>
      <c r="K183" s="25" t="e">
        <f>VLOOKUP(J183,Key!$E$2:$F$9,2,FALSE)</f>
        <v>#N/A</v>
      </c>
      <c r="L183" s="42"/>
      <c r="M183" s="43" t="s">
        <v>154</v>
      </c>
      <c r="N183" s="42" t="s">
        <v>155</v>
      </c>
      <c r="O183" s="43"/>
      <c r="P183" s="43"/>
      <c r="Q183" s="25" t="e">
        <f>VLOOKUP(P183,Key!$E$2:$F$9,2,FALSE)</f>
        <v>#N/A</v>
      </c>
      <c r="R183" s="25" t="e">
        <f t="shared" si="3"/>
        <v>#N/A</v>
      </c>
      <c r="S183" s="58"/>
      <c r="T183" s="58"/>
      <c r="U183" s="43"/>
      <c r="V183" s="43"/>
      <c r="W183" s="58"/>
      <c r="X183" s="58"/>
      <c r="Y183" s="59" t="s">
        <v>156</v>
      </c>
      <c r="Z183" s="60"/>
      <c r="AA183" s="25"/>
      <c r="AB183" s="25"/>
    </row>
    <row r="184" spans="2:28">
      <c r="B184" s="40"/>
      <c r="C184" s="40"/>
      <c r="D184" s="41"/>
      <c r="E184" s="42"/>
      <c r="F184" s="42"/>
      <c r="G184" s="43" t="s">
        <v>154</v>
      </c>
      <c r="H184" s="42" t="s">
        <v>155</v>
      </c>
      <c r="I184" s="43"/>
      <c r="J184" s="43"/>
      <c r="K184" s="25" t="e">
        <f>VLOOKUP(J184,Key!$E$2:$F$9,2,FALSE)</f>
        <v>#N/A</v>
      </c>
      <c r="L184" s="42"/>
      <c r="M184" s="43" t="s">
        <v>154</v>
      </c>
      <c r="N184" s="42" t="s">
        <v>155</v>
      </c>
      <c r="O184" s="43"/>
      <c r="P184" s="43"/>
      <c r="Q184" s="25" t="e">
        <f>VLOOKUP(P184,Key!$E$2:$F$9,2,FALSE)</f>
        <v>#N/A</v>
      </c>
      <c r="R184" s="25" t="e">
        <f t="shared" si="3"/>
        <v>#N/A</v>
      </c>
      <c r="S184" s="58"/>
      <c r="T184" s="58"/>
      <c r="U184" s="43"/>
      <c r="V184" s="43"/>
      <c r="W184" s="58"/>
      <c r="X184" s="58"/>
      <c r="Y184" s="59" t="s">
        <v>156</v>
      </c>
      <c r="Z184" s="60"/>
      <c r="AA184" s="25"/>
      <c r="AB184" s="25"/>
    </row>
    <row r="185" spans="2:28">
      <c r="B185" s="40"/>
      <c r="C185" s="40"/>
      <c r="D185" s="41"/>
      <c r="E185" s="42"/>
      <c r="F185" s="42"/>
      <c r="G185" s="43" t="s">
        <v>154</v>
      </c>
      <c r="H185" s="42" t="s">
        <v>155</v>
      </c>
      <c r="I185" s="43"/>
      <c r="J185" s="43"/>
      <c r="K185" s="25" t="e">
        <f>VLOOKUP(J185,Key!$E$2:$F$9,2,FALSE)</f>
        <v>#N/A</v>
      </c>
      <c r="L185" s="42"/>
      <c r="M185" s="43" t="s">
        <v>154</v>
      </c>
      <c r="N185" s="42" t="s">
        <v>155</v>
      </c>
      <c r="O185" s="43"/>
      <c r="P185" s="43"/>
      <c r="Q185" s="25" t="e">
        <f>VLOOKUP(P185,Key!$E$2:$F$9,2,FALSE)</f>
        <v>#N/A</v>
      </c>
      <c r="R185" s="25" t="e">
        <f t="shared" si="3"/>
        <v>#N/A</v>
      </c>
      <c r="S185" s="58"/>
      <c r="T185" s="58"/>
      <c r="U185" s="43"/>
      <c r="V185" s="43"/>
      <c r="W185" s="58"/>
      <c r="X185" s="58"/>
      <c r="Y185" s="59" t="s">
        <v>156</v>
      </c>
      <c r="Z185" s="60"/>
      <c r="AA185" s="25"/>
      <c r="AB185" s="25"/>
    </row>
    <row r="186" spans="2:28">
      <c r="B186" s="40"/>
      <c r="C186" s="40"/>
      <c r="D186" s="41"/>
      <c r="E186" s="42"/>
      <c r="F186" s="42"/>
      <c r="G186" s="43" t="s">
        <v>154</v>
      </c>
      <c r="H186" s="42" t="s">
        <v>155</v>
      </c>
      <c r="I186" s="43"/>
      <c r="J186" s="43"/>
      <c r="K186" s="25" t="e">
        <f>VLOOKUP(J186,Key!$E$2:$F$9,2,FALSE)</f>
        <v>#N/A</v>
      </c>
      <c r="L186" s="42"/>
      <c r="M186" s="43" t="s">
        <v>154</v>
      </c>
      <c r="N186" s="42" t="s">
        <v>155</v>
      </c>
      <c r="O186" s="43"/>
      <c r="P186" s="43"/>
      <c r="Q186" s="25" t="e">
        <f>VLOOKUP(P186,Key!$E$2:$F$9,2,FALSE)</f>
        <v>#N/A</v>
      </c>
      <c r="R186" s="25" t="e">
        <f t="shared" si="3"/>
        <v>#N/A</v>
      </c>
      <c r="S186" s="58"/>
      <c r="T186" s="58"/>
      <c r="U186" s="43"/>
      <c r="V186" s="43"/>
      <c r="W186" s="58"/>
      <c r="X186" s="58"/>
      <c r="Y186" s="59" t="s">
        <v>156</v>
      </c>
      <c r="Z186" s="60"/>
      <c r="AA186" s="25"/>
      <c r="AB186" s="25"/>
    </row>
    <row r="187" spans="2:28">
      <c r="B187" s="40"/>
      <c r="C187" s="40"/>
      <c r="D187" s="41"/>
      <c r="E187" s="42"/>
      <c r="F187" s="42"/>
      <c r="G187" s="43" t="s">
        <v>154</v>
      </c>
      <c r="H187" s="42" t="s">
        <v>155</v>
      </c>
      <c r="I187" s="43"/>
      <c r="J187" s="43"/>
      <c r="K187" s="25" t="e">
        <f>VLOOKUP(J187,Key!$E$2:$F$9,2,FALSE)</f>
        <v>#N/A</v>
      </c>
      <c r="L187" s="42"/>
      <c r="M187" s="43" t="s">
        <v>154</v>
      </c>
      <c r="N187" s="42" t="s">
        <v>155</v>
      </c>
      <c r="O187" s="43"/>
      <c r="P187" s="43"/>
      <c r="Q187" s="25" t="e">
        <f>VLOOKUP(P187,Key!$E$2:$F$9,2,FALSE)</f>
        <v>#N/A</v>
      </c>
      <c r="R187" s="25" t="e">
        <f t="shared" si="3"/>
        <v>#N/A</v>
      </c>
      <c r="S187" s="58"/>
      <c r="T187" s="58"/>
      <c r="U187" s="43"/>
      <c r="V187" s="43"/>
      <c r="W187" s="58"/>
      <c r="X187" s="58"/>
      <c r="Y187" s="59" t="s">
        <v>156</v>
      </c>
      <c r="Z187" s="60"/>
      <c r="AA187" s="25"/>
      <c r="AB187" s="25"/>
    </row>
    <row r="188" spans="2:28">
      <c r="B188" s="40"/>
      <c r="C188" s="40"/>
      <c r="D188" s="41"/>
      <c r="E188" s="42"/>
      <c r="F188" s="42"/>
      <c r="G188" s="43" t="s">
        <v>154</v>
      </c>
      <c r="H188" s="42" t="s">
        <v>155</v>
      </c>
      <c r="I188" s="43"/>
      <c r="J188" s="43"/>
      <c r="K188" s="25" t="e">
        <f>VLOOKUP(J188,Key!$E$2:$F$9,2,FALSE)</f>
        <v>#N/A</v>
      </c>
      <c r="L188" s="42"/>
      <c r="M188" s="43" t="s">
        <v>154</v>
      </c>
      <c r="N188" s="42" t="s">
        <v>155</v>
      </c>
      <c r="O188" s="43"/>
      <c r="P188" s="43"/>
      <c r="Q188" s="25" t="e">
        <f>VLOOKUP(P188,Key!$E$2:$F$9,2,FALSE)</f>
        <v>#N/A</v>
      </c>
      <c r="R188" s="25" t="e">
        <f t="shared" si="3"/>
        <v>#N/A</v>
      </c>
      <c r="S188" s="58"/>
      <c r="T188" s="58"/>
      <c r="U188" s="43"/>
      <c r="V188" s="43"/>
      <c r="W188" s="58"/>
      <c r="X188" s="58"/>
      <c r="Y188" s="59" t="s">
        <v>156</v>
      </c>
      <c r="Z188" s="60"/>
      <c r="AA188" s="25"/>
      <c r="AB188" s="25"/>
    </row>
    <row r="189" spans="2:28">
      <c r="B189" s="40"/>
      <c r="C189" s="40"/>
      <c r="D189" s="41"/>
      <c r="E189" s="42"/>
      <c r="F189" s="42"/>
      <c r="G189" s="43" t="s">
        <v>154</v>
      </c>
      <c r="H189" s="42" t="s">
        <v>155</v>
      </c>
      <c r="I189" s="43"/>
      <c r="J189" s="43"/>
      <c r="K189" s="25" t="e">
        <f>VLOOKUP(J189,Key!$E$2:$F$9,2,FALSE)</f>
        <v>#N/A</v>
      </c>
      <c r="L189" s="42"/>
      <c r="M189" s="43" t="s">
        <v>154</v>
      </c>
      <c r="N189" s="42" t="s">
        <v>155</v>
      </c>
      <c r="O189" s="43"/>
      <c r="P189" s="43"/>
      <c r="Q189" s="25" t="e">
        <f>VLOOKUP(P189,Key!$E$2:$F$9,2,FALSE)</f>
        <v>#N/A</v>
      </c>
      <c r="R189" s="25" t="e">
        <f t="shared" si="3"/>
        <v>#N/A</v>
      </c>
      <c r="S189" s="58"/>
      <c r="T189" s="58"/>
      <c r="U189" s="43"/>
      <c r="V189" s="43"/>
      <c r="W189" s="58"/>
      <c r="X189" s="58"/>
      <c r="Y189" s="59" t="s">
        <v>156</v>
      </c>
      <c r="Z189" s="60"/>
      <c r="AA189" s="25"/>
      <c r="AB189" s="25"/>
    </row>
    <row r="190" spans="2:28">
      <c r="B190" s="40"/>
      <c r="C190" s="40"/>
      <c r="D190" s="41"/>
      <c r="E190" s="42"/>
      <c r="F190" s="42"/>
      <c r="G190" s="43" t="s">
        <v>154</v>
      </c>
      <c r="H190" s="42" t="s">
        <v>155</v>
      </c>
      <c r="I190" s="43"/>
      <c r="J190" s="43"/>
      <c r="K190" s="25" t="e">
        <f>VLOOKUP(J190,Key!$E$2:$F$9,2,FALSE)</f>
        <v>#N/A</v>
      </c>
      <c r="L190" s="42"/>
      <c r="M190" s="43" t="s">
        <v>154</v>
      </c>
      <c r="N190" s="42" t="s">
        <v>155</v>
      </c>
      <c r="O190" s="43"/>
      <c r="P190" s="43"/>
      <c r="Q190" s="25" t="e">
        <f>VLOOKUP(P190,Key!$E$2:$F$9,2,FALSE)</f>
        <v>#N/A</v>
      </c>
      <c r="R190" s="25" t="e">
        <f t="shared" si="3"/>
        <v>#N/A</v>
      </c>
      <c r="S190" s="58"/>
      <c r="T190" s="58"/>
      <c r="U190" s="43"/>
      <c r="V190" s="43"/>
      <c r="W190" s="58"/>
      <c r="X190" s="58"/>
      <c r="Y190" s="59" t="s">
        <v>156</v>
      </c>
      <c r="Z190" s="60"/>
      <c r="AA190" s="25"/>
      <c r="AB190" s="25"/>
    </row>
    <row r="191" spans="2:28">
      <c r="B191" s="40"/>
      <c r="C191" s="40"/>
      <c r="D191" s="41"/>
      <c r="E191" s="42"/>
      <c r="F191" s="42"/>
      <c r="G191" s="43" t="s">
        <v>154</v>
      </c>
      <c r="H191" s="42" t="s">
        <v>155</v>
      </c>
      <c r="I191" s="43"/>
      <c r="J191" s="43"/>
      <c r="K191" s="25" t="e">
        <f>VLOOKUP(J191,Key!$E$2:$F$9,2,FALSE)</f>
        <v>#N/A</v>
      </c>
      <c r="L191" s="42"/>
      <c r="M191" s="43" t="s">
        <v>154</v>
      </c>
      <c r="N191" s="42" t="s">
        <v>155</v>
      </c>
      <c r="O191" s="43"/>
      <c r="P191" s="43"/>
      <c r="Q191" s="25" t="e">
        <f>VLOOKUP(P191,Key!$E$2:$F$9,2,FALSE)</f>
        <v>#N/A</v>
      </c>
      <c r="R191" s="25" t="e">
        <f t="shared" si="3"/>
        <v>#N/A</v>
      </c>
      <c r="S191" s="58"/>
      <c r="T191" s="58"/>
      <c r="U191" s="43"/>
      <c r="V191" s="43"/>
      <c r="W191" s="58"/>
      <c r="X191" s="58"/>
      <c r="Y191" s="59" t="s">
        <v>156</v>
      </c>
      <c r="Z191" s="60"/>
      <c r="AA191" s="25"/>
      <c r="AB191" s="25"/>
    </row>
    <row r="192" spans="2:28">
      <c r="B192" s="40"/>
      <c r="C192" s="40"/>
      <c r="D192" s="41"/>
      <c r="E192" s="42"/>
      <c r="F192" s="42"/>
      <c r="G192" s="43" t="s">
        <v>154</v>
      </c>
      <c r="H192" s="42" t="s">
        <v>155</v>
      </c>
      <c r="I192" s="43"/>
      <c r="J192" s="43"/>
      <c r="K192" s="25" t="e">
        <f>VLOOKUP(J192,Key!$E$2:$F$9,2,FALSE)</f>
        <v>#N/A</v>
      </c>
      <c r="L192" s="42"/>
      <c r="M192" s="43" t="s">
        <v>154</v>
      </c>
      <c r="N192" s="42" t="s">
        <v>155</v>
      </c>
      <c r="O192" s="43"/>
      <c r="P192" s="43"/>
      <c r="Q192" s="25" t="e">
        <f>VLOOKUP(P192,Key!$E$2:$F$9,2,FALSE)</f>
        <v>#N/A</v>
      </c>
      <c r="R192" s="25" t="e">
        <f t="shared" si="3"/>
        <v>#N/A</v>
      </c>
      <c r="S192" s="58"/>
      <c r="T192" s="58"/>
      <c r="U192" s="43"/>
      <c r="V192" s="43"/>
      <c r="W192" s="58"/>
      <c r="X192" s="58"/>
      <c r="Y192" s="59" t="s">
        <v>156</v>
      </c>
      <c r="Z192" s="60"/>
      <c r="AA192" s="25"/>
      <c r="AB192" s="25"/>
    </row>
    <row r="193" spans="2:28">
      <c r="B193" s="40"/>
      <c r="C193" s="40"/>
      <c r="D193" s="41"/>
      <c r="E193" s="42"/>
      <c r="F193" s="42"/>
      <c r="G193" s="43" t="s">
        <v>154</v>
      </c>
      <c r="H193" s="42" t="s">
        <v>155</v>
      </c>
      <c r="I193" s="43"/>
      <c r="J193" s="43"/>
      <c r="K193" s="25" t="e">
        <f>VLOOKUP(J193,Key!$E$2:$F$9,2,FALSE)</f>
        <v>#N/A</v>
      </c>
      <c r="L193" s="42"/>
      <c r="M193" s="43" t="s">
        <v>154</v>
      </c>
      <c r="N193" s="42" t="s">
        <v>155</v>
      </c>
      <c r="O193" s="43"/>
      <c r="P193" s="43"/>
      <c r="Q193" s="25" t="e">
        <f>VLOOKUP(P193,Key!$E$2:$F$9,2,FALSE)</f>
        <v>#N/A</v>
      </c>
      <c r="R193" s="25" t="e">
        <f t="shared" si="3"/>
        <v>#N/A</v>
      </c>
      <c r="S193" s="58"/>
      <c r="T193" s="58"/>
      <c r="U193" s="43"/>
      <c r="V193" s="43"/>
      <c r="W193" s="58"/>
      <c r="X193" s="58"/>
      <c r="Y193" s="59" t="s">
        <v>156</v>
      </c>
      <c r="Z193" s="60"/>
      <c r="AA193" s="25"/>
      <c r="AB193" s="25"/>
    </row>
    <row r="194" spans="2:28">
      <c r="B194" s="40"/>
      <c r="C194" s="40"/>
      <c r="D194" s="41"/>
      <c r="E194" s="42"/>
      <c r="F194" s="42"/>
      <c r="G194" s="43" t="s">
        <v>154</v>
      </c>
      <c r="H194" s="42" t="s">
        <v>155</v>
      </c>
      <c r="I194" s="43"/>
      <c r="J194" s="43"/>
      <c r="K194" s="25" t="e">
        <f>VLOOKUP(J194,Key!$E$2:$F$9,2,FALSE)</f>
        <v>#N/A</v>
      </c>
      <c r="L194" s="42"/>
      <c r="M194" s="43" t="s">
        <v>154</v>
      </c>
      <c r="N194" s="42" t="s">
        <v>155</v>
      </c>
      <c r="O194" s="43"/>
      <c r="P194" s="43"/>
      <c r="Q194" s="25" t="e">
        <f>VLOOKUP(P194,Key!$E$2:$F$9,2,FALSE)</f>
        <v>#N/A</v>
      </c>
      <c r="R194" s="25" t="e">
        <f t="shared" si="3"/>
        <v>#N/A</v>
      </c>
      <c r="S194" s="58"/>
      <c r="T194" s="58"/>
      <c r="U194" s="43"/>
      <c r="V194" s="43"/>
      <c r="W194" s="58"/>
      <c r="X194" s="58"/>
      <c r="Y194" s="59" t="s">
        <v>156</v>
      </c>
      <c r="Z194" s="60"/>
      <c r="AA194" s="25"/>
      <c r="AB194" s="25"/>
    </row>
    <row r="195" spans="2:28">
      <c r="B195" s="40"/>
      <c r="C195" s="40"/>
      <c r="D195" s="41"/>
      <c r="E195" s="42"/>
      <c r="F195" s="42"/>
      <c r="G195" s="43" t="s">
        <v>154</v>
      </c>
      <c r="H195" s="42" t="s">
        <v>155</v>
      </c>
      <c r="I195" s="43"/>
      <c r="J195" s="43"/>
      <c r="K195" s="25" t="e">
        <f>VLOOKUP(J195,Key!$E$2:$F$9,2,FALSE)</f>
        <v>#N/A</v>
      </c>
      <c r="L195" s="42"/>
      <c r="M195" s="43" t="s">
        <v>154</v>
      </c>
      <c r="N195" s="42" t="s">
        <v>155</v>
      </c>
      <c r="O195" s="43"/>
      <c r="P195" s="43"/>
      <c r="Q195" s="25" t="e">
        <f>VLOOKUP(P195,Key!$E$2:$F$9,2,FALSE)</f>
        <v>#N/A</v>
      </c>
      <c r="R195" s="25" t="e">
        <f t="shared" si="3"/>
        <v>#N/A</v>
      </c>
      <c r="S195" s="58"/>
      <c r="T195" s="58"/>
      <c r="U195" s="43"/>
      <c r="V195" s="43"/>
      <c r="W195" s="58"/>
      <c r="X195" s="58"/>
      <c r="Y195" s="59" t="s">
        <v>156</v>
      </c>
      <c r="Z195" s="60"/>
      <c r="AA195" s="25"/>
      <c r="AB195" s="25"/>
    </row>
    <row r="196" spans="2:28">
      <c r="B196" s="40"/>
      <c r="C196" s="40"/>
      <c r="D196" s="41"/>
      <c r="E196" s="42"/>
      <c r="F196" s="42"/>
      <c r="G196" s="43" t="s">
        <v>154</v>
      </c>
      <c r="H196" s="42" t="s">
        <v>155</v>
      </c>
      <c r="I196" s="43"/>
      <c r="J196" s="43"/>
      <c r="K196" s="25" t="e">
        <f>VLOOKUP(J196,Key!$E$2:$F$9,2,FALSE)</f>
        <v>#N/A</v>
      </c>
      <c r="L196" s="42"/>
      <c r="M196" s="43" t="s">
        <v>154</v>
      </c>
      <c r="N196" s="42" t="s">
        <v>155</v>
      </c>
      <c r="O196" s="43"/>
      <c r="P196" s="43"/>
      <c r="Q196" s="25" t="e">
        <f>VLOOKUP(P196,Key!$E$2:$F$9,2,FALSE)</f>
        <v>#N/A</v>
      </c>
      <c r="R196" s="25" t="e">
        <f t="shared" si="3"/>
        <v>#N/A</v>
      </c>
      <c r="S196" s="58"/>
      <c r="T196" s="58"/>
      <c r="U196" s="43"/>
      <c r="V196" s="43"/>
      <c r="W196" s="58"/>
      <c r="X196" s="58"/>
      <c r="Y196" s="59" t="s">
        <v>156</v>
      </c>
      <c r="Z196" s="60"/>
      <c r="AA196" s="25"/>
      <c r="AB196" s="25"/>
    </row>
    <row r="197" spans="2:28">
      <c r="B197" s="40"/>
      <c r="C197" s="40"/>
      <c r="D197" s="41"/>
      <c r="E197" s="42"/>
      <c r="F197" s="42"/>
      <c r="G197" s="43" t="s">
        <v>154</v>
      </c>
      <c r="H197" s="42" t="s">
        <v>155</v>
      </c>
      <c r="I197" s="43"/>
      <c r="J197" s="43"/>
      <c r="K197" s="25" t="e">
        <f>VLOOKUP(J197,Key!$E$2:$F$9,2,FALSE)</f>
        <v>#N/A</v>
      </c>
      <c r="L197" s="42"/>
      <c r="M197" s="43" t="s">
        <v>154</v>
      </c>
      <c r="N197" s="42" t="s">
        <v>155</v>
      </c>
      <c r="O197" s="43"/>
      <c r="P197" s="43"/>
      <c r="Q197" s="25" t="e">
        <f>VLOOKUP(P197,Key!$E$2:$F$9,2,FALSE)</f>
        <v>#N/A</v>
      </c>
      <c r="R197" s="25" t="e">
        <f t="shared" si="3"/>
        <v>#N/A</v>
      </c>
      <c r="S197" s="58"/>
      <c r="T197" s="58"/>
      <c r="U197" s="43"/>
      <c r="V197" s="43"/>
      <c r="W197" s="58"/>
      <c r="X197" s="58"/>
      <c r="Y197" s="59" t="s">
        <v>156</v>
      </c>
      <c r="Z197" s="60"/>
      <c r="AA197" s="25"/>
      <c r="AB197" s="25"/>
    </row>
    <row r="198" spans="2:28">
      <c r="B198" s="40"/>
      <c r="C198" s="40"/>
      <c r="D198" s="41"/>
      <c r="E198" s="42"/>
      <c r="F198" s="42"/>
      <c r="G198" s="43" t="s">
        <v>154</v>
      </c>
      <c r="H198" s="42" t="s">
        <v>155</v>
      </c>
      <c r="I198" s="43"/>
      <c r="J198" s="43"/>
      <c r="K198" s="25" t="e">
        <f>VLOOKUP(J198,Key!$E$2:$F$9,2,FALSE)</f>
        <v>#N/A</v>
      </c>
      <c r="L198" s="42"/>
      <c r="M198" s="43" t="s">
        <v>154</v>
      </c>
      <c r="N198" s="42" t="s">
        <v>155</v>
      </c>
      <c r="O198" s="43"/>
      <c r="P198" s="43"/>
      <c r="Q198" s="25" t="e">
        <f>VLOOKUP(P198,Key!$E$2:$F$9,2,FALSE)</f>
        <v>#N/A</v>
      </c>
      <c r="R198" s="25" t="e">
        <f t="shared" si="3"/>
        <v>#N/A</v>
      </c>
      <c r="S198" s="58"/>
      <c r="T198" s="58"/>
      <c r="U198" s="43"/>
      <c r="V198" s="43"/>
      <c r="W198" s="58"/>
      <c r="X198" s="58"/>
      <c r="Y198" s="59" t="s">
        <v>156</v>
      </c>
      <c r="Z198" s="60"/>
      <c r="AA198" s="25"/>
      <c r="AB198" s="25"/>
    </row>
    <row r="199" spans="2:28">
      <c r="B199" s="40"/>
      <c r="C199" s="40"/>
      <c r="D199" s="41"/>
      <c r="E199" s="42"/>
      <c r="F199" s="42"/>
      <c r="G199" s="43" t="s">
        <v>154</v>
      </c>
      <c r="H199" s="42" t="s">
        <v>155</v>
      </c>
      <c r="I199" s="43"/>
      <c r="J199" s="43"/>
      <c r="K199" s="25" t="e">
        <f>VLOOKUP(J199,Key!$E$2:$F$9,2,FALSE)</f>
        <v>#N/A</v>
      </c>
      <c r="L199" s="42"/>
      <c r="M199" s="43" t="s">
        <v>154</v>
      </c>
      <c r="N199" s="42" t="s">
        <v>155</v>
      </c>
      <c r="O199" s="43"/>
      <c r="P199" s="43"/>
      <c r="Q199" s="25" t="e">
        <f>VLOOKUP(P199,Key!$E$2:$F$9,2,FALSE)</f>
        <v>#N/A</v>
      </c>
      <c r="R199" s="25" t="e">
        <f t="shared" si="3"/>
        <v>#N/A</v>
      </c>
      <c r="S199" s="58"/>
      <c r="T199" s="58"/>
      <c r="U199" s="43"/>
      <c r="V199" s="43"/>
      <c r="W199" s="58"/>
      <c r="X199" s="58"/>
      <c r="Y199" s="59" t="s">
        <v>156</v>
      </c>
      <c r="Z199" s="60"/>
      <c r="AA199" s="25"/>
      <c r="AB199" s="25"/>
    </row>
    <row r="200" spans="2:28">
      <c r="B200" s="40"/>
      <c r="C200" s="40"/>
      <c r="D200" s="41"/>
      <c r="E200" s="42"/>
      <c r="F200" s="42"/>
      <c r="G200" s="43" t="s">
        <v>154</v>
      </c>
      <c r="H200" s="42" t="s">
        <v>155</v>
      </c>
      <c r="I200" s="43"/>
      <c r="J200" s="43"/>
      <c r="K200" s="25" t="e">
        <f>VLOOKUP(J200,Key!$E$2:$F$9,2,FALSE)</f>
        <v>#N/A</v>
      </c>
      <c r="L200" s="42"/>
      <c r="M200" s="43" t="s">
        <v>154</v>
      </c>
      <c r="N200" s="42" t="s">
        <v>155</v>
      </c>
      <c r="O200" s="43"/>
      <c r="P200" s="43"/>
      <c r="Q200" s="25" t="e">
        <f>VLOOKUP(P200,Key!$E$2:$F$9,2,FALSE)</f>
        <v>#N/A</v>
      </c>
      <c r="R200" s="25" t="e">
        <f t="shared" si="3"/>
        <v>#N/A</v>
      </c>
      <c r="S200" s="58"/>
      <c r="T200" s="58"/>
      <c r="U200" s="43"/>
      <c r="V200" s="43"/>
      <c r="W200" s="58"/>
      <c r="X200" s="58"/>
      <c r="Y200" s="59" t="s">
        <v>156</v>
      </c>
      <c r="Z200" s="60"/>
      <c r="AA200" s="25"/>
      <c r="AB200" s="25"/>
    </row>
    <row r="201" spans="2:28">
      <c r="B201" s="40"/>
      <c r="C201" s="40"/>
      <c r="D201" s="41"/>
      <c r="E201" s="42"/>
      <c r="F201" s="42"/>
      <c r="G201" s="43" t="s">
        <v>154</v>
      </c>
      <c r="H201" s="42" t="s">
        <v>155</v>
      </c>
      <c r="I201" s="43"/>
      <c r="J201" s="43"/>
      <c r="K201" s="25" t="e">
        <f>VLOOKUP(J201,Key!$E$2:$F$9,2,FALSE)</f>
        <v>#N/A</v>
      </c>
      <c r="L201" s="42"/>
      <c r="M201" s="43" t="s">
        <v>154</v>
      </c>
      <c r="N201" s="42" t="s">
        <v>155</v>
      </c>
      <c r="O201" s="43"/>
      <c r="P201" s="43"/>
      <c r="Q201" s="25" t="e">
        <f>VLOOKUP(P201,Key!$E$2:$F$9,2,FALSE)</f>
        <v>#N/A</v>
      </c>
      <c r="R201" s="25" t="e">
        <f t="shared" si="3"/>
        <v>#N/A</v>
      </c>
      <c r="S201" s="58"/>
      <c r="T201" s="58"/>
      <c r="U201" s="43"/>
      <c r="V201" s="43"/>
      <c r="W201" s="58"/>
      <c r="X201" s="58"/>
      <c r="Y201" s="59" t="s">
        <v>156</v>
      </c>
      <c r="Z201" s="60"/>
      <c r="AA201" s="25"/>
      <c r="AB201" s="25"/>
    </row>
    <row r="202" spans="2:28">
      <c r="B202" s="40"/>
      <c r="C202" s="40"/>
      <c r="D202" s="41"/>
      <c r="E202" s="42"/>
      <c r="F202" s="42"/>
      <c r="G202" s="43" t="s">
        <v>154</v>
      </c>
      <c r="H202" s="42" t="s">
        <v>155</v>
      </c>
      <c r="I202" s="43"/>
      <c r="J202" s="43"/>
      <c r="K202" s="25" t="e">
        <f>VLOOKUP(J202,Key!$E$2:$F$9,2,FALSE)</f>
        <v>#N/A</v>
      </c>
      <c r="L202" s="42"/>
      <c r="M202" s="43" t="s">
        <v>154</v>
      </c>
      <c r="N202" s="42" t="s">
        <v>155</v>
      </c>
      <c r="O202" s="43"/>
      <c r="P202" s="43"/>
      <c r="Q202" s="25" t="e">
        <f>VLOOKUP(P202,Key!$E$2:$F$9,2,FALSE)</f>
        <v>#N/A</v>
      </c>
      <c r="R202" s="25" t="e">
        <f t="shared" si="3"/>
        <v>#N/A</v>
      </c>
      <c r="S202" s="58"/>
      <c r="T202" s="58"/>
      <c r="U202" s="43"/>
      <c r="V202" s="43"/>
      <c r="W202" s="58"/>
      <c r="X202" s="58"/>
      <c r="Y202" s="59" t="s">
        <v>156</v>
      </c>
      <c r="Z202" s="60"/>
      <c r="AA202" s="25"/>
      <c r="AB202" s="25"/>
    </row>
    <row r="203" spans="2:28">
      <c r="B203" s="40"/>
      <c r="C203" s="40"/>
      <c r="D203" s="41"/>
      <c r="E203" s="42"/>
      <c r="F203" s="42"/>
      <c r="G203" s="43" t="s">
        <v>154</v>
      </c>
      <c r="H203" s="42" t="s">
        <v>155</v>
      </c>
      <c r="I203" s="43"/>
      <c r="J203" s="43"/>
      <c r="K203" s="25" t="e">
        <f>VLOOKUP(J203,Key!$E$2:$F$9,2,FALSE)</f>
        <v>#N/A</v>
      </c>
      <c r="L203" s="42"/>
      <c r="M203" s="43" t="s">
        <v>154</v>
      </c>
      <c r="N203" s="42" t="s">
        <v>155</v>
      </c>
      <c r="O203" s="43"/>
      <c r="P203" s="43"/>
      <c r="Q203" s="25" t="e">
        <f>VLOOKUP(P203,Key!$E$2:$F$9,2,FALSE)</f>
        <v>#N/A</v>
      </c>
      <c r="R203" s="25" t="e">
        <f t="shared" si="3"/>
        <v>#N/A</v>
      </c>
      <c r="S203" s="58"/>
      <c r="T203" s="58"/>
      <c r="U203" s="43"/>
      <c r="V203" s="43"/>
      <c r="W203" s="58"/>
      <c r="X203" s="58"/>
      <c r="Y203" s="59" t="s">
        <v>156</v>
      </c>
      <c r="Z203" s="60"/>
      <c r="AA203" s="25"/>
      <c r="AB203" s="25"/>
    </row>
    <row r="204" spans="2:28">
      <c r="B204" s="40"/>
      <c r="C204" s="40"/>
      <c r="D204" s="41"/>
      <c r="E204" s="42"/>
      <c r="F204" s="42"/>
      <c r="G204" s="43" t="s">
        <v>154</v>
      </c>
      <c r="H204" s="42" t="s">
        <v>155</v>
      </c>
      <c r="I204" s="43"/>
      <c r="J204" s="43"/>
      <c r="K204" s="25" t="e">
        <f>VLOOKUP(J204,Key!$E$2:$F$9,2,FALSE)</f>
        <v>#N/A</v>
      </c>
      <c r="L204" s="42"/>
      <c r="M204" s="43" t="s">
        <v>154</v>
      </c>
      <c r="N204" s="42" t="s">
        <v>155</v>
      </c>
      <c r="O204" s="43"/>
      <c r="P204" s="43"/>
      <c r="Q204" s="25" t="e">
        <f>VLOOKUP(P204,Key!$E$2:$F$9,2,FALSE)</f>
        <v>#N/A</v>
      </c>
      <c r="R204" s="25" t="e">
        <f t="shared" si="3"/>
        <v>#N/A</v>
      </c>
      <c r="S204" s="58"/>
      <c r="T204" s="58"/>
      <c r="U204" s="43"/>
      <c r="V204" s="43"/>
      <c r="W204" s="58"/>
      <c r="X204" s="58"/>
      <c r="Y204" s="59" t="s">
        <v>156</v>
      </c>
      <c r="Z204" s="60"/>
      <c r="AA204" s="25"/>
      <c r="AB204" s="25"/>
    </row>
    <row r="205" spans="2:28">
      <c r="B205" s="40"/>
      <c r="C205" s="40"/>
      <c r="D205" s="41"/>
      <c r="E205" s="42"/>
      <c r="F205" s="42"/>
      <c r="G205" s="43" t="s">
        <v>154</v>
      </c>
      <c r="H205" s="42" t="s">
        <v>155</v>
      </c>
      <c r="I205" s="43"/>
      <c r="J205" s="43"/>
      <c r="K205" s="25" t="e">
        <f>VLOOKUP(J205,Key!$E$2:$F$9,2,FALSE)</f>
        <v>#N/A</v>
      </c>
      <c r="L205" s="42"/>
      <c r="M205" s="43" t="s">
        <v>154</v>
      </c>
      <c r="N205" s="42" t="s">
        <v>155</v>
      </c>
      <c r="O205" s="43"/>
      <c r="P205" s="43"/>
      <c r="Q205" s="25" t="e">
        <f>VLOOKUP(P205,Key!$E$2:$F$9,2,FALSE)</f>
        <v>#N/A</v>
      </c>
      <c r="R205" s="25" t="e">
        <f t="shared" si="3"/>
        <v>#N/A</v>
      </c>
      <c r="S205" s="58"/>
      <c r="T205" s="58"/>
      <c r="U205" s="43"/>
      <c r="V205" s="43"/>
      <c r="W205" s="58"/>
      <c r="X205" s="58"/>
      <c r="Y205" s="59" t="s">
        <v>156</v>
      </c>
      <c r="Z205" s="60"/>
      <c r="AA205" s="25"/>
      <c r="AB205" s="25"/>
    </row>
    <row r="206" spans="2:28">
      <c r="B206" s="40"/>
      <c r="C206" s="40"/>
      <c r="D206" s="41"/>
      <c r="E206" s="42"/>
      <c r="F206" s="42"/>
      <c r="G206" s="43" t="s">
        <v>154</v>
      </c>
      <c r="H206" s="42" t="s">
        <v>155</v>
      </c>
      <c r="I206" s="43"/>
      <c r="J206" s="43"/>
      <c r="K206" s="25" t="e">
        <f>VLOOKUP(J206,Key!$E$2:$F$9,2,FALSE)</f>
        <v>#N/A</v>
      </c>
      <c r="L206" s="42"/>
      <c r="M206" s="43" t="s">
        <v>154</v>
      </c>
      <c r="N206" s="42" t="s">
        <v>155</v>
      </c>
      <c r="O206" s="43"/>
      <c r="P206" s="43"/>
      <c r="Q206" s="25" t="e">
        <f>VLOOKUP(P206,Key!$E$2:$F$9,2,FALSE)</f>
        <v>#N/A</v>
      </c>
      <c r="R206" s="25" t="e">
        <f t="shared" si="3"/>
        <v>#N/A</v>
      </c>
      <c r="S206" s="58"/>
      <c r="T206" s="58"/>
      <c r="U206" s="43"/>
      <c r="V206" s="43"/>
      <c r="W206" s="58"/>
      <c r="X206" s="58"/>
      <c r="Y206" s="59" t="s">
        <v>156</v>
      </c>
      <c r="Z206" s="60"/>
      <c r="AA206" s="25"/>
      <c r="AB206" s="25"/>
    </row>
    <row r="207" spans="2:28">
      <c r="B207" s="40"/>
      <c r="C207" s="40"/>
      <c r="D207" s="41"/>
      <c r="E207" s="42"/>
      <c r="F207" s="42"/>
      <c r="G207" s="43" t="s">
        <v>154</v>
      </c>
      <c r="H207" s="42" t="s">
        <v>155</v>
      </c>
      <c r="I207" s="43"/>
      <c r="J207" s="43"/>
      <c r="K207" s="25" t="e">
        <f>VLOOKUP(J207,Key!$E$2:$F$9,2,FALSE)</f>
        <v>#N/A</v>
      </c>
      <c r="L207" s="42"/>
      <c r="M207" s="43" t="s">
        <v>154</v>
      </c>
      <c r="N207" s="42" t="s">
        <v>155</v>
      </c>
      <c r="O207" s="43"/>
      <c r="P207" s="43"/>
      <c r="Q207" s="25" t="e">
        <f>VLOOKUP(P207,Key!$E$2:$F$9,2,FALSE)</f>
        <v>#N/A</v>
      </c>
      <c r="R207" s="25" t="e">
        <f t="shared" si="3"/>
        <v>#N/A</v>
      </c>
      <c r="S207" s="58"/>
      <c r="T207" s="58"/>
      <c r="U207" s="43"/>
      <c r="V207" s="43"/>
      <c r="W207" s="58"/>
      <c r="X207" s="58"/>
      <c r="Y207" s="59" t="s">
        <v>156</v>
      </c>
      <c r="Z207" s="60"/>
      <c r="AA207" s="25"/>
      <c r="AB207" s="25"/>
    </row>
    <row r="208" spans="2:28">
      <c r="B208" s="40"/>
      <c r="C208" s="40"/>
      <c r="D208" s="41"/>
      <c r="E208" s="42"/>
      <c r="F208" s="42"/>
      <c r="G208" s="43" t="s">
        <v>154</v>
      </c>
      <c r="H208" s="42" t="s">
        <v>155</v>
      </c>
      <c r="I208" s="43"/>
      <c r="J208" s="43"/>
      <c r="K208" s="25" t="e">
        <f>VLOOKUP(J208,Key!$E$2:$F$9,2,FALSE)</f>
        <v>#N/A</v>
      </c>
      <c r="L208" s="42"/>
      <c r="M208" s="43" t="s">
        <v>154</v>
      </c>
      <c r="N208" s="42" t="s">
        <v>155</v>
      </c>
      <c r="O208" s="43"/>
      <c r="P208" s="43"/>
      <c r="Q208" s="25" t="e">
        <f>VLOOKUP(P208,Key!$E$2:$F$9,2,FALSE)</f>
        <v>#N/A</v>
      </c>
      <c r="R208" s="25" t="e">
        <f t="shared" si="3"/>
        <v>#N/A</v>
      </c>
      <c r="S208" s="58"/>
      <c r="T208" s="58"/>
      <c r="U208" s="43"/>
      <c r="V208" s="43"/>
      <c r="W208" s="58"/>
      <c r="X208" s="58"/>
      <c r="Y208" s="59" t="s">
        <v>156</v>
      </c>
      <c r="Z208" s="60"/>
      <c r="AA208" s="25"/>
      <c r="AB208" s="25"/>
    </row>
    <row r="209" spans="2:28">
      <c r="B209" s="40"/>
      <c r="C209" s="40"/>
      <c r="D209" s="41"/>
      <c r="E209" s="42"/>
      <c r="F209" s="42"/>
      <c r="G209" s="43" t="s">
        <v>154</v>
      </c>
      <c r="H209" s="42" t="s">
        <v>155</v>
      </c>
      <c r="I209" s="43"/>
      <c r="J209" s="43"/>
      <c r="K209" s="25" t="e">
        <f>VLOOKUP(J209,Key!$E$2:$F$9,2,FALSE)</f>
        <v>#N/A</v>
      </c>
      <c r="L209" s="42"/>
      <c r="M209" s="43" t="s">
        <v>154</v>
      </c>
      <c r="N209" s="42" t="s">
        <v>155</v>
      </c>
      <c r="O209" s="43"/>
      <c r="P209" s="43"/>
      <c r="Q209" s="25" t="e">
        <f>VLOOKUP(P209,Key!$E$2:$F$9,2,FALSE)</f>
        <v>#N/A</v>
      </c>
      <c r="R209" s="25" t="e">
        <f t="shared" si="3"/>
        <v>#N/A</v>
      </c>
      <c r="S209" s="58"/>
      <c r="T209" s="58"/>
      <c r="U209" s="43"/>
      <c r="V209" s="43"/>
      <c r="W209" s="58"/>
      <c r="X209" s="58"/>
      <c r="Y209" s="59" t="s">
        <v>156</v>
      </c>
      <c r="Z209" s="60"/>
      <c r="AA209" s="25"/>
      <c r="AB209" s="25"/>
    </row>
    <row r="210" spans="2:28">
      <c r="B210" s="40"/>
      <c r="C210" s="40"/>
      <c r="D210" s="41"/>
      <c r="E210" s="42"/>
      <c r="F210" s="42"/>
      <c r="G210" s="43" t="s">
        <v>154</v>
      </c>
      <c r="H210" s="42" t="s">
        <v>155</v>
      </c>
      <c r="I210" s="43"/>
      <c r="J210" s="43"/>
      <c r="K210" s="25" t="e">
        <f>VLOOKUP(J210,Key!$E$2:$F$9,2,FALSE)</f>
        <v>#N/A</v>
      </c>
      <c r="L210" s="42"/>
      <c r="M210" s="43" t="s">
        <v>154</v>
      </c>
      <c r="N210" s="42" t="s">
        <v>155</v>
      </c>
      <c r="O210" s="43"/>
      <c r="P210" s="43"/>
      <c r="Q210" s="25" t="e">
        <f>VLOOKUP(P210,Key!$E$2:$F$9,2,FALSE)</f>
        <v>#N/A</v>
      </c>
      <c r="R210" s="25" t="e">
        <f t="shared" si="3"/>
        <v>#N/A</v>
      </c>
      <c r="S210" s="58"/>
      <c r="T210" s="58"/>
      <c r="U210" s="43"/>
      <c r="V210" s="43"/>
      <c r="W210" s="58"/>
      <c r="X210" s="58"/>
      <c r="Y210" s="59" t="s">
        <v>156</v>
      </c>
      <c r="Z210" s="60"/>
      <c r="AA210" s="25"/>
      <c r="AB210" s="25"/>
    </row>
    <row r="211" spans="2:28">
      <c r="B211" s="40"/>
      <c r="C211" s="40"/>
      <c r="D211" s="41"/>
      <c r="E211" s="42"/>
      <c r="F211" s="42"/>
      <c r="G211" s="43" t="s">
        <v>154</v>
      </c>
      <c r="H211" s="42" t="s">
        <v>155</v>
      </c>
      <c r="I211" s="43"/>
      <c r="J211" s="43"/>
      <c r="K211" s="25" t="e">
        <f>VLOOKUP(J211,Key!$E$2:$F$9,2,FALSE)</f>
        <v>#N/A</v>
      </c>
      <c r="L211" s="42"/>
      <c r="M211" s="43" t="s">
        <v>154</v>
      </c>
      <c r="N211" s="42" t="s">
        <v>155</v>
      </c>
      <c r="O211" s="43"/>
      <c r="P211" s="43"/>
      <c r="Q211" s="25" t="e">
        <f>VLOOKUP(P211,Key!$E$2:$F$9,2,FALSE)</f>
        <v>#N/A</v>
      </c>
      <c r="R211" s="25" t="e">
        <f t="shared" si="3"/>
        <v>#N/A</v>
      </c>
      <c r="S211" s="58"/>
      <c r="T211" s="58"/>
      <c r="U211" s="43"/>
      <c r="V211" s="43"/>
      <c r="W211" s="58"/>
      <c r="X211" s="58"/>
      <c r="Y211" s="59" t="s">
        <v>156</v>
      </c>
      <c r="Z211" s="60"/>
      <c r="AA211" s="25"/>
      <c r="AB211" s="25"/>
    </row>
    <row r="212" spans="2:28">
      <c r="B212" s="40"/>
      <c r="C212" s="40"/>
      <c r="D212" s="41"/>
      <c r="E212" s="42"/>
      <c r="F212" s="42"/>
      <c r="G212" s="43" t="s">
        <v>154</v>
      </c>
      <c r="H212" s="42" t="s">
        <v>155</v>
      </c>
      <c r="I212" s="43"/>
      <c r="J212" s="43"/>
      <c r="K212" s="25" t="e">
        <f>VLOOKUP(J212,Key!$E$2:$F$9,2,FALSE)</f>
        <v>#N/A</v>
      </c>
      <c r="L212" s="42"/>
      <c r="M212" s="43" t="s">
        <v>154</v>
      </c>
      <c r="N212" s="42" t="s">
        <v>155</v>
      </c>
      <c r="O212" s="43"/>
      <c r="P212" s="43"/>
      <c r="Q212" s="25" t="e">
        <f>VLOOKUP(P212,Key!$E$2:$F$9,2,FALSE)</f>
        <v>#N/A</v>
      </c>
      <c r="R212" s="25" t="e">
        <f t="shared" si="3"/>
        <v>#N/A</v>
      </c>
      <c r="S212" s="58"/>
      <c r="T212" s="58"/>
      <c r="U212" s="43"/>
      <c r="V212" s="43"/>
      <c r="W212" s="58"/>
      <c r="X212" s="58"/>
      <c r="Y212" s="59" t="s">
        <v>156</v>
      </c>
      <c r="Z212" s="60"/>
      <c r="AA212" s="25"/>
      <c r="AB212" s="25"/>
    </row>
    <row r="213" spans="2:28">
      <c r="B213" s="40"/>
      <c r="C213" s="40"/>
      <c r="D213" s="41"/>
      <c r="E213" s="42"/>
      <c r="F213" s="42"/>
      <c r="G213" s="43" t="s">
        <v>154</v>
      </c>
      <c r="H213" s="42" t="s">
        <v>155</v>
      </c>
      <c r="I213" s="43"/>
      <c r="J213" s="43"/>
      <c r="K213" s="25" t="e">
        <f>VLOOKUP(J213,Key!$E$2:$F$9,2,FALSE)</f>
        <v>#N/A</v>
      </c>
      <c r="L213" s="42"/>
      <c r="M213" s="43" t="s">
        <v>154</v>
      </c>
      <c r="N213" s="42" t="s">
        <v>155</v>
      </c>
      <c r="O213" s="43"/>
      <c r="P213" s="43"/>
      <c r="Q213" s="25" t="e">
        <f>VLOOKUP(P213,Key!$E$2:$F$9,2,FALSE)</f>
        <v>#N/A</v>
      </c>
      <c r="R213" s="25" t="e">
        <f t="shared" si="3"/>
        <v>#N/A</v>
      </c>
      <c r="S213" s="58"/>
      <c r="T213" s="58"/>
      <c r="U213" s="43"/>
      <c r="V213" s="43"/>
      <c r="W213" s="58"/>
      <c r="X213" s="58"/>
      <c r="Y213" s="59" t="s">
        <v>156</v>
      </c>
      <c r="Z213" s="60"/>
      <c r="AA213" s="25"/>
      <c r="AB213" s="25"/>
    </row>
    <row r="214" spans="2:28">
      <c r="B214" s="40"/>
      <c r="C214" s="40"/>
      <c r="D214" s="41"/>
      <c r="E214" s="42"/>
      <c r="F214" s="42"/>
      <c r="G214" s="43" t="s">
        <v>154</v>
      </c>
      <c r="H214" s="42" t="s">
        <v>155</v>
      </c>
      <c r="I214" s="43"/>
      <c r="J214" s="43"/>
      <c r="K214" s="25" t="e">
        <f>VLOOKUP(J214,Key!$E$2:$F$9,2,FALSE)</f>
        <v>#N/A</v>
      </c>
      <c r="L214" s="42"/>
      <c r="M214" s="43" t="s">
        <v>154</v>
      </c>
      <c r="N214" s="42" t="s">
        <v>155</v>
      </c>
      <c r="O214" s="43"/>
      <c r="P214" s="43"/>
      <c r="Q214" s="25" t="e">
        <f>VLOOKUP(P214,Key!$E$2:$F$9,2,FALSE)</f>
        <v>#N/A</v>
      </c>
      <c r="R214" s="25" t="e">
        <f t="shared" si="3"/>
        <v>#N/A</v>
      </c>
      <c r="S214" s="58"/>
      <c r="T214" s="58"/>
      <c r="U214" s="43"/>
      <c r="V214" s="43"/>
      <c r="W214" s="58"/>
      <c r="X214" s="58"/>
      <c r="Y214" s="59" t="s">
        <v>156</v>
      </c>
      <c r="Z214" s="60"/>
      <c r="AA214" s="25"/>
      <c r="AB214" s="25"/>
    </row>
    <row r="215" spans="2:28">
      <c r="B215" s="40"/>
      <c r="C215" s="40"/>
      <c r="D215" s="41"/>
      <c r="E215" s="42"/>
      <c r="F215" s="42"/>
      <c r="G215" s="43" t="s">
        <v>154</v>
      </c>
      <c r="H215" s="42" t="s">
        <v>155</v>
      </c>
      <c r="I215" s="43"/>
      <c r="J215" s="43"/>
      <c r="K215" s="25" t="e">
        <f>VLOOKUP(J215,Key!$E$2:$F$9,2,FALSE)</f>
        <v>#N/A</v>
      </c>
      <c r="L215" s="42"/>
      <c r="M215" s="43" t="s">
        <v>154</v>
      </c>
      <c r="N215" s="42" t="s">
        <v>155</v>
      </c>
      <c r="O215" s="43"/>
      <c r="P215" s="43"/>
      <c r="Q215" s="25" t="e">
        <f>VLOOKUP(P215,Key!$E$2:$F$9,2,FALSE)</f>
        <v>#N/A</v>
      </c>
      <c r="R215" s="25" t="e">
        <f t="shared" si="3"/>
        <v>#N/A</v>
      </c>
      <c r="S215" s="58"/>
      <c r="T215" s="58"/>
      <c r="U215" s="43"/>
      <c r="V215" s="43"/>
      <c r="W215" s="58"/>
      <c r="X215" s="58"/>
      <c r="Y215" s="59" t="s">
        <v>156</v>
      </c>
      <c r="Z215" s="60"/>
      <c r="AA215" s="25"/>
      <c r="AB215" s="25"/>
    </row>
    <row r="216" spans="2:28">
      <c r="B216" s="40"/>
      <c r="C216" s="40"/>
      <c r="D216" s="41"/>
      <c r="E216" s="42"/>
      <c r="F216" s="42"/>
      <c r="G216" s="43" t="s">
        <v>154</v>
      </c>
      <c r="H216" s="42" t="s">
        <v>155</v>
      </c>
      <c r="I216" s="43"/>
      <c r="J216" s="43"/>
      <c r="K216" s="25" t="e">
        <f>VLOOKUP(J216,Key!$E$2:$F$9,2,FALSE)</f>
        <v>#N/A</v>
      </c>
      <c r="L216" s="42"/>
      <c r="M216" s="43" t="s">
        <v>154</v>
      </c>
      <c r="N216" s="42" t="s">
        <v>155</v>
      </c>
      <c r="O216" s="43"/>
      <c r="P216" s="43"/>
      <c r="Q216" s="25" t="e">
        <f>VLOOKUP(P216,Key!$E$2:$F$9,2,FALSE)</f>
        <v>#N/A</v>
      </c>
      <c r="R216" s="25" t="e">
        <f t="shared" si="3"/>
        <v>#N/A</v>
      </c>
      <c r="S216" s="58"/>
      <c r="T216" s="58"/>
      <c r="U216" s="43"/>
      <c r="V216" s="43"/>
      <c r="W216" s="58"/>
      <c r="X216" s="58"/>
      <c r="Y216" s="59" t="s">
        <v>156</v>
      </c>
      <c r="Z216" s="60"/>
      <c r="AA216" s="25"/>
      <c r="AB216" s="25"/>
    </row>
    <row r="217" spans="2:28">
      <c r="B217" s="40"/>
      <c r="C217" s="40"/>
      <c r="D217" s="41"/>
      <c r="E217" s="42"/>
      <c r="F217" s="42"/>
      <c r="G217" s="43" t="s">
        <v>154</v>
      </c>
      <c r="H217" s="42" t="s">
        <v>155</v>
      </c>
      <c r="I217" s="43"/>
      <c r="J217" s="43"/>
      <c r="K217" s="25" t="e">
        <f>VLOOKUP(J217,Key!$E$2:$F$9,2,FALSE)</f>
        <v>#N/A</v>
      </c>
      <c r="L217" s="42"/>
      <c r="M217" s="43" t="s">
        <v>154</v>
      </c>
      <c r="N217" s="42" t="s">
        <v>155</v>
      </c>
      <c r="O217" s="43"/>
      <c r="P217" s="43"/>
      <c r="Q217" s="25" t="e">
        <f>VLOOKUP(P217,Key!$E$2:$F$9,2,FALSE)</f>
        <v>#N/A</v>
      </c>
      <c r="R217" s="25" t="e">
        <f t="shared" si="3"/>
        <v>#N/A</v>
      </c>
      <c r="S217" s="58"/>
      <c r="T217" s="58"/>
      <c r="U217" s="43"/>
      <c r="V217" s="43"/>
      <c r="W217" s="58"/>
      <c r="X217" s="58"/>
      <c r="Y217" s="59" t="s">
        <v>156</v>
      </c>
      <c r="Z217" s="60"/>
      <c r="AA217" s="25"/>
      <c r="AB217" s="25"/>
    </row>
    <row r="218" spans="2:28">
      <c r="B218" s="40"/>
      <c r="C218" s="40"/>
      <c r="D218" s="41"/>
      <c r="E218" s="42"/>
      <c r="F218" s="42"/>
      <c r="G218" s="43" t="s">
        <v>154</v>
      </c>
      <c r="H218" s="42" t="s">
        <v>155</v>
      </c>
      <c r="I218" s="43"/>
      <c r="J218" s="43"/>
      <c r="K218" s="25" t="e">
        <f>VLOOKUP(J218,Key!$E$2:$F$9,2,FALSE)</f>
        <v>#N/A</v>
      </c>
      <c r="L218" s="42"/>
      <c r="M218" s="43" t="s">
        <v>154</v>
      </c>
      <c r="N218" s="42" t="s">
        <v>155</v>
      </c>
      <c r="O218" s="43"/>
      <c r="P218" s="43"/>
      <c r="Q218" s="25" t="e">
        <f>VLOOKUP(P218,Key!$E$2:$F$9,2,FALSE)</f>
        <v>#N/A</v>
      </c>
      <c r="R218" s="25" t="e">
        <f t="shared" si="3"/>
        <v>#N/A</v>
      </c>
      <c r="S218" s="58"/>
      <c r="T218" s="58"/>
      <c r="U218" s="43"/>
      <c r="V218" s="43"/>
      <c r="W218" s="58"/>
      <c r="X218" s="58"/>
      <c r="Y218" s="59" t="s">
        <v>156</v>
      </c>
      <c r="Z218" s="60"/>
      <c r="AA218" s="25"/>
      <c r="AB218" s="25"/>
    </row>
    <row r="219" spans="2:28">
      <c r="B219" s="40"/>
      <c r="C219" s="40"/>
      <c r="D219" s="41"/>
      <c r="E219" s="42"/>
      <c r="F219" s="42"/>
      <c r="G219" s="43" t="s">
        <v>154</v>
      </c>
      <c r="H219" s="42" t="s">
        <v>155</v>
      </c>
      <c r="I219" s="43"/>
      <c r="J219" s="43"/>
      <c r="K219" s="25" t="e">
        <f>VLOOKUP(J219,Key!$E$2:$F$9,2,FALSE)</f>
        <v>#N/A</v>
      </c>
      <c r="L219" s="42"/>
      <c r="M219" s="43" t="s">
        <v>154</v>
      </c>
      <c r="N219" s="42" t="s">
        <v>155</v>
      </c>
      <c r="O219" s="43"/>
      <c r="P219" s="43"/>
      <c r="Q219" s="25" t="e">
        <f>VLOOKUP(P219,Key!$E$2:$F$9,2,FALSE)</f>
        <v>#N/A</v>
      </c>
      <c r="R219" s="25" t="e">
        <f t="shared" si="3"/>
        <v>#N/A</v>
      </c>
      <c r="S219" s="58"/>
      <c r="T219" s="58"/>
      <c r="U219" s="43"/>
      <c r="V219" s="43"/>
      <c r="W219" s="58"/>
      <c r="X219" s="58"/>
      <c r="Y219" s="59" t="s">
        <v>156</v>
      </c>
      <c r="Z219" s="60"/>
      <c r="AA219" s="25"/>
      <c r="AB219" s="25"/>
    </row>
    <row r="220" spans="2:28">
      <c r="B220" s="40"/>
      <c r="C220" s="40"/>
      <c r="D220" s="41"/>
      <c r="E220" s="42"/>
      <c r="F220" s="42"/>
      <c r="G220" s="43" t="s">
        <v>154</v>
      </c>
      <c r="H220" s="42" t="s">
        <v>155</v>
      </c>
      <c r="I220" s="43"/>
      <c r="J220" s="43"/>
      <c r="K220" s="25" t="e">
        <f>VLOOKUP(J220,Key!$E$2:$F$9,2,FALSE)</f>
        <v>#N/A</v>
      </c>
      <c r="L220" s="42"/>
      <c r="M220" s="43" t="s">
        <v>154</v>
      </c>
      <c r="N220" s="42" t="s">
        <v>155</v>
      </c>
      <c r="O220" s="43"/>
      <c r="P220" s="43"/>
      <c r="Q220" s="25" t="e">
        <f>VLOOKUP(P220,Key!$E$2:$F$9,2,FALSE)</f>
        <v>#N/A</v>
      </c>
      <c r="R220" s="25" t="e">
        <f t="shared" si="3"/>
        <v>#N/A</v>
      </c>
      <c r="S220" s="58"/>
      <c r="T220" s="58"/>
      <c r="U220" s="43"/>
      <c r="V220" s="43"/>
      <c r="W220" s="58"/>
      <c r="X220" s="58"/>
      <c r="Y220" s="59" t="s">
        <v>156</v>
      </c>
      <c r="Z220" s="60"/>
      <c r="AA220" s="25"/>
      <c r="AB220" s="25"/>
    </row>
    <row r="221" spans="2:28">
      <c r="B221" s="40"/>
      <c r="C221" s="40"/>
      <c r="D221" s="41"/>
      <c r="E221" s="42"/>
      <c r="F221" s="42"/>
      <c r="G221" s="43" t="s">
        <v>154</v>
      </c>
      <c r="H221" s="42" t="s">
        <v>155</v>
      </c>
      <c r="I221" s="43"/>
      <c r="J221" s="43"/>
      <c r="K221" s="25" t="e">
        <f>VLOOKUP(J221,Key!$E$2:$F$9,2,FALSE)</f>
        <v>#N/A</v>
      </c>
      <c r="L221" s="42"/>
      <c r="M221" s="43" t="s">
        <v>154</v>
      </c>
      <c r="N221" s="42" t="s">
        <v>155</v>
      </c>
      <c r="O221" s="43"/>
      <c r="P221" s="43"/>
      <c r="Q221" s="25" t="e">
        <f>VLOOKUP(P221,Key!$E$2:$F$9,2,FALSE)</f>
        <v>#N/A</v>
      </c>
      <c r="R221" s="25" t="e">
        <f t="shared" si="3"/>
        <v>#N/A</v>
      </c>
      <c r="S221" s="58"/>
      <c r="T221" s="58"/>
      <c r="U221" s="43"/>
      <c r="V221" s="43"/>
      <c r="W221" s="58"/>
      <c r="X221" s="58"/>
      <c r="Y221" s="59" t="s">
        <v>156</v>
      </c>
      <c r="Z221" s="60"/>
      <c r="AA221" s="25"/>
      <c r="AB221" s="25"/>
    </row>
    <row r="222" spans="2:28">
      <c r="B222" s="40"/>
      <c r="C222" s="40"/>
      <c r="D222" s="41"/>
      <c r="E222" s="42"/>
      <c r="F222" s="42"/>
      <c r="G222" s="43" t="s">
        <v>154</v>
      </c>
      <c r="H222" s="42" t="s">
        <v>155</v>
      </c>
      <c r="I222" s="43"/>
      <c r="J222" s="43"/>
      <c r="K222" s="25" t="e">
        <f>VLOOKUP(J222,Key!$E$2:$F$9,2,FALSE)</f>
        <v>#N/A</v>
      </c>
      <c r="L222" s="42"/>
      <c r="M222" s="43" t="s">
        <v>154</v>
      </c>
      <c r="N222" s="42" t="s">
        <v>155</v>
      </c>
      <c r="O222" s="43"/>
      <c r="P222" s="43"/>
      <c r="Q222" s="25" t="e">
        <f>VLOOKUP(P222,Key!$E$2:$F$9,2,FALSE)</f>
        <v>#N/A</v>
      </c>
      <c r="R222" s="25" t="e">
        <f t="shared" si="3"/>
        <v>#N/A</v>
      </c>
      <c r="S222" s="58"/>
      <c r="T222" s="58"/>
      <c r="U222" s="43"/>
      <c r="V222" s="43"/>
      <c r="W222" s="58"/>
      <c r="X222" s="58"/>
      <c r="Y222" s="59" t="s">
        <v>156</v>
      </c>
      <c r="Z222" s="60"/>
      <c r="AA222" s="25"/>
      <c r="AB222" s="25"/>
    </row>
    <row r="223" spans="2:28">
      <c r="B223" s="40"/>
      <c r="C223" s="40"/>
      <c r="D223" s="41"/>
      <c r="E223" s="42"/>
      <c r="F223" s="42"/>
      <c r="G223" s="43" t="s">
        <v>154</v>
      </c>
      <c r="H223" s="42" t="s">
        <v>155</v>
      </c>
      <c r="I223" s="43"/>
      <c r="J223" s="43"/>
      <c r="K223" s="25" t="e">
        <f>VLOOKUP(J223,Key!$E$2:$F$9,2,FALSE)</f>
        <v>#N/A</v>
      </c>
      <c r="L223" s="42"/>
      <c r="M223" s="43" t="s">
        <v>154</v>
      </c>
      <c r="N223" s="42" t="s">
        <v>155</v>
      </c>
      <c r="O223" s="43"/>
      <c r="P223" s="43"/>
      <c r="Q223" s="25" t="e">
        <f>VLOOKUP(P223,Key!$E$2:$F$9,2,FALSE)</f>
        <v>#N/A</v>
      </c>
      <c r="R223" s="25" t="e">
        <f t="shared" si="3"/>
        <v>#N/A</v>
      </c>
      <c r="S223" s="58"/>
      <c r="T223" s="58"/>
      <c r="U223" s="43"/>
      <c r="V223" s="43"/>
      <c r="W223" s="58"/>
      <c r="X223" s="58"/>
      <c r="Y223" s="59" t="s">
        <v>156</v>
      </c>
      <c r="Z223" s="60"/>
      <c r="AA223" s="25"/>
      <c r="AB223" s="25"/>
    </row>
    <row r="224" spans="2:28">
      <c r="B224" s="40"/>
      <c r="C224" s="40"/>
      <c r="D224" s="41"/>
      <c r="E224" s="42"/>
      <c r="F224" s="42"/>
      <c r="G224" s="43" t="s">
        <v>154</v>
      </c>
      <c r="H224" s="42" t="s">
        <v>155</v>
      </c>
      <c r="I224" s="43"/>
      <c r="J224" s="43"/>
      <c r="K224" s="25" t="e">
        <f>VLOOKUP(J224,Key!$E$2:$F$9,2,FALSE)</f>
        <v>#N/A</v>
      </c>
      <c r="L224" s="42"/>
      <c r="M224" s="43" t="s">
        <v>154</v>
      </c>
      <c r="N224" s="42" t="s">
        <v>155</v>
      </c>
      <c r="O224" s="43"/>
      <c r="P224" s="43"/>
      <c r="Q224" s="25" t="e">
        <f>VLOOKUP(P224,Key!$E$2:$F$9,2,FALSE)</f>
        <v>#N/A</v>
      </c>
      <c r="R224" s="25" t="e">
        <f t="shared" si="3"/>
        <v>#N/A</v>
      </c>
      <c r="S224" s="58"/>
      <c r="T224" s="58"/>
      <c r="U224" s="43"/>
      <c r="V224" s="43"/>
      <c r="W224" s="58"/>
      <c r="X224" s="58"/>
      <c r="Y224" s="59" t="s">
        <v>156</v>
      </c>
      <c r="Z224" s="60"/>
      <c r="AA224" s="25"/>
      <c r="AB224" s="25"/>
    </row>
    <row r="225" spans="2:28">
      <c r="B225" s="40"/>
      <c r="C225" s="40"/>
      <c r="D225" s="41"/>
      <c r="E225" s="42"/>
      <c r="F225" s="42"/>
      <c r="G225" s="43" t="s">
        <v>154</v>
      </c>
      <c r="H225" s="42" t="s">
        <v>155</v>
      </c>
      <c r="I225" s="43"/>
      <c r="J225" s="43"/>
      <c r="K225" s="25" t="e">
        <f>VLOOKUP(J225,Key!$E$2:$F$9,2,FALSE)</f>
        <v>#N/A</v>
      </c>
      <c r="L225" s="42"/>
      <c r="M225" s="43" t="s">
        <v>154</v>
      </c>
      <c r="N225" s="42" t="s">
        <v>155</v>
      </c>
      <c r="O225" s="43"/>
      <c r="P225" s="43"/>
      <c r="Q225" s="25" t="e">
        <f>VLOOKUP(P225,Key!$E$2:$F$9,2,FALSE)</f>
        <v>#N/A</v>
      </c>
      <c r="R225" s="25" t="e">
        <f t="shared" si="3"/>
        <v>#N/A</v>
      </c>
      <c r="S225" s="58"/>
      <c r="T225" s="58"/>
      <c r="U225" s="43"/>
      <c r="V225" s="43"/>
      <c r="W225" s="58"/>
      <c r="X225" s="58"/>
      <c r="Y225" s="59" t="s">
        <v>156</v>
      </c>
      <c r="Z225" s="60"/>
      <c r="AA225" s="25"/>
      <c r="AB225" s="25"/>
    </row>
    <row r="226" spans="2:28">
      <c r="B226" s="40"/>
      <c r="C226" s="40"/>
      <c r="D226" s="41"/>
      <c r="E226" s="42"/>
      <c r="F226" s="42"/>
      <c r="G226" s="43" t="s">
        <v>154</v>
      </c>
      <c r="H226" s="42" t="s">
        <v>155</v>
      </c>
      <c r="I226" s="43"/>
      <c r="J226" s="43"/>
      <c r="K226" s="25" t="e">
        <f>VLOOKUP(J226,Key!$E$2:$F$9,2,FALSE)</f>
        <v>#N/A</v>
      </c>
      <c r="L226" s="42"/>
      <c r="M226" s="43" t="s">
        <v>154</v>
      </c>
      <c r="N226" s="42" t="s">
        <v>155</v>
      </c>
      <c r="O226" s="43"/>
      <c r="P226" s="43"/>
      <c r="Q226" s="25" t="e">
        <f>VLOOKUP(P226,Key!$E$2:$F$9,2,FALSE)</f>
        <v>#N/A</v>
      </c>
      <c r="R226" s="25" t="e">
        <f t="shared" si="3"/>
        <v>#N/A</v>
      </c>
      <c r="S226" s="58"/>
      <c r="T226" s="58"/>
      <c r="U226" s="43"/>
      <c r="V226" s="43"/>
      <c r="W226" s="58"/>
      <c r="X226" s="58"/>
      <c r="Y226" s="59" t="s">
        <v>156</v>
      </c>
      <c r="Z226" s="60"/>
      <c r="AA226" s="25"/>
      <c r="AB226" s="25"/>
    </row>
    <row r="227" spans="2:28">
      <c r="B227" s="40"/>
      <c r="C227" s="40"/>
      <c r="D227" s="41"/>
      <c r="E227" s="42"/>
      <c r="F227" s="42"/>
      <c r="G227" s="43" t="s">
        <v>154</v>
      </c>
      <c r="H227" s="42" t="s">
        <v>155</v>
      </c>
      <c r="I227" s="43"/>
      <c r="J227" s="43"/>
      <c r="K227" s="25" t="e">
        <f>VLOOKUP(J227,Key!$E$2:$F$9,2,FALSE)</f>
        <v>#N/A</v>
      </c>
      <c r="L227" s="42"/>
      <c r="M227" s="43" t="s">
        <v>154</v>
      </c>
      <c r="N227" s="42" t="s">
        <v>155</v>
      </c>
      <c r="O227" s="43"/>
      <c r="P227" s="43"/>
      <c r="Q227" s="25" t="e">
        <f>VLOOKUP(P227,Key!$E$2:$F$9,2,FALSE)</f>
        <v>#N/A</v>
      </c>
      <c r="R227" s="25" t="e">
        <f t="shared" si="3"/>
        <v>#N/A</v>
      </c>
      <c r="S227" s="58"/>
      <c r="T227" s="58"/>
      <c r="U227" s="43"/>
      <c r="V227" s="43"/>
      <c r="W227" s="58"/>
      <c r="X227" s="58"/>
      <c r="Y227" s="59" t="s">
        <v>156</v>
      </c>
      <c r="Z227" s="60"/>
      <c r="AA227" s="25"/>
      <c r="AB227" s="25"/>
    </row>
    <row r="228" spans="2:28">
      <c r="B228" s="40"/>
      <c r="C228" s="40"/>
      <c r="D228" s="41"/>
      <c r="E228" s="42"/>
      <c r="F228" s="42"/>
      <c r="G228" s="43" t="s">
        <v>154</v>
      </c>
      <c r="H228" s="42" t="s">
        <v>155</v>
      </c>
      <c r="I228" s="43"/>
      <c r="J228" s="43"/>
      <c r="K228" s="25" t="e">
        <f>VLOOKUP(J228,Key!$E$2:$F$9,2,FALSE)</f>
        <v>#N/A</v>
      </c>
      <c r="L228" s="42"/>
      <c r="M228" s="43" t="s">
        <v>154</v>
      </c>
      <c r="N228" s="42" t="s">
        <v>155</v>
      </c>
      <c r="O228" s="43"/>
      <c r="P228" s="43"/>
      <c r="Q228" s="25" t="e">
        <f>VLOOKUP(P228,Key!$E$2:$F$9,2,FALSE)</f>
        <v>#N/A</v>
      </c>
      <c r="R228" s="25" t="e">
        <f t="shared" si="3"/>
        <v>#N/A</v>
      </c>
      <c r="S228" s="58"/>
      <c r="T228" s="58"/>
      <c r="U228" s="43"/>
      <c r="V228" s="43"/>
      <c r="W228" s="58"/>
      <c r="X228" s="58"/>
      <c r="Y228" s="59" t="s">
        <v>156</v>
      </c>
      <c r="Z228" s="60"/>
      <c r="AA228" s="25"/>
      <c r="AB228" s="25"/>
    </row>
    <row r="229" spans="2:28">
      <c r="B229" s="40"/>
      <c r="C229" s="40"/>
      <c r="D229" s="41"/>
      <c r="E229" s="42"/>
      <c r="F229" s="42"/>
      <c r="G229" s="43" t="s">
        <v>154</v>
      </c>
      <c r="H229" s="42" t="s">
        <v>155</v>
      </c>
      <c r="I229" s="43"/>
      <c r="J229" s="43"/>
      <c r="K229" s="25" t="e">
        <f>VLOOKUP(J229,Key!$E$2:$F$9,2,FALSE)</f>
        <v>#N/A</v>
      </c>
      <c r="L229" s="42"/>
      <c r="M229" s="43" t="s">
        <v>154</v>
      </c>
      <c r="N229" s="42" t="s">
        <v>155</v>
      </c>
      <c r="O229" s="43"/>
      <c r="P229" s="43"/>
      <c r="Q229" s="25" t="e">
        <f>VLOOKUP(P229,Key!$E$2:$F$9,2,FALSE)</f>
        <v>#N/A</v>
      </c>
      <c r="R229" s="25" t="e">
        <f t="shared" si="3"/>
        <v>#N/A</v>
      </c>
      <c r="S229" s="58"/>
      <c r="T229" s="58"/>
      <c r="U229" s="43"/>
      <c r="V229" s="43"/>
      <c r="W229" s="58"/>
      <c r="X229" s="58"/>
      <c r="Y229" s="59" t="s">
        <v>156</v>
      </c>
      <c r="Z229" s="60"/>
      <c r="AA229" s="25"/>
      <c r="AB229" s="25"/>
    </row>
    <row r="230" spans="2:28">
      <c r="B230" s="40"/>
      <c r="C230" s="40"/>
      <c r="D230" s="41"/>
      <c r="E230" s="42"/>
      <c r="F230" s="42"/>
      <c r="G230" s="43" t="s">
        <v>154</v>
      </c>
      <c r="H230" s="42" t="s">
        <v>155</v>
      </c>
      <c r="I230" s="43"/>
      <c r="J230" s="43"/>
      <c r="K230" s="25" t="e">
        <f>VLOOKUP(J230,Key!$E$2:$F$9,2,FALSE)</f>
        <v>#N/A</v>
      </c>
      <c r="L230" s="42"/>
      <c r="M230" s="43" t="s">
        <v>154</v>
      </c>
      <c r="N230" s="42" t="s">
        <v>155</v>
      </c>
      <c r="O230" s="43"/>
      <c r="P230" s="43"/>
      <c r="Q230" s="25" t="e">
        <f>VLOOKUP(P230,Key!$E$2:$F$9,2,FALSE)</f>
        <v>#N/A</v>
      </c>
      <c r="R230" s="25" t="e">
        <f t="shared" ref="R230:R293" si="4">K230&amp;"-"&amp;Q230</f>
        <v>#N/A</v>
      </c>
      <c r="S230" s="58"/>
      <c r="T230" s="58"/>
      <c r="U230" s="43"/>
      <c r="V230" s="43"/>
      <c r="W230" s="58"/>
      <c r="X230" s="58"/>
      <c r="Y230" s="59" t="s">
        <v>156</v>
      </c>
      <c r="Z230" s="60"/>
      <c r="AA230" s="25"/>
      <c r="AB230" s="25"/>
    </row>
    <row r="231" spans="2:28">
      <c r="B231" s="40"/>
      <c r="C231" s="40"/>
      <c r="D231" s="41"/>
      <c r="E231" s="42"/>
      <c r="F231" s="42"/>
      <c r="G231" s="43" t="s">
        <v>154</v>
      </c>
      <c r="H231" s="42" t="s">
        <v>155</v>
      </c>
      <c r="I231" s="43"/>
      <c r="J231" s="43"/>
      <c r="K231" s="25" t="e">
        <f>VLOOKUP(J231,Key!$E$2:$F$9,2,FALSE)</f>
        <v>#N/A</v>
      </c>
      <c r="L231" s="42"/>
      <c r="M231" s="43" t="s">
        <v>154</v>
      </c>
      <c r="N231" s="42" t="s">
        <v>155</v>
      </c>
      <c r="O231" s="43"/>
      <c r="P231" s="43"/>
      <c r="Q231" s="25" t="e">
        <f>VLOOKUP(P231,Key!$E$2:$F$9,2,FALSE)</f>
        <v>#N/A</v>
      </c>
      <c r="R231" s="25" t="e">
        <f t="shared" si="4"/>
        <v>#N/A</v>
      </c>
      <c r="S231" s="58"/>
      <c r="T231" s="58"/>
      <c r="U231" s="43"/>
      <c r="V231" s="43"/>
      <c r="W231" s="58"/>
      <c r="X231" s="58"/>
      <c r="Y231" s="59" t="s">
        <v>156</v>
      </c>
      <c r="Z231" s="60"/>
      <c r="AA231" s="25"/>
      <c r="AB231" s="25"/>
    </row>
    <row r="232" spans="2:28">
      <c r="B232" s="40"/>
      <c r="C232" s="40"/>
      <c r="D232" s="41"/>
      <c r="E232" s="42"/>
      <c r="F232" s="42"/>
      <c r="G232" s="43" t="s">
        <v>154</v>
      </c>
      <c r="H232" s="42" t="s">
        <v>155</v>
      </c>
      <c r="I232" s="43"/>
      <c r="J232" s="43"/>
      <c r="K232" s="25" t="e">
        <f>VLOOKUP(J232,Key!$E$2:$F$9,2,FALSE)</f>
        <v>#N/A</v>
      </c>
      <c r="L232" s="42"/>
      <c r="M232" s="43" t="s">
        <v>154</v>
      </c>
      <c r="N232" s="42" t="s">
        <v>155</v>
      </c>
      <c r="O232" s="43"/>
      <c r="P232" s="43"/>
      <c r="Q232" s="25" t="e">
        <f>VLOOKUP(P232,Key!$E$2:$F$9,2,FALSE)</f>
        <v>#N/A</v>
      </c>
      <c r="R232" s="25" t="e">
        <f t="shared" si="4"/>
        <v>#N/A</v>
      </c>
      <c r="S232" s="58"/>
      <c r="T232" s="58"/>
      <c r="U232" s="43"/>
      <c r="V232" s="43"/>
      <c r="W232" s="58"/>
      <c r="X232" s="58"/>
      <c r="Y232" s="59" t="s">
        <v>156</v>
      </c>
      <c r="Z232" s="60"/>
      <c r="AA232" s="25"/>
      <c r="AB232" s="25"/>
    </row>
    <row r="233" spans="2:28">
      <c r="B233" s="40"/>
      <c r="C233" s="40"/>
      <c r="D233" s="41"/>
      <c r="E233" s="42"/>
      <c r="F233" s="42"/>
      <c r="G233" s="43" t="s">
        <v>154</v>
      </c>
      <c r="H233" s="42" t="s">
        <v>155</v>
      </c>
      <c r="I233" s="43"/>
      <c r="J233" s="43"/>
      <c r="K233" s="25" t="e">
        <f>VLOOKUP(J233,Key!$E$2:$F$9,2,FALSE)</f>
        <v>#N/A</v>
      </c>
      <c r="L233" s="42"/>
      <c r="M233" s="43" t="s">
        <v>154</v>
      </c>
      <c r="N233" s="42" t="s">
        <v>155</v>
      </c>
      <c r="O233" s="43"/>
      <c r="P233" s="43"/>
      <c r="Q233" s="25" t="e">
        <f>VLOOKUP(P233,Key!$E$2:$F$9,2,FALSE)</f>
        <v>#N/A</v>
      </c>
      <c r="R233" s="25" t="e">
        <f t="shared" si="4"/>
        <v>#N/A</v>
      </c>
      <c r="S233" s="58"/>
      <c r="T233" s="58"/>
      <c r="U233" s="43"/>
      <c r="V233" s="43"/>
      <c r="W233" s="58"/>
      <c r="X233" s="58"/>
      <c r="Y233" s="59" t="s">
        <v>156</v>
      </c>
      <c r="Z233" s="60"/>
      <c r="AA233" s="25"/>
      <c r="AB233" s="25"/>
    </row>
    <row r="234" spans="2:28">
      <c r="B234" s="40"/>
      <c r="C234" s="40"/>
      <c r="D234" s="41"/>
      <c r="E234" s="42"/>
      <c r="F234" s="42"/>
      <c r="G234" s="43" t="s">
        <v>154</v>
      </c>
      <c r="H234" s="42" t="s">
        <v>155</v>
      </c>
      <c r="I234" s="43"/>
      <c r="J234" s="43"/>
      <c r="K234" s="25" t="e">
        <f>VLOOKUP(J234,Key!$E$2:$F$9,2,FALSE)</f>
        <v>#N/A</v>
      </c>
      <c r="L234" s="42"/>
      <c r="M234" s="43" t="s">
        <v>154</v>
      </c>
      <c r="N234" s="42" t="s">
        <v>155</v>
      </c>
      <c r="O234" s="43"/>
      <c r="P234" s="43"/>
      <c r="Q234" s="25" t="e">
        <f>VLOOKUP(P234,Key!$E$2:$F$9,2,FALSE)</f>
        <v>#N/A</v>
      </c>
      <c r="R234" s="25" t="e">
        <f t="shared" si="4"/>
        <v>#N/A</v>
      </c>
      <c r="S234" s="58"/>
      <c r="T234" s="58"/>
      <c r="U234" s="43"/>
      <c r="V234" s="43"/>
      <c r="W234" s="58"/>
      <c r="X234" s="58"/>
      <c r="Y234" s="59" t="s">
        <v>156</v>
      </c>
      <c r="Z234" s="60"/>
      <c r="AA234" s="25"/>
      <c r="AB234" s="25"/>
    </row>
    <row r="235" spans="2:28">
      <c r="B235" s="40"/>
      <c r="C235" s="40"/>
      <c r="D235" s="41"/>
      <c r="E235" s="42"/>
      <c r="F235" s="42"/>
      <c r="G235" s="43" t="s">
        <v>154</v>
      </c>
      <c r="H235" s="42" t="s">
        <v>155</v>
      </c>
      <c r="I235" s="43"/>
      <c r="J235" s="43"/>
      <c r="K235" s="25" t="e">
        <f>VLOOKUP(J235,Key!$E$2:$F$9,2,FALSE)</f>
        <v>#N/A</v>
      </c>
      <c r="L235" s="42"/>
      <c r="M235" s="43" t="s">
        <v>154</v>
      </c>
      <c r="N235" s="42" t="s">
        <v>155</v>
      </c>
      <c r="O235" s="43"/>
      <c r="P235" s="43"/>
      <c r="Q235" s="25" t="e">
        <f>VLOOKUP(P235,Key!$E$2:$F$9,2,FALSE)</f>
        <v>#N/A</v>
      </c>
      <c r="R235" s="25" t="e">
        <f t="shared" si="4"/>
        <v>#N/A</v>
      </c>
      <c r="S235" s="58"/>
      <c r="T235" s="58"/>
      <c r="U235" s="43"/>
      <c r="V235" s="43"/>
      <c r="W235" s="58"/>
      <c r="X235" s="58"/>
      <c r="Y235" s="59" t="s">
        <v>156</v>
      </c>
      <c r="Z235" s="60"/>
      <c r="AA235" s="25"/>
      <c r="AB235" s="25"/>
    </row>
    <row r="236" spans="2:28">
      <c r="B236" s="40"/>
      <c r="C236" s="40"/>
      <c r="D236" s="41"/>
      <c r="E236" s="42"/>
      <c r="F236" s="42"/>
      <c r="G236" s="43" t="s">
        <v>154</v>
      </c>
      <c r="H236" s="42" t="s">
        <v>155</v>
      </c>
      <c r="I236" s="43"/>
      <c r="J236" s="43"/>
      <c r="K236" s="25" t="e">
        <f>VLOOKUP(J236,Key!$E$2:$F$9,2,FALSE)</f>
        <v>#N/A</v>
      </c>
      <c r="L236" s="42"/>
      <c r="M236" s="43" t="s">
        <v>154</v>
      </c>
      <c r="N236" s="42" t="s">
        <v>155</v>
      </c>
      <c r="O236" s="43"/>
      <c r="P236" s="43"/>
      <c r="Q236" s="25" t="e">
        <f>VLOOKUP(P236,Key!$E$2:$F$9,2,FALSE)</f>
        <v>#N/A</v>
      </c>
      <c r="R236" s="25" t="e">
        <f t="shared" si="4"/>
        <v>#N/A</v>
      </c>
      <c r="S236" s="58"/>
      <c r="T236" s="58"/>
      <c r="U236" s="43"/>
      <c r="V236" s="43"/>
      <c r="W236" s="58"/>
      <c r="X236" s="58"/>
      <c r="Y236" s="59" t="s">
        <v>156</v>
      </c>
      <c r="Z236" s="60"/>
      <c r="AA236" s="25"/>
      <c r="AB236" s="25"/>
    </row>
    <row r="237" spans="2:28">
      <c r="B237" s="40"/>
      <c r="C237" s="40"/>
      <c r="D237" s="41"/>
      <c r="E237" s="42"/>
      <c r="F237" s="42"/>
      <c r="G237" s="43" t="s">
        <v>154</v>
      </c>
      <c r="H237" s="42" t="s">
        <v>155</v>
      </c>
      <c r="I237" s="43"/>
      <c r="J237" s="43"/>
      <c r="K237" s="25" t="e">
        <f>VLOOKUP(J237,Key!$E$2:$F$9,2,FALSE)</f>
        <v>#N/A</v>
      </c>
      <c r="L237" s="42"/>
      <c r="M237" s="43" t="s">
        <v>154</v>
      </c>
      <c r="N237" s="42" t="s">
        <v>155</v>
      </c>
      <c r="O237" s="43"/>
      <c r="P237" s="43"/>
      <c r="Q237" s="25" t="e">
        <f>VLOOKUP(P237,Key!$E$2:$F$9,2,FALSE)</f>
        <v>#N/A</v>
      </c>
      <c r="R237" s="25" t="e">
        <f t="shared" si="4"/>
        <v>#N/A</v>
      </c>
      <c r="S237" s="58"/>
      <c r="T237" s="58"/>
      <c r="U237" s="43"/>
      <c r="V237" s="43"/>
      <c r="W237" s="58"/>
      <c r="X237" s="58"/>
      <c r="Y237" s="59" t="s">
        <v>156</v>
      </c>
      <c r="Z237" s="60"/>
      <c r="AA237" s="25"/>
      <c r="AB237" s="25"/>
    </row>
    <row r="238" spans="2:28">
      <c r="B238" s="40"/>
      <c r="C238" s="40"/>
      <c r="D238" s="41"/>
      <c r="E238" s="42"/>
      <c r="F238" s="42"/>
      <c r="G238" s="43" t="s">
        <v>154</v>
      </c>
      <c r="H238" s="42" t="s">
        <v>155</v>
      </c>
      <c r="I238" s="43"/>
      <c r="J238" s="43"/>
      <c r="K238" s="25" t="e">
        <f>VLOOKUP(J238,Key!$E$2:$F$9,2,FALSE)</f>
        <v>#N/A</v>
      </c>
      <c r="L238" s="42"/>
      <c r="M238" s="43" t="s">
        <v>154</v>
      </c>
      <c r="N238" s="42" t="s">
        <v>155</v>
      </c>
      <c r="O238" s="43"/>
      <c r="P238" s="43"/>
      <c r="Q238" s="25" t="e">
        <f>VLOOKUP(P238,Key!$E$2:$F$9,2,FALSE)</f>
        <v>#N/A</v>
      </c>
      <c r="R238" s="25" t="e">
        <f t="shared" si="4"/>
        <v>#N/A</v>
      </c>
      <c r="S238" s="58"/>
      <c r="T238" s="58"/>
      <c r="U238" s="43"/>
      <c r="V238" s="43"/>
      <c r="W238" s="58"/>
      <c r="X238" s="58"/>
      <c r="Y238" s="59" t="s">
        <v>156</v>
      </c>
      <c r="Z238" s="60"/>
      <c r="AA238" s="25"/>
      <c r="AB238" s="25"/>
    </row>
    <row r="239" spans="2:28">
      <c r="B239" s="40"/>
      <c r="C239" s="40"/>
      <c r="D239" s="41"/>
      <c r="E239" s="42"/>
      <c r="F239" s="42"/>
      <c r="G239" s="43" t="s">
        <v>154</v>
      </c>
      <c r="H239" s="42" t="s">
        <v>155</v>
      </c>
      <c r="I239" s="43"/>
      <c r="J239" s="43"/>
      <c r="K239" s="25" t="e">
        <f>VLOOKUP(J239,Key!$E$2:$F$9,2,FALSE)</f>
        <v>#N/A</v>
      </c>
      <c r="L239" s="42"/>
      <c r="M239" s="43" t="s">
        <v>154</v>
      </c>
      <c r="N239" s="42" t="s">
        <v>155</v>
      </c>
      <c r="O239" s="43"/>
      <c r="P239" s="43"/>
      <c r="Q239" s="25" t="e">
        <f>VLOOKUP(P239,Key!$E$2:$F$9,2,FALSE)</f>
        <v>#N/A</v>
      </c>
      <c r="R239" s="25" t="e">
        <f t="shared" si="4"/>
        <v>#N/A</v>
      </c>
      <c r="S239" s="58"/>
      <c r="T239" s="58"/>
      <c r="U239" s="43"/>
      <c r="V239" s="43"/>
      <c r="W239" s="58"/>
      <c r="X239" s="58"/>
      <c r="Y239" s="59" t="s">
        <v>156</v>
      </c>
      <c r="Z239" s="60"/>
      <c r="AA239" s="25"/>
      <c r="AB239" s="25"/>
    </row>
    <row r="240" spans="2:28">
      <c r="B240" s="40"/>
      <c r="C240" s="40"/>
      <c r="D240" s="41"/>
      <c r="E240" s="42"/>
      <c r="F240" s="42"/>
      <c r="G240" s="43" t="s">
        <v>154</v>
      </c>
      <c r="H240" s="42" t="s">
        <v>155</v>
      </c>
      <c r="I240" s="43"/>
      <c r="J240" s="43"/>
      <c r="K240" s="25" t="e">
        <f>VLOOKUP(J240,Key!$E$2:$F$9,2,FALSE)</f>
        <v>#N/A</v>
      </c>
      <c r="L240" s="42"/>
      <c r="M240" s="43" t="s">
        <v>154</v>
      </c>
      <c r="N240" s="42" t="s">
        <v>155</v>
      </c>
      <c r="O240" s="43"/>
      <c r="P240" s="43"/>
      <c r="Q240" s="25" t="e">
        <f>VLOOKUP(P240,Key!$E$2:$F$9,2,FALSE)</f>
        <v>#N/A</v>
      </c>
      <c r="R240" s="25" t="e">
        <f t="shared" si="4"/>
        <v>#N/A</v>
      </c>
      <c r="S240" s="58"/>
      <c r="T240" s="58"/>
      <c r="U240" s="43"/>
      <c r="V240" s="43"/>
      <c r="W240" s="58"/>
      <c r="X240" s="58"/>
      <c r="Y240" s="59" t="s">
        <v>156</v>
      </c>
      <c r="Z240" s="60"/>
      <c r="AA240" s="25"/>
      <c r="AB240" s="25"/>
    </row>
    <row r="241" spans="2:28">
      <c r="B241" s="40"/>
      <c r="C241" s="40"/>
      <c r="D241" s="41"/>
      <c r="E241" s="42"/>
      <c r="F241" s="42"/>
      <c r="G241" s="43" t="s">
        <v>154</v>
      </c>
      <c r="H241" s="42" t="s">
        <v>155</v>
      </c>
      <c r="I241" s="43"/>
      <c r="J241" s="43"/>
      <c r="K241" s="25" t="e">
        <f>VLOOKUP(J241,Key!$E$2:$F$9,2,FALSE)</f>
        <v>#N/A</v>
      </c>
      <c r="L241" s="42"/>
      <c r="M241" s="43" t="s">
        <v>154</v>
      </c>
      <c r="N241" s="42" t="s">
        <v>155</v>
      </c>
      <c r="O241" s="43"/>
      <c r="P241" s="43"/>
      <c r="Q241" s="25" t="e">
        <f>VLOOKUP(P241,Key!$E$2:$F$9,2,FALSE)</f>
        <v>#N/A</v>
      </c>
      <c r="R241" s="25" t="e">
        <f t="shared" si="4"/>
        <v>#N/A</v>
      </c>
      <c r="S241" s="58"/>
      <c r="T241" s="58"/>
      <c r="U241" s="43"/>
      <c r="V241" s="43"/>
      <c r="W241" s="58"/>
      <c r="X241" s="58"/>
      <c r="Y241" s="59" t="s">
        <v>156</v>
      </c>
      <c r="Z241" s="60"/>
      <c r="AA241" s="25"/>
      <c r="AB241" s="25"/>
    </row>
    <row r="242" spans="2:28">
      <c r="B242" s="40"/>
      <c r="C242" s="40"/>
      <c r="D242" s="41"/>
      <c r="E242" s="42"/>
      <c r="F242" s="42"/>
      <c r="G242" s="43" t="s">
        <v>154</v>
      </c>
      <c r="H242" s="42" t="s">
        <v>155</v>
      </c>
      <c r="I242" s="43"/>
      <c r="J242" s="43"/>
      <c r="K242" s="25" t="e">
        <f>VLOOKUP(J242,Key!$E$2:$F$9,2,FALSE)</f>
        <v>#N/A</v>
      </c>
      <c r="L242" s="42"/>
      <c r="M242" s="43" t="s">
        <v>154</v>
      </c>
      <c r="N242" s="42" t="s">
        <v>155</v>
      </c>
      <c r="O242" s="43"/>
      <c r="P242" s="43"/>
      <c r="Q242" s="25" t="e">
        <f>VLOOKUP(P242,Key!$E$2:$F$9,2,FALSE)</f>
        <v>#N/A</v>
      </c>
      <c r="R242" s="25" t="e">
        <f t="shared" si="4"/>
        <v>#N/A</v>
      </c>
      <c r="S242" s="58"/>
      <c r="T242" s="58"/>
      <c r="U242" s="43"/>
      <c r="V242" s="43"/>
      <c r="W242" s="58"/>
      <c r="X242" s="58"/>
      <c r="Y242" s="59" t="s">
        <v>156</v>
      </c>
      <c r="Z242" s="60"/>
      <c r="AA242" s="25"/>
      <c r="AB242" s="25"/>
    </row>
    <row r="243" spans="2:28">
      <c r="B243" s="40"/>
      <c r="C243" s="40"/>
      <c r="D243" s="41"/>
      <c r="E243" s="42"/>
      <c r="F243" s="42"/>
      <c r="G243" s="43" t="s">
        <v>154</v>
      </c>
      <c r="H243" s="42" t="s">
        <v>155</v>
      </c>
      <c r="I243" s="43"/>
      <c r="J243" s="43"/>
      <c r="K243" s="25" t="e">
        <f>VLOOKUP(J243,Key!$E$2:$F$9,2,FALSE)</f>
        <v>#N/A</v>
      </c>
      <c r="L243" s="42"/>
      <c r="M243" s="43" t="s">
        <v>154</v>
      </c>
      <c r="N243" s="42" t="s">
        <v>155</v>
      </c>
      <c r="O243" s="43"/>
      <c r="P243" s="43"/>
      <c r="Q243" s="25" t="e">
        <f>VLOOKUP(P243,Key!$E$2:$F$9,2,FALSE)</f>
        <v>#N/A</v>
      </c>
      <c r="R243" s="25" t="e">
        <f t="shared" si="4"/>
        <v>#N/A</v>
      </c>
      <c r="S243" s="58"/>
      <c r="T243" s="58"/>
      <c r="U243" s="43"/>
      <c r="V243" s="43"/>
      <c r="W243" s="58"/>
      <c r="X243" s="58"/>
      <c r="Y243" s="59" t="s">
        <v>156</v>
      </c>
      <c r="Z243" s="60"/>
      <c r="AA243" s="25"/>
      <c r="AB243" s="25"/>
    </row>
    <row r="244" spans="2:28">
      <c r="B244" s="40"/>
      <c r="C244" s="40"/>
      <c r="D244" s="41"/>
      <c r="E244" s="42"/>
      <c r="F244" s="42"/>
      <c r="G244" s="43" t="s">
        <v>154</v>
      </c>
      <c r="H244" s="42" t="s">
        <v>155</v>
      </c>
      <c r="I244" s="43"/>
      <c r="J244" s="43"/>
      <c r="K244" s="25" t="e">
        <f>VLOOKUP(J244,Key!$E$2:$F$9,2,FALSE)</f>
        <v>#N/A</v>
      </c>
      <c r="L244" s="42"/>
      <c r="M244" s="43" t="s">
        <v>154</v>
      </c>
      <c r="N244" s="42" t="s">
        <v>155</v>
      </c>
      <c r="O244" s="43"/>
      <c r="P244" s="43"/>
      <c r="Q244" s="25" t="e">
        <f>VLOOKUP(P244,Key!$E$2:$F$9,2,FALSE)</f>
        <v>#N/A</v>
      </c>
      <c r="R244" s="25" t="e">
        <f t="shared" si="4"/>
        <v>#N/A</v>
      </c>
      <c r="S244" s="58"/>
      <c r="T244" s="58"/>
      <c r="U244" s="43"/>
      <c r="V244" s="43"/>
      <c r="W244" s="58"/>
      <c r="X244" s="58"/>
      <c r="Y244" s="59" t="s">
        <v>156</v>
      </c>
      <c r="Z244" s="60"/>
      <c r="AA244" s="25"/>
      <c r="AB244" s="25"/>
    </row>
    <row r="245" spans="2:28">
      <c r="B245" s="40"/>
      <c r="C245" s="40"/>
      <c r="D245" s="41"/>
      <c r="E245" s="42"/>
      <c r="F245" s="42"/>
      <c r="G245" s="43" t="s">
        <v>154</v>
      </c>
      <c r="H245" s="42" t="s">
        <v>155</v>
      </c>
      <c r="I245" s="43"/>
      <c r="J245" s="43"/>
      <c r="K245" s="25" t="e">
        <f>VLOOKUP(J245,Key!$E$2:$F$9,2,FALSE)</f>
        <v>#N/A</v>
      </c>
      <c r="L245" s="42"/>
      <c r="M245" s="43" t="s">
        <v>154</v>
      </c>
      <c r="N245" s="42" t="s">
        <v>155</v>
      </c>
      <c r="O245" s="43"/>
      <c r="P245" s="43"/>
      <c r="Q245" s="25" t="e">
        <f>VLOOKUP(P245,Key!$E$2:$F$9,2,FALSE)</f>
        <v>#N/A</v>
      </c>
      <c r="R245" s="25" t="e">
        <f t="shared" si="4"/>
        <v>#N/A</v>
      </c>
      <c r="S245" s="58"/>
      <c r="T245" s="58"/>
      <c r="U245" s="43"/>
      <c r="V245" s="43"/>
      <c r="W245" s="58"/>
      <c r="X245" s="58"/>
      <c r="Y245" s="59" t="s">
        <v>156</v>
      </c>
      <c r="Z245" s="60"/>
      <c r="AA245" s="25"/>
      <c r="AB245" s="25"/>
    </row>
    <row r="246" spans="2:28">
      <c r="B246" s="40"/>
      <c r="C246" s="40"/>
      <c r="D246" s="41"/>
      <c r="E246" s="42"/>
      <c r="F246" s="42"/>
      <c r="G246" s="43" t="s">
        <v>154</v>
      </c>
      <c r="H246" s="42" t="s">
        <v>155</v>
      </c>
      <c r="I246" s="43"/>
      <c r="J246" s="43"/>
      <c r="K246" s="25" t="e">
        <f>VLOOKUP(J246,Key!$E$2:$F$9,2,FALSE)</f>
        <v>#N/A</v>
      </c>
      <c r="L246" s="42"/>
      <c r="M246" s="43" t="s">
        <v>154</v>
      </c>
      <c r="N246" s="42" t="s">
        <v>155</v>
      </c>
      <c r="O246" s="43"/>
      <c r="P246" s="43"/>
      <c r="Q246" s="25" t="e">
        <f>VLOOKUP(P246,Key!$E$2:$F$9,2,FALSE)</f>
        <v>#N/A</v>
      </c>
      <c r="R246" s="25" t="e">
        <f t="shared" si="4"/>
        <v>#N/A</v>
      </c>
      <c r="S246" s="58"/>
      <c r="T246" s="58"/>
      <c r="U246" s="43"/>
      <c r="V246" s="43"/>
      <c r="W246" s="58"/>
      <c r="X246" s="58"/>
      <c r="Y246" s="59" t="s">
        <v>156</v>
      </c>
      <c r="Z246" s="60"/>
      <c r="AA246" s="25"/>
      <c r="AB246" s="25"/>
    </row>
    <row r="247" spans="2:28">
      <c r="B247" s="40"/>
      <c r="C247" s="40"/>
      <c r="D247" s="41"/>
      <c r="E247" s="42"/>
      <c r="F247" s="42"/>
      <c r="G247" s="43" t="s">
        <v>154</v>
      </c>
      <c r="H247" s="42" t="s">
        <v>155</v>
      </c>
      <c r="I247" s="43"/>
      <c r="J247" s="43"/>
      <c r="K247" s="25" t="e">
        <f>VLOOKUP(J247,Key!$E$2:$F$9,2,FALSE)</f>
        <v>#N/A</v>
      </c>
      <c r="L247" s="42"/>
      <c r="M247" s="43" t="s">
        <v>154</v>
      </c>
      <c r="N247" s="42" t="s">
        <v>155</v>
      </c>
      <c r="O247" s="43"/>
      <c r="P247" s="43"/>
      <c r="Q247" s="25" t="e">
        <f>VLOOKUP(P247,Key!$E$2:$F$9,2,FALSE)</f>
        <v>#N/A</v>
      </c>
      <c r="R247" s="25" t="e">
        <f t="shared" si="4"/>
        <v>#N/A</v>
      </c>
      <c r="S247" s="58"/>
      <c r="T247" s="58"/>
      <c r="U247" s="43"/>
      <c r="V247" s="43"/>
      <c r="W247" s="58"/>
      <c r="X247" s="58"/>
      <c r="Y247" s="59" t="s">
        <v>156</v>
      </c>
      <c r="Z247" s="60"/>
      <c r="AA247" s="25"/>
      <c r="AB247" s="25"/>
    </row>
    <row r="248" spans="2:28">
      <c r="B248" s="40"/>
      <c r="C248" s="40"/>
      <c r="D248" s="41"/>
      <c r="E248" s="42"/>
      <c r="F248" s="42"/>
      <c r="G248" s="43" t="s">
        <v>154</v>
      </c>
      <c r="H248" s="42" t="s">
        <v>155</v>
      </c>
      <c r="I248" s="43"/>
      <c r="J248" s="43"/>
      <c r="K248" s="25" t="e">
        <f>VLOOKUP(J248,Key!$E$2:$F$9,2,FALSE)</f>
        <v>#N/A</v>
      </c>
      <c r="L248" s="42"/>
      <c r="M248" s="43" t="s">
        <v>154</v>
      </c>
      <c r="N248" s="42" t="s">
        <v>155</v>
      </c>
      <c r="O248" s="43"/>
      <c r="P248" s="43"/>
      <c r="Q248" s="25" t="e">
        <f>VLOOKUP(P248,Key!$E$2:$F$9,2,FALSE)</f>
        <v>#N/A</v>
      </c>
      <c r="R248" s="25" t="e">
        <f t="shared" si="4"/>
        <v>#N/A</v>
      </c>
      <c r="S248" s="58"/>
      <c r="T248" s="58"/>
      <c r="U248" s="43"/>
      <c r="V248" s="43"/>
      <c r="W248" s="58"/>
      <c r="X248" s="58"/>
      <c r="Y248" s="59" t="s">
        <v>156</v>
      </c>
      <c r="Z248" s="60"/>
      <c r="AA248" s="25"/>
      <c r="AB248" s="25"/>
    </row>
    <row r="249" spans="2:28">
      <c r="B249" s="40"/>
      <c r="C249" s="40"/>
      <c r="D249" s="41"/>
      <c r="E249" s="42"/>
      <c r="F249" s="42"/>
      <c r="G249" s="43" t="s">
        <v>154</v>
      </c>
      <c r="H249" s="42" t="s">
        <v>155</v>
      </c>
      <c r="I249" s="43"/>
      <c r="J249" s="43"/>
      <c r="K249" s="25" t="e">
        <f>VLOOKUP(J249,Key!$E$2:$F$9,2,FALSE)</f>
        <v>#N/A</v>
      </c>
      <c r="L249" s="42"/>
      <c r="M249" s="43" t="s">
        <v>154</v>
      </c>
      <c r="N249" s="42" t="s">
        <v>155</v>
      </c>
      <c r="O249" s="43"/>
      <c r="P249" s="43"/>
      <c r="Q249" s="25" t="e">
        <f>VLOOKUP(P249,Key!$E$2:$F$9,2,FALSE)</f>
        <v>#N/A</v>
      </c>
      <c r="R249" s="25" t="e">
        <f t="shared" si="4"/>
        <v>#N/A</v>
      </c>
      <c r="S249" s="58"/>
      <c r="T249" s="58"/>
      <c r="U249" s="43"/>
      <c r="V249" s="43"/>
      <c r="W249" s="58"/>
      <c r="X249" s="58"/>
      <c r="Y249" s="59" t="s">
        <v>156</v>
      </c>
      <c r="Z249" s="60"/>
      <c r="AA249" s="25"/>
      <c r="AB249" s="25"/>
    </row>
    <row r="250" spans="2:28">
      <c r="B250" s="40"/>
      <c r="C250" s="40"/>
      <c r="D250" s="41"/>
      <c r="E250" s="42"/>
      <c r="F250" s="42"/>
      <c r="G250" s="43" t="s">
        <v>154</v>
      </c>
      <c r="H250" s="42" t="s">
        <v>155</v>
      </c>
      <c r="I250" s="43"/>
      <c r="J250" s="43"/>
      <c r="K250" s="25" t="e">
        <f>VLOOKUP(J250,Key!$E$2:$F$9,2,FALSE)</f>
        <v>#N/A</v>
      </c>
      <c r="L250" s="42"/>
      <c r="M250" s="43" t="s">
        <v>154</v>
      </c>
      <c r="N250" s="42" t="s">
        <v>155</v>
      </c>
      <c r="O250" s="43"/>
      <c r="P250" s="43"/>
      <c r="Q250" s="25" t="e">
        <f>VLOOKUP(P250,Key!$E$2:$F$9,2,FALSE)</f>
        <v>#N/A</v>
      </c>
      <c r="R250" s="25" t="e">
        <f t="shared" si="4"/>
        <v>#N/A</v>
      </c>
      <c r="S250" s="58"/>
      <c r="T250" s="58"/>
      <c r="U250" s="43"/>
      <c r="V250" s="43"/>
      <c r="W250" s="58"/>
      <c r="X250" s="58"/>
      <c r="Y250" s="59" t="s">
        <v>156</v>
      </c>
      <c r="Z250" s="60"/>
      <c r="AA250" s="25"/>
      <c r="AB250" s="25"/>
    </row>
    <row r="251" spans="2:28">
      <c r="B251" s="40"/>
      <c r="C251" s="40"/>
      <c r="D251" s="41"/>
      <c r="E251" s="42"/>
      <c r="F251" s="42"/>
      <c r="G251" s="43" t="s">
        <v>154</v>
      </c>
      <c r="H251" s="42" t="s">
        <v>155</v>
      </c>
      <c r="I251" s="43"/>
      <c r="J251" s="43"/>
      <c r="K251" s="25" t="e">
        <f>VLOOKUP(J251,Key!$E$2:$F$9,2,FALSE)</f>
        <v>#N/A</v>
      </c>
      <c r="L251" s="42"/>
      <c r="M251" s="43" t="s">
        <v>154</v>
      </c>
      <c r="N251" s="42" t="s">
        <v>155</v>
      </c>
      <c r="O251" s="43"/>
      <c r="P251" s="43"/>
      <c r="Q251" s="25" t="e">
        <f>VLOOKUP(P251,Key!$E$2:$F$9,2,FALSE)</f>
        <v>#N/A</v>
      </c>
      <c r="R251" s="25" t="e">
        <f t="shared" si="4"/>
        <v>#N/A</v>
      </c>
      <c r="S251" s="58"/>
      <c r="T251" s="58"/>
      <c r="U251" s="43"/>
      <c r="V251" s="43"/>
      <c r="W251" s="58"/>
      <c r="X251" s="58"/>
      <c r="Y251" s="59" t="s">
        <v>156</v>
      </c>
      <c r="Z251" s="60"/>
      <c r="AA251" s="25"/>
      <c r="AB251" s="25"/>
    </row>
    <row r="252" spans="2:28">
      <c r="B252" s="40"/>
      <c r="C252" s="40"/>
      <c r="D252" s="41"/>
      <c r="E252" s="42"/>
      <c r="F252" s="42"/>
      <c r="G252" s="43" t="s">
        <v>154</v>
      </c>
      <c r="H252" s="42" t="s">
        <v>155</v>
      </c>
      <c r="I252" s="43"/>
      <c r="J252" s="43"/>
      <c r="K252" s="25" t="e">
        <f>VLOOKUP(J252,Key!$E$2:$F$9,2,FALSE)</f>
        <v>#N/A</v>
      </c>
      <c r="L252" s="42"/>
      <c r="M252" s="43" t="s">
        <v>154</v>
      </c>
      <c r="N252" s="42" t="s">
        <v>155</v>
      </c>
      <c r="O252" s="43"/>
      <c r="P252" s="43"/>
      <c r="Q252" s="25" t="e">
        <f>VLOOKUP(P252,Key!$E$2:$F$9,2,FALSE)</f>
        <v>#N/A</v>
      </c>
      <c r="R252" s="25" t="e">
        <f t="shared" si="4"/>
        <v>#N/A</v>
      </c>
      <c r="S252" s="58"/>
      <c r="T252" s="58"/>
      <c r="U252" s="43"/>
      <c r="V252" s="43"/>
      <c r="W252" s="58"/>
      <c r="X252" s="58"/>
      <c r="Y252" s="59" t="s">
        <v>156</v>
      </c>
      <c r="Z252" s="60"/>
      <c r="AA252" s="25"/>
      <c r="AB252" s="25"/>
    </row>
    <row r="253" spans="2:28">
      <c r="B253" s="40"/>
      <c r="C253" s="40"/>
      <c r="D253" s="41"/>
      <c r="E253" s="42"/>
      <c r="F253" s="42"/>
      <c r="G253" s="43" t="s">
        <v>154</v>
      </c>
      <c r="H253" s="42" t="s">
        <v>155</v>
      </c>
      <c r="I253" s="43"/>
      <c r="J253" s="43"/>
      <c r="K253" s="25" t="e">
        <f>VLOOKUP(J253,Key!$E$2:$F$9,2,FALSE)</f>
        <v>#N/A</v>
      </c>
      <c r="L253" s="42"/>
      <c r="M253" s="43" t="s">
        <v>154</v>
      </c>
      <c r="N253" s="42" t="s">
        <v>155</v>
      </c>
      <c r="O253" s="43"/>
      <c r="P253" s="43"/>
      <c r="Q253" s="25" t="e">
        <f>VLOOKUP(P253,Key!$E$2:$F$9,2,FALSE)</f>
        <v>#N/A</v>
      </c>
      <c r="R253" s="25" t="e">
        <f t="shared" si="4"/>
        <v>#N/A</v>
      </c>
      <c r="S253" s="58"/>
      <c r="T253" s="58"/>
      <c r="U253" s="43"/>
      <c r="V253" s="43"/>
      <c r="W253" s="58"/>
      <c r="X253" s="58"/>
      <c r="Y253" s="59" t="s">
        <v>156</v>
      </c>
      <c r="Z253" s="60"/>
      <c r="AA253" s="25"/>
      <c r="AB253" s="25"/>
    </row>
    <row r="254" spans="2:28">
      <c r="B254" s="40"/>
      <c r="C254" s="40"/>
      <c r="D254" s="41"/>
      <c r="E254" s="42"/>
      <c r="F254" s="42"/>
      <c r="G254" s="43" t="s">
        <v>154</v>
      </c>
      <c r="H254" s="42" t="s">
        <v>155</v>
      </c>
      <c r="I254" s="43"/>
      <c r="J254" s="43"/>
      <c r="K254" s="25" t="e">
        <f>VLOOKUP(J254,Key!$E$2:$F$9,2,FALSE)</f>
        <v>#N/A</v>
      </c>
      <c r="L254" s="42"/>
      <c r="M254" s="43" t="s">
        <v>154</v>
      </c>
      <c r="N254" s="42" t="s">
        <v>155</v>
      </c>
      <c r="O254" s="43"/>
      <c r="P254" s="43"/>
      <c r="Q254" s="25" t="e">
        <f>VLOOKUP(P254,Key!$E$2:$F$9,2,FALSE)</f>
        <v>#N/A</v>
      </c>
      <c r="R254" s="25" t="e">
        <f t="shared" si="4"/>
        <v>#N/A</v>
      </c>
      <c r="S254" s="58"/>
      <c r="T254" s="58"/>
      <c r="U254" s="43"/>
      <c r="V254" s="43"/>
      <c r="W254" s="58"/>
      <c r="X254" s="58"/>
      <c r="Y254" s="59" t="s">
        <v>156</v>
      </c>
      <c r="Z254" s="60"/>
      <c r="AA254" s="25"/>
      <c r="AB254" s="25"/>
    </row>
    <row r="255" spans="2:28">
      <c r="B255" s="40"/>
      <c r="C255" s="40"/>
      <c r="D255" s="41"/>
      <c r="E255" s="42"/>
      <c r="F255" s="42"/>
      <c r="G255" s="43" t="s">
        <v>154</v>
      </c>
      <c r="H255" s="42" t="s">
        <v>155</v>
      </c>
      <c r="I255" s="43"/>
      <c r="J255" s="43"/>
      <c r="K255" s="25" t="e">
        <f>VLOOKUP(J255,Key!$E$2:$F$9,2,FALSE)</f>
        <v>#N/A</v>
      </c>
      <c r="L255" s="42"/>
      <c r="M255" s="43" t="s">
        <v>154</v>
      </c>
      <c r="N255" s="42" t="s">
        <v>155</v>
      </c>
      <c r="O255" s="43"/>
      <c r="P255" s="43"/>
      <c r="Q255" s="25" t="e">
        <f>VLOOKUP(P255,Key!$E$2:$F$9,2,FALSE)</f>
        <v>#N/A</v>
      </c>
      <c r="R255" s="25" t="e">
        <f t="shared" si="4"/>
        <v>#N/A</v>
      </c>
      <c r="S255" s="58"/>
      <c r="T255" s="58"/>
      <c r="U255" s="43"/>
      <c r="V255" s="43"/>
      <c r="W255" s="58"/>
      <c r="X255" s="58"/>
      <c r="Y255" s="59" t="s">
        <v>156</v>
      </c>
      <c r="Z255" s="60"/>
      <c r="AA255" s="25"/>
      <c r="AB255" s="25"/>
    </row>
    <row r="256" spans="2:28">
      <c r="B256" s="40"/>
      <c r="C256" s="40"/>
      <c r="D256" s="41"/>
      <c r="E256" s="42"/>
      <c r="F256" s="42"/>
      <c r="G256" s="43" t="s">
        <v>154</v>
      </c>
      <c r="H256" s="42" t="s">
        <v>155</v>
      </c>
      <c r="I256" s="43"/>
      <c r="J256" s="43"/>
      <c r="K256" s="25" t="e">
        <f>VLOOKUP(J256,Key!$E$2:$F$9,2,FALSE)</f>
        <v>#N/A</v>
      </c>
      <c r="L256" s="42"/>
      <c r="M256" s="43" t="s">
        <v>154</v>
      </c>
      <c r="N256" s="42" t="s">
        <v>155</v>
      </c>
      <c r="O256" s="43"/>
      <c r="P256" s="43"/>
      <c r="Q256" s="25" t="e">
        <f>VLOOKUP(P256,Key!$E$2:$F$9,2,FALSE)</f>
        <v>#N/A</v>
      </c>
      <c r="R256" s="25" t="e">
        <f t="shared" si="4"/>
        <v>#N/A</v>
      </c>
      <c r="S256" s="58"/>
      <c r="T256" s="58"/>
      <c r="U256" s="43"/>
      <c r="V256" s="43"/>
      <c r="W256" s="58"/>
      <c r="X256" s="58"/>
      <c r="Y256" s="59" t="s">
        <v>156</v>
      </c>
      <c r="Z256" s="60"/>
      <c r="AA256" s="25"/>
      <c r="AB256" s="25"/>
    </row>
    <row r="257" spans="2:28">
      <c r="B257" s="40"/>
      <c r="C257" s="40"/>
      <c r="D257" s="41"/>
      <c r="E257" s="42"/>
      <c r="F257" s="42"/>
      <c r="G257" s="43" t="s">
        <v>154</v>
      </c>
      <c r="H257" s="42" t="s">
        <v>155</v>
      </c>
      <c r="I257" s="43"/>
      <c r="J257" s="43"/>
      <c r="K257" s="25" t="e">
        <f>VLOOKUP(J257,Key!$E$2:$F$9,2,FALSE)</f>
        <v>#N/A</v>
      </c>
      <c r="L257" s="42"/>
      <c r="M257" s="43" t="s">
        <v>154</v>
      </c>
      <c r="N257" s="42" t="s">
        <v>155</v>
      </c>
      <c r="O257" s="43"/>
      <c r="P257" s="43"/>
      <c r="Q257" s="25" t="e">
        <f>VLOOKUP(P257,Key!$E$2:$F$9,2,FALSE)</f>
        <v>#N/A</v>
      </c>
      <c r="R257" s="25" t="e">
        <f t="shared" si="4"/>
        <v>#N/A</v>
      </c>
      <c r="S257" s="58"/>
      <c r="T257" s="58"/>
      <c r="U257" s="43"/>
      <c r="V257" s="43"/>
      <c r="W257" s="58"/>
      <c r="X257" s="58"/>
      <c r="Y257" s="59" t="s">
        <v>156</v>
      </c>
      <c r="Z257" s="60"/>
      <c r="AA257" s="25"/>
      <c r="AB257" s="25"/>
    </row>
    <row r="258" spans="2:28">
      <c r="B258" s="40"/>
      <c r="C258" s="40"/>
      <c r="D258" s="41"/>
      <c r="E258" s="42"/>
      <c r="F258" s="42"/>
      <c r="G258" s="43" t="s">
        <v>154</v>
      </c>
      <c r="H258" s="42" t="s">
        <v>155</v>
      </c>
      <c r="I258" s="43"/>
      <c r="J258" s="43"/>
      <c r="K258" s="25" t="e">
        <f>VLOOKUP(J258,Key!$E$2:$F$9,2,FALSE)</f>
        <v>#N/A</v>
      </c>
      <c r="L258" s="42"/>
      <c r="M258" s="43" t="s">
        <v>154</v>
      </c>
      <c r="N258" s="42" t="s">
        <v>155</v>
      </c>
      <c r="O258" s="43"/>
      <c r="P258" s="43"/>
      <c r="Q258" s="25" t="e">
        <f>VLOOKUP(P258,Key!$E$2:$F$9,2,FALSE)</f>
        <v>#N/A</v>
      </c>
      <c r="R258" s="25" t="e">
        <f t="shared" si="4"/>
        <v>#N/A</v>
      </c>
      <c r="S258" s="58"/>
      <c r="T258" s="58"/>
      <c r="U258" s="43"/>
      <c r="V258" s="43"/>
      <c r="W258" s="58"/>
      <c r="X258" s="58"/>
      <c r="Y258" s="59" t="s">
        <v>156</v>
      </c>
      <c r="Z258" s="60"/>
      <c r="AA258" s="25"/>
      <c r="AB258" s="25"/>
    </row>
    <row r="259" spans="2:28">
      <c r="B259" s="40"/>
      <c r="C259" s="40"/>
      <c r="D259" s="41"/>
      <c r="E259" s="42"/>
      <c r="F259" s="42"/>
      <c r="G259" s="43" t="s">
        <v>154</v>
      </c>
      <c r="H259" s="42" t="s">
        <v>155</v>
      </c>
      <c r="I259" s="43"/>
      <c r="J259" s="43"/>
      <c r="K259" s="25" t="e">
        <f>VLOOKUP(J259,Key!$E$2:$F$9,2,FALSE)</f>
        <v>#N/A</v>
      </c>
      <c r="L259" s="42"/>
      <c r="M259" s="43" t="s">
        <v>154</v>
      </c>
      <c r="N259" s="42" t="s">
        <v>155</v>
      </c>
      <c r="O259" s="43"/>
      <c r="P259" s="43"/>
      <c r="Q259" s="25" t="e">
        <f>VLOOKUP(P259,Key!$E$2:$F$9,2,FALSE)</f>
        <v>#N/A</v>
      </c>
      <c r="R259" s="25" t="e">
        <f t="shared" si="4"/>
        <v>#N/A</v>
      </c>
      <c r="S259" s="58"/>
      <c r="T259" s="58"/>
      <c r="U259" s="43"/>
      <c r="V259" s="43"/>
      <c r="W259" s="58"/>
      <c r="X259" s="58"/>
      <c r="Y259" s="59" t="s">
        <v>156</v>
      </c>
      <c r="Z259" s="60"/>
      <c r="AA259" s="25"/>
      <c r="AB259" s="25"/>
    </row>
    <row r="260" spans="2:28">
      <c r="B260" s="40"/>
      <c r="C260" s="40"/>
      <c r="D260" s="41"/>
      <c r="E260" s="42"/>
      <c r="F260" s="42"/>
      <c r="G260" s="43" t="s">
        <v>154</v>
      </c>
      <c r="H260" s="42" t="s">
        <v>155</v>
      </c>
      <c r="I260" s="43"/>
      <c r="J260" s="43"/>
      <c r="K260" s="25" t="e">
        <f>VLOOKUP(J260,Key!$E$2:$F$9,2,FALSE)</f>
        <v>#N/A</v>
      </c>
      <c r="L260" s="42"/>
      <c r="M260" s="43" t="s">
        <v>154</v>
      </c>
      <c r="N260" s="42" t="s">
        <v>155</v>
      </c>
      <c r="O260" s="43"/>
      <c r="P260" s="43"/>
      <c r="Q260" s="25" t="e">
        <f>VLOOKUP(P260,Key!$E$2:$F$9,2,FALSE)</f>
        <v>#N/A</v>
      </c>
      <c r="R260" s="25" t="e">
        <f t="shared" si="4"/>
        <v>#N/A</v>
      </c>
      <c r="S260" s="58"/>
      <c r="T260" s="58"/>
      <c r="U260" s="43"/>
      <c r="V260" s="43"/>
      <c r="W260" s="58"/>
      <c r="X260" s="58"/>
      <c r="Y260" s="59" t="s">
        <v>156</v>
      </c>
      <c r="Z260" s="60"/>
      <c r="AA260" s="25"/>
      <c r="AB260" s="25"/>
    </row>
    <row r="261" spans="2:28">
      <c r="B261" s="40"/>
      <c r="C261" s="40"/>
      <c r="D261" s="41"/>
      <c r="E261" s="42"/>
      <c r="F261" s="42"/>
      <c r="G261" s="43" t="s">
        <v>154</v>
      </c>
      <c r="H261" s="42" t="s">
        <v>155</v>
      </c>
      <c r="I261" s="43"/>
      <c r="J261" s="43"/>
      <c r="K261" s="25" t="e">
        <f>VLOOKUP(J261,Key!$E$2:$F$9,2,FALSE)</f>
        <v>#N/A</v>
      </c>
      <c r="L261" s="42"/>
      <c r="M261" s="43" t="s">
        <v>154</v>
      </c>
      <c r="N261" s="42" t="s">
        <v>155</v>
      </c>
      <c r="O261" s="43"/>
      <c r="P261" s="43"/>
      <c r="Q261" s="25" t="e">
        <f>VLOOKUP(P261,Key!$E$2:$F$9,2,FALSE)</f>
        <v>#N/A</v>
      </c>
      <c r="R261" s="25" t="e">
        <f t="shared" si="4"/>
        <v>#N/A</v>
      </c>
      <c r="S261" s="58"/>
      <c r="T261" s="58"/>
      <c r="U261" s="43"/>
      <c r="V261" s="43"/>
      <c r="W261" s="58"/>
      <c r="X261" s="58"/>
      <c r="Y261" s="59" t="s">
        <v>156</v>
      </c>
      <c r="Z261" s="60"/>
      <c r="AA261" s="25"/>
      <c r="AB261" s="25"/>
    </row>
    <row r="262" spans="2:28">
      <c r="B262" s="40"/>
      <c r="C262" s="40"/>
      <c r="D262" s="41"/>
      <c r="E262" s="42"/>
      <c r="F262" s="42"/>
      <c r="G262" s="43" t="s">
        <v>154</v>
      </c>
      <c r="H262" s="42" t="s">
        <v>155</v>
      </c>
      <c r="I262" s="43"/>
      <c r="J262" s="43"/>
      <c r="K262" s="25" t="e">
        <f>VLOOKUP(J262,Key!$E$2:$F$9,2,FALSE)</f>
        <v>#N/A</v>
      </c>
      <c r="L262" s="42"/>
      <c r="M262" s="43" t="s">
        <v>154</v>
      </c>
      <c r="N262" s="42" t="s">
        <v>155</v>
      </c>
      <c r="O262" s="43"/>
      <c r="P262" s="43"/>
      <c r="Q262" s="25" t="e">
        <f>VLOOKUP(P262,Key!$E$2:$F$9,2,FALSE)</f>
        <v>#N/A</v>
      </c>
      <c r="R262" s="25" t="e">
        <f t="shared" si="4"/>
        <v>#N/A</v>
      </c>
      <c r="S262" s="58"/>
      <c r="T262" s="58"/>
      <c r="U262" s="43"/>
      <c r="V262" s="43"/>
      <c r="W262" s="58"/>
      <c r="X262" s="58"/>
      <c r="Y262" s="59" t="s">
        <v>156</v>
      </c>
      <c r="Z262" s="60"/>
      <c r="AA262" s="25"/>
      <c r="AB262" s="25"/>
    </row>
    <row r="263" spans="2:28">
      <c r="B263" s="40"/>
      <c r="C263" s="40"/>
      <c r="D263" s="41"/>
      <c r="E263" s="42"/>
      <c r="F263" s="42"/>
      <c r="G263" s="43" t="s">
        <v>154</v>
      </c>
      <c r="H263" s="42" t="s">
        <v>155</v>
      </c>
      <c r="I263" s="43"/>
      <c r="J263" s="43"/>
      <c r="K263" s="25" t="e">
        <f>VLOOKUP(J263,Key!$E$2:$F$9,2,FALSE)</f>
        <v>#N/A</v>
      </c>
      <c r="L263" s="42"/>
      <c r="M263" s="43" t="s">
        <v>154</v>
      </c>
      <c r="N263" s="42" t="s">
        <v>155</v>
      </c>
      <c r="O263" s="43"/>
      <c r="P263" s="43"/>
      <c r="Q263" s="25" t="e">
        <f>VLOOKUP(P263,Key!$E$2:$F$9,2,FALSE)</f>
        <v>#N/A</v>
      </c>
      <c r="R263" s="25" t="e">
        <f t="shared" si="4"/>
        <v>#N/A</v>
      </c>
      <c r="S263" s="58"/>
      <c r="T263" s="58"/>
      <c r="U263" s="43"/>
      <c r="V263" s="43"/>
      <c r="W263" s="58"/>
      <c r="X263" s="58"/>
      <c r="Y263" s="59" t="s">
        <v>156</v>
      </c>
      <c r="Z263" s="60"/>
      <c r="AA263" s="25"/>
      <c r="AB263" s="25"/>
    </row>
    <row r="264" spans="2:28">
      <c r="B264" s="40"/>
      <c r="C264" s="40"/>
      <c r="D264" s="41"/>
      <c r="E264" s="42"/>
      <c r="F264" s="42"/>
      <c r="G264" s="43" t="s">
        <v>154</v>
      </c>
      <c r="H264" s="42" t="s">
        <v>155</v>
      </c>
      <c r="I264" s="43"/>
      <c r="J264" s="43"/>
      <c r="K264" s="25" t="e">
        <f>VLOOKUP(J264,Key!$E$2:$F$9,2,FALSE)</f>
        <v>#N/A</v>
      </c>
      <c r="L264" s="42"/>
      <c r="M264" s="43" t="s">
        <v>154</v>
      </c>
      <c r="N264" s="42" t="s">
        <v>155</v>
      </c>
      <c r="O264" s="43"/>
      <c r="P264" s="43"/>
      <c r="Q264" s="25" t="e">
        <f>VLOOKUP(P264,Key!$E$2:$F$9,2,FALSE)</f>
        <v>#N/A</v>
      </c>
      <c r="R264" s="25" t="e">
        <f t="shared" si="4"/>
        <v>#N/A</v>
      </c>
      <c r="S264" s="58"/>
      <c r="T264" s="58"/>
      <c r="U264" s="43"/>
      <c r="V264" s="43"/>
      <c r="W264" s="58"/>
      <c r="X264" s="58"/>
      <c r="Y264" s="59" t="s">
        <v>156</v>
      </c>
      <c r="Z264" s="60"/>
      <c r="AA264" s="25"/>
      <c r="AB264" s="25"/>
    </row>
    <row r="265" spans="2:28">
      <c r="B265" s="40"/>
      <c r="C265" s="40"/>
      <c r="D265" s="41"/>
      <c r="E265" s="42"/>
      <c r="F265" s="42"/>
      <c r="G265" s="43" t="s">
        <v>154</v>
      </c>
      <c r="H265" s="42" t="s">
        <v>155</v>
      </c>
      <c r="I265" s="43"/>
      <c r="J265" s="43"/>
      <c r="K265" s="25" t="e">
        <f>VLOOKUP(J265,Key!$E$2:$F$9,2,FALSE)</f>
        <v>#N/A</v>
      </c>
      <c r="L265" s="42"/>
      <c r="M265" s="43" t="s">
        <v>154</v>
      </c>
      <c r="N265" s="42" t="s">
        <v>155</v>
      </c>
      <c r="O265" s="43"/>
      <c r="P265" s="43"/>
      <c r="Q265" s="25" t="e">
        <f>VLOOKUP(P265,Key!$E$2:$F$9,2,FALSE)</f>
        <v>#N/A</v>
      </c>
      <c r="R265" s="25" t="e">
        <f t="shared" si="4"/>
        <v>#N/A</v>
      </c>
      <c r="S265" s="58"/>
      <c r="T265" s="58"/>
      <c r="U265" s="43"/>
      <c r="V265" s="43"/>
      <c r="W265" s="58"/>
      <c r="X265" s="58"/>
      <c r="Y265" s="59" t="s">
        <v>156</v>
      </c>
      <c r="Z265" s="60"/>
      <c r="AA265" s="25"/>
      <c r="AB265" s="25"/>
    </row>
    <row r="266" spans="2:28">
      <c r="B266" s="40"/>
      <c r="C266" s="40"/>
      <c r="D266" s="41"/>
      <c r="E266" s="42"/>
      <c r="F266" s="42"/>
      <c r="G266" s="43" t="s">
        <v>154</v>
      </c>
      <c r="H266" s="42" t="s">
        <v>155</v>
      </c>
      <c r="I266" s="43"/>
      <c r="J266" s="43"/>
      <c r="K266" s="25" t="e">
        <f>VLOOKUP(J266,Key!$E$2:$F$9,2,FALSE)</f>
        <v>#N/A</v>
      </c>
      <c r="L266" s="42"/>
      <c r="M266" s="43" t="s">
        <v>154</v>
      </c>
      <c r="N266" s="42" t="s">
        <v>155</v>
      </c>
      <c r="O266" s="43"/>
      <c r="P266" s="43"/>
      <c r="Q266" s="25" t="e">
        <f>VLOOKUP(P266,Key!$E$2:$F$9,2,FALSE)</f>
        <v>#N/A</v>
      </c>
      <c r="R266" s="25" t="e">
        <f t="shared" si="4"/>
        <v>#N/A</v>
      </c>
      <c r="S266" s="58"/>
      <c r="T266" s="58"/>
      <c r="U266" s="43"/>
      <c r="V266" s="43"/>
      <c r="W266" s="58"/>
      <c r="X266" s="58"/>
      <c r="Y266" s="59" t="s">
        <v>156</v>
      </c>
      <c r="Z266" s="60"/>
      <c r="AA266" s="25"/>
      <c r="AB266" s="25"/>
    </row>
    <row r="267" spans="2:28">
      <c r="B267" s="40"/>
      <c r="C267" s="40"/>
      <c r="D267" s="41"/>
      <c r="E267" s="42"/>
      <c r="F267" s="42"/>
      <c r="G267" s="43" t="s">
        <v>154</v>
      </c>
      <c r="H267" s="42" t="s">
        <v>155</v>
      </c>
      <c r="I267" s="43"/>
      <c r="J267" s="43"/>
      <c r="K267" s="25" t="e">
        <f>VLOOKUP(J267,Key!$E$2:$F$9,2,FALSE)</f>
        <v>#N/A</v>
      </c>
      <c r="L267" s="42"/>
      <c r="M267" s="43" t="s">
        <v>154</v>
      </c>
      <c r="N267" s="42" t="s">
        <v>155</v>
      </c>
      <c r="O267" s="43"/>
      <c r="P267" s="43"/>
      <c r="Q267" s="25" t="e">
        <f>VLOOKUP(P267,Key!$E$2:$F$9,2,FALSE)</f>
        <v>#N/A</v>
      </c>
      <c r="R267" s="25" t="e">
        <f t="shared" si="4"/>
        <v>#N/A</v>
      </c>
      <c r="S267" s="58"/>
      <c r="T267" s="58"/>
      <c r="U267" s="43"/>
      <c r="V267" s="43"/>
      <c r="W267" s="58"/>
      <c r="X267" s="58"/>
      <c r="Y267" s="59" t="s">
        <v>156</v>
      </c>
      <c r="Z267" s="60"/>
      <c r="AA267" s="25"/>
      <c r="AB267" s="25"/>
    </row>
    <row r="268" spans="2:28">
      <c r="B268" s="40"/>
      <c r="C268" s="40"/>
      <c r="D268" s="41"/>
      <c r="E268" s="42"/>
      <c r="F268" s="42"/>
      <c r="G268" s="43" t="s">
        <v>154</v>
      </c>
      <c r="H268" s="42" t="s">
        <v>155</v>
      </c>
      <c r="I268" s="43"/>
      <c r="J268" s="43"/>
      <c r="K268" s="25" t="e">
        <f>VLOOKUP(J268,Key!$E$2:$F$9,2,FALSE)</f>
        <v>#N/A</v>
      </c>
      <c r="L268" s="42"/>
      <c r="M268" s="43" t="s">
        <v>154</v>
      </c>
      <c r="N268" s="42" t="s">
        <v>155</v>
      </c>
      <c r="O268" s="43"/>
      <c r="P268" s="43"/>
      <c r="Q268" s="25" t="e">
        <f>VLOOKUP(P268,Key!$E$2:$F$9,2,FALSE)</f>
        <v>#N/A</v>
      </c>
      <c r="R268" s="25" t="e">
        <f t="shared" si="4"/>
        <v>#N/A</v>
      </c>
      <c r="S268" s="58"/>
      <c r="T268" s="58"/>
      <c r="U268" s="43"/>
      <c r="V268" s="43"/>
      <c r="W268" s="58"/>
      <c r="X268" s="58"/>
      <c r="Y268" s="59" t="s">
        <v>156</v>
      </c>
      <c r="Z268" s="60"/>
      <c r="AA268" s="25"/>
      <c r="AB268" s="25"/>
    </row>
    <row r="269" spans="2:28">
      <c r="B269" s="40"/>
      <c r="C269" s="40"/>
      <c r="D269" s="41"/>
      <c r="E269" s="42"/>
      <c r="F269" s="42"/>
      <c r="G269" s="43" t="s">
        <v>154</v>
      </c>
      <c r="H269" s="42" t="s">
        <v>155</v>
      </c>
      <c r="I269" s="43"/>
      <c r="J269" s="43"/>
      <c r="K269" s="25" t="e">
        <f>VLOOKUP(J269,Key!$E$2:$F$9,2,FALSE)</f>
        <v>#N/A</v>
      </c>
      <c r="L269" s="42"/>
      <c r="M269" s="43" t="s">
        <v>154</v>
      </c>
      <c r="N269" s="42" t="s">
        <v>155</v>
      </c>
      <c r="O269" s="43"/>
      <c r="P269" s="43"/>
      <c r="Q269" s="25" t="e">
        <f>VLOOKUP(P269,Key!$E$2:$F$9,2,FALSE)</f>
        <v>#N/A</v>
      </c>
      <c r="R269" s="25" t="e">
        <f t="shared" si="4"/>
        <v>#N/A</v>
      </c>
      <c r="S269" s="58"/>
      <c r="T269" s="58"/>
      <c r="U269" s="43"/>
      <c r="V269" s="43"/>
      <c r="W269" s="58"/>
      <c r="X269" s="58"/>
      <c r="Y269" s="59" t="s">
        <v>156</v>
      </c>
      <c r="Z269" s="60"/>
      <c r="AA269" s="25"/>
      <c r="AB269" s="25"/>
    </row>
    <row r="270" spans="2:28">
      <c r="B270" s="40"/>
      <c r="C270" s="40"/>
      <c r="D270" s="41"/>
      <c r="E270" s="42"/>
      <c r="F270" s="42"/>
      <c r="G270" s="43" t="s">
        <v>154</v>
      </c>
      <c r="H270" s="42" t="s">
        <v>155</v>
      </c>
      <c r="I270" s="43"/>
      <c r="J270" s="43"/>
      <c r="K270" s="25" t="e">
        <f>VLOOKUP(J270,Key!$E$2:$F$9,2,FALSE)</f>
        <v>#N/A</v>
      </c>
      <c r="L270" s="42"/>
      <c r="M270" s="43" t="s">
        <v>154</v>
      </c>
      <c r="N270" s="42" t="s">
        <v>155</v>
      </c>
      <c r="O270" s="43"/>
      <c r="P270" s="43"/>
      <c r="Q270" s="25" t="e">
        <f>VLOOKUP(P270,Key!$E$2:$F$9,2,FALSE)</f>
        <v>#N/A</v>
      </c>
      <c r="R270" s="25" t="e">
        <f t="shared" si="4"/>
        <v>#N/A</v>
      </c>
      <c r="S270" s="58"/>
      <c r="T270" s="58"/>
      <c r="U270" s="43"/>
      <c r="V270" s="43"/>
      <c r="W270" s="58"/>
      <c r="X270" s="58"/>
      <c r="Y270" s="59" t="s">
        <v>156</v>
      </c>
      <c r="Z270" s="60"/>
      <c r="AA270" s="25"/>
      <c r="AB270" s="25"/>
    </row>
    <row r="271" spans="2:28">
      <c r="B271" s="40"/>
      <c r="C271" s="40"/>
      <c r="D271" s="41"/>
      <c r="E271" s="42"/>
      <c r="F271" s="42"/>
      <c r="G271" s="43" t="s">
        <v>154</v>
      </c>
      <c r="H271" s="42" t="s">
        <v>155</v>
      </c>
      <c r="I271" s="43"/>
      <c r="J271" s="43"/>
      <c r="K271" s="25" t="e">
        <f>VLOOKUP(J271,Key!$E$2:$F$9,2,FALSE)</f>
        <v>#N/A</v>
      </c>
      <c r="L271" s="42"/>
      <c r="M271" s="43" t="s">
        <v>154</v>
      </c>
      <c r="N271" s="42" t="s">
        <v>155</v>
      </c>
      <c r="O271" s="43"/>
      <c r="P271" s="43"/>
      <c r="Q271" s="25" t="e">
        <f>VLOOKUP(P271,Key!$E$2:$F$9,2,FALSE)</f>
        <v>#N/A</v>
      </c>
      <c r="R271" s="25" t="e">
        <f t="shared" si="4"/>
        <v>#N/A</v>
      </c>
      <c r="S271" s="58"/>
      <c r="T271" s="58"/>
      <c r="U271" s="43"/>
      <c r="V271" s="43"/>
      <c r="W271" s="58"/>
      <c r="X271" s="58"/>
      <c r="Y271" s="59" t="s">
        <v>156</v>
      </c>
      <c r="Z271" s="60"/>
      <c r="AA271" s="25"/>
      <c r="AB271" s="25"/>
    </row>
    <row r="272" spans="2:28">
      <c r="B272" s="40"/>
      <c r="C272" s="40"/>
      <c r="D272" s="41"/>
      <c r="E272" s="42"/>
      <c r="F272" s="42"/>
      <c r="G272" s="43" t="s">
        <v>154</v>
      </c>
      <c r="H272" s="42" t="s">
        <v>155</v>
      </c>
      <c r="I272" s="43"/>
      <c r="J272" s="43"/>
      <c r="K272" s="25" t="e">
        <f>VLOOKUP(J272,Key!$E$2:$F$9,2,FALSE)</f>
        <v>#N/A</v>
      </c>
      <c r="L272" s="42"/>
      <c r="M272" s="43" t="s">
        <v>154</v>
      </c>
      <c r="N272" s="42" t="s">
        <v>155</v>
      </c>
      <c r="O272" s="43"/>
      <c r="P272" s="43"/>
      <c r="Q272" s="25" t="e">
        <f>VLOOKUP(P272,Key!$E$2:$F$9,2,FALSE)</f>
        <v>#N/A</v>
      </c>
      <c r="R272" s="25" t="e">
        <f t="shared" si="4"/>
        <v>#N/A</v>
      </c>
      <c r="S272" s="58"/>
      <c r="T272" s="58"/>
      <c r="U272" s="43"/>
      <c r="V272" s="43"/>
      <c r="W272" s="58"/>
      <c r="X272" s="58"/>
      <c r="Y272" s="59" t="s">
        <v>156</v>
      </c>
      <c r="Z272" s="60"/>
      <c r="AA272" s="25"/>
      <c r="AB272" s="25"/>
    </row>
    <row r="273" spans="2:28">
      <c r="B273" s="40"/>
      <c r="C273" s="40"/>
      <c r="D273" s="41"/>
      <c r="E273" s="42"/>
      <c r="F273" s="42"/>
      <c r="G273" s="43" t="s">
        <v>154</v>
      </c>
      <c r="H273" s="42" t="s">
        <v>155</v>
      </c>
      <c r="I273" s="43"/>
      <c r="J273" s="43"/>
      <c r="K273" s="25" t="e">
        <f>VLOOKUP(J273,Key!$E$2:$F$9,2,FALSE)</f>
        <v>#N/A</v>
      </c>
      <c r="L273" s="42"/>
      <c r="M273" s="43" t="s">
        <v>154</v>
      </c>
      <c r="N273" s="42" t="s">
        <v>155</v>
      </c>
      <c r="O273" s="43"/>
      <c r="P273" s="43"/>
      <c r="Q273" s="25" t="e">
        <f>VLOOKUP(P273,Key!$E$2:$F$9,2,FALSE)</f>
        <v>#N/A</v>
      </c>
      <c r="R273" s="25" t="e">
        <f t="shared" si="4"/>
        <v>#N/A</v>
      </c>
      <c r="S273" s="58"/>
      <c r="T273" s="58"/>
      <c r="U273" s="43"/>
      <c r="V273" s="43"/>
      <c r="W273" s="58"/>
      <c r="X273" s="58"/>
      <c r="Y273" s="59" t="s">
        <v>156</v>
      </c>
      <c r="Z273" s="60"/>
      <c r="AA273" s="25"/>
      <c r="AB273" s="25"/>
    </row>
    <row r="274" spans="2:28">
      <c r="B274" s="40"/>
      <c r="C274" s="40"/>
      <c r="D274" s="41"/>
      <c r="E274" s="42"/>
      <c r="F274" s="42"/>
      <c r="G274" s="43" t="s">
        <v>154</v>
      </c>
      <c r="H274" s="42" t="s">
        <v>155</v>
      </c>
      <c r="I274" s="43"/>
      <c r="J274" s="43"/>
      <c r="K274" s="25" t="e">
        <f>VLOOKUP(J274,Key!$E$2:$F$9,2,FALSE)</f>
        <v>#N/A</v>
      </c>
      <c r="L274" s="42"/>
      <c r="M274" s="43" t="s">
        <v>154</v>
      </c>
      <c r="N274" s="42" t="s">
        <v>155</v>
      </c>
      <c r="O274" s="43"/>
      <c r="P274" s="43"/>
      <c r="Q274" s="25" t="e">
        <f>VLOOKUP(P274,Key!$E$2:$F$9,2,FALSE)</f>
        <v>#N/A</v>
      </c>
      <c r="R274" s="25" t="e">
        <f t="shared" si="4"/>
        <v>#N/A</v>
      </c>
      <c r="S274" s="58"/>
      <c r="T274" s="58"/>
      <c r="U274" s="43"/>
      <c r="V274" s="43"/>
      <c r="W274" s="58"/>
      <c r="X274" s="58"/>
      <c r="Y274" s="59" t="s">
        <v>156</v>
      </c>
      <c r="Z274" s="60"/>
      <c r="AA274" s="25"/>
      <c r="AB274" s="25"/>
    </row>
    <row r="275" spans="2:28">
      <c r="B275" s="40"/>
      <c r="C275" s="40"/>
      <c r="D275" s="41"/>
      <c r="E275" s="42"/>
      <c r="F275" s="42"/>
      <c r="G275" s="43" t="s">
        <v>154</v>
      </c>
      <c r="H275" s="42" t="s">
        <v>155</v>
      </c>
      <c r="I275" s="43"/>
      <c r="J275" s="43"/>
      <c r="K275" s="25" t="e">
        <f>VLOOKUP(J275,Key!$E$2:$F$9,2,FALSE)</f>
        <v>#N/A</v>
      </c>
      <c r="L275" s="42"/>
      <c r="M275" s="43" t="s">
        <v>154</v>
      </c>
      <c r="N275" s="42" t="s">
        <v>155</v>
      </c>
      <c r="O275" s="43"/>
      <c r="P275" s="43"/>
      <c r="Q275" s="25" t="e">
        <f>VLOOKUP(P275,Key!$E$2:$F$9,2,FALSE)</f>
        <v>#N/A</v>
      </c>
      <c r="R275" s="25" t="e">
        <f t="shared" si="4"/>
        <v>#N/A</v>
      </c>
      <c r="S275" s="58"/>
      <c r="T275" s="58"/>
      <c r="U275" s="43"/>
      <c r="V275" s="43"/>
      <c r="W275" s="58"/>
      <c r="X275" s="58"/>
      <c r="Y275" s="59" t="s">
        <v>156</v>
      </c>
      <c r="Z275" s="60"/>
      <c r="AA275" s="25"/>
      <c r="AB275" s="25"/>
    </row>
    <row r="276" spans="2:28">
      <c r="B276" s="40"/>
      <c r="C276" s="40"/>
      <c r="D276" s="41"/>
      <c r="E276" s="42"/>
      <c r="F276" s="42"/>
      <c r="G276" s="43" t="s">
        <v>154</v>
      </c>
      <c r="H276" s="42" t="s">
        <v>155</v>
      </c>
      <c r="I276" s="43"/>
      <c r="J276" s="43"/>
      <c r="K276" s="25" t="e">
        <f>VLOOKUP(J276,Key!$E$2:$F$9,2,FALSE)</f>
        <v>#N/A</v>
      </c>
      <c r="L276" s="42"/>
      <c r="M276" s="43" t="s">
        <v>154</v>
      </c>
      <c r="N276" s="42" t="s">
        <v>155</v>
      </c>
      <c r="O276" s="43"/>
      <c r="P276" s="43"/>
      <c r="Q276" s="25" t="e">
        <f>VLOOKUP(P276,Key!$E$2:$F$9,2,FALSE)</f>
        <v>#N/A</v>
      </c>
      <c r="R276" s="25" t="e">
        <f t="shared" si="4"/>
        <v>#N/A</v>
      </c>
      <c r="S276" s="58"/>
      <c r="T276" s="58"/>
      <c r="U276" s="43"/>
      <c r="V276" s="43"/>
      <c r="W276" s="58"/>
      <c r="X276" s="58"/>
      <c r="Y276" s="59" t="s">
        <v>156</v>
      </c>
      <c r="Z276" s="60"/>
      <c r="AA276" s="25"/>
      <c r="AB276" s="25"/>
    </row>
    <row r="277" spans="2:28">
      <c r="B277" s="40"/>
      <c r="C277" s="40"/>
      <c r="D277" s="41"/>
      <c r="E277" s="42"/>
      <c r="F277" s="42"/>
      <c r="G277" s="43" t="s">
        <v>154</v>
      </c>
      <c r="H277" s="42" t="s">
        <v>155</v>
      </c>
      <c r="I277" s="43"/>
      <c r="J277" s="43"/>
      <c r="K277" s="25" t="e">
        <f>VLOOKUP(J277,Key!$E$2:$F$9,2,FALSE)</f>
        <v>#N/A</v>
      </c>
      <c r="L277" s="42"/>
      <c r="M277" s="43" t="s">
        <v>154</v>
      </c>
      <c r="N277" s="42" t="s">
        <v>155</v>
      </c>
      <c r="O277" s="43"/>
      <c r="P277" s="43"/>
      <c r="Q277" s="25" t="e">
        <f>VLOOKUP(P277,Key!$E$2:$F$9,2,FALSE)</f>
        <v>#N/A</v>
      </c>
      <c r="R277" s="25" t="e">
        <f t="shared" si="4"/>
        <v>#N/A</v>
      </c>
      <c r="S277" s="58"/>
      <c r="T277" s="58"/>
      <c r="U277" s="43"/>
      <c r="V277" s="43"/>
      <c r="W277" s="58"/>
      <c r="X277" s="58"/>
      <c r="Y277" s="59" t="s">
        <v>156</v>
      </c>
      <c r="Z277" s="60"/>
      <c r="AA277" s="25"/>
      <c r="AB277" s="25"/>
    </row>
    <row r="278" spans="2:28">
      <c r="B278" s="40"/>
      <c r="C278" s="40"/>
      <c r="D278" s="41"/>
      <c r="E278" s="42"/>
      <c r="F278" s="42"/>
      <c r="G278" s="43" t="s">
        <v>154</v>
      </c>
      <c r="H278" s="42" t="s">
        <v>155</v>
      </c>
      <c r="I278" s="43"/>
      <c r="J278" s="43"/>
      <c r="K278" s="25" t="e">
        <f>VLOOKUP(J278,Key!$E$2:$F$9,2,FALSE)</f>
        <v>#N/A</v>
      </c>
      <c r="L278" s="42"/>
      <c r="M278" s="43" t="s">
        <v>154</v>
      </c>
      <c r="N278" s="42" t="s">
        <v>155</v>
      </c>
      <c r="O278" s="43"/>
      <c r="P278" s="43"/>
      <c r="Q278" s="25" t="e">
        <f>VLOOKUP(P278,Key!$E$2:$F$9,2,FALSE)</f>
        <v>#N/A</v>
      </c>
      <c r="R278" s="25" t="e">
        <f t="shared" si="4"/>
        <v>#N/A</v>
      </c>
      <c r="S278" s="58"/>
      <c r="T278" s="58"/>
      <c r="U278" s="43"/>
      <c r="V278" s="43"/>
      <c r="W278" s="58"/>
      <c r="X278" s="58"/>
      <c r="Y278" s="59" t="s">
        <v>156</v>
      </c>
      <c r="Z278" s="60"/>
      <c r="AA278" s="25"/>
      <c r="AB278" s="25"/>
    </row>
    <row r="279" spans="2:28">
      <c r="B279" s="40"/>
      <c r="C279" s="40"/>
      <c r="D279" s="41"/>
      <c r="E279" s="42"/>
      <c r="F279" s="42"/>
      <c r="G279" s="43" t="s">
        <v>154</v>
      </c>
      <c r="H279" s="42" t="s">
        <v>155</v>
      </c>
      <c r="I279" s="43"/>
      <c r="J279" s="43"/>
      <c r="K279" s="25" t="e">
        <f>VLOOKUP(J279,Key!$E$2:$F$9,2,FALSE)</f>
        <v>#N/A</v>
      </c>
      <c r="L279" s="42"/>
      <c r="M279" s="43" t="s">
        <v>154</v>
      </c>
      <c r="N279" s="42" t="s">
        <v>155</v>
      </c>
      <c r="O279" s="43"/>
      <c r="P279" s="43"/>
      <c r="Q279" s="25" t="e">
        <f>VLOOKUP(P279,Key!$E$2:$F$9,2,FALSE)</f>
        <v>#N/A</v>
      </c>
      <c r="R279" s="25" t="e">
        <f t="shared" si="4"/>
        <v>#N/A</v>
      </c>
      <c r="S279" s="58"/>
      <c r="T279" s="58"/>
      <c r="U279" s="43"/>
      <c r="V279" s="43"/>
      <c r="W279" s="58"/>
      <c r="X279" s="58"/>
      <c r="Y279" s="59" t="s">
        <v>156</v>
      </c>
      <c r="Z279" s="60"/>
      <c r="AA279" s="25"/>
      <c r="AB279" s="25"/>
    </row>
    <row r="280" spans="2:28">
      <c r="B280" s="40"/>
      <c r="C280" s="40"/>
      <c r="D280" s="41"/>
      <c r="E280" s="42"/>
      <c r="F280" s="42"/>
      <c r="G280" s="43" t="s">
        <v>154</v>
      </c>
      <c r="H280" s="42" t="s">
        <v>155</v>
      </c>
      <c r="I280" s="43"/>
      <c r="J280" s="43"/>
      <c r="K280" s="25" t="e">
        <f>VLOOKUP(J280,Key!$E$2:$F$9,2,FALSE)</f>
        <v>#N/A</v>
      </c>
      <c r="L280" s="42"/>
      <c r="M280" s="43" t="s">
        <v>154</v>
      </c>
      <c r="N280" s="42" t="s">
        <v>155</v>
      </c>
      <c r="O280" s="43"/>
      <c r="P280" s="43"/>
      <c r="Q280" s="25" t="e">
        <f>VLOOKUP(P280,Key!$E$2:$F$9,2,FALSE)</f>
        <v>#N/A</v>
      </c>
      <c r="R280" s="25" t="e">
        <f t="shared" si="4"/>
        <v>#N/A</v>
      </c>
      <c r="S280" s="58"/>
      <c r="T280" s="58"/>
      <c r="U280" s="43"/>
      <c r="V280" s="43"/>
      <c r="W280" s="58"/>
      <c r="X280" s="58"/>
      <c r="Y280" s="59" t="s">
        <v>156</v>
      </c>
      <c r="Z280" s="60"/>
      <c r="AA280" s="25"/>
      <c r="AB280" s="25"/>
    </row>
    <row r="281" spans="2:28">
      <c r="B281" s="40"/>
      <c r="C281" s="40"/>
      <c r="D281" s="41"/>
      <c r="E281" s="42"/>
      <c r="F281" s="42"/>
      <c r="G281" s="43" t="s">
        <v>154</v>
      </c>
      <c r="H281" s="42" t="s">
        <v>155</v>
      </c>
      <c r="I281" s="43"/>
      <c r="J281" s="43"/>
      <c r="K281" s="25" t="e">
        <f>VLOOKUP(J281,Key!$E$2:$F$9,2,FALSE)</f>
        <v>#N/A</v>
      </c>
      <c r="L281" s="42"/>
      <c r="M281" s="43" t="s">
        <v>154</v>
      </c>
      <c r="N281" s="42" t="s">
        <v>155</v>
      </c>
      <c r="O281" s="43"/>
      <c r="P281" s="43"/>
      <c r="Q281" s="25" t="e">
        <f>VLOOKUP(P281,Key!$E$2:$F$9,2,FALSE)</f>
        <v>#N/A</v>
      </c>
      <c r="R281" s="25" t="e">
        <f t="shared" si="4"/>
        <v>#N/A</v>
      </c>
      <c r="S281" s="58"/>
      <c r="T281" s="58"/>
      <c r="U281" s="43"/>
      <c r="V281" s="43"/>
      <c r="W281" s="58"/>
      <c r="X281" s="58"/>
      <c r="Y281" s="59" t="s">
        <v>156</v>
      </c>
      <c r="Z281" s="60"/>
      <c r="AA281" s="25"/>
      <c r="AB281" s="25"/>
    </row>
    <row r="282" spans="2:28">
      <c r="B282" s="40"/>
      <c r="C282" s="40"/>
      <c r="D282" s="41"/>
      <c r="E282" s="42"/>
      <c r="F282" s="42"/>
      <c r="G282" s="43" t="s">
        <v>154</v>
      </c>
      <c r="H282" s="42" t="s">
        <v>155</v>
      </c>
      <c r="I282" s="43"/>
      <c r="J282" s="43"/>
      <c r="K282" s="25" t="e">
        <f>VLOOKUP(J282,Key!$E$2:$F$9,2,FALSE)</f>
        <v>#N/A</v>
      </c>
      <c r="L282" s="42"/>
      <c r="M282" s="43" t="s">
        <v>154</v>
      </c>
      <c r="N282" s="42" t="s">
        <v>155</v>
      </c>
      <c r="O282" s="43"/>
      <c r="P282" s="43"/>
      <c r="Q282" s="25" t="e">
        <f>VLOOKUP(P282,Key!$E$2:$F$9,2,FALSE)</f>
        <v>#N/A</v>
      </c>
      <c r="R282" s="25" t="e">
        <f t="shared" si="4"/>
        <v>#N/A</v>
      </c>
      <c r="S282" s="58"/>
      <c r="T282" s="58"/>
      <c r="U282" s="43"/>
      <c r="V282" s="43"/>
      <c r="W282" s="58"/>
      <c r="X282" s="58"/>
      <c r="Y282" s="59" t="s">
        <v>156</v>
      </c>
      <c r="Z282" s="60"/>
      <c r="AA282" s="25"/>
      <c r="AB282" s="25"/>
    </row>
    <row r="283" spans="2:28">
      <c r="B283" s="40"/>
      <c r="C283" s="40"/>
      <c r="D283" s="41"/>
      <c r="E283" s="42"/>
      <c r="F283" s="42"/>
      <c r="G283" s="43" t="s">
        <v>154</v>
      </c>
      <c r="H283" s="42" t="s">
        <v>155</v>
      </c>
      <c r="I283" s="43"/>
      <c r="J283" s="43"/>
      <c r="K283" s="25" t="e">
        <f>VLOOKUP(J283,Key!$E$2:$F$9,2,FALSE)</f>
        <v>#N/A</v>
      </c>
      <c r="L283" s="42"/>
      <c r="M283" s="43" t="s">
        <v>154</v>
      </c>
      <c r="N283" s="42" t="s">
        <v>155</v>
      </c>
      <c r="O283" s="43"/>
      <c r="P283" s="43"/>
      <c r="Q283" s="25" t="e">
        <f>VLOOKUP(P283,Key!$E$2:$F$9,2,FALSE)</f>
        <v>#N/A</v>
      </c>
      <c r="R283" s="25" t="e">
        <f t="shared" si="4"/>
        <v>#N/A</v>
      </c>
      <c r="S283" s="58"/>
      <c r="T283" s="58"/>
      <c r="U283" s="43"/>
      <c r="V283" s="43"/>
      <c r="W283" s="58"/>
      <c r="X283" s="58"/>
      <c r="Y283" s="59" t="s">
        <v>156</v>
      </c>
      <c r="Z283" s="60"/>
      <c r="AA283" s="25"/>
      <c r="AB283" s="25"/>
    </row>
    <row r="284" spans="2:28">
      <c r="B284" s="40"/>
      <c r="C284" s="40"/>
      <c r="D284" s="41"/>
      <c r="E284" s="42"/>
      <c r="F284" s="42"/>
      <c r="G284" s="43" t="s">
        <v>154</v>
      </c>
      <c r="H284" s="42" t="s">
        <v>155</v>
      </c>
      <c r="I284" s="43"/>
      <c r="J284" s="43"/>
      <c r="K284" s="25" t="e">
        <f>VLOOKUP(J284,Key!$E$2:$F$9,2,FALSE)</f>
        <v>#N/A</v>
      </c>
      <c r="L284" s="42"/>
      <c r="M284" s="43" t="s">
        <v>154</v>
      </c>
      <c r="N284" s="42" t="s">
        <v>155</v>
      </c>
      <c r="O284" s="43"/>
      <c r="P284" s="43"/>
      <c r="Q284" s="25" t="e">
        <f>VLOOKUP(P284,Key!$E$2:$F$9,2,FALSE)</f>
        <v>#N/A</v>
      </c>
      <c r="R284" s="25" t="e">
        <f t="shared" si="4"/>
        <v>#N/A</v>
      </c>
      <c r="S284" s="58"/>
      <c r="T284" s="58"/>
      <c r="U284" s="43"/>
      <c r="V284" s="43"/>
      <c r="W284" s="58"/>
      <c r="X284" s="58"/>
      <c r="Y284" s="59" t="s">
        <v>156</v>
      </c>
      <c r="Z284" s="60"/>
      <c r="AA284" s="25"/>
      <c r="AB284" s="25"/>
    </row>
    <row r="285" spans="2:28">
      <c r="B285" s="40"/>
      <c r="C285" s="40"/>
      <c r="D285" s="41"/>
      <c r="E285" s="42"/>
      <c r="F285" s="42"/>
      <c r="G285" s="43" t="s">
        <v>154</v>
      </c>
      <c r="H285" s="42" t="s">
        <v>155</v>
      </c>
      <c r="I285" s="43"/>
      <c r="J285" s="43"/>
      <c r="K285" s="25" t="e">
        <f>VLOOKUP(J285,Key!$E$2:$F$9,2,FALSE)</f>
        <v>#N/A</v>
      </c>
      <c r="L285" s="42"/>
      <c r="M285" s="43" t="s">
        <v>154</v>
      </c>
      <c r="N285" s="42" t="s">
        <v>155</v>
      </c>
      <c r="O285" s="43"/>
      <c r="P285" s="43"/>
      <c r="Q285" s="25" t="e">
        <f>VLOOKUP(P285,Key!$E$2:$F$9,2,FALSE)</f>
        <v>#N/A</v>
      </c>
      <c r="R285" s="25" t="e">
        <f t="shared" si="4"/>
        <v>#N/A</v>
      </c>
      <c r="S285" s="58"/>
      <c r="T285" s="58"/>
      <c r="U285" s="43"/>
      <c r="V285" s="43"/>
      <c r="W285" s="58"/>
      <c r="X285" s="58"/>
      <c r="Y285" s="59" t="s">
        <v>156</v>
      </c>
      <c r="Z285" s="60"/>
      <c r="AA285" s="25"/>
      <c r="AB285" s="25"/>
    </row>
    <row r="286" spans="2:28">
      <c r="B286" s="40"/>
      <c r="C286" s="40"/>
      <c r="D286" s="41"/>
      <c r="E286" s="42"/>
      <c r="F286" s="42"/>
      <c r="G286" s="43" t="s">
        <v>154</v>
      </c>
      <c r="H286" s="42" t="s">
        <v>155</v>
      </c>
      <c r="I286" s="43"/>
      <c r="J286" s="43"/>
      <c r="K286" s="25" t="e">
        <f>VLOOKUP(J286,Key!$E$2:$F$9,2,FALSE)</f>
        <v>#N/A</v>
      </c>
      <c r="L286" s="42"/>
      <c r="M286" s="43" t="s">
        <v>154</v>
      </c>
      <c r="N286" s="42" t="s">
        <v>155</v>
      </c>
      <c r="O286" s="43"/>
      <c r="P286" s="43"/>
      <c r="Q286" s="25" t="e">
        <f>VLOOKUP(P286,Key!$E$2:$F$9,2,FALSE)</f>
        <v>#N/A</v>
      </c>
      <c r="R286" s="25" t="e">
        <f t="shared" si="4"/>
        <v>#N/A</v>
      </c>
      <c r="S286" s="58"/>
      <c r="T286" s="58"/>
      <c r="U286" s="43"/>
      <c r="V286" s="43"/>
      <c r="W286" s="58"/>
      <c r="X286" s="58"/>
      <c r="Y286" s="59" t="s">
        <v>156</v>
      </c>
      <c r="Z286" s="60"/>
      <c r="AA286" s="25"/>
      <c r="AB286" s="25"/>
    </row>
    <row r="287" spans="2:28">
      <c r="B287" s="40"/>
      <c r="C287" s="40"/>
      <c r="D287" s="41"/>
      <c r="E287" s="42"/>
      <c r="F287" s="42"/>
      <c r="G287" s="43" t="s">
        <v>154</v>
      </c>
      <c r="H287" s="42" t="s">
        <v>155</v>
      </c>
      <c r="I287" s="43"/>
      <c r="J287" s="43"/>
      <c r="K287" s="25" t="e">
        <f>VLOOKUP(J287,Key!$E$2:$F$9,2,FALSE)</f>
        <v>#N/A</v>
      </c>
      <c r="L287" s="42"/>
      <c r="M287" s="43" t="s">
        <v>154</v>
      </c>
      <c r="N287" s="42" t="s">
        <v>155</v>
      </c>
      <c r="O287" s="43"/>
      <c r="P287" s="43"/>
      <c r="Q287" s="25" t="e">
        <f>VLOOKUP(P287,Key!$E$2:$F$9,2,FALSE)</f>
        <v>#N/A</v>
      </c>
      <c r="R287" s="25" t="e">
        <f t="shared" si="4"/>
        <v>#N/A</v>
      </c>
      <c r="S287" s="58"/>
      <c r="T287" s="58"/>
      <c r="U287" s="43"/>
      <c r="V287" s="43"/>
      <c r="W287" s="58"/>
      <c r="X287" s="58"/>
      <c r="Y287" s="59" t="s">
        <v>156</v>
      </c>
      <c r="Z287" s="60"/>
      <c r="AA287" s="25"/>
      <c r="AB287" s="25"/>
    </row>
    <row r="288" spans="2:28">
      <c r="B288" s="40"/>
      <c r="C288" s="40"/>
      <c r="D288" s="41"/>
      <c r="E288" s="42"/>
      <c r="F288" s="42"/>
      <c r="G288" s="43" t="s">
        <v>154</v>
      </c>
      <c r="H288" s="42" t="s">
        <v>155</v>
      </c>
      <c r="I288" s="43"/>
      <c r="J288" s="43"/>
      <c r="K288" s="25" t="e">
        <f>VLOOKUP(J288,Key!$E$2:$F$9,2,FALSE)</f>
        <v>#N/A</v>
      </c>
      <c r="L288" s="42"/>
      <c r="M288" s="43" t="s">
        <v>154</v>
      </c>
      <c r="N288" s="42" t="s">
        <v>155</v>
      </c>
      <c r="O288" s="43"/>
      <c r="P288" s="43"/>
      <c r="Q288" s="25" t="e">
        <f>VLOOKUP(P288,Key!$E$2:$F$9,2,FALSE)</f>
        <v>#N/A</v>
      </c>
      <c r="R288" s="25" t="e">
        <f t="shared" si="4"/>
        <v>#N/A</v>
      </c>
      <c r="S288" s="58"/>
      <c r="T288" s="58"/>
      <c r="U288" s="43"/>
      <c r="V288" s="43"/>
      <c r="W288" s="58"/>
      <c r="X288" s="58"/>
      <c r="Y288" s="59" t="s">
        <v>156</v>
      </c>
      <c r="Z288" s="60"/>
      <c r="AA288" s="25"/>
      <c r="AB288" s="25"/>
    </row>
    <row r="289" spans="2:28">
      <c r="B289" s="40"/>
      <c r="C289" s="40"/>
      <c r="D289" s="41"/>
      <c r="E289" s="42"/>
      <c r="F289" s="42"/>
      <c r="G289" s="43" t="s">
        <v>154</v>
      </c>
      <c r="H289" s="42" t="s">
        <v>155</v>
      </c>
      <c r="I289" s="43"/>
      <c r="J289" s="43"/>
      <c r="K289" s="25" t="e">
        <f>VLOOKUP(J289,Key!$E$2:$F$9,2,FALSE)</f>
        <v>#N/A</v>
      </c>
      <c r="L289" s="42"/>
      <c r="M289" s="43" t="s">
        <v>154</v>
      </c>
      <c r="N289" s="42" t="s">
        <v>155</v>
      </c>
      <c r="O289" s="43"/>
      <c r="P289" s="43"/>
      <c r="Q289" s="25" t="e">
        <f>VLOOKUP(P289,Key!$E$2:$F$9,2,FALSE)</f>
        <v>#N/A</v>
      </c>
      <c r="R289" s="25" t="e">
        <f t="shared" si="4"/>
        <v>#N/A</v>
      </c>
      <c r="S289" s="58"/>
      <c r="T289" s="58"/>
      <c r="U289" s="43"/>
      <c r="V289" s="43"/>
      <c r="W289" s="58"/>
      <c r="X289" s="58"/>
      <c r="Y289" s="59" t="s">
        <v>156</v>
      </c>
      <c r="Z289" s="60"/>
      <c r="AA289" s="25"/>
      <c r="AB289" s="25"/>
    </row>
    <row r="290" spans="2:28">
      <c r="B290" s="40"/>
      <c r="C290" s="40"/>
      <c r="D290" s="41"/>
      <c r="E290" s="42"/>
      <c r="F290" s="42"/>
      <c r="G290" s="43" t="s">
        <v>154</v>
      </c>
      <c r="H290" s="42" t="s">
        <v>155</v>
      </c>
      <c r="I290" s="43"/>
      <c r="J290" s="43"/>
      <c r="K290" s="25" t="e">
        <f>VLOOKUP(J290,Key!$E$2:$F$9,2,FALSE)</f>
        <v>#N/A</v>
      </c>
      <c r="L290" s="42"/>
      <c r="M290" s="43" t="s">
        <v>154</v>
      </c>
      <c r="N290" s="42" t="s">
        <v>155</v>
      </c>
      <c r="O290" s="43"/>
      <c r="P290" s="43"/>
      <c r="Q290" s="25" t="e">
        <f>VLOOKUP(P290,Key!$E$2:$F$9,2,FALSE)</f>
        <v>#N/A</v>
      </c>
      <c r="R290" s="25" t="e">
        <f t="shared" si="4"/>
        <v>#N/A</v>
      </c>
      <c r="S290" s="58"/>
      <c r="T290" s="58"/>
      <c r="U290" s="43"/>
      <c r="V290" s="43"/>
      <c r="W290" s="58"/>
      <c r="X290" s="58"/>
      <c r="Y290" s="59" t="s">
        <v>156</v>
      </c>
      <c r="Z290" s="60"/>
      <c r="AA290" s="25"/>
      <c r="AB290" s="25"/>
    </row>
    <row r="291" spans="2:28">
      <c r="B291" s="40"/>
      <c r="C291" s="40"/>
      <c r="D291" s="41"/>
      <c r="E291" s="42"/>
      <c r="F291" s="42"/>
      <c r="G291" s="43" t="s">
        <v>154</v>
      </c>
      <c r="H291" s="42" t="s">
        <v>155</v>
      </c>
      <c r="I291" s="43"/>
      <c r="J291" s="43"/>
      <c r="K291" s="25" t="e">
        <f>VLOOKUP(J291,Key!$E$2:$F$9,2,FALSE)</f>
        <v>#N/A</v>
      </c>
      <c r="L291" s="42"/>
      <c r="M291" s="43" t="s">
        <v>154</v>
      </c>
      <c r="N291" s="42" t="s">
        <v>155</v>
      </c>
      <c r="O291" s="43"/>
      <c r="P291" s="43"/>
      <c r="Q291" s="25" t="e">
        <f>VLOOKUP(P291,Key!$E$2:$F$9,2,FALSE)</f>
        <v>#N/A</v>
      </c>
      <c r="R291" s="25" t="e">
        <f t="shared" si="4"/>
        <v>#N/A</v>
      </c>
      <c r="S291" s="58"/>
      <c r="T291" s="58"/>
      <c r="U291" s="43"/>
      <c r="V291" s="43"/>
      <c r="W291" s="58"/>
      <c r="X291" s="58"/>
      <c r="Y291" s="59" t="s">
        <v>156</v>
      </c>
      <c r="Z291" s="60"/>
      <c r="AA291" s="25"/>
      <c r="AB291" s="25"/>
    </row>
    <row r="292" spans="2:28">
      <c r="B292" s="40"/>
      <c r="C292" s="40"/>
      <c r="D292" s="41"/>
      <c r="E292" s="42"/>
      <c r="F292" s="42"/>
      <c r="G292" s="43" t="s">
        <v>154</v>
      </c>
      <c r="H292" s="42" t="s">
        <v>155</v>
      </c>
      <c r="I292" s="43"/>
      <c r="J292" s="43"/>
      <c r="K292" s="25" t="e">
        <f>VLOOKUP(J292,Key!$E$2:$F$9,2,FALSE)</f>
        <v>#N/A</v>
      </c>
      <c r="L292" s="42"/>
      <c r="M292" s="43" t="s">
        <v>154</v>
      </c>
      <c r="N292" s="42" t="s">
        <v>155</v>
      </c>
      <c r="O292" s="43"/>
      <c r="P292" s="43"/>
      <c r="Q292" s="25" t="e">
        <f>VLOOKUP(P292,Key!$E$2:$F$9,2,FALSE)</f>
        <v>#N/A</v>
      </c>
      <c r="R292" s="25" t="e">
        <f t="shared" si="4"/>
        <v>#N/A</v>
      </c>
      <c r="S292" s="58"/>
      <c r="T292" s="58"/>
      <c r="U292" s="43"/>
      <c r="V292" s="43"/>
      <c r="W292" s="58"/>
      <c r="X292" s="58"/>
      <c r="Y292" s="59" t="s">
        <v>156</v>
      </c>
      <c r="Z292" s="60"/>
      <c r="AA292" s="25"/>
      <c r="AB292" s="25"/>
    </row>
    <row r="293" spans="2:28">
      <c r="B293" s="40"/>
      <c r="C293" s="40"/>
      <c r="D293" s="41"/>
      <c r="E293" s="42"/>
      <c r="F293" s="42"/>
      <c r="G293" s="43" t="s">
        <v>154</v>
      </c>
      <c r="H293" s="42" t="s">
        <v>155</v>
      </c>
      <c r="I293" s="43"/>
      <c r="J293" s="43"/>
      <c r="K293" s="25" t="e">
        <f>VLOOKUP(J293,Key!$E$2:$F$9,2,FALSE)</f>
        <v>#N/A</v>
      </c>
      <c r="L293" s="42"/>
      <c r="M293" s="43" t="s">
        <v>154</v>
      </c>
      <c r="N293" s="42" t="s">
        <v>155</v>
      </c>
      <c r="O293" s="43"/>
      <c r="P293" s="43"/>
      <c r="Q293" s="25" t="e">
        <f>VLOOKUP(P293,Key!$E$2:$F$9,2,FALSE)</f>
        <v>#N/A</v>
      </c>
      <c r="R293" s="25" t="e">
        <f t="shared" si="4"/>
        <v>#N/A</v>
      </c>
      <c r="S293" s="58"/>
      <c r="T293" s="58"/>
      <c r="U293" s="43"/>
      <c r="V293" s="43"/>
      <c r="W293" s="58"/>
      <c r="X293" s="58"/>
      <c r="Y293" s="59" t="s">
        <v>156</v>
      </c>
      <c r="Z293" s="60"/>
      <c r="AA293" s="25"/>
      <c r="AB293" s="25"/>
    </row>
    <row r="294" spans="2:28">
      <c r="B294" s="40"/>
      <c r="C294" s="40"/>
      <c r="D294" s="41"/>
      <c r="E294" s="42"/>
      <c r="F294" s="42"/>
      <c r="G294" s="43" t="s">
        <v>154</v>
      </c>
      <c r="H294" s="42" t="s">
        <v>155</v>
      </c>
      <c r="I294" s="43"/>
      <c r="J294" s="43"/>
      <c r="K294" s="25" t="e">
        <f>VLOOKUP(J294,Key!$E$2:$F$9,2,FALSE)</f>
        <v>#N/A</v>
      </c>
      <c r="L294" s="42"/>
      <c r="M294" s="43" t="s">
        <v>154</v>
      </c>
      <c r="N294" s="42" t="s">
        <v>155</v>
      </c>
      <c r="O294" s="43"/>
      <c r="P294" s="43"/>
      <c r="Q294" s="25" t="e">
        <f>VLOOKUP(P294,Key!$E$2:$F$9,2,FALSE)</f>
        <v>#N/A</v>
      </c>
      <c r="R294" s="25" t="e">
        <f t="shared" ref="R294:R357" si="5">K294&amp;"-"&amp;Q294</f>
        <v>#N/A</v>
      </c>
      <c r="S294" s="58"/>
      <c r="T294" s="58"/>
      <c r="U294" s="43"/>
      <c r="V294" s="43"/>
      <c r="W294" s="58"/>
      <c r="X294" s="58"/>
      <c r="Y294" s="59" t="s">
        <v>156</v>
      </c>
      <c r="Z294" s="60"/>
      <c r="AA294" s="25"/>
      <c r="AB294" s="25"/>
    </row>
    <row r="295" spans="2:28">
      <c r="B295" s="40"/>
      <c r="C295" s="40"/>
      <c r="D295" s="41"/>
      <c r="E295" s="42"/>
      <c r="F295" s="42"/>
      <c r="G295" s="43" t="s">
        <v>154</v>
      </c>
      <c r="H295" s="42" t="s">
        <v>155</v>
      </c>
      <c r="I295" s="43"/>
      <c r="J295" s="43"/>
      <c r="K295" s="25" t="e">
        <f>VLOOKUP(J295,Key!$E$2:$F$9,2,FALSE)</f>
        <v>#N/A</v>
      </c>
      <c r="L295" s="42"/>
      <c r="M295" s="43" t="s">
        <v>154</v>
      </c>
      <c r="N295" s="42" t="s">
        <v>155</v>
      </c>
      <c r="O295" s="43"/>
      <c r="P295" s="43"/>
      <c r="Q295" s="25" t="e">
        <f>VLOOKUP(P295,Key!$E$2:$F$9,2,FALSE)</f>
        <v>#N/A</v>
      </c>
      <c r="R295" s="25" t="e">
        <f t="shared" si="5"/>
        <v>#N/A</v>
      </c>
      <c r="S295" s="58"/>
      <c r="T295" s="58"/>
      <c r="U295" s="43"/>
      <c r="V295" s="43"/>
      <c r="W295" s="58"/>
      <c r="X295" s="58"/>
      <c r="Y295" s="59" t="s">
        <v>156</v>
      </c>
      <c r="Z295" s="60"/>
      <c r="AA295" s="25"/>
      <c r="AB295" s="25"/>
    </row>
    <row r="296" spans="2:28">
      <c r="B296" s="40"/>
      <c r="C296" s="40"/>
      <c r="D296" s="41"/>
      <c r="E296" s="42"/>
      <c r="F296" s="42"/>
      <c r="G296" s="43" t="s">
        <v>154</v>
      </c>
      <c r="H296" s="42" t="s">
        <v>155</v>
      </c>
      <c r="I296" s="43"/>
      <c r="J296" s="43"/>
      <c r="K296" s="25" t="e">
        <f>VLOOKUP(J296,Key!$E$2:$F$9,2,FALSE)</f>
        <v>#N/A</v>
      </c>
      <c r="L296" s="42"/>
      <c r="M296" s="43" t="s">
        <v>154</v>
      </c>
      <c r="N296" s="42" t="s">
        <v>155</v>
      </c>
      <c r="O296" s="43"/>
      <c r="P296" s="43"/>
      <c r="Q296" s="25" t="e">
        <f>VLOOKUP(P296,Key!$E$2:$F$9,2,FALSE)</f>
        <v>#N/A</v>
      </c>
      <c r="R296" s="25" t="e">
        <f t="shared" si="5"/>
        <v>#N/A</v>
      </c>
      <c r="S296" s="58"/>
      <c r="T296" s="58"/>
      <c r="U296" s="43"/>
      <c r="V296" s="43"/>
      <c r="W296" s="58"/>
      <c r="X296" s="58"/>
      <c r="Y296" s="59" t="s">
        <v>156</v>
      </c>
      <c r="Z296" s="60"/>
      <c r="AA296" s="25"/>
      <c r="AB296" s="25"/>
    </row>
    <row r="297" spans="2:28">
      <c r="B297" s="40"/>
      <c r="C297" s="40"/>
      <c r="D297" s="41"/>
      <c r="E297" s="42"/>
      <c r="F297" s="42"/>
      <c r="G297" s="43" t="s">
        <v>154</v>
      </c>
      <c r="H297" s="42" t="s">
        <v>155</v>
      </c>
      <c r="I297" s="43"/>
      <c r="J297" s="43"/>
      <c r="K297" s="25" t="e">
        <f>VLOOKUP(J297,Key!$E$2:$F$9,2,FALSE)</f>
        <v>#N/A</v>
      </c>
      <c r="L297" s="42"/>
      <c r="M297" s="43" t="s">
        <v>154</v>
      </c>
      <c r="N297" s="42" t="s">
        <v>155</v>
      </c>
      <c r="O297" s="43"/>
      <c r="P297" s="43"/>
      <c r="Q297" s="25" t="e">
        <f>VLOOKUP(P297,Key!$E$2:$F$9,2,FALSE)</f>
        <v>#N/A</v>
      </c>
      <c r="R297" s="25" t="e">
        <f t="shared" si="5"/>
        <v>#N/A</v>
      </c>
      <c r="S297" s="58"/>
      <c r="T297" s="58"/>
      <c r="U297" s="43"/>
      <c r="V297" s="43"/>
      <c r="W297" s="58"/>
      <c r="X297" s="58"/>
      <c r="Y297" s="59" t="s">
        <v>156</v>
      </c>
      <c r="Z297" s="60"/>
      <c r="AA297" s="25"/>
      <c r="AB297" s="25"/>
    </row>
    <row r="298" spans="2:28">
      <c r="B298" s="40"/>
      <c r="C298" s="40"/>
      <c r="D298" s="41"/>
      <c r="E298" s="42"/>
      <c r="F298" s="42"/>
      <c r="G298" s="43" t="s">
        <v>154</v>
      </c>
      <c r="H298" s="42" t="s">
        <v>155</v>
      </c>
      <c r="I298" s="43"/>
      <c r="J298" s="43"/>
      <c r="K298" s="25" t="e">
        <f>VLOOKUP(J298,Key!$E$2:$F$9,2,FALSE)</f>
        <v>#N/A</v>
      </c>
      <c r="L298" s="42"/>
      <c r="M298" s="43" t="s">
        <v>154</v>
      </c>
      <c r="N298" s="42" t="s">
        <v>155</v>
      </c>
      <c r="O298" s="43"/>
      <c r="P298" s="43"/>
      <c r="Q298" s="25" t="e">
        <f>VLOOKUP(P298,Key!$E$2:$F$9,2,FALSE)</f>
        <v>#N/A</v>
      </c>
      <c r="R298" s="25" t="e">
        <f t="shared" si="5"/>
        <v>#N/A</v>
      </c>
      <c r="S298" s="58"/>
      <c r="T298" s="58"/>
      <c r="U298" s="43"/>
      <c r="V298" s="43"/>
      <c r="W298" s="58"/>
      <c r="X298" s="58"/>
      <c r="Y298" s="59" t="s">
        <v>156</v>
      </c>
      <c r="Z298" s="60"/>
      <c r="AA298" s="25"/>
      <c r="AB298" s="25"/>
    </row>
    <row r="299" spans="2:28">
      <c r="B299" s="40"/>
      <c r="C299" s="40"/>
      <c r="D299" s="41"/>
      <c r="E299" s="42"/>
      <c r="F299" s="42"/>
      <c r="G299" s="43" t="s">
        <v>154</v>
      </c>
      <c r="H299" s="42" t="s">
        <v>155</v>
      </c>
      <c r="I299" s="43"/>
      <c r="J299" s="43"/>
      <c r="K299" s="25" t="e">
        <f>VLOOKUP(J299,Key!$E$2:$F$9,2,FALSE)</f>
        <v>#N/A</v>
      </c>
      <c r="L299" s="42"/>
      <c r="M299" s="43" t="s">
        <v>154</v>
      </c>
      <c r="N299" s="42" t="s">
        <v>155</v>
      </c>
      <c r="O299" s="43"/>
      <c r="P299" s="43"/>
      <c r="Q299" s="25" t="e">
        <f>VLOOKUP(P299,Key!$E$2:$F$9,2,FALSE)</f>
        <v>#N/A</v>
      </c>
      <c r="R299" s="25" t="e">
        <f t="shared" si="5"/>
        <v>#N/A</v>
      </c>
      <c r="S299" s="58"/>
      <c r="T299" s="58"/>
      <c r="U299" s="43"/>
      <c r="V299" s="43"/>
      <c r="W299" s="58"/>
      <c r="X299" s="58"/>
      <c r="Y299" s="59" t="s">
        <v>156</v>
      </c>
      <c r="Z299" s="60"/>
      <c r="AA299" s="25"/>
      <c r="AB299" s="25"/>
    </row>
    <row r="300" spans="2:28">
      <c r="B300" s="40"/>
      <c r="C300" s="40"/>
      <c r="D300" s="41"/>
      <c r="E300" s="42"/>
      <c r="F300" s="42"/>
      <c r="G300" s="43" t="s">
        <v>154</v>
      </c>
      <c r="H300" s="42" t="s">
        <v>155</v>
      </c>
      <c r="I300" s="43"/>
      <c r="J300" s="43"/>
      <c r="K300" s="25" t="e">
        <f>VLOOKUP(J300,Key!$E$2:$F$9,2,FALSE)</f>
        <v>#N/A</v>
      </c>
      <c r="L300" s="42"/>
      <c r="M300" s="43" t="s">
        <v>154</v>
      </c>
      <c r="N300" s="42" t="s">
        <v>155</v>
      </c>
      <c r="O300" s="43"/>
      <c r="P300" s="43"/>
      <c r="Q300" s="25" t="e">
        <f>VLOOKUP(P300,Key!$E$2:$F$9,2,FALSE)</f>
        <v>#N/A</v>
      </c>
      <c r="R300" s="25" t="e">
        <f t="shared" si="5"/>
        <v>#N/A</v>
      </c>
      <c r="S300" s="58"/>
      <c r="T300" s="58"/>
      <c r="U300" s="43"/>
      <c r="V300" s="43"/>
      <c r="W300" s="58"/>
      <c r="X300" s="58"/>
      <c r="Y300" s="59" t="s">
        <v>156</v>
      </c>
      <c r="Z300" s="60"/>
      <c r="AA300" s="25"/>
      <c r="AB300" s="25"/>
    </row>
    <row r="301" spans="2:28">
      <c r="B301" s="40"/>
      <c r="C301" s="40"/>
      <c r="D301" s="41"/>
      <c r="E301" s="42"/>
      <c r="F301" s="42"/>
      <c r="G301" s="43" t="s">
        <v>154</v>
      </c>
      <c r="H301" s="42" t="s">
        <v>155</v>
      </c>
      <c r="I301" s="43"/>
      <c r="J301" s="43"/>
      <c r="K301" s="25" t="e">
        <f>VLOOKUP(J301,Key!$E$2:$F$9,2,FALSE)</f>
        <v>#N/A</v>
      </c>
      <c r="L301" s="42"/>
      <c r="M301" s="43" t="s">
        <v>154</v>
      </c>
      <c r="N301" s="42" t="s">
        <v>155</v>
      </c>
      <c r="O301" s="43"/>
      <c r="P301" s="43"/>
      <c r="Q301" s="25" t="e">
        <f>VLOOKUP(P301,Key!$E$2:$F$9,2,FALSE)</f>
        <v>#N/A</v>
      </c>
      <c r="R301" s="25" t="e">
        <f t="shared" si="5"/>
        <v>#N/A</v>
      </c>
      <c r="S301" s="58"/>
      <c r="T301" s="58"/>
      <c r="U301" s="43"/>
      <c r="V301" s="43"/>
      <c r="W301" s="58"/>
      <c r="X301" s="58"/>
      <c r="Y301" s="59" t="s">
        <v>156</v>
      </c>
      <c r="Z301" s="60"/>
      <c r="AA301" s="25"/>
      <c r="AB301" s="25"/>
    </row>
    <row r="302" spans="2:28">
      <c r="B302" s="40"/>
      <c r="C302" s="40"/>
      <c r="D302" s="41"/>
      <c r="E302" s="42"/>
      <c r="F302" s="42"/>
      <c r="G302" s="43" t="s">
        <v>154</v>
      </c>
      <c r="H302" s="42" t="s">
        <v>155</v>
      </c>
      <c r="I302" s="43"/>
      <c r="J302" s="43"/>
      <c r="K302" s="25" t="e">
        <f>VLOOKUP(J302,Key!$E$2:$F$9,2,FALSE)</f>
        <v>#N/A</v>
      </c>
      <c r="L302" s="42"/>
      <c r="M302" s="43" t="s">
        <v>154</v>
      </c>
      <c r="N302" s="42" t="s">
        <v>155</v>
      </c>
      <c r="O302" s="43"/>
      <c r="P302" s="43"/>
      <c r="Q302" s="25" t="e">
        <f>VLOOKUP(P302,Key!$E$2:$F$9,2,FALSE)</f>
        <v>#N/A</v>
      </c>
      <c r="R302" s="25" t="e">
        <f t="shared" si="5"/>
        <v>#N/A</v>
      </c>
      <c r="S302" s="58"/>
      <c r="T302" s="58"/>
      <c r="U302" s="43"/>
      <c r="V302" s="43"/>
      <c r="W302" s="58"/>
      <c r="X302" s="58"/>
      <c r="Y302" s="59" t="s">
        <v>156</v>
      </c>
      <c r="Z302" s="60"/>
      <c r="AA302" s="25"/>
      <c r="AB302" s="25"/>
    </row>
    <row r="303" spans="2:28">
      <c r="B303" s="40"/>
      <c r="C303" s="40"/>
      <c r="D303" s="41"/>
      <c r="E303" s="42"/>
      <c r="F303" s="42"/>
      <c r="G303" s="43" t="s">
        <v>154</v>
      </c>
      <c r="H303" s="42" t="s">
        <v>155</v>
      </c>
      <c r="I303" s="43"/>
      <c r="J303" s="43"/>
      <c r="K303" s="25" t="e">
        <f>VLOOKUP(J303,Key!$E$2:$F$9,2,FALSE)</f>
        <v>#N/A</v>
      </c>
      <c r="L303" s="42"/>
      <c r="M303" s="43" t="s">
        <v>154</v>
      </c>
      <c r="N303" s="42" t="s">
        <v>155</v>
      </c>
      <c r="O303" s="43"/>
      <c r="P303" s="43"/>
      <c r="Q303" s="25" t="e">
        <f>VLOOKUP(P303,Key!$E$2:$F$9,2,FALSE)</f>
        <v>#N/A</v>
      </c>
      <c r="R303" s="25" t="e">
        <f t="shared" si="5"/>
        <v>#N/A</v>
      </c>
      <c r="S303" s="58"/>
      <c r="T303" s="58"/>
      <c r="U303" s="43"/>
      <c r="V303" s="43"/>
      <c r="W303" s="58"/>
      <c r="X303" s="58"/>
      <c r="Y303" s="59" t="s">
        <v>156</v>
      </c>
      <c r="Z303" s="60"/>
      <c r="AA303" s="25"/>
      <c r="AB303" s="25"/>
    </row>
    <row r="304" spans="2:28">
      <c r="B304" s="40"/>
      <c r="C304" s="40"/>
      <c r="D304" s="41"/>
      <c r="E304" s="42"/>
      <c r="F304" s="42"/>
      <c r="G304" s="43" t="s">
        <v>154</v>
      </c>
      <c r="H304" s="42" t="s">
        <v>155</v>
      </c>
      <c r="I304" s="43"/>
      <c r="J304" s="43"/>
      <c r="K304" s="25" t="e">
        <f>VLOOKUP(J304,Key!$E$2:$F$9,2,FALSE)</f>
        <v>#N/A</v>
      </c>
      <c r="L304" s="42"/>
      <c r="M304" s="43" t="s">
        <v>154</v>
      </c>
      <c r="N304" s="42" t="s">
        <v>155</v>
      </c>
      <c r="O304" s="43"/>
      <c r="P304" s="43"/>
      <c r="Q304" s="25" t="e">
        <f>VLOOKUP(P304,Key!$E$2:$F$9,2,FALSE)</f>
        <v>#N/A</v>
      </c>
      <c r="R304" s="25" t="e">
        <f t="shared" si="5"/>
        <v>#N/A</v>
      </c>
      <c r="S304" s="58"/>
      <c r="T304" s="58"/>
      <c r="U304" s="43"/>
      <c r="V304" s="43"/>
      <c r="W304" s="58"/>
      <c r="X304" s="58"/>
      <c r="Y304" s="59" t="s">
        <v>156</v>
      </c>
      <c r="Z304" s="60"/>
      <c r="AA304" s="25"/>
      <c r="AB304" s="25"/>
    </row>
    <row r="305" spans="2:28">
      <c r="B305" s="40"/>
      <c r="C305" s="40"/>
      <c r="D305" s="41"/>
      <c r="E305" s="42"/>
      <c r="F305" s="42"/>
      <c r="G305" s="43" t="s">
        <v>154</v>
      </c>
      <c r="H305" s="42" t="s">
        <v>155</v>
      </c>
      <c r="I305" s="43"/>
      <c r="J305" s="43"/>
      <c r="K305" s="25" t="e">
        <f>VLOOKUP(J305,Key!$E$2:$F$9,2,FALSE)</f>
        <v>#N/A</v>
      </c>
      <c r="L305" s="42"/>
      <c r="M305" s="43" t="s">
        <v>154</v>
      </c>
      <c r="N305" s="42" t="s">
        <v>155</v>
      </c>
      <c r="O305" s="43"/>
      <c r="P305" s="43"/>
      <c r="Q305" s="25" t="e">
        <f>VLOOKUP(P305,Key!$E$2:$F$9,2,FALSE)</f>
        <v>#N/A</v>
      </c>
      <c r="R305" s="25" t="e">
        <f t="shared" si="5"/>
        <v>#N/A</v>
      </c>
      <c r="S305" s="58"/>
      <c r="T305" s="58"/>
      <c r="U305" s="43"/>
      <c r="V305" s="43"/>
      <c r="W305" s="58"/>
      <c r="X305" s="58"/>
      <c r="Y305" s="59" t="s">
        <v>156</v>
      </c>
      <c r="Z305" s="60"/>
      <c r="AA305" s="25"/>
      <c r="AB305" s="25"/>
    </row>
    <row r="306" spans="2:28">
      <c r="B306" s="40"/>
      <c r="C306" s="40"/>
      <c r="D306" s="41"/>
      <c r="E306" s="42"/>
      <c r="F306" s="42"/>
      <c r="G306" s="43" t="s">
        <v>154</v>
      </c>
      <c r="H306" s="42" t="s">
        <v>155</v>
      </c>
      <c r="I306" s="43"/>
      <c r="J306" s="43"/>
      <c r="K306" s="25" t="e">
        <f>VLOOKUP(J306,Key!$E$2:$F$9,2,FALSE)</f>
        <v>#N/A</v>
      </c>
      <c r="L306" s="42"/>
      <c r="M306" s="43" t="s">
        <v>154</v>
      </c>
      <c r="N306" s="42" t="s">
        <v>155</v>
      </c>
      <c r="O306" s="43"/>
      <c r="P306" s="43"/>
      <c r="Q306" s="25" t="e">
        <f>VLOOKUP(P306,Key!$E$2:$F$9,2,FALSE)</f>
        <v>#N/A</v>
      </c>
      <c r="R306" s="25" t="e">
        <f t="shared" si="5"/>
        <v>#N/A</v>
      </c>
      <c r="S306" s="58"/>
      <c r="T306" s="58"/>
      <c r="U306" s="43"/>
      <c r="V306" s="43"/>
      <c r="W306" s="58"/>
      <c r="X306" s="58"/>
      <c r="Y306" s="59" t="s">
        <v>156</v>
      </c>
      <c r="Z306" s="60"/>
      <c r="AA306" s="25"/>
      <c r="AB306" s="25"/>
    </row>
    <row r="307" spans="2:28">
      <c r="B307" s="40"/>
      <c r="C307" s="40"/>
      <c r="D307" s="41"/>
      <c r="E307" s="42"/>
      <c r="F307" s="42"/>
      <c r="G307" s="43" t="s">
        <v>154</v>
      </c>
      <c r="H307" s="42" t="s">
        <v>155</v>
      </c>
      <c r="I307" s="43"/>
      <c r="J307" s="43"/>
      <c r="K307" s="25" t="e">
        <f>VLOOKUP(J307,Key!$E$2:$F$9,2,FALSE)</f>
        <v>#N/A</v>
      </c>
      <c r="L307" s="42"/>
      <c r="M307" s="43" t="s">
        <v>154</v>
      </c>
      <c r="N307" s="42" t="s">
        <v>155</v>
      </c>
      <c r="O307" s="43"/>
      <c r="P307" s="43"/>
      <c r="Q307" s="25" t="e">
        <f>VLOOKUP(P307,Key!$E$2:$F$9,2,FALSE)</f>
        <v>#N/A</v>
      </c>
      <c r="R307" s="25" t="e">
        <f t="shared" si="5"/>
        <v>#N/A</v>
      </c>
      <c r="S307" s="58"/>
      <c r="T307" s="58"/>
      <c r="U307" s="43"/>
      <c r="V307" s="43"/>
      <c r="W307" s="58"/>
      <c r="X307" s="58"/>
      <c r="Y307" s="59" t="s">
        <v>156</v>
      </c>
      <c r="Z307" s="60"/>
      <c r="AA307" s="25"/>
      <c r="AB307" s="25"/>
    </row>
    <row r="308" spans="2:28">
      <c r="B308" s="40"/>
      <c r="C308" s="40"/>
      <c r="D308" s="41"/>
      <c r="E308" s="42"/>
      <c r="F308" s="42"/>
      <c r="G308" s="43" t="s">
        <v>154</v>
      </c>
      <c r="H308" s="42" t="s">
        <v>155</v>
      </c>
      <c r="I308" s="43"/>
      <c r="J308" s="43"/>
      <c r="K308" s="25" t="e">
        <f>VLOOKUP(J308,Key!$E$2:$F$9,2,FALSE)</f>
        <v>#N/A</v>
      </c>
      <c r="L308" s="42"/>
      <c r="M308" s="43" t="s">
        <v>154</v>
      </c>
      <c r="N308" s="42" t="s">
        <v>155</v>
      </c>
      <c r="O308" s="43"/>
      <c r="P308" s="43"/>
      <c r="Q308" s="25" t="e">
        <f>VLOOKUP(P308,Key!$E$2:$F$9,2,FALSE)</f>
        <v>#N/A</v>
      </c>
      <c r="R308" s="25" t="e">
        <f t="shared" si="5"/>
        <v>#N/A</v>
      </c>
      <c r="S308" s="58"/>
      <c r="T308" s="58"/>
      <c r="U308" s="43"/>
      <c r="V308" s="43"/>
      <c r="W308" s="58"/>
      <c r="X308" s="58"/>
      <c r="Y308" s="59" t="s">
        <v>156</v>
      </c>
      <c r="Z308" s="60"/>
      <c r="AA308" s="25"/>
      <c r="AB308" s="25"/>
    </row>
    <row r="309" spans="2:28">
      <c r="B309" s="40"/>
      <c r="C309" s="40"/>
      <c r="D309" s="41"/>
      <c r="E309" s="42"/>
      <c r="F309" s="42"/>
      <c r="G309" s="43" t="s">
        <v>154</v>
      </c>
      <c r="H309" s="42" t="s">
        <v>155</v>
      </c>
      <c r="I309" s="43"/>
      <c r="J309" s="43"/>
      <c r="K309" s="25" t="e">
        <f>VLOOKUP(J309,Key!$E$2:$F$9,2,FALSE)</f>
        <v>#N/A</v>
      </c>
      <c r="L309" s="42"/>
      <c r="M309" s="43" t="s">
        <v>154</v>
      </c>
      <c r="N309" s="42" t="s">
        <v>155</v>
      </c>
      <c r="O309" s="43"/>
      <c r="P309" s="43"/>
      <c r="Q309" s="25" t="e">
        <f>VLOOKUP(P309,Key!$E$2:$F$9,2,FALSE)</f>
        <v>#N/A</v>
      </c>
      <c r="R309" s="25" t="e">
        <f t="shared" si="5"/>
        <v>#N/A</v>
      </c>
      <c r="S309" s="58"/>
      <c r="T309" s="58"/>
      <c r="U309" s="43"/>
      <c r="V309" s="43"/>
      <c r="W309" s="58"/>
      <c r="X309" s="58"/>
      <c r="Y309" s="59" t="s">
        <v>156</v>
      </c>
      <c r="Z309" s="60"/>
      <c r="AA309" s="25"/>
      <c r="AB309" s="25"/>
    </row>
    <row r="310" spans="2:28">
      <c r="B310" s="40"/>
      <c r="C310" s="40"/>
      <c r="D310" s="41"/>
      <c r="E310" s="42"/>
      <c r="F310" s="42"/>
      <c r="G310" s="43" t="s">
        <v>154</v>
      </c>
      <c r="H310" s="42" t="s">
        <v>155</v>
      </c>
      <c r="I310" s="43"/>
      <c r="J310" s="43"/>
      <c r="K310" s="25" t="e">
        <f>VLOOKUP(J310,Key!$E$2:$F$9,2,FALSE)</f>
        <v>#N/A</v>
      </c>
      <c r="L310" s="42"/>
      <c r="M310" s="43" t="s">
        <v>154</v>
      </c>
      <c r="N310" s="42" t="s">
        <v>155</v>
      </c>
      <c r="O310" s="43"/>
      <c r="P310" s="43"/>
      <c r="Q310" s="25" t="e">
        <f>VLOOKUP(P310,Key!$E$2:$F$9,2,FALSE)</f>
        <v>#N/A</v>
      </c>
      <c r="R310" s="25" t="e">
        <f t="shared" si="5"/>
        <v>#N/A</v>
      </c>
      <c r="S310" s="58"/>
      <c r="T310" s="58"/>
      <c r="U310" s="43"/>
      <c r="V310" s="43"/>
      <c r="W310" s="58"/>
      <c r="X310" s="58"/>
      <c r="Y310" s="59" t="s">
        <v>156</v>
      </c>
      <c r="Z310" s="60"/>
      <c r="AA310" s="25"/>
      <c r="AB310" s="25"/>
    </row>
    <row r="311" spans="2:28">
      <c r="B311" s="40"/>
      <c r="C311" s="40"/>
      <c r="D311" s="41"/>
      <c r="E311" s="42"/>
      <c r="F311" s="42"/>
      <c r="G311" s="43" t="s">
        <v>154</v>
      </c>
      <c r="H311" s="42" t="s">
        <v>155</v>
      </c>
      <c r="I311" s="43"/>
      <c r="J311" s="43"/>
      <c r="K311" s="25" t="e">
        <f>VLOOKUP(J311,Key!$E$2:$F$9,2,FALSE)</f>
        <v>#N/A</v>
      </c>
      <c r="L311" s="42"/>
      <c r="M311" s="43" t="s">
        <v>154</v>
      </c>
      <c r="N311" s="42" t="s">
        <v>155</v>
      </c>
      <c r="O311" s="43"/>
      <c r="P311" s="43"/>
      <c r="Q311" s="25" t="e">
        <f>VLOOKUP(P311,Key!$E$2:$F$9,2,FALSE)</f>
        <v>#N/A</v>
      </c>
      <c r="R311" s="25" t="e">
        <f t="shared" si="5"/>
        <v>#N/A</v>
      </c>
      <c r="S311" s="58"/>
      <c r="T311" s="58"/>
      <c r="U311" s="43"/>
      <c r="V311" s="43"/>
      <c r="W311" s="58"/>
      <c r="X311" s="58"/>
      <c r="Y311" s="59" t="s">
        <v>156</v>
      </c>
      <c r="Z311" s="60"/>
      <c r="AA311" s="25"/>
      <c r="AB311" s="25"/>
    </row>
    <row r="312" spans="2:28">
      <c r="B312" s="40"/>
      <c r="C312" s="40"/>
      <c r="D312" s="41"/>
      <c r="E312" s="42"/>
      <c r="F312" s="42"/>
      <c r="G312" s="43" t="s">
        <v>154</v>
      </c>
      <c r="H312" s="42" t="s">
        <v>155</v>
      </c>
      <c r="I312" s="43"/>
      <c r="J312" s="43"/>
      <c r="K312" s="25" t="e">
        <f>VLOOKUP(J312,Key!$E$2:$F$9,2,FALSE)</f>
        <v>#N/A</v>
      </c>
      <c r="L312" s="42"/>
      <c r="M312" s="43" t="s">
        <v>154</v>
      </c>
      <c r="N312" s="42" t="s">
        <v>155</v>
      </c>
      <c r="O312" s="43"/>
      <c r="P312" s="43"/>
      <c r="Q312" s="25" t="e">
        <f>VLOOKUP(P312,Key!$E$2:$F$9,2,FALSE)</f>
        <v>#N/A</v>
      </c>
      <c r="R312" s="25" t="e">
        <f t="shared" si="5"/>
        <v>#N/A</v>
      </c>
      <c r="S312" s="58"/>
      <c r="T312" s="58"/>
      <c r="U312" s="43"/>
      <c r="V312" s="43"/>
      <c r="W312" s="58"/>
      <c r="X312" s="58"/>
      <c r="Y312" s="59" t="s">
        <v>156</v>
      </c>
      <c r="Z312" s="60"/>
      <c r="AA312" s="25"/>
      <c r="AB312" s="25"/>
    </row>
    <row r="313" spans="2:28">
      <c r="B313" s="40"/>
      <c r="C313" s="40"/>
      <c r="D313" s="41"/>
      <c r="E313" s="42"/>
      <c r="F313" s="42"/>
      <c r="G313" s="43" t="s">
        <v>154</v>
      </c>
      <c r="H313" s="42" t="s">
        <v>155</v>
      </c>
      <c r="I313" s="43"/>
      <c r="J313" s="43"/>
      <c r="K313" s="25" t="e">
        <f>VLOOKUP(J313,Key!$E$2:$F$9,2,FALSE)</f>
        <v>#N/A</v>
      </c>
      <c r="L313" s="42"/>
      <c r="M313" s="43" t="s">
        <v>154</v>
      </c>
      <c r="N313" s="42" t="s">
        <v>155</v>
      </c>
      <c r="O313" s="43"/>
      <c r="P313" s="43"/>
      <c r="Q313" s="25" t="e">
        <f>VLOOKUP(P313,Key!$E$2:$F$9,2,FALSE)</f>
        <v>#N/A</v>
      </c>
      <c r="R313" s="25" t="e">
        <f t="shared" si="5"/>
        <v>#N/A</v>
      </c>
      <c r="S313" s="58"/>
      <c r="T313" s="58"/>
      <c r="U313" s="43"/>
      <c r="V313" s="43"/>
      <c r="W313" s="58"/>
      <c r="X313" s="58"/>
      <c r="Y313" s="59" t="s">
        <v>156</v>
      </c>
      <c r="Z313" s="60"/>
      <c r="AA313" s="25"/>
      <c r="AB313" s="25"/>
    </row>
    <row r="314" spans="2:28">
      <c r="B314" s="40"/>
      <c r="C314" s="40"/>
      <c r="D314" s="41"/>
      <c r="E314" s="42"/>
      <c r="F314" s="42"/>
      <c r="G314" s="43" t="s">
        <v>154</v>
      </c>
      <c r="H314" s="42" t="s">
        <v>155</v>
      </c>
      <c r="I314" s="43"/>
      <c r="J314" s="43"/>
      <c r="K314" s="25" t="e">
        <f>VLOOKUP(J314,Key!$E$2:$F$9,2,FALSE)</f>
        <v>#N/A</v>
      </c>
      <c r="L314" s="42"/>
      <c r="M314" s="43" t="s">
        <v>154</v>
      </c>
      <c r="N314" s="42" t="s">
        <v>155</v>
      </c>
      <c r="O314" s="43"/>
      <c r="P314" s="43"/>
      <c r="Q314" s="25" t="e">
        <f>VLOOKUP(P314,Key!$E$2:$F$9,2,FALSE)</f>
        <v>#N/A</v>
      </c>
      <c r="R314" s="25" t="e">
        <f t="shared" si="5"/>
        <v>#N/A</v>
      </c>
      <c r="S314" s="58"/>
      <c r="T314" s="58"/>
      <c r="U314" s="43"/>
      <c r="V314" s="43"/>
      <c r="W314" s="58"/>
      <c r="X314" s="58"/>
      <c r="Y314" s="59" t="s">
        <v>156</v>
      </c>
      <c r="Z314" s="60"/>
      <c r="AA314" s="25"/>
      <c r="AB314" s="25"/>
    </row>
    <row r="315" spans="2:28">
      <c r="B315" s="40"/>
      <c r="C315" s="40"/>
      <c r="D315" s="41"/>
      <c r="E315" s="42"/>
      <c r="F315" s="42"/>
      <c r="G315" s="43" t="s">
        <v>154</v>
      </c>
      <c r="H315" s="42" t="s">
        <v>155</v>
      </c>
      <c r="I315" s="43"/>
      <c r="J315" s="43"/>
      <c r="K315" s="25" t="e">
        <f>VLOOKUP(J315,Key!$E$2:$F$9,2,FALSE)</f>
        <v>#N/A</v>
      </c>
      <c r="L315" s="42"/>
      <c r="M315" s="43" t="s">
        <v>154</v>
      </c>
      <c r="N315" s="42" t="s">
        <v>155</v>
      </c>
      <c r="O315" s="43"/>
      <c r="P315" s="43"/>
      <c r="Q315" s="25" t="e">
        <f>VLOOKUP(P315,Key!$E$2:$F$9,2,FALSE)</f>
        <v>#N/A</v>
      </c>
      <c r="R315" s="25" t="e">
        <f t="shared" si="5"/>
        <v>#N/A</v>
      </c>
      <c r="S315" s="58"/>
      <c r="T315" s="58"/>
      <c r="U315" s="43"/>
      <c r="V315" s="43"/>
      <c r="W315" s="58"/>
      <c r="X315" s="58"/>
      <c r="Y315" s="59" t="s">
        <v>156</v>
      </c>
      <c r="Z315" s="60"/>
      <c r="AA315" s="25"/>
      <c r="AB315" s="25"/>
    </row>
    <row r="316" spans="2:28">
      <c r="B316" s="40"/>
      <c r="C316" s="40"/>
      <c r="D316" s="41"/>
      <c r="E316" s="42"/>
      <c r="F316" s="42"/>
      <c r="G316" s="43" t="s">
        <v>154</v>
      </c>
      <c r="H316" s="42" t="s">
        <v>155</v>
      </c>
      <c r="I316" s="43"/>
      <c r="J316" s="43"/>
      <c r="K316" s="25" t="e">
        <f>VLOOKUP(J316,Key!$E$2:$F$9,2,FALSE)</f>
        <v>#N/A</v>
      </c>
      <c r="L316" s="42"/>
      <c r="M316" s="43" t="s">
        <v>154</v>
      </c>
      <c r="N316" s="42" t="s">
        <v>155</v>
      </c>
      <c r="O316" s="43"/>
      <c r="P316" s="43"/>
      <c r="Q316" s="25" t="e">
        <f>VLOOKUP(P316,Key!$E$2:$F$9,2,FALSE)</f>
        <v>#N/A</v>
      </c>
      <c r="R316" s="25" t="e">
        <f t="shared" si="5"/>
        <v>#N/A</v>
      </c>
      <c r="S316" s="58"/>
      <c r="T316" s="58"/>
      <c r="U316" s="43"/>
      <c r="V316" s="43"/>
      <c r="W316" s="58"/>
      <c r="X316" s="58"/>
      <c r="Y316" s="59" t="s">
        <v>156</v>
      </c>
      <c r="Z316" s="60"/>
      <c r="AA316" s="25"/>
      <c r="AB316" s="25"/>
    </row>
    <row r="317" spans="2:28">
      <c r="B317" s="40"/>
      <c r="C317" s="40"/>
      <c r="D317" s="41"/>
      <c r="E317" s="42"/>
      <c r="F317" s="42"/>
      <c r="G317" s="43" t="s">
        <v>154</v>
      </c>
      <c r="H317" s="42" t="s">
        <v>155</v>
      </c>
      <c r="I317" s="43"/>
      <c r="J317" s="43"/>
      <c r="K317" s="25" t="e">
        <f>VLOOKUP(J317,Key!$E$2:$F$9,2,FALSE)</f>
        <v>#N/A</v>
      </c>
      <c r="L317" s="42"/>
      <c r="M317" s="43" t="s">
        <v>154</v>
      </c>
      <c r="N317" s="42" t="s">
        <v>155</v>
      </c>
      <c r="O317" s="43"/>
      <c r="P317" s="43"/>
      <c r="Q317" s="25" t="e">
        <f>VLOOKUP(P317,Key!$E$2:$F$9,2,FALSE)</f>
        <v>#N/A</v>
      </c>
      <c r="R317" s="25" t="e">
        <f t="shared" si="5"/>
        <v>#N/A</v>
      </c>
      <c r="S317" s="58"/>
      <c r="T317" s="58"/>
      <c r="U317" s="43"/>
      <c r="V317" s="43"/>
      <c r="W317" s="58"/>
      <c r="X317" s="58"/>
      <c r="Y317" s="59" t="s">
        <v>156</v>
      </c>
      <c r="Z317" s="60"/>
      <c r="AA317" s="25"/>
      <c r="AB317" s="25"/>
    </row>
    <row r="318" spans="2:28">
      <c r="B318" s="40"/>
      <c r="C318" s="40"/>
      <c r="D318" s="41"/>
      <c r="E318" s="42"/>
      <c r="F318" s="42"/>
      <c r="G318" s="43" t="s">
        <v>154</v>
      </c>
      <c r="H318" s="42" t="s">
        <v>155</v>
      </c>
      <c r="I318" s="43"/>
      <c r="J318" s="43"/>
      <c r="K318" s="25" t="e">
        <f>VLOOKUP(J318,Key!$E$2:$F$9,2,FALSE)</f>
        <v>#N/A</v>
      </c>
      <c r="L318" s="42"/>
      <c r="M318" s="43" t="s">
        <v>154</v>
      </c>
      <c r="N318" s="42" t="s">
        <v>155</v>
      </c>
      <c r="O318" s="43"/>
      <c r="P318" s="43"/>
      <c r="Q318" s="25" t="e">
        <f>VLOOKUP(P318,Key!$E$2:$F$9,2,FALSE)</f>
        <v>#N/A</v>
      </c>
      <c r="R318" s="25" t="e">
        <f t="shared" si="5"/>
        <v>#N/A</v>
      </c>
      <c r="S318" s="58"/>
      <c r="T318" s="58"/>
      <c r="U318" s="43"/>
      <c r="V318" s="43"/>
      <c r="W318" s="58"/>
      <c r="X318" s="58"/>
      <c r="Y318" s="59" t="s">
        <v>156</v>
      </c>
      <c r="Z318" s="60"/>
      <c r="AA318" s="25"/>
      <c r="AB318" s="25"/>
    </row>
    <row r="319" spans="2:28">
      <c r="B319" s="40"/>
      <c r="C319" s="40"/>
      <c r="D319" s="41"/>
      <c r="E319" s="42"/>
      <c r="F319" s="42"/>
      <c r="G319" s="43" t="s">
        <v>154</v>
      </c>
      <c r="H319" s="42" t="s">
        <v>155</v>
      </c>
      <c r="I319" s="43"/>
      <c r="J319" s="43"/>
      <c r="K319" s="25" t="e">
        <f>VLOOKUP(J319,Key!$E$2:$F$9,2,FALSE)</f>
        <v>#N/A</v>
      </c>
      <c r="L319" s="42"/>
      <c r="M319" s="43" t="s">
        <v>154</v>
      </c>
      <c r="N319" s="42" t="s">
        <v>155</v>
      </c>
      <c r="O319" s="43"/>
      <c r="P319" s="43"/>
      <c r="Q319" s="25" t="e">
        <f>VLOOKUP(P319,Key!$E$2:$F$9,2,FALSE)</f>
        <v>#N/A</v>
      </c>
      <c r="R319" s="25" t="e">
        <f t="shared" si="5"/>
        <v>#N/A</v>
      </c>
      <c r="S319" s="58"/>
      <c r="T319" s="58"/>
      <c r="U319" s="43"/>
      <c r="V319" s="43"/>
      <c r="W319" s="58"/>
      <c r="X319" s="58"/>
      <c r="Y319" s="59" t="s">
        <v>156</v>
      </c>
      <c r="Z319" s="60"/>
      <c r="AA319" s="25"/>
      <c r="AB319" s="25"/>
    </row>
    <row r="320" spans="2:28">
      <c r="B320" s="40"/>
      <c r="C320" s="40"/>
      <c r="D320" s="41"/>
      <c r="E320" s="42"/>
      <c r="F320" s="42"/>
      <c r="G320" s="43" t="s">
        <v>154</v>
      </c>
      <c r="H320" s="42" t="s">
        <v>155</v>
      </c>
      <c r="I320" s="43"/>
      <c r="J320" s="43"/>
      <c r="K320" s="25" t="e">
        <f>VLOOKUP(J320,Key!$E$2:$F$9,2,FALSE)</f>
        <v>#N/A</v>
      </c>
      <c r="L320" s="42"/>
      <c r="M320" s="43" t="s">
        <v>154</v>
      </c>
      <c r="N320" s="42" t="s">
        <v>155</v>
      </c>
      <c r="O320" s="43"/>
      <c r="P320" s="43"/>
      <c r="Q320" s="25" t="e">
        <f>VLOOKUP(P320,Key!$E$2:$F$9,2,FALSE)</f>
        <v>#N/A</v>
      </c>
      <c r="R320" s="25" t="e">
        <f t="shared" si="5"/>
        <v>#N/A</v>
      </c>
      <c r="S320" s="58"/>
      <c r="T320" s="58"/>
      <c r="U320" s="43"/>
      <c r="V320" s="43"/>
      <c r="W320" s="58"/>
      <c r="X320" s="58"/>
      <c r="Y320" s="59" t="s">
        <v>156</v>
      </c>
      <c r="Z320" s="60"/>
      <c r="AA320" s="25"/>
      <c r="AB320" s="25"/>
    </row>
    <row r="321" spans="2:28">
      <c r="B321" s="40"/>
      <c r="C321" s="40"/>
      <c r="D321" s="41"/>
      <c r="E321" s="42"/>
      <c r="F321" s="42"/>
      <c r="G321" s="43" t="s">
        <v>154</v>
      </c>
      <c r="H321" s="42" t="s">
        <v>155</v>
      </c>
      <c r="I321" s="43"/>
      <c r="J321" s="43"/>
      <c r="K321" s="25" t="e">
        <f>VLOOKUP(J321,Key!$E$2:$F$9,2,FALSE)</f>
        <v>#N/A</v>
      </c>
      <c r="L321" s="42"/>
      <c r="M321" s="43" t="s">
        <v>154</v>
      </c>
      <c r="N321" s="42" t="s">
        <v>155</v>
      </c>
      <c r="O321" s="43"/>
      <c r="P321" s="43"/>
      <c r="Q321" s="25" t="e">
        <f>VLOOKUP(P321,Key!$E$2:$F$9,2,FALSE)</f>
        <v>#N/A</v>
      </c>
      <c r="R321" s="25" t="e">
        <f t="shared" si="5"/>
        <v>#N/A</v>
      </c>
      <c r="S321" s="58"/>
      <c r="T321" s="58"/>
      <c r="U321" s="43"/>
      <c r="V321" s="43"/>
      <c r="W321" s="58"/>
      <c r="X321" s="58"/>
      <c r="Y321" s="59" t="s">
        <v>156</v>
      </c>
      <c r="Z321" s="60"/>
      <c r="AA321" s="25"/>
      <c r="AB321" s="25"/>
    </row>
    <row r="322" spans="2:28">
      <c r="B322" s="40"/>
      <c r="C322" s="40"/>
      <c r="D322" s="41"/>
      <c r="E322" s="42"/>
      <c r="F322" s="42"/>
      <c r="G322" s="43" t="s">
        <v>154</v>
      </c>
      <c r="H322" s="42" t="s">
        <v>155</v>
      </c>
      <c r="I322" s="43"/>
      <c r="J322" s="43"/>
      <c r="K322" s="25" t="e">
        <f>VLOOKUP(J322,Key!$E$2:$F$9,2,FALSE)</f>
        <v>#N/A</v>
      </c>
      <c r="L322" s="42"/>
      <c r="M322" s="43" t="s">
        <v>154</v>
      </c>
      <c r="N322" s="42" t="s">
        <v>155</v>
      </c>
      <c r="O322" s="43"/>
      <c r="P322" s="43"/>
      <c r="Q322" s="25" t="e">
        <f>VLOOKUP(P322,Key!$E$2:$F$9,2,FALSE)</f>
        <v>#N/A</v>
      </c>
      <c r="R322" s="25" t="e">
        <f t="shared" si="5"/>
        <v>#N/A</v>
      </c>
      <c r="S322" s="58"/>
      <c r="T322" s="58"/>
      <c r="U322" s="43"/>
      <c r="V322" s="43"/>
      <c r="W322" s="58"/>
      <c r="X322" s="58"/>
      <c r="Y322" s="59" t="s">
        <v>156</v>
      </c>
      <c r="Z322" s="60"/>
      <c r="AA322" s="25"/>
      <c r="AB322" s="25"/>
    </row>
    <row r="323" spans="2:28">
      <c r="B323" s="40"/>
      <c r="C323" s="40"/>
      <c r="D323" s="41"/>
      <c r="E323" s="42"/>
      <c r="F323" s="42"/>
      <c r="G323" s="43" t="s">
        <v>154</v>
      </c>
      <c r="H323" s="42" t="s">
        <v>155</v>
      </c>
      <c r="I323" s="43"/>
      <c r="J323" s="43"/>
      <c r="K323" s="25" t="e">
        <f>VLOOKUP(J323,Key!$E$2:$F$9,2,FALSE)</f>
        <v>#N/A</v>
      </c>
      <c r="L323" s="42"/>
      <c r="M323" s="43" t="s">
        <v>154</v>
      </c>
      <c r="N323" s="42" t="s">
        <v>155</v>
      </c>
      <c r="O323" s="43"/>
      <c r="P323" s="43"/>
      <c r="Q323" s="25" t="e">
        <f>VLOOKUP(P323,Key!$E$2:$F$9,2,FALSE)</f>
        <v>#N/A</v>
      </c>
      <c r="R323" s="25" t="e">
        <f t="shared" si="5"/>
        <v>#N/A</v>
      </c>
      <c r="S323" s="58"/>
      <c r="T323" s="58"/>
      <c r="U323" s="43"/>
      <c r="V323" s="43"/>
      <c r="W323" s="58"/>
      <c r="X323" s="58"/>
      <c r="Y323" s="59" t="s">
        <v>156</v>
      </c>
      <c r="Z323" s="60"/>
      <c r="AA323" s="25"/>
      <c r="AB323" s="25"/>
    </row>
    <row r="324" spans="2:28">
      <c r="B324" s="40"/>
      <c r="C324" s="40"/>
      <c r="D324" s="41"/>
      <c r="E324" s="42"/>
      <c r="F324" s="42"/>
      <c r="G324" s="43" t="s">
        <v>154</v>
      </c>
      <c r="H324" s="42" t="s">
        <v>155</v>
      </c>
      <c r="I324" s="43"/>
      <c r="J324" s="43"/>
      <c r="K324" s="25" t="e">
        <f>VLOOKUP(J324,Key!$E$2:$F$9,2,FALSE)</f>
        <v>#N/A</v>
      </c>
      <c r="L324" s="42"/>
      <c r="M324" s="43" t="s">
        <v>154</v>
      </c>
      <c r="N324" s="42" t="s">
        <v>155</v>
      </c>
      <c r="O324" s="43"/>
      <c r="P324" s="43"/>
      <c r="Q324" s="25" t="e">
        <f>VLOOKUP(P324,Key!$E$2:$F$9,2,FALSE)</f>
        <v>#N/A</v>
      </c>
      <c r="R324" s="25" t="e">
        <f t="shared" si="5"/>
        <v>#N/A</v>
      </c>
      <c r="S324" s="58"/>
      <c r="T324" s="58"/>
      <c r="U324" s="43"/>
      <c r="V324" s="43"/>
      <c r="W324" s="58"/>
      <c r="X324" s="58"/>
      <c r="Y324" s="59" t="s">
        <v>156</v>
      </c>
      <c r="Z324" s="60"/>
      <c r="AA324" s="25"/>
      <c r="AB324" s="25"/>
    </row>
    <row r="325" spans="2:28">
      <c r="B325" s="40"/>
      <c r="C325" s="40"/>
      <c r="D325" s="41"/>
      <c r="E325" s="42"/>
      <c r="F325" s="42"/>
      <c r="G325" s="43" t="s">
        <v>154</v>
      </c>
      <c r="H325" s="42" t="s">
        <v>155</v>
      </c>
      <c r="I325" s="43"/>
      <c r="J325" s="43"/>
      <c r="K325" s="25" t="e">
        <f>VLOOKUP(J325,Key!$E$2:$F$9,2,FALSE)</f>
        <v>#N/A</v>
      </c>
      <c r="L325" s="42"/>
      <c r="M325" s="43" t="s">
        <v>154</v>
      </c>
      <c r="N325" s="42" t="s">
        <v>155</v>
      </c>
      <c r="O325" s="43"/>
      <c r="P325" s="43"/>
      <c r="Q325" s="25" t="e">
        <f>VLOOKUP(P325,Key!$E$2:$F$9,2,FALSE)</f>
        <v>#N/A</v>
      </c>
      <c r="R325" s="25" t="e">
        <f t="shared" si="5"/>
        <v>#N/A</v>
      </c>
      <c r="S325" s="58"/>
      <c r="T325" s="58"/>
      <c r="U325" s="43"/>
      <c r="V325" s="43"/>
      <c r="W325" s="58"/>
      <c r="X325" s="58"/>
      <c r="Y325" s="59" t="s">
        <v>156</v>
      </c>
      <c r="Z325" s="60"/>
      <c r="AA325" s="25"/>
      <c r="AB325" s="25"/>
    </row>
    <row r="326" spans="2:28">
      <c r="B326" s="40"/>
      <c r="C326" s="40"/>
      <c r="D326" s="41"/>
      <c r="E326" s="42"/>
      <c r="F326" s="42"/>
      <c r="G326" s="43" t="s">
        <v>154</v>
      </c>
      <c r="H326" s="42" t="s">
        <v>155</v>
      </c>
      <c r="I326" s="43"/>
      <c r="J326" s="43"/>
      <c r="K326" s="25" t="e">
        <f>VLOOKUP(J326,Key!$E$2:$F$9,2,FALSE)</f>
        <v>#N/A</v>
      </c>
      <c r="L326" s="42"/>
      <c r="M326" s="43" t="s">
        <v>154</v>
      </c>
      <c r="N326" s="42" t="s">
        <v>155</v>
      </c>
      <c r="O326" s="43"/>
      <c r="P326" s="43"/>
      <c r="Q326" s="25" t="e">
        <f>VLOOKUP(P326,Key!$E$2:$F$9,2,FALSE)</f>
        <v>#N/A</v>
      </c>
      <c r="R326" s="25" t="e">
        <f t="shared" si="5"/>
        <v>#N/A</v>
      </c>
      <c r="S326" s="58"/>
      <c r="T326" s="58"/>
      <c r="U326" s="43"/>
      <c r="V326" s="43"/>
      <c r="W326" s="58"/>
      <c r="X326" s="58"/>
      <c r="Y326" s="59" t="s">
        <v>156</v>
      </c>
      <c r="Z326" s="60"/>
      <c r="AA326" s="25"/>
      <c r="AB326" s="25"/>
    </row>
    <row r="327" spans="2:28">
      <c r="B327" s="40"/>
      <c r="C327" s="40"/>
      <c r="D327" s="41"/>
      <c r="E327" s="42"/>
      <c r="F327" s="42"/>
      <c r="G327" s="43" t="s">
        <v>154</v>
      </c>
      <c r="H327" s="42" t="s">
        <v>155</v>
      </c>
      <c r="I327" s="43"/>
      <c r="J327" s="43"/>
      <c r="K327" s="25" t="e">
        <f>VLOOKUP(J327,Key!$E$2:$F$9,2,FALSE)</f>
        <v>#N/A</v>
      </c>
      <c r="L327" s="42"/>
      <c r="M327" s="43" t="s">
        <v>154</v>
      </c>
      <c r="N327" s="42" t="s">
        <v>155</v>
      </c>
      <c r="O327" s="43"/>
      <c r="P327" s="43"/>
      <c r="Q327" s="25" t="e">
        <f>VLOOKUP(P327,Key!$E$2:$F$9,2,FALSE)</f>
        <v>#N/A</v>
      </c>
      <c r="R327" s="25" t="e">
        <f t="shared" si="5"/>
        <v>#N/A</v>
      </c>
      <c r="S327" s="58"/>
      <c r="T327" s="58"/>
      <c r="U327" s="43"/>
      <c r="V327" s="43"/>
      <c r="W327" s="58"/>
      <c r="X327" s="58"/>
      <c r="Y327" s="59" t="s">
        <v>156</v>
      </c>
      <c r="Z327" s="60"/>
      <c r="AA327" s="25"/>
      <c r="AB327" s="25"/>
    </row>
    <row r="328" spans="2:28">
      <c r="B328" s="40"/>
      <c r="C328" s="40"/>
      <c r="D328" s="41"/>
      <c r="E328" s="42"/>
      <c r="F328" s="42"/>
      <c r="G328" s="43" t="s">
        <v>154</v>
      </c>
      <c r="H328" s="42" t="s">
        <v>155</v>
      </c>
      <c r="I328" s="43"/>
      <c r="J328" s="43"/>
      <c r="K328" s="25" t="e">
        <f>VLOOKUP(J328,Key!$E$2:$F$9,2,FALSE)</f>
        <v>#N/A</v>
      </c>
      <c r="L328" s="42"/>
      <c r="M328" s="43" t="s">
        <v>154</v>
      </c>
      <c r="N328" s="42" t="s">
        <v>155</v>
      </c>
      <c r="O328" s="43"/>
      <c r="P328" s="43"/>
      <c r="Q328" s="25" t="e">
        <f>VLOOKUP(P328,Key!$E$2:$F$9,2,FALSE)</f>
        <v>#N/A</v>
      </c>
      <c r="R328" s="25" t="e">
        <f t="shared" si="5"/>
        <v>#N/A</v>
      </c>
      <c r="S328" s="58"/>
      <c r="T328" s="58"/>
      <c r="U328" s="43"/>
      <c r="V328" s="43"/>
      <c r="W328" s="58"/>
      <c r="X328" s="58"/>
      <c r="Y328" s="59" t="s">
        <v>156</v>
      </c>
      <c r="Z328" s="60"/>
      <c r="AA328" s="25"/>
      <c r="AB328" s="25"/>
    </row>
    <row r="329" spans="2:28">
      <c r="B329" s="40"/>
      <c r="C329" s="40"/>
      <c r="D329" s="41"/>
      <c r="E329" s="42"/>
      <c r="F329" s="42"/>
      <c r="G329" s="43" t="s">
        <v>154</v>
      </c>
      <c r="H329" s="42" t="s">
        <v>155</v>
      </c>
      <c r="I329" s="43"/>
      <c r="J329" s="43"/>
      <c r="K329" s="25" t="e">
        <f>VLOOKUP(J329,Key!$E$2:$F$9,2,FALSE)</f>
        <v>#N/A</v>
      </c>
      <c r="L329" s="42"/>
      <c r="M329" s="43" t="s">
        <v>154</v>
      </c>
      <c r="N329" s="42" t="s">
        <v>155</v>
      </c>
      <c r="O329" s="43"/>
      <c r="P329" s="43"/>
      <c r="Q329" s="25" t="e">
        <f>VLOOKUP(P329,Key!$E$2:$F$9,2,FALSE)</f>
        <v>#N/A</v>
      </c>
      <c r="R329" s="25" t="e">
        <f t="shared" si="5"/>
        <v>#N/A</v>
      </c>
      <c r="S329" s="58"/>
      <c r="T329" s="58"/>
      <c r="U329" s="43"/>
      <c r="V329" s="43"/>
      <c r="W329" s="58"/>
      <c r="X329" s="58"/>
      <c r="Y329" s="59" t="s">
        <v>156</v>
      </c>
      <c r="Z329" s="60"/>
      <c r="AA329" s="25"/>
      <c r="AB329" s="25"/>
    </row>
    <row r="330" spans="2:28">
      <c r="B330" s="40"/>
      <c r="C330" s="40"/>
      <c r="D330" s="41"/>
      <c r="E330" s="42"/>
      <c r="F330" s="42"/>
      <c r="G330" s="43" t="s">
        <v>154</v>
      </c>
      <c r="H330" s="42" t="s">
        <v>155</v>
      </c>
      <c r="I330" s="43"/>
      <c r="J330" s="43"/>
      <c r="K330" s="25" t="e">
        <f>VLOOKUP(J330,Key!$E$2:$F$9,2,FALSE)</f>
        <v>#N/A</v>
      </c>
      <c r="L330" s="42"/>
      <c r="M330" s="43" t="s">
        <v>154</v>
      </c>
      <c r="N330" s="42" t="s">
        <v>155</v>
      </c>
      <c r="O330" s="43"/>
      <c r="P330" s="43"/>
      <c r="Q330" s="25" t="e">
        <f>VLOOKUP(P330,Key!$E$2:$F$9,2,FALSE)</f>
        <v>#N/A</v>
      </c>
      <c r="R330" s="25" t="e">
        <f t="shared" si="5"/>
        <v>#N/A</v>
      </c>
      <c r="S330" s="58"/>
      <c r="T330" s="58"/>
      <c r="U330" s="43"/>
      <c r="V330" s="43"/>
      <c r="W330" s="58"/>
      <c r="X330" s="58"/>
      <c r="Y330" s="59" t="s">
        <v>156</v>
      </c>
      <c r="Z330" s="60"/>
      <c r="AA330" s="25"/>
      <c r="AB330" s="25"/>
    </row>
    <row r="331" spans="2:28">
      <c r="B331" s="40"/>
      <c r="C331" s="40"/>
      <c r="D331" s="41"/>
      <c r="E331" s="42"/>
      <c r="F331" s="42"/>
      <c r="G331" s="43" t="s">
        <v>154</v>
      </c>
      <c r="H331" s="42" t="s">
        <v>155</v>
      </c>
      <c r="I331" s="43"/>
      <c r="J331" s="43"/>
      <c r="K331" s="25" t="e">
        <f>VLOOKUP(J331,Key!$E$2:$F$9,2,FALSE)</f>
        <v>#N/A</v>
      </c>
      <c r="L331" s="42"/>
      <c r="M331" s="43" t="s">
        <v>154</v>
      </c>
      <c r="N331" s="42" t="s">
        <v>155</v>
      </c>
      <c r="O331" s="43"/>
      <c r="P331" s="43"/>
      <c r="Q331" s="25" t="e">
        <f>VLOOKUP(P331,Key!$E$2:$F$9,2,FALSE)</f>
        <v>#N/A</v>
      </c>
      <c r="R331" s="25" t="e">
        <f t="shared" si="5"/>
        <v>#N/A</v>
      </c>
      <c r="S331" s="58"/>
      <c r="T331" s="58"/>
      <c r="U331" s="43"/>
      <c r="V331" s="43"/>
      <c r="W331" s="58"/>
      <c r="X331" s="58"/>
      <c r="Y331" s="59" t="s">
        <v>156</v>
      </c>
      <c r="Z331" s="60"/>
      <c r="AA331" s="25"/>
      <c r="AB331" s="25"/>
    </row>
    <row r="332" spans="2:28">
      <c r="B332" s="40"/>
      <c r="C332" s="40"/>
      <c r="D332" s="41"/>
      <c r="E332" s="42"/>
      <c r="F332" s="42"/>
      <c r="G332" s="43" t="s">
        <v>154</v>
      </c>
      <c r="H332" s="42" t="s">
        <v>155</v>
      </c>
      <c r="I332" s="43"/>
      <c r="J332" s="43"/>
      <c r="K332" s="25" t="e">
        <f>VLOOKUP(J332,Key!$E$2:$F$9,2,FALSE)</f>
        <v>#N/A</v>
      </c>
      <c r="L332" s="42"/>
      <c r="M332" s="43" t="s">
        <v>154</v>
      </c>
      <c r="N332" s="42" t="s">
        <v>155</v>
      </c>
      <c r="O332" s="43"/>
      <c r="P332" s="43"/>
      <c r="Q332" s="25" t="e">
        <f>VLOOKUP(P332,Key!$E$2:$F$9,2,FALSE)</f>
        <v>#N/A</v>
      </c>
      <c r="R332" s="25" t="e">
        <f t="shared" si="5"/>
        <v>#N/A</v>
      </c>
      <c r="S332" s="58"/>
      <c r="T332" s="58"/>
      <c r="U332" s="43"/>
      <c r="V332" s="43"/>
      <c r="W332" s="58"/>
      <c r="X332" s="58"/>
      <c r="Y332" s="59" t="s">
        <v>156</v>
      </c>
      <c r="Z332" s="60"/>
      <c r="AA332" s="25"/>
      <c r="AB332" s="25"/>
    </row>
    <row r="333" spans="2:28">
      <c r="B333" s="40"/>
      <c r="C333" s="40"/>
      <c r="D333" s="41"/>
      <c r="E333" s="42"/>
      <c r="F333" s="42"/>
      <c r="G333" s="43" t="s">
        <v>154</v>
      </c>
      <c r="H333" s="42" t="s">
        <v>155</v>
      </c>
      <c r="I333" s="43"/>
      <c r="J333" s="43"/>
      <c r="K333" s="25" t="e">
        <f>VLOOKUP(J333,Key!$E$2:$F$9,2,FALSE)</f>
        <v>#N/A</v>
      </c>
      <c r="L333" s="42"/>
      <c r="M333" s="43" t="s">
        <v>154</v>
      </c>
      <c r="N333" s="42" t="s">
        <v>155</v>
      </c>
      <c r="O333" s="43"/>
      <c r="P333" s="43"/>
      <c r="Q333" s="25" t="e">
        <f>VLOOKUP(P333,Key!$E$2:$F$9,2,FALSE)</f>
        <v>#N/A</v>
      </c>
      <c r="R333" s="25" t="e">
        <f t="shared" si="5"/>
        <v>#N/A</v>
      </c>
      <c r="S333" s="58"/>
      <c r="T333" s="58"/>
      <c r="U333" s="43"/>
      <c r="V333" s="43"/>
      <c r="W333" s="58"/>
      <c r="X333" s="58"/>
      <c r="Y333" s="59" t="s">
        <v>156</v>
      </c>
      <c r="Z333" s="60"/>
      <c r="AA333" s="25"/>
      <c r="AB333" s="25"/>
    </row>
    <row r="334" spans="2:28">
      <c r="B334" s="40"/>
      <c r="C334" s="40"/>
      <c r="D334" s="41"/>
      <c r="E334" s="42"/>
      <c r="F334" s="42"/>
      <c r="G334" s="43" t="s">
        <v>154</v>
      </c>
      <c r="H334" s="42" t="s">
        <v>155</v>
      </c>
      <c r="I334" s="43"/>
      <c r="J334" s="43"/>
      <c r="K334" s="25" t="e">
        <f>VLOOKUP(J334,Key!$E$2:$F$9,2,FALSE)</f>
        <v>#N/A</v>
      </c>
      <c r="L334" s="42"/>
      <c r="M334" s="43" t="s">
        <v>154</v>
      </c>
      <c r="N334" s="42" t="s">
        <v>155</v>
      </c>
      <c r="O334" s="43"/>
      <c r="P334" s="43"/>
      <c r="Q334" s="25" t="e">
        <f>VLOOKUP(P334,Key!$E$2:$F$9,2,FALSE)</f>
        <v>#N/A</v>
      </c>
      <c r="R334" s="25" t="e">
        <f t="shared" si="5"/>
        <v>#N/A</v>
      </c>
      <c r="S334" s="58"/>
      <c r="T334" s="58"/>
      <c r="U334" s="43"/>
      <c r="V334" s="43"/>
      <c r="W334" s="58"/>
      <c r="X334" s="58"/>
      <c r="Y334" s="59" t="s">
        <v>156</v>
      </c>
      <c r="Z334" s="60"/>
      <c r="AA334" s="25"/>
      <c r="AB334" s="25"/>
    </row>
    <row r="335" spans="2:28">
      <c r="B335" s="40"/>
      <c r="C335" s="40"/>
      <c r="D335" s="41"/>
      <c r="E335" s="42"/>
      <c r="F335" s="42"/>
      <c r="G335" s="43" t="s">
        <v>154</v>
      </c>
      <c r="H335" s="42" t="s">
        <v>155</v>
      </c>
      <c r="I335" s="43"/>
      <c r="J335" s="43"/>
      <c r="K335" s="25" t="e">
        <f>VLOOKUP(J335,Key!$E$2:$F$9,2,FALSE)</f>
        <v>#N/A</v>
      </c>
      <c r="L335" s="42"/>
      <c r="M335" s="43" t="s">
        <v>154</v>
      </c>
      <c r="N335" s="42" t="s">
        <v>155</v>
      </c>
      <c r="O335" s="43"/>
      <c r="P335" s="43"/>
      <c r="Q335" s="25" t="e">
        <f>VLOOKUP(P335,Key!$E$2:$F$9,2,FALSE)</f>
        <v>#N/A</v>
      </c>
      <c r="R335" s="25" t="e">
        <f t="shared" si="5"/>
        <v>#N/A</v>
      </c>
      <c r="S335" s="58"/>
      <c r="T335" s="58"/>
      <c r="U335" s="43"/>
      <c r="V335" s="43"/>
      <c r="W335" s="58"/>
      <c r="X335" s="58"/>
      <c r="Y335" s="59" t="s">
        <v>156</v>
      </c>
      <c r="Z335" s="60"/>
      <c r="AA335" s="25"/>
      <c r="AB335" s="25"/>
    </row>
    <row r="336" spans="2:28">
      <c r="B336" s="40"/>
      <c r="C336" s="40"/>
      <c r="D336" s="41"/>
      <c r="E336" s="42"/>
      <c r="F336" s="42"/>
      <c r="G336" s="43" t="s">
        <v>154</v>
      </c>
      <c r="H336" s="42" t="s">
        <v>155</v>
      </c>
      <c r="I336" s="43"/>
      <c r="J336" s="43"/>
      <c r="K336" s="25" t="e">
        <f>VLOOKUP(J336,Key!$E$2:$F$9,2,FALSE)</f>
        <v>#N/A</v>
      </c>
      <c r="L336" s="42"/>
      <c r="M336" s="43" t="s">
        <v>154</v>
      </c>
      <c r="N336" s="42" t="s">
        <v>155</v>
      </c>
      <c r="O336" s="43"/>
      <c r="P336" s="43"/>
      <c r="Q336" s="25" t="e">
        <f>VLOOKUP(P336,Key!$E$2:$F$9,2,FALSE)</f>
        <v>#N/A</v>
      </c>
      <c r="R336" s="25" t="e">
        <f t="shared" si="5"/>
        <v>#N/A</v>
      </c>
      <c r="S336" s="58"/>
      <c r="T336" s="58"/>
      <c r="U336" s="43"/>
      <c r="V336" s="43"/>
      <c r="W336" s="58"/>
      <c r="X336" s="58"/>
      <c r="Y336" s="59" t="s">
        <v>156</v>
      </c>
      <c r="Z336" s="60"/>
      <c r="AA336" s="25"/>
      <c r="AB336" s="25"/>
    </row>
    <row r="337" spans="2:28">
      <c r="B337" s="40"/>
      <c r="C337" s="40"/>
      <c r="D337" s="41"/>
      <c r="E337" s="42"/>
      <c r="F337" s="42"/>
      <c r="G337" s="43" t="s">
        <v>154</v>
      </c>
      <c r="H337" s="42" t="s">
        <v>155</v>
      </c>
      <c r="I337" s="43"/>
      <c r="J337" s="43"/>
      <c r="K337" s="25" t="e">
        <f>VLOOKUP(J337,Key!$E$2:$F$9,2,FALSE)</f>
        <v>#N/A</v>
      </c>
      <c r="L337" s="42"/>
      <c r="M337" s="43" t="s">
        <v>154</v>
      </c>
      <c r="N337" s="42" t="s">
        <v>155</v>
      </c>
      <c r="O337" s="43"/>
      <c r="P337" s="43"/>
      <c r="Q337" s="25" t="e">
        <f>VLOOKUP(P337,Key!$E$2:$F$9,2,FALSE)</f>
        <v>#N/A</v>
      </c>
      <c r="R337" s="25" t="e">
        <f t="shared" si="5"/>
        <v>#N/A</v>
      </c>
      <c r="S337" s="58"/>
      <c r="T337" s="58"/>
      <c r="U337" s="43"/>
      <c r="V337" s="43"/>
      <c r="W337" s="58"/>
      <c r="X337" s="58"/>
      <c r="Y337" s="59" t="s">
        <v>156</v>
      </c>
      <c r="Z337" s="60"/>
      <c r="AA337" s="25"/>
      <c r="AB337" s="25"/>
    </row>
    <row r="338" spans="2:28">
      <c r="B338" s="40"/>
      <c r="C338" s="40"/>
      <c r="D338" s="41"/>
      <c r="E338" s="42"/>
      <c r="F338" s="42"/>
      <c r="G338" s="43" t="s">
        <v>154</v>
      </c>
      <c r="H338" s="42" t="s">
        <v>155</v>
      </c>
      <c r="I338" s="43"/>
      <c r="J338" s="43"/>
      <c r="K338" s="25" t="e">
        <f>VLOOKUP(J338,Key!$E$2:$F$9,2,FALSE)</f>
        <v>#N/A</v>
      </c>
      <c r="L338" s="42"/>
      <c r="M338" s="43" t="s">
        <v>154</v>
      </c>
      <c r="N338" s="42" t="s">
        <v>155</v>
      </c>
      <c r="O338" s="43"/>
      <c r="P338" s="43"/>
      <c r="Q338" s="25" t="e">
        <f>VLOOKUP(P338,Key!$E$2:$F$9,2,FALSE)</f>
        <v>#N/A</v>
      </c>
      <c r="R338" s="25" t="e">
        <f t="shared" si="5"/>
        <v>#N/A</v>
      </c>
      <c r="S338" s="58"/>
      <c r="T338" s="58"/>
      <c r="U338" s="43"/>
      <c r="V338" s="43"/>
      <c r="W338" s="58"/>
      <c r="X338" s="58"/>
      <c r="Y338" s="59" t="s">
        <v>156</v>
      </c>
      <c r="Z338" s="60"/>
      <c r="AA338" s="25"/>
      <c r="AB338" s="25"/>
    </row>
    <row r="339" spans="2:28">
      <c r="B339" s="40"/>
      <c r="C339" s="40"/>
      <c r="D339" s="41"/>
      <c r="E339" s="42"/>
      <c r="F339" s="42"/>
      <c r="G339" s="43" t="s">
        <v>154</v>
      </c>
      <c r="H339" s="42" t="s">
        <v>155</v>
      </c>
      <c r="I339" s="43"/>
      <c r="J339" s="43"/>
      <c r="K339" s="25" t="e">
        <f>VLOOKUP(J339,Key!$E$2:$F$9,2,FALSE)</f>
        <v>#N/A</v>
      </c>
      <c r="L339" s="42"/>
      <c r="M339" s="43" t="s">
        <v>154</v>
      </c>
      <c r="N339" s="42" t="s">
        <v>155</v>
      </c>
      <c r="O339" s="43"/>
      <c r="P339" s="43"/>
      <c r="Q339" s="25" t="e">
        <f>VLOOKUP(P339,Key!$E$2:$F$9,2,FALSE)</f>
        <v>#N/A</v>
      </c>
      <c r="R339" s="25" t="e">
        <f t="shared" si="5"/>
        <v>#N/A</v>
      </c>
      <c r="S339" s="58"/>
      <c r="T339" s="58"/>
      <c r="U339" s="43"/>
      <c r="V339" s="43"/>
      <c r="W339" s="58"/>
      <c r="X339" s="58"/>
      <c r="Y339" s="59" t="s">
        <v>156</v>
      </c>
      <c r="Z339" s="60"/>
      <c r="AA339" s="25"/>
      <c r="AB339" s="25"/>
    </row>
    <row r="340" spans="2:28">
      <c r="B340" s="40"/>
      <c r="C340" s="40"/>
      <c r="D340" s="41"/>
      <c r="E340" s="42"/>
      <c r="F340" s="42"/>
      <c r="G340" s="43" t="s">
        <v>154</v>
      </c>
      <c r="H340" s="42" t="s">
        <v>155</v>
      </c>
      <c r="I340" s="43"/>
      <c r="J340" s="43"/>
      <c r="K340" s="25" t="e">
        <f>VLOOKUP(J340,Key!$E$2:$F$9,2,FALSE)</f>
        <v>#N/A</v>
      </c>
      <c r="L340" s="42"/>
      <c r="M340" s="43" t="s">
        <v>154</v>
      </c>
      <c r="N340" s="42" t="s">
        <v>155</v>
      </c>
      <c r="O340" s="43"/>
      <c r="P340" s="43"/>
      <c r="Q340" s="25" t="e">
        <f>VLOOKUP(P340,Key!$E$2:$F$9,2,FALSE)</f>
        <v>#N/A</v>
      </c>
      <c r="R340" s="25" t="e">
        <f t="shared" si="5"/>
        <v>#N/A</v>
      </c>
      <c r="S340" s="58"/>
      <c r="T340" s="58"/>
      <c r="U340" s="43"/>
      <c r="V340" s="43"/>
      <c r="W340" s="58"/>
      <c r="X340" s="58"/>
      <c r="Y340" s="59" t="s">
        <v>156</v>
      </c>
      <c r="Z340" s="60"/>
      <c r="AA340" s="25"/>
      <c r="AB340" s="25"/>
    </row>
    <row r="341" spans="2:28">
      <c r="B341" s="40"/>
      <c r="C341" s="40"/>
      <c r="D341" s="41"/>
      <c r="E341" s="42"/>
      <c r="F341" s="42"/>
      <c r="G341" s="43" t="s">
        <v>154</v>
      </c>
      <c r="H341" s="42" t="s">
        <v>155</v>
      </c>
      <c r="I341" s="43"/>
      <c r="J341" s="43"/>
      <c r="K341" s="25" t="e">
        <f>VLOOKUP(J341,Key!$E$2:$F$9,2,FALSE)</f>
        <v>#N/A</v>
      </c>
      <c r="L341" s="42"/>
      <c r="M341" s="43" t="s">
        <v>154</v>
      </c>
      <c r="N341" s="42" t="s">
        <v>155</v>
      </c>
      <c r="O341" s="43"/>
      <c r="P341" s="43"/>
      <c r="Q341" s="25" t="e">
        <f>VLOOKUP(P341,Key!$E$2:$F$9,2,FALSE)</f>
        <v>#N/A</v>
      </c>
      <c r="R341" s="25" t="e">
        <f t="shared" si="5"/>
        <v>#N/A</v>
      </c>
      <c r="S341" s="58"/>
      <c r="T341" s="58"/>
      <c r="U341" s="43"/>
      <c r="V341" s="43"/>
      <c r="W341" s="58"/>
      <c r="X341" s="58"/>
      <c r="Y341" s="59" t="s">
        <v>156</v>
      </c>
      <c r="Z341" s="60"/>
      <c r="AA341" s="25"/>
      <c r="AB341" s="25"/>
    </row>
    <row r="342" spans="2:28">
      <c r="B342" s="40"/>
      <c r="C342" s="40"/>
      <c r="D342" s="41"/>
      <c r="E342" s="42"/>
      <c r="F342" s="42"/>
      <c r="G342" s="43" t="s">
        <v>154</v>
      </c>
      <c r="H342" s="42" t="s">
        <v>155</v>
      </c>
      <c r="I342" s="43"/>
      <c r="J342" s="43"/>
      <c r="K342" s="25" t="e">
        <f>VLOOKUP(J342,Key!$E$2:$F$9,2,FALSE)</f>
        <v>#N/A</v>
      </c>
      <c r="L342" s="42"/>
      <c r="M342" s="43" t="s">
        <v>154</v>
      </c>
      <c r="N342" s="42" t="s">
        <v>155</v>
      </c>
      <c r="O342" s="43"/>
      <c r="P342" s="43"/>
      <c r="Q342" s="25" t="e">
        <f>VLOOKUP(P342,Key!$E$2:$F$9,2,FALSE)</f>
        <v>#N/A</v>
      </c>
      <c r="R342" s="25" t="e">
        <f t="shared" si="5"/>
        <v>#N/A</v>
      </c>
      <c r="S342" s="58"/>
      <c r="T342" s="58"/>
      <c r="U342" s="43"/>
      <c r="V342" s="43"/>
      <c r="W342" s="58"/>
      <c r="X342" s="58"/>
      <c r="Y342" s="59" t="s">
        <v>156</v>
      </c>
      <c r="Z342" s="60"/>
      <c r="AA342" s="25"/>
      <c r="AB342" s="25"/>
    </row>
    <row r="343" spans="2:28">
      <c r="B343" s="40"/>
      <c r="C343" s="40"/>
      <c r="D343" s="41"/>
      <c r="E343" s="42"/>
      <c r="F343" s="42"/>
      <c r="G343" s="43" t="s">
        <v>154</v>
      </c>
      <c r="H343" s="42" t="s">
        <v>155</v>
      </c>
      <c r="I343" s="43"/>
      <c r="J343" s="43"/>
      <c r="K343" s="25" t="e">
        <f>VLOOKUP(J343,Key!$E$2:$F$9,2,FALSE)</f>
        <v>#N/A</v>
      </c>
      <c r="L343" s="42"/>
      <c r="M343" s="43" t="s">
        <v>154</v>
      </c>
      <c r="N343" s="42" t="s">
        <v>155</v>
      </c>
      <c r="O343" s="43"/>
      <c r="P343" s="43"/>
      <c r="Q343" s="25" t="e">
        <f>VLOOKUP(P343,Key!$E$2:$F$9,2,FALSE)</f>
        <v>#N/A</v>
      </c>
      <c r="R343" s="25" t="e">
        <f t="shared" si="5"/>
        <v>#N/A</v>
      </c>
      <c r="S343" s="58"/>
      <c r="T343" s="58"/>
      <c r="U343" s="43"/>
      <c r="V343" s="43"/>
      <c r="W343" s="58"/>
      <c r="X343" s="58"/>
      <c r="Y343" s="59" t="s">
        <v>156</v>
      </c>
      <c r="Z343" s="60"/>
      <c r="AA343" s="25"/>
      <c r="AB343" s="25"/>
    </row>
    <row r="344" spans="2:28">
      <c r="B344" s="40"/>
      <c r="C344" s="40"/>
      <c r="D344" s="41"/>
      <c r="E344" s="42"/>
      <c r="F344" s="42"/>
      <c r="G344" s="43" t="s">
        <v>154</v>
      </c>
      <c r="H344" s="42" t="s">
        <v>155</v>
      </c>
      <c r="I344" s="43"/>
      <c r="J344" s="43"/>
      <c r="K344" s="25" t="e">
        <f>VLOOKUP(J344,Key!$E$2:$F$9,2,FALSE)</f>
        <v>#N/A</v>
      </c>
      <c r="L344" s="42"/>
      <c r="M344" s="43" t="s">
        <v>154</v>
      </c>
      <c r="N344" s="42" t="s">
        <v>155</v>
      </c>
      <c r="O344" s="43"/>
      <c r="P344" s="43"/>
      <c r="Q344" s="25" t="e">
        <f>VLOOKUP(P344,Key!$E$2:$F$9,2,FALSE)</f>
        <v>#N/A</v>
      </c>
      <c r="R344" s="25" t="e">
        <f t="shared" si="5"/>
        <v>#N/A</v>
      </c>
      <c r="S344" s="58"/>
      <c r="T344" s="58"/>
      <c r="U344" s="43"/>
      <c r="V344" s="43"/>
      <c r="W344" s="58"/>
      <c r="X344" s="58"/>
      <c r="Y344" s="59" t="s">
        <v>156</v>
      </c>
      <c r="Z344" s="60"/>
      <c r="AA344" s="25"/>
      <c r="AB344" s="25"/>
    </row>
    <row r="345" spans="2:28">
      <c r="B345" s="40"/>
      <c r="C345" s="40"/>
      <c r="D345" s="41"/>
      <c r="E345" s="42"/>
      <c r="F345" s="42"/>
      <c r="G345" s="43" t="s">
        <v>154</v>
      </c>
      <c r="H345" s="42" t="s">
        <v>155</v>
      </c>
      <c r="I345" s="43"/>
      <c r="J345" s="43"/>
      <c r="K345" s="25" t="e">
        <f>VLOOKUP(J345,Key!$E$2:$F$9,2,FALSE)</f>
        <v>#N/A</v>
      </c>
      <c r="L345" s="42"/>
      <c r="M345" s="43" t="s">
        <v>154</v>
      </c>
      <c r="N345" s="42" t="s">
        <v>155</v>
      </c>
      <c r="O345" s="43"/>
      <c r="P345" s="43"/>
      <c r="Q345" s="25" t="e">
        <f>VLOOKUP(P345,Key!$E$2:$F$9,2,FALSE)</f>
        <v>#N/A</v>
      </c>
      <c r="R345" s="25" t="e">
        <f t="shared" si="5"/>
        <v>#N/A</v>
      </c>
      <c r="S345" s="58"/>
      <c r="T345" s="58"/>
      <c r="U345" s="43"/>
      <c r="V345" s="43"/>
      <c r="W345" s="58"/>
      <c r="X345" s="58"/>
      <c r="Y345" s="59" t="s">
        <v>156</v>
      </c>
      <c r="Z345" s="60"/>
      <c r="AA345" s="25"/>
      <c r="AB345" s="25"/>
    </row>
    <row r="346" spans="2:28">
      <c r="B346" s="40"/>
      <c r="C346" s="40"/>
      <c r="D346" s="41"/>
      <c r="E346" s="42"/>
      <c r="F346" s="42"/>
      <c r="G346" s="43" t="s">
        <v>154</v>
      </c>
      <c r="H346" s="42" t="s">
        <v>155</v>
      </c>
      <c r="I346" s="43"/>
      <c r="J346" s="43"/>
      <c r="K346" s="25" t="e">
        <f>VLOOKUP(J346,Key!$E$2:$F$9,2,FALSE)</f>
        <v>#N/A</v>
      </c>
      <c r="L346" s="42"/>
      <c r="M346" s="43" t="s">
        <v>154</v>
      </c>
      <c r="N346" s="42" t="s">
        <v>155</v>
      </c>
      <c r="O346" s="43"/>
      <c r="P346" s="43"/>
      <c r="Q346" s="25" t="e">
        <f>VLOOKUP(P346,Key!$E$2:$F$9,2,FALSE)</f>
        <v>#N/A</v>
      </c>
      <c r="R346" s="25" t="e">
        <f t="shared" si="5"/>
        <v>#N/A</v>
      </c>
      <c r="S346" s="58"/>
      <c r="T346" s="58"/>
      <c r="U346" s="43"/>
      <c r="V346" s="43"/>
      <c r="W346" s="58"/>
      <c r="X346" s="58"/>
      <c r="Y346" s="59" t="s">
        <v>156</v>
      </c>
      <c r="Z346" s="60"/>
      <c r="AA346" s="25"/>
      <c r="AB346" s="25"/>
    </row>
    <row r="347" spans="2:28">
      <c r="B347" s="40"/>
      <c r="C347" s="40"/>
      <c r="D347" s="41"/>
      <c r="E347" s="42"/>
      <c r="F347" s="42"/>
      <c r="G347" s="43" t="s">
        <v>154</v>
      </c>
      <c r="H347" s="42" t="s">
        <v>155</v>
      </c>
      <c r="I347" s="43"/>
      <c r="J347" s="43"/>
      <c r="K347" s="25" t="e">
        <f>VLOOKUP(J347,Key!$E$2:$F$9,2,FALSE)</f>
        <v>#N/A</v>
      </c>
      <c r="L347" s="42"/>
      <c r="M347" s="43" t="s">
        <v>154</v>
      </c>
      <c r="N347" s="42" t="s">
        <v>155</v>
      </c>
      <c r="O347" s="43"/>
      <c r="P347" s="43"/>
      <c r="Q347" s="25" t="e">
        <f>VLOOKUP(P347,Key!$E$2:$F$9,2,FALSE)</f>
        <v>#N/A</v>
      </c>
      <c r="R347" s="25" t="e">
        <f t="shared" si="5"/>
        <v>#N/A</v>
      </c>
      <c r="S347" s="58"/>
      <c r="T347" s="58"/>
      <c r="U347" s="43"/>
      <c r="V347" s="43"/>
      <c r="W347" s="58"/>
      <c r="X347" s="58"/>
      <c r="Y347" s="59" t="s">
        <v>156</v>
      </c>
      <c r="Z347" s="60"/>
      <c r="AA347" s="25"/>
      <c r="AB347" s="25"/>
    </row>
    <row r="348" spans="2:28">
      <c r="B348" s="40"/>
      <c r="C348" s="40"/>
      <c r="D348" s="41"/>
      <c r="E348" s="42"/>
      <c r="F348" s="42"/>
      <c r="G348" s="43" t="s">
        <v>154</v>
      </c>
      <c r="H348" s="42" t="s">
        <v>155</v>
      </c>
      <c r="I348" s="43"/>
      <c r="J348" s="43"/>
      <c r="K348" s="25" t="e">
        <f>VLOOKUP(J348,Key!$E$2:$F$9,2,FALSE)</f>
        <v>#N/A</v>
      </c>
      <c r="L348" s="42"/>
      <c r="M348" s="43" t="s">
        <v>154</v>
      </c>
      <c r="N348" s="42" t="s">
        <v>155</v>
      </c>
      <c r="O348" s="43"/>
      <c r="P348" s="43"/>
      <c r="Q348" s="25" t="e">
        <f>VLOOKUP(P348,Key!$E$2:$F$9,2,FALSE)</f>
        <v>#N/A</v>
      </c>
      <c r="R348" s="25" t="e">
        <f t="shared" si="5"/>
        <v>#N/A</v>
      </c>
      <c r="S348" s="58"/>
      <c r="T348" s="58"/>
      <c r="U348" s="43"/>
      <c r="V348" s="43"/>
      <c r="W348" s="58"/>
      <c r="X348" s="58"/>
      <c r="Y348" s="59" t="s">
        <v>156</v>
      </c>
      <c r="Z348" s="60"/>
      <c r="AA348" s="25"/>
      <c r="AB348" s="25"/>
    </row>
    <row r="349" spans="2:28">
      <c r="B349" s="40"/>
      <c r="C349" s="40"/>
      <c r="D349" s="41"/>
      <c r="E349" s="42"/>
      <c r="F349" s="42"/>
      <c r="G349" s="43" t="s">
        <v>154</v>
      </c>
      <c r="H349" s="42" t="s">
        <v>155</v>
      </c>
      <c r="I349" s="43"/>
      <c r="J349" s="43"/>
      <c r="K349" s="25" t="e">
        <f>VLOOKUP(J349,Key!$E$2:$F$9,2,FALSE)</f>
        <v>#N/A</v>
      </c>
      <c r="L349" s="42"/>
      <c r="M349" s="43" t="s">
        <v>154</v>
      </c>
      <c r="N349" s="42" t="s">
        <v>155</v>
      </c>
      <c r="O349" s="43"/>
      <c r="P349" s="43"/>
      <c r="Q349" s="25" t="e">
        <f>VLOOKUP(P349,Key!$E$2:$F$9,2,FALSE)</f>
        <v>#N/A</v>
      </c>
      <c r="R349" s="25" t="e">
        <f t="shared" si="5"/>
        <v>#N/A</v>
      </c>
      <c r="S349" s="58"/>
      <c r="T349" s="58"/>
      <c r="U349" s="43"/>
      <c r="V349" s="43"/>
      <c r="W349" s="58"/>
      <c r="X349" s="58"/>
      <c r="Y349" s="59" t="s">
        <v>156</v>
      </c>
      <c r="Z349" s="60"/>
      <c r="AA349" s="25"/>
      <c r="AB349" s="25"/>
    </row>
    <row r="350" spans="2:28">
      <c r="B350" s="40"/>
      <c r="C350" s="40"/>
      <c r="D350" s="41"/>
      <c r="E350" s="42"/>
      <c r="F350" s="42"/>
      <c r="G350" s="43" t="s">
        <v>154</v>
      </c>
      <c r="H350" s="42" t="s">
        <v>155</v>
      </c>
      <c r="I350" s="43"/>
      <c r="J350" s="43"/>
      <c r="K350" s="25" t="e">
        <f>VLOOKUP(J350,Key!$E$2:$F$9,2,FALSE)</f>
        <v>#N/A</v>
      </c>
      <c r="L350" s="42"/>
      <c r="M350" s="43" t="s">
        <v>154</v>
      </c>
      <c r="N350" s="42" t="s">
        <v>155</v>
      </c>
      <c r="O350" s="43"/>
      <c r="P350" s="43"/>
      <c r="Q350" s="25" t="e">
        <f>VLOOKUP(P350,Key!$E$2:$F$9,2,FALSE)</f>
        <v>#N/A</v>
      </c>
      <c r="R350" s="25" t="e">
        <f t="shared" si="5"/>
        <v>#N/A</v>
      </c>
      <c r="S350" s="58"/>
      <c r="T350" s="58"/>
      <c r="U350" s="43"/>
      <c r="V350" s="43"/>
      <c r="W350" s="58"/>
      <c r="X350" s="58"/>
      <c r="Y350" s="59" t="s">
        <v>156</v>
      </c>
      <c r="Z350" s="60"/>
      <c r="AA350" s="25"/>
      <c r="AB350" s="25"/>
    </row>
    <row r="351" spans="2:28">
      <c r="B351" s="40"/>
      <c r="C351" s="40"/>
      <c r="D351" s="41"/>
      <c r="E351" s="42"/>
      <c r="F351" s="42"/>
      <c r="G351" s="43" t="s">
        <v>154</v>
      </c>
      <c r="H351" s="42" t="s">
        <v>155</v>
      </c>
      <c r="I351" s="43"/>
      <c r="J351" s="43"/>
      <c r="K351" s="25" t="e">
        <f>VLOOKUP(J351,Key!$E$2:$F$9,2,FALSE)</f>
        <v>#N/A</v>
      </c>
      <c r="L351" s="42"/>
      <c r="M351" s="43" t="s">
        <v>154</v>
      </c>
      <c r="N351" s="42" t="s">
        <v>155</v>
      </c>
      <c r="O351" s="43"/>
      <c r="P351" s="43"/>
      <c r="Q351" s="25" t="e">
        <f>VLOOKUP(P351,Key!$E$2:$F$9,2,FALSE)</f>
        <v>#N/A</v>
      </c>
      <c r="R351" s="25" t="e">
        <f t="shared" si="5"/>
        <v>#N/A</v>
      </c>
      <c r="S351" s="58"/>
      <c r="T351" s="58"/>
      <c r="U351" s="43"/>
      <c r="V351" s="43"/>
      <c r="W351" s="58"/>
      <c r="X351" s="58"/>
      <c r="Y351" s="59" t="s">
        <v>156</v>
      </c>
      <c r="Z351" s="60"/>
      <c r="AA351" s="25"/>
      <c r="AB351" s="25"/>
    </row>
    <row r="352" spans="2:28">
      <c r="B352" s="40"/>
      <c r="C352" s="40"/>
      <c r="D352" s="41"/>
      <c r="E352" s="42"/>
      <c r="F352" s="42"/>
      <c r="G352" s="43" t="s">
        <v>154</v>
      </c>
      <c r="H352" s="42" t="s">
        <v>155</v>
      </c>
      <c r="I352" s="43"/>
      <c r="J352" s="43"/>
      <c r="K352" s="25" t="e">
        <f>VLOOKUP(J352,Key!$E$2:$F$9,2,FALSE)</f>
        <v>#N/A</v>
      </c>
      <c r="L352" s="42"/>
      <c r="M352" s="43" t="s">
        <v>154</v>
      </c>
      <c r="N352" s="42" t="s">
        <v>155</v>
      </c>
      <c r="O352" s="43"/>
      <c r="P352" s="43"/>
      <c r="Q352" s="25" t="e">
        <f>VLOOKUP(P352,Key!$E$2:$F$9,2,FALSE)</f>
        <v>#N/A</v>
      </c>
      <c r="R352" s="25" t="e">
        <f t="shared" si="5"/>
        <v>#N/A</v>
      </c>
      <c r="S352" s="58"/>
      <c r="T352" s="58"/>
      <c r="U352" s="43"/>
      <c r="V352" s="43"/>
      <c r="W352" s="58"/>
      <c r="X352" s="58"/>
      <c r="Y352" s="59" t="s">
        <v>156</v>
      </c>
      <c r="Z352" s="60"/>
      <c r="AA352" s="25"/>
      <c r="AB352" s="25"/>
    </row>
    <row r="353" spans="2:28">
      <c r="B353" s="40"/>
      <c r="C353" s="40"/>
      <c r="D353" s="41"/>
      <c r="E353" s="42"/>
      <c r="F353" s="42"/>
      <c r="G353" s="43" t="s">
        <v>154</v>
      </c>
      <c r="H353" s="42" t="s">
        <v>155</v>
      </c>
      <c r="I353" s="43"/>
      <c r="J353" s="43"/>
      <c r="K353" s="25" t="e">
        <f>VLOOKUP(J353,Key!$E$2:$F$9,2,FALSE)</f>
        <v>#N/A</v>
      </c>
      <c r="L353" s="42"/>
      <c r="M353" s="43" t="s">
        <v>154</v>
      </c>
      <c r="N353" s="42" t="s">
        <v>155</v>
      </c>
      <c r="O353" s="43"/>
      <c r="P353" s="43"/>
      <c r="Q353" s="25" t="e">
        <f>VLOOKUP(P353,Key!$E$2:$F$9,2,FALSE)</f>
        <v>#N/A</v>
      </c>
      <c r="R353" s="25" t="e">
        <f t="shared" si="5"/>
        <v>#N/A</v>
      </c>
      <c r="S353" s="58"/>
      <c r="T353" s="58"/>
      <c r="U353" s="43"/>
      <c r="V353" s="43"/>
      <c r="W353" s="58"/>
      <c r="X353" s="58"/>
      <c r="Y353" s="59" t="s">
        <v>156</v>
      </c>
      <c r="Z353" s="60"/>
      <c r="AA353" s="25"/>
      <c r="AB353" s="25"/>
    </row>
    <row r="354" spans="2:28">
      <c r="B354" s="40"/>
      <c r="C354" s="40"/>
      <c r="D354" s="41"/>
      <c r="E354" s="42"/>
      <c r="F354" s="42"/>
      <c r="G354" s="43" t="s">
        <v>154</v>
      </c>
      <c r="H354" s="42" t="s">
        <v>155</v>
      </c>
      <c r="I354" s="43"/>
      <c r="J354" s="43"/>
      <c r="K354" s="25" t="e">
        <f>VLOOKUP(J354,Key!$E$2:$F$9,2,FALSE)</f>
        <v>#N/A</v>
      </c>
      <c r="L354" s="42"/>
      <c r="M354" s="43" t="s">
        <v>154</v>
      </c>
      <c r="N354" s="42" t="s">
        <v>155</v>
      </c>
      <c r="O354" s="43"/>
      <c r="P354" s="43"/>
      <c r="Q354" s="25" t="e">
        <f>VLOOKUP(P354,Key!$E$2:$F$9,2,FALSE)</f>
        <v>#N/A</v>
      </c>
      <c r="R354" s="25" t="e">
        <f t="shared" si="5"/>
        <v>#N/A</v>
      </c>
      <c r="S354" s="58"/>
      <c r="T354" s="58"/>
      <c r="U354" s="43"/>
      <c r="V354" s="43"/>
      <c r="W354" s="58"/>
      <c r="X354" s="58"/>
      <c r="Y354" s="59" t="s">
        <v>156</v>
      </c>
      <c r="Z354" s="60"/>
      <c r="AA354" s="25"/>
      <c r="AB354" s="25"/>
    </row>
    <row r="355" spans="2:28">
      <c r="B355" s="40"/>
      <c r="C355" s="40"/>
      <c r="D355" s="41"/>
      <c r="E355" s="42"/>
      <c r="F355" s="42"/>
      <c r="G355" s="43" t="s">
        <v>154</v>
      </c>
      <c r="H355" s="42" t="s">
        <v>155</v>
      </c>
      <c r="I355" s="43"/>
      <c r="J355" s="43"/>
      <c r="K355" s="25" t="e">
        <f>VLOOKUP(J355,Key!$E$2:$F$9,2,FALSE)</f>
        <v>#N/A</v>
      </c>
      <c r="L355" s="42"/>
      <c r="M355" s="43" t="s">
        <v>154</v>
      </c>
      <c r="N355" s="42" t="s">
        <v>155</v>
      </c>
      <c r="O355" s="43"/>
      <c r="P355" s="43"/>
      <c r="Q355" s="25" t="e">
        <f>VLOOKUP(P355,Key!$E$2:$F$9,2,FALSE)</f>
        <v>#N/A</v>
      </c>
      <c r="R355" s="25" t="e">
        <f t="shared" si="5"/>
        <v>#N/A</v>
      </c>
      <c r="S355" s="58"/>
      <c r="T355" s="58"/>
      <c r="U355" s="43"/>
      <c r="V355" s="43"/>
      <c r="W355" s="58"/>
      <c r="X355" s="58"/>
      <c r="Y355" s="59" t="s">
        <v>156</v>
      </c>
      <c r="Z355" s="60"/>
      <c r="AA355" s="25"/>
      <c r="AB355" s="25"/>
    </row>
    <row r="356" spans="2:28">
      <c r="B356" s="40"/>
      <c r="C356" s="40"/>
      <c r="D356" s="41"/>
      <c r="E356" s="42"/>
      <c r="F356" s="42"/>
      <c r="G356" s="43" t="s">
        <v>154</v>
      </c>
      <c r="H356" s="42" t="s">
        <v>155</v>
      </c>
      <c r="I356" s="43"/>
      <c r="J356" s="43"/>
      <c r="K356" s="25" t="e">
        <f>VLOOKUP(J356,Key!$E$2:$F$9,2,FALSE)</f>
        <v>#N/A</v>
      </c>
      <c r="L356" s="42"/>
      <c r="M356" s="43" t="s">
        <v>154</v>
      </c>
      <c r="N356" s="42" t="s">
        <v>155</v>
      </c>
      <c r="O356" s="43"/>
      <c r="P356" s="43"/>
      <c r="Q356" s="25" t="e">
        <f>VLOOKUP(P356,Key!$E$2:$F$9,2,FALSE)</f>
        <v>#N/A</v>
      </c>
      <c r="R356" s="25" t="e">
        <f t="shared" si="5"/>
        <v>#N/A</v>
      </c>
      <c r="S356" s="58"/>
      <c r="T356" s="58"/>
      <c r="U356" s="43"/>
      <c r="V356" s="43"/>
      <c r="W356" s="58"/>
      <c r="X356" s="58"/>
      <c r="Y356" s="59" t="s">
        <v>156</v>
      </c>
      <c r="Z356" s="60"/>
      <c r="AA356" s="25"/>
      <c r="AB356" s="25"/>
    </row>
    <row r="357" spans="2:28">
      <c r="B357" s="40"/>
      <c r="C357" s="40"/>
      <c r="D357" s="41"/>
      <c r="E357" s="42"/>
      <c r="F357" s="42"/>
      <c r="G357" s="43" t="s">
        <v>154</v>
      </c>
      <c r="H357" s="42" t="s">
        <v>155</v>
      </c>
      <c r="I357" s="43"/>
      <c r="J357" s="43"/>
      <c r="K357" s="25" t="e">
        <f>VLOOKUP(J357,Key!$E$2:$F$9,2,FALSE)</f>
        <v>#N/A</v>
      </c>
      <c r="L357" s="42"/>
      <c r="M357" s="43" t="s">
        <v>154</v>
      </c>
      <c r="N357" s="42" t="s">
        <v>155</v>
      </c>
      <c r="O357" s="43"/>
      <c r="P357" s="43"/>
      <c r="Q357" s="25" t="e">
        <f>VLOOKUP(P357,Key!$E$2:$F$9,2,FALSE)</f>
        <v>#N/A</v>
      </c>
      <c r="R357" s="25" t="e">
        <f t="shared" si="5"/>
        <v>#N/A</v>
      </c>
      <c r="S357" s="58"/>
      <c r="T357" s="58"/>
      <c r="U357" s="43"/>
      <c r="V357" s="43"/>
      <c r="W357" s="58"/>
      <c r="X357" s="58"/>
      <c r="Y357" s="59" t="s">
        <v>156</v>
      </c>
      <c r="Z357" s="60"/>
      <c r="AA357" s="25"/>
      <c r="AB357" s="25"/>
    </row>
    <row r="358" spans="2:28">
      <c r="B358" s="40"/>
      <c r="C358" s="40"/>
      <c r="D358" s="41"/>
      <c r="E358" s="42"/>
      <c r="F358" s="42"/>
      <c r="G358" s="43" t="s">
        <v>154</v>
      </c>
      <c r="H358" s="42" t="s">
        <v>155</v>
      </c>
      <c r="I358" s="43"/>
      <c r="J358" s="43"/>
      <c r="K358" s="25" t="e">
        <f>VLOOKUP(J358,Key!$E$2:$F$9,2,FALSE)</f>
        <v>#N/A</v>
      </c>
      <c r="L358" s="42"/>
      <c r="M358" s="43" t="s">
        <v>154</v>
      </c>
      <c r="N358" s="42" t="s">
        <v>155</v>
      </c>
      <c r="O358" s="43"/>
      <c r="P358" s="43"/>
      <c r="Q358" s="25" t="e">
        <f>VLOOKUP(P358,Key!$E$2:$F$9,2,FALSE)</f>
        <v>#N/A</v>
      </c>
      <c r="R358" s="25" t="e">
        <f t="shared" ref="R358:R421" si="6">K358&amp;"-"&amp;Q358</f>
        <v>#N/A</v>
      </c>
      <c r="S358" s="58"/>
      <c r="T358" s="58"/>
      <c r="U358" s="43"/>
      <c r="V358" s="43"/>
      <c r="W358" s="58"/>
      <c r="X358" s="58"/>
      <c r="Y358" s="59" t="s">
        <v>156</v>
      </c>
      <c r="Z358" s="60"/>
      <c r="AA358" s="25"/>
      <c r="AB358" s="25"/>
    </row>
    <row r="359" spans="2:28">
      <c r="B359" s="40"/>
      <c r="C359" s="40"/>
      <c r="D359" s="41"/>
      <c r="E359" s="42"/>
      <c r="F359" s="42"/>
      <c r="G359" s="43" t="s">
        <v>154</v>
      </c>
      <c r="H359" s="42" t="s">
        <v>155</v>
      </c>
      <c r="I359" s="43"/>
      <c r="J359" s="43"/>
      <c r="K359" s="25" t="e">
        <f>VLOOKUP(J359,Key!$E$2:$F$9,2,FALSE)</f>
        <v>#N/A</v>
      </c>
      <c r="L359" s="42"/>
      <c r="M359" s="43" t="s">
        <v>154</v>
      </c>
      <c r="N359" s="42" t="s">
        <v>155</v>
      </c>
      <c r="O359" s="43"/>
      <c r="P359" s="43"/>
      <c r="Q359" s="25" t="e">
        <f>VLOOKUP(P359,Key!$E$2:$F$9,2,FALSE)</f>
        <v>#N/A</v>
      </c>
      <c r="R359" s="25" t="e">
        <f t="shared" si="6"/>
        <v>#N/A</v>
      </c>
      <c r="S359" s="58"/>
      <c r="T359" s="58"/>
      <c r="U359" s="43"/>
      <c r="V359" s="43"/>
      <c r="W359" s="58"/>
      <c r="X359" s="58"/>
      <c r="Y359" s="59" t="s">
        <v>156</v>
      </c>
      <c r="Z359" s="60"/>
      <c r="AA359" s="25"/>
      <c r="AB359" s="25"/>
    </row>
    <row r="360" spans="2:28">
      <c r="B360" s="40"/>
      <c r="C360" s="40"/>
      <c r="D360" s="41"/>
      <c r="E360" s="42"/>
      <c r="F360" s="42"/>
      <c r="G360" s="43" t="s">
        <v>154</v>
      </c>
      <c r="H360" s="42" t="s">
        <v>155</v>
      </c>
      <c r="I360" s="43"/>
      <c r="J360" s="43"/>
      <c r="K360" s="25" t="e">
        <f>VLOOKUP(J360,Key!$E$2:$F$9,2,FALSE)</f>
        <v>#N/A</v>
      </c>
      <c r="L360" s="42"/>
      <c r="M360" s="43" t="s">
        <v>154</v>
      </c>
      <c r="N360" s="42" t="s">
        <v>155</v>
      </c>
      <c r="O360" s="43"/>
      <c r="P360" s="43"/>
      <c r="Q360" s="25" t="e">
        <f>VLOOKUP(P360,Key!$E$2:$F$9,2,FALSE)</f>
        <v>#N/A</v>
      </c>
      <c r="R360" s="25" t="e">
        <f t="shared" si="6"/>
        <v>#N/A</v>
      </c>
      <c r="S360" s="58"/>
      <c r="T360" s="58"/>
      <c r="U360" s="43"/>
      <c r="V360" s="43"/>
      <c r="W360" s="58"/>
      <c r="X360" s="58"/>
      <c r="Y360" s="59" t="s">
        <v>156</v>
      </c>
      <c r="Z360" s="60"/>
      <c r="AA360" s="25"/>
      <c r="AB360" s="25"/>
    </row>
    <row r="361" spans="2:28">
      <c r="B361" s="40"/>
      <c r="C361" s="40"/>
      <c r="D361" s="41"/>
      <c r="E361" s="42"/>
      <c r="F361" s="42"/>
      <c r="G361" s="43" t="s">
        <v>154</v>
      </c>
      <c r="H361" s="42" t="s">
        <v>155</v>
      </c>
      <c r="I361" s="43"/>
      <c r="J361" s="43"/>
      <c r="K361" s="25" t="e">
        <f>VLOOKUP(J361,Key!$E$2:$F$9,2,FALSE)</f>
        <v>#N/A</v>
      </c>
      <c r="L361" s="42"/>
      <c r="M361" s="43" t="s">
        <v>154</v>
      </c>
      <c r="N361" s="42" t="s">
        <v>155</v>
      </c>
      <c r="O361" s="43"/>
      <c r="P361" s="43"/>
      <c r="Q361" s="25" t="e">
        <f>VLOOKUP(P361,Key!$E$2:$F$9,2,FALSE)</f>
        <v>#N/A</v>
      </c>
      <c r="R361" s="25" t="e">
        <f t="shared" si="6"/>
        <v>#N/A</v>
      </c>
      <c r="S361" s="58"/>
      <c r="T361" s="58"/>
      <c r="U361" s="43"/>
      <c r="V361" s="43"/>
      <c r="W361" s="58"/>
      <c r="X361" s="58"/>
      <c r="Y361" s="59" t="s">
        <v>156</v>
      </c>
      <c r="Z361" s="60"/>
      <c r="AA361" s="25"/>
      <c r="AB361" s="25"/>
    </row>
    <row r="362" spans="2:28">
      <c r="B362" s="40"/>
      <c r="C362" s="40"/>
      <c r="D362" s="41"/>
      <c r="E362" s="42"/>
      <c r="F362" s="42"/>
      <c r="G362" s="43" t="s">
        <v>154</v>
      </c>
      <c r="H362" s="42" t="s">
        <v>155</v>
      </c>
      <c r="I362" s="43"/>
      <c r="J362" s="43"/>
      <c r="K362" s="25" t="e">
        <f>VLOOKUP(J362,Key!$E$2:$F$9,2,FALSE)</f>
        <v>#N/A</v>
      </c>
      <c r="L362" s="42"/>
      <c r="M362" s="43" t="s">
        <v>154</v>
      </c>
      <c r="N362" s="42" t="s">
        <v>155</v>
      </c>
      <c r="O362" s="43"/>
      <c r="P362" s="43"/>
      <c r="Q362" s="25" t="e">
        <f>VLOOKUP(P362,Key!$E$2:$F$9,2,FALSE)</f>
        <v>#N/A</v>
      </c>
      <c r="R362" s="25" t="e">
        <f t="shared" si="6"/>
        <v>#N/A</v>
      </c>
      <c r="S362" s="58"/>
      <c r="T362" s="58"/>
      <c r="U362" s="43"/>
      <c r="V362" s="43"/>
      <c r="W362" s="58"/>
      <c r="X362" s="58"/>
      <c r="Y362" s="59" t="s">
        <v>156</v>
      </c>
      <c r="Z362" s="60"/>
      <c r="AA362" s="25"/>
      <c r="AB362" s="25"/>
    </row>
    <row r="363" spans="2:28">
      <c r="B363" s="40"/>
      <c r="C363" s="40"/>
      <c r="D363" s="41"/>
      <c r="E363" s="42"/>
      <c r="F363" s="42"/>
      <c r="G363" s="43" t="s">
        <v>154</v>
      </c>
      <c r="H363" s="42" t="s">
        <v>155</v>
      </c>
      <c r="I363" s="43"/>
      <c r="J363" s="43"/>
      <c r="K363" s="25" t="e">
        <f>VLOOKUP(J363,Key!$E$2:$F$9,2,FALSE)</f>
        <v>#N/A</v>
      </c>
      <c r="L363" s="42"/>
      <c r="M363" s="43" t="s">
        <v>154</v>
      </c>
      <c r="N363" s="42" t="s">
        <v>155</v>
      </c>
      <c r="O363" s="43"/>
      <c r="P363" s="43"/>
      <c r="Q363" s="25" t="e">
        <f>VLOOKUP(P363,Key!$E$2:$F$9,2,FALSE)</f>
        <v>#N/A</v>
      </c>
      <c r="R363" s="25" t="e">
        <f t="shared" si="6"/>
        <v>#N/A</v>
      </c>
      <c r="S363" s="58"/>
      <c r="T363" s="58"/>
      <c r="U363" s="43"/>
      <c r="V363" s="43"/>
      <c r="W363" s="58"/>
      <c r="X363" s="58"/>
      <c r="Y363" s="59" t="s">
        <v>156</v>
      </c>
      <c r="Z363" s="60"/>
      <c r="AA363" s="25"/>
      <c r="AB363" s="25"/>
    </row>
    <row r="364" spans="2:28">
      <c r="B364" s="40"/>
      <c r="C364" s="40"/>
      <c r="D364" s="41"/>
      <c r="E364" s="42"/>
      <c r="F364" s="42"/>
      <c r="G364" s="43" t="s">
        <v>154</v>
      </c>
      <c r="H364" s="42" t="s">
        <v>155</v>
      </c>
      <c r="I364" s="43"/>
      <c r="J364" s="43"/>
      <c r="K364" s="25" t="e">
        <f>VLOOKUP(J364,Key!$E$2:$F$9,2,FALSE)</f>
        <v>#N/A</v>
      </c>
      <c r="L364" s="42"/>
      <c r="M364" s="43" t="s">
        <v>154</v>
      </c>
      <c r="N364" s="42" t="s">
        <v>155</v>
      </c>
      <c r="O364" s="43"/>
      <c r="P364" s="43"/>
      <c r="Q364" s="25" t="e">
        <f>VLOOKUP(P364,Key!$E$2:$F$9,2,FALSE)</f>
        <v>#N/A</v>
      </c>
      <c r="R364" s="25" t="e">
        <f t="shared" si="6"/>
        <v>#N/A</v>
      </c>
      <c r="S364" s="58"/>
      <c r="T364" s="58"/>
      <c r="U364" s="43"/>
      <c r="V364" s="43"/>
      <c r="W364" s="58"/>
      <c r="X364" s="58"/>
      <c r="Y364" s="59" t="s">
        <v>156</v>
      </c>
      <c r="Z364" s="60"/>
      <c r="AA364" s="25"/>
      <c r="AB364" s="25"/>
    </row>
    <row r="365" spans="2:28">
      <c r="B365" s="40"/>
      <c r="C365" s="40"/>
      <c r="D365" s="41"/>
      <c r="E365" s="42"/>
      <c r="F365" s="42"/>
      <c r="G365" s="43" t="s">
        <v>154</v>
      </c>
      <c r="H365" s="42" t="s">
        <v>155</v>
      </c>
      <c r="I365" s="43"/>
      <c r="J365" s="43"/>
      <c r="K365" s="25" t="e">
        <f>VLOOKUP(J365,Key!$E$2:$F$9,2,FALSE)</f>
        <v>#N/A</v>
      </c>
      <c r="L365" s="42"/>
      <c r="M365" s="43" t="s">
        <v>154</v>
      </c>
      <c r="N365" s="42" t="s">
        <v>155</v>
      </c>
      <c r="O365" s="43"/>
      <c r="P365" s="43"/>
      <c r="Q365" s="25" t="e">
        <f>VLOOKUP(P365,Key!$E$2:$F$9,2,FALSE)</f>
        <v>#N/A</v>
      </c>
      <c r="R365" s="25" t="e">
        <f t="shared" si="6"/>
        <v>#N/A</v>
      </c>
      <c r="S365" s="58"/>
      <c r="T365" s="58"/>
      <c r="U365" s="43"/>
      <c r="V365" s="43"/>
      <c r="W365" s="58"/>
      <c r="X365" s="58"/>
      <c r="Y365" s="59" t="s">
        <v>156</v>
      </c>
      <c r="Z365" s="60"/>
      <c r="AA365" s="25"/>
      <c r="AB365" s="25"/>
    </row>
    <row r="366" spans="2:28">
      <c r="B366" s="40"/>
      <c r="C366" s="40"/>
      <c r="D366" s="41"/>
      <c r="E366" s="42"/>
      <c r="F366" s="42"/>
      <c r="G366" s="43" t="s">
        <v>154</v>
      </c>
      <c r="H366" s="42" t="s">
        <v>155</v>
      </c>
      <c r="I366" s="43"/>
      <c r="J366" s="43"/>
      <c r="K366" s="25" t="e">
        <f>VLOOKUP(J366,Key!$E$2:$F$9,2,FALSE)</f>
        <v>#N/A</v>
      </c>
      <c r="L366" s="42"/>
      <c r="M366" s="43" t="s">
        <v>154</v>
      </c>
      <c r="N366" s="42" t="s">
        <v>155</v>
      </c>
      <c r="O366" s="43"/>
      <c r="P366" s="43"/>
      <c r="Q366" s="25" t="e">
        <f>VLOOKUP(P366,Key!$E$2:$F$9,2,FALSE)</f>
        <v>#N/A</v>
      </c>
      <c r="R366" s="25" t="e">
        <f t="shared" si="6"/>
        <v>#N/A</v>
      </c>
      <c r="S366" s="58"/>
      <c r="T366" s="58"/>
      <c r="U366" s="43"/>
      <c r="V366" s="43"/>
      <c r="W366" s="58"/>
      <c r="X366" s="58"/>
      <c r="Y366" s="59" t="s">
        <v>156</v>
      </c>
      <c r="Z366" s="60"/>
      <c r="AA366" s="25"/>
      <c r="AB366" s="25"/>
    </row>
    <row r="367" spans="2:28">
      <c r="B367" s="40"/>
      <c r="C367" s="40"/>
      <c r="D367" s="41"/>
      <c r="E367" s="42"/>
      <c r="F367" s="42"/>
      <c r="G367" s="43" t="s">
        <v>154</v>
      </c>
      <c r="H367" s="42" t="s">
        <v>155</v>
      </c>
      <c r="I367" s="43"/>
      <c r="J367" s="43"/>
      <c r="K367" s="25" t="e">
        <f>VLOOKUP(J367,Key!$E$2:$F$9,2,FALSE)</f>
        <v>#N/A</v>
      </c>
      <c r="L367" s="42"/>
      <c r="M367" s="43" t="s">
        <v>154</v>
      </c>
      <c r="N367" s="42" t="s">
        <v>155</v>
      </c>
      <c r="O367" s="43"/>
      <c r="P367" s="43"/>
      <c r="Q367" s="25" t="e">
        <f>VLOOKUP(P367,Key!$E$2:$F$9,2,FALSE)</f>
        <v>#N/A</v>
      </c>
      <c r="R367" s="25" t="e">
        <f t="shared" si="6"/>
        <v>#N/A</v>
      </c>
      <c r="S367" s="58"/>
      <c r="T367" s="58"/>
      <c r="U367" s="43"/>
      <c r="V367" s="43"/>
      <c r="W367" s="58"/>
      <c r="X367" s="58"/>
      <c r="Y367" s="59" t="s">
        <v>156</v>
      </c>
      <c r="Z367" s="60"/>
      <c r="AA367" s="25"/>
      <c r="AB367" s="25"/>
    </row>
    <row r="368" spans="2:28">
      <c r="B368" s="40"/>
      <c r="C368" s="40"/>
      <c r="D368" s="41"/>
      <c r="E368" s="42"/>
      <c r="F368" s="42"/>
      <c r="G368" s="43" t="s">
        <v>154</v>
      </c>
      <c r="H368" s="42" t="s">
        <v>155</v>
      </c>
      <c r="I368" s="43"/>
      <c r="J368" s="43"/>
      <c r="K368" s="25" t="e">
        <f>VLOOKUP(J368,Key!$E$2:$F$9,2,FALSE)</f>
        <v>#N/A</v>
      </c>
      <c r="L368" s="42"/>
      <c r="M368" s="43" t="s">
        <v>154</v>
      </c>
      <c r="N368" s="42" t="s">
        <v>155</v>
      </c>
      <c r="O368" s="43"/>
      <c r="P368" s="43"/>
      <c r="Q368" s="25" t="e">
        <f>VLOOKUP(P368,Key!$E$2:$F$9,2,FALSE)</f>
        <v>#N/A</v>
      </c>
      <c r="R368" s="25" t="e">
        <f t="shared" si="6"/>
        <v>#N/A</v>
      </c>
      <c r="S368" s="58"/>
      <c r="T368" s="58"/>
      <c r="U368" s="43"/>
      <c r="V368" s="43"/>
      <c r="W368" s="58"/>
      <c r="X368" s="58"/>
      <c r="Y368" s="59" t="s">
        <v>156</v>
      </c>
      <c r="Z368" s="60"/>
      <c r="AA368" s="25"/>
      <c r="AB368" s="25"/>
    </row>
    <row r="369" spans="2:28">
      <c r="B369" s="40"/>
      <c r="C369" s="40"/>
      <c r="D369" s="41"/>
      <c r="E369" s="42"/>
      <c r="F369" s="42"/>
      <c r="G369" s="43" t="s">
        <v>154</v>
      </c>
      <c r="H369" s="42" t="s">
        <v>155</v>
      </c>
      <c r="I369" s="43"/>
      <c r="J369" s="43"/>
      <c r="K369" s="25" t="e">
        <f>VLOOKUP(J369,Key!$E$2:$F$9,2,FALSE)</f>
        <v>#N/A</v>
      </c>
      <c r="L369" s="42"/>
      <c r="M369" s="43" t="s">
        <v>154</v>
      </c>
      <c r="N369" s="42" t="s">
        <v>155</v>
      </c>
      <c r="O369" s="43"/>
      <c r="P369" s="43"/>
      <c r="Q369" s="25" t="e">
        <f>VLOOKUP(P369,Key!$E$2:$F$9,2,FALSE)</f>
        <v>#N/A</v>
      </c>
      <c r="R369" s="25" t="e">
        <f t="shared" si="6"/>
        <v>#N/A</v>
      </c>
      <c r="S369" s="58"/>
      <c r="T369" s="58"/>
      <c r="U369" s="43"/>
      <c r="V369" s="43"/>
      <c r="W369" s="58"/>
      <c r="X369" s="58"/>
      <c r="Y369" s="59" t="s">
        <v>156</v>
      </c>
      <c r="Z369" s="60"/>
      <c r="AA369" s="25"/>
      <c r="AB369" s="25"/>
    </row>
    <row r="370" spans="2:28">
      <c r="B370" s="40"/>
      <c r="C370" s="40"/>
      <c r="D370" s="41"/>
      <c r="E370" s="42"/>
      <c r="F370" s="42"/>
      <c r="G370" s="43" t="s">
        <v>154</v>
      </c>
      <c r="H370" s="42" t="s">
        <v>155</v>
      </c>
      <c r="I370" s="43"/>
      <c r="J370" s="43"/>
      <c r="K370" s="25" t="e">
        <f>VLOOKUP(J370,Key!$E$2:$F$9,2,FALSE)</f>
        <v>#N/A</v>
      </c>
      <c r="L370" s="42"/>
      <c r="M370" s="43" t="s">
        <v>154</v>
      </c>
      <c r="N370" s="42" t="s">
        <v>155</v>
      </c>
      <c r="O370" s="43"/>
      <c r="P370" s="43"/>
      <c r="Q370" s="25" t="e">
        <f>VLOOKUP(P370,Key!$E$2:$F$9,2,FALSE)</f>
        <v>#N/A</v>
      </c>
      <c r="R370" s="25" t="e">
        <f t="shared" si="6"/>
        <v>#N/A</v>
      </c>
      <c r="S370" s="58"/>
      <c r="T370" s="58"/>
      <c r="U370" s="43"/>
      <c r="V370" s="43"/>
      <c r="W370" s="58"/>
      <c r="X370" s="58"/>
      <c r="Y370" s="59" t="s">
        <v>156</v>
      </c>
      <c r="Z370" s="60"/>
      <c r="AA370" s="25"/>
      <c r="AB370" s="25"/>
    </row>
    <row r="371" spans="2:28">
      <c r="B371" s="40"/>
      <c r="C371" s="40"/>
      <c r="D371" s="41"/>
      <c r="E371" s="42"/>
      <c r="F371" s="42"/>
      <c r="G371" s="43" t="s">
        <v>154</v>
      </c>
      <c r="H371" s="42" t="s">
        <v>155</v>
      </c>
      <c r="I371" s="43"/>
      <c r="J371" s="43"/>
      <c r="K371" s="25" t="e">
        <f>VLOOKUP(J371,Key!$E$2:$F$9,2,FALSE)</f>
        <v>#N/A</v>
      </c>
      <c r="L371" s="42"/>
      <c r="M371" s="43" t="s">
        <v>154</v>
      </c>
      <c r="N371" s="42" t="s">
        <v>155</v>
      </c>
      <c r="O371" s="43"/>
      <c r="P371" s="43"/>
      <c r="Q371" s="25" t="e">
        <f>VLOOKUP(P371,Key!$E$2:$F$9,2,FALSE)</f>
        <v>#N/A</v>
      </c>
      <c r="R371" s="25" t="e">
        <f t="shared" si="6"/>
        <v>#N/A</v>
      </c>
      <c r="S371" s="58"/>
      <c r="T371" s="58"/>
      <c r="U371" s="43"/>
      <c r="V371" s="43"/>
      <c r="W371" s="58"/>
      <c r="X371" s="58"/>
      <c r="Y371" s="59" t="s">
        <v>156</v>
      </c>
      <c r="Z371" s="60"/>
      <c r="AA371" s="25"/>
      <c r="AB371" s="25"/>
    </row>
    <row r="372" spans="2:28">
      <c r="B372" s="40"/>
      <c r="C372" s="40"/>
      <c r="D372" s="41"/>
      <c r="E372" s="42"/>
      <c r="F372" s="42"/>
      <c r="G372" s="43" t="s">
        <v>154</v>
      </c>
      <c r="H372" s="42" t="s">
        <v>155</v>
      </c>
      <c r="I372" s="43"/>
      <c r="J372" s="43"/>
      <c r="K372" s="25" t="e">
        <f>VLOOKUP(J372,Key!$E$2:$F$9,2,FALSE)</f>
        <v>#N/A</v>
      </c>
      <c r="L372" s="42"/>
      <c r="M372" s="43" t="s">
        <v>154</v>
      </c>
      <c r="N372" s="42" t="s">
        <v>155</v>
      </c>
      <c r="O372" s="43"/>
      <c r="P372" s="43"/>
      <c r="Q372" s="25" t="e">
        <f>VLOOKUP(P372,Key!$E$2:$F$9,2,FALSE)</f>
        <v>#N/A</v>
      </c>
      <c r="R372" s="25" t="e">
        <f t="shared" si="6"/>
        <v>#N/A</v>
      </c>
      <c r="S372" s="58"/>
      <c r="T372" s="58"/>
      <c r="U372" s="43"/>
      <c r="V372" s="43"/>
      <c r="W372" s="58"/>
      <c r="X372" s="58"/>
      <c r="Y372" s="59" t="s">
        <v>156</v>
      </c>
      <c r="Z372" s="60"/>
      <c r="AA372" s="25"/>
      <c r="AB372" s="25"/>
    </row>
    <row r="373" spans="2:28">
      <c r="B373" s="40"/>
      <c r="C373" s="40"/>
      <c r="D373" s="41"/>
      <c r="E373" s="42"/>
      <c r="F373" s="42"/>
      <c r="G373" s="43" t="s">
        <v>154</v>
      </c>
      <c r="H373" s="42" t="s">
        <v>155</v>
      </c>
      <c r="I373" s="43"/>
      <c r="J373" s="43"/>
      <c r="K373" s="25" t="e">
        <f>VLOOKUP(J373,Key!$E$2:$F$9,2,FALSE)</f>
        <v>#N/A</v>
      </c>
      <c r="L373" s="42"/>
      <c r="M373" s="43" t="s">
        <v>154</v>
      </c>
      <c r="N373" s="42" t="s">
        <v>155</v>
      </c>
      <c r="O373" s="43"/>
      <c r="P373" s="43"/>
      <c r="Q373" s="25" t="e">
        <f>VLOOKUP(P373,Key!$E$2:$F$9,2,FALSE)</f>
        <v>#N/A</v>
      </c>
      <c r="R373" s="25" t="e">
        <f t="shared" si="6"/>
        <v>#N/A</v>
      </c>
      <c r="S373" s="58"/>
      <c r="T373" s="58"/>
      <c r="U373" s="43"/>
      <c r="V373" s="43"/>
      <c r="W373" s="58"/>
      <c r="X373" s="58"/>
      <c r="Y373" s="59" t="s">
        <v>156</v>
      </c>
      <c r="Z373" s="60"/>
      <c r="AA373" s="25"/>
      <c r="AB373" s="25"/>
    </row>
    <row r="374" spans="2:28">
      <c r="B374" s="40"/>
      <c r="C374" s="40"/>
      <c r="D374" s="41"/>
      <c r="E374" s="42"/>
      <c r="F374" s="42"/>
      <c r="G374" s="43" t="s">
        <v>154</v>
      </c>
      <c r="H374" s="42" t="s">
        <v>155</v>
      </c>
      <c r="I374" s="43"/>
      <c r="J374" s="43"/>
      <c r="K374" s="25" t="e">
        <f>VLOOKUP(J374,Key!$E$2:$F$9,2,FALSE)</f>
        <v>#N/A</v>
      </c>
      <c r="L374" s="42"/>
      <c r="M374" s="43" t="s">
        <v>154</v>
      </c>
      <c r="N374" s="42" t="s">
        <v>155</v>
      </c>
      <c r="O374" s="43"/>
      <c r="P374" s="43"/>
      <c r="Q374" s="25" t="e">
        <f>VLOOKUP(P374,Key!$E$2:$F$9,2,FALSE)</f>
        <v>#N/A</v>
      </c>
      <c r="R374" s="25" t="e">
        <f t="shared" si="6"/>
        <v>#N/A</v>
      </c>
      <c r="S374" s="58"/>
      <c r="T374" s="58"/>
      <c r="U374" s="43"/>
      <c r="V374" s="43"/>
      <c r="W374" s="58"/>
      <c r="X374" s="58"/>
      <c r="Y374" s="59" t="s">
        <v>156</v>
      </c>
      <c r="Z374" s="60"/>
      <c r="AA374" s="25"/>
      <c r="AB374" s="25"/>
    </row>
    <row r="375" spans="2:28">
      <c r="B375" s="40"/>
      <c r="C375" s="40"/>
      <c r="D375" s="41"/>
      <c r="E375" s="42"/>
      <c r="F375" s="42"/>
      <c r="G375" s="43" t="s">
        <v>154</v>
      </c>
      <c r="H375" s="42" t="s">
        <v>155</v>
      </c>
      <c r="I375" s="43"/>
      <c r="J375" s="43"/>
      <c r="K375" s="25" t="e">
        <f>VLOOKUP(J375,Key!$E$2:$F$9,2,FALSE)</f>
        <v>#N/A</v>
      </c>
      <c r="L375" s="42"/>
      <c r="M375" s="43" t="s">
        <v>154</v>
      </c>
      <c r="N375" s="42" t="s">
        <v>155</v>
      </c>
      <c r="O375" s="43"/>
      <c r="P375" s="43"/>
      <c r="Q375" s="25" t="e">
        <f>VLOOKUP(P375,Key!$E$2:$F$9,2,FALSE)</f>
        <v>#N/A</v>
      </c>
      <c r="R375" s="25" t="e">
        <f t="shared" si="6"/>
        <v>#N/A</v>
      </c>
      <c r="S375" s="58"/>
      <c r="T375" s="58"/>
      <c r="U375" s="43"/>
      <c r="V375" s="43"/>
      <c r="W375" s="58"/>
      <c r="X375" s="58"/>
      <c r="Y375" s="59" t="s">
        <v>156</v>
      </c>
      <c r="Z375" s="60"/>
      <c r="AA375" s="25"/>
      <c r="AB375" s="25"/>
    </row>
    <row r="376" spans="2:28">
      <c r="B376" s="40"/>
      <c r="C376" s="40"/>
      <c r="D376" s="41"/>
      <c r="E376" s="42"/>
      <c r="F376" s="42"/>
      <c r="G376" s="43" t="s">
        <v>154</v>
      </c>
      <c r="H376" s="42" t="s">
        <v>155</v>
      </c>
      <c r="I376" s="43"/>
      <c r="J376" s="43"/>
      <c r="K376" s="25" t="e">
        <f>VLOOKUP(J376,Key!$E$2:$F$9,2,FALSE)</f>
        <v>#N/A</v>
      </c>
      <c r="L376" s="42"/>
      <c r="M376" s="43" t="s">
        <v>154</v>
      </c>
      <c r="N376" s="42" t="s">
        <v>155</v>
      </c>
      <c r="O376" s="43"/>
      <c r="P376" s="43"/>
      <c r="Q376" s="25" t="e">
        <f>VLOOKUP(P376,Key!$E$2:$F$9,2,FALSE)</f>
        <v>#N/A</v>
      </c>
      <c r="R376" s="25" t="e">
        <f t="shared" si="6"/>
        <v>#N/A</v>
      </c>
      <c r="S376" s="58"/>
      <c r="T376" s="58"/>
      <c r="U376" s="43"/>
      <c r="V376" s="43"/>
      <c r="W376" s="58"/>
      <c r="X376" s="58"/>
      <c r="Y376" s="59" t="s">
        <v>156</v>
      </c>
      <c r="Z376" s="60"/>
      <c r="AA376" s="25"/>
      <c r="AB376" s="25"/>
    </row>
    <row r="377" spans="2:28">
      <c r="B377" s="40"/>
      <c r="C377" s="40"/>
      <c r="D377" s="41"/>
      <c r="E377" s="42"/>
      <c r="F377" s="42"/>
      <c r="G377" s="43" t="s">
        <v>154</v>
      </c>
      <c r="H377" s="42" t="s">
        <v>155</v>
      </c>
      <c r="I377" s="43"/>
      <c r="J377" s="43"/>
      <c r="K377" s="25" t="e">
        <f>VLOOKUP(J377,Key!$E$2:$F$9,2,FALSE)</f>
        <v>#N/A</v>
      </c>
      <c r="L377" s="42"/>
      <c r="M377" s="43" t="s">
        <v>154</v>
      </c>
      <c r="N377" s="42" t="s">
        <v>155</v>
      </c>
      <c r="O377" s="43"/>
      <c r="P377" s="43"/>
      <c r="Q377" s="25" t="e">
        <f>VLOOKUP(P377,Key!$E$2:$F$9,2,FALSE)</f>
        <v>#N/A</v>
      </c>
      <c r="R377" s="25" t="e">
        <f t="shared" si="6"/>
        <v>#N/A</v>
      </c>
      <c r="S377" s="58"/>
      <c r="T377" s="58"/>
      <c r="U377" s="43"/>
      <c r="V377" s="43"/>
      <c r="W377" s="58"/>
      <c r="X377" s="58"/>
      <c r="Y377" s="59" t="s">
        <v>156</v>
      </c>
      <c r="Z377" s="60"/>
      <c r="AA377" s="25"/>
      <c r="AB377" s="25"/>
    </row>
    <row r="378" spans="2:28">
      <c r="B378" s="40"/>
      <c r="C378" s="40"/>
      <c r="D378" s="41"/>
      <c r="E378" s="42"/>
      <c r="F378" s="42"/>
      <c r="G378" s="43" t="s">
        <v>154</v>
      </c>
      <c r="H378" s="42" t="s">
        <v>155</v>
      </c>
      <c r="I378" s="43"/>
      <c r="J378" s="43"/>
      <c r="K378" s="25" t="e">
        <f>VLOOKUP(J378,Key!$E$2:$F$9,2,FALSE)</f>
        <v>#N/A</v>
      </c>
      <c r="L378" s="42"/>
      <c r="M378" s="43" t="s">
        <v>154</v>
      </c>
      <c r="N378" s="42" t="s">
        <v>155</v>
      </c>
      <c r="O378" s="43"/>
      <c r="P378" s="43"/>
      <c r="Q378" s="25" t="e">
        <f>VLOOKUP(P378,Key!$E$2:$F$9,2,FALSE)</f>
        <v>#N/A</v>
      </c>
      <c r="R378" s="25" t="e">
        <f t="shared" si="6"/>
        <v>#N/A</v>
      </c>
      <c r="S378" s="58"/>
      <c r="T378" s="58"/>
      <c r="U378" s="43"/>
      <c r="V378" s="43"/>
      <c r="W378" s="58"/>
      <c r="X378" s="58"/>
      <c r="Y378" s="59" t="s">
        <v>156</v>
      </c>
      <c r="Z378" s="60"/>
      <c r="AA378" s="25"/>
      <c r="AB378" s="25"/>
    </row>
    <row r="379" spans="2:28">
      <c r="B379" s="40"/>
      <c r="C379" s="40"/>
      <c r="D379" s="41"/>
      <c r="E379" s="42"/>
      <c r="F379" s="42"/>
      <c r="G379" s="43" t="s">
        <v>154</v>
      </c>
      <c r="H379" s="42" t="s">
        <v>155</v>
      </c>
      <c r="I379" s="43"/>
      <c r="J379" s="43"/>
      <c r="K379" s="25" t="e">
        <f>VLOOKUP(J379,Key!$E$2:$F$9,2,FALSE)</f>
        <v>#N/A</v>
      </c>
      <c r="L379" s="42"/>
      <c r="M379" s="43" t="s">
        <v>154</v>
      </c>
      <c r="N379" s="42" t="s">
        <v>155</v>
      </c>
      <c r="O379" s="43"/>
      <c r="P379" s="43"/>
      <c r="Q379" s="25" t="e">
        <f>VLOOKUP(P379,Key!$E$2:$F$9,2,FALSE)</f>
        <v>#N/A</v>
      </c>
      <c r="R379" s="25" t="e">
        <f t="shared" si="6"/>
        <v>#N/A</v>
      </c>
      <c r="S379" s="58"/>
      <c r="T379" s="58"/>
      <c r="U379" s="43"/>
      <c r="V379" s="43"/>
      <c r="W379" s="58"/>
      <c r="X379" s="58"/>
      <c r="Y379" s="59" t="s">
        <v>156</v>
      </c>
      <c r="Z379" s="60"/>
      <c r="AA379" s="25"/>
      <c r="AB379" s="25"/>
    </row>
    <row r="380" spans="2:28">
      <c r="B380" s="40"/>
      <c r="C380" s="40"/>
      <c r="D380" s="41"/>
      <c r="E380" s="42"/>
      <c r="F380" s="42"/>
      <c r="G380" s="43" t="s">
        <v>154</v>
      </c>
      <c r="H380" s="42" t="s">
        <v>155</v>
      </c>
      <c r="I380" s="43"/>
      <c r="J380" s="43"/>
      <c r="K380" s="25" t="e">
        <f>VLOOKUP(J380,Key!$E$2:$F$9,2,FALSE)</f>
        <v>#N/A</v>
      </c>
      <c r="L380" s="42"/>
      <c r="M380" s="43" t="s">
        <v>154</v>
      </c>
      <c r="N380" s="42" t="s">
        <v>155</v>
      </c>
      <c r="O380" s="43"/>
      <c r="P380" s="43"/>
      <c r="Q380" s="25" t="e">
        <f>VLOOKUP(P380,Key!$E$2:$F$9,2,FALSE)</f>
        <v>#N/A</v>
      </c>
      <c r="R380" s="25" t="e">
        <f t="shared" si="6"/>
        <v>#N/A</v>
      </c>
      <c r="S380" s="58"/>
      <c r="T380" s="58"/>
      <c r="U380" s="43"/>
      <c r="V380" s="43"/>
      <c r="W380" s="58"/>
      <c r="X380" s="58"/>
      <c r="Y380" s="59" t="s">
        <v>156</v>
      </c>
      <c r="Z380" s="60"/>
      <c r="AA380" s="25"/>
      <c r="AB380" s="25"/>
    </row>
    <row r="381" spans="2:28">
      <c r="B381" s="40"/>
      <c r="C381" s="40"/>
      <c r="D381" s="41"/>
      <c r="E381" s="42"/>
      <c r="F381" s="42"/>
      <c r="G381" s="43" t="s">
        <v>154</v>
      </c>
      <c r="H381" s="42" t="s">
        <v>155</v>
      </c>
      <c r="I381" s="43"/>
      <c r="J381" s="43"/>
      <c r="K381" s="25" t="e">
        <f>VLOOKUP(J381,Key!$E$2:$F$9,2,FALSE)</f>
        <v>#N/A</v>
      </c>
      <c r="L381" s="42"/>
      <c r="M381" s="43" t="s">
        <v>154</v>
      </c>
      <c r="N381" s="42" t="s">
        <v>155</v>
      </c>
      <c r="O381" s="43"/>
      <c r="P381" s="43"/>
      <c r="Q381" s="25" t="e">
        <f>VLOOKUP(P381,Key!$E$2:$F$9,2,FALSE)</f>
        <v>#N/A</v>
      </c>
      <c r="R381" s="25" t="e">
        <f t="shared" si="6"/>
        <v>#N/A</v>
      </c>
      <c r="S381" s="58"/>
      <c r="T381" s="58"/>
      <c r="U381" s="43"/>
      <c r="V381" s="43"/>
      <c r="W381" s="58"/>
      <c r="X381" s="58"/>
      <c r="Y381" s="59" t="s">
        <v>156</v>
      </c>
      <c r="Z381" s="60"/>
      <c r="AA381" s="25"/>
      <c r="AB381" s="25"/>
    </row>
    <row r="382" spans="2:28">
      <c r="B382" s="40"/>
      <c r="C382" s="40"/>
      <c r="D382" s="41"/>
      <c r="E382" s="42"/>
      <c r="F382" s="42"/>
      <c r="G382" s="43" t="s">
        <v>154</v>
      </c>
      <c r="H382" s="42" t="s">
        <v>155</v>
      </c>
      <c r="I382" s="43"/>
      <c r="J382" s="43"/>
      <c r="K382" s="25" t="e">
        <f>VLOOKUP(J382,Key!$E$2:$F$9,2,FALSE)</f>
        <v>#N/A</v>
      </c>
      <c r="L382" s="42"/>
      <c r="M382" s="43" t="s">
        <v>154</v>
      </c>
      <c r="N382" s="42" t="s">
        <v>155</v>
      </c>
      <c r="O382" s="43"/>
      <c r="P382" s="43"/>
      <c r="Q382" s="25" t="e">
        <f>VLOOKUP(P382,Key!$E$2:$F$9,2,FALSE)</f>
        <v>#N/A</v>
      </c>
      <c r="R382" s="25" t="e">
        <f t="shared" si="6"/>
        <v>#N/A</v>
      </c>
      <c r="S382" s="58"/>
      <c r="T382" s="58"/>
      <c r="U382" s="43"/>
      <c r="V382" s="43"/>
      <c r="W382" s="58"/>
      <c r="X382" s="58"/>
      <c r="Y382" s="59" t="s">
        <v>156</v>
      </c>
      <c r="Z382" s="60"/>
      <c r="AA382" s="25"/>
      <c r="AB382" s="25"/>
    </row>
    <row r="383" spans="2:28">
      <c r="B383" s="40"/>
      <c r="C383" s="40"/>
      <c r="D383" s="41"/>
      <c r="E383" s="42"/>
      <c r="F383" s="42"/>
      <c r="G383" s="43" t="s">
        <v>154</v>
      </c>
      <c r="H383" s="42" t="s">
        <v>155</v>
      </c>
      <c r="I383" s="43"/>
      <c r="J383" s="43"/>
      <c r="K383" s="25" t="e">
        <f>VLOOKUP(J383,Key!$E$2:$F$9,2,FALSE)</f>
        <v>#N/A</v>
      </c>
      <c r="L383" s="42"/>
      <c r="M383" s="43" t="s">
        <v>154</v>
      </c>
      <c r="N383" s="42" t="s">
        <v>155</v>
      </c>
      <c r="O383" s="43"/>
      <c r="P383" s="43"/>
      <c r="Q383" s="25" t="e">
        <f>VLOOKUP(P383,Key!$E$2:$F$9,2,FALSE)</f>
        <v>#N/A</v>
      </c>
      <c r="R383" s="25" t="e">
        <f t="shared" si="6"/>
        <v>#N/A</v>
      </c>
      <c r="S383" s="58"/>
      <c r="T383" s="58"/>
      <c r="U383" s="43"/>
      <c r="V383" s="43"/>
      <c r="W383" s="58"/>
      <c r="X383" s="58"/>
      <c r="Y383" s="59" t="s">
        <v>156</v>
      </c>
      <c r="Z383" s="60"/>
      <c r="AA383" s="25"/>
      <c r="AB383" s="25"/>
    </row>
    <row r="384" spans="2:28">
      <c r="B384" s="40"/>
      <c r="C384" s="40"/>
      <c r="D384" s="41"/>
      <c r="E384" s="42"/>
      <c r="F384" s="42"/>
      <c r="G384" s="43" t="s">
        <v>154</v>
      </c>
      <c r="H384" s="42" t="s">
        <v>155</v>
      </c>
      <c r="I384" s="43"/>
      <c r="J384" s="43"/>
      <c r="K384" s="25" t="e">
        <f>VLOOKUP(J384,Key!$E$2:$F$9,2,FALSE)</f>
        <v>#N/A</v>
      </c>
      <c r="L384" s="42"/>
      <c r="M384" s="43" t="s">
        <v>154</v>
      </c>
      <c r="N384" s="42" t="s">
        <v>155</v>
      </c>
      <c r="O384" s="43"/>
      <c r="P384" s="43"/>
      <c r="Q384" s="25" t="e">
        <f>VLOOKUP(P384,Key!$E$2:$F$9,2,FALSE)</f>
        <v>#N/A</v>
      </c>
      <c r="R384" s="25" t="e">
        <f t="shared" si="6"/>
        <v>#N/A</v>
      </c>
      <c r="S384" s="58"/>
      <c r="T384" s="58"/>
      <c r="U384" s="43"/>
      <c r="V384" s="43"/>
      <c r="W384" s="58"/>
      <c r="X384" s="58"/>
      <c r="Y384" s="59" t="s">
        <v>156</v>
      </c>
      <c r="Z384" s="60"/>
      <c r="AA384" s="25"/>
      <c r="AB384" s="25"/>
    </row>
    <row r="385" spans="2:28">
      <c r="B385" s="40"/>
      <c r="C385" s="40"/>
      <c r="D385" s="41"/>
      <c r="E385" s="42"/>
      <c r="F385" s="42"/>
      <c r="G385" s="43" t="s">
        <v>154</v>
      </c>
      <c r="H385" s="42" t="s">
        <v>155</v>
      </c>
      <c r="I385" s="43"/>
      <c r="J385" s="43"/>
      <c r="K385" s="25" t="e">
        <f>VLOOKUP(J385,Key!$E$2:$F$9,2,FALSE)</f>
        <v>#N/A</v>
      </c>
      <c r="L385" s="42"/>
      <c r="M385" s="43" t="s">
        <v>154</v>
      </c>
      <c r="N385" s="42" t="s">
        <v>155</v>
      </c>
      <c r="O385" s="43"/>
      <c r="P385" s="43"/>
      <c r="Q385" s="25" t="e">
        <f>VLOOKUP(P385,Key!$E$2:$F$9,2,FALSE)</f>
        <v>#N/A</v>
      </c>
      <c r="R385" s="25" t="e">
        <f t="shared" si="6"/>
        <v>#N/A</v>
      </c>
      <c r="S385" s="58"/>
      <c r="T385" s="58"/>
      <c r="U385" s="43"/>
      <c r="V385" s="43"/>
      <c r="W385" s="58"/>
      <c r="X385" s="58"/>
      <c r="Y385" s="59" t="s">
        <v>156</v>
      </c>
      <c r="Z385" s="60"/>
      <c r="AA385" s="25"/>
      <c r="AB385" s="25"/>
    </row>
    <row r="386" spans="2:28">
      <c r="B386" s="40"/>
      <c r="C386" s="40"/>
      <c r="D386" s="41"/>
      <c r="E386" s="42"/>
      <c r="F386" s="42"/>
      <c r="G386" s="43" t="s">
        <v>154</v>
      </c>
      <c r="H386" s="42" t="s">
        <v>155</v>
      </c>
      <c r="I386" s="43"/>
      <c r="J386" s="43"/>
      <c r="K386" s="25" t="e">
        <f>VLOOKUP(J386,Key!$E$2:$F$9,2,FALSE)</f>
        <v>#N/A</v>
      </c>
      <c r="L386" s="42"/>
      <c r="M386" s="43" t="s">
        <v>154</v>
      </c>
      <c r="N386" s="42" t="s">
        <v>155</v>
      </c>
      <c r="O386" s="43"/>
      <c r="P386" s="43"/>
      <c r="Q386" s="25" t="e">
        <f>VLOOKUP(P386,Key!$E$2:$F$9,2,FALSE)</f>
        <v>#N/A</v>
      </c>
      <c r="R386" s="25" t="e">
        <f t="shared" si="6"/>
        <v>#N/A</v>
      </c>
      <c r="S386" s="58"/>
      <c r="T386" s="58"/>
      <c r="U386" s="43"/>
      <c r="V386" s="43"/>
      <c r="W386" s="58"/>
      <c r="X386" s="58"/>
      <c r="Y386" s="59" t="s">
        <v>156</v>
      </c>
      <c r="Z386" s="60"/>
      <c r="AA386" s="25"/>
      <c r="AB386" s="25"/>
    </row>
    <row r="387" spans="2:28">
      <c r="B387" s="40"/>
      <c r="C387" s="40"/>
      <c r="D387" s="41"/>
      <c r="E387" s="42"/>
      <c r="F387" s="42"/>
      <c r="G387" s="43" t="s">
        <v>154</v>
      </c>
      <c r="H387" s="42" t="s">
        <v>155</v>
      </c>
      <c r="I387" s="43"/>
      <c r="J387" s="43"/>
      <c r="K387" s="25" t="e">
        <f>VLOOKUP(J387,Key!$E$2:$F$9,2,FALSE)</f>
        <v>#N/A</v>
      </c>
      <c r="L387" s="42"/>
      <c r="M387" s="43" t="s">
        <v>154</v>
      </c>
      <c r="N387" s="42" t="s">
        <v>155</v>
      </c>
      <c r="O387" s="43"/>
      <c r="P387" s="43"/>
      <c r="Q387" s="25" t="e">
        <f>VLOOKUP(P387,Key!$E$2:$F$9,2,FALSE)</f>
        <v>#N/A</v>
      </c>
      <c r="R387" s="25" t="e">
        <f t="shared" si="6"/>
        <v>#N/A</v>
      </c>
      <c r="S387" s="58"/>
      <c r="T387" s="58"/>
      <c r="U387" s="43"/>
      <c r="V387" s="43"/>
      <c r="W387" s="58"/>
      <c r="X387" s="58"/>
      <c r="Y387" s="59" t="s">
        <v>156</v>
      </c>
      <c r="Z387" s="60"/>
      <c r="AA387" s="25"/>
      <c r="AB387" s="25"/>
    </row>
    <row r="388" spans="2:28">
      <c r="B388" s="40"/>
      <c r="C388" s="40"/>
      <c r="D388" s="41"/>
      <c r="E388" s="42"/>
      <c r="F388" s="42"/>
      <c r="G388" s="43" t="s">
        <v>154</v>
      </c>
      <c r="H388" s="42" t="s">
        <v>155</v>
      </c>
      <c r="I388" s="43"/>
      <c r="J388" s="43"/>
      <c r="K388" s="25" t="e">
        <f>VLOOKUP(J388,Key!$E$2:$F$9,2,FALSE)</f>
        <v>#N/A</v>
      </c>
      <c r="L388" s="42"/>
      <c r="M388" s="43" t="s">
        <v>154</v>
      </c>
      <c r="N388" s="42" t="s">
        <v>155</v>
      </c>
      <c r="O388" s="43"/>
      <c r="P388" s="43"/>
      <c r="Q388" s="25" t="e">
        <f>VLOOKUP(P388,Key!$E$2:$F$9,2,FALSE)</f>
        <v>#N/A</v>
      </c>
      <c r="R388" s="25" t="e">
        <f t="shared" si="6"/>
        <v>#N/A</v>
      </c>
      <c r="S388" s="58"/>
      <c r="T388" s="58"/>
      <c r="U388" s="43"/>
      <c r="V388" s="43"/>
      <c r="W388" s="58"/>
      <c r="X388" s="58"/>
      <c r="Y388" s="59" t="s">
        <v>156</v>
      </c>
      <c r="Z388" s="60"/>
      <c r="AA388" s="25"/>
      <c r="AB388" s="25"/>
    </row>
    <row r="389" spans="2:28">
      <c r="B389" s="40"/>
      <c r="C389" s="40"/>
      <c r="D389" s="41"/>
      <c r="E389" s="42"/>
      <c r="F389" s="42"/>
      <c r="G389" s="43" t="s">
        <v>154</v>
      </c>
      <c r="H389" s="42" t="s">
        <v>155</v>
      </c>
      <c r="I389" s="43"/>
      <c r="J389" s="43"/>
      <c r="K389" s="25" t="e">
        <f>VLOOKUP(J389,Key!$E$2:$F$9,2,FALSE)</f>
        <v>#N/A</v>
      </c>
      <c r="L389" s="42"/>
      <c r="M389" s="43" t="s">
        <v>154</v>
      </c>
      <c r="N389" s="42" t="s">
        <v>155</v>
      </c>
      <c r="O389" s="43"/>
      <c r="P389" s="43"/>
      <c r="Q389" s="25" t="e">
        <f>VLOOKUP(P389,Key!$E$2:$F$9,2,FALSE)</f>
        <v>#N/A</v>
      </c>
      <c r="R389" s="25" t="e">
        <f t="shared" si="6"/>
        <v>#N/A</v>
      </c>
      <c r="S389" s="58"/>
      <c r="T389" s="58"/>
      <c r="U389" s="43"/>
      <c r="V389" s="43"/>
      <c r="W389" s="58"/>
      <c r="X389" s="58"/>
      <c r="Y389" s="59" t="s">
        <v>156</v>
      </c>
      <c r="Z389" s="60"/>
      <c r="AA389" s="25"/>
      <c r="AB389" s="25"/>
    </row>
    <row r="390" spans="2:28">
      <c r="B390" s="40"/>
      <c r="C390" s="40"/>
      <c r="D390" s="41"/>
      <c r="E390" s="42"/>
      <c r="F390" s="42"/>
      <c r="G390" s="43" t="s">
        <v>154</v>
      </c>
      <c r="H390" s="42" t="s">
        <v>155</v>
      </c>
      <c r="I390" s="43"/>
      <c r="J390" s="43"/>
      <c r="K390" s="25" t="e">
        <f>VLOOKUP(J390,Key!$E$2:$F$9,2,FALSE)</f>
        <v>#N/A</v>
      </c>
      <c r="L390" s="42"/>
      <c r="M390" s="43" t="s">
        <v>154</v>
      </c>
      <c r="N390" s="42" t="s">
        <v>155</v>
      </c>
      <c r="O390" s="43"/>
      <c r="P390" s="43"/>
      <c r="Q390" s="25" t="e">
        <f>VLOOKUP(P390,Key!$E$2:$F$9,2,FALSE)</f>
        <v>#N/A</v>
      </c>
      <c r="R390" s="25" t="e">
        <f t="shared" si="6"/>
        <v>#N/A</v>
      </c>
      <c r="S390" s="58"/>
      <c r="T390" s="58"/>
      <c r="U390" s="43"/>
      <c r="V390" s="43"/>
      <c r="W390" s="58"/>
      <c r="X390" s="58"/>
      <c r="Y390" s="59" t="s">
        <v>156</v>
      </c>
      <c r="Z390" s="60"/>
      <c r="AA390" s="25"/>
      <c r="AB390" s="25"/>
    </row>
    <row r="391" spans="2:28">
      <c r="B391" s="40"/>
      <c r="C391" s="40"/>
      <c r="D391" s="41"/>
      <c r="E391" s="42"/>
      <c r="F391" s="42"/>
      <c r="G391" s="43" t="s">
        <v>154</v>
      </c>
      <c r="H391" s="42" t="s">
        <v>155</v>
      </c>
      <c r="I391" s="43"/>
      <c r="J391" s="43"/>
      <c r="K391" s="25" t="e">
        <f>VLOOKUP(J391,Key!$E$2:$F$9,2,FALSE)</f>
        <v>#N/A</v>
      </c>
      <c r="L391" s="42"/>
      <c r="M391" s="43" t="s">
        <v>154</v>
      </c>
      <c r="N391" s="42" t="s">
        <v>155</v>
      </c>
      <c r="O391" s="43"/>
      <c r="P391" s="43"/>
      <c r="Q391" s="25" t="e">
        <f>VLOOKUP(P391,Key!$E$2:$F$9,2,FALSE)</f>
        <v>#N/A</v>
      </c>
      <c r="R391" s="25" t="e">
        <f t="shared" si="6"/>
        <v>#N/A</v>
      </c>
      <c r="S391" s="58"/>
      <c r="T391" s="58"/>
      <c r="U391" s="43"/>
      <c r="V391" s="43"/>
      <c r="W391" s="58"/>
      <c r="X391" s="58"/>
      <c r="Y391" s="59" t="s">
        <v>156</v>
      </c>
      <c r="Z391" s="60"/>
      <c r="AA391" s="25"/>
      <c r="AB391" s="25"/>
    </row>
    <row r="392" spans="2:28">
      <c r="B392" s="40"/>
      <c r="C392" s="40"/>
      <c r="D392" s="41"/>
      <c r="E392" s="42"/>
      <c r="F392" s="42"/>
      <c r="G392" s="43" t="s">
        <v>154</v>
      </c>
      <c r="H392" s="42" t="s">
        <v>155</v>
      </c>
      <c r="I392" s="43"/>
      <c r="J392" s="43"/>
      <c r="K392" s="25" t="e">
        <f>VLOOKUP(J392,Key!$E$2:$F$9,2,FALSE)</f>
        <v>#N/A</v>
      </c>
      <c r="L392" s="42"/>
      <c r="M392" s="43" t="s">
        <v>154</v>
      </c>
      <c r="N392" s="42" t="s">
        <v>155</v>
      </c>
      <c r="O392" s="43"/>
      <c r="P392" s="43"/>
      <c r="Q392" s="25" t="e">
        <f>VLOOKUP(P392,Key!$E$2:$F$9,2,FALSE)</f>
        <v>#N/A</v>
      </c>
      <c r="R392" s="25" t="e">
        <f t="shared" si="6"/>
        <v>#N/A</v>
      </c>
      <c r="S392" s="58"/>
      <c r="T392" s="58"/>
      <c r="U392" s="43"/>
      <c r="V392" s="43"/>
      <c r="W392" s="58"/>
      <c r="X392" s="58"/>
      <c r="Y392" s="59" t="s">
        <v>156</v>
      </c>
      <c r="Z392" s="60"/>
      <c r="AA392" s="25"/>
      <c r="AB392" s="25"/>
    </row>
    <row r="393" spans="2:28">
      <c r="B393" s="40"/>
      <c r="C393" s="40"/>
      <c r="D393" s="41"/>
      <c r="E393" s="42"/>
      <c r="F393" s="42"/>
      <c r="G393" s="43" t="s">
        <v>154</v>
      </c>
      <c r="H393" s="42" t="s">
        <v>155</v>
      </c>
      <c r="I393" s="43"/>
      <c r="J393" s="43"/>
      <c r="K393" s="25" t="e">
        <f>VLOOKUP(J393,Key!$E$2:$F$9,2,FALSE)</f>
        <v>#N/A</v>
      </c>
      <c r="L393" s="42"/>
      <c r="M393" s="43" t="s">
        <v>154</v>
      </c>
      <c r="N393" s="42" t="s">
        <v>155</v>
      </c>
      <c r="O393" s="43"/>
      <c r="P393" s="43"/>
      <c r="Q393" s="25" t="e">
        <f>VLOOKUP(P393,Key!$E$2:$F$9,2,FALSE)</f>
        <v>#N/A</v>
      </c>
      <c r="R393" s="25" t="e">
        <f t="shared" si="6"/>
        <v>#N/A</v>
      </c>
      <c r="S393" s="58"/>
      <c r="T393" s="58"/>
      <c r="U393" s="43"/>
      <c r="V393" s="43"/>
      <c r="W393" s="58"/>
      <c r="X393" s="58"/>
      <c r="Y393" s="59" t="s">
        <v>156</v>
      </c>
      <c r="Z393" s="60"/>
      <c r="AA393" s="25"/>
      <c r="AB393" s="25"/>
    </row>
    <row r="394" spans="2:28">
      <c r="B394" s="40"/>
      <c r="C394" s="40"/>
      <c r="D394" s="41"/>
      <c r="E394" s="42"/>
      <c r="F394" s="42"/>
      <c r="G394" s="43" t="s">
        <v>154</v>
      </c>
      <c r="H394" s="42" t="s">
        <v>155</v>
      </c>
      <c r="I394" s="43"/>
      <c r="J394" s="43"/>
      <c r="K394" s="25" t="e">
        <f>VLOOKUP(J394,Key!$E$2:$F$9,2,FALSE)</f>
        <v>#N/A</v>
      </c>
      <c r="L394" s="42"/>
      <c r="M394" s="43" t="s">
        <v>154</v>
      </c>
      <c r="N394" s="42" t="s">
        <v>155</v>
      </c>
      <c r="O394" s="43"/>
      <c r="P394" s="43"/>
      <c r="Q394" s="25" t="e">
        <f>VLOOKUP(P394,Key!$E$2:$F$9,2,FALSE)</f>
        <v>#N/A</v>
      </c>
      <c r="R394" s="25" t="e">
        <f t="shared" si="6"/>
        <v>#N/A</v>
      </c>
      <c r="S394" s="58"/>
      <c r="T394" s="58"/>
      <c r="U394" s="43"/>
      <c r="V394" s="43"/>
      <c r="W394" s="58"/>
      <c r="X394" s="58"/>
      <c r="Y394" s="59" t="s">
        <v>156</v>
      </c>
      <c r="Z394" s="60"/>
      <c r="AA394" s="25"/>
      <c r="AB394" s="25"/>
    </row>
    <row r="395" spans="2:28">
      <c r="B395" s="40"/>
      <c r="C395" s="40"/>
      <c r="D395" s="41"/>
      <c r="E395" s="42"/>
      <c r="F395" s="42"/>
      <c r="G395" s="43" t="s">
        <v>154</v>
      </c>
      <c r="H395" s="42" t="s">
        <v>155</v>
      </c>
      <c r="I395" s="43"/>
      <c r="J395" s="43"/>
      <c r="K395" s="25" t="e">
        <f>VLOOKUP(J395,Key!$E$2:$F$9,2,FALSE)</f>
        <v>#N/A</v>
      </c>
      <c r="L395" s="42"/>
      <c r="M395" s="43" t="s">
        <v>154</v>
      </c>
      <c r="N395" s="42" t="s">
        <v>155</v>
      </c>
      <c r="O395" s="43"/>
      <c r="P395" s="43"/>
      <c r="Q395" s="25" t="e">
        <f>VLOOKUP(P395,Key!$E$2:$F$9,2,FALSE)</f>
        <v>#N/A</v>
      </c>
      <c r="R395" s="25" t="e">
        <f t="shared" si="6"/>
        <v>#N/A</v>
      </c>
      <c r="S395" s="58"/>
      <c r="T395" s="58"/>
      <c r="U395" s="43"/>
      <c r="V395" s="43"/>
      <c r="W395" s="58"/>
      <c r="X395" s="58"/>
      <c r="Y395" s="59" t="s">
        <v>156</v>
      </c>
      <c r="Z395" s="60"/>
      <c r="AA395" s="25"/>
      <c r="AB395" s="25"/>
    </row>
    <row r="396" spans="2:28">
      <c r="B396" s="40"/>
      <c r="C396" s="40"/>
      <c r="D396" s="41"/>
      <c r="E396" s="42"/>
      <c r="F396" s="42"/>
      <c r="G396" s="43" t="s">
        <v>154</v>
      </c>
      <c r="H396" s="42" t="s">
        <v>155</v>
      </c>
      <c r="I396" s="43"/>
      <c r="J396" s="43"/>
      <c r="K396" s="25" t="e">
        <f>VLOOKUP(J396,Key!$E$2:$F$9,2,FALSE)</f>
        <v>#N/A</v>
      </c>
      <c r="L396" s="42"/>
      <c r="M396" s="43" t="s">
        <v>154</v>
      </c>
      <c r="N396" s="42" t="s">
        <v>155</v>
      </c>
      <c r="O396" s="43"/>
      <c r="P396" s="43"/>
      <c r="Q396" s="25" t="e">
        <f>VLOOKUP(P396,Key!$E$2:$F$9,2,FALSE)</f>
        <v>#N/A</v>
      </c>
      <c r="R396" s="25" t="e">
        <f t="shared" si="6"/>
        <v>#N/A</v>
      </c>
      <c r="S396" s="58"/>
      <c r="T396" s="58"/>
      <c r="U396" s="43"/>
      <c r="V396" s="43"/>
      <c r="W396" s="58"/>
      <c r="X396" s="58"/>
      <c r="Y396" s="59" t="s">
        <v>156</v>
      </c>
      <c r="Z396" s="60"/>
      <c r="AA396" s="25"/>
      <c r="AB396" s="25"/>
    </row>
    <row r="397" spans="2:28">
      <c r="B397" s="40"/>
      <c r="C397" s="40"/>
      <c r="D397" s="41"/>
      <c r="E397" s="42"/>
      <c r="F397" s="42"/>
      <c r="G397" s="43" t="s">
        <v>154</v>
      </c>
      <c r="H397" s="42" t="s">
        <v>155</v>
      </c>
      <c r="I397" s="43"/>
      <c r="J397" s="43"/>
      <c r="K397" s="25" t="e">
        <f>VLOOKUP(J397,Key!$E$2:$F$9,2,FALSE)</f>
        <v>#N/A</v>
      </c>
      <c r="L397" s="42"/>
      <c r="M397" s="43" t="s">
        <v>154</v>
      </c>
      <c r="N397" s="42" t="s">
        <v>155</v>
      </c>
      <c r="O397" s="43"/>
      <c r="P397" s="43"/>
      <c r="Q397" s="25" t="e">
        <f>VLOOKUP(P397,Key!$E$2:$F$9,2,FALSE)</f>
        <v>#N/A</v>
      </c>
      <c r="R397" s="25" t="e">
        <f t="shared" si="6"/>
        <v>#N/A</v>
      </c>
      <c r="S397" s="58"/>
      <c r="T397" s="58"/>
      <c r="U397" s="43"/>
      <c r="V397" s="43"/>
      <c r="W397" s="58"/>
      <c r="X397" s="58"/>
      <c r="Y397" s="59" t="s">
        <v>156</v>
      </c>
      <c r="Z397" s="60"/>
      <c r="AA397" s="25"/>
      <c r="AB397" s="25"/>
    </row>
    <row r="398" spans="2:28">
      <c r="B398" s="40"/>
      <c r="C398" s="40"/>
      <c r="D398" s="41"/>
      <c r="E398" s="42"/>
      <c r="F398" s="42"/>
      <c r="G398" s="43" t="s">
        <v>154</v>
      </c>
      <c r="H398" s="42" t="s">
        <v>155</v>
      </c>
      <c r="I398" s="43"/>
      <c r="J398" s="43"/>
      <c r="K398" s="25" t="e">
        <f>VLOOKUP(J398,Key!$E$2:$F$9,2,FALSE)</f>
        <v>#N/A</v>
      </c>
      <c r="L398" s="42"/>
      <c r="M398" s="43" t="s">
        <v>154</v>
      </c>
      <c r="N398" s="42" t="s">
        <v>155</v>
      </c>
      <c r="O398" s="43"/>
      <c r="P398" s="43"/>
      <c r="Q398" s="25" t="e">
        <f>VLOOKUP(P398,Key!$E$2:$F$9,2,FALSE)</f>
        <v>#N/A</v>
      </c>
      <c r="R398" s="25" t="e">
        <f t="shared" si="6"/>
        <v>#N/A</v>
      </c>
      <c r="S398" s="58"/>
      <c r="T398" s="58"/>
      <c r="U398" s="43"/>
      <c r="V398" s="43"/>
      <c r="W398" s="58"/>
      <c r="X398" s="58"/>
      <c r="Y398" s="59" t="s">
        <v>156</v>
      </c>
      <c r="Z398" s="60"/>
      <c r="AA398" s="25"/>
      <c r="AB398" s="25"/>
    </row>
    <row r="399" spans="2:28">
      <c r="B399" s="40"/>
      <c r="C399" s="40"/>
      <c r="D399" s="41"/>
      <c r="E399" s="42"/>
      <c r="F399" s="42"/>
      <c r="G399" s="43" t="s">
        <v>154</v>
      </c>
      <c r="H399" s="42" t="s">
        <v>155</v>
      </c>
      <c r="I399" s="43"/>
      <c r="J399" s="43"/>
      <c r="K399" s="25" t="e">
        <f>VLOOKUP(J399,Key!$E$2:$F$9,2,FALSE)</f>
        <v>#N/A</v>
      </c>
      <c r="L399" s="42"/>
      <c r="M399" s="43" t="s">
        <v>154</v>
      </c>
      <c r="N399" s="42" t="s">
        <v>155</v>
      </c>
      <c r="O399" s="43"/>
      <c r="P399" s="43"/>
      <c r="Q399" s="25" t="e">
        <f>VLOOKUP(P399,Key!$E$2:$F$9,2,FALSE)</f>
        <v>#N/A</v>
      </c>
      <c r="R399" s="25" t="e">
        <f t="shared" si="6"/>
        <v>#N/A</v>
      </c>
      <c r="S399" s="58"/>
      <c r="T399" s="58"/>
      <c r="U399" s="43"/>
      <c r="V399" s="43"/>
      <c r="W399" s="58"/>
      <c r="X399" s="58"/>
      <c r="Y399" s="59" t="s">
        <v>156</v>
      </c>
      <c r="Z399" s="60"/>
      <c r="AA399" s="25"/>
      <c r="AB399" s="25"/>
    </row>
    <row r="400" spans="2:28">
      <c r="B400" s="40"/>
      <c r="C400" s="40"/>
      <c r="D400" s="41"/>
      <c r="E400" s="42"/>
      <c r="F400" s="42"/>
      <c r="G400" s="43" t="s">
        <v>154</v>
      </c>
      <c r="H400" s="42" t="s">
        <v>155</v>
      </c>
      <c r="I400" s="43"/>
      <c r="J400" s="43"/>
      <c r="K400" s="25" t="e">
        <f>VLOOKUP(J400,Key!$E$2:$F$9,2,FALSE)</f>
        <v>#N/A</v>
      </c>
      <c r="L400" s="42"/>
      <c r="M400" s="43" t="s">
        <v>154</v>
      </c>
      <c r="N400" s="42" t="s">
        <v>155</v>
      </c>
      <c r="O400" s="43"/>
      <c r="P400" s="43"/>
      <c r="Q400" s="25" t="e">
        <f>VLOOKUP(P400,Key!$E$2:$F$9,2,FALSE)</f>
        <v>#N/A</v>
      </c>
      <c r="R400" s="25" t="e">
        <f t="shared" si="6"/>
        <v>#N/A</v>
      </c>
      <c r="S400" s="58"/>
      <c r="T400" s="58"/>
      <c r="U400" s="43"/>
      <c r="V400" s="43"/>
      <c r="W400" s="58"/>
      <c r="X400" s="58"/>
      <c r="Y400" s="59" t="s">
        <v>156</v>
      </c>
      <c r="Z400" s="60"/>
      <c r="AA400" s="25"/>
      <c r="AB400" s="25"/>
    </row>
    <row r="401" spans="2:28">
      <c r="B401" s="40"/>
      <c r="C401" s="40"/>
      <c r="D401" s="41"/>
      <c r="E401" s="42"/>
      <c r="F401" s="42"/>
      <c r="G401" s="43" t="s">
        <v>154</v>
      </c>
      <c r="H401" s="42" t="s">
        <v>155</v>
      </c>
      <c r="I401" s="43"/>
      <c r="J401" s="43"/>
      <c r="K401" s="25" t="e">
        <f>VLOOKUP(J401,Key!$E$2:$F$9,2,FALSE)</f>
        <v>#N/A</v>
      </c>
      <c r="L401" s="42"/>
      <c r="M401" s="43" t="s">
        <v>154</v>
      </c>
      <c r="N401" s="42" t="s">
        <v>155</v>
      </c>
      <c r="O401" s="43"/>
      <c r="P401" s="43"/>
      <c r="Q401" s="25" t="e">
        <f>VLOOKUP(P401,Key!$E$2:$F$9,2,FALSE)</f>
        <v>#N/A</v>
      </c>
      <c r="R401" s="25" t="e">
        <f t="shared" si="6"/>
        <v>#N/A</v>
      </c>
      <c r="S401" s="58"/>
      <c r="T401" s="58"/>
      <c r="U401" s="43"/>
      <c r="V401" s="43"/>
      <c r="W401" s="58"/>
      <c r="X401" s="58"/>
      <c r="Y401" s="59" t="s">
        <v>156</v>
      </c>
      <c r="Z401" s="60"/>
      <c r="AA401" s="25"/>
      <c r="AB401" s="25"/>
    </row>
    <row r="402" spans="2:28">
      <c r="B402" s="40"/>
      <c r="C402" s="40"/>
      <c r="D402" s="41"/>
      <c r="E402" s="42"/>
      <c r="F402" s="42"/>
      <c r="G402" s="43" t="s">
        <v>154</v>
      </c>
      <c r="H402" s="42" t="s">
        <v>155</v>
      </c>
      <c r="I402" s="43"/>
      <c r="J402" s="43"/>
      <c r="K402" s="25" t="e">
        <f>VLOOKUP(J402,Key!$E$2:$F$9,2,FALSE)</f>
        <v>#N/A</v>
      </c>
      <c r="L402" s="42"/>
      <c r="M402" s="43" t="s">
        <v>154</v>
      </c>
      <c r="N402" s="42" t="s">
        <v>155</v>
      </c>
      <c r="O402" s="43"/>
      <c r="P402" s="43"/>
      <c r="Q402" s="25" t="e">
        <f>VLOOKUP(P402,Key!$E$2:$F$9,2,FALSE)</f>
        <v>#N/A</v>
      </c>
      <c r="R402" s="25" t="e">
        <f t="shared" si="6"/>
        <v>#N/A</v>
      </c>
      <c r="S402" s="58"/>
      <c r="T402" s="58"/>
      <c r="U402" s="43"/>
      <c r="V402" s="43"/>
      <c r="W402" s="58"/>
      <c r="X402" s="58"/>
      <c r="Y402" s="59" t="s">
        <v>156</v>
      </c>
      <c r="Z402" s="60"/>
      <c r="AA402" s="25"/>
      <c r="AB402" s="25"/>
    </row>
    <row r="403" spans="2:28">
      <c r="B403" s="40"/>
      <c r="C403" s="40"/>
      <c r="D403" s="41"/>
      <c r="E403" s="42"/>
      <c r="F403" s="42"/>
      <c r="G403" s="43" t="s">
        <v>154</v>
      </c>
      <c r="H403" s="42" t="s">
        <v>155</v>
      </c>
      <c r="I403" s="43"/>
      <c r="J403" s="43"/>
      <c r="K403" s="25" t="e">
        <f>VLOOKUP(J403,Key!$E$2:$F$9,2,FALSE)</f>
        <v>#N/A</v>
      </c>
      <c r="L403" s="42"/>
      <c r="M403" s="43" t="s">
        <v>154</v>
      </c>
      <c r="N403" s="42" t="s">
        <v>155</v>
      </c>
      <c r="O403" s="43"/>
      <c r="P403" s="43"/>
      <c r="Q403" s="25" t="e">
        <f>VLOOKUP(P403,Key!$E$2:$F$9,2,FALSE)</f>
        <v>#N/A</v>
      </c>
      <c r="R403" s="25" t="e">
        <f t="shared" si="6"/>
        <v>#N/A</v>
      </c>
      <c r="S403" s="58"/>
      <c r="T403" s="58"/>
      <c r="U403" s="43"/>
      <c r="V403" s="43"/>
      <c r="W403" s="58"/>
      <c r="X403" s="58"/>
      <c r="Y403" s="59" t="s">
        <v>156</v>
      </c>
      <c r="Z403" s="60"/>
      <c r="AA403" s="25"/>
      <c r="AB403" s="25"/>
    </row>
    <row r="404" spans="2:28">
      <c r="B404" s="40"/>
      <c r="C404" s="40"/>
      <c r="D404" s="41"/>
      <c r="E404" s="42"/>
      <c r="F404" s="42"/>
      <c r="G404" s="43" t="s">
        <v>154</v>
      </c>
      <c r="H404" s="42" t="s">
        <v>155</v>
      </c>
      <c r="I404" s="43"/>
      <c r="J404" s="43"/>
      <c r="K404" s="25" t="e">
        <f>VLOOKUP(J404,Key!$E$2:$F$9,2,FALSE)</f>
        <v>#N/A</v>
      </c>
      <c r="L404" s="42"/>
      <c r="M404" s="43" t="s">
        <v>154</v>
      </c>
      <c r="N404" s="42" t="s">
        <v>155</v>
      </c>
      <c r="O404" s="43"/>
      <c r="P404" s="43"/>
      <c r="Q404" s="25" t="e">
        <f>VLOOKUP(P404,Key!$E$2:$F$9,2,FALSE)</f>
        <v>#N/A</v>
      </c>
      <c r="R404" s="25" t="e">
        <f t="shared" si="6"/>
        <v>#N/A</v>
      </c>
      <c r="S404" s="58"/>
      <c r="T404" s="58"/>
      <c r="U404" s="43"/>
      <c r="V404" s="43"/>
      <c r="W404" s="58"/>
      <c r="X404" s="58"/>
      <c r="Y404" s="59" t="s">
        <v>156</v>
      </c>
      <c r="Z404" s="60"/>
      <c r="AA404" s="25"/>
      <c r="AB404" s="25"/>
    </row>
    <row r="405" spans="2:28">
      <c r="B405" s="40"/>
      <c r="C405" s="40"/>
      <c r="D405" s="41"/>
      <c r="E405" s="42"/>
      <c r="F405" s="42"/>
      <c r="G405" s="43" t="s">
        <v>154</v>
      </c>
      <c r="H405" s="42" t="s">
        <v>155</v>
      </c>
      <c r="I405" s="43"/>
      <c r="J405" s="43"/>
      <c r="K405" s="25" t="e">
        <f>VLOOKUP(J405,Key!$E$2:$F$9,2,FALSE)</f>
        <v>#N/A</v>
      </c>
      <c r="L405" s="42"/>
      <c r="M405" s="43" t="s">
        <v>154</v>
      </c>
      <c r="N405" s="42" t="s">
        <v>155</v>
      </c>
      <c r="O405" s="43"/>
      <c r="P405" s="43"/>
      <c r="Q405" s="25" t="e">
        <f>VLOOKUP(P405,Key!$E$2:$F$9,2,FALSE)</f>
        <v>#N/A</v>
      </c>
      <c r="R405" s="25" t="e">
        <f t="shared" si="6"/>
        <v>#N/A</v>
      </c>
      <c r="S405" s="58"/>
      <c r="T405" s="58"/>
      <c r="U405" s="43"/>
      <c r="V405" s="43"/>
      <c r="W405" s="58"/>
      <c r="X405" s="58"/>
      <c r="Y405" s="59" t="s">
        <v>156</v>
      </c>
      <c r="Z405" s="60"/>
      <c r="AA405" s="25"/>
      <c r="AB405" s="25"/>
    </row>
    <row r="406" spans="2:28">
      <c r="B406" s="40"/>
      <c r="C406" s="40"/>
      <c r="D406" s="41"/>
      <c r="E406" s="42"/>
      <c r="F406" s="42"/>
      <c r="G406" s="43" t="s">
        <v>154</v>
      </c>
      <c r="H406" s="42" t="s">
        <v>155</v>
      </c>
      <c r="I406" s="43"/>
      <c r="J406" s="43"/>
      <c r="K406" s="25" t="e">
        <f>VLOOKUP(J406,Key!$E$2:$F$9,2,FALSE)</f>
        <v>#N/A</v>
      </c>
      <c r="L406" s="42"/>
      <c r="M406" s="43" t="s">
        <v>154</v>
      </c>
      <c r="N406" s="42" t="s">
        <v>155</v>
      </c>
      <c r="O406" s="43"/>
      <c r="P406" s="43"/>
      <c r="Q406" s="25" t="e">
        <f>VLOOKUP(P406,Key!$E$2:$F$9,2,FALSE)</f>
        <v>#N/A</v>
      </c>
      <c r="R406" s="25" t="e">
        <f t="shared" si="6"/>
        <v>#N/A</v>
      </c>
      <c r="S406" s="58"/>
      <c r="T406" s="58"/>
      <c r="U406" s="43"/>
      <c r="V406" s="43"/>
      <c r="W406" s="58"/>
      <c r="X406" s="58"/>
      <c r="Y406" s="59" t="s">
        <v>156</v>
      </c>
      <c r="Z406" s="60"/>
      <c r="AA406" s="25"/>
      <c r="AB406" s="25"/>
    </row>
    <row r="407" spans="2:28">
      <c r="B407" s="40"/>
      <c r="C407" s="40"/>
      <c r="D407" s="41"/>
      <c r="E407" s="42"/>
      <c r="F407" s="42"/>
      <c r="G407" s="43" t="s">
        <v>154</v>
      </c>
      <c r="H407" s="42" t="s">
        <v>155</v>
      </c>
      <c r="I407" s="43"/>
      <c r="J407" s="43"/>
      <c r="K407" s="25" t="e">
        <f>VLOOKUP(J407,Key!$E$2:$F$9,2,FALSE)</f>
        <v>#N/A</v>
      </c>
      <c r="L407" s="42"/>
      <c r="M407" s="43" t="s">
        <v>154</v>
      </c>
      <c r="N407" s="42" t="s">
        <v>155</v>
      </c>
      <c r="O407" s="43"/>
      <c r="P407" s="43"/>
      <c r="Q407" s="25" t="e">
        <f>VLOOKUP(P407,Key!$E$2:$F$9,2,FALSE)</f>
        <v>#N/A</v>
      </c>
      <c r="R407" s="25" t="e">
        <f t="shared" si="6"/>
        <v>#N/A</v>
      </c>
      <c r="S407" s="58"/>
      <c r="T407" s="58"/>
      <c r="U407" s="43"/>
      <c r="V407" s="43"/>
      <c r="W407" s="58"/>
      <c r="X407" s="58"/>
      <c r="Y407" s="59" t="s">
        <v>156</v>
      </c>
      <c r="Z407" s="60"/>
      <c r="AA407" s="25"/>
      <c r="AB407" s="25"/>
    </row>
    <row r="408" spans="2:28">
      <c r="B408" s="40"/>
      <c r="C408" s="40"/>
      <c r="D408" s="41"/>
      <c r="E408" s="42"/>
      <c r="F408" s="42"/>
      <c r="G408" s="43" t="s">
        <v>154</v>
      </c>
      <c r="H408" s="42" t="s">
        <v>155</v>
      </c>
      <c r="I408" s="43"/>
      <c r="J408" s="43"/>
      <c r="K408" s="25" t="e">
        <f>VLOOKUP(J408,Key!$E$2:$F$9,2,FALSE)</f>
        <v>#N/A</v>
      </c>
      <c r="L408" s="42"/>
      <c r="M408" s="43" t="s">
        <v>154</v>
      </c>
      <c r="N408" s="42" t="s">
        <v>155</v>
      </c>
      <c r="O408" s="43"/>
      <c r="P408" s="43"/>
      <c r="Q408" s="25" t="e">
        <f>VLOOKUP(P408,Key!$E$2:$F$9,2,FALSE)</f>
        <v>#N/A</v>
      </c>
      <c r="R408" s="25" t="e">
        <f t="shared" si="6"/>
        <v>#N/A</v>
      </c>
      <c r="S408" s="58"/>
      <c r="T408" s="58"/>
      <c r="U408" s="43"/>
      <c r="V408" s="43"/>
      <c r="W408" s="58"/>
      <c r="X408" s="58"/>
      <c r="Y408" s="59" t="s">
        <v>156</v>
      </c>
      <c r="Z408" s="60"/>
      <c r="AA408" s="25"/>
      <c r="AB408" s="25"/>
    </row>
    <row r="409" spans="2:28">
      <c r="B409" s="40"/>
      <c r="C409" s="40"/>
      <c r="D409" s="41"/>
      <c r="E409" s="42"/>
      <c r="F409" s="42"/>
      <c r="G409" s="43" t="s">
        <v>154</v>
      </c>
      <c r="H409" s="42" t="s">
        <v>155</v>
      </c>
      <c r="I409" s="43"/>
      <c r="J409" s="43"/>
      <c r="K409" s="25" t="e">
        <f>VLOOKUP(J409,Key!$E$2:$F$9,2,FALSE)</f>
        <v>#N/A</v>
      </c>
      <c r="L409" s="42"/>
      <c r="M409" s="43" t="s">
        <v>154</v>
      </c>
      <c r="N409" s="42" t="s">
        <v>155</v>
      </c>
      <c r="O409" s="43"/>
      <c r="P409" s="43"/>
      <c r="Q409" s="25" t="e">
        <f>VLOOKUP(P409,Key!$E$2:$F$9,2,FALSE)</f>
        <v>#N/A</v>
      </c>
      <c r="R409" s="25" t="e">
        <f t="shared" si="6"/>
        <v>#N/A</v>
      </c>
      <c r="S409" s="58"/>
      <c r="T409" s="58"/>
      <c r="U409" s="43"/>
      <c r="V409" s="43"/>
      <c r="W409" s="58"/>
      <c r="X409" s="58"/>
      <c r="Y409" s="59" t="s">
        <v>156</v>
      </c>
      <c r="Z409" s="60"/>
      <c r="AA409" s="25"/>
      <c r="AB409" s="25"/>
    </row>
    <row r="410" spans="2:28">
      <c r="B410" s="40"/>
      <c r="C410" s="40"/>
      <c r="D410" s="41"/>
      <c r="E410" s="42"/>
      <c r="F410" s="42"/>
      <c r="G410" s="43" t="s">
        <v>154</v>
      </c>
      <c r="H410" s="42" t="s">
        <v>155</v>
      </c>
      <c r="I410" s="43"/>
      <c r="J410" s="43"/>
      <c r="K410" s="25" t="e">
        <f>VLOOKUP(J410,Key!$E$2:$F$9,2,FALSE)</f>
        <v>#N/A</v>
      </c>
      <c r="L410" s="42"/>
      <c r="M410" s="43" t="s">
        <v>154</v>
      </c>
      <c r="N410" s="42" t="s">
        <v>155</v>
      </c>
      <c r="O410" s="43"/>
      <c r="P410" s="43"/>
      <c r="Q410" s="25" t="e">
        <f>VLOOKUP(P410,Key!$E$2:$F$9,2,FALSE)</f>
        <v>#N/A</v>
      </c>
      <c r="R410" s="25" t="e">
        <f t="shared" si="6"/>
        <v>#N/A</v>
      </c>
      <c r="S410" s="58"/>
      <c r="T410" s="58"/>
      <c r="U410" s="43"/>
      <c r="V410" s="43"/>
      <c r="W410" s="58"/>
      <c r="X410" s="58"/>
      <c r="Y410" s="59" t="s">
        <v>156</v>
      </c>
      <c r="Z410" s="60"/>
      <c r="AA410" s="25"/>
      <c r="AB410" s="25"/>
    </row>
    <row r="411" spans="2:28">
      <c r="B411" s="40"/>
      <c r="C411" s="40"/>
      <c r="D411" s="41"/>
      <c r="E411" s="42"/>
      <c r="F411" s="42"/>
      <c r="G411" s="43" t="s">
        <v>154</v>
      </c>
      <c r="H411" s="42" t="s">
        <v>155</v>
      </c>
      <c r="I411" s="43"/>
      <c r="J411" s="43"/>
      <c r="K411" s="25" t="e">
        <f>VLOOKUP(J411,Key!$E$2:$F$9,2,FALSE)</f>
        <v>#N/A</v>
      </c>
      <c r="L411" s="42"/>
      <c r="M411" s="43" t="s">
        <v>154</v>
      </c>
      <c r="N411" s="42" t="s">
        <v>155</v>
      </c>
      <c r="O411" s="43"/>
      <c r="P411" s="43"/>
      <c r="Q411" s="25" t="e">
        <f>VLOOKUP(P411,Key!$E$2:$F$9,2,FALSE)</f>
        <v>#N/A</v>
      </c>
      <c r="R411" s="25" t="e">
        <f t="shared" si="6"/>
        <v>#N/A</v>
      </c>
      <c r="S411" s="58"/>
      <c r="T411" s="58"/>
      <c r="U411" s="43"/>
      <c r="V411" s="43"/>
      <c r="W411" s="58"/>
      <c r="X411" s="58"/>
      <c r="Y411" s="59" t="s">
        <v>156</v>
      </c>
      <c r="Z411" s="60"/>
      <c r="AA411" s="25"/>
      <c r="AB411" s="25"/>
    </row>
    <row r="412" spans="2:28">
      <c r="B412" s="40"/>
      <c r="C412" s="40"/>
      <c r="D412" s="41"/>
      <c r="E412" s="42"/>
      <c r="F412" s="42"/>
      <c r="G412" s="43" t="s">
        <v>154</v>
      </c>
      <c r="H412" s="42" t="s">
        <v>155</v>
      </c>
      <c r="I412" s="43"/>
      <c r="J412" s="43"/>
      <c r="K412" s="25" t="e">
        <f>VLOOKUP(J412,Key!$E$2:$F$9,2,FALSE)</f>
        <v>#N/A</v>
      </c>
      <c r="L412" s="42"/>
      <c r="M412" s="43" t="s">
        <v>154</v>
      </c>
      <c r="N412" s="42" t="s">
        <v>155</v>
      </c>
      <c r="O412" s="43"/>
      <c r="P412" s="43"/>
      <c r="Q412" s="25" t="e">
        <f>VLOOKUP(P412,Key!$E$2:$F$9,2,FALSE)</f>
        <v>#N/A</v>
      </c>
      <c r="R412" s="25" t="e">
        <f t="shared" si="6"/>
        <v>#N/A</v>
      </c>
      <c r="S412" s="58"/>
      <c r="T412" s="58"/>
      <c r="U412" s="43"/>
      <c r="V412" s="43"/>
      <c r="W412" s="58"/>
      <c r="X412" s="58"/>
      <c r="Y412" s="59" t="s">
        <v>156</v>
      </c>
      <c r="Z412" s="60"/>
      <c r="AA412" s="25"/>
      <c r="AB412" s="25"/>
    </row>
    <row r="413" spans="2:28">
      <c r="B413" s="40"/>
      <c r="C413" s="40"/>
      <c r="D413" s="41"/>
      <c r="E413" s="42"/>
      <c r="F413" s="42"/>
      <c r="G413" s="43" t="s">
        <v>154</v>
      </c>
      <c r="H413" s="42" t="s">
        <v>155</v>
      </c>
      <c r="I413" s="43"/>
      <c r="J413" s="43"/>
      <c r="K413" s="25" t="e">
        <f>VLOOKUP(J413,Key!$E$2:$F$9,2,FALSE)</f>
        <v>#N/A</v>
      </c>
      <c r="L413" s="42"/>
      <c r="M413" s="43" t="s">
        <v>154</v>
      </c>
      <c r="N413" s="42" t="s">
        <v>155</v>
      </c>
      <c r="O413" s="43"/>
      <c r="P413" s="43"/>
      <c r="Q413" s="25" t="e">
        <f>VLOOKUP(P413,Key!$E$2:$F$9,2,FALSE)</f>
        <v>#N/A</v>
      </c>
      <c r="R413" s="25" t="e">
        <f t="shared" si="6"/>
        <v>#N/A</v>
      </c>
      <c r="S413" s="58"/>
      <c r="T413" s="58"/>
      <c r="U413" s="43"/>
      <c r="V413" s="43"/>
      <c r="W413" s="58"/>
      <c r="X413" s="58"/>
      <c r="Y413" s="59" t="s">
        <v>156</v>
      </c>
      <c r="Z413" s="60"/>
      <c r="AA413" s="25"/>
      <c r="AB413" s="25"/>
    </row>
    <row r="414" spans="2:28">
      <c r="B414" s="40"/>
      <c r="C414" s="40"/>
      <c r="D414" s="41"/>
      <c r="E414" s="42"/>
      <c r="F414" s="42"/>
      <c r="G414" s="43" t="s">
        <v>154</v>
      </c>
      <c r="H414" s="42" t="s">
        <v>155</v>
      </c>
      <c r="I414" s="43"/>
      <c r="J414" s="43"/>
      <c r="K414" s="25" t="e">
        <f>VLOOKUP(J414,Key!$E$2:$F$9,2,FALSE)</f>
        <v>#N/A</v>
      </c>
      <c r="L414" s="42"/>
      <c r="M414" s="43" t="s">
        <v>154</v>
      </c>
      <c r="N414" s="42" t="s">
        <v>155</v>
      </c>
      <c r="O414" s="43"/>
      <c r="P414" s="43"/>
      <c r="Q414" s="25" t="e">
        <f>VLOOKUP(P414,Key!$E$2:$F$9,2,FALSE)</f>
        <v>#N/A</v>
      </c>
      <c r="R414" s="25" t="e">
        <f t="shared" si="6"/>
        <v>#N/A</v>
      </c>
      <c r="S414" s="58"/>
      <c r="T414" s="58"/>
      <c r="U414" s="43"/>
      <c r="V414" s="43"/>
      <c r="W414" s="58"/>
      <c r="X414" s="58"/>
      <c r="Y414" s="59" t="s">
        <v>156</v>
      </c>
      <c r="Z414" s="60"/>
      <c r="AA414" s="25"/>
      <c r="AB414" s="25"/>
    </row>
    <row r="415" spans="2:28">
      <c r="B415" s="40"/>
      <c r="C415" s="40"/>
      <c r="D415" s="41"/>
      <c r="E415" s="42"/>
      <c r="F415" s="42"/>
      <c r="G415" s="43" t="s">
        <v>154</v>
      </c>
      <c r="H415" s="42" t="s">
        <v>155</v>
      </c>
      <c r="I415" s="43"/>
      <c r="J415" s="43"/>
      <c r="K415" s="25" t="e">
        <f>VLOOKUP(J415,Key!$E$2:$F$9,2,FALSE)</f>
        <v>#N/A</v>
      </c>
      <c r="L415" s="42"/>
      <c r="M415" s="43" t="s">
        <v>154</v>
      </c>
      <c r="N415" s="42" t="s">
        <v>155</v>
      </c>
      <c r="O415" s="43"/>
      <c r="P415" s="43"/>
      <c r="Q415" s="25" t="e">
        <f>VLOOKUP(P415,Key!$E$2:$F$9,2,FALSE)</f>
        <v>#N/A</v>
      </c>
      <c r="R415" s="25" t="e">
        <f t="shared" si="6"/>
        <v>#N/A</v>
      </c>
      <c r="S415" s="58"/>
      <c r="T415" s="58"/>
      <c r="U415" s="43"/>
      <c r="V415" s="43"/>
      <c r="W415" s="58"/>
      <c r="X415" s="58"/>
      <c r="Y415" s="59" t="s">
        <v>156</v>
      </c>
      <c r="Z415" s="60"/>
      <c r="AA415" s="25"/>
      <c r="AB415" s="25"/>
    </row>
    <row r="416" spans="2:28">
      <c r="B416" s="40"/>
      <c r="C416" s="40"/>
      <c r="D416" s="41"/>
      <c r="E416" s="42"/>
      <c r="F416" s="42"/>
      <c r="G416" s="43" t="s">
        <v>154</v>
      </c>
      <c r="H416" s="42" t="s">
        <v>155</v>
      </c>
      <c r="I416" s="43"/>
      <c r="J416" s="43"/>
      <c r="K416" s="25" t="e">
        <f>VLOOKUP(J416,Key!$E$2:$F$9,2,FALSE)</f>
        <v>#N/A</v>
      </c>
      <c r="L416" s="42"/>
      <c r="M416" s="43" t="s">
        <v>154</v>
      </c>
      <c r="N416" s="42" t="s">
        <v>155</v>
      </c>
      <c r="O416" s="43"/>
      <c r="P416" s="43"/>
      <c r="Q416" s="25" t="e">
        <f>VLOOKUP(P416,Key!$E$2:$F$9,2,FALSE)</f>
        <v>#N/A</v>
      </c>
      <c r="R416" s="25" t="e">
        <f t="shared" si="6"/>
        <v>#N/A</v>
      </c>
      <c r="S416" s="58"/>
      <c r="T416" s="58"/>
      <c r="U416" s="43"/>
      <c r="V416" s="43"/>
      <c r="W416" s="58"/>
      <c r="X416" s="58"/>
      <c r="Y416" s="59" t="s">
        <v>156</v>
      </c>
      <c r="Z416" s="60"/>
      <c r="AA416" s="25"/>
      <c r="AB416" s="25"/>
    </row>
    <row r="417" spans="2:28">
      <c r="B417" s="40"/>
      <c r="C417" s="40"/>
      <c r="D417" s="41"/>
      <c r="E417" s="42"/>
      <c r="F417" s="42"/>
      <c r="G417" s="43" t="s">
        <v>154</v>
      </c>
      <c r="H417" s="42" t="s">
        <v>155</v>
      </c>
      <c r="I417" s="43"/>
      <c r="J417" s="43"/>
      <c r="K417" s="25" t="e">
        <f>VLOOKUP(J417,Key!$E$2:$F$9,2,FALSE)</f>
        <v>#N/A</v>
      </c>
      <c r="L417" s="42"/>
      <c r="M417" s="43" t="s">
        <v>154</v>
      </c>
      <c r="N417" s="42" t="s">
        <v>155</v>
      </c>
      <c r="O417" s="43"/>
      <c r="P417" s="43"/>
      <c r="Q417" s="25" t="e">
        <f>VLOOKUP(P417,Key!$E$2:$F$9,2,FALSE)</f>
        <v>#N/A</v>
      </c>
      <c r="R417" s="25" t="e">
        <f t="shared" si="6"/>
        <v>#N/A</v>
      </c>
      <c r="S417" s="58"/>
      <c r="T417" s="58"/>
      <c r="U417" s="43"/>
      <c r="V417" s="43"/>
      <c r="W417" s="58"/>
      <c r="X417" s="58"/>
      <c r="Y417" s="59" t="s">
        <v>156</v>
      </c>
      <c r="Z417" s="60"/>
      <c r="AA417" s="25"/>
      <c r="AB417" s="25"/>
    </row>
    <row r="418" spans="2:28">
      <c r="B418" s="40"/>
      <c r="C418" s="40"/>
      <c r="D418" s="41"/>
      <c r="E418" s="42"/>
      <c r="F418" s="42"/>
      <c r="G418" s="43" t="s">
        <v>154</v>
      </c>
      <c r="H418" s="42" t="s">
        <v>155</v>
      </c>
      <c r="I418" s="43"/>
      <c r="J418" s="43"/>
      <c r="K418" s="25" t="e">
        <f>VLOOKUP(J418,Key!$E$2:$F$9,2,FALSE)</f>
        <v>#N/A</v>
      </c>
      <c r="L418" s="42"/>
      <c r="M418" s="43" t="s">
        <v>154</v>
      </c>
      <c r="N418" s="42" t="s">
        <v>155</v>
      </c>
      <c r="O418" s="43"/>
      <c r="P418" s="43"/>
      <c r="Q418" s="25" t="e">
        <f>VLOOKUP(P418,Key!$E$2:$F$9,2,FALSE)</f>
        <v>#N/A</v>
      </c>
      <c r="R418" s="25" t="e">
        <f t="shared" si="6"/>
        <v>#N/A</v>
      </c>
      <c r="S418" s="58"/>
      <c r="T418" s="58"/>
      <c r="U418" s="43"/>
      <c r="V418" s="43"/>
      <c r="W418" s="58"/>
      <c r="X418" s="58"/>
      <c r="Y418" s="59" t="s">
        <v>156</v>
      </c>
      <c r="Z418" s="60"/>
      <c r="AA418" s="25"/>
      <c r="AB418" s="25"/>
    </row>
    <row r="419" spans="2:28">
      <c r="B419" s="40"/>
      <c r="C419" s="40"/>
      <c r="D419" s="41"/>
      <c r="E419" s="42"/>
      <c r="F419" s="42"/>
      <c r="G419" s="43" t="s">
        <v>154</v>
      </c>
      <c r="H419" s="42" t="s">
        <v>155</v>
      </c>
      <c r="I419" s="43"/>
      <c r="J419" s="43"/>
      <c r="K419" s="25" t="e">
        <f>VLOOKUP(J419,Key!$E$2:$F$9,2,FALSE)</f>
        <v>#N/A</v>
      </c>
      <c r="L419" s="42"/>
      <c r="M419" s="43" t="s">
        <v>154</v>
      </c>
      <c r="N419" s="42" t="s">
        <v>155</v>
      </c>
      <c r="O419" s="43"/>
      <c r="P419" s="43"/>
      <c r="Q419" s="25" t="e">
        <f>VLOOKUP(P419,Key!$E$2:$F$9,2,FALSE)</f>
        <v>#N/A</v>
      </c>
      <c r="R419" s="25" t="e">
        <f t="shared" si="6"/>
        <v>#N/A</v>
      </c>
      <c r="S419" s="58"/>
      <c r="T419" s="58"/>
      <c r="U419" s="43"/>
      <c r="V419" s="43"/>
      <c r="W419" s="58"/>
      <c r="X419" s="58"/>
      <c r="Y419" s="59" t="s">
        <v>156</v>
      </c>
      <c r="Z419" s="60"/>
      <c r="AA419" s="25"/>
      <c r="AB419" s="25"/>
    </row>
    <row r="420" spans="2:28">
      <c r="B420" s="40"/>
      <c r="C420" s="40"/>
      <c r="D420" s="41"/>
      <c r="E420" s="42"/>
      <c r="F420" s="42"/>
      <c r="G420" s="43" t="s">
        <v>154</v>
      </c>
      <c r="H420" s="42" t="s">
        <v>155</v>
      </c>
      <c r="I420" s="43"/>
      <c r="J420" s="43"/>
      <c r="K420" s="25" t="e">
        <f>VLOOKUP(J420,Key!$E$2:$F$9,2,FALSE)</f>
        <v>#N/A</v>
      </c>
      <c r="L420" s="42"/>
      <c r="M420" s="43" t="s">
        <v>154</v>
      </c>
      <c r="N420" s="42" t="s">
        <v>155</v>
      </c>
      <c r="O420" s="43"/>
      <c r="P420" s="43"/>
      <c r="Q420" s="25" t="e">
        <f>VLOOKUP(P420,Key!$E$2:$F$9,2,FALSE)</f>
        <v>#N/A</v>
      </c>
      <c r="R420" s="25" t="e">
        <f t="shared" si="6"/>
        <v>#N/A</v>
      </c>
      <c r="S420" s="58"/>
      <c r="T420" s="58"/>
      <c r="U420" s="43"/>
      <c r="V420" s="43"/>
      <c r="W420" s="58"/>
      <c r="X420" s="58"/>
      <c r="Y420" s="59" t="s">
        <v>156</v>
      </c>
      <c r="Z420" s="60"/>
      <c r="AA420" s="25"/>
      <c r="AB420" s="25"/>
    </row>
    <row r="421" spans="2:28">
      <c r="B421" s="40"/>
      <c r="C421" s="40"/>
      <c r="D421" s="41"/>
      <c r="E421" s="42"/>
      <c r="F421" s="42"/>
      <c r="G421" s="43" t="s">
        <v>154</v>
      </c>
      <c r="H421" s="42" t="s">
        <v>155</v>
      </c>
      <c r="I421" s="43"/>
      <c r="J421" s="43"/>
      <c r="K421" s="25" t="e">
        <f>VLOOKUP(J421,Key!$E$2:$F$9,2,FALSE)</f>
        <v>#N/A</v>
      </c>
      <c r="L421" s="42"/>
      <c r="M421" s="43" t="s">
        <v>154</v>
      </c>
      <c r="N421" s="42" t="s">
        <v>155</v>
      </c>
      <c r="O421" s="43"/>
      <c r="P421" s="43"/>
      <c r="Q421" s="25" t="e">
        <f>VLOOKUP(P421,Key!$E$2:$F$9,2,FALSE)</f>
        <v>#N/A</v>
      </c>
      <c r="R421" s="25" t="e">
        <f t="shared" si="6"/>
        <v>#N/A</v>
      </c>
      <c r="S421" s="58"/>
      <c r="T421" s="58"/>
      <c r="U421" s="43"/>
      <c r="V421" s="43"/>
      <c r="W421" s="58"/>
      <c r="X421" s="58"/>
      <c r="Y421" s="59" t="s">
        <v>156</v>
      </c>
      <c r="Z421" s="60"/>
      <c r="AA421" s="25"/>
      <c r="AB421" s="25"/>
    </row>
    <row r="422" spans="2:28">
      <c r="B422" s="40"/>
      <c r="C422" s="40"/>
      <c r="D422" s="41"/>
      <c r="E422" s="42"/>
      <c r="F422" s="42"/>
      <c r="G422" s="43" t="s">
        <v>154</v>
      </c>
      <c r="H422" s="42" t="s">
        <v>155</v>
      </c>
      <c r="I422" s="43"/>
      <c r="J422" s="43"/>
      <c r="K422" s="25" t="e">
        <f>VLOOKUP(J422,Key!$E$2:$F$9,2,FALSE)</f>
        <v>#N/A</v>
      </c>
      <c r="L422" s="42"/>
      <c r="M422" s="43" t="s">
        <v>154</v>
      </c>
      <c r="N422" s="42" t="s">
        <v>155</v>
      </c>
      <c r="O422" s="43"/>
      <c r="P422" s="43"/>
      <c r="Q422" s="25" t="e">
        <f>VLOOKUP(P422,Key!$E$2:$F$9,2,FALSE)</f>
        <v>#N/A</v>
      </c>
      <c r="R422" s="25" t="e">
        <f t="shared" ref="R422:R485" si="7">K422&amp;"-"&amp;Q422</f>
        <v>#N/A</v>
      </c>
      <c r="S422" s="58"/>
      <c r="T422" s="58"/>
      <c r="U422" s="43"/>
      <c r="V422" s="43"/>
      <c r="W422" s="58"/>
      <c r="X422" s="58"/>
      <c r="Y422" s="59" t="s">
        <v>156</v>
      </c>
      <c r="Z422" s="60"/>
      <c r="AA422" s="25"/>
      <c r="AB422" s="25"/>
    </row>
    <row r="423" spans="2:28">
      <c r="B423" s="40"/>
      <c r="C423" s="40"/>
      <c r="D423" s="41"/>
      <c r="E423" s="42"/>
      <c r="F423" s="42"/>
      <c r="G423" s="43" t="s">
        <v>154</v>
      </c>
      <c r="H423" s="42" t="s">
        <v>155</v>
      </c>
      <c r="I423" s="43"/>
      <c r="J423" s="43"/>
      <c r="K423" s="25" t="e">
        <f>VLOOKUP(J423,Key!$E$2:$F$9,2,FALSE)</f>
        <v>#N/A</v>
      </c>
      <c r="L423" s="42"/>
      <c r="M423" s="43" t="s">
        <v>154</v>
      </c>
      <c r="N423" s="42" t="s">
        <v>155</v>
      </c>
      <c r="O423" s="43"/>
      <c r="P423" s="43"/>
      <c r="Q423" s="25" t="e">
        <f>VLOOKUP(P423,Key!$E$2:$F$9,2,FALSE)</f>
        <v>#N/A</v>
      </c>
      <c r="R423" s="25" t="e">
        <f t="shared" si="7"/>
        <v>#N/A</v>
      </c>
      <c r="S423" s="58"/>
      <c r="T423" s="58"/>
      <c r="U423" s="43"/>
      <c r="V423" s="43"/>
      <c r="W423" s="58"/>
      <c r="X423" s="58"/>
      <c r="Y423" s="59" t="s">
        <v>156</v>
      </c>
      <c r="Z423" s="60"/>
      <c r="AA423" s="25"/>
      <c r="AB423" s="25"/>
    </row>
    <row r="424" spans="2:28">
      <c r="B424" s="40"/>
      <c r="C424" s="40"/>
      <c r="D424" s="41"/>
      <c r="E424" s="42"/>
      <c r="F424" s="42"/>
      <c r="G424" s="43" t="s">
        <v>154</v>
      </c>
      <c r="H424" s="42" t="s">
        <v>155</v>
      </c>
      <c r="I424" s="43"/>
      <c r="J424" s="43"/>
      <c r="K424" s="25" t="e">
        <f>VLOOKUP(J424,Key!$E$2:$F$9,2,FALSE)</f>
        <v>#N/A</v>
      </c>
      <c r="L424" s="42"/>
      <c r="M424" s="43" t="s">
        <v>154</v>
      </c>
      <c r="N424" s="42" t="s">
        <v>155</v>
      </c>
      <c r="O424" s="43"/>
      <c r="P424" s="43"/>
      <c r="Q424" s="25" t="e">
        <f>VLOOKUP(P424,Key!$E$2:$F$9,2,FALSE)</f>
        <v>#N/A</v>
      </c>
      <c r="R424" s="25" t="e">
        <f t="shared" si="7"/>
        <v>#N/A</v>
      </c>
      <c r="S424" s="58"/>
      <c r="T424" s="58"/>
      <c r="U424" s="43"/>
      <c r="V424" s="43"/>
      <c r="W424" s="58"/>
      <c r="X424" s="58"/>
      <c r="Y424" s="59" t="s">
        <v>156</v>
      </c>
      <c r="Z424" s="60"/>
      <c r="AA424" s="25"/>
      <c r="AB424" s="25"/>
    </row>
    <row r="425" spans="2:28">
      <c r="B425" s="40"/>
      <c r="C425" s="40"/>
      <c r="D425" s="41"/>
      <c r="E425" s="42"/>
      <c r="F425" s="42"/>
      <c r="G425" s="43" t="s">
        <v>154</v>
      </c>
      <c r="H425" s="42" t="s">
        <v>155</v>
      </c>
      <c r="I425" s="43"/>
      <c r="J425" s="43"/>
      <c r="K425" s="25" t="e">
        <f>VLOOKUP(J425,Key!$E$2:$F$9,2,FALSE)</f>
        <v>#N/A</v>
      </c>
      <c r="L425" s="42"/>
      <c r="M425" s="43" t="s">
        <v>154</v>
      </c>
      <c r="N425" s="42" t="s">
        <v>155</v>
      </c>
      <c r="O425" s="43"/>
      <c r="P425" s="43"/>
      <c r="Q425" s="25" t="e">
        <f>VLOOKUP(P425,Key!$E$2:$F$9,2,FALSE)</f>
        <v>#N/A</v>
      </c>
      <c r="R425" s="25" t="e">
        <f t="shared" si="7"/>
        <v>#N/A</v>
      </c>
      <c r="S425" s="58"/>
      <c r="T425" s="58"/>
      <c r="U425" s="43"/>
      <c r="V425" s="43"/>
      <c r="W425" s="58"/>
      <c r="X425" s="58"/>
      <c r="Y425" s="59" t="s">
        <v>156</v>
      </c>
      <c r="Z425" s="60"/>
      <c r="AA425" s="25"/>
      <c r="AB425" s="25"/>
    </row>
    <row r="426" spans="2:28">
      <c r="B426" s="40"/>
      <c r="C426" s="40"/>
      <c r="D426" s="41"/>
      <c r="E426" s="42"/>
      <c r="F426" s="42"/>
      <c r="G426" s="43" t="s">
        <v>154</v>
      </c>
      <c r="H426" s="42" t="s">
        <v>155</v>
      </c>
      <c r="I426" s="43"/>
      <c r="J426" s="43"/>
      <c r="K426" s="25" t="e">
        <f>VLOOKUP(J426,Key!$E$2:$F$9,2,FALSE)</f>
        <v>#N/A</v>
      </c>
      <c r="L426" s="42"/>
      <c r="M426" s="43" t="s">
        <v>154</v>
      </c>
      <c r="N426" s="42" t="s">
        <v>155</v>
      </c>
      <c r="O426" s="43"/>
      <c r="P426" s="43"/>
      <c r="Q426" s="25" t="e">
        <f>VLOOKUP(P426,Key!$E$2:$F$9,2,FALSE)</f>
        <v>#N/A</v>
      </c>
      <c r="R426" s="25" t="e">
        <f t="shared" si="7"/>
        <v>#N/A</v>
      </c>
      <c r="S426" s="58"/>
      <c r="T426" s="58"/>
      <c r="U426" s="43"/>
      <c r="V426" s="43"/>
      <c r="W426" s="58"/>
      <c r="X426" s="58"/>
      <c r="Y426" s="59" t="s">
        <v>156</v>
      </c>
      <c r="Z426" s="60"/>
      <c r="AA426" s="25"/>
      <c r="AB426" s="25"/>
    </row>
    <row r="427" spans="2:28">
      <c r="B427" s="40"/>
      <c r="C427" s="40"/>
      <c r="D427" s="41"/>
      <c r="E427" s="42"/>
      <c r="F427" s="42"/>
      <c r="G427" s="43" t="s">
        <v>154</v>
      </c>
      <c r="H427" s="42" t="s">
        <v>155</v>
      </c>
      <c r="I427" s="43"/>
      <c r="J427" s="43"/>
      <c r="K427" s="25" t="e">
        <f>VLOOKUP(J427,Key!$E$2:$F$9,2,FALSE)</f>
        <v>#N/A</v>
      </c>
      <c r="L427" s="42"/>
      <c r="M427" s="43" t="s">
        <v>154</v>
      </c>
      <c r="N427" s="42" t="s">
        <v>155</v>
      </c>
      <c r="O427" s="43"/>
      <c r="P427" s="43"/>
      <c r="Q427" s="25" t="e">
        <f>VLOOKUP(P427,Key!$E$2:$F$9,2,FALSE)</f>
        <v>#N/A</v>
      </c>
      <c r="R427" s="25" t="e">
        <f t="shared" si="7"/>
        <v>#N/A</v>
      </c>
      <c r="S427" s="58"/>
      <c r="T427" s="58"/>
      <c r="U427" s="43"/>
      <c r="V427" s="43"/>
      <c r="W427" s="58"/>
      <c r="X427" s="58"/>
      <c r="Y427" s="59" t="s">
        <v>156</v>
      </c>
      <c r="Z427" s="60"/>
      <c r="AA427" s="25"/>
      <c r="AB427" s="25"/>
    </row>
    <row r="428" spans="2:28">
      <c r="B428" s="40"/>
      <c r="C428" s="40"/>
      <c r="D428" s="41"/>
      <c r="E428" s="42"/>
      <c r="F428" s="42"/>
      <c r="G428" s="43" t="s">
        <v>154</v>
      </c>
      <c r="H428" s="42" t="s">
        <v>155</v>
      </c>
      <c r="I428" s="43"/>
      <c r="J428" s="43"/>
      <c r="K428" s="25" t="e">
        <f>VLOOKUP(J428,Key!$E$2:$F$9,2,FALSE)</f>
        <v>#N/A</v>
      </c>
      <c r="L428" s="42"/>
      <c r="M428" s="43" t="s">
        <v>154</v>
      </c>
      <c r="N428" s="42" t="s">
        <v>155</v>
      </c>
      <c r="O428" s="43"/>
      <c r="P428" s="43"/>
      <c r="Q428" s="25" t="e">
        <f>VLOOKUP(P428,Key!$E$2:$F$9,2,FALSE)</f>
        <v>#N/A</v>
      </c>
      <c r="R428" s="25" t="e">
        <f t="shared" si="7"/>
        <v>#N/A</v>
      </c>
      <c r="S428" s="58"/>
      <c r="T428" s="58"/>
      <c r="U428" s="43"/>
      <c r="V428" s="43"/>
      <c r="W428" s="58"/>
      <c r="X428" s="58"/>
      <c r="Y428" s="59" t="s">
        <v>156</v>
      </c>
      <c r="Z428" s="60"/>
      <c r="AA428" s="25"/>
      <c r="AB428" s="25"/>
    </row>
    <row r="429" spans="2:28">
      <c r="B429" s="40"/>
      <c r="C429" s="40"/>
      <c r="D429" s="41"/>
      <c r="E429" s="42"/>
      <c r="F429" s="42"/>
      <c r="G429" s="43" t="s">
        <v>154</v>
      </c>
      <c r="H429" s="42" t="s">
        <v>155</v>
      </c>
      <c r="I429" s="43"/>
      <c r="J429" s="43"/>
      <c r="K429" s="25" t="e">
        <f>VLOOKUP(J429,Key!$E$2:$F$9,2,FALSE)</f>
        <v>#N/A</v>
      </c>
      <c r="L429" s="42"/>
      <c r="M429" s="43" t="s">
        <v>154</v>
      </c>
      <c r="N429" s="42" t="s">
        <v>155</v>
      </c>
      <c r="O429" s="43"/>
      <c r="P429" s="43"/>
      <c r="Q429" s="25" t="e">
        <f>VLOOKUP(P429,Key!$E$2:$F$9,2,FALSE)</f>
        <v>#N/A</v>
      </c>
      <c r="R429" s="25" t="e">
        <f t="shared" si="7"/>
        <v>#N/A</v>
      </c>
      <c r="S429" s="58"/>
      <c r="T429" s="58"/>
      <c r="U429" s="43"/>
      <c r="V429" s="43"/>
      <c r="W429" s="58"/>
      <c r="X429" s="58"/>
      <c r="Y429" s="59" t="s">
        <v>156</v>
      </c>
      <c r="Z429" s="60"/>
      <c r="AA429" s="25"/>
      <c r="AB429" s="25"/>
    </row>
    <row r="430" spans="2:28">
      <c r="B430" s="40"/>
      <c r="C430" s="40"/>
      <c r="D430" s="41"/>
      <c r="E430" s="42"/>
      <c r="F430" s="42"/>
      <c r="G430" s="43" t="s">
        <v>154</v>
      </c>
      <c r="H430" s="42" t="s">
        <v>155</v>
      </c>
      <c r="I430" s="43"/>
      <c r="J430" s="43"/>
      <c r="K430" s="25" t="e">
        <f>VLOOKUP(J430,Key!$E$2:$F$9,2,FALSE)</f>
        <v>#N/A</v>
      </c>
      <c r="L430" s="42"/>
      <c r="M430" s="43" t="s">
        <v>154</v>
      </c>
      <c r="N430" s="42" t="s">
        <v>155</v>
      </c>
      <c r="O430" s="43"/>
      <c r="P430" s="43"/>
      <c r="Q430" s="25" t="e">
        <f>VLOOKUP(P430,Key!$E$2:$F$9,2,FALSE)</f>
        <v>#N/A</v>
      </c>
      <c r="R430" s="25" t="e">
        <f t="shared" si="7"/>
        <v>#N/A</v>
      </c>
      <c r="S430" s="58"/>
      <c r="T430" s="58"/>
      <c r="U430" s="43"/>
      <c r="V430" s="43"/>
      <c r="W430" s="58"/>
      <c r="X430" s="58"/>
      <c r="Y430" s="59" t="s">
        <v>156</v>
      </c>
      <c r="Z430" s="60"/>
      <c r="AA430" s="25"/>
      <c r="AB430" s="25"/>
    </row>
    <row r="431" spans="2:28">
      <c r="B431" s="40"/>
      <c r="C431" s="40"/>
      <c r="D431" s="41"/>
      <c r="E431" s="42"/>
      <c r="F431" s="42"/>
      <c r="G431" s="43" t="s">
        <v>154</v>
      </c>
      <c r="H431" s="42" t="s">
        <v>155</v>
      </c>
      <c r="I431" s="43"/>
      <c r="J431" s="43"/>
      <c r="K431" s="25" t="e">
        <f>VLOOKUP(J431,Key!$E$2:$F$9,2,FALSE)</f>
        <v>#N/A</v>
      </c>
      <c r="L431" s="42"/>
      <c r="M431" s="43" t="s">
        <v>154</v>
      </c>
      <c r="N431" s="42" t="s">
        <v>155</v>
      </c>
      <c r="O431" s="43"/>
      <c r="P431" s="43"/>
      <c r="Q431" s="25" t="e">
        <f>VLOOKUP(P431,Key!$E$2:$F$9,2,FALSE)</f>
        <v>#N/A</v>
      </c>
      <c r="R431" s="25" t="e">
        <f t="shared" si="7"/>
        <v>#N/A</v>
      </c>
      <c r="S431" s="58"/>
      <c r="T431" s="58"/>
      <c r="U431" s="43"/>
      <c r="V431" s="43"/>
      <c r="W431" s="58"/>
      <c r="X431" s="58"/>
      <c r="Y431" s="59" t="s">
        <v>156</v>
      </c>
      <c r="Z431" s="60"/>
      <c r="AA431" s="25"/>
      <c r="AB431" s="25"/>
    </row>
    <row r="432" spans="2:28">
      <c r="B432" s="40"/>
      <c r="C432" s="40"/>
      <c r="D432" s="41"/>
      <c r="E432" s="42"/>
      <c r="F432" s="42"/>
      <c r="G432" s="43" t="s">
        <v>154</v>
      </c>
      <c r="H432" s="42" t="s">
        <v>155</v>
      </c>
      <c r="I432" s="43"/>
      <c r="J432" s="43"/>
      <c r="K432" s="25" t="e">
        <f>VLOOKUP(J432,Key!$E$2:$F$9,2,FALSE)</f>
        <v>#N/A</v>
      </c>
      <c r="L432" s="42"/>
      <c r="M432" s="43" t="s">
        <v>154</v>
      </c>
      <c r="N432" s="42" t="s">
        <v>155</v>
      </c>
      <c r="O432" s="43"/>
      <c r="P432" s="43"/>
      <c r="Q432" s="25" t="e">
        <f>VLOOKUP(P432,Key!$E$2:$F$9,2,FALSE)</f>
        <v>#N/A</v>
      </c>
      <c r="R432" s="25" t="e">
        <f t="shared" si="7"/>
        <v>#N/A</v>
      </c>
      <c r="S432" s="58"/>
      <c r="T432" s="58"/>
      <c r="U432" s="43"/>
      <c r="V432" s="43"/>
      <c r="W432" s="58"/>
      <c r="X432" s="58"/>
      <c r="Y432" s="59" t="s">
        <v>156</v>
      </c>
      <c r="Z432" s="60"/>
      <c r="AA432" s="25"/>
      <c r="AB432" s="25"/>
    </row>
    <row r="433" spans="2:28">
      <c r="B433" s="40"/>
      <c r="C433" s="40"/>
      <c r="D433" s="41"/>
      <c r="E433" s="42"/>
      <c r="F433" s="42"/>
      <c r="G433" s="43" t="s">
        <v>154</v>
      </c>
      <c r="H433" s="42" t="s">
        <v>155</v>
      </c>
      <c r="I433" s="43"/>
      <c r="J433" s="43"/>
      <c r="K433" s="25" t="e">
        <f>VLOOKUP(J433,Key!$E$2:$F$9,2,FALSE)</f>
        <v>#N/A</v>
      </c>
      <c r="L433" s="42"/>
      <c r="M433" s="43" t="s">
        <v>154</v>
      </c>
      <c r="N433" s="42" t="s">
        <v>155</v>
      </c>
      <c r="O433" s="43"/>
      <c r="P433" s="43"/>
      <c r="Q433" s="25" t="e">
        <f>VLOOKUP(P433,Key!$E$2:$F$9,2,FALSE)</f>
        <v>#N/A</v>
      </c>
      <c r="R433" s="25" t="e">
        <f t="shared" si="7"/>
        <v>#N/A</v>
      </c>
      <c r="S433" s="58"/>
      <c r="T433" s="58"/>
      <c r="U433" s="43"/>
      <c r="V433" s="43"/>
      <c r="W433" s="58"/>
      <c r="X433" s="58"/>
      <c r="Y433" s="59" t="s">
        <v>156</v>
      </c>
      <c r="Z433" s="60"/>
      <c r="AA433" s="25"/>
      <c r="AB433" s="25"/>
    </row>
    <row r="434" spans="2:28">
      <c r="B434" s="40"/>
      <c r="C434" s="40"/>
      <c r="D434" s="41"/>
      <c r="E434" s="42"/>
      <c r="F434" s="42"/>
      <c r="G434" s="43" t="s">
        <v>154</v>
      </c>
      <c r="H434" s="42" t="s">
        <v>155</v>
      </c>
      <c r="I434" s="43"/>
      <c r="J434" s="43"/>
      <c r="K434" s="25" t="e">
        <f>VLOOKUP(J434,Key!$E$2:$F$9,2,FALSE)</f>
        <v>#N/A</v>
      </c>
      <c r="L434" s="42"/>
      <c r="M434" s="43" t="s">
        <v>154</v>
      </c>
      <c r="N434" s="42" t="s">
        <v>155</v>
      </c>
      <c r="O434" s="43"/>
      <c r="P434" s="43"/>
      <c r="Q434" s="25" t="e">
        <f>VLOOKUP(P434,Key!$E$2:$F$9,2,FALSE)</f>
        <v>#N/A</v>
      </c>
      <c r="R434" s="25" t="e">
        <f t="shared" si="7"/>
        <v>#N/A</v>
      </c>
      <c r="S434" s="58"/>
      <c r="T434" s="58"/>
      <c r="U434" s="43"/>
      <c r="V434" s="43"/>
      <c r="W434" s="58"/>
      <c r="X434" s="58"/>
      <c r="Y434" s="59" t="s">
        <v>156</v>
      </c>
      <c r="Z434" s="60"/>
      <c r="AA434" s="25"/>
      <c r="AB434" s="25"/>
    </row>
    <row r="435" spans="2:28">
      <c r="B435" s="40"/>
      <c r="C435" s="40"/>
      <c r="D435" s="41"/>
      <c r="E435" s="42"/>
      <c r="F435" s="42"/>
      <c r="G435" s="43" t="s">
        <v>154</v>
      </c>
      <c r="H435" s="42" t="s">
        <v>155</v>
      </c>
      <c r="I435" s="43"/>
      <c r="J435" s="43"/>
      <c r="K435" s="25" t="e">
        <f>VLOOKUP(J435,Key!$E$2:$F$9,2,FALSE)</f>
        <v>#N/A</v>
      </c>
      <c r="L435" s="42"/>
      <c r="M435" s="43" t="s">
        <v>154</v>
      </c>
      <c r="N435" s="42" t="s">
        <v>155</v>
      </c>
      <c r="O435" s="43"/>
      <c r="P435" s="43"/>
      <c r="Q435" s="25" t="e">
        <f>VLOOKUP(P435,Key!$E$2:$F$9,2,FALSE)</f>
        <v>#N/A</v>
      </c>
      <c r="R435" s="25" t="e">
        <f t="shared" si="7"/>
        <v>#N/A</v>
      </c>
      <c r="S435" s="58"/>
      <c r="T435" s="58"/>
      <c r="U435" s="43"/>
      <c r="V435" s="43"/>
      <c r="W435" s="58"/>
      <c r="X435" s="58"/>
      <c r="Y435" s="59" t="s">
        <v>156</v>
      </c>
      <c r="Z435" s="60"/>
      <c r="AA435" s="25"/>
      <c r="AB435" s="25"/>
    </row>
    <row r="436" spans="2:28">
      <c r="B436" s="40"/>
      <c r="C436" s="40"/>
      <c r="D436" s="41"/>
      <c r="E436" s="42"/>
      <c r="F436" s="42"/>
      <c r="G436" s="43" t="s">
        <v>154</v>
      </c>
      <c r="H436" s="42" t="s">
        <v>155</v>
      </c>
      <c r="I436" s="43"/>
      <c r="J436" s="43"/>
      <c r="K436" s="25" t="e">
        <f>VLOOKUP(J436,Key!$E$2:$F$9,2,FALSE)</f>
        <v>#N/A</v>
      </c>
      <c r="L436" s="42"/>
      <c r="M436" s="43" t="s">
        <v>154</v>
      </c>
      <c r="N436" s="42" t="s">
        <v>155</v>
      </c>
      <c r="O436" s="43"/>
      <c r="P436" s="43"/>
      <c r="Q436" s="25" t="e">
        <f>VLOOKUP(P436,Key!$E$2:$F$9,2,FALSE)</f>
        <v>#N/A</v>
      </c>
      <c r="R436" s="25" t="e">
        <f t="shared" si="7"/>
        <v>#N/A</v>
      </c>
      <c r="S436" s="58"/>
      <c r="T436" s="58"/>
      <c r="U436" s="43"/>
      <c r="V436" s="43"/>
      <c r="W436" s="58"/>
      <c r="X436" s="58"/>
      <c r="Y436" s="59" t="s">
        <v>156</v>
      </c>
      <c r="Z436" s="60"/>
      <c r="AA436" s="25"/>
      <c r="AB436" s="25"/>
    </row>
    <row r="437" spans="2:28">
      <c r="B437" s="40"/>
      <c r="C437" s="40"/>
      <c r="D437" s="41"/>
      <c r="E437" s="42"/>
      <c r="F437" s="42"/>
      <c r="G437" s="43" t="s">
        <v>154</v>
      </c>
      <c r="H437" s="42" t="s">
        <v>155</v>
      </c>
      <c r="I437" s="43"/>
      <c r="J437" s="43"/>
      <c r="K437" s="25" t="e">
        <f>VLOOKUP(J437,Key!$E$2:$F$9,2,FALSE)</f>
        <v>#N/A</v>
      </c>
      <c r="L437" s="42"/>
      <c r="M437" s="43" t="s">
        <v>154</v>
      </c>
      <c r="N437" s="42" t="s">
        <v>155</v>
      </c>
      <c r="O437" s="43"/>
      <c r="P437" s="43"/>
      <c r="Q437" s="25" t="e">
        <f>VLOOKUP(P437,Key!$E$2:$F$9,2,FALSE)</f>
        <v>#N/A</v>
      </c>
      <c r="R437" s="25" t="e">
        <f t="shared" si="7"/>
        <v>#N/A</v>
      </c>
      <c r="S437" s="58"/>
      <c r="T437" s="58"/>
      <c r="U437" s="43"/>
      <c r="V437" s="43"/>
      <c r="W437" s="58"/>
      <c r="X437" s="58"/>
      <c r="Y437" s="59" t="s">
        <v>156</v>
      </c>
      <c r="Z437" s="60"/>
      <c r="AA437" s="25"/>
      <c r="AB437" s="25"/>
    </row>
    <row r="438" spans="2:28">
      <c r="B438" s="40"/>
      <c r="C438" s="40"/>
      <c r="D438" s="41"/>
      <c r="E438" s="42"/>
      <c r="F438" s="42"/>
      <c r="G438" s="43" t="s">
        <v>154</v>
      </c>
      <c r="H438" s="42" t="s">
        <v>155</v>
      </c>
      <c r="I438" s="43"/>
      <c r="J438" s="43"/>
      <c r="K438" s="25" t="e">
        <f>VLOOKUP(J438,Key!$E$2:$F$9,2,FALSE)</f>
        <v>#N/A</v>
      </c>
      <c r="L438" s="42"/>
      <c r="M438" s="43" t="s">
        <v>154</v>
      </c>
      <c r="N438" s="42" t="s">
        <v>155</v>
      </c>
      <c r="O438" s="43"/>
      <c r="P438" s="43"/>
      <c r="Q438" s="25" t="e">
        <f>VLOOKUP(P438,Key!$E$2:$F$9,2,FALSE)</f>
        <v>#N/A</v>
      </c>
      <c r="R438" s="25" t="e">
        <f t="shared" si="7"/>
        <v>#N/A</v>
      </c>
      <c r="S438" s="58"/>
      <c r="T438" s="58"/>
      <c r="U438" s="43"/>
      <c r="V438" s="43"/>
      <c r="W438" s="58"/>
      <c r="X438" s="58"/>
      <c r="Y438" s="59" t="s">
        <v>156</v>
      </c>
      <c r="Z438" s="60"/>
      <c r="AA438" s="25"/>
      <c r="AB438" s="25"/>
    </row>
    <row r="439" spans="2:28">
      <c r="B439" s="40"/>
      <c r="C439" s="40"/>
      <c r="D439" s="41"/>
      <c r="E439" s="42"/>
      <c r="F439" s="42"/>
      <c r="G439" s="43" t="s">
        <v>154</v>
      </c>
      <c r="H439" s="42" t="s">
        <v>155</v>
      </c>
      <c r="I439" s="43"/>
      <c r="J439" s="43"/>
      <c r="K439" s="25" t="e">
        <f>VLOOKUP(J439,Key!$E$2:$F$9,2,FALSE)</f>
        <v>#N/A</v>
      </c>
      <c r="L439" s="42"/>
      <c r="M439" s="43" t="s">
        <v>154</v>
      </c>
      <c r="N439" s="42" t="s">
        <v>155</v>
      </c>
      <c r="O439" s="43"/>
      <c r="P439" s="43"/>
      <c r="Q439" s="25" t="e">
        <f>VLOOKUP(P439,Key!$E$2:$F$9,2,FALSE)</f>
        <v>#N/A</v>
      </c>
      <c r="R439" s="25" t="e">
        <f t="shared" si="7"/>
        <v>#N/A</v>
      </c>
      <c r="S439" s="58"/>
      <c r="T439" s="58"/>
      <c r="U439" s="43"/>
      <c r="V439" s="43"/>
      <c r="W439" s="58"/>
      <c r="X439" s="58"/>
      <c r="Y439" s="59" t="s">
        <v>156</v>
      </c>
      <c r="Z439" s="60"/>
      <c r="AA439" s="25"/>
      <c r="AB439" s="25"/>
    </row>
    <row r="440" spans="2:28">
      <c r="B440" s="40"/>
      <c r="C440" s="40"/>
      <c r="D440" s="41"/>
      <c r="E440" s="42"/>
      <c r="F440" s="42"/>
      <c r="G440" s="43" t="s">
        <v>154</v>
      </c>
      <c r="H440" s="42" t="s">
        <v>155</v>
      </c>
      <c r="I440" s="43"/>
      <c r="J440" s="43"/>
      <c r="K440" s="25" t="e">
        <f>VLOOKUP(J440,Key!$E$2:$F$9,2,FALSE)</f>
        <v>#N/A</v>
      </c>
      <c r="L440" s="42"/>
      <c r="M440" s="43" t="s">
        <v>154</v>
      </c>
      <c r="N440" s="42" t="s">
        <v>155</v>
      </c>
      <c r="O440" s="43"/>
      <c r="P440" s="43"/>
      <c r="Q440" s="25" t="e">
        <f>VLOOKUP(P440,Key!$E$2:$F$9,2,FALSE)</f>
        <v>#N/A</v>
      </c>
      <c r="R440" s="25" t="e">
        <f t="shared" si="7"/>
        <v>#N/A</v>
      </c>
      <c r="S440" s="58"/>
      <c r="T440" s="58"/>
      <c r="U440" s="43"/>
      <c r="V440" s="43"/>
      <c r="W440" s="58"/>
      <c r="X440" s="58"/>
      <c r="Y440" s="59" t="s">
        <v>156</v>
      </c>
      <c r="Z440" s="60"/>
      <c r="AA440" s="25"/>
      <c r="AB440" s="25"/>
    </row>
    <row r="441" spans="2:28">
      <c r="B441" s="40"/>
      <c r="C441" s="40"/>
      <c r="D441" s="41"/>
      <c r="E441" s="42"/>
      <c r="F441" s="42"/>
      <c r="G441" s="43" t="s">
        <v>154</v>
      </c>
      <c r="H441" s="42" t="s">
        <v>155</v>
      </c>
      <c r="I441" s="43"/>
      <c r="J441" s="43"/>
      <c r="K441" s="25" t="e">
        <f>VLOOKUP(J441,Key!$E$2:$F$9,2,FALSE)</f>
        <v>#N/A</v>
      </c>
      <c r="L441" s="42"/>
      <c r="M441" s="43" t="s">
        <v>154</v>
      </c>
      <c r="N441" s="42" t="s">
        <v>155</v>
      </c>
      <c r="O441" s="43"/>
      <c r="P441" s="43"/>
      <c r="Q441" s="25" t="e">
        <f>VLOOKUP(P441,Key!$E$2:$F$9,2,FALSE)</f>
        <v>#N/A</v>
      </c>
      <c r="R441" s="25" t="e">
        <f t="shared" si="7"/>
        <v>#N/A</v>
      </c>
      <c r="S441" s="58"/>
      <c r="T441" s="58"/>
      <c r="U441" s="43"/>
      <c r="V441" s="43"/>
      <c r="W441" s="58"/>
      <c r="X441" s="58"/>
      <c r="Y441" s="59" t="s">
        <v>156</v>
      </c>
      <c r="Z441" s="60"/>
      <c r="AA441" s="25"/>
      <c r="AB441" s="25"/>
    </row>
    <row r="442" spans="2:28">
      <c r="B442" s="40"/>
      <c r="C442" s="40"/>
      <c r="D442" s="41"/>
      <c r="E442" s="42"/>
      <c r="F442" s="42"/>
      <c r="G442" s="43" t="s">
        <v>154</v>
      </c>
      <c r="H442" s="42" t="s">
        <v>155</v>
      </c>
      <c r="I442" s="43"/>
      <c r="J442" s="43"/>
      <c r="K442" s="25" t="e">
        <f>VLOOKUP(J442,Key!$E$2:$F$9,2,FALSE)</f>
        <v>#N/A</v>
      </c>
      <c r="L442" s="42"/>
      <c r="M442" s="43" t="s">
        <v>154</v>
      </c>
      <c r="N442" s="42" t="s">
        <v>155</v>
      </c>
      <c r="O442" s="43"/>
      <c r="P442" s="43"/>
      <c r="Q442" s="25" t="e">
        <f>VLOOKUP(P442,Key!$E$2:$F$9,2,FALSE)</f>
        <v>#N/A</v>
      </c>
      <c r="R442" s="25" t="e">
        <f t="shared" si="7"/>
        <v>#N/A</v>
      </c>
      <c r="S442" s="58"/>
      <c r="T442" s="58"/>
      <c r="U442" s="43"/>
      <c r="V442" s="43"/>
      <c r="W442" s="58"/>
      <c r="X442" s="58"/>
      <c r="Y442" s="59" t="s">
        <v>156</v>
      </c>
      <c r="Z442" s="60"/>
      <c r="AA442" s="25"/>
      <c r="AB442" s="25"/>
    </row>
    <row r="443" spans="2:28">
      <c r="B443" s="40"/>
      <c r="C443" s="40"/>
      <c r="D443" s="41"/>
      <c r="E443" s="42"/>
      <c r="F443" s="42"/>
      <c r="G443" s="43" t="s">
        <v>154</v>
      </c>
      <c r="H443" s="42" t="s">
        <v>155</v>
      </c>
      <c r="I443" s="43"/>
      <c r="J443" s="43"/>
      <c r="K443" s="25" t="e">
        <f>VLOOKUP(J443,Key!$E$2:$F$9,2,FALSE)</f>
        <v>#N/A</v>
      </c>
      <c r="L443" s="42"/>
      <c r="M443" s="43" t="s">
        <v>154</v>
      </c>
      <c r="N443" s="42" t="s">
        <v>155</v>
      </c>
      <c r="O443" s="43"/>
      <c r="P443" s="43"/>
      <c r="Q443" s="25" t="e">
        <f>VLOOKUP(P443,Key!$E$2:$F$9,2,FALSE)</f>
        <v>#N/A</v>
      </c>
      <c r="R443" s="25" t="e">
        <f t="shared" si="7"/>
        <v>#N/A</v>
      </c>
      <c r="S443" s="58"/>
      <c r="T443" s="58"/>
      <c r="U443" s="43"/>
      <c r="V443" s="43"/>
      <c r="W443" s="58"/>
      <c r="X443" s="58"/>
      <c r="Y443" s="59" t="s">
        <v>156</v>
      </c>
      <c r="Z443" s="60"/>
      <c r="AA443" s="25"/>
      <c r="AB443" s="25"/>
    </row>
    <row r="444" spans="2:28">
      <c r="B444" s="40"/>
      <c r="C444" s="40"/>
      <c r="D444" s="41"/>
      <c r="E444" s="42"/>
      <c r="F444" s="42"/>
      <c r="G444" s="43" t="s">
        <v>154</v>
      </c>
      <c r="H444" s="42" t="s">
        <v>155</v>
      </c>
      <c r="I444" s="43"/>
      <c r="J444" s="43"/>
      <c r="K444" s="25" t="e">
        <f>VLOOKUP(J444,Key!$E$2:$F$9,2,FALSE)</f>
        <v>#N/A</v>
      </c>
      <c r="L444" s="42"/>
      <c r="M444" s="43" t="s">
        <v>154</v>
      </c>
      <c r="N444" s="42" t="s">
        <v>155</v>
      </c>
      <c r="O444" s="43"/>
      <c r="P444" s="43"/>
      <c r="Q444" s="25" t="e">
        <f>VLOOKUP(P444,Key!$E$2:$F$9,2,FALSE)</f>
        <v>#N/A</v>
      </c>
      <c r="R444" s="25" t="e">
        <f t="shared" si="7"/>
        <v>#N/A</v>
      </c>
      <c r="S444" s="58"/>
      <c r="T444" s="58"/>
      <c r="U444" s="43"/>
      <c r="V444" s="43"/>
      <c r="W444" s="58"/>
      <c r="X444" s="58"/>
      <c r="Y444" s="59" t="s">
        <v>156</v>
      </c>
      <c r="Z444" s="60"/>
      <c r="AA444" s="25"/>
      <c r="AB444" s="25"/>
    </row>
    <row r="445" spans="2:28">
      <c r="B445" s="40"/>
      <c r="C445" s="40"/>
      <c r="D445" s="41"/>
      <c r="E445" s="42"/>
      <c r="F445" s="42"/>
      <c r="G445" s="43" t="s">
        <v>154</v>
      </c>
      <c r="H445" s="42" t="s">
        <v>155</v>
      </c>
      <c r="I445" s="43"/>
      <c r="J445" s="43"/>
      <c r="K445" s="25" t="e">
        <f>VLOOKUP(J445,Key!$E$2:$F$9,2,FALSE)</f>
        <v>#N/A</v>
      </c>
      <c r="L445" s="42"/>
      <c r="M445" s="43" t="s">
        <v>154</v>
      </c>
      <c r="N445" s="42" t="s">
        <v>155</v>
      </c>
      <c r="O445" s="43"/>
      <c r="P445" s="43"/>
      <c r="Q445" s="25" t="e">
        <f>VLOOKUP(P445,Key!$E$2:$F$9,2,FALSE)</f>
        <v>#N/A</v>
      </c>
      <c r="R445" s="25" t="e">
        <f t="shared" si="7"/>
        <v>#N/A</v>
      </c>
      <c r="S445" s="58"/>
      <c r="T445" s="58"/>
      <c r="U445" s="43"/>
      <c r="V445" s="43"/>
      <c r="W445" s="58"/>
      <c r="X445" s="58"/>
      <c r="Y445" s="59" t="s">
        <v>156</v>
      </c>
      <c r="Z445" s="60"/>
      <c r="AA445" s="25"/>
      <c r="AB445" s="25"/>
    </row>
    <row r="446" spans="2:28">
      <c r="B446" s="40"/>
      <c r="C446" s="40"/>
      <c r="D446" s="41"/>
      <c r="E446" s="42"/>
      <c r="F446" s="42"/>
      <c r="G446" s="43" t="s">
        <v>154</v>
      </c>
      <c r="H446" s="42" t="s">
        <v>155</v>
      </c>
      <c r="I446" s="43"/>
      <c r="J446" s="43"/>
      <c r="K446" s="25" t="e">
        <f>VLOOKUP(J446,Key!$E$2:$F$9,2,FALSE)</f>
        <v>#N/A</v>
      </c>
      <c r="L446" s="42"/>
      <c r="M446" s="43" t="s">
        <v>154</v>
      </c>
      <c r="N446" s="42" t="s">
        <v>155</v>
      </c>
      <c r="O446" s="43"/>
      <c r="P446" s="43"/>
      <c r="Q446" s="25" t="e">
        <f>VLOOKUP(P446,Key!$E$2:$F$9,2,FALSE)</f>
        <v>#N/A</v>
      </c>
      <c r="R446" s="25" t="e">
        <f t="shared" si="7"/>
        <v>#N/A</v>
      </c>
      <c r="S446" s="58"/>
      <c r="T446" s="58"/>
      <c r="U446" s="43"/>
      <c r="V446" s="43"/>
      <c r="W446" s="58"/>
      <c r="X446" s="58"/>
      <c r="Y446" s="59" t="s">
        <v>156</v>
      </c>
      <c r="Z446" s="60"/>
      <c r="AA446" s="25"/>
      <c r="AB446" s="25"/>
    </row>
    <row r="447" spans="2:28">
      <c r="B447" s="40"/>
      <c r="C447" s="40"/>
      <c r="D447" s="41"/>
      <c r="E447" s="42"/>
      <c r="F447" s="42"/>
      <c r="G447" s="43" t="s">
        <v>154</v>
      </c>
      <c r="H447" s="42" t="s">
        <v>155</v>
      </c>
      <c r="I447" s="43"/>
      <c r="J447" s="43"/>
      <c r="K447" s="25" t="e">
        <f>VLOOKUP(J447,Key!$E$2:$F$9,2,FALSE)</f>
        <v>#N/A</v>
      </c>
      <c r="L447" s="42"/>
      <c r="M447" s="43" t="s">
        <v>154</v>
      </c>
      <c r="N447" s="42" t="s">
        <v>155</v>
      </c>
      <c r="O447" s="43"/>
      <c r="P447" s="43"/>
      <c r="Q447" s="25" t="e">
        <f>VLOOKUP(P447,Key!$E$2:$F$9,2,FALSE)</f>
        <v>#N/A</v>
      </c>
      <c r="R447" s="25" t="e">
        <f t="shared" si="7"/>
        <v>#N/A</v>
      </c>
      <c r="S447" s="58"/>
      <c r="T447" s="58"/>
      <c r="U447" s="43"/>
      <c r="V447" s="43"/>
      <c r="W447" s="58"/>
      <c r="X447" s="58"/>
      <c r="Y447" s="59" t="s">
        <v>156</v>
      </c>
      <c r="Z447" s="60"/>
      <c r="AA447" s="25"/>
      <c r="AB447" s="25"/>
    </row>
    <row r="448" spans="2:28">
      <c r="B448" s="40"/>
      <c r="C448" s="40"/>
      <c r="D448" s="41"/>
      <c r="E448" s="42"/>
      <c r="F448" s="42"/>
      <c r="G448" s="43" t="s">
        <v>154</v>
      </c>
      <c r="H448" s="42" t="s">
        <v>155</v>
      </c>
      <c r="I448" s="43"/>
      <c r="J448" s="43"/>
      <c r="K448" s="25" t="e">
        <f>VLOOKUP(J448,Key!$E$2:$F$9,2,FALSE)</f>
        <v>#N/A</v>
      </c>
      <c r="L448" s="42"/>
      <c r="M448" s="43" t="s">
        <v>154</v>
      </c>
      <c r="N448" s="42" t="s">
        <v>155</v>
      </c>
      <c r="O448" s="43"/>
      <c r="P448" s="43"/>
      <c r="Q448" s="25" t="e">
        <f>VLOOKUP(P448,Key!$E$2:$F$9,2,FALSE)</f>
        <v>#N/A</v>
      </c>
      <c r="R448" s="25" t="e">
        <f t="shared" si="7"/>
        <v>#N/A</v>
      </c>
      <c r="S448" s="58"/>
      <c r="T448" s="58"/>
      <c r="U448" s="43"/>
      <c r="V448" s="43"/>
      <c r="W448" s="58"/>
      <c r="X448" s="58"/>
      <c r="Y448" s="59" t="s">
        <v>156</v>
      </c>
      <c r="Z448" s="60"/>
      <c r="AA448" s="25"/>
      <c r="AB448" s="25"/>
    </row>
    <row r="449" spans="2:28">
      <c r="B449" s="40"/>
      <c r="C449" s="40"/>
      <c r="D449" s="41"/>
      <c r="E449" s="42"/>
      <c r="F449" s="42"/>
      <c r="G449" s="43" t="s">
        <v>154</v>
      </c>
      <c r="H449" s="42" t="s">
        <v>155</v>
      </c>
      <c r="I449" s="43"/>
      <c r="J449" s="43"/>
      <c r="K449" s="25" t="e">
        <f>VLOOKUP(J449,Key!$E$2:$F$9,2,FALSE)</f>
        <v>#N/A</v>
      </c>
      <c r="L449" s="42"/>
      <c r="M449" s="43" t="s">
        <v>154</v>
      </c>
      <c r="N449" s="42" t="s">
        <v>155</v>
      </c>
      <c r="O449" s="43"/>
      <c r="P449" s="43"/>
      <c r="Q449" s="25" t="e">
        <f>VLOOKUP(P449,Key!$E$2:$F$9,2,FALSE)</f>
        <v>#N/A</v>
      </c>
      <c r="R449" s="25" t="e">
        <f t="shared" si="7"/>
        <v>#N/A</v>
      </c>
      <c r="S449" s="58"/>
      <c r="T449" s="58"/>
      <c r="U449" s="43"/>
      <c r="V449" s="43"/>
      <c r="W449" s="58"/>
      <c r="X449" s="58"/>
      <c r="Y449" s="59" t="s">
        <v>156</v>
      </c>
      <c r="Z449" s="60"/>
      <c r="AA449" s="25"/>
      <c r="AB449" s="25"/>
    </row>
    <row r="450" spans="2:28">
      <c r="B450" s="40"/>
      <c r="C450" s="40"/>
      <c r="D450" s="41"/>
      <c r="E450" s="42"/>
      <c r="F450" s="42"/>
      <c r="G450" s="43" t="s">
        <v>154</v>
      </c>
      <c r="H450" s="42" t="s">
        <v>155</v>
      </c>
      <c r="I450" s="43"/>
      <c r="J450" s="43"/>
      <c r="K450" s="25" t="e">
        <f>VLOOKUP(J450,Key!$E$2:$F$9,2,FALSE)</f>
        <v>#N/A</v>
      </c>
      <c r="L450" s="42"/>
      <c r="M450" s="43" t="s">
        <v>154</v>
      </c>
      <c r="N450" s="42" t="s">
        <v>155</v>
      </c>
      <c r="O450" s="43"/>
      <c r="P450" s="43"/>
      <c r="Q450" s="25" t="e">
        <f>VLOOKUP(P450,Key!$E$2:$F$9,2,FALSE)</f>
        <v>#N/A</v>
      </c>
      <c r="R450" s="25" t="e">
        <f t="shared" si="7"/>
        <v>#N/A</v>
      </c>
      <c r="S450" s="58"/>
      <c r="T450" s="58"/>
      <c r="U450" s="43"/>
      <c r="V450" s="43"/>
      <c r="W450" s="58"/>
      <c r="X450" s="58"/>
      <c r="Y450" s="59" t="s">
        <v>156</v>
      </c>
      <c r="Z450" s="60"/>
      <c r="AA450" s="25"/>
      <c r="AB450" s="25"/>
    </row>
    <row r="451" spans="2:28">
      <c r="B451" s="40"/>
      <c r="C451" s="40"/>
      <c r="D451" s="41"/>
      <c r="E451" s="42"/>
      <c r="F451" s="42"/>
      <c r="G451" s="43" t="s">
        <v>154</v>
      </c>
      <c r="H451" s="42" t="s">
        <v>155</v>
      </c>
      <c r="I451" s="43"/>
      <c r="J451" s="43"/>
      <c r="K451" s="25" t="e">
        <f>VLOOKUP(J451,Key!$E$2:$F$9,2,FALSE)</f>
        <v>#N/A</v>
      </c>
      <c r="L451" s="42"/>
      <c r="M451" s="43" t="s">
        <v>154</v>
      </c>
      <c r="N451" s="42" t="s">
        <v>155</v>
      </c>
      <c r="O451" s="43"/>
      <c r="P451" s="43"/>
      <c r="Q451" s="25" t="e">
        <f>VLOOKUP(P451,Key!$E$2:$F$9,2,FALSE)</f>
        <v>#N/A</v>
      </c>
      <c r="R451" s="25" t="e">
        <f t="shared" si="7"/>
        <v>#N/A</v>
      </c>
      <c r="S451" s="58"/>
      <c r="T451" s="58"/>
      <c r="U451" s="43"/>
      <c r="V451" s="43"/>
      <c r="W451" s="58"/>
      <c r="X451" s="58"/>
      <c r="Y451" s="59" t="s">
        <v>156</v>
      </c>
      <c r="Z451" s="60"/>
      <c r="AA451" s="25"/>
      <c r="AB451" s="25"/>
    </row>
    <row r="452" spans="2:28">
      <c r="B452" s="40"/>
      <c r="C452" s="40"/>
      <c r="D452" s="41"/>
      <c r="E452" s="42"/>
      <c r="F452" s="42"/>
      <c r="G452" s="43" t="s">
        <v>154</v>
      </c>
      <c r="H452" s="42" t="s">
        <v>155</v>
      </c>
      <c r="I452" s="43"/>
      <c r="J452" s="43"/>
      <c r="K452" s="25" t="e">
        <f>VLOOKUP(J452,Key!$E$2:$F$9,2,FALSE)</f>
        <v>#N/A</v>
      </c>
      <c r="L452" s="42"/>
      <c r="M452" s="43" t="s">
        <v>154</v>
      </c>
      <c r="N452" s="42" t="s">
        <v>155</v>
      </c>
      <c r="O452" s="43"/>
      <c r="P452" s="43"/>
      <c r="Q452" s="25" t="e">
        <f>VLOOKUP(P452,Key!$E$2:$F$9,2,FALSE)</f>
        <v>#N/A</v>
      </c>
      <c r="R452" s="25" t="e">
        <f t="shared" si="7"/>
        <v>#N/A</v>
      </c>
      <c r="S452" s="58"/>
      <c r="T452" s="58"/>
      <c r="U452" s="43"/>
      <c r="V452" s="43"/>
      <c r="W452" s="58"/>
      <c r="X452" s="58"/>
      <c r="Y452" s="59" t="s">
        <v>156</v>
      </c>
      <c r="Z452" s="60"/>
      <c r="AA452" s="25"/>
      <c r="AB452" s="25"/>
    </row>
    <row r="453" spans="2:28">
      <c r="B453" s="40"/>
      <c r="C453" s="40"/>
      <c r="D453" s="41"/>
      <c r="E453" s="42"/>
      <c r="F453" s="42"/>
      <c r="G453" s="43" t="s">
        <v>154</v>
      </c>
      <c r="H453" s="42" t="s">
        <v>155</v>
      </c>
      <c r="I453" s="43"/>
      <c r="J453" s="43"/>
      <c r="K453" s="25" t="e">
        <f>VLOOKUP(J453,Key!$E$2:$F$9,2,FALSE)</f>
        <v>#N/A</v>
      </c>
      <c r="L453" s="42"/>
      <c r="M453" s="43" t="s">
        <v>154</v>
      </c>
      <c r="N453" s="42" t="s">
        <v>155</v>
      </c>
      <c r="O453" s="43"/>
      <c r="P453" s="43"/>
      <c r="Q453" s="25" t="e">
        <f>VLOOKUP(P453,Key!$E$2:$F$9,2,FALSE)</f>
        <v>#N/A</v>
      </c>
      <c r="R453" s="25" t="e">
        <f t="shared" si="7"/>
        <v>#N/A</v>
      </c>
      <c r="S453" s="58"/>
      <c r="T453" s="58"/>
      <c r="U453" s="43"/>
      <c r="V453" s="43"/>
      <c r="W453" s="58"/>
      <c r="X453" s="58"/>
      <c r="Y453" s="59" t="s">
        <v>156</v>
      </c>
      <c r="Z453" s="60"/>
      <c r="AA453" s="25"/>
      <c r="AB453" s="25"/>
    </row>
    <row r="454" spans="2:28">
      <c r="B454" s="40"/>
      <c r="C454" s="40"/>
      <c r="D454" s="41"/>
      <c r="E454" s="42"/>
      <c r="F454" s="42"/>
      <c r="G454" s="43" t="s">
        <v>154</v>
      </c>
      <c r="H454" s="42" t="s">
        <v>155</v>
      </c>
      <c r="I454" s="43"/>
      <c r="J454" s="43"/>
      <c r="K454" s="25" t="e">
        <f>VLOOKUP(J454,Key!$E$2:$F$9,2,FALSE)</f>
        <v>#N/A</v>
      </c>
      <c r="L454" s="42"/>
      <c r="M454" s="43" t="s">
        <v>154</v>
      </c>
      <c r="N454" s="42" t="s">
        <v>155</v>
      </c>
      <c r="O454" s="43"/>
      <c r="P454" s="43"/>
      <c r="Q454" s="25" t="e">
        <f>VLOOKUP(P454,Key!$E$2:$F$9,2,FALSE)</f>
        <v>#N/A</v>
      </c>
      <c r="R454" s="25" t="e">
        <f t="shared" si="7"/>
        <v>#N/A</v>
      </c>
      <c r="S454" s="58"/>
      <c r="T454" s="58"/>
      <c r="U454" s="43"/>
      <c r="V454" s="43"/>
      <c r="W454" s="58"/>
      <c r="X454" s="58"/>
      <c r="Y454" s="59" t="s">
        <v>156</v>
      </c>
      <c r="Z454" s="60"/>
      <c r="AA454" s="25"/>
      <c r="AB454" s="25"/>
    </row>
    <row r="455" spans="2:28">
      <c r="B455" s="40"/>
      <c r="C455" s="40"/>
      <c r="D455" s="41"/>
      <c r="E455" s="42"/>
      <c r="F455" s="42"/>
      <c r="G455" s="43" t="s">
        <v>154</v>
      </c>
      <c r="H455" s="42" t="s">
        <v>155</v>
      </c>
      <c r="I455" s="43"/>
      <c r="J455" s="43"/>
      <c r="K455" s="25" t="e">
        <f>VLOOKUP(J455,Key!$E$2:$F$9,2,FALSE)</f>
        <v>#N/A</v>
      </c>
      <c r="L455" s="42"/>
      <c r="M455" s="43" t="s">
        <v>154</v>
      </c>
      <c r="N455" s="42" t="s">
        <v>155</v>
      </c>
      <c r="O455" s="43"/>
      <c r="P455" s="43"/>
      <c r="Q455" s="25" t="e">
        <f>VLOOKUP(P455,Key!$E$2:$F$9,2,FALSE)</f>
        <v>#N/A</v>
      </c>
      <c r="R455" s="25" t="e">
        <f t="shared" si="7"/>
        <v>#N/A</v>
      </c>
      <c r="S455" s="58"/>
      <c r="T455" s="58"/>
      <c r="U455" s="43"/>
      <c r="V455" s="43"/>
      <c r="W455" s="58"/>
      <c r="X455" s="58"/>
      <c r="Y455" s="59" t="s">
        <v>156</v>
      </c>
      <c r="Z455" s="60"/>
      <c r="AA455" s="25"/>
      <c r="AB455" s="25"/>
    </row>
    <row r="456" spans="2:28">
      <c r="B456" s="40"/>
      <c r="C456" s="40"/>
      <c r="D456" s="41"/>
      <c r="E456" s="42"/>
      <c r="F456" s="42"/>
      <c r="G456" s="43" t="s">
        <v>154</v>
      </c>
      <c r="H456" s="42" t="s">
        <v>155</v>
      </c>
      <c r="I456" s="43"/>
      <c r="J456" s="43"/>
      <c r="K456" s="25" t="e">
        <f>VLOOKUP(J456,Key!$E$2:$F$9,2,FALSE)</f>
        <v>#N/A</v>
      </c>
      <c r="L456" s="42"/>
      <c r="M456" s="43" t="s">
        <v>154</v>
      </c>
      <c r="N456" s="42" t="s">
        <v>155</v>
      </c>
      <c r="O456" s="43"/>
      <c r="P456" s="43"/>
      <c r="Q456" s="25" t="e">
        <f>VLOOKUP(P456,Key!$E$2:$F$9,2,FALSE)</f>
        <v>#N/A</v>
      </c>
      <c r="R456" s="25" t="e">
        <f t="shared" si="7"/>
        <v>#N/A</v>
      </c>
      <c r="S456" s="58"/>
      <c r="T456" s="58"/>
      <c r="U456" s="43"/>
      <c r="V456" s="43"/>
      <c r="W456" s="58"/>
      <c r="X456" s="58"/>
      <c r="Y456" s="59" t="s">
        <v>156</v>
      </c>
      <c r="Z456" s="60"/>
      <c r="AA456" s="25"/>
      <c r="AB456" s="25"/>
    </row>
    <row r="457" spans="2:28">
      <c r="B457" s="40"/>
      <c r="C457" s="40"/>
      <c r="D457" s="41"/>
      <c r="E457" s="42"/>
      <c r="F457" s="42"/>
      <c r="G457" s="43" t="s">
        <v>154</v>
      </c>
      <c r="H457" s="42" t="s">
        <v>155</v>
      </c>
      <c r="I457" s="43"/>
      <c r="J457" s="43"/>
      <c r="K457" s="25" t="e">
        <f>VLOOKUP(J457,Key!$E$2:$F$9,2,FALSE)</f>
        <v>#N/A</v>
      </c>
      <c r="L457" s="42"/>
      <c r="M457" s="43" t="s">
        <v>154</v>
      </c>
      <c r="N457" s="42" t="s">
        <v>155</v>
      </c>
      <c r="O457" s="43"/>
      <c r="P457" s="43"/>
      <c r="Q457" s="25" t="e">
        <f>VLOOKUP(P457,Key!$E$2:$F$9,2,FALSE)</f>
        <v>#N/A</v>
      </c>
      <c r="R457" s="25" t="e">
        <f t="shared" si="7"/>
        <v>#N/A</v>
      </c>
      <c r="S457" s="58"/>
      <c r="T457" s="58"/>
      <c r="U457" s="43"/>
      <c r="V457" s="43"/>
      <c r="W457" s="58"/>
      <c r="X457" s="58"/>
      <c r="Y457" s="59" t="s">
        <v>156</v>
      </c>
      <c r="Z457" s="60"/>
      <c r="AA457" s="25"/>
      <c r="AB457" s="25"/>
    </row>
    <row r="458" spans="2:28">
      <c r="B458" s="40"/>
      <c r="C458" s="40"/>
      <c r="D458" s="41"/>
      <c r="E458" s="42"/>
      <c r="F458" s="42"/>
      <c r="G458" s="43" t="s">
        <v>154</v>
      </c>
      <c r="H458" s="42" t="s">
        <v>155</v>
      </c>
      <c r="I458" s="43"/>
      <c r="J458" s="43"/>
      <c r="K458" s="25" t="e">
        <f>VLOOKUP(J458,Key!$E$2:$F$9,2,FALSE)</f>
        <v>#N/A</v>
      </c>
      <c r="L458" s="42"/>
      <c r="M458" s="43" t="s">
        <v>154</v>
      </c>
      <c r="N458" s="42" t="s">
        <v>155</v>
      </c>
      <c r="O458" s="43"/>
      <c r="P458" s="43"/>
      <c r="Q458" s="25" t="e">
        <f>VLOOKUP(P458,Key!$E$2:$F$9,2,FALSE)</f>
        <v>#N/A</v>
      </c>
      <c r="R458" s="25" t="e">
        <f t="shared" si="7"/>
        <v>#N/A</v>
      </c>
      <c r="S458" s="58"/>
      <c r="T458" s="58"/>
      <c r="U458" s="43"/>
      <c r="V458" s="43"/>
      <c r="W458" s="58"/>
      <c r="X458" s="58"/>
      <c r="Y458" s="59" t="s">
        <v>156</v>
      </c>
      <c r="Z458" s="60"/>
      <c r="AA458" s="25"/>
      <c r="AB458" s="25"/>
    </row>
    <row r="459" spans="2:28">
      <c r="B459" s="40"/>
      <c r="C459" s="40"/>
      <c r="D459" s="41"/>
      <c r="E459" s="42"/>
      <c r="F459" s="42"/>
      <c r="G459" s="43" t="s">
        <v>154</v>
      </c>
      <c r="H459" s="42" t="s">
        <v>155</v>
      </c>
      <c r="I459" s="43"/>
      <c r="J459" s="43"/>
      <c r="K459" s="25" t="e">
        <f>VLOOKUP(J459,Key!$E$2:$F$9,2,FALSE)</f>
        <v>#N/A</v>
      </c>
      <c r="L459" s="42"/>
      <c r="M459" s="43" t="s">
        <v>154</v>
      </c>
      <c r="N459" s="42" t="s">
        <v>155</v>
      </c>
      <c r="O459" s="43"/>
      <c r="P459" s="43"/>
      <c r="Q459" s="25" t="e">
        <f>VLOOKUP(P459,Key!$E$2:$F$9,2,FALSE)</f>
        <v>#N/A</v>
      </c>
      <c r="R459" s="25" t="e">
        <f t="shared" si="7"/>
        <v>#N/A</v>
      </c>
      <c r="S459" s="58"/>
      <c r="T459" s="58"/>
      <c r="U459" s="43"/>
      <c r="V459" s="43"/>
      <c r="W459" s="58"/>
      <c r="X459" s="58"/>
      <c r="Y459" s="59" t="s">
        <v>156</v>
      </c>
      <c r="Z459" s="60"/>
      <c r="AA459" s="25"/>
      <c r="AB459" s="25"/>
    </row>
    <row r="460" spans="2:28">
      <c r="B460" s="40"/>
      <c r="C460" s="40"/>
      <c r="D460" s="41"/>
      <c r="E460" s="42"/>
      <c r="F460" s="42"/>
      <c r="G460" s="43" t="s">
        <v>154</v>
      </c>
      <c r="H460" s="42" t="s">
        <v>155</v>
      </c>
      <c r="I460" s="43"/>
      <c r="J460" s="43"/>
      <c r="K460" s="25" t="e">
        <f>VLOOKUP(J460,Key!$E$2:$F$9,2,FALSE)</f>
        <v>#N/A</v>
      </c>
      <c r="L460" s="42"/>
      <c r="M460" s="43" t="s">
        <v>154</v>
      </c>
      <c r="N460" s="42" t="s">
        <v>155</v>
      </c>
      <c r="O460" s="43"/>
      <c r="P460" s="43"/>
      <c r="Q460" s="25" t="e">
        <f>VLOOKUP(P460,Key!$E$2:$F$9,2,FALSE)</f>
        <v>#N/A</v>
      </c>
      <c r="R460" s="25" t="e">
        <f t="shared" si="7"/>
        <v>#N/A</v>
      </c>
      <c r="S460" s="58"/>
      <c r="T460" s="58"/>
      <c r="U460" s="43"/>
      <c r="V460" s="43"/>
      <c r="W460" s="58"/>
      <c r="X460" s="58"/>
      <c r="Y460" s="59" t="s">
        <v>156</v>
      </c>
      <c r="Z460" s="60"/>
      <c r="AA460" s="25"/>
      <c r="AB460" s="25"/>
    </row>
    <row r="461" spans="2:28">
      <c r="B461" s="40"/>
      <c r="C461" s="40"/>
      <c r="D461" s="41"/>
      <c r="E461" s="42"/>
      <c r="F461" s="42"/>
      <c r="G461" s="43" t="s">
        <v>154</v>
      </c>
      <c r="H461" s="42" t="s">
        <v>155</v>
      </c>
      <c r="I461" s="43"/>
      <c r="J461" s="43"/>
      <c r="K461" s="25" t="e">
        <f>VLOOKUP(J461,Key!$E$2:$F$9,2,FALSE)</f>
        <v>#N/A</v>
      </c>
      <c r="L461" s="42"/>
      <c r="M461" s="43" t="s">
        <v>154</v>
      </c>
      <c r="N461" s="42" t="s">
        <v>155</v>
      </c>
      <c r="O461" s="43"/>
      <c r="P461" s="43"/>
      <c r="Q461" s="25" t="e">
        <f>VLOOKUP(P461,Key!$E$2:$F$9,2,FALSE)</f>
        <v>#N/A</v>
      </c>
      <c r="R461" s="25" t="e">
        <f t="shared" si="7"/>
        <v>#N/A</v>
      </c>
      <c r="S461" s="58"/>
      <c r="T461" s="58"/>
      <c r="U461" s="43"/>
      <c r="V461" s="43"/>
      <c r="W461" s="58"/>
      <c r="X461" s="58"/>
      <c r="Y461" s="59" t="s">
        <v>156</v>
      </c>
      <c r="Z461" s="60"/>
      <c r="AA461" s="25"/>
      <c r="AB461" s="25"/>
    </row>
    <row r="462" spans="2:28">
      <c r="B462" s="40"/>
      <c r="C462" s="40"/>
      <c r="D462" s="41"/>
      <c r="E462" s="42"/>
      <c r="F462" s="42"/>
      <c r="G462" s="43" t="s">
        <v>154</v>
      </c>
      <c r="H462" s="42" t="s">
        <v>155</v>
      </c>
      <c r="I462" s="43"/>
      <c r="J462" s="43"/>
      <c r="K462" s="25" t="e">
        <f>VLOOKUP(J462,Key!$E$2:$F$9,2,FALSE)</f>
        <v>#N/A</v>
      </c>
      <c r="L462" s="42"/>
      <c r="M462" s="43" t="s">
        <v>154</v>
      </c>
      <c r="N462" s="42" t="s">
        <v>155</v>
      </c>
      <c r="O462" s="43"/>
      <c r="P462" s="43"/>
      <c r="Q462" s="25" t="e">
        <f>VLOOKUP(P462,Key!$E$2:$F$9,2,FALSE)</f>
        <v>#N/A</v>
      </c>
      <c r="R462" s="25" t="e">
        <f t="shared" si="7"/>
        <v>#N/A</v>
      </c>
      <c r="S462" s="58"/>
      <c r="T462" s="58"/>
      <c r="U462" s="43"/>
      <c r="V462" s="43"/>
      <c r="W462" s="58"/>
      <c r="X462" s="58"/>
      <c r="Y462" s="59" t="s">
        <v>156</v>
      </c>
      <c r="Z462" s="60"/>
      <c r="AA462" s="25"/>
      <c r="AB462" s="25"/>
    </row>
    <row r="463" spans="2:28">
      <c r="B463" s="40"/>
      <c r="C463" s="40"/>
      <c r="D463" s="41"/>
      <c r="E463" s="42"/>
      <c r="F463" s="42"/>
      <c r="G463" s="43" t="s">
        <v>154</v>
      </c>
      <c r="H463" s="42" t="s">
        <v>155</v>
      </c>
      <c r="I463" s="43"/>
      <c r="J463" s="43"/>
      <c r="K463" s="25" t="e">
        <f>VLOOKUP(J463,Key!$E$2:$F$9,2,FALSE)</f>
        <v>#N/A</v>
      </c>
      <c r="L463" s="42"/>
      <c r="M463" s="43" t="s">
        <v>154</v>
      </c>
      <c r="N463" s="42" t="s">
        <v>155</v>
      </c>
      <c r="O463" s="43"/>
      <c r="P463" s="43"/>
      <c r="Q463" s="25" t="e">
        <f>VLOOKUP(P463,Key!$E$2:$F$9,2,FALSE)</f>
        <v>#N/A</v>
      </c>
      <c r="R463" s="25" t="e">
        <f t="shared" si="7"/>
        <v>#N/A</v>
      </c>
      <c r="S463" s="58"/>
      <c r="T463" s="58"/>
      <c r="U463" s="43"/>
      <c r="V463" s="43"/>
      <c r="W463" s="58"/>
      <c r="X463" s="58"/>
      <c r="Y463" s="59" t="s">
        <v>156</v>
      </c>
      <c r="Z463" s="60"/>
      <c r="AA463" s="25"/>
      <c r="AB463" s="25"/>
    </row>
    <row r="464" spans="2:28">
      <c r="B464" s="40"/>
      <c r="C464" s="40"/>
      <c r="D464" s="41"/>
      <c r="E464" s="42"/>
      <c r="F464" s="42"/>
      <c r="G464" s="43" t="s">
        <v>154</v>
      </c>
      <c r="H464" s="42" t="s">
        <v>155</v>
      </c>
      <c r="I464" s="43"/>
      <c r="J464" s="43"/>
      <c r="K464" s="25" t="e">
        <f>VLOOKUP(J464,Key!$E$2:$F$9,2,FALSE)</f>
        <v>#N/A</v>
      </c>
      <c r="L464" s="42"/>
      <c r="M464" s="43" t="s">
        <v>154</v>
      </c>
      <c r="N464" s="42" t="s">
        <v>155</v>
      </c>
      <c r="O464" s="43"/>
      <c r="P464" s="43"/>
      <c r="Q464" s="25" t="e">
        <f>VLOOKUP(P464,Key!$E$2:$F$9,2,FALSE)</f>
        <v>#N/A</v>
      </c>
      <c r="R464" s="25" t="e">
        <f t="shared" si="7"/>
        <v>#N/A</v>
      </c>
      <c r="S464" s="58"/>
      <c r="T464" s="58"/>
      <c r="U464" s="43"/>
      <c r="V464" s="43"/>
      <c r="W464" s="58"/>
      <c r="X464" s="58"/>
      <c r="Y464" s="59" t="s">
        <v>156</v>
      </c>
      <c r="Z464" s="60"/>
      <c r="AA464" s="25"/>
      <c r="AB464" s="25"/>
    </row>
    <row r="465" spans="2:28">
      <c r="B465" s="40"/>
      <c r="C465" s="40"/>
      <c r="D465" s="41"/>
      <c r="E465" s="42"/>
      <c r="F465" s="42"/>
      <c r="G465" s="43" t="s">
        <v>154</v>
      </c>
      <c r="H465" s="42" t="s">
        <v>155</v>
      </c>
      <c r="I465" s="43"/>
      <c r="J465" s="43"/>
      <c r="K465" s="25" t="e">
        <f>VLOOKUP(J465,Key!$E$2:$F$9,2,FALSE)</f>
        <v>#N/A</v>
      </c>
      <c r="L465" s="42"/>
      <c r="M465" s="43" t="s">
        <v>154</v>
      </c>
      <c r="N465" s="42" t="s">
        <v>155</v>
      </c>
      <c r="O465" s="43"/>
      <c r="P465" s="43"/>
      <c r="Q465" s="25" t="e">
        <f>VLOOKUP(P465,Key!$E$2:$F$9,2,FALSE)</f>
        <v>#N/A</v>
      </c>
      <c r="R465" s="25" t="e">
        <f t="shared" si="7"/>
        <v>#N/A</v>
      </c>
      <c r="S465" s="58"/>
      <c r="T465" s="58"/>
      <c r="U465" s="43"/>
      <c r="V465" s="43"/>
      <c r="W465" s="58"/>
      <c r="X465" s="58"/>
      <c r="Y465" s="59" t="s">
        <v>156</v>
      </c>
      <c r="Z465" s="60"/>
      <c r="AA465" s="25"/>
      <c r="AB465" s="25"/>
    </row>
    <row r="466" spans="2:28">
      <c r="B466" s="40"/>
      <c r="C466" s="40"/>
      <c r="D466" s="41"/>
      <c r="E466" s="42"/>
      <c r="F466" s="42"/>
      <c r="G466" s="43" t="s">
        <v>154</v>
      </c>
      <c r="H466" s="42" t="s">
        <v>155</v>
      </c>
      <c r="I466" s="43"/>
      <c r="J466" s="43"/>
      <c r="K466" s="25" t="e">
        <f>VLOOKUP(J466,Key!$E$2:$F$9,2,FALSE)</f>
        <v>#N/A</v>
      </c>
      <c r="L466" s="42"/>
      <c r="M466" s="43" t="s">
        <v>154</v>
      </c>
      <c r="N466" s="42" t="s">
        <v>155</v>
      </c>
      <c r="O466" s="43"/>
      <c r="P466" s="43"/>
      <c r="Q466" s="25" t="e">
        <f>VLOOKUP(P466,Key!$E$2:$F$9,2,FALSE)</f>
        <v>#N/A</v>
      </c>
      <c r="R466" s="25" t="e">
        <f t="shared" si="7"/>
        <v>#N/A</v>
      </c>
      <c r="S466" s="58"/>
      <c r="T466" s="58"/>
      <c r="U466" s="43"/>
      <c r="V466" s="43"/>
      <c r="W466" s="58"/>
      <c r="X466" s="58"/>
      <c r="Y466" s="59" t="s">
        <v>156</v>
      </c>
      <c r="Z466" s="60"/>
      <c r="AA466" s="25"/>
      <c r="AB466" s="25"/>
    </row>
    <row r="467" spans="2:28">
      <c r="B467" s="40"/>
      <c r="C467" s="40"/>
      <c r="D467" s="41"/>
      <c r="E467" s="42"/>
      <c r="F467" s="42"/>
      <c r="G467" s="43" t="s">
        <v>154</v>
      </c>
      <c r="H467" s="42" t="s">
        <v>155</v>
      </c>
      <c r="I467" s="43"/>
      <c r="J467" s="43"/>
      <c r="K467" s="25" t="e">
        <f>VLOOKUP(J467,Key!$E$2:$F$9,2,FALSE)</f>
        <v>#N/A</v>
      </c>
      <c r="L467" s="42"/>
      <c r="M467" s="43" t="s">
        <v>154</v>
      </c>
      <c r="N467" s="42" t="s">
        <v>155</v>
      </c>
      <c r="O467" s="43"/>
      <c r="P467" s="43"/>
      <c r="Q467" s="25" t="e">
        <f>VLOOKUP(P467,Key!$E$2:$F$9,2,FALSE)</f>
        <v>#N/A</v>
      </c>
      <c r="R467" s="25" t="e">
        <f t="shared" si="7"/>
        <v>#N/A</v>
      </c>
      <c r="S467" s="58"/>
      <c r="T467" s="58"/>
      <c r="U467" s="43"/>
      <c r="V467" s="43"/>
      <c r="W467" s="58"/>
      <c r="X467" s="58"/>
      <c r="Y467" s="59" t="s">
        <v>156</v>
      </c>
      <c r="Z467" s="60"/>
      <c r="AA467" s="25"/>
      <c r="AB467" s="25"/>
    </row>
    <row r="468" spans="2:28">
      <c r="B468" s="40"/>
      <c r="C468" s="40"/>
      <c r="D468" s="41"/>
      <c r="E468" s="42"/>
      <c r="F468" s="42"/>
      <c r="G468" s="43" t="s">
        <v>154</v>
      </c>
      <c r="H468" s="42" t="s">
        <v>155</v>
      </c>
      <c r="I468" s="43"/>
      <c r="J468" s="43"/>
      <c r="K468" s="25" t="e">
        <f>VLOOKUP(J468,Key!$E$2:$F$9,2,FALSE)</f>
        <v>#N/A</v>
      </c>
      <c r="L468" s="42"/>
      <c r="M468" s="43" t="s">
        <v>154</v>
      </c>
      <c r="N468" s="42" t="s">
        <v>155</v>
      </c>
      <c r="O468" s="43"/>
      <c r="P468" s="43"/>
      <c r="Q468" s="25" t="e">
        <f>VLOOKUP(P468,Key!$E$2:$F$9,2,FALSE)</f>
        <v>#N/A</v>
      </c>
      <c r="R468" s="25" t="e">
        <f t="shared" si="7"/>
        <v>#N/A</v>
      </c>
      <c r="S468" s="58"/>
      <c r="T468" s="58"/>
      <c r="U468" s="43"/>
      <c r="V468" s="43"/>
      <c r="W468" s="58"/>
      <c r="X468" s="58"/>
      <c r="Y468" s="59" t="s">
        <v>156</v>
      </c>
      <c r="Z468" s="60"/>
      <c r="AA468" s="25"/>
      <c r="AB468" s="25"/>
    </row>
    <row r="469" spans="2:28">
      <c r="B469" s="40"/>
      <c r="C469" s="40"/>
      <c r="D469" s="41"/>
      <c r="E469" s="42"/>
      <c r="F469" s="42"/>
      <c r="G469" s="43" t="s">
        <v>154</v>
      </c>
      <c r="H469" s="42" t="s">
        <v>155</v>
      </c>
      <c r="I469" s="43"/>
      <c r="J469" s="43"/>
      <c r="K469" s="25" t="e">
        <f>VLOOKUP(J469,Key!$E$2:$F$9,2,FALSE)</f>
        <v>#N/A</v>
      </c>
      <c r="L469" s="42"/>
      <c r="M469" s="43" t="s">
        <v>154</v>
      </c>
      <c r="N469" s="42" t="s">
        <v>155</v>
      </c>
      <c r="O469" s="43"/>
      <c r="P469" s="43"/>
      <c r="Q469" s="25" t="e">
        <f>VLOOKUP(P469,Key!$E$2:$F$9,2,FALSE)</f>
        <v>#N/A</v>
      </c>
      <c r="R469" s="25" t="e">
        <f t="shared" si="7"/>
        <v>#N/A</v>
      </c>
      <c r="S469" s="58"/>
      <c r="T469" s="58"/>
      <c r="U469" s="43"/>
      <c r="V469" s="43"/>
      <c r="W469" s="58"/>
      <c r="X469" s="58"/>
      <c r="Y469" s="59" t="s">
        <v>156</v>
      </c>
      <c r="Z469" s="60"/>
      <c r="AA469" s="25"/>
      <c r="AB469" s="25"/>
    </row>
    <row r="470" spans="2:28">
      <c r="B470" s="40"/>
      <c r="C470" s="40"/>
      <c r="D470" s="41"/>
      <c r="E470" s="42"/>
      <c r="F470" s="42"/>
      <c r="G470" s="43" t="s">
        <v>154</v>
      </c>
      <c r="H470" s="42" t="s">
        <v>155</v>
      </c>
      <c r="I470" s="43"/>
      <c r="J470" s="43"/>
      <c r="K470" s="25" t="e">
        <f>VLOOKUP(J470,Key!$E$2:$F$9,2,FALSE)</f>
        <v>#N/A</v>
      </c>
      <c r="L470" s="42"/>
      <c r="M470" s="43" t="s">
        <v>154</v>
      </c>
      <c r="N470" s="42" t="s">
        <v>155</v>
      </c>
      <c r="O470" s="43"/>
      <c r="P470" s="43"/>
      <c r="Q470" s="25" t="e">
        <f>VLOOKUP(P470,Key!$E$2:$F$9,2,FALSE)</f>
        <v>#N/A</v>
      </c>
      <c r="R470" s="25" t="e">
        <f t="shared" si="7"/>
        <v>#N/A</v>
      </c>
      <c r="S470" s="58"/>
      <c r="T470" s="58"/>
      <c r="U470" s="43"/>
      <c r="V470" s="43"/>
      <c r="W470" s="58"/>
      <c r="X470" s="58"/>
      <c r="Y470" s="59" t="s">
        <v>156</v>
      </c>
      <c r="Z470" s="60"/>
      <c r="AA470" s="25"/>
      <c r="AB470" s="25"/>
    </row>
    <row r="471" spans="2:28">
      <c r="B471" s="40"/>
      <c r="C471" s="40"/>
      <c r="D471" s="41"/>
      <c r="E471" s="42"/>
      <c r="F471" s="42"/>
      <c r="G471" s="43" t="s">
        <v>154</v>
      </c>
      <c r="H471" s="42" t="s">
        <v>155</v>
      </c>
      <c r="I471" s="43"/>
      <c r="J471" s="43"/>
      <c r="K471" s="25" t="e">
        <f>VLOOKUP(J471,Key!$E$2:$F$9,2,FALSE)</f>
        <v>#N/A</v>
      </c>
      <c r="L471" s="42"/>
      <c r="M471" s="43" t="s">
        <v>154</v>
      </c>
      <c r="N471" s="42" t="s">
        <v>155</v>
      </c>
      <c r="O471" s="43"/>
      <c r="P471" s="43"/>
      <c r="Q471" s="25" t="e">
        <f>VLOOKUP(P471,Key!$E$2:$F$9,2,FALSE)</f>
        <v>#N/A</v>
      </c>
      <c r="R471" s="25" t="e">
        <f t="shared" si="7"/>
        <v>#N/A</v>
      </c>
      <c r="S471" s="58"/>
      <c r="T471" s="58"/>
      <c r="U471" s="43"/>
      <c r="V471" s="43"/>
      <c r="W471" s="58"/>
      <c r="X471" s="58"/>
      <c r="Y471" s="59" t="s">
        <v>156</v>
      </c>
      <c r="Z471" s="60"/>
      <c r="AA471" s="25"/>
      <c r="AB471" s="25"/>
    </row>
    <row r="472" spans="2:28">
      <c r="B472" s="40"/>
      <c r="C472" s="40"/>
      <c r="D472" s="41"/>
      <c r="E472" s="42"/>
      <c r="F472" s="42"/>
      <c r="G472" s="43" t="s">
        <v>154</v>
      </c>
      <c r="H472" s="42" t="s">
        <v>155</v>
      </c>
      <c r="I472" s="43"/>
      <c r="J472" s="43"/>
      <c r="K472" s="25" t="e">
        <f>VLOOKUP(J472,Key!$E$2:$F$9,2,FALSE)</f>
        <v>#N/A</v>
      </c>
      <c r="L472" s="42"/>
      <c r="M472" s="43" t="s">
        <v>154</v>
      </c>
      <c r="N472" s="42" t="s">
        <v>155</v>
      </c>
      <c r="O472" s="43"/>
      <c r="P472" s="43"/>
      <c r="Q472" s="25" t="e">
        <f>VLOOKUP(P472,Key!$E$2:$F$9,2,FALSE)</f>
        <v>#N/A</v>
      </c>
      <c r="R472" s="25" t="e">
        <f t="shared" si="7"/>
        <v>#N/A</v>
      </c>
      <c r="S472" s="58"/>
      <c r="T472" s="58"/>
      <c r="U472" s="43"/>
      <c r="V472" s="43"/>
      <c r="W472" s="58"/>
      <c r="X472" s="58"/>
      <c r="Y472" s="59" t="s">
        <v>156</v>
      </c>
      <c r="Z472" s="60"/>
      <c r="AA472" s="25"/>
      <c r="AB472" s="25"/>
    </row>
    <row r="473" spans="2:28">
      <c r="B473" s="40"/>
      <c r="C473" s="40"/>
      <c r="D473" s="41"/>
      <c r="E473" s="42"/>
      <c r="F473" s="42"/>
      <c r="G473" s="43" t="s">
        <v>154</v>
      </c>
      <c r="H473" s="42" t="s">
        <v>155</v>
      </c>
      <c r="I473" s="43"/>
      <c r="J473" s="43"/>
      <c r="K473" s="25" t="e">
        <f>VLOOKUP(J473,Key!$E$2:$F$9,2,FALSE)</f>
        <v>#N/A</v>
      </c>
      <c r="L473" s="42"/>
      <c r="M473" s="43" t="s">
        <v>154</v>
      </c>
      <c r="N473" s="42" t="s">
        <v>155</v>
      </c>
      <c r="O473" s="43"/>
      <c r="P473" s="43"/>
      <c r="Q473" s="25" t="e">
        <f>VLOOKUP(P473,Key!$E$2:$F$9,2,FALSE)</f>
        <v>#N/A</v>
      </c>
      <c r="R473" s="25" t="e">
        <f t="shared" si="7"/>
        <v>#N/A</v>
      </c>
      <c r="S473" s="58"/>
      <c r="T473" s="58"/>
      <c r="U473" s="43"/>
      <c r="V473" s="43"/>
      <c r="W473" s="58"/>
      <c r="X473" s="58"/>
      <c r="Y473" s="59" t="s">
        <v>156</v>
      </c>
      <c r="Z473" s="60"/>
      <c r="AA473" s="25"/>
      <c r="AB473" s="25"/>
    </row>
    <row r="474" spans="2:28">
      <c r="B474" s="40"/>
      <c r="C474" s="40"/>
      <c r="D474" s="41"/>
      <c r="E474" s="42"/>
      <c r="F474" s="42"/>
      <c r="G474" s="43" t="s">
        <v>154</v>
      </c>
      <c r="H474" s="42" t="s">
        <v>155</v>
      </c>
      <c r="I474" s="43"/>
      <c r="J474" s="43"/>
      <c r="K474" s="25" t="e">
        <f>VLOOKUP(J474,Key!$E$2:$F$9,2,FALSE)</f>
        <v>#N/A</v>
      </c>
      <c r="L474" s="42"/>
      <c r="M474" s="43" t="s">
        <v>154</v>
      </c>
      <c r="N474" s="42" t="s">
        <v>155</v>
      </c>
      <c r="O474" s="43"/>
      <c r="P474" s="43"/>
      <c r="Q474" s="25" t="e">
        <f>VLOOKUP(P474,Key!$E$2:$F$9,2,FALSE)</f>
        <v>#N/A</v>
      </c>
      <c r="R474" s="25" t="e">
        <f t="shared" si="7"/>
        <v>#N/A</v>
      </c>
      <c r="S474" s="58"/>
      <c r="T474" s="58"/>
      <c r="U474" s="43"/>
      <c r="V474" s="43"/>
      <c r="W474" s="58"/>
      <c r="X474" s="58"/>
      <c r="Y474" s="59" t="s">
        <v>156</v>
      </c>
      <c r="Z474" s="60"/>
      <c r="AA474" s="25"/>
      <c r="AB474" s="25"/>
    </row>
    <row r="475" spans="2:28">
      <c r="B475" s="40"/>
      <c r="C475" s="40"/>
      <c r="D475" s="41"/>
      <c r="E475" s="42"/>
      <c r="F475" s="42"/>
      <c r="G475" s="43" t="s">
        <v>154</v>
      </c>
      <c r="H475" s="42" t="s">
        <v>155</v>
      </c>
      <c r="I475" s="43"/>
      <c r="J475" s="43"/>
      <c r="K475" s="25" t="e">
        <f>VLOOKUP(J475,Key!$E$2:$F$9,2,FALSE)</f>
        <v>#N/A</v>
      </c>
      <c r="L475" s="42"/>
      <c r="M475" s="43" t="s">
        <v>154</v>
      </c>
      <c r="N475" s="42" t="s">
        <v>155</v>
      </c>
      <c r="O475" s="43"/>
      <c r="P475" s="43"/>
      <c r="Q475" s="25" t="e">
        <f>VLOOKUP(P475,Key!$E$2:$F$9,2,FALSE)</f>
        <v>#N/A</v>
      </c>
      <c r="R475" s="25" t="e">
        <f t="shared" si="7"/>
        <v>#N/A</v>
      </c>
      <c r="S475" s="58"/>
      <c r="T475" s="58"/>
      <c r="U475" s="43"/>
      <c r="V475" s="43"/>
      <c r="W475" s="58"/>
      <c r="X475" s="58"/>
      <c r="Y475" s="59" t="s">
        <v>156</v>
      </c>
      <c r="Z475" s="60"/>
      <c r="AA475" s="25"/>
      <c r="AB475" s="25"/>
    </row>
    <row r="476" spans="2:28">
      <c r="B476" s="40"/>
      <c r="C476" s="40"/>
      <c r="D476" s="41"/>
      <c r="E476" s="42"/>
      <c r="F476" s="42"/>
      <c r="G476" s="43" t="s">
        <v>154</v>
      </c>
      <c r="H476" s="42" t="s">
        <v>155</v>
      </c>
      <c r="I476" s="43"/>
      <c r="J476" s="43"/>
      <c r="K476" s="25" t="e">
        <f>VLOOKUP(J476,Key!$E$2:$F$9,2,FALSE)</f>
        <v>#N/A</v>
      </c>
      <c r="L476" s="42"/>
      <c r="M476" s="43" t="s">
        <v>154</v>
      </c>
      <c r="N476" s="42" t="s">
        <v>155</v>
      </c>
      <c r="O476" s="43"/>
      <c r="P476" s="43"/>
      <c r="Q476" s="25" t="e">
        <f>VLOOKUP(P476,Key!$E$2:$F$9,2,FALSE)</f>
        <v>#N/A</v>
      </c>
      <c r="R476" s="25" t="e">
        <f t="shared" si="7"/>
        <v>#N/A</v>
      </c>
      <c r="S476" s="58"/>
      <c r="T476" s="58"/>
      <c r="U476" s="43"/>
      <c r="V476" s="43"/>
      <c r="W476" s="58"/>
      <c r="X476" s="58"/>
      <c r="Y476" s="59" t="s">
        <v>156</v>
      </c>
      <c r="Z476" s="60"/>
      <c r="AA476" s="25"/>
      <c r="AB476" s="25"/>
    </row>
    <row r="477" spans="2:28">
      <c r="B477" s="40"/>
      <c r="C477" s="40"/>
      <c r="D477" s="41"/>
      <c r="E477" s="42"/>
      <c r="F477" s="42"/>
      <c r="G477" s="43" t="s">
        <v>154</v>
      </c>
      <c r="H477" s="42" t="s">
        <v>155</v>
      </c>
      <c r="I477" s="43"/>
      <c r="J477" s="43"/>
      <c r="K477" s="25" t="e">
        <f>VLOOKUP(J477,Key!$E$2:$F$9,2,FALSE)</f>
        <v>#N/A</v>
      </c>
      <c r="L477" s="42"/>
      <c r="M477" s="43" t="s">
        <v>154</v>
      </c>
      <c r="N477" s="42" t="s">
        <v>155</v>
      </c>
      <c r="O477" s="43"/>
      <c r="P477" s="43"/>
      <c r="Q477" s="25" t="e">
        <f>VLOOKUP(P477,Key!$E$2:$F$9,2,FALSE)</f>
        <v>#N/A</v>
      </c>
      <c r="R477" s="25" t="e">
        <f t="shared" si="7"/>
        <v>#N/A</v>
      </c>
      <c r="S477" s="58"/>
      <c r="T477" s="58"/>
      <c r="U477" s="43"/>
      <c r="V477" s="43"/>
      <c r="W477" s="58"/>
      <c r="X477" s="58"/>
      <c r="Y477" s="59" t="s">
        <v>156</v>
      </c>
      <c r="Z477" s="60"/>
      <c r="AA477" s="25"/>
      <c r="AB477" s="25"/>
    </row>
    <row r="478" spans="2:28">
      <c r="B478" s="40"/>
      <c r="C478" s="40"/>
      <c r="D478" s="41"/>
      <c r="E478" s="42"/>
      <c r="F478" s="42"/>
      <c r="G478" s="43" t="s">
        <v>154</v>
      </c>
      <c r="H478" s="42" t="s">
        <v>155</v>
      </c>
      <c r="I478" s="43"/>
      <c r="J478" s="43"/>
      <c r="K478" s="25" t="e">
        <f>VLOOKUP(J478,Key!$E$2:$F$9,2,FALSE)</f>
        <v>#N/A</v>
      </c>
      <c r="L478" s="42"/>
      <c r="M478" s="43" t="s">
        <v>154</v>
      </c>
      <c r="N478" s="42" t="s">
        <v>155</v>
      </c>
      <c r="O478" s="43"/>
      <c r="P478" s="43"/>
      <c r="Q478" s="25" t="e">
        <f>VLOOKUP(P478,Key!$E$2:$F$9,2,FALSE)</f>
        <v>#N/A</v>
      </c>
      <c r="R478" s="25" t="e">
        <f t="shared" si="7"/>
        <v>#N/A</v>
      </c>
      <c r="S478" s="58"/>
      <c r="T478" s="58"/>
      <c r="U478" s="43"/>
      <c r="V478" s="43"/>
      <c r="W478" s="58"/>
      <c r="X478" s="58"/>
      <c r="Y478" s="59" t="s">
        <v>156</v>
      </c>
      <c r="Z478" s="60"/>
      <c r="AA478" s="25"/>
      <c r="AB478" s="25"/>
    </row>
    <row r="479" spans="2:28">
      <c r="B479" s="40"/>
      <c r="C479" s="40"/>
      <c r="D479" s="41"/>
      <c r="E479" s="42"/>
      <c r="F479" s="42"/>
      <c r="G479" s="43" t="s">
        <v>154</v>
      </c>
      <c r="H479" s="42" t="s">
        <v>155</v>
      </c>
      <c r="I479" s="43"/>
      <c r="J479" s="43"/>
      <c r="K479" s="25" t="e">
        <f>VLOOKUP(J479,Key!$E$2:$F$9,2,FALSE)</f>
        <v>#N/A</v>
      </c>
      <c r="L479" s="42"/>
      <c r="M479" s="43" t="s">
        <v>154</v>
      </c>
      <c r="N479" s="42" t="s">
        <v>155</v>
      </c>
      <c r="O479" s="43"/>
      <c r="P479" s="43"/>
      <c r="Q479" s="25" t="e">
        <f>VLOOKUP(P479,Key!$E$2:$F$9,2,FALSE)</f>
        <v>#N/A</v>
      </c>
      <c r="R479" s="25" t="e">
        <f t="shared" si="7"/>
        <v>#N/A</v>
      </c>
      <c r="S479" s="58"/>
      <c r="T479" s="58"/>
      <c r="U479" s="43"/>
      <c r="V479" s="43"/>
      <c r="W479" s="58"/>
      <c r="X479" s="58"/>
      <c r="Y479" s="59" t="s">
        <v>156</v>
      </c>
      <c r="Z479" s="60"/>
      <c r="AA479" s="25"/>
      <c r="AB479" s="25"/>
    </row>
    <row r="480" spans="2:28">
      <c r="B480" s="40"/>
      <c r="C480" s="40"/>
      <c r="D480" s="41"/>
      <c r="E480" s="42"/>
      <c r="F480" s="42"/>
      <c r="G480" s="43" t="s">
        <v>154</v>
      </c>
      <c r="H480" s="42" t="s">
        <v>155</v>
      </c>
      <c r="I480" s="43"/>
      <c r="J480" s="43"/>
      <c r="K480" s="25" t="e">
        <f>VLOOKUP(J480,Key!$E$2:$F$9,2,FALSE)</f>
        <v>#N/A</v>
      </c>
      <c r="L480" s="42"/>
      <c r="M480" s="43" t="s">
        <v>154</v>
      </c>
      <c r="N480" s="42" t="s">
        <v>155</v>
      </c>
      <c r="O480" s="43"/>
      <c r="P480" s="43"/>
      <c r="Q480" s="25" t="e">
        <f>VLOOKUP(P480,Key!$E$2:$F$9,2,FALSE)</f>
        <v>#N/A</v>
      </c>
      <c r="R480" s="25" t="e">
        <f t="shared" si="7"/>
        <v>#N/A</v>
      </c>
      <c r="S480" s="58"/>
      <c r="T480" s="58"/>
      <c r="U480" s="43"/>
      <c r="V480" s="43"/>
      <c r="W480" s="58"/>
      <c r="X480" s="58"/>
      <c r="Y480" s="59" t="s">
        <v>156</v>
      </c>
      <c r="Z480" s="60"/>
      <c r="AA480" s="25"/>
      <c r="AB480" s="25"/>
    </row>
    <row r="481" spans="2:28">
      <c r="B481" s="40"/>
      <c r="C481" s="40"/>
      <c r="D481" s="41"/>
      <c r="E481" s="42"/>
      <c r="F481" s="42"/>
      <c r="G481" s="43" t="s">
        <v>154</v>
      </c>
      <c r="H481" s="42" t="s">
        <v>155</v>
      </c>
      <c r="I481" s="43"/>
      <c r="J481" s="43"/>
      <c r="K481" s="25" t="e">
        <f>VLOOKUP(J481,Key!$E$2:$F$9,2,FALSE)</f>
        <v>#N/A</v>
      </c>
      <c r="L481" s="42"/>
      <c r="M481" s="43" t="s">
        <v>154</v>
      </c>
      <c r="N481" s="42" t="s">
        <v>155</v>
      </c>
      <c r="O481" s="43"/>
      <c r="P481" s="43"/>
      <c r="Q481" s="25" t="e">
        <f>VLOOKUP(P481,Key!$E$2:$F$9,2,FALSE)</f>
        <v>#N/A</v>
      </c>
      <c r="R481" s="25" t="e">
        <f t="shared" si="7"/>
        <v>#N/A</v>
      </c>
      <c r="S481" s="58"/>
      <c r="T481" s="58"/>
      <c r="U481" s="43"/>
      <c r="V481" s="43"/>
      <c r="W481" s="58"/>
      <c r="X481" s="58"/>
      <c r="Y481" s="59" t="s">
        <v>156</v>
      </c>
      <c r="Z481" s="60"/>
      <c r="AA481" s="25"/>
      <c r="AB481" s="25"/>
    </row>
    <row r="482" spans="2:28">
      <c r="B482" s="40"/>
      <c r="C482" s="40"/>
      <c r="D482" s="41"/>
      <c r="E482" s="42"/>
      <c r="F482" s="42"/>
      <c r="G482" s="43" t="s">
        <v>154</v>
      </c>
      <c r="H482" s="42" t="s">
        <v>155</v>
      </c>
      <c r="I482" s="43"/>
      <c r="J482" s="43"/>
      <c r="K482" s="25" t="e">
        <f>VLOOKUP(J482,Key!$E$2:$F$9,2,FALSE)</f>
        <v>#N/A</v>
      </c>
      <c r="L482" s="42"/>
      <c r="M482" s="43" t="s">
        <v>154</v>
      </c>
      <c r="N482" s="42" t="s">
        <v>155</v>
      </c>
      <c r="O482" s="43"/>
      <c r="P482" s="43"/>
      <c r="Q482" s="25" t="e">
        <f>VLOOKUP(P482,Key!$E$2:$F$9,2,FALSE)</f>
        <v>#N/A</v>
      </c>
      <c r="R482" s="25" t="e">
        <f t="shared" si="7"/>
        <v>#N/A</v>
      </c>
      <c r="S482" s="58"/>
      <c r="T482" s="58"/>
      <c r="U482" s="43"/>
      <c r="V482" s="43"/>
      <c r="W482" s="58"/>
      <c r="X482" s="58"/>
      <c r="Y482" s="59" t="s">
        <v>156</v>
      </c>
      <c r="Z482" s="60"/>
      <c r="AA482" s="25"/>
      <c r="AB482" s="25"/>
    </row>
    <row r="483" spans="2:28">
      <c r="B483" s="40"/>
      <c r="C483" s="40"/>
      <c r="D483" s="41"/>
      <c r="E483" s="42"/>
      <c r="F483" s="42"/>
      <c r="G483" s="43" t="s">
        <v>154</v>
      </c>
      <c r="H483" s="42" t="s">
        <v>155</v>
      </c>
      <c r="I483" s="43"/>
      <c r="J483" s="43"/>
      <c r="K483" s="25" t="e">
        <f>VLOOKUP(J483,Key!$E$2:$F$9,2,FALSE)</f>
        <v>#N/A</v>
      </c>
      <c r="L483" s="42"/>
      <c r="M483" s="43" t="s">
        <v>154</v>
      </c>
      <c r="N483" s="42" t="s">
        <v>155</v>
      </c>
      <c r="O483" s="43"/>
      <c r="P483" s="43"/>
      <c r="Q483" s="25" t="e">
        <f>VLOOKUP(P483,Key!$E$2:$F$9,2,FALSE)</f>
        <v>#N/A</v>
      </c>
      <c r="R483" s="25" t="e">
        <f t="shared" si="7"/>
        <v>#N/A</v>
      </c>
      <c r="S483" s="58"/>
      <c r="T483" s="58"/>
      <c r="U483" s="43"/>
      <c r="V483" s="43"/>
      <c r="W483" s="58"/>
      <c r="X483" s="58"/>
      <c r="Y483" s="59" t="s">
        <v>156</v>
      </c>
      <c r="Z483" s="60"/>
      <c r="AA483" s="25"/>
      <c r="AB483" s="25"/>
    </row>
    <row r="484" spans="2:28">
      <c r="B484" s="40"/>
      <c r="C484" s="40"/>
      <c r="D484" s="41"/>
      <c r="E484" s="42"/>
      <c r="F484" s="42"/>
      <c r="G484" s="43" t="s">
        <v>154</v>
      </c>
      <c r="H484" s="42" t="s">
        <v>155</v>
      </c>
      <c r="I484" s="43"/>
      <c r="J484" s="43"/>
      <c r="K484" s="25" t="e">
        <f>VLOOKUP(J484,Key!$E$2:$F$9,2,FALSE)</f>
        <v>#N/A</v>
      </c>
      <c r="L484" s="42"/>
      <c r="M484" s="43" t="s">
        <v>154</v>
      </c>
      <c r="N484" s="42" t="s">
        <v>155</v>
      </c>
      <c r="O484" s="43"/>
      <c r="P484" s="43"/>
      <c r="Q484" s="25" t="e">
        <f>VLOOKUP(P484,Key!$E$2:$F$9,2,FALSE)</f>
        <v>#N/A</v>
      </c>
      <c r="R484" s="25" t="e">
        <f t="shared" si="7"/>
        <v>#N/A</v>
      </c>
      <c r="S484" s="58"/>
      <c r="T484" s="58"/>
      <c r="U484" s="43"/>
      <c r="V484" s="43"/>
      <c r="W484" s="58"/>
      <c r="X484" s="58"/>
      <c r="Y484" s="59" t="s">
        <v>156</v>
      </c>
      <c r="Z484" s="60"/>
      <c r="AA484" s="25"/>
      <c r="AB484" s="25"/>
    </row>
    <row r="485" spans="2:28">
      <c r="B485" s="40"/>
      <c r="C485" s="40"/>
      <c r="D485" s="41"/>
      <c r="E485" s="42"/>
      <c r="F485" s="42"/>
      <c r="G485" s="43" t="s">
        <v>154</v>
      </c>
      <c r="H485" s="42" t="s">
        <v>155</v>
      </c>
      <c r="I485" s="43"/>
      <c r="J485" s="43"/>
      <c r="K485" s="25" t="e">
        <f>VLOOKUP(J485,Key!$E$2:$F$9,2,FALSE)</f>
        <v>#N/A</v>
      </c>
      <c r="L485" s="42"/>
      <c r="M485" s="43" t="s">
        <v>154</v>
      </c>
      <c r="N485" s="42" t="s">
        <v>155</v>
      </c>
      <c r="O485" s="43"/>
      <c r="P485" s="43"/>
      <c r="Q485" s="25" t="e">
        <f>VLOOKUP(P485,Key!$E$2:$F$9,2,FALSE)</f>
        <v>#N/A</v>
      </c>
      <c r="R485" s="25" t="e">
        <f t="shared" si="7"/>
        <v>#N/A</v>
      </c>
      <c r="S485" s="58"/>
      <c r="T485" s="58"/>
      <c r="U485" s="43"/>
      <c r="V485" s="43"/>
      <c r="W485" s="58"/>
      <c r="X485" s="58"/>
      <c r="Y485" s="59" t="s">
        <v>156</v>
      </c>
      <c r="Z485" s="60"/>
      <c r="AA485" s="25"/>
      <c r="AB485" s="25"/>
    </row>
    <row r="486" spans="2:28">
      <c r="B486" s="40"/>
      <c r="C486" s="40"/>
      <c r="D486" s="41"/>
      <c r="E486" s="42"/>
      <c r="F486" s="42"/>
      <c r="G486" s="43" t="s">
        <v>154</v>
      </c>
      <c r="H486" s="42" t="s">
        <v>155</v>
      </c>
      <c r="I486" s="43"/>
      <c r="J486" s="43"/>
      <c r="K486" s="25" t="e">
        <f>VLOOKUP(J486,Key!$E$2:$F$9,2,FALSE)</f>
        <v>#N/A</v>
      </c>
      <c r="L486" s="42"/>
      <c r="M486" s="43" t="s">
        <v>154</v>
      </c>
      <c r="N486" s="42" t="s">
        <v>155</v>
      </c>
      <c r="O486" s="43"/>
      <c r="P486" s="43"/>
      <c r="Q486" s="25" t="e">
        <f>VLOOKUP(P486,Key!$E$2:$F$9,2,FALSE)</f>
        <v>#N/A</v>
      </c>
      <c r="R486" s="25" t="e">
        <f t="shared" ref="R486:R549" si="8">K486&amp;"-"&amp;Q486</f>
        <v>#N/A</v>
      </c>
      <c r="S486" s="58"/>
      <c r="T486" s="58"/>
      <c r="U486" s="43"/>
      <c r="V486" s="43"/>
      <c r="W486" s="58"/>
      <c r="X486" s="58"/>
      <c r="Y486" s="59" t="s">
        <v>156</v>
      </c>
      <c r="Z486" s="60"/>
      <c r="AA486" s="25"/>
      <c r="AB486" s="25"/>
    </row>
    <row r="487" spans="2:28">
      <c r="B487" s="40"/>
      <c r="C487" s="40"/>
      <c r="D487" s="41"/>
      <c r="E487" s="42"/>
      <c r="F487" s="42"/>
      <c r="G487" s="43" t="s">
        <v>154</v>
      </c>
      <c r="H487" s="42" t="s">
        <v>155</v>
      </c>
      <c r="I487" s="43"/>
      <c r="J487" s="43"/>
      <c r="K487" s="25" t="e">
        <f>VLOOKUP(J487,Key!$E$2:$F$9,2,FALSE)</f>
        <v>#N/A</v>
      </c>
      <c r="L487" s="42"/>
      <c r="M487" s="43" t="s">
        <v>154</v>
      </c>
      <c r="N487" s="42" t="s">
        <v>155</v>
      </c>
      <c r="O487" s="43"/>
      <c r="P487" s="43"/>
      <c r="Q487" s="25" t="e">
        <f>VLOOKUP(P487,Key!$E$2:$F$9,2,FALSE)</f>
        <v>#N/A</v>
      </c>
      <c r="R487" s="25" t="e">
        <f t="shared" si="8"/>
        <v>#N/A</v>
      </c>
      <c r="S487" s="58"/>
      <c r="T487" s="58"/>
      <c r="U487" s="43"/>
      <c r="V487" s="43"/>
      <c r="W487" s="58"/>
      <c r="X487" s="58"/>
      <c r="Y487" s="59" t="s">
        <v>156</v>
      </c>
      <c r="Z487" s="60"/>
      <c r="AA487" s="25"/>
      <c r="AB487" s="25"/>
    </row>
    <row r="488" spans="2:28">
      <c r="B488" s="40"/>
      <c r="C488" s="40"/>
      <c r="D488" s="41"/>
      <c r="E488" s="42"/>
      <c r="F488" s="42"/>
      <c r="G488" s="43" t="s">
        <v>154</v>
      </c>
      <c r="H488" s="42" t="s">
        <v>155</v>
      </c>
      <c r="I488" s="43"/>
      <c r="J488" s="43"/>
      <c r="K488" s="25" t="e">
        <f>VLOOKUP(J488,Key!$E$2:$F$9,2,FALSE)</f>
        <v>#N/A</v>
      </c>
      <c r="L488" s="42"/>
      <c r="M488" s="43" t="s">
        <v>154</v>
      </c>
      <c r="N488" s="42" t="s">
        <v>155</v>
      </c>
      <c r="O488" s="43"/>
      <c r="P488" s="43"/>
      <c r="Q488" s="25" t="e">
        <f>VLOOKUP(P488,Key!$E$2:$F$9,2,FALSE)</f>
        <v>#N/A</v>
      </c>
      <c r="R488" s="25" t="e">
        <f t="shared" si="8"/>
        <v>#N/A</v>
      </c>
      <c r="S488" s="58"/>
      <c r="T488" s="58"/>
      <c r="U488" s="43"/>
      <c r="V488" s="43"/>
      <c r="W488" s="58"/>
      <c r="X488" s="58"/>
      <c r="Y488" s="59" t="s">
        <v>156</v>
      </c>
      <c r="Z488" s="60"/>
      <c r="AA488" s="25"/>
      <c r="AB488" s="25"/>
    </row>
    <row r="489" spans="2:28">
      <c r="B489" s="40"/>
      <c r="C489" s="40"/>
      <c r="D489" s="41"/>
      <c r="E489" s="42"/>
      <c r="F489" s="42"/>
      <c r="G489" s="43" t="s">
        <v>154</v>
      </c>
      <c r="H489" s="42" t="s">
        <v>155</v>
      </c>
      <c r="I489" s="43"/>
      <c r="J489" s="43"/>
      <c r="K489" s="25" t="e">
        <f>VLOOKUP(J489,Key!$E$2:$F$9,2,FALSE)</f>
        <v>#N/A</v>
      </c>
      <c r="L489" s="42"/>
      <c r="M489" s="43" t="s">
        <v>154</v>
      </c>
      <c r="N489" s="42" t="s">
        <v>155</v>
      </c>
      <c r="O489" s="43"/>
      <c r="P489" s="43"/>
      <c r="Q489" s="25" t="e">
        <f>VLOOKUP(P489,Key!$E$2:$F$9,2,FALSE)</f>
        <v>#N/A</v>
      </c>
      <c r="R489" s="25" t="e">
        <f t="shared" si="8"/>
        <v>#N/A</v>
      </c>
      <c r="S489" s="58"/>
      <c r="T489" s="58"/>
      <c r="U489" s="43"/>
      <c r="V489" s="43"/>
      <c r="W489" s="58"/>
      <c r="X489" s="58"/>
      <c r="Y489" s="59" t="s">
        <v>156</v>
      </c>
      <c r="Z489" s="60"/>
      <c r="AA489" s="25"/>
      <c r="AB489" s="25"/>
    </row>
    <row r="490" spans="2:28">
      <c r="B490" s="40"/>
      <c r="C490" s="40"/>
      <c r="D490" s="41"/>
      <c r="E490" s="42"/>
      <c r="F490" s="42"/>
      <c r="G490" s="43" t="s">
        <v>154</v>
      </c>
      <c r="H490" s="42" t="s">
        <v>155</v>
      </c>
      <c r="I490" s="43"/>
      <c r="J490" s="43"/>
      <c r="K490" s="25" t="e">
        <f>VLOOKUP(J490,Key!$E$2:$F$9,2,FALSE)</f>
        <v>#N/A</v>
      </c>
      <c r="L490" s="42"/>
      <c r="M490" s="43" t="s">
        <v>154</v>
      </c>
      <c r="N490" s="42" t="s">
        <v>155</v>
      </c>
      <c r="O490" s="43"/>
      <c r="P490" s="43"/>
      <c r="Q490" s="25" t="e">
        <f>VLOOKUP(P490,Key!$E$2:$F$9,2,FALSE)</f>
        <v>#N/A</v>
      </c>
      <c r="R490" s="25" t="e">
        <f t="shared" si="8"/>
        <v>#N/A</v>
      </c>
      <c r="S490" s="58"/>
      <c r="T490" s="58"/>
      <c r="U490" s="43"/>
      <c r="V490" s="43"/>
      <c r="W490" s="58"/>
      <c r="X490" s="58"/>
      <c r="Y490" s="59" t="s">
        <v>156</v>
      </c>
      <c r="Z490" s="60"/>
      <c r="AA490" s="25"/>
      <c r="AB490" s="25"/>
    </row>
    <row r="491" spans="2:28">
      <c r="B491" s="40"/>
      <c r="C491" s="40"/>
      <c r="D491" s="41"/>
      <c r="E491" s="42"/>
      <c r="F491" s="42"/>
      <c r="G491" s="43" t="s">
        <v>154</v>
      </c>
      <c r="H491" s="42" t="s">
        <v>155</v>
      </c>
      <c r="I491" s="43"/>
      <c r="J491" s="43"/>
      <c r="K491" s="25" t="e">
        <f>VLOOKUP(J491,Key!$E$2:$F$9,2,FALSE)</f>
        <v>#N/A</v>
      </c>
      <c r="L491" s="42"/>
      <c r="M491" s="43" t="s">
        <v>154</v>
      </c>
      <c r="N491" s="42" t="s">
        <v>155</v>
      </c>
      <c r="O491" s="43"/>
      <c r="P491" s="43"/>
      <c r="Q491" s="25" t="e">
        <f>VLOOKUP(P491,Key!$E$2:$F$9,2,FALSE)</f>
        <v>#N/A</v>
      </c>
      <c r="R491" s="25" t="e">
        <f t="shared" si="8"/>
        <v>#N/A</v>
      </c>
      <c r="S491" s="58"/>
      <c r="T491" s="58"/>
      <c r="U491" s="43"/>
      <c r="V491" s="43"/>
      <c r="W491" s="58"/>
      <c r="X491" s="58"/>
      <c r="Y491" s="59" t="s">
        <v>156</v>
      </c>
      <c r="Z491" s="60"/>
      <c r="AA491" s="25"/>
      <c r="AB491" s="25"/>
    </row>
    <row r="492" spans="2:28">
      <c r="B492" s="40"/>
      <c r="C492" s="40"/>
      <c r="D492" s="41"/>
      <c r="E492" s="42"/>
      <c r="F492" s="42"/>
      <c r="G492" s="43" t="s">
        <v>154</v>
      </c>
      <c r="H492" s="42" t="s">
        <v>155</v>
      </c>
      <c r="I492" s="43"/>
      <c r="J492" s="43"/>
      <c r="K492" s="25" t="e">
        <f>VLOOKUP(J492,Key!$E$2:$F$9,2,FALSE)</f>
        <v>#N/A</v>
      </c>
      <c r="L492" s="42"/>
      <c r="M492" s="43" t="s">
        <v>154</v>
      </c>
      <c r="N492" s="42" t="s">
        <v>155</v>
      </c>
      <c r="O492" s="43"/>
      <c r="P492" s="43"/>
      <c r="Q492" s="25" t="e">
        <f>VLOOKUP(P492,Key!$E$2:$F$9,2,FALSE)</f>
        <v>#N/A</v>
      </c>
      <c r="R492" s="25" t="e">
        <f t="shared" si="8"/>
        <v>#N/A</v>
      </c>
      <c r="S492" s="58"/>
      <c r="T492" s="58"/>
      <c r="U492" s="43"/>
      <c r="V492" s="43"/>
      <c r="W492" s="58"/>
      <c r="X492" s="58"/>
      <c r="Y492" s="59" t="s">
        <v>156</v>
      </c>
      <c r="Z492" s="60"/>
      <c r="AA492" s="25"/>
      <c r="AB492" s="25"/>
    </row>
    <row r="493" spans="2:28">
      <c r="B493" s="40"/>
      <c r="C493" s="40"/>
      <c r="D493" s="41"/>
      <c r="E493" s="42"/>
      <c r="F493" s="42"/>
      <c r="G493" s="43" t="s">
        <v>154</v>
      </c>
      <c r="H493" s="42" t="s">
        <v>155</v>
      </c>
      <c r="I493" s="43"/>
      <c r="J493" s="43"/>
      <c r="K493" s="25" t="e">
        <f>VLOOKUP(J493,Key!$E$2:$F$9,2,FALSE)</f>
        <v>#N/A</v>
      </c>
      <c r="L493" s="42"/>
      <c r="M493" s="43" t="s">
        <v>154</v>
      </c>
      <c r="N493" s="42" t="s">
        <v>155</v>
      </c>
      <c r="O493" s="43"/>
      <c r="P493" s="43"/>
      <c r="Q493" s="25" t="e">
        <f>VLOOKUP(P493,Key!$E$2:$F$9,2,FALSE)</f>
        <v>#N/A</v>
      </c>
      <c r="R493" s="25" t="e">
        <f t="shared" si="8"/>
        <v>#N/A</v>
      </c>
      <c r="S493" s="58"/>
      <c r="T493" s="58"/>
      <c r="U493" s="43"/>
      <c r="V493" s="43"/>
      <c r="W493" s="58"/>
      <c r="X493" s="58"/>
      <c r="Y493" s="59" t="s">
        <v>156</v>
      </c>
      <c r="Z493" s="60"/>
      <c r="AA493" s="25"/>
      <c r="AB493" s="25"/>
    </row>
    <row r="494" spans="2:28">
      <c r="B494" s="40"/>
      <c r="C494" s="40"/>
      <c r="D494" s="41"/>
      <c r="E494" s="42"/>
      <c r="F494" s="42"/>
      <c r="G494" s="43" t="s">
        <v>154</v>
      </c>
      <c r="H494" s="42" t="s">
        <v>155</v>
      </c>
      <c r="I494" s="43"/>
      <c r="J494" s="43"/>
      <c r="K494" s="25" t="e">
        <f>VLOOKUP(J494,Key!$E$2:$F$9,2,FALSE)</f>
        <v>#N/A</v>
      </c>
      <c r="L494" s="42"/>
      <c r="M494" s="43" t="s">
        <v>154</v>
      </c>
      <c r="N494" s="42" t="s">
        <v>155</v>
      </c>
      <c r="O494" s="43"/>
      <c r="P494" s="43"/>
      <c r="Q494" s="25" t="e">
        <f>VLOOKUP(P494,Key!$E$2:$F$9,2,FALSE)</f>
        <v>#N/A</v>
      </c>
      <c r="R494" s="25" t="e">
        <f t="shared" si="8"/>
        <v>#N/A</v>
      </c>
      <c r="S494" s="58"/>
      <c r="T494" s="58"/>
      <c r="U494" s="43"/>
      <c r="V494" s="43"/>
      <c r="W494" s="58"/>
      <c r="X494" s="58"/>
      <c r="Y494" s="59" t="s">
        <v>156</v>
      </c>
      <c r="Z494" s="60"/>
      <c r="AA494" s="25"/>
      <c r="AB494" s="25"/>
    </row>
    <row r="495" spans="2:28">
      <c r="B495" s="40"/>
      <c r="C495" s="40"/>
      <c r="D495" s="41"/>
      <c r="E495" s="42"/>
      <c r="F495" s="42"/>
      <c r="G495" s="43" t="s">
        <v>154</v>
      </c>
      <c r="H495" s="42" t="s">
        <v>155</v>
      </c>
      <c r="I495" s="43"/>
      <c r="J495" s="43"/>
      <c r="K495" s="25" t="e">
        <f>VLOOKUP(J495,Key!$E$2:$F$9,2,FALSE)</f>
        <v>#N/A</v>
      </c>
      <c r="L495" s="42"/>
      <c r="M495" s="43" t="s">
        <v>154</v>
      </c>
      <c r="N495" s="42" t="s">
        <v>155</v>
      </c>
      <c r="O495" s="43"/>
      <c r="P495" s="43"/>
      <c r="Q495" s="25" t="e">
        <f>VLOOKUP(P495,Key!$E$2:$F$9,2,FALSE)</f>
        <v>#N/A</v>
      </c>
      <c r="R495" s="25" t="e">
        <f t="shared" si="8"/>
        <v>#N/A</v>
      </c>
      <c r="S495" s="58"/>
      <c r="T495" s="58"/>
      <c r="U495" s="43"/>
      <c r="V495" s="43"/>
      <c r="W495" s="58"/>
      <c r="X495" s="58"/>
      <c r="Y495" s="59" t="s">
        <v>156</v>
      </c>
      <c r="Z495" s="60"/>
      <c r="AA495" s="25"/>
      <c r="AB495" s="25"/>
    </row>
    <row r="496" spans="2:28">
      <c r="B496" s="40"/>
      <c r="C496" s="40"/>
      <c r="D496" s="41"/>
      <c r="E496" s="42"/>
      <c r="F496" s="42"/>
      <c r="G496" s="43" t="s">
        <v>154</v>
      </c>
      <c r="H496" s="42" t="s">
        <v>155</v>
      </c>
      <c r="I496" s="43"/>
      <c r="J496" s="43"/>
      <c r="K496" s="25" t="e">
        <f>VLOOKUP(J496,Key!$E$2:$F$9,2,FALSE)</f>
        <v>#N/A</v>
      </c>
      <c r="L496" s="42"/>
      <c r="M496" s="43" t="s">
        <v>154</v>
      </c>
      <c r="N496" s="42" t="s">
        <v>155</v>
      </c>
      <c r="O496" s="43"/>
      <c r="P496" s="43"/>
      <c r="Q496" s="25" t="e">
        <f>VLOOKUP(P496,Key!$E$2:$F$9,2,FALSE)</f>
        <v>#N/A</v>
      </c>
      <c r="R496" s="25" t="e">
        <f t="shared" si="8"/>
        <v>#N/A</v>
      </c>
      <c r="S496" s="58"/>
      <c r="T496" s="58"/>
      <c r="U496" s="43"/>
      <c r="V496" s="43"/>
      <c r="W496" s="58"/>
      <c r="X496" s="58"/>
      <c r="Y496" s="59" t="s">
        <v>156</v>
      </c>
      <c r="Z496" s="60"/>
      <c r="AA496" s="25"/>
      <c r="AB496" s="25"/>
    </row>
    <row r="497" spans="2:28">
      <c r="B497" s="40"/>
      <c r="C497" s="40"/>
      <c r="D497" s="41"/>
      <c r="E497" s="42"/>
      <c r="F497" s="42"/>
      <c r="G497" s="43" t="s">
        <v>154</v>
      </c>
      <c r="H497" s="42" t="s">
        <v>155</v>
      </c>
      <c r="I497" s="43"/>
      <c r="J497" s="43"/>
      <c r="K497" s="25" t="e">
        <f>VLOOKUP(J497,Key!$E$2:$F$9,2,FALSE)</f>
        <v>#N/A</v>
      </c>
      <c r="L497" s="42"/>
      <c r="M497" s="43" t="s">
        <v>154</v>
      </c>
      <c r="N497" s="42" t="s">
        <v>155</v>
      </c>
      <c r="O497" s="43"/>
      <c r="P497" s="43"/>
      <c r="Q497" s="25" t="e">
        <f>VLOOKUP(P497,Key!$E$2:$F$9,2,FALSE)</f>
        <v>#N/A</v>
      </c>
      <c r="R497" s="25" t="e">
        <f t="shared" si="8"/>
        <v>#N/A</v>
      </c>
      <c r="S497" s="58"/>
      <c r="T497" s="58"/>
      <c r="U497" s="43"/>
      <c r="V497" s="43"/>
      <c r="W497" s="58"/>
      <c r="X497" s="58"/>
      <c r="Y497" s="59" t="s">
        <v>156</v>
      </c>
      <c r="Z497" s="60"/>
      <c r="AA497" s="25"/>
      <c r="AB497" s="25"/>
    </row>
    <row r="498" spans="2:28">
      <c r="B498" s="40"/>
      <c r="C498" s="40"/>
      <c r="D498" s="41"/>
      <c r="E498" s="42"/>
      <c r="F498" s="42"/>
      <c r="G498" s="43" t="s">
        <v>154</v>
      </c>
      <c r="H498" s="42" t="s">
        <v>155</v>
      </c>
      <c r="I498" s="43"/>
      <c r="J498" s="43"/>
      <c r="K498" s="25" t="e">
        <f>VLOOKUP(J498,Key!$E$2:$F$9,2,FALSE)</f>
        <v>#N/A</v>
      </c>
      <c r="L498" s="42"/>
      <c r="M498" s="43" t="s">
        <v>154</v>
      </c>
      <c r="N498" s="42" t="s">
        <v>155</v>
      </c>
      <c r="O498" s="43"/>
      <c r="P498" s="43"/>
      <c r="Q498" s="25" t="e">
        <f>VLOOKUP(P498,Key!$E$2:$F$9,2,FALSE)</f>
        <v>#N/A</v>
      </c>
      <c r="R498" s="25" t="e">
        <f t="shared" si="8"/>
        <v>#N/A</v>
      </c>
      <c r="S498" s="58"/>
      <c r="T498" s="58"/>
      <c r="U498" s="43"/>
      <c r="V498" s="43"/>
      <c r="W498" s="58"/>
      <c r="X498" s="58"/>
      <c r="Y498" s="59" t="s">
        <v>156</v>
      </c>
      <c r="Z498" s="60"/>
      <c r="AA498" s="25"/>
      <c r="AB498" s="25"/>
    </row>
    <row r="499" spans="2:28">
      <c r="B499" s="40"/>
      <c r="C499" s="40"/>
      <c r="D499" s="41"/>
      <c r="E499" s="42"/>
      <c r="F499" s="42"/>
      <c r="G499" s="43" t="s">
        <v>154</v>
      </c>
      <c r="H499" s="42" t="s">
        <v>155</v>
      </c>
      <c r="I499" s="43"/>
      <c r="J499" s="43"/>
      <c r="K499" s="25" t="e">
        <f>VLOOKUP(J499,Key!$E$2:$F$9,2,FALSE)</f>
        <v>#N/A</v>
      </c>
      <c r="L499" s="42"/>
      <c r="M499" s="43" t="s">
        <v>154</v>
      </c>
      <c r="N499" s="42" t="s">
        <v>155</v>
      </c>
      <c r="O499" s="43"/>
      <c r="P499" s="43"/>
      <c r="Q499" s="25" t="e">
        <f>VLOOKUP(P499,Key!$E$2:$F$9,2,FALSE)</f>
        <v>#N/A</v>
      </c>
      <c r="R499" s="25" t="e">
        <f t="shared" si="8"/>
        <v>#N/A</v>
      </c>
      <c r="S499" s="58"/>
      <c r="T499" s="58"/>
      <c r="U499" s="43"/>
      <c r="V499" s="43"/>
      <c r="W499" s="58"/>
      <c r="X499" s="58"/>
      <c r="Y499" s="59" t="s">
        <v>156</v>
      </c>
      <c r="Z499" s="60"/>
      <c r="AA499" s="25"/>
      <c r="AB499" s="25"/>
    </row>
    <row r="500" spans="2:28">
      <c r="B500" s="40"/>
      <c r="C500" s="40"/>
      <c r="D500" s="41"/>
      <c r="E500" s="42"/>
      <c r="F500" s="42"/>
      <c r="G500" s="43" t="s">
        <v>154</v>
      </c>
      <c r="H500" s="42" t="s">
        <v>155</v>
      </c>
      <c r="I500" s="43"/>
      <c r="J500" s="43"/>
      <c r="K500" s="25" t="e">
        <f>VLOOKUP(J500,Key!$E$2:$F$9,2,FALSE)</f>
        <v>#N/A</v>
      </c>
      <c r="L500" s="42"/>
      <c r="M500" s="43" t="s">
        <v>154</v>
      </c>
      <c r="N500" s="42" t="s">
        <v>155</v>
      </c>
      <c r="O500" s="43"/>
      <c r="P500" s="43"/>
      <c r="Q500" s="25" t="e">
        <f>VLOOKUP(P500,Key!$E$2:$F$9,2,FALSE)</f>
        <v>#N/A</v>
      </c>
      <c r="R500" s="25" t="e">
        <f t="shared" si="8"/>
        <v>#N/A</v>
      </c>
      <c r="S500" s="58"/>
      <c r="T500" s="58"/>
      <c r="U500" s="43"/>
      <c r="V500" s="43"/>
      <c r="W500" s="58"/>
      <c r="X500" s="58"/>
      <c r="Y500" s="59" t="s">
        <v>156</v>
      </c>
      <c r="Z500" s="60"/>
      <c r="AA500" s="25"/>
      <c r="AB500" s="25"/>
    </row>
    <row r="501" spans="2:28">
      <c r="B501" s="40"/>
      <c r="C501" s="40"/>
      <c r="D501" s="41"/>
      <c r="E501" s="42"/>
      <c r="F501" s="42"/>
      <c r="G501" s="43" t="s">
        <v>154</v>
      </c>
      <c r="H501" s="42" t="s">
        <v>155</v>
      </c>
      <c r="I501" s="43"/>
      <c r="J501" s="43"/>
      <c r="K501" s="25" t="e">
        <f>VLOOKUP(J501,Key!$E$2:$F$9,2,FALSE)</f>
        <v>#N/A</v>
      </c>
      <c r="L501" s="42"/>
      <c r="M501" s="43" t="s">
        <v>154</v>
      </c>
      <c r="N501" s="42" t="s">
        <v>155</v>
      </c>
      <c r="O501" s="43"/>
      <c r="P501" s="43"/>
      <c r="Q501" s="25" t="e">
        <f>VLOOKUP(P501,Key!$E$2:$F$9,2,FALSE)</f>
        <v>#N/A</v>
      </c>
      <c r="R501" s="25" t="e">
        <f t="shared" si="8"/>
        <v>#N/A</v>
      </c>
      <c r="S501" s="58"/>
      <c r="T501" s="58"/>
      <c r="U501" s="43"/>
      <c r="V501" s="43"/>
      <c r="W501" s="58"/>
      <c r="X501" s="58"/>
      <c r="Y501" s="59" t="s">
        <v>156</v>
      </c>
      <c r="Z501" s="60"/>
      <c r="AA501" s="25"/>
      <c r="AB501" s="25"/>
    </row>
    <row r="502" spans="2:28">
      <c r="B502" s="40"/>
      <c r="C502" s="40"/>
      <c r="D502" s="41"/>
      <c r="E502" s="42"/>
      <c r="F502" s="42"/>
      <c r="G502" s="43" t="s">
        <v>154</v>
      </c>
      <c r="H502" s="42" t="s">
        <v>155</v>
      </c>
      <c r="I502" s="43"/>
      <c r="J502" s="43"/>
      <c r="K502" s="25" t="e">
        <f>VLOOKUP(J502,Key!$E$2:$F$9,2,FALSE)</f>
        <v>#N/A</v>
      </c>
      <c r="L502" s="42"/>
      <c r="M502" s="43" t="s">
        <v>154</v>
      </c>
      <c r="N502" s="42" t="s">
        <v>155</v>
      </c>
      <c r="O502" s="43"/>
      <c r="P502" s="43"/>
      <c r="Q502" s="25" t="e">
        <f>VLOOKUP(P502,Key!$E$2:$F$9,2,FALSE)</f>
        <v>#N/A</v>
      </c>
      <c r="R502" s="25" t="e">
        <f t="shared" si="8"/>
        <v>#N/A</v>
      </c>
      <c r="S502" s="58"/>
      <c r="T502" s="58"/>
      <c r="U502" s="43"/>
      <c r="V502" s="43"/>
      <c r="W502" s="58"/>
      <c r="X502" s="58"/>
      <c r="Y502" s="59" t="s">
        <v>156</v>
      </c>
      <c r="Z502" s="60"/>
      <c r="AA502" s="25"/>
      <c r="AB502" s="25"/>
    </row>
    <row r="503" spans="2:28">
      <c r="B503" s="40"/>
      <c r="C503" s="40"/>
      <c r="D503" s="41"/>
      <c r="E503" s="42"/>
      <c r="F503" s="42"/>
      <c r="G503" s="43" t="s">
        <v>154</v>
      </c>
      <c r="H503" s="42" t="s">
        <v>155</v>
      </c>
      <c r="I503" s="43"/>
      <c r="J503" s="43"/>
      <c r="K503" s="25" t="e">
        <f>VLOOKUP(J503,Key!$E$2:$F$9,2,FALSE)</f>
        <v>#N/A</v>
      </c>
      <c r="L503" s="42"/>
      <c r="M503" s="43" t="s">
        <v>154</v>
      </c>
      <c r="N503" s="42" t="s">
        <v>155</v>
      </c>
      <c r="O503" s="43"/>
      <c r="P503" s="43"/>
      <c r="Q503" s="25" t="e">
        <f>VLOOKUP(P503,Key!$E$2:$F$9,2,FALSE)</f>
        <v>#N/A</v>
      </c>
      <c r="R503" s="25" t="e">
        <f t="shared" si="8"/>
        <v>#N/A</v>
      </c>
      <c r="S503" s="58"/>
      <c r="T503" s="58"/>
      <c r="U503" s="43"/>
      <c r="V503" s="43"/>
      <c r="W503" s="58"/>
      <c r="X503" s="58"/>
      <c r="Y503" s="59" t="s">
        <v>156</v>
      </c>
      <c r="Z503" s="60"/>
      <c r="AA503" s="25"/>
      <c r="AB503" s="25"/>
    </row>
    <row r="504" spans="2:28">
      <c r="B504" s="40"/>
      <c r="C504" s="40"/>
      <c r="D504" s="41"/>
      <c r="E504" s="42"/>
      <c r="F504" s="42"/>
      <c r="G504" s="43" t="s">
        <v>154</v>
      </c>
      <c r="H504" s="42" t="s">
        <v>155</v>
      </c>
      <c r="I504" s="43"/>
      <c r="J504" s="43"/>
      <c r="K504" s="25" t="e">
        <f>VLOOKUP(J504,Key!$E$2:$F$9,2,FALSE)</f>
        <v>#N/A</v>
      </c>
      <c r="L504" s="42"/>
      <c r="M504" s="43" t="s">
        <v>154</v>
      </c>
      <c r="N504" s="42" t="s">
        <v>155</v>
      </c>
      <c r="O504" s="43"/>
      <c r="P504" s="43"/>
      <c r="Q504" s="25" t="e">
        <f>VLOOKUP(P504,Key!$E$2:$F$9,2,FALSE)</f>
        <v>#N/A</v>
      </c>
      <c r="R504" s="25" t="e">
        <f t="shared" si="8"/>
        <v>#N/A</v>
      </c>
      <c r="S504" s="58"/>
      <c r="T504" s="58"/>
      <c r="U504" s="43"/>
      <c r="V504" s="43"/>
      <c r="W504" s="58"/>
      <c r="X504" s="58"/>
      <c r="Y504" s="59" t="s">
        <v>156</v>
      </c>
      <c r="Z504" s="60"/>
      <c r="AA504" s="25"/>
      <c r="AB504" s="25"/>
    </row>
    <row r="505" spans="2:28">
      <c r="B505" s="40"/>
      <c r="C505" s="40"/>
      <c r="D505" s="41"/>
      <c r="E505" s="42"/>
      <c r="F505" s="42"/>
      <c r="G505" s="43" t="s">
        <v>154</v>
      </c>
      <c r="H505" s="42" t="s">
        <v>155</v>
      </c>
      <c r="I505" s="43"/>
      <c r="J505" s="43"/>
      <c r="K505" s="25" t="e">
        <f>VLOOKUP(J505,Key!$E$2:$F$9,2,FALSE)</f>
        <v>#N/A</v>
      </c>
      <c r="L505" s="42"/>
      <c r="M505" s="43" t="s">
        <v>154</v>
      </c>
      <c r="N505" s="42" t="s">
        <v>155</v>
      </c>
      <c r="O505" s="43"/>
      <c r="P505" s="43"/>
      <c r="Q505" s="25" t="e">
        <f>VLOOKUP(P505,Key!$E$2:$F$9,2,FALSE)</f>
        <v>#N/A</v>
      </c>
      <c r="R505" s="25" t="e">
        <f t="shared" si="8"/>
        <v>#N/A</v>
      </c>
      <c r="S505" s="58"/>
      <c r="T505" s="58"/>
      <c r="U505" s="43"/>
      <c r="V505" s="43"/>
      <c r="W505" s="58"/>
      <c r="X505" s="58"/>
      <c r="Y505" s="59" t="s">
        <v>156</v>
      </c>
      <c r="Z505" s="60"/>
      <c r="AA505" s="25"/>
      <c r="AB505" s="25"/>
    </row>
    <row r="506" spans="2:28">
      <c r="B506" s="40"/>
      <c r="C506" s="40"/>
      <c r="D506" s="41"/>
      <c r="E506" s="42"/>
      <c r="F506" s="42"/>
      <c r="G506" s="43" t="s">
        <v>154</v>
      </c>
      <c r="H506" s="42" t="s">
        <v>155</v>
      </c>
      <c r="I506" s="43"/>
      <c r="J506" s="43"/>
      <c r="K506" s="25" t="e">
        <f>VLOOKUP(J506,Key!$E$2:$F$9,2,FALSE)</f>
        <v>#N/A</v>
      </c>
      <c r="L506" s="42"/>
      <c r="M506" s="43" t="s">
        <v>154</v>
      </c>
      <c r="N506" s="42" t="s">
        <v>155</v>
      </c>
      <c r="O506" s="43"/>
      <c r="P506" s="43"/>
      <c r="Q506" s="25" t="e">
        <f>VLOOKUP(P506,Key!$E$2:$F$9,2,FALSE)</f>
        <v>#N/A</v>
      </c>
      <c r="R506" s="25" t="e">
        <f t="shared" si="8"/>
        <v>#N/A</v>
      </c>
      <c r="S506" s="58"/>
      <c r="T506" s="58"/>
      <c r="U506" s="43"/>
      <c r="V506" s="43"/>
      <c r="W506" s="58"/>
      <c r="X506" s="58"/>
      <c r="Y506" s="59" t="s">
        <v>156</v>
      </c>
      <c r="Z506" s="60"/>
      <c r="AA506" s="25"/>
      <c r="AB506" s="25"/>
    </row>
    <row r="507" spans="2:28">
      <c r="B507" s="40"/>
      <c r="C507" s="40"/>
      <c r="D507" s="41"/>
      <c r="E507" s="42"/>
      <c r="F507" s="42"/>
      <c r="G507" s="43" t="s">
        <v>154</v>
      </c>
      <c r="H507" s="42" t="s">
        <v>155</v>
      </c>
      <c r="I507" s="43"/>
      <c r="J507" s="43"/>
      <c r="K507" s="25" t="e">
        <f>VLOOKUP(J507,Key!$E$2:$F$9,2,FALSE)</f>
        <v>#N/A</v>
      </c>
      <c r="L507" s="42"/>
      <c r="M507" s="43" t="s">
        <v>154</v>
      </c>
      <c r="N507" s="42" t="s">
        <v>155</v>
      </c>
      <c r="O507" s="43"/>
      <c r="P507" s="43"/>
      <c r="Q507" s="25" t="e">
        <f>VLOOKUP(P507,Key!$E$2:$F$9,2,FALSE)</f>
        <v>#N/A</v>
      </c>
      <c r="R507" s="25" t="e">
        <f t="shared" si="8"/>
        <v>#N/A</v>
      </c>
      <c r="S507" s="58"/>
      <c r="T507" s="58"/>
      <c r="U507" s="43"/>
      <c r="V507" s="43"/>
      <c r="W507" s="58"/>
      <c r="X507" s="58"/>
      <c r="Y507" s="59" t="s">
        <v>156</v>
      </c>
      <c r="Z507" s="60"/>
      <c r="AA507" s="25"/>
      <c r="AB507" s="25"/>
    </row>
    <row r="508" spans="2:28">
      <c r="B508" s="40"/>
      <c r="C508" s="40"/>
      <c r="D508" s="41"/>
      <c r="E508" s="42"/>
      <c r="F508" s="42"/>
      <c r="G508" s="43" t="s">
        <v>154</v>
      </c>
      <c r="H508" s="42" t="s">
        <v>155</v>
      </c>
      <c r="I508" s="43"/>
      <c r="J508" s="43"/>
      <c r="K508" s="25" t="e">
        <f>VLOOKUP(J508,Key!$E$2:$F$9,2,FALSE)</f>
        <v>#N/A</v>
      </c>
      <c r="L508" s="42"/>
      <c r="M508" s="43" t="s">
        <v>154</v>
      </c>
      <c r="N508" s="42" t="s">
        <v>155</v>
      </c>
      <c r="O508" s="43"/>
      <c r="P508" s="43"/>
      <c r="Q508" s="25" t="e">
        <f>VLOOKUP(P508,Key!$E$2:$F$9,2,FALSE)</f>
        <v>#N/A</v>
      </c>
      <c r="R508" s="25" t="e">
        <f t="shared" si="8"/>
        <v>#N/A</v>
      </c>
      <c r="S508" s="58"/>
      <c r="T508" s="58"/>
      <c r="U508" s="43"/>
      <c r="V508" s="43"/>
      <c r="W508" s="58"/>
      <c r="X508" s="58"/>
      <c r="Y508" s="59" t="s">
        <v>156</v>
      </c>
      <c r="Z508" s="60"/>
      <c r="AA508" s="25"/>
      <c r="AB508" s="25"/>
    </row>
    <row r="509" spans="2:28">
      <c r="B509" s="40"/>
      <c r="C509" s="40"/>
      <c r="D509" s="41"/>
      <c r="E509" s="42"/>
      <c r="F509" s="42"/>
      <c r="G509" s="43" t="s">
        <v>154</v>
      </c>
      <c r="H509" s="42" t="s">
        <v>155</v>
      </c>
      <c r="I509" s="43"/>
      <c r="J509" s="43"/>
      <c r="K509" s="25" t="e">
        <f>VLOOKUP(J509,Key!$E$2:$F$9,2,FALSE)</f>
        <v>#N/A</v>
      </c>
      <c r="L509" s="42"/>
      <c r="M509" s="43" t="s">
        <v>154</v>
      </c>
      <c r="N509" s="42" t="s">
        <v>155</v>
      </c>
      <c r="O509" s="43"/>
      <c r="P509" s="43"/>
      <c r="Q509" s="25" t="e">
        <f>VLOOKUP(P509,Key!$E$2:$F$9,2,FALSE)</f>
        <v>#N/A</v>
      </c>
      <c r="R509" s="25" t="e">
        <f t="shared" si="8"/>
        <v>#N/A</v>
      </c>
      <c r="S509" s="58"/>
      <c r="T509" s="58"/>
      <c r="U509" s="43"/>
      <c r="V509" s="43"/>
      <c r="W509" s="58"/>
      <c r="X509" s="58"/>
      <c r="Y509" s="59" t="s">
        <v>156</v>
      </c>
      <c r="Z509" s="60"/>
      <c r="AA509" s="25"/>
      <c r="AB509" s="25"/>
    </row>
    <row r="510" spans="2:28">
      <c r="B510" s="40"/>
      <c r="C510" s="40"/>
      <c r="D510" s="41"/>
      <c r="E510" s="42"/>
      <c r="F510" s="42"/>
      <c r="G510" s="43" t="s">
        <v>154</v>
      </c>
      <c r="H510" s="42" t="s">
        <v>155</v>
      </c>
      <c r="I510" s="43"/>
      <c r="J510" s="43"/>
      <c r="K510" s="25" t="e">
        <f>VLOOKUP(J510,Key!$E$2:$F$9,2,FALSE)</f>
        <v>#N/A</v>
      </c>
      <c r="L510" s="42"/>
      <c r="M510" s="43" t="s">
        <v>154</v>
      </c>
      <c r="N510" s="42" t="s">
        <v>155</v>
      </c>
      <c r="O510" s="43"/>
      <c r="P510" s="43"/>
      <c r="Q510" s="25" t="e">
        <f>VLOOKUP(P510,Key!$E$2:$F$9,2,FALSE)</f>
        <v>#N/A</v>
      </c>
      <c r="R510" s="25" t="e">
        <f t="shared" si="8"/>
        <v>#N/A</v>
      </c>
      <c r="S510" s="58"/>
      <c r="T510" s="58"/>
      <c r="U510" s="43"/>
      <c r="V510" s="43"/>
      <c r="W510" s="58"/>
      <c r="X510" s="58"/>
      <c r="Y510" s="59" t="s">
        <v>156</v>
      </c>
      <c r="Z510" s="60"/>
      <c r="AA510" s="25"/>
      <c r="AB510" s="25"/>
    </row>
    <row r="511" spans="2:28">
      <c r="B511" s="40"/>
      <c r="C511" s="40"/>
      <c r="D511" s="41"/>
      <c r="E511" s="42"/>
      <c r="F511" s="42"/>
      <c r="G511" s="43" t="s">
        <v>154</v>
      </c>
      <c r="H511" s="42" t="s">
        <v>155</v>
      </c>
      <c r="I511" s="43"/>
      <c r="J511" s="43"/>
      <c r="K511" s="25" t="e">
        <f>VLOOKUP(J511,Key!$E$2:$F$9,2,FALSE)</f>
        <v>#N/A</v>
      </c>
      <c r="L511" s="42"/>
      <c r="M511" s="43" t="s">
        <v>154</v>
      </c>
      <c r="N511" s="42" t="s">
        <v>155</v>
      </c>
      <c r="O511" s="43"/>
      <c r="P511" s="43"/>
      <c r="Q511" s="25" t="e">
        <f>VLOOKUP(P511,Key!$E$2:$F$9,2,FALSE)</f>
        <v>#N/A</v>
      </c>
      <c r="R511" s="25" t="e">
        <f t="shared" si="8"/>
        <v>#N/A</v>
      </c>
      <c r="S511" s="58"/>
      <c r="T511" s="58"/>
      <c r="U511" s="43"/>
      <c r="V511" s="43"/>
      <c r="W511" s="58"/>
      <c r="X511" s="58"/>
      <c r="Y511" s="59" t="s">
        <v>156</v>
      </c>
      <c r="Z511" s="60"/>
      <c r="AA511" s="25"/>
      <c r="AB511" s="25"/>
    </row>
    <row r="512" spans="2:28">
      <c r="B512" s="40"/>
      <c r="C512" s="40"/>
      <c r="D512" s="41"/>
      <c r="E512" s="42"/>
      <c r="F512" s="42"/>
      <c r="G512" s="43" t="s">
        <v>154</v>
      </c>
      <c r="H512" s="42" t="s">
        <v>155</v>
      </c>
      <c r="I512" s="43"/>
      <c r="J512" s="43"/>
      <c r="K512" s="25" t="e">
        <f>VLOOKUP(J512,Key!$E$2:$F$9,2,FALSE)</f>
        <v>#N/A</v>
      </c>
      <c r="L512" s="42"/>
      <c r="M512" s="43" t="s">
        <v>154</v>
      </c>
      <c r="N512" s="42" t="s">
        <v>155</v>
      </c>
      <c r="O512" s="43"/>
      <c r="P512" s="43"/>
      <c r="Q512" s="25" t="e">
        <f>VLOOKUP(P512,Key!$E$2:$F$9,2,FALSE)</f>
        <v>#N/A</v>
      </c>
      <c r="R512" s="25" t="e">
        <f t="shared" si="8"/>
        <v>#N/A</v>
      </c>
      <c r="S512" s="58"/>
      <c r="T512" s="58"/>
      <c r="U512" s="43"/>
      <c r="V512" s="43"/>
      <c r="W512" s="58"/>
      <c r="X512" s="58"/>
      <c r="Y512" s="59" t="s">
        <v>156</v>
      </c>
      <c r="Z512" s="60"/>
      <c r="AA512" s="25"/>
      <c r="AB512" s="25"/>
    </row>
    <row r="513" spans="2:28">
      <c r="B513" s="40"/>
      <c r="C513" s="40"/>
      <c r="D513" s="41"/>
      <c r="E513" s="42"/>
      <c r="F513" s="42"/>
      <c r="G513" s="43" t="s">
        <v>154</v>
      </c>
      <c r="H513" s="42" t="s">
        <v>155</v>
      </c>
      <c r="I513" s="43"/>
      <c r="J513" s="43"/>
      <c r="K513" s="25" t="e">
        <f>VLOOKUP(J513,Key!$E$2:$F$9,2,FALSE)</f>
        <v>#N/A</v>
      </c>
      <c r="L513" s="42"/>
      <c r="M513" s="43" t="s">
        <v>154</v>
      </c>
      <c r="N513" s="42" t="s">
        <v>155</v>
      </c>
      <c r="O513" s="43"/>
      <c r="P513" s="43"/>
      <c r="Q513" s="25" t="e">
        <f>VLOOKUP(P513,Key!$E$2:$F$9,2,FALSE)</f>
        <v>#N/A</v>
      </c>
      <c r="R513" s="25" t="e">
        <f t="shared" si="8"/>
        <v>#N/A</v>
      </c>
      <c r="S513" s="58"/>
      <c r="T513" s="58"/>
      <c r="U513" s="43"/>
      <c r="V513" s="43"/>
      <c r="W513" s="58"/>
      <c r="X513" s="58"/>
      <c r="Y513" s="59" t="s">
        <v>156</v>
      </c>
      <c r="Z513" s="60"/>
      <c r="AA513" s="25"/>
      <c r="AB513" s="25"/>
    </row>
    <row r="514" spans="2:28">
      <c r="B514" s="40"/>
      <c r="C514" s="40"/>
      <c r="D514" s="41"/>
      <c r="E514" s="42"/>
      <c r="F514" s="42"/>
      <c r="G514" s="43" t="s">
        <v>154</v>
      </c>
      <c r="H514" s="42" t="s">
        <v>155</v>
      </c>
      <c r="I514" s="43"/>
      <c r="J514" s="43"/>
      <c r="K514" s="25" t="e">
        <f>VLOOKUP(J514,Key!$E$2:$F$9,2,FALSE)</f>
        <v>#N/A</v>
      </c>
      <c r="L514" s="42"/>
      <c r="M514" s="43" t="s">
        <v>154</v>
      </c>
      <c r="N514" s="42" t="s">
        <v>155</v>
      </c>
      <c r="O514" s="43"/>
      <c r="P514" s="43"/>
      <c r="Q514" s="25" t="e">
        <f>VLOOKUP(P514,Key!$E$2:$F$9,2,FALSE)</f>
        <v>#N/A</v>
      </c>
      <c r="R514" s="25" t="e">
        <f t="shared" si="8"/>
        <v>#N/A</v>
      </c>
      <c r="S514" s="58"/>
      <c r="T514" s="58"/>
      <c r="U514" s="43"/>
      <c r="V514" s="43"/>
      <c r="W514" s="58"/>
      <c r="X514" s="58"/>
      <c r="Y514" s="59" t="s">
        <v>156</v>
      </c>
      <c r="Z514" s="60"/>
      <c r="AA514" s="25"/>
      <c r="AB514" s="25"/>
    </row>
    <row r="515" spans="2:28">
      <c r="B515" s="40"/>
      <c r="C515" s="40"/>
      <c r="D515" s="41"/>
      <c r="E515" s="42"/>
      <c r="F515" s="42"/>
      <c r="G515" s="43" t="s">
        <v>154</v>
      </c>
      <c r="H515" s="42" t="s">
        <v>155</v>
      </c>
      <c r="I515" s="43"/>
      <c r="J515" s="43"/>
      <c r="K515" s="25" t="e">
        <f>VLOOKUP(J515,Key!$E$2:$F$9,2,FALSE)</f>
        <v>#N/A</v>
      </c>
      <c r="L515" s="42"/>
      <c r="M515" s="43" t="s">
        <v>154</v>
      </c>
      <c r="N515" s="42" t="s">
        <v>155</v>
      </c>
      <c r="O515" s="43"/>
      <c r="P515" s="43"/>
      <c r="Q515" s="25" t="e">
        <f>VLOOKUP(P515,Key!$E$2:$F$9,2,FALSE)</f>
        <v>#N/A</v>
      </c>
      <c r="R515" s="25" t="e">
        <f t="shared" si="8"/>
        <v>#N/A</v>
      </c>
      <c r="S515" s="58"/>
      <c r="T515" s="58"/>
      <c r="U515" s="43"/>
      <c r="V515" s="43"/>
      <c r="W515" s="58"/>
      <c r="X515" s="58"/>
      <c r="Y515" s="59" t="s">
        <v>156</v>
      </c>
      <c r="Z515" s="60"/>
      <c r="AA515" s="25"/>
      <c r="AB515" s="25"/>
    </row>
    <row r="516" spans="2:28">
      <c r="B516" s="40"/>
      <c r="C516" s="40"/>
      <c r="D516" s="41"/>
      <c r="E516" s="42"/>
      <c r="F516" s="42"/>
      <c r="G516" s="43" t="s">
        <v>154</v>
      </c>
      <c r="H516" s="42" t="s">
        <v>155</v>
      </c>
      <c r="I516" s="43"/>
      <c r="J516" s="43"/>
      <c r="K516" s="25" t="e">
        <f>VLOOKUP(J516,Key!$E$2:$F$9,2,FALSE)</f>
        <v>#N/A</v>
      </c>
      <c r="L516" s="42"/>
      <c r="M516" s="43" t="s">
        <v>154</v>
      </c>
      <c r="N516" s="42" t="s">
        <v>155</v>
      </c>
      <c r="O516" s="43"/>
      <c r="P516" s="43"/>
      <c r="Q516" s="25" t="e">
        <f>VLOOKUP(P516,Key!$E$2:$F$9,2,FALSE)</f>
        <v>#N/A</v>
      </c>
      <c r="R516" s="25" t="e">
        <f t="shared" si="8"/>
        <v>#N/A</v>
      </c>
      <c r="S516" s="58"/>
      <c r="T516" s="58"/>
      <c r="U516" s="43"/>
      <c r="V516" s="43"/>
      <c r="W516" s="58"/>
      <c r="X516" s="58"/>
      <c r="Y516" s="59" t="s">
        <v>156</v>
      </c>
      <c r="Z516" s="60"/>
      <c r="AA516" s="25"/>
      <c r="AB516" s="25"/>
    </row>
    <row r="517" spans="2:28">
      <c r="B517" s="40"/>
      <c r="C517" s="40"/>
      <c r="D517" s="41"/>
      <c r="E517" s="42"/>
      <c r="F517" s="42"/>
      <c r="G517" s="43" t="s">
        <v>154</v>
      </c>
      <c r="H517" s="42" t="s">
        <v>155</v>
      </c>
      <c r="I517" s="43"/>
      <c r="J517" s="43"/>
      <c r="K517" s="25" t="e">
        <f>VLOOKUP(J517,Key!$E$2:$F$9,2,FALSE)</f>
        <v>#N/A</v>
      </c>
      <c r="L517" s="42"/>
      <c r="M517" s="43" t="s">
        <v>154</v>
      </c>
      <c r="N517" s="42" t="s">
        <v>155</v>
      </c>
      <c r="O517" s="43"/>
      <c r="P517" s="43"/>
      <c r="Q517" s="25" t="e">
        <f>VLOOKUP(P517,Key!$E$2:$F$9,2,FALSE)</f>
        <v>#N/A</v>
      </c>
      <c r="R517" s="25" t="e">
        <f t="shared" si="8"/>
        <v>#N/A</v>
      </c>
      <c r="S517" s="58"/>
      <c r="T517" s="58"/>
      <c r="U517" s="43"/>
      <c r="V517" s="43"/>
      <c r="W517" s="58"/>
      <c r="X517" s="58"/>
      <c r="Y517" s="59" t="s">
        <v>156</v>
      </c>
      <c r="Z517" s="60"/>
      <c r="AA517" s="25"/>
      <c r="AB517" s="25"/>
    </row>
    <row r="518" spans="2:28">
      <c r="B518" s="40"/>
      <c r="C518" s="40"/>
      <c r="D518" s="41"/>
      <c r="E518" s="42"/>
      <c r="F518" s="42"/>
      <c r="G518" s="43" t="s">
        <v>154</v>
      </c>
      <c r="H518" s="42" t="s">
        <v>155</v>
      </c>
      <c r="I518" s="43"/>
      <c r="J518" s="43"/>
      <c r="K518" s="25" t="e">
        <f>VLOOKUP(J518,Key!$E$2:$F$9,2,FALSE)</f>
        <v>#N/A</v>
      </c>
      <c r="L518" s="42"/>
      <c r="M518" s="43" t="s">
        <v>154</v>
      </c>
      <c r="N518" s="42" t="s">
        <v>155</v>
      </c>
      <c r="O518" s="43"/>
      <c r="P518" s="43"/>
      <c r="Q518" s="25" t="e">
        <f>VLOOKUP(P518,Key!$E$2:$F$9,2,FALSE)</f>
        <v>#N/A</v>
      </c>
      <c r="R518" s="25" t="e">
        <f t="shared" si="8"/>
        <v>#N/A</v>
      </c>
      <c r="S518" s="58"/>
      <c r="T518" s="58"/>
      <c r="U518" s="43"/>
      <c r="V518" s="43"/>
      <c r="W518" s="58"/>
      <c r="X518" s="58"/>
      <c r="Y518" s="59" t="s">
        <v>156</v>
      </c>
      <c r="Z518" s="60"/>
      <c r="AA518" s="25"/>
      <c r="AB518" s="25"/>
    </row>
    <row r="519" spans="2:28">
      <c r="B519" s="40"/>
      <c r="C519" s="40"/>
      <c r="D519" s="41"/>
      <c r="E519" s="42"/>
      <c r="F519" s="42"/>
      <c r="G519" s="43" t="s">
        <v>154</v>
      </c>
      <c r="H519" s="42" t="s">
        <v>155</v>
      </c>
      <c r="I519" s="43"/>
      <c r="J519" s="43"/>
      <c r="K519" s="25" t="e">
        <f>VLOOKUP(J519,Key!$E$2:$F$9,2,FALSE)</f>
        <v>#N/A</v>
      </c>
      <c r="L519" s="42"/>
      <c r="M519" s="43" t="s">
        <v>154</v>
      </c>
      <c r="N519" s="42" t="s">
        <v>155</v>
      </c>
      <c r="O519" s="43"/>
      <c r="P519" s="43"/>
      <c r="Q519" s="25" t="e">
        <f>VLOOKUP(P519,Key!$E$2:$F$9,2,FALSE)</f>
        <v>#N/A</v>
      </c>
      <c r="R519" s="25" t="e">
        <f t="shared" si="8"/>
        <v>#N/A</v>
      </c>
      <c r="S519" s="58"/>
      <c r="T519" s="58"/>
      <c r="U519" s="43"/>
      <c r="V519" s="43"/>
      <c r="W519" s="58"/>
      <c r="X519" s="58"/>
      <c r="Y519" s="59" t="s">
        <v>156</v>
      </c>
      <c r="Z519" s="60"/>
      <c r="AA519" s="25"/>
      <c r="AB519" s="25"/>
    </row>
    <row r="520" spans="2:28">
      <c r="B520" s="40"/>
      <c r="C520" s="40"/>
      <c r="D520" s="41"/>
      <c r="E520" s="42"/>
      <c r="F520" s="42"/>
      <c r="G520" s="43" t="s">
        <v>154</v>
      </c>
      <c r="H520" s="42" t="s">
        <v>155</v>
      </c>
      <c r="I520" s="43"/>
      <c r="J520" s="43"/>
      <c r="K520" s="25" t="e">
        <f>VLOOKUP(J520,Key!$E$2:$F$9,2,FALSE)</f>
        <v>#N/A</v>
      </c>
      <c r="L520" s="42"/>
      <c r="M520" s="43" t="s">
        <v>154</v>
      </c>
      <c r="N520" s="42" t="s">
        <v>155</v>
      </c>
      <c r="O520" s="43"/>
      <c r="P520" s="43"/>
      <c r="Q520" s="25" t="e">
        <f>VLOOKUP(P520,Key!$E$2:$F$9,2,FALSE)</f>
        <v>#N/A</v>
      </c>
      <c r="R520" s="25" t="e">
        <f t="shared" si="8"/>
        <v>#N/A</v>
      </c>
      <c r="S520" s="58"/>
      <c r="T520" s="58"/>
      <c r="U520" s="43"/>
      <c r="V520" s="43"/>
      <c r="W520" s="58"/>
      <c r="X520" s="58"/>
      <c r="Y520" s="59" t="s">
        <v>156</v>
      </c>
      <c r="Z520" s="60"/>
      <c r="AA520" s="25"/>
      <c r="AB520" s="25"/>
    </row>
    <row r="521" spans="2:28">
      <c r="B521" s="40"/>
      <c r="C521" s="40"/>
      <c r="D521" s="41"/>
      <c r="E521" s="42"/>
      <c r="F521" s="42"/>
      <c r="G521" s="43" t="s">
        <v>154</v>
      </c>
      <c r="H521" s="42" t="s">
        <v>155</v>
      </c>
      <c r="I521" s="43"/>
      <c r="J521" s="43"/>
      <c r="K521" s="25" t="e">
        <f>VLOOKUP(J521,Key!$E$2:$F$9,2,FALSE)</f>
        <v>#N/A</v>
      </c>
      <c r="L521" s="42"/>
      <c r="M521" s="43" t="s">
        <v>154</v>
      </c>
      <c r="N521" s="42" t="s">
        <v>155</v>
      </c>
      <c r="O521" s="43"/>
      <c r="P521" s="43"/>
      <c r="Q521" s="25" t="e">
        <f>VLOOKUP(P521,Key!$E$2:$F$9,2,FALSE)</f>
        <v>#N/A</v>
      </c>
      <c r="R521" s="25" t="e">
        <f t="shared" si="8"/>
        <v>#N/A</v>
      </c>
      <c r="S521" s="58"/>
      <c r="T521" s="58"/>
      <c r="U521" s="43"/>
      <c r="V521" s="43"/>
      <c r="W521" s="58"/>
      <c r="X521" s="58"/>
      <c r="Y521" s="59" t="s">
        <v>156</v>
      </c>
      <c r="Z521" s="60"/>
      <c r="AA521" s="25"/>
      <c r="AB521" s="25"/>
    </row>
    <row r="522" spans="2:28">
      <c r="B522" s="40"/>
      <c r="C522" s="40"/>
      <c r="D522" s="41"/>
      <c r="E522" s="42"/>
      <c r="F522" s="42"/>
      <c r="G522" s="43" t="s">
        <v>154</v>
      </c>
      <c r="H522" s="42" t="s">
        <v>155</v>
      </c>
      <c r="I522" s="43"/>
      <c r="J522" s="43"/>
      <c r="K522" s="25" t="e">
        <f>VLOOKUP(J522,Key!$E$2:$F$9,2,FALSE)</f>
        <v>#N/A</v>
      </c>
      <c r="L522" s="42"/>
      <c r="M522" s="43" t="s">
        <v>154</v>
      </c>
      <c r="N522" s="42" t="s">
        <v>155</v>
      </c>
      <c r="O522" s="43"/>
      <c r="P522" s="43"/>
      <c r="Q522" s="25" t="e">
        <f>VLOOKUP(P522,Key!$E$2:$F$9,2,FALSE)</f>
        <v>#N/A</v>
      </c>
      <c r="R522" s="25" t="e">
        <f t="shared" si="8"/>
        <v>#N/A</v>
      </c>
      <c r="S522" s="58"/>
      <c r="T522" s="58"/>
      <c r="U522" s="43"/>
      <c r="V522" s="43"/>
      <c r="W522" s="58"/>
      <c r="X522" s="58"/>
      <c r="Y522" s="59" t="s">
        <v>156</v>
      </c>
      <c r="Z522" s="60"/>
      <c r="AA522" s="25"/>
      <c r="AB522" s="25"/>
    </row>
    <row r="523" spans="2:28">
      <c r="B523" s="40"/>
      <c r="C523" s="40"/>
      <c r="D523" s="41"/>
      <c r="E523" s="42"/>
      <c r="F523" s="42"/>
      <c r="G523" s="43" t="s">
        <v>154</v>
      </c>
      <c r="H523" s="42" t="s">
        <v>155</v>
      </c>
      <c r="I523" s="43"/>
      <c r="J523" s="43"/>
      <c r="K523" s="25" t="e">
        <f>VLOOKUP(J523,Key!$E$2:$F$9,2,FALSE)</f>
        <v>#N/A</v>
      </c>
      <c r="L523" s="42"/>
      <c r="M523" s="43" t="s">
        <v>154</v>
      </c>
      <c r="N523" s="42" t="s">
        <v>155</v>
      </c>
      <c r="O523" s="43"/>
      <c r="P523" s="43"/>
      <c r="Q523" s="25" t="e">
        <f>VLOOKUP(P523,Key!$E$2:$F$9,2,FALSE)</f>
        <v>#N/A</v>
      </c>
      <c r="R523" s="25" t="e">
        <f t="shared" si="8"/>
        <v>#N/A</v>
      </c>
      <c r="S523" s="58"/>
      <c r="T523" s="58"/>
      <c r="U523" s="43"/>
      <c r="V523" s="43"/>
      <c r="W523" s="58"/>
      <c r="X523" s="58"/>
      <c r="Y523" s="59" t="s">
        <v>156</v>
      </c>
      <c r="Z523" s="60"/>
      <c r="AA523" s="25"/>
      <c r="AB523" s="25"/>
    </row>
    <row r="524" spans="2:28">
      <c r="B524" s="40"/>
      <c r="C524" s="40"/>
      <c r="D524" s="41"/>
      <c r="E524" s="42"/>
      <c r="F524" s="42"/>
      <c r="G524" s="43" t="s">
        <v>154</v>
      </c>
      <c r="H524" s="42" t="s">
        <v>155</v>
      </c>
      <c r="I524" s="43"/>
      <c r="J524" s="43"/>
      <c r="K524" s="25" t="e">
        <f>VLOOKUP(J524,Key!$E$2:$F$9,2,FALSE)</f>
        <v>#N/A</v>
      </c>
      <c r="L524" s="42"/>
      <c r="M524" s="43" t="s">
        <v>154</v>
      </c>
      <c r="N524" s="42" t="s">
        <v>155</v>
      </c>
      <c r="O524" s="43"/>
      <c r="P524" s="43"/>
      <c r="Q524" s="25" t="e">
        <f>VLOOKUP(P524,Key!$E$2:$F$9,2,FALSE)</f>
        <v>#N/A</v>
      </c>
      <c r="R524" s="25" t="e">
        <f t="shared" si="8"/>
        <v>#N/A</v>
      </c>
      <c r="S524" s="58"/>
      <c r="T524" s="58"/>
      <c r="U524" s="43"/>
      <c r="V524" s="43"/>
      <c r="W524" s="58"/>
      <c r="X524" s="58"/>
      <c r="Y524" s="59" t="s">
        <v>156</v>
      </c>
      <c r="Z524" s="60"/>
      <c r="AA524" s="25"/>
      <c r="AB524" s="25"/>
    </row>
    <row r="525" spans="2:28">
      <c r="B525" s="40"/>
      <c r="C525" s="40"/>
      <c r="D525" s="41"/>
      <c r="E525" s="42"/>
      <c r="F525" s="42"/>
      <c r="G525" s="43" t="s">
        <v>154</v>
      </c>
      <c r="H525" s="42" t="s">
        <v>155</v>
      </c>
      <c r="I525" s="43"/>
      <c r="J525" s="43"/>
      <c r="K525" s="25" t="e">
        <f>VLOOKUP(J525,Key!$E$2:$F$9,2,FALSE)</f>
        <v>#N/A</v>
      </c>
      <c r="L525" s="42"/>
      <c r="M525" s="43" t="s">
        <v>154</v>
      </c>
      <c r="N525" s="42" t="s">
        <v>155</v>
      </c>
      <c r="O525" s="43"/>
      <c r="P525" s="43"/>
      <c r="Q525" s="25" t="e">
        <f>VLOOKUP(P525,Key!$E$2:$F$9,2,FALSE)</f>
        <v>#N/A</v>
      </c>
      <c r="R525" s="25" t="e">
        <f t="shared" si="8"/>
        <v>#N/A</v>
      </c>
      <c r="S525" s="58"/>
      <c r="T525" s="58"/>
      <c r="U525" s="43"/>
      <c r="V525" s="43"/>
      <c r="W525" s="58"/>
      <c r="X525" s="58"/>
      <c r="Y525" s="59" t="s">
        <v>156</v>
      </c>
      <c r="Z525" s="60"/>
      <c r="AA525" s="25"/>
      <c r="AB525" s="25"/>
    </row>
    <row r="526" spans="2:28">
      <c r="B526" s="40"/>
      <c r="C526" s="40"/>
      <c r="D526" s="41"/>
      <c r="E526" s="42"/>
      <c r="F526" s="42"/>
      <c r="G526" s="43" t="s">
        <v>154</v>
      </c>
      <c r="H526" s="42" t="s">
        <v>155</v>
      </c>
      <c r="I526" s="43"/>
      <c r="J526" s="43"/>
      <c r="K526" s="25" t="e">
        <f>VLOOKUP(J526,Key!$E$2:$F$9,2,FALSE)</f>
        <v>#N/A</v>
      </c>
      <c r="L526" s="42"/>
      <c r="M526" s="43" t="s">
        <v>154</v>
      </c>
      <c r="N526" s="42" t="s">
        <v>155</v>
      </c>
      <c r="O526" s="43"/>
      <c r="P526" s="43"/>
      <c r="Q526" s="25" t="e">
        <f>VLOOKUP(P526,Key!$E$2:$F$9,2,FALSE)</f>
        <v>#N/A</v>
      </c>
      <c r="R526" s="25" t="e">
        <f t="shared" si="8"/>
        <v>#N/A</v>
      </c>
      <c r="S526" s="58"/>
      <c r="T526" s="58"/>
      <c r="U526" s="43"/>
      <c r="V526" s="43"/>
      <c r="W526" s="58"/>
      <c r="X526" s="58"/>
      <c r="Y526" s="59" t="s">
        <v>156</v>
      </c>
      <c r="Z526" s="60"/>
      <c r="AA526" s="25"/>
      <c r="AB526" s="25"/>
    </row>
    <row r="527" spans="2:28">
      <c r="B527" s="40"/>
      <c r="C527" s="40"/>
      <c r="D527" s="41"/>
      <c r="E527" s="42"/>
      <c r="F527" s="42"/>
      <c r="G527" s="43" t="s">
        <v>154</v>
      </c>
      <c r="H527" s="42" t="s">
        <v>155</v>
      </c>
      <c r="I527" s="43"/>
      <c r="J527" s="43"/>
      <c r="K527" s="25" t="e">
        <f>VLOOKUP(J527,Key!$E$2:$F$9,2,FALSE)</f>
        <v>#N/A</v>
      </c>
      <c r="L527" s="42"/>
      <c r="M527" s="43" t="s">
        <v>154</v>
      </c>
      <c r="N527" s="42" t="s">
        <v>155</v>
      </c>
      <c r="O527" s="43"/>
      <c r="P527" s="43"/>
      <c r="Q527" s="25" t="e">
        <f>VLOOKUP(P527,Key!$E$2:$F$9,2,FALSE)</f>
        <v>#N/A</v>
      </c>
      <c r="R527" s="25" t="e">
        <f t="shared" si="8"/>
        <v>#N/A</v>
      </c>
      <c r="S527" s="58"/>
      <c r="T527" s="58"/>
      <c r="U527" s="43"/>
      <c r="V527" s="43"/>
      <c r="W527" s="58"/>
      <c r="X527" s="58"/>
      <c r="Y527" s="59" t="s">
        <v>156</v>
      </c>
      <c r="Z527" s="60"/>
      <c r="AA527" s="25"/>
      <c r="AB527" s="25"/>
    </row>
    <row r="528" spans="2:28">
      <c r="B528" s="40"/>
      <c r="C528" s="40"/>
      <c r="D528" s="41"/>
      <c r="E528" s="42"/>
      <c r="F528" s="42"/>
      <c r="G528" s="43" t="s">
        <v>154</v>
      </c>
      <c r="H528" s="42" t="s">
        <v>155</v>
      </c>
      <c r="I528" s="43"/>
      <c r="J528" s="43"/>
      <c r="K528" s="25" t="e">
        <f>VLOOKUP(J528,Key!$E$2:$F$9,2,FALSE)</f>
        <v>#N/A</v>
      </c>
      <c r="L528" s="42"/>
      <c r="M528" s="43" t="s">
        <v>154</v>
      </c>
      <c r="N528" s="42" t="s">
        <v>155</v>
      </c>
      <c r="O528" s="43"/>
      <c r="P528" s="43"/>
      <c r="Q528" s="25" t="e">
        <f>VLOOKUP(P528,Key!$E$2:$F$9,2,FALSE)</f>
        <v>#N/A</v>
      </c>
      <c r="R528" s="25" t="e">
        <f t="shared" si="8"/>
        <v>#N/A</v>
      </c>
      <c r="S528" s="58"/>
      <c r="T528" s="58"/>
      <c r="U528" s="43"/>
      <c r="V528" s="43"/>
      <c r="W528" s="58"/>
      <c r="X528" s="58"/>
      <c r="Y528" s="59" t="s">
        <v>156</v>
      </c>
      <c r="Z528" s="60"/>
      <c r="AA528" s="25"/>
      <c r="AB528" s="25"/>
    </row>
    <row r="529" spans="2:28">
      <c r="B529" s="40"/>
      <c r="C529" s="40"/>
      <c r="D529" s="41"/>
      <c r="E529" s="42"/>
      <c r="F529" s="42"/>
      <c r="G529" s="43" t="s">
        <v>154</v>
      </c>
      <c r="H529" s="42" t="s">
        <v>155</v>
      </c>
      <c r="I529" s="43"/>
      <c r="J529" s="43"/>
      <c r="K529" s="25" t="e">
        <f>VLOOKUP(J529,Key!$E$2:$F$9,2,FALSE)</f>
        <v>#N/A</v>
      </c>
      <c r="L529" s="42"/>
      <c r="M529" s="43" t="s">
        <v>154</v>
      </c>
      <c r="N529" s="42" t="s">
        <v>155</v>
      </c>
      <c r="O529" s="43"/>
      <c r="P529" s="43"/>
      <c r="Q529" s="25" t="e">
        <f>VLOOKUP(P529,Key!$E$2:$F$9,2,FALSE)</f>
        <v>#N/A</v>
      </c>
      <c r="R529" s="25" t="e">
        <f t="shared" si="8"/>
        <v>#N/A</v>
      </c>
      <c r="S529" s="58"/>
      <c r="T529" s="58"/>
      <c r="U529" s="43"/>
      <c r="V529" s="43"/>
      <c r="W529" s="58"/>
      <c r="X529" s="58"/>
      <c r="Y529" s="59" t="s">
        <v>156</v>
      </c>
      <c r="Z529" s="60"/>
      <c r="AA529" s="25"/>
      <c r="AB529" s="25"/>
    </row>
    <row r="530" spans="2:28">
      <c r="B530" s="40"/>
      <c r="C530" s="40"/>
      <c r="D530" s="41"/>
      <c r="E530" s="42"/>
      <c r="F530" s="42"/>
      <c r="G530" s="43" t="s">
        <v>154</v>
      </c>
      <c r="H530" s="42" t="s">
        <v>155</v>
      </c>
      <c r="I530" s="43"/>
      <c r="J530" s="43"/>
      <c r="K530" s="25" t="e">
        <f>VLOOKUP(J530,Key!$E$2:$F$9,2,FALSE)</f>
        <v>#N/A</v>
      </c>
      <c r="L530" s="42"/>
      <c r="M530" s="43" t="s">
        <v>154</v>
      </c>
      <c r="N530" s="42" t="s">
        <v>155</v>
      </c>
      <c r="O530" s="43"/>
      <c r="P530" s="43"/>
      <c r="Q530" s="25" t="e">
        <f>VLOOKUP(P530,Key!$E$2:$F$9,2,FALSE)</f>
        <v>#N/A</v>
      </c>
      <c r="R530" s="25" t="e">
        <f t="shared" si="8"/>
        <v>#N/A</v>
      </c>
      <c r="S530" s="58"/>
      <c r="T530" s="58"/>
      <c r="U530" s="43"/>
      <c r="V530" s="43"/>
      <c r="W530" s="58"/>
      <c r="X530" s="58"/>
      <c r="Y530" s="59" t="s">
        <v>156</v>
      </c>
      <c r="Z530" s="60"/>
      <c r="AA530" s="25"/>
      <c r="AB530" s="25"/>
    </row>
    <row r="531" spans="2:28">
      <c r="B531" s="40"/>
      <c r="C531" s="40"/>
      <c r="D531" s="41"/>
      <c r="E531" s="42"/>
      <c r="F531" s="42"/>
      <c r="G531" s="43" t="s">
        <v>154</v>
      </c>
      <c r="H531" s="42" t="s">
        <v>155</v>
      </c>
      <c r="I531" s="43"/>
      <c r="J531" s="43"/>
      <c r="K531" s="25" t="e">
        <f>VLOOKUP(J531,Key!$E$2:$F$9,2,FALSE)</f>
        <v>#N/A</v>
      </c>
      <c r="L531" s="42"/>
      <c r="M531" s="43" t="s">
        <v>154</v>
      </c>
      <c r="N531" s="42" t="s">
        <v>155</v>
      </c>
      <c r="O531" s="43"/>
      <c r="P531" s="43"/>
      <c r="Q531" s="25" t="e">
        <f>VLOOKUP(P531,Key!$E$2:$F$9,2,FALSE)</f>
        <v>#N/A</v>
      </c>
      <c r="R531" s="25" t="e">
        <f t="shared" si="8"/>
        <v>#N/A</v>
      </c>
      <c r="S531" s="58"/>
      <c r="T531" s="58"/>
      <c r="U531" s="43"/>
      <c r="V531" s="43"/>
      <c r="W531" s="58"/>
      <c r="X531" s="58"/>
      <c r="Y531" s="59" t="s">
        <v>156</v>
      </c>
      <c r="Z531" s="60"/>
      <c r="AA531" s="25"/>
      <c r="AB531" s="25"/>
    </row>
    <row r="532" spans="2:28">
      <c r="B532" s="40"/>
      <c r="C532" s="40"/>
      <c r="D532" s="41"/>
      <c r="E532" s="42"/>
      <c r="F532" s="42"/>
      <c r="G532" s="43" t="s">
        <v>154</v>
      </c>
      <c r="H532" s="42" t="s">
        <v>155</v>
      </c>
      <c r="I532" s="43"/>
      <c r="J532" s="43"/>
      <c r="K532" s="25" t="e">
        <f>VLOOKUP(J532,Key!$E$2:$F$9,2,FALSE)</f>
        <v>#N/A</v>
      </c>
      <c r="L532" s="42"/>
      <c r="M532" s="43" t="s">
        <v>154</v>
      </c>
      <c r="N532" s="42" t="s">
        <v>155</v>
      </c>
      <c r="O532" s="43"/>
      <c r="P532" s="43"/>
      <c r="Q532" s="25" t="e">
        <f>VLOOKUP(P532,Key!$E$2:$F$9,2,FALSE)</f>
        <v>#N/A</v>
      </c>
      <c r="R532" s="25" t="e">
        <f t="shared" si="8"/>
        <v>#N/A</v>
      </c>
      <c r="S532" s="58"/>
      <c r="T532" s="58"/>
      <c r="U532" s="43"/>
      <c r="V532" s="43"/>
      <c r="W532" s="58"/>
      <c r="X532" s="58"/>
      <c r="Y532" s="59" t="s">
        <v>156</v>
      </c>
      <c r="Z532" s="60"/>
      <c r="AA532" s="25"/>
      <c r="AB532" s="25"/>
    </row>
    <row r="533" spans="2:28">
      <c r="B533" s="40"/>
      <c r="C533" s="40"/>
      <c r="D533" s="41"/>
      <c r="E533" s="42"/>
      <c r="F533" s="42"/>
      <c r="G533" s="43" t="s">
        <v>154</v>
      </c>
      <c r="H533" s="42" t="s">
        <v>155</v>
      </c>
      <c r="I533" s="43"/>
      <c r="J533" s="43"/>
      <c r="K533" s="25" t="e">
        <f>VLOOKUP(J533,Key!$E$2:$F$9,2,FALSE)</f>
        <v>#N/A</v>
      </c>
      <c r="L533" s="42"/>
      <c r="M533" s="43" t="s">
        <v>154</v>
      </c>
      <c r="N533" s="42" t="s">
        <v>155</v>
      </c>
      <c r="O533" s="43"/>
      <c r="P533" s="43"/>
      <c r="Q533" s="25" t="e">
        <f>VLOOKUP(P533,Key!$E$2:$F$9,2,FALSE)</f>
        <v>#N/A</v>
      </c>
      <c r="R533" s="25" t="e">
        <f t="shared" si="8"/>
        <v>#N/A</v>
      </c>
      <c r="S533" s="58"/>
      <c r="T533" s="58"/>
      <c r="U533" s="43"/>
      <c r="V533" s="43"/>
      <c r="W533" s="58"/>
      <c r="X533" s="58"/>
      <c r="Y533" s="59" t="s">
        <v>156</v>
      </c>
      <c r="Z533" s="60"/>
      <c r="AA533" s="25"/>
      <c r="AB533" s="25"/>
    </row>
    <row r="534" spans="2:28">
      <c r="B534" s="40"/>
      <c r="C534" s="40"/>
      <c r="D534" s="41"/>
      <c r="E534" s="42"/>
      <c r="F534" s="42"/>
      <c r="G534" s="43" t="s">
        <v>154</v>
      </c>
      <c r="H534" s="42" t="s">
        <v>155</v>
      </c>
      <c r="I534" s="43"/>
      <c r="J534" s="43"/>
      <c r="K534" s="25" t="e">
        <f>VLOOKUP(J534,Key!$E$2:$F$9,2,FALSE)</f>
        <v>#N/A</v>
      </c>
      <c r="L534" s="42"/>
      <c r="M534" s="43" t="s">
        <v>154</v>
      </c>
      <c r="N534" s="42" t="s">
        <v>155</v>
      </c>
      <c r="O534" s="43"/>
      <c r="P534" s="43"/>
      <c r="Q534" s="25" t="e">
        <f>VLOOKUP(P534,Key!$E$2:$F$9,2,FALSE)</f>
        <v>#N/A</v>
      </c>
      <c r="R534" s="25" t="e">
        <f t="shared" si="8"/>
        <v>#N/A</v>
      </c>
      <c r="S534" s="58"/>
      <c r="T534" s="58"/>
      <c r="U534" s="43"/>
      <c r="V534" s="43"/>
      <c r="W534" s="58"/>
      <c r="X534" s="58"/>
      <c r="Y534" s="59" t="s">
        <v>156</v>
      </c>
      <c r="Z534" s="60"/>
      <c r="AA534" s="25"/>
      <c r="AB534" s="25"/>
    </row>
    <row r="535" spans="2:28">
      <c r="B535" s="40"/>
      <c r="C535" s="40"/>
      <c r="D535" s="41"/>
      <c r="E535" s="42"/>
      <c r="F535" s="42"/>
      <c r="G535" s="43" t="s">
        <v>154</v>
      </c>
      <c r="H535" s="42" t="s">
        <v>155</v>
      </c>
      <c r="I535" s="43"/>
      <c r="J535" s="43"/>
      <c r="K535" s="25" t="e">
        <f>VLOOKUP(J535,Key!$E$2:$F$9,2,FALSE)</f>
        <v>#N/A</v>
      </c>
      <c r="L535" s="42"/>
      <c r="M535" s="43" t="s">
        <v>154</v>
      </c>
      <c r="N535" s="42" t="s">
        <v>155</v>
      </c>
      <c r="O535" s="43"/>
      <c r="P535" s="43"/>
      <c r="Q535" s="25" t="e">
        <f>VLOOKUP(P535,Key!$E$2:$F$9,2,FALSE)</f>
        <v>#N/A</v>
      </c>
      <c r="R535" s="25" t="e">
        <f t="shared" si="8"/>
        <v>#N/A</v>
      </c>
      <c r="S535" s="58"/>
      <c r="T535" s="58"/>
      <c r="U535" s="43"/>
      <c r="V535" s="43"/>
      <c r="W535" s="58"/>
      <c r="X535" s="58"/>
      <c r="Y535" s="59" t="s">
        <v>156</v>
      </c>
      <c r="Z535" s="60"/>
      <c r="AA535" s="25"/>
      <c r="AB535" s="25"/>
    </row>
    <row r="536" spans="2:28">
      <c r="B536" s="40"/>
      <c r="C536" s="40"/>
      <c r="D536" s="41"/>
      <c r="E536" s="42"/>
      <c r="F536" s="42"/>
      <c r="G536" s="43" t="s">
        <v>154</v>
      </c>
      <c r="H536" s="42" t="s">
        <v>155</v>
      </c>
      <c r="I536" s="43"/>
      <c r="J536" s="43"/>
      <c r="K536" s="25" t="e">
        <f>VLOOKUP(J536,Key!$E$2:$F$9,2,FALSE)</f>
        <v>#N/A</v>
      </c>
      <c r="L536" s="42"/>
      <c r="M536" s="43" t="s">
        <v>154</v>
      </c>
      <c r="N536" s="42" t="s">
        <v>155</v>
      </c>
      <c r="O536" s="43"/>
      <c r="P536" s="43"/>
      <c r="Q536" s="25" t="e">
        <f>VLOOKUP(P536,Key!$E$2:$F$9,2,FALSE)</f>
        <v>#N/A</v>
      </c>
      <c r="R536" s="25" t="e">
        <f t="shared" si="8"/>
        <v>#N/A</v>
      </c>
      <c r="S536" s="58"/>
      <c r="T536" s="58"/>
      <c r="U536" s="43"/>
      <c r="V536" s="43"/>
      <c r="W536" s="58"/>
      <c r="X536" s="58"/>
      <c r="Y536" s="59" t="s">
        <v>156</v>
      </c>
      <c r="Z536" s="60"/>
      <c r="AA536" s="25"/>
      <c r="AB536" s="25"/>
    </row>
    <row r="537" spans="2:28">
      <c r="B537" s="40"/>
      <c r="C537" s="40"/>
      <c r="D537" s="41"/>
      <c r="E537" s="42"/>
      <c r="F537" s="42"/>
      <c r="G537" s="43" t="s">
        <v>154</v>
      </c>
      <c r="H537" s="42" t="s">
        <v>155</v>
      </c>
      <c r="I537" s="43"/>
      <c r="J537" s="43"/>
      <c r="K537" s="25" t="e">
        <f>VLOOKUP(J537,Key!$E$2:$F$9,2,FALSE)</f>
        <v>#N/A</v>
      </c>
      <c r="L537" s="42"/>
      <c r="M537" s="43" t="s">
        <v>154</v>
      </c>
      <c r="N537" s="42" t="s">
        <v>155</v>
      </c>
      <c r="O537" s="43"/>
      <c r="P537" s="43"/>
      <c r="Q537" s="25" t="e">
        <f>VLOOKUP(P537,Key!$E$2:$F$9,2,FALSE)</f>
        <v>#N/A</v>
      </c>
      <c r="R537" s="25" t="e">
        <f t="shared" si="8"/>
        <v>#N/A</v>
      </c>
      <c r="S537" s="58"/>
      <c r="T537" s="58"/>
      <c r="U537" s="43"/>
      <c r="V537" s="43"/>
      <c r="W537" s="58"/>
      <c r="X537" s="58"/>
      <c r="Y537" s="59" t="s">
        <v>156</v>
      </c>
      <c r="Z537" s="60"/>
      <c r="AA537" s="25"/>
      <c r="AB537" s="25"/>
    </row>
    <row r="538" spans="2:28">
      <c r="B538" s="40"/>
      <c r="C538" s="40"/>
      <c r="D538" s="41"/>
      <c r="E538" s="42"/>
      <c r="F538" s="42"/>
      <c r="G538" s="43" t="s">
        <v>154</v>
      </c>
      <c r="H538" s="42" t="s">
        <v>155</v>
      </c>
      <c r="I538" s="43"/>
      <c r="J538" s="43"/>
      <c r="K538" s="25" t="e">
        <f>VLOOKUP(J538,Key!$E$2:$F$9,2,FALSE)</f>
        <v>#N/A</v>
      </c>
      <c r="L538" s="42"/>
      <c r="M538" s="43" t="s">
        <v>154</v>
      </c>
      <c r="N538" s="42" t="s">
        <v>155</v>
      </c>
      <c r="O538" s="43"/>
      <c r="P538" s="43"/>
      <c r="Q538" s="25" t="e">
        <f>VLOOKUP(P538,Key!$E$2:$F$9,2,FALSE)</f>
        <v>#N/A</v>
      </c>
      <c r="R538" s="25" t="e">
        <f t="shared" si="8"/>
        <v>#N/A</v>
      </c>
      <c r="S538" s="58"/>
      <c r="T538" s="58"/>
      <c r="U538" s="43"/>
      <c r="V538" s="43"/>
      <c r="W538" s="58"/>
      <c r="X538" s="58"/>
      <c r="Y538" s="59" t="s">
        <v>156</v>
      </c>
      <c r="Z538" s="60"/>
      <c r="AA538" s="25"/>
      <c r="AB538" s="25"/>
    </row>
    <row r="539" spans="2:28">
      <c r="B539" s="40"/>
      <c r="C539" s="40"/>
      <c r="D539" s="41"/>
      <c r="E539" s="42"/>
      <c r="F539" s="42"/>
      <c r="G539" s="43" t="s">
        <v>154</v>
      </c>
      <c r="H539" s="42" t="s">
        <v>155</v>
      </c>
      <c r="I539" s="43"/>
      <c r="J539" s="43"/>
      <c r="K539" s="25" t="e">
        <f>VLOOKUP(J539,Key!$E$2:$F$9,2,FALSE)</f>
        <v>#N/A</v>
      </c>
      <c r="L539" s="42"/>
      <c r="M539" s="43" t="s">
        <v>154</v>
      </c>
      <c r="N539" s="42" t="s">
        <v>155</v>
      </c>
      <c r="O539" s="43"/>
      <c r="P539" s="43"/>
      <c r="Q539" s="25" t="e">
        <f>VLOOKUP(P539,Key!$E$2:$F$9,2,FALSE)</f>
        <v>#N/A</v>
      </c>
      <c r="R539" s="25" t="e">
        <f t="shared" si="8"/>
        <v>#N/A</v>
      </c>
      <c r="S539" s="58"/>
      <c r="T539" s="58"/>
      <c r="U539" s="43"/>
      <c r="V539" s="43"/>
      <c r="W539" s="58"/>
      <c r="X539" s="58"/>
      <c r="Y539" s="59" t="s">
        <v>156</v>
      </c>
      <c r="Z539" s="60"/>
      <c r="AA539" s="25"/>
      <c r="AB539" s="25"/>
    </row>
    <row r="540" spans="2:28">
      <c r="B540" s="40"/>
      <c r="C540" s="40"/>
      <c r="D540" s="41"/>
      <c r="E540" s="42"/>
      <c r="F540" s="42"/>
      <c r="G540" s="43" t="s">
        <v>154</v>
      </c>
      <c r="H540" s="42" t="s">
        <v>155</v>
      </c>
      <c r="I540" s="43"/>
      <c r="J540" s="43"/>
      <c r="K540" s="25" t="e">
        <f>VLOOKUP(J540,Key!$E$2:$F$9,2,FALSE)</f>
        <v>#N/A</v>
      </c>
      <c r="L540" s="42"/>
      <c r="M540" s="43" t="s">
        <v>154</v>
      </c>
      <c r="N540" s="42" t="s">
        <v>155</v>
      </c>
      <c r="O540" s="43"/>
      <c r="P540" s="43"/>
      <c r="Q540" s="25" t="e">
        <f>VLOOKUP(P540,Key!$E$2:$F$9,2,FALSE)</f>
        <v>#N/A</v>
      </c>
      <c r="R540" s="25" t="e">
        <f t="shared" si="8"/>
        <v>#N/A</v>
      </c>
      <c r="S540" s="58"/>
      <c r="T540" s="58"/>
      <c r="U540" s="43"/>
      <c r="V540" s="43"/>
      <c r="W540" s="58"/>
      <c r="X540" s="58"/>
      <c r="Y540" s="59" t="s">
        <v>156</v>
      </c>
      <c r="Z540" s="60"/>
      <c r="AA540" s="25"/>
      <c r="AB540" s="25"/>
    </row>
    <row r="541" spans="2:28">
      <c r="B541" s="40"/>
      <c r="C541" s="40"/>
      <c r="D541" s="41"/>
      <c r="E541" s="42"/>
      <c r="F541" s="42"/>
      <c r="G541" s="43" t="s">
        <v>154</v>
      </c>
      <c r="H541" s="42" t="s">
        <v>155</v>
      </c>
      <c r="I541" s="43"/>
      <c r="J541" s="43"/>
      <c r="K541" s="25" t="e">
        <f>VLOOKUP(J541,Key!$E$2:$F$9,2,FALSE)</f>
        <v>#N/A</v>
      </c>
      <c r="L541" s="42"/>
      <c r="M541" s="43" t="s">
        <v>154</v>
      </c>
      <c r="N541" s="42" t="s">
        <v>155</v>
      </c>
      <c r="O541" s="43"/>
      <c r="P541" s="43"/>
      <c r="Q541" s="25" t="e">
        <f>VLOOKUP(P541,Key!$E$2:$F$9,2,FALSE)</f>
        <v>#N/A</v>
      </c>
      <c r="R541" s="25" t="e">
        <f t="shared" si="8"/>
        <v>#N/A</v>
      </c>
      <c r="S541" s="58"/>
      <c r="T541" s="58"/>
      <c r="U541" s="43"/>
      <c r="V541" s="43"/>
      <c r="W541" s="58"/>
      <c r="X541" s="58"/>
      <c r="Y541" s="59" t="s">
        <v>156</v>
      </c>
      <c r="Z541" s="60"/>
      <c r="AA541" s="25"/>
      <c r="AB541" s="25"/>
    </row>
    <row r="542" spans="2:28">
      <c r="B542" s="40"/>
      <c r="C542" s="40"/>
      <c r="D542" s="41"/>
      <c r="E542" s="42"/>
      <c r="F542" s="42"/>
      <c r="G542" s="43" t="s">
        <v>154</v>
      </c>
      <c r="H542" s="42" t="s">
        <v>155</v>
      </c>
      <c r="I542" s="43"/>
      <c r="J542" s="43"/>
      <c r="K542" s="25" t="e">
        <f>VLOOKUP(J542,Key!$E$2:$F$9,2,FALSE)</f>
        <v>#N/A</v>
      </c>
      <c r="L542" s="42"/>
      <c r="M542" s="43" t="s">
        <v>154</v>
      </c>
      <c r="N542" s="42" t="s">
        <v>155</v>
      </c>
      <c r="O542" s="43"/>
      <c r="P542" s="43"/>
      <c r="Q542" s="25" t="e">
        <f>VLOOKUP(P542,Key!$E$2:$F$9,2,FALSE)</f>
        <v>#N/A</v>
      </c>
      <c r="R542" s="25" t="e">
        <f t="shared" si="8"/>
        <v>#N/A</v>
      </c>
      <c r="S542" s="58"/>
      <c r="T542" s="58"/>
      <c r="U542" s="43"/>
      <c r="V542" s="43"/>
      <c r="W542" s="58"/>
      <c r="X542" s="58"/>
      <c r="Y542" s="59" t="s">
        <v>156</v>
      </c>
      <c r="Z542" s="60"/>
      <c r="AA542" s="25"/>
      <c r="AB542" s="25"/>
    </row>
    <row r="543" spans="2:28">
      <c r="B543" s="40"/>
      <c r="C543" s="40"/>
      <c r="D543" s="41"/>
      <c r="E543" s="42"/>
      <c r="F543" s="42"/>
      <c r="G543" s="43" t="s">
        <v>154</v>
      </c>
      <c r="H543" s="42" t="s">
        <v>155</v>
      </c>
      <c r="I543" s="43"/>
      <c r="J543" s="43"/>
      <c r="K543" s="25" t="e">
        <f>VLOOKUP(J543,Key!$E$2:$F$9,2,FALSE)</f>
        <v>#N/A</v>
      </c>
      <c r="L543" s="42"/>
      <c r="M543" s="43" t="s">
        <v>154</v>
      </c>
      <c r="N543" s="42" t="s">
        <v>155</v>
      </c>
      <c r="O543" s="43"/>
      <c r="P543" s="43"/>
      <c r="Q543" s="25" t="e">
        <f>VLOOKUP(P543,Key!$E$2:$F$9,2,FALSE)</f>
        <v>#N/A</v>
      </c>
      <c r="R543" s="25" t="e">
        <f t="shared" si="8"/>
        <v>#N/A</v>
      </c>
      <c r="S543" s="58"/>
      <c r="T543" s="58"/>
      <c r="U543" s="43"/>
      <c r="V543" s="43"/>
      <c r="W543" s="58"/>
      <c r="X543" s="58"/>
      <c r="Y543" s="59" t="s">
        <v>156</v>
      </c>
      <c r="Z543" s="60"/>
      <c r="AA543" s="25"/>
      <c r="AB543" s="25"/>
    </row>
    <row r="544" spans="2:28">
      <c r="B544" s="40"/>
      <c r="C544" s="40"/>
      <c r="D544" s="41"/>
      <c r="E544" s="42"/>
      <c r="F544" s="42"/>
      <c r="G544" s="43" t="s">
        <v>154</v>
      </c>
      <c r="H544" s="42" t="s">
        <v>155</v>
      </c>
      <c r="I544" s="43"/>
      <c r="J544" s="43"/>
      <c r="K544" s="25" t="e">
        <f>VLOOKUP(J544,Key!$E$2:$F$9,2,FALSE)</f>
        <v>#N/A</v>
      </c>
      <c r="L544" s="42"/>
      <c r="M544" s="43" t="s">
        <v>154</v>
      </c>
      <c r="N544" s="42" t="s">
        <v>155</v>
      </c>
      <c r="O544" s="43"/>
      <c r="P544" s="43"/>
      <c r="Q544" s="25" t="e">
        <f>VLOOKUP(P544,Key!$E$2:$F$9,2,FALSE)</f>
        <v>#N/A</v>
      </c>
      <c r="R544" s="25" t="e">
        <f t="shared" si="8"/>
        <v>#N/A</v>
      </c>
      <c r="S544" s="58"/>
      <c r="T544" s="58"/>
      <c r="U544" s="43"/>
      <c r="V544" s="43"/>
      <c r="W544" s="58"/>
      <c r="X544" s="58"/>
      <c r="Y544" s="59" t="s">
        <v>156</v>
      </c>
      <c r="Z544" s="60"/>
      <c r="AA544" s="25"/>
      <c r="AB544" s="25"/>
    </row>
    <row r="545" spans="2:28">
      <c r="B545" s="40"/>
      <c r="C545" s="40"/>
      <c r="D545" s="41"/>
      <c r="E545" s="42"/>
      <c r="F545" s="42"/>
      <c r="G545" s="43" t="s">
        <v>154</v>
      </c>
      <c r="H545" s="42" t="s">
        <v>155</v>
      </c>
      <c r="I545" s="43"/>
      <c r="J545" s="43"/>
      <c r="K545" s="25" t="e">
        <f>VLOOKUP(J545,Key!$E$2:$F$9,2,FALSE)</f>
        <v>#N/A</v>
      </c>
      <c r="L545" s="42"/>
      <c r="M545" s="43" t="s">
        <v>154</v>
      </c>
      <c r="N545" s="42" t="s">
        <v>155</v>
      </c>
      <c r="O545" s="43"/>
      <c r="P545" s="43"/>
      <c r="Q545" s="25" t="e">
        <f>VLOOKUP(P545,Key!$E$2:$F$9,2,FALSE)</f>
        <v>#N/A</v>
      </c>
      <c r="R545" s="25" t="e">
        <f t="shared" si="8"/>
        <v>#N/A</v>
      </c>
      <c r="S545" s="58"/>
      <c r="T545" s="58"/>
      <c r="U545" s="43"/>
      <c r="V545" s="43"/>
      <c r="W545" s="58"/>
      <c r="X545" s="58"/>
      <c r="Y545" s="59" t="s">
        <v>156</v>
      </c>
      <c r="Z545" s="60"/>
      <c r="AA545" s="25"/>
      <c r="AB545" s="25"/>
    </row>
    <row r="546" spans="2:28">
      <c r="B546" s="40"/>
      <c r="C546" s="40"/>
      <c r="D546" s="41"/>
      <c r="E546" s="42"/>
      <c r="F546" s="42"/>
      <c r="G546" s="43" t="s">
        <v>154</v>
      </c>
      <c r="H546" s="42" t="s">
        <v>155</v>
      </c>
      <c r="I546" s="43"/>
      <c r="J546" s="43"/>
      <c r="K546" s="25" t="e">
        <f>VLOOKUP(J546,Key!$E$2:$F$9,2,FALSE)</f>
        <v>#N/A</v>
      </c>
      <c r="L546" s="42"/>
      <c r="M546" s="43" t="s">
        <v>154</v>
      </c>
      <c r="N546" s="42" t="s">
        <v>155</v>
      </c>
      <c r="O546" s="43"/>
      <c r="P546" s="43"/>
      <c r="Q546" s="25" t="e">
        <f>VLOOKUP(P546,Key!$E$2:$F$9,2,FALSE)</f>
        <v>#N/A</v>
      </c>
      <c r="R546" s="25" t="e">
        <f t="shared" si="8"/>
        <v>#N/A</v>
      </c>
      <c r="S546" s="58"/>
      <c r="T546" s="58"/>
      <c r="U546" s="43"/>
      <c r="V546" s="43"/>
      <c r="W546" s="58"/>
      <c r="X546" s="58"/>
      <c r="Y546" s="59" t="s">
        <v>156</v>
      </c>
      <c r="Z546" s="60"/>
      <c r="AA546" s="25"/>
      <c r="AB546" s="25"/>
    </row>
    <row r="547" spans="2:28">
      <c r="B547" s="40"/>
      <c r="C547" s="40"/>
      <c r="D547" s="41"/>
      <c r="E547" s="42"/>
      <c r="F547" s="42"/>
      <c r="G547" s="43" t="s">
        <v>154</v>
      </c>
      <c r="H547" s="42" t="s">
        <v>155</v>
      </c>
      <c r="I547" s="43"/>
      <c r="J547" s="43"/>
      <c r="K547" s="25" t="e">
        <f>VLOOKUP(J547,Key!$E$2:$F$9,2,FALSE)</f>
        <v>#N/A</v>
      </c>
      <c r="L547" s="42"/>
      <c r="M547" s="43" t="s">
        <v>154</v>
      </c>
      <c r="N547" s="42" t="s">
        <v>155</v>
      </c>
      <c r="O547" s="43"/>
      <c r="P547" s="43"/>
      <c r="Q547" s="25" t="e">
        <f>VLOOKUP(P547,Key!$E$2:$F$9,2,FALSE)</f>
        <v>#N/A</v>
      </c>
      <c r="R547" s="25" t="e">
        <f t="shared" si="8"/>
        <v>#N/A</v>
      </c>
      <c r="S547" s="58"/>
      <c r="T547" s="58"/>
      <c r="U547" s="43"/>
      <c r="V547" s="43"/>
      <c r="W547" s="58"/>
      <c r="X547" s="58"/>
      <c r="Y547" s="59" t="s">
        <v>156</v>
      </c>
      <c r="Z547" s="60"/>
      <c r="AA547" s="25"/>
      <c r="AB547" s="25"/>
    </row>
    <row r="548" spans="2:28">
      <c r="B548" s="40"/>
      <c r="C548" s="40"/>
      <c r="D548" s="41"/>
      <c r="E548" s="42"/>
      <c r="F548" s="42"/>
      <c r="G548" s="43" t="s">
        <v>154</v>
      </c>
      <c r="H548" s="42" t="s">
        <v>155</v>
      </c>
      <c r="I548" s="43"/>
      <c r="J548" s="43"/>
      <c r="K548" s="25" t="e">
        <f>VLOOKUP(J548,Key!$E$2:$F$9,2,FALSE)</f>
        <v>#N/A</v>
      </c>
      <c r="L548" s="42"/>
      <c r="M548" s="43" t="s">
        <v>154</v>
      </c>
      <c r="N548" s="42" t="s">
        <v>155</v>
      </c>
      <c r="O548" s="43"/>
      <c r="P548" s="43"/>
      <c r="Q548" s="25" t="e">
        <f>VLOOKUP(P548,Key!$E$2:$F$9,2,FALSE)</f>
        <v>#N/A</v>
      </c>
      <c r="R548" s="25" t="e">
        <f t="shared" si="8"/>
        <v>#N/A</v>
      </c>
      <c r="S548" s="58"/>
      <c r="T548" s="58"/>
      <c r="U548" s="43"/>
      <c r="V548" s="43"/>
      <c r="W548" s="58"/>
      <c r="X548" s="58"/>
      <c r="Y548" s="59" t="s">
        <v>156</v>
      </c>
      <c r="Z548" s="60"/>
      <c r="AA548" s="25"/>
      <c r="AB548" s="25"/>
    </row>
    <row r="549" spans="2:28">
      <c r="B549" s="40"/>
      <c r="C549" s="40"/>
      <c r="D549" s="41"/>
      <c r="E549" s="42"/>
      <c r="F549" s="42"/>
      <c r="G549" s="43" t="s">
        <v>154</v>
      </c>
      <c r="H549" s="42" t="s">
        <v>155</v>
      </c>
      <c r="I549" s="43"/>
      <c r="J549" s="43"/>
      <c r="K549" s="25" t="e">
        <f>VLOOKUP(J549,Key!$E$2:$F$9,2,FALSE)</f>
        <v>#N/A</v>
      </c>
      <c r="L549" s="42"/>
      <c r="M549" s="43" t="s">
        <v>154</v>
      </c>
      <c r="N549" s="42" t="s">
        <v>155</v>
      </c>
      <c r="O549" s="43"/>
      <c r="P549" s="43"/>
      <c r="Q549" s="25" t="e">
        <f>VLOOKUP(P549,Key!$E$2:$F$9,2,FALSE)</f>
        <v>#N/A</v>
      </c>
      <c r="R549" s="25" t="e">
        <f t="shared" si="8"/>
        <v>#N/A</v>
      </c>
      <c r="S549" s="58"/>
      <c r="T549" s="58"/>
      <c r="U549" s="43"/>
      <c r="V549" s="43"/>
      <c r="W549" s="58"/>
      <c r="X549" s="58"/>
      <c r="Y549" s="59" t="s">
        <v>156</v>
      </c>
      <c r="Z549" s="60"/>
      <c r="AA549" s="25"/>
      <c r="AB549" s="25"/>
    </row>
    <row r="550" spans="2:28">
      <c r="B550" s="40"/>
      <c r="C550" s="40"/>
      <c r="D550" s="41"/>
      <c r="E550" s="42"/>
      <c r="F550" s="42"/>
      <c r="G550" s="43" t="s">
        <v>154</v>
      </c>
      <c r="H550" s="42" t="s">
        <v>155</v>
      </c>
      <c r="I550" s="43"/>
      <c r="J550" s="43"/>
      <c r="K550" s="25" t="e">
        <f>VLOOKUP(J550,Key!$E$2:$F$9,2,FALSE)</f>
        <v>#N/A</v>
      </c>
      <c r="L550" s="42"/>
      <c r="M550" s="43" t="s">
        <v>154</v>
      </c>
      <c r="N550" s="42" t="s">
        <v>155</v>
      </c>
      <c r="O550" s="43"/>
      <c r="P550" s="43"/>
      <c r="Q550" s="25" t="e">
        <f>VLOOKUP(P550,Key!$E$2:$F$9,2,FALSE)</f>
        <v>#N/A</v>
      </c>
      <c r="R550" s="25" t="e">
        <f t="shared" ref="R550:R613" si="9">K550&amp;"-"&amp;Q550</f>
        <v>#N/A</v>
      </c>
      <c r="S550" s="58"/>
      <c r="T550" s="58"/>
      <c r="U550" s="43"/>
      <c r="V550" s="43"/>
      <c r="W550" s="58"/>
      <c r="X550" s="58"/>
      <c r="Y550" s="59" t="s">
        <v>156</v>
      </c>
      <c r="Z550" s="60"/>
      <c r="AA550" s="25"/>
      <c r="AB550" s="25"/>
    </row>
    <row r="551" spans="2:28">
      <c r="B551" s="40"/>
      <c r="C551" s="40"/>
      <c r="D551" s="41"/>
      <c r="E551" s="42"/>
      <c r="F551" s="42"/>
      <c r="G551" s="43" t="s">
        <v>154</v>
      </c>
      <c r="H551" s="42" t="s">
        <v>155</v>
      </c>
      <c r="I551" s="43"/>
      <c r="J551" s="43"/>
      <c r="K551" s="25" t="e">
        <f>VLOOKUP(J551,Key!$E$2:$F$9,2,FALSE)</f>
        <v>#N/A</v>
      </c>
      <c r="L551" s="42"/>
      <c r="M551" s="43" t="s">
        <v>154</v>
      </c>
      <c r="N551" s="42" t="s">
        <v>155</v>
      </c>
      <c r="O551" s="43"/>
      <c r="P551" s="43"/>
      <c r="Q551" s="25" t="e">
        <f>VLOOKUP(P551,Key!$E$2:$F$9,2,FALSE)</f>
        <v>#N/A</v>
      </c>
      <c r="R551" s="25" t="e">
        <f t="shared" si="9"/>
        <v>#N/A</v>
      </c>
      <c r="S551" s="58"/>
      <c r="T551" s="58"/>
      <c r="U551" s="43"/>
      <c r="V551" s="43"/>
      <c r="W551" s="58"/>
      <c r="X551" s="58"/>
      <c r="Y551" s="59" t="s">
        <v>156</v>
      </c>
      <c r="Z551" s="60"/>
      <c r="AA551" s="25"/>
      <c r="AB551" s="25"/>
    </row>
    <row r="552" spans="2:28">
      <c r="B552" s="40"/>
      <c r="C552" s="40"/>
      <c r="D552" s="41"/>
      <c r="E552" s="42"/>
      <c r="F552" s="42"/>
      <c r="G552" s="43" t="s">
        <v>154</v>
      </c>
      <c r="H552" s="42" t="s">
        <v>155</v>
      </c>
      <c r="I552" s="43"/>
      <c r="J552" s="43"/>
      <c r="K552" s="25" t="e">
        <f>VLOOKUP(J552,Key!$E$2:$F$9,2,FALSE)</f>
        <v>#N/A</v>
      </c>
      <c r="L552" s="42"/>
      <c r="M552" s="43" t="s">
        <v>154</v>
      </c>
      <c r="N552" s="42" t="s">
        <v>155</v>
      </c>
      <c r="O552" s="43"/>
      <c r="P552" s="43"/>
      <c r="Q552" s="25" t="e">
        <f>VLOOKUP(P552,Key!$E$2:$F$9,2,FALSE)</f>
        <v>#N/A</v>
      </c>
      <c r="R552" s="25" t="e">
        <f t="shared" si="9"/>
        <v>#N/A</v>
      </c>
      <c r="S552" s="58"/>
      <c r="T552" s="58"/>
      <c r="U552" s="43"/>
      <c r="V552" s="43"/>
      <c r="W552" s="58"/>
      <c r="X552" s="58"/>
      <c r="Y552" s="59" t="s">
        <v>156</v>
      </c>
      <c r="Z552" s="60"/>
      <c r="AA552" s="25"/>
      <c r="AB552" s="25"/>
    </row>
    <row r="553" spans="2:28">
      <c r="B553" s="40"/>
      <c r="C553" s="40"/>
      <c r="D553" s="41"/>
      <c r="E553" s="42"/>
      <c r="F553" s="42"/>
      <c r="G553" s="43" t="s">
        <v>154</v>
      </c>
      <c r="H553" s="42" t="s">
        <v>155</v>
      </c>
      <c r="I553" s="43"/>
      <c r="J553" s="43"/>
      <c r="K553" s="25" t="e">
        <f>VLOOKUP(J553,Key!$E$2:$F$9,2,FALSE)</f>
        <v>#N/A</v>
      </c>
      <c r="L553" s="42"/>
      <c r="M553" s="43" t="s">
        <v>154</v>
      </c>
      <c r="N553" s="42" t="s">
        <v>155</v>
      </c>
      <c r="O553" s="43"/>
      <c r="P553" s="43"/>
      <c r="Q553" s="25" t="e">
        <f>VLOOKUP(P553,Key!$E$2:$F$9,2,FALSE)</f>
        <v>#N/A</v>
      </c>
      <c r="R553" s="25" t="e">
        <f t="shared" si="9"/>
        <v>#N/A</v>
      </c>
      <c r="S553" s="58"/>
      <c r="T553" s="58"/>
      <c r="U553" s="43"/>
      <c r="V553" s="43"/>
      <c r="W553" s="58"/>
      <c r="X553" s="58"/>
      <c r="Y553" s="59" t="s">
        <v>156</v>
      </c>
      <c r="Z553" s="60"/>
      <c r="AA553" s="25"/>
      <c r="AB553" s="25"/>
    </row>
    <row r="554" spans="2:28">
      <c r="B554" s="40"/>
      <c r="C554" s="40"/>
      <c r="D554" s="41"/>
      <c r="E554" s="42"/>
      <c r="F554" s="42"/>
      <c r="G554" s="43" t="s">
        <v>154</v>
      </c>
      <c r="H554" s="42" t="s">
        <v>155</v>
      </c>
      <c r="I554" s="43"/>
      <c r="J554" s="43"/>
      <c r="K554" s="25" t="e">
        <f>VLOOKUP(J554,Key!$E$2:$F$9,2,FALSE)</f>
        <v>#N/A</v>
      </c>
      <c r="L554" s="42"/>
      <c r="M554" s="43" t="s">
        <v>154</v>
      </c>
      <c r="N554" s="42" t="s">
        <v>155</v>
      </c>
      <c r="O554" s="43"/>
      <c r="P554" s="43"/>
      <c r="Q554" s="25" t="e">
        <f>VLOOKUP(P554,Key!$E$2:$F$9,2,FALSE)</f>
        <v>#N/A</v>
      </c>
      <c r="R554" s="25" t="e">
        <f t="shared" si="9"/>
        <v>#N/A</v>
      </c>
      <c r="S554" s="58"/>
      <c r="T554" s="58"/>
      <c r="U554" s="43"/>
      <c r="V554" s="43"/>
      <c r="W554" s="58"/>
      <c r="X554" s="58"/>
      <c r="Y554" s="59" t="s">
        <v>156</v>
      </c>
      <c r="Z554" s="60"/>
      <c r="AA554" s="25"/>
      <c r="AB554" s="25"/>
    </row>
    <row r="555" spans="2:28">
      <c r="B555" s="40"/>
      <c r="C555" s="40"/>
      <c r="D555" s="41"/>
      <c r="E555" s="42"/>
      <c r="F555" s="42"/>
      <c r="G555" s="43" t="s">
        <v>154</v>
      </c>
      <c r="H555" s="42" t="s">
        <v>155</v>
      </c>
      <c r="I555" s="43"/>
      <c r="J555" s="43"/>
      <c r="K555" s="25" t="e">
        <f>VLOOKUP(J555,Key!$E$2:$F$9,2,FALSE)</f>
        <v>#N/A</v>
      </c>
      <c r="L555" s="42"/>
      <c r="M555" s="43" t="s">
        <v>154</v>
      </c>
      <c r="N555" s="42" t="s">
        <v>155</v>
      </c>
      <c r="O555" s="43"/>
      <c r="P555" s="43"/>
      <c r="Q555" s="25" t="e">
        <f>VLOOKUP(P555,Key!$E$2:$F$9,2,FALSE)</f>
        <v>#N/A</v>
      </c>
      <c r="R555" s="25" t="e">
        <f t="shared" si="9"/>
        <v>#N/A</v>
      </c>
      <c r="S555" s="58"/>
      <c r="T555" s="58"/>
      <c r="U555" s="43"/>
      <c r="V555" s="43"/>
      <c r="W555" s="58"/>
      <c r="X555" s="58"/>
      <c r="Y555" s="59" t="s">
        <v>156</v>
      </c>
      <c r="Z555" s="60"/>
      <c r="AA555" s="25"/>
      <c r="AB555" s="25"/>
    </row>
    <row r="556" spans="2:28">
      <c r="B556" s="40"/>
      <c r="C556" s="40"/>
      <c r="D556" s="41"/>
      <c r="E556" s="42"/>
      <c r="F556" s="42"/>
      <c r="G556" s="43" t="s">
        <v>154</v>
      </c>
      <c r="H556" s="42" t="s">
        <v>155</v>
      </c>
      <c r="I556" s="43"/>
      <c r="J556" s="43"/>
      <c r="K556" s="25" t="e">
        <f>VLOOKUP(J556,Key!$E$2:$F$9,2,FALSE)</f>
        <v>#N/A</v>
      </c>
      <c r="L556" s="42"/>
      <c r="M556" s="43" t="s">
        <v>154</v>
      </c>
      <c r="N556" s="42" t="s">
        <v>155</v>
      </c>
      <c r="O556" s="43"/>
      <c r="P556" s="43"/>
      <c r="Q556" s="25" t="e">
        <f>VLOOKUP(P556,Key!$E$2:$F$9,2,FALSE)</f>
        <v>#N/A</v>
      </c>
      <c r="R556" s="25" t="e">
        <f t="shared" si="9"/>
        <v>#N/A</v>
      </c>
      <c r="S556" s="58"/>
      <c r="T556" s="58"/>
      <c r="U556" s="43"/>
      <c r="V556" s="43"/>
      <c r="W556" s="58"/>
      <c r="X556" s="58"/>
      <c r="Y556" s="59" t="s">
        <v>156</v>
      </c>
      <c r="Z556" s="60"/>
      <c r="AA556" s="25"/>
      <c r="AB556" s="25"/>
    </row>
    <row r="557" spans="2:28">
      <c r="B557" s="40"/>
      <c r="C557" s="40"/>
      <c r="D557" s="41"/>
      <c r="E557" s="42"/>
      <c r="F557" s="42"/>
      <c r="G557" s="43" t="s">
        <v>154</v>
      </c>
      <c r="H557" s="42" t="s">
        <v>155</v>
      </c>
      <c r="I557" s="43"/>
      <c r="J557" s="43"/>
      <c r="K557" s="25" t="e">
        <f>VLOOKUP(J557,Key!$E$2:$F$9,2,FALSE)</f>
        <v>#N/A</v>
      </c>
      <c r="L557" s="42"/>
      <c r="M557" s="43" t="s">
        <v>154</v>
      </c>
      <c r="N557" s="42" t="s">
        <v>155</v>
      </c>
      <c r="O557" s="43"/>
      <c r="P557" s="43"/>
      <c r="Q557" s="25" t="e">
        <f>VLOOKUP(P557,Key!$E$2:$F$9,2,FALSE)</f>
        <v>#N/A</v>
      </c>
      <c r="R557" s="25" t="e">
        <f t="shared" si="9"/>
        <v>#N/A</v>
      </c>
      <c r="S557" s="58"/>
      <c r="T557" s="58"/>
      <c r="U557" s="43"/>
      <c r="V557" s="43"/>
      <c r="W557" s="58"/>
      <c r="X557" s="58"/>
      <c r="Y557" s="59" t="s">
        <v>156</v>
      </c>
      <c r="Z557" s="60"/>
      <c r="AA557" s="25"/>
      <c r="AB557" s="25"/>
    </row>
    <row r="558" spans="2:28">
      <c r="B558" s="40"/>
      <c r="C558" s="40"/>
      <c r="D558" s="41"/>
      <c r="E558" s="42"/>
      <c r="F558" s="42"/>
      <c r="G558" s="43" t="s">
        <v>154</v>
      </c>
      <c r="H558" s="42" t="s">
        <v>155</v>
      </c>
      <c r="I558" s="43"/>
      <c r="J558" s="43"/>
      <c r="K558" s="25" t="e">
        <f>VLOOKUP(J558,Key!$E$2:$F$9,2,FALSE)</f>
        <v>#N/A</v>
      </c>
      <c r="L558" s="42"/>
      <c r="M558" s="43" t="s">
        <v>154</v>
      </c>
      <c r="N558" s="42" t="s">
        <v>155</v>
      </c>
      <c r="O558" s="43"/>
      <c r="P558" s="43"/>
      <c r="Q558" s="25" t="e">
        <f>VLOOKUP(P558,Key!$E$2:$F$9,2,FALSE)</f>
        <v>#N/A</v>
      </c>
      <c r="R558" s="25" t="e">
        <f t="shared" si="9"/>
        <v>#N/A</v>
      </c>
      <c r="S558" s="58"/>
      <c r="T558" s="58"/>
      <c r="U558" s="43"/>
      <c r="V558" s="43"/>
      <c r="W558" s="58"/>
      <c r="X558" s="58"/>
      <c r="Y558" s="59" t="s">
        <v>156</v>
      </c>
      <c r="Z558" s="60"/>
      <c r="AA558" s="25"/>
      <c r="AB558" s="25"/>
    </row>
    <row r="559" spans="2:28">
      <c r="B559" s="40"/>
      <c r="C559" s="40"/>
      <c r="D559" s="41"/>
      <c r="E559" s="42"/>
      <c r="F559" s="42"/>
      <c r="G559" s="43" t="s">
        <v>154</v>
      </c>
      <c r="H559" s="42" t="s">
        <v>155</v>
      </c>
      <c r="I559" s="43"/>
      <c r="J559" s="43"/>
      <c r="K559" s="25" t="e">
        <f>VLOOKUP(J559,Key!$E$2:$F$9,2,FALSE)</f>
        <v>#N/A</v>
      </c>
      <c r="L559" s="42"/>
      <c r="M559" s="43" t="s">
        <v>154</v>
      </c>
      <c r="N559" s="42" t="s">
        <v>155</v>
      </c>
      <c r="O559" s="43"/>
      <c r="P559" s="43"/>
      <c r="Q559" s="25" t="e">
        <f>VLOOKUP(P559,Key!$E$2:$F$9,2,FALSE)</f>
        <v>#N/A</v>
      </c>
      <c r="R559" s="25" t="e">
        <f t="shared" si="9"/>
        <v>#N/A</v>
      </c>
      <c r="S559" s="58"/>
      <c r="T559" s="58"/>
      <c r="U559" s="43"/>
      <c r="V559" s="43"/>
      <c r="W559" s="58"/>
      <c r="X559" s="58"/>
      <c r="Y559" s="59" t="s">
        <v>156</v>
      </c>
      <c r="Z559" s="60"/>
      <c r="AA559" s="25"/>
      <c r="AB559" s="25"/>
    </row>
    <row r="560" spans="2:28">
      <c r="B560" s="40"/>
      <c r="C560" s="40"/>
      <c r="D560" s="41"/>
      <c r="E560" s="42"/>
      <c r="F560" s="42"/>
      <c r="G560" s="43" t="s">
        <v>154</v>
      </c>
      <c r="H560" s="42" t="s">
        <v>155</v>
      </c>
      <c r="I560" s="43"/>
      <c r="J560" s="43"/>
      <c r="K560" s="25" t="e">
        <f>VLOOKUP(J560,Key!$E$2:$F$9,2,FALSE)</f>
        <v>#N/A</v>
      </c>
      <c r="L560" s="42"/>
      <c r="M560" s="43" t="s">
        <v>154</v>
      </c>
      <c r="N560" s="42" t="s">
        <v>155</v>
      </c>
      <c r="O560" s="43"/>
      <c r="P560" s="43"/>
      <c r="Q560" s="25" t="e">
        <f>VLOOKUP(P560,Key!$E$2:$F$9,2,FALSE)</f>
        <v>#N/A</v>
      </c>
      <c r="R560" s="25" t="e">
        <f t="shared" si="9"/>
        <v>#N/A</v>
      </c>
      <c r="S560" s="58"/>
      <c r="T560" s="58"/>
      <c r="U560" s="43"/>
      <c r="V560" s="43"/>
      <c r="W560" s="58"/>
      <c r="X560" s="58"/>
      <c r="Y560" s="59" t="s">
        <v>156</v>
      </c>
      <c r="Z560" s="60"/>
      <c r="AA560" s="25"/>
      <c r="AB560" s="25"/>
    </row>
    <row r="561" spans="2:28">
      <c r="B561" s="40"/>
      <c r="C561" s="40"/>
      <c r="D561" s="41"/>
      <c r="E561" s="42"/>
      <c r="F561" s="42"/>
      <c r="G561" s="43" t="s">
        <v>154</v>
      </c>
      <c r="H561" s="42" t="s">
        <v>155</v>
      </c>
      <c r="I561" s="43"/>
      <c r="J561" s="43"/>
      <c r="K561" s="25" t="e">
        <f>VLOOKUP(J561,Key!$E$2:$F$9,2,FALSE)</f>
        <v>#N/A</v>
      </c>
      <c r="L561" s="42"/>
      <c r="M561" s="43" t="s">
        <v>154</v>
      </c>
      <c r="N561" s="42" t="s">
        <v>155</v>
      </c>
      <c r="O561" s="43"/>
      <c r="P561" s="43"/>
      <c r="Q561" s="25" t="e">
        <f>VLOOKUP(P561,Key!$E$2:$F$9,2,FALSE)</f>
        <v>#N/A</v>
      </c>
      <c r="R561" s="25" t="e">
        <f t="shared" si="9"/>
        <v>#N/A</v>
      </c>
      <c r="S561" s="58"/>
      <c r="T561" s="58"/>
      <c r="U561" s="43"/>
      <c r="V561" s="43"/>
      <c r="W561" s="58"/>
      <c r="X561" s="58"/>
      <c r="Y561" s="59" t="s">
        <v>156</v>
      </c>
      <c r="Z561" s="60"/>
      <c r="AA561" s="25"/>
      <c r="AB561" s="25"/>
    </row>
    <row r="562" spans="2:28">
      <c r="B562" s="40"/>
      <c r="C562" s="40"/>
      <c r="D562" s="41"/>
      <c r="E562" s="42"/>
      <c r="F562" s="42"/>
      <c r="G562" s="43" t="s">
        <v>154</v>
      </c>
      <c r="H562" s="42" t="s">
        <v>155</v>
      </c>
      <c r="I562" s="43"/>
      <c r="J562" s="43"/>
      <c r="K562" s="25" t="e">
        <f>VLOOKUP(J562,Key!$E$2:$F$9,2,FALSE)</f>
        <v>#N/A</v>
      </c>
      <c r="L562" s="42"/>
      <c r="M562" s="43" t="s">
        <v>154</v>
      </c>
      <c r="N562" s="42" t="s">
        <v>155</v>
      </c>
      <c r="O562" s="43"/>
      <c r="P562" s="43"/>
      <c r="Q562" s="25" t="e">
        <f>VLOOKUP(P562,Key!$E$2:$F$9,2,FALSE)</f>
        <v>#N/A</v>
      </c>
      <c r="R562" s="25" t="e">
        <f t="shared" si="9"/>
        <v>#N/A</v>
      </c>
      <c r="S562" s="58"/>
      <c r="T562" s="58"/>
      <c r="U562" s="43"/>
      <c r="V562" s="43"/>
      <c r="W562" s="58"/>
      <c r="X562" s="58"/>
      <c r="Y562" s="59" t="s">
        <v>156</v>
      </c>
      <c r="Z562" s="60"/>
      <c r="AA562" s="25"/>
      <c r="AB562" s="25"/>
    </row>
    <row r="563" spans="2:28">
      <c r="B563" s="40"/>
      <c r="C563" s="40"/>
      <c r="D563" s="41"/>
      <c r="E563" s="42"/>
      <c r="F563" s="42"/>
      <c r="G563" s="43" t="s">
        <v>154</v>
      </c>
      <c r="H563" s="42" t="s">
        <v>155</v>
      </c>
      <c r="I563" s="43"/>
      <c r="J563" s="43"/>
      <c r="K563" s="25" t="e">
        <f>VLOOKUP(J563,Key!$E$2:$F$9,2,FALSE)</f>
        <v>#N/A</v>
      </c>
      <c r="L563" s="42"/>
      <c r="M563" s="43" t="s">
        <v>154</v>
      </c>
      <c r="N563" s="42" t="s">
        <v>155</v>
      </c>
      <c r="O563" s="43"/>
      <c r="P563" s="43"/>
      <c r="Q563" s="25" t="e">
        <f>VLOOKUP(P563,Key!$E$2:$F$9,2,FALSE)</f>
        <v>#N/A</v>
      </c>
      <c r="R563" s="25" t="e">
        <f t="shared" si="9"/>
        <v>#N/A</v>
      </c>
      <c r="S563" s="58"/>
      <c r="T563" s="58"/>
      <c r="U563" s="43"/>
      <c r="V563" s="43"/>
      <c r="W563" s="58"/>
      <c r="X563" s="58"/>
      <c r="Y563" s="59" t="s">
        <v>156</v>
      </c>
      <c r="Z563" s="60"/>
      <c r="AA563" s="25"/>
      <c r="AB563" s="25"/>
    </row>
    <row r="564" spans="2:28">
      <c r="B564" s="40"/>
      <c r="C564" s="40"/>
      <c r="D564" s="41"/>
      <c r="E564" s="42"/>
      <c r="F564" s="42"/>
      <c r="G564" s="43" t="s">
        <v>154</v>
      </c>
      <c r="H564" s="42" t="s">
        <v>155</v>
      </c>
      <c r="I564" s="43"/>
      <c r="J564" s="43"/>
      <c r="K564" s="25" t="e">
        <f>VLOOKUP(J564,Key!$E$2:$F$9,2,FALSE)</f>
        <v>#N/A</v>
      </c>
      <c r="L564" s="42"/>
      <c r="M564" s="43" t="s">
        <v>154</v>
      </c>
      <c r="N564" s="42" t="s">
        <v>155</v>
      </c>
      <c r="O564" s="43"/>
      <c r="P564" s="43"/>
      <c r="Q564" s="25" t="e">
        <f>VLOOKUP(P564,Key!$E$2:$F$9,2,FALSE)</f>
        <v>#N/A</v>
      </c>
      <c r="R564" s="25" t="e">
        <f t="shared" si="9"/>
        <v>#N/A</v>
      </c>
      <c r="S564" s="58"/>
      <c r="T564" s="58"/>
      <c r="U564" s="43"/>
      <c r="V564" s="43"/>
      <c r="W564" s="58"/>
      <c r="X564" s="58"/>
      <c r="Y564" s="59" t="s">
        <v>156</v>
      </c>
      <c r="Z564" s="60"/>
      <c r="AA564" s="25"/>
      <c r="AB564" s="25"/>
    </row>
    <row r="565" spans="2:28">
      <c r="B565" s="40"/>
      <c r="C565" s="40"/>
      <c r="D565" s="41"/>
      <c r="E565" s="42"/>
      <c r="F565" s="42"/>
      <c r="G565" s="43" t="s">
        <v>154</v>
      </c>
      <c r="H565" s="42" t="s">
        <v>155</v>
      </c>
      <c r="I565" s="43"/>
      <c r="J565" s="43"/>
      <c r="K565" s="25" t="e">
        <f>VLOOKUP(J565,Key!$E$2:$F$9,2,FALSE)</f>
        <v>#N/A</v>
      </c>
      <c r="L565" s="42"/>
      <c r="M565" s="43" t="s">
        <v>154</v>
      </c>
      <c r="N565" s="42" t="s">
        <v>155</v>
      </c>
      <c r="O565" s="43"/>
      <c r="P565" s="43"/>
      <c r="Q565" s="25" t="e">
        <f>VLOOKUP(P565,Key!$E$2:$F$9,2,FALSE)</f>
        <v>#N/A</v>
      </c>
      <c r="R565" s="25" t="e">
        <f t="shared" si="9"/>
        <v>#N/A</v>
      </c>
      <c r="S565" s="58"/>
      <c r="T565" s="58"/>
      <c r="U565" s="43"/>
      <c r="V565" s="43"/>
      <c r="W565" s="58"/>
      <c r="X565" s="58"/>
      <c r="Y565" s="59" t="s">
        <v>156</v>
      </c>
      <c r="Z565" s="60"/>
      <c r="AA565" s="25"/>
      <c r="AB565" s="25"/>
    </row>
    <row r="566" spans="2:28">
      <c r="B566" s="40"/>
      <c r="C566" s="40"/>
      <c r="D566" s="41"/>
      <c r="E566" s="42"/>
      <c r="F566" s="42"/>
      <c r="G566" s="43" t="s">
        <v>154</v>
      </c>
      <c r="H566" s="42" t="s">
        <v>155</v>
      </c>
      <c r="I566" s="43"/>
      <c r="J566" s="43"/>
      <c r="K566" s="25" t="e">
        <f>VLOOKUP(J566,Key!$E$2:$F$9,2,FALSE)</f>
        <v>#N/A</v>
      </c>
      <c r="L566" s="42"/>
      <c r="M566" s="43" t="s">
        <v>154</v>
      </c>
      <c r="N566" s="42" t="s">
        <v>155</v>
      </c>
      <c r="O566" s="43"/>
      <c r="P566" s="43"/>
      <c r="Q566" s="25" t="e">
        <f>VLOOKUP(P566,Key!$E$2:$F$9,2,FALSE)</f>
        <v>#N/A</v>
      </c>
      <c r="R566" s="25" t="e">
        <f t="shared" si="9"/>
        <v>#N/A</v>
      </c>
      <c r="S566" s="58"/>
      <c r="T566" s="58"/>
      <c r="U566" s="43"/>
      <c r="V566" s="43"/>
      <c r="W566" s="58"/>
      <c r="X566" s="58"/>
      <c r="Y566" s="59" t="s">
        <v>156</v>
      </c>
      <c r="Z566" s="60"/>
      <c r="AA566" s="25"/>
      <c r="AB566" s="25"/>
    </row>
    <row r="567" spans="2:28">
      <c r="B567" s="40"/>
      <c r="C567" s="40"/>
      <c r="D567" s="41"/>
      <c r="E567" s="42"/>
      <c r="F567" s="42"/>
      <c r="G567" s="43" t="s">
        <v>154</v>
      </c>
      <c r="H567" s="42" t="s">
        <v>155</v>
      </c>
      <c r="I567" s="43"/>
      <c r="J567" s="43"/>
      <c r="K567" s="25" t="e">
        <f>VLOOKUP(J567,Key!$E$2:$F$9,2,FALSE)</f>
        <v>#N/A</v>
      </c>
      <c r="L567" s="42"/>
      <c r="M567" s="43" t="s">
        <v>154</v>
      </c>
      <c r="N567" s="42" t="s">
        <v>155</v>
      </c>
      <c r="O567" s="43"/>
      <c r="P567" s="43"/>
      <c r="Q567" s="25" t="e">
        <f>VLOOKUP(P567,Key!$E$2:$F$9,2,FALSE)</f>
        <v>#N/A</v>
      </c>
      <c r="R567" s="25" t="e">
        <f t="shared" si="9"/>
        <v>#N/A</v>
      </c>
      <c r="S567" s="58"/>
      <c r="T567" s="58"/>
      <c r="U567" s="43"/>
      <c r="V567" s="43"/>
      <c r="W567" s="58"/>
      <c r="X567" s="58"/>
      <c r="Y567" s="59" t="s">
        <v>156</v>
      </c>
      <c r="Z567" s="60"/>
      <c r="AA567" s="25"/>
      <c r="AB567" s="25"/>
    </row>
    <row r="568" spans="2:28">
      <c r="B568" s="40"/>
      <c r="C568" s="40"/>
      <c r="D568" s="41"/>
      <c r="E568" s="42"/>
      <c r="F568" s="42"/>
      <c r="G568" s="43" t="s">
        <v>154</v>
      </c>
      <c r="H568" s="42" t="s">
        <v>155</v>
      </c>
      <c r="I568" s="43"/>
      <c r="J568" s="43"/>
      <c r="K568" s="25" t="e">
        <f>VLOOKUP(J568,Key!$E$2:$F$9,2,FALSE)</f>
        <v>#N/A</v>
      </c>
      <c r="L568" s="42"/>
      <c r="M568" s="43" t="s">
        <v>154</v>
      </c>
      <c r="N568" s="42" t="s">
        <v>155</v>
      </c>
      <c r="O568" s="43"/>
      <c r="P568" s="43"/>
      <c r="Q568" s="25" t="e">
        <f>VLOOKUP(P568,Key!$E$2:$F$9,2,FALSE)</f>
        <v>#N/A</v>
      </c>
      <c r="R568" s="25" t="e">
        <f t="shared" si="9"/>
        <v>#N/A</v>
      </c>
      <c r="S568" s="58"/>
      <c r="T568" s="58"/>
      <c r="U568" s="43"/>
      <c r="V568" s="43"/>
      <c r="W568" s="58"/>
      <c r="X568" s="58"/>
      <c r="Y568" s="59" t="s">
        <v>156</v>
      </c>
      <c r="Z568" s="60"/>
      <c r="AA568" s="25"/>
      <c r="AB568" s="25"/>
    </row>
    <row r="569" spans="2:28">
      <c r="B569" s="40"/>
      <c r="C569" s="40"/>
      <c r="D569" s="41"/>
      <c r="E569" s="42"/>
      <c r="F569" s="42"/>
      <c r="G569" s="43" t="s">
        <v>154</v>
      </c>
      <c r="H569" s="42" t="s">
        <v>155</v>
      </c>
      <c r="I569" s="43"/>
      <c r="J569" s="43"/>
      <c r="K569" s="25" t="e">
        <f>VLOOKUP(J569,Key!$E$2:$F$9,2,FALSE)</f>
        <v>#N/A</v>
      </c>
      <c r="L569" s="42"/>
      <c r="M569" s="43" t="s">
        <v>154</v>
      </c>
      <c r="N569" s="42" t="s">
        <v>155</v>
      </c>
      <c r="O569" s="43"/>
      <c r="P569" s="43"/>
      <c r="Q569" s="25" t="e">
        <f>VLOOKUP(P569,Key!$E$2:$F$9,2,FALSE)</f>
        <v>#N/A</v>
      </c>
      <c r="R569" s="25" t="e">
        <f t="shared" si="9"/>
        <v>#N/A</v>
      </c>
      <c r="S569" s="58"/>
      <c r="T569" s="58"/>
      <c r="U569" s="43"/>
      <c r="V569" s="43"/>
      <c r="W569" s="58"/>
      <c r="X569" s="58"/>
      <c r="Y569" s="59" t="s">
        <v>156</v>
      </c>
      <c r="Z569" s="60"/>
      <c r="AA569" s="25"/>
      <c r="AB569" s="25"/>
    </row>
    <row r="570" spans="2:28">
      <c r="B570" s="40"/>
      <c r="C570" s="40"/>
      <c r="D570" s="41"/>
      <c r="E570" s="42"/>
      <c r="F570" s="42"/>
      <c r="G570" s="43" t="s">
        <v>154</v>
      </c>
      <c r="H570" s="42" t="s">
        <v>155</v>
      </c>
      <c r="I570" s="43"/>
      <c r="J570" s="43"/>
      <c r="K570" s="25" t="e">
        <f>VLOOKUP(J570,Key!$E$2:$F$9,2,FALSE)</f>
        <v>#N/A</v>
      </c>
      <c r="L570" s="42"/>
      <c r="M570" s="43" t="s">
        <v>154</v>
      </c>
      <c r="N570" s="42" t="s">
        <v>155</v>
      </c>
      <c r="O570" s="43"/>
      <c r="P570" s="43"/>
      <c r="Q570" s="25" t="e">
        <f>VLOOKUP(P570,Key!$E$2:$F$9,2,FALSE)</f>
        <v>#N/A</v>
      </c>
      <c r="R570" s="25" t="e">
        <f t="shared" si="9"/>
        <v>#N/A</v>
      </c>
      <c r="S570" s="58"/>
      <c r="T570" s="58"/>
      <c r="U570" s="43"/>
      <c r="V570" s="43"/>
      <c r="W570" s="58"/>
      <c r="X570" s="58"/>
      <c r="Y570" s="59" t="s">
        <v>156</v>
      </c>
      <c r="Z570" s="60"/>
      <c r="AA570" s="25"/>
      <c r="AB570" s="25"/>
    </row>
    <row r="571" spans="2:28">
      <c r="B571" s="40"/>
      <c r="C571" s="40"/>
      <c r="D571" s="41"/>
      <c r="E571" s="42"/>
      <c r="F571" s="42"/>
      <c r="G571" s="43" t="s">
        <v>154</v>
      </c>
      <c r="H571" s="42" t="s">
        <v>155</v>
      </c>
      <c r="I571" s="43"/>
      <c r="J571" s="43"/>
      <c r="K571" s="25" t="e">
        <f>VLOOKUP(J571,Key!$E$2:$F$9,2,FALSE)</f>
        <v>#N/A</v>
      </c>
      <c r="L571" s="42"/>
      <c r="M571" s="43" t="s">
        <v>154</v>
      </c>
      <c r="N571" s="42" t="s">
        <v>155</v>
      </c>
      <c r="O571" s="43"/>
      <c r="P571" s="43"/>
      <c r="Q571" s="25" t="e">
        <f>VLOOKUP(P571,Key!$E$2:$F$9,2,FALSE)</f>
        <v>#N/A</v>
      </c>
      <c r="R571" s="25" t="e">
        <f t="shared" si="9"/>
        <v>#N/A</v>
      </c>
      <c r="S571" s="58"/>
      <c r="T571" s="58"/>
      <c r="U571" s="43"/>
      <c r="V571" s="43"/>
      <c r="W571" s="58"/>
      <c r="X571" s="58"/>
      <c r="Y571" s="59" t="s">
        <v>156</v>
      </c>
      <c r="Z571" s="60"/>
      <c r="AA571" s="25"/>
      <c r="AB571" s="25"/>
    </row>
    <row r="572" spans="2:28">
      <c r="B572" s="40"/>
      <c r="C572" s="40"/>
      <c r="D572" s="41"/>
      <c r="E572" s="42"/>
      <c r="F572" s="42"/>
      <c r="G572" s="43" t="s">
        <v>154</v>
      </c>
      <c r="H572" s="42" t="s">
        <v>155</v>
      </c>
      <c r="I572" s="43"/>
      <c r="J572" s="43"/>
      <c r="K572" s="25" t="e">
        <f>VLOOKUP(J572,Key!$E$2:$F$9,2,FALSE)</f>
        <v>#N/A</v>
      </c>
      <c r="L572" s="42"/>
      <c r="M572" s="43" t="s">
        <v>154</v>
      </c>
      <c r="N572" s="42" t="s">
        <v>155</v>
      </c>
      <c r="O572" s="43"/>
      <c r="P572" s="43"/>
      <c r="Q572" s="25" t="e">
        <f>VLOOKUP(P572,Key!$E$2:$F$9,2,FALSE)</f>
        <v>#N/A</v>
      </c>
      <c r="R572" s="25" t="e">
        <f t="shared" si="9"/>
        <v>#N/A</v>
      </c>
      <c r="S572" s="58"/>
      <c r="T572" s="58"/>
      <c r="U572" s="43"/>
      <c r="V572" s="43"/>
      <c r="W572" s="58"/>
      <c r="X572" s="58"/>
      <c r="Y572" s="59" t="s">
        <v>156</v>
      </c>
      <c r="Z572" s="60"/>
      <c r="AA572" s="25"/>
      <c r="AB572" s="25"/>
    </row>
    <row r="573" spans="2:28">
      <c r="B573" s="40"/>
      <c r="C573" s="40"/>
      <c r="D573" s="41"/>
      <c r="E573" s="42"/>
      <c r="F573" s="42"/>
      <c r="G573" s="43" t="s">
        <v>154</v>
      </c>
      <c r="H573" s="42" t="s">
        <v>155</v>
      </c>
      <c r="I573" s="43"/>
      <c r="J573" s="43"/>
      <c r="K573" s="25" t="e">
        <f>VLOOKUP(J573,Key!$E$2:$F$9,2,FALSE)</f>
        <v>#N/A</v>
      </c>
      <c r="L573" s="42"/>
      <c r="M573" s="43" t="s">
        <v>154</v>
      </c>
      <c r="N573" s="42" t="s">
        <v>155</v>
      </c>
      <c r="O573" s="43"/>
      <c r="P573" s="43"/>
      <c r="Q573" s="25" t="e">
        <f>VLOOKUP(P573,Key!$E$2:$F$9,2,FALSE)</f>
        <v>#N/A</v>
      </c>
      <c r="R573" s="25" t="e">
        <f t="shared" si="9"/>
        <v>#N/A</v>
      </c>
      <c r="S573" s="58"/>
      <c r="T573" s="58"/>
      <c r="U573" s="43"/>
      <c r="V573" s="43"/>
      <c r="W573" s="58"/>
      <c r="X573" s="58"/>
      <c r="Y573" s="59" t="s">
        <v>156</v>
      </c>
      <c r="Z573" s="60"/>
      <c r="AA573" s="25"/>
      <c r="AB573" s="25"/>
    </row>
    <row r="574" spans="2:28">
      <c r="B574" s="40"/>
      <c r="C574" s="40"/>
      <c r="D574" s="41"/>
      <c r="E574" s="42"/>
      <c r="F574" s="42"/>
      <c r="G574" s="43" t="s">
        <v>154</v>
      </c>
      <c r="H574" s="42" t="s">
        <v>155</v>
      </c>
      <c r="I574" s="43"/>
      <c r="J574" s="43"/>
      <c r="K574" s="25" t="e">
        <f>VLOOKUP(J574,Key!$E$2:$F$9,2,FALSE)</f>
        <v>#N/A</v>
      </c>
      <c r="L574" s="42"/>
      <c r="M574" s="43" t="s">
        <v>154</v>
      </c>
      <c r="N574" s="42" t="s">
        <v>155</v>
      </c>
      <c r="O574" s="43"/>
      <c r="P574" s="43"/>
      <c r="Q574" s="25" t="e">
        <f>VLOOKUP(P574,Key!$E$2:$F$9,2,FALSE)</f>
        <v>#N/A</v>
      </c>
      <c r="R574" s="25" t="e">
        <f t="shared" si="9"/>
        <v>#N/A</v>
      </c>
      <c r="S574" s="58"/>
      <c r="T574" s="58"/>
      <c r="U574" s="43"/>
      <c r="V574" s="43"/>
      <c r="W574" s="58"/>
      <c r="X574" s="58"/>
      <c r="Y574" s="59" t="s">
        <v>156</v>
      </c>
      <c r="Z574" s="60"/>
      <c r="AA574" s="25"/>
      <c r="AB574" s="25"/>
    </row>
    <row r="575" spans="2:28">
      <c r="B575" s="40"/>
      <c r="C575" s="40"/>
      <c r="D575" s="41"/>
      <c r="E575" s="42"/>
      <c r="F575" s="42"/>
      <c r="G575" s="43" t="s">
        <v>154</v>
      </c>
      <c r="H575" s="42" t="s">
        <v>155</v>
      </c>
      <c r="I575" s="43"/>
      <c r="J575" s="43"/>
      <c r="K575" s="25" t="e">
        <f>VLOOKUP(J575,Key!$E$2:$F$9,2,FALSE)</f>
        <v>#N/A</v>
      </c>
      <c r="L575" s="42"/>
      <c r="M575" s="43" t="s">
        <v>154</v>
      </c>
      <c r="N575" s="42" t="s">
        <v>155</v>
      </c>
      <c r="O575" s="43"/>
      <c r="P575" s="43"/>
      <c r="Q575" s="25" t="e">
        <f>VLOOKUP(P575,Key!$E$2:$F$9,2,FALSE)</f>
        <v>#N/A</v>
      </c>
      <c r="R575" s="25" t="e">
        <f t="shared" si="9"/>
        <v>#N/A</v>
      </c>
      <c r="S575" s="58"/>
      <c r="T575" s="58"/>
      <c r="U575" s="43"/>
      <c r="V575" s="43"/>
      <c r="W575" s="58"/>
      <c r="X575" s="58"/>
      <c r="Y575" s="59" t="s">
        <v>156</v>
      </c>
      <c r="Z575" s="60"/>
      <c r="AA575" s="25"/>
      <c r="AB575" s="25"/>
    </row>
    <row r="576" spans="2:28">
      <c r="B576" s="40"/>
      <c r="C576" s="40"/>
      <c r="D576" s="41"/>
      <c r="E576" s="42"/>
      <c r="F576" s="42"/>
      <c r="G576" s="43" t="s">
        <v>154</v>
      </c>
      <c r="H576" s="42" t="s">
        <v>155</v>
      </c>
      <c r="I576" s="43"/>
      <c r="J576" s="43"/>
      <c r="K576" s="25" t="e">
        <f>VLOOKUP(J576,Key!$E$2:$F$9,2,FALSE)</f>
        <v>#N/A</v>
      </c>
      <c r="L576" s="42"/>
      <c r="M576" s="43" t="s">
        <v>154</v>
      </c>
      <c r="N576" s="42" t="s">
        <v>155</v>
      </c>
      <c r="O576" s="43"/>
      <c r="P576" s="43"/>
      <c r="Q576" s="25" t="e">
        <f>VLOOKUP(P576,Key!$E$2:$F$9,2,FALSE)</f>
        <v>#N/A</v>
      </c>
      <c r="R576" s="25" t="e">
        <f t="shared" si="9"/>
        <v>#N/A</v>
      </c>
      <c r="S576" s="58"/>
      <c r="T576" s="58"/>
      <c r="U576" s="43"/>
      <c r="V576" s="43"/>
      <c r="W576" s="58"/>
      <c r="X576" s="58"/>
      <c r="Y576" s="59" t="s">
        <v>156</v>
      </c>
      <c r="Z576" s="60"/>
      <c r="AA576" s="25"/>
      <c r="AB576" s="25"/>
    </row>
    <row r="577" spans="2:28">
      <c r="B577" s="40"/>
      <c r="C577" s="40"/>
      <c r="D577" s="41"/>
      <c r="E577" s="42"/>
      <c r="F577" s="42"/>
      <c r="G577" s="43" t="s">
        <v>154</v>
      </c>
      <c r="H577" s="42" t="s">
        <v>155</v>
      </c>
      <c r="I577" s="43"/>
      <c r="J577" s="43"/>
      <c r="K577" s="25" t="e">
        <f>VLOOKUP(J577,Key!$E$2:$F$9,2,FALSE)</f>
        <v>#N/A</v>
      </c>
      <c r="L577" s="42"/>
      <c r="M577" s="43" t="s">
        <v>154</v>
      </c>
      <c r="N577" s="42" t="s">
        <v>155</v>
      </c>
      <c r="O577" s="43"/>
      <c r="P577" s="43"/>
      <c r="Q577" s="25" t="e">
        <f>VLOOKUP(P577,Key!$E$2:$F$9,2,FALSE)</f>
        <v>#N/A</v>
      </c>
      <c r="R577" s="25" t="e">
        <f t="shared" si="9"/>
        <v>#N/A</v>
      </c>
      <c r="S577" s="58"/>
      <c r="T577" s="58"/>
      <c r="U577" s="43"/>
      <c r="V577" s="43"/>
      <c r="W577" s="58"/>
      <c r="X577" s="58"/>
      <c r="Y577" s="59" t="s">
        <v>156</v>
      </c>
      <c r="Z577" s="60"/>
      <c r="AA577" s="25"/>
      <c r="AB577" s="25"/>
    </row>
    <row r="578" spans="2:28">
      <c r="B578" s="40"/>
      <c r="C578" s="40"/>
      <c r="D578" s="41"/>
      <c r="E578" s="42"/>
      <c r="F578" s="42"/>
      <c r="G578" s="43" t="s">
        <v>154</v>
      </c>
      <c r="H578" s="42" t="s">
        <v>155</v>
      </c>
      <c r="I578" s="43"/>
      <c r="J578" s="43"/>
      <c r="K578" s="25" t="e">
        <f>VLOOKUP(J578,Key!$E$2:$F$9,2,FALSE)</f>
        <v>#N/A</v>
      </c>
      <c r="L578" s="42"/>
      <c r="M578" s="43" t="s">
        <v>154</v>
      </c>
      <c r="N578" s="42" t="s">
        <v>155</v>
      </c>
      <c r="O578" s="43"/>
      <c r="P578" s="43"/>
      <c r="Q578" s="25" t="e">
        <f>VLOOKUP(P578,Key!$E$2:$F$9,2,FALSE)</f>
        <v>#N/A</v>
      </c>
      <c r="R578" s="25" t="e">
        <f t="shared" si="9"/>
        <v>#N/A</v>
      </c>
      <c r="S578" s="58"/>
      <c r="T578" s="58"/>
      <c r="U578" s="43"/>
      <c r="V578" s="43"/>
      <c r="W578" s="58"/>
      <c r="X578" s="58"/>
      <c r="Y578" s="59" t="s">
        <v>156</v>
      </c>
      <c r="Z578" s="60"/>
      <c r="AA578" s="25"/>
      <c r="AB578" s="25"/>
    </row>
    <row r="579" spans="2:28">
      <c r="B579" s="40"/>
      <c r="C579" s="40"/>
      <c r="D579" s="41"/>
      <c r="E579" s="42"/>
      <c r="F579" s="42"/>
      <c r="G579" s="43" t="s">
        <v>154</v>
      </c>
      <c r="H579" s="42" t="s">
        <v>155</v>
      </c>
      <c r="I579" s="43"/>
      <c r="J579" s="43"/>
      <c r="K579" s="25" t="e">
        <f>VLOOKUP(J579,Key!$E$2:$F$9,2,FALSE)</f>
        <v>#N/A</v>
      </c>
      <c r="L579" s="42"/>
      <c r="M579" s="43" t="s">
        <v>154</v>
      </c>
      <c r="N579" s="42" t="s">
        <v>155</v>
      </c>
      <c r="O579" s="43"/>
      <c r="P579" s="43"/>
      <c r="Q579" s="25" t="e">
        <f>VLOOKUP(P579,Key!$E$2:$F$9,2,FALSE)</f>
        <v>#N/A</v>
      </c>
      <c r="R579" s="25" t="e">
        <f t="shared" si="9"/>
        <v>#N/A</v>
      </c>
      <c r="S579" s="58"/>
      <c r="T579" s="58"/>
      <c r="U579" s="43"/>
      <c r="V579" s="43"/>
      <c r="W579" s="58"/>
      <c r="X579" s="58"/>
      <c r="Y579" s="59" t="s">
        <v>156</v>
      </c>
      <c r="Z579" s="60"/>
      <c r="AA579" s="25"/>
      <c r="AB579" s="25"/>
    </row>
    <row r="580" spans="2:28">
      <c r="B580" s="40"/>
      <c r="C580" s="40"/>
      <c r="D580" s="41"/>
      <c r="E580" s="42"/>
      <c r="F580" s="42"/>
      <c r="G580" s="43" t="s">
        <v>154</v>
      </c>
      <c r="H580" s="42" t="s">
        <v>155</v>
      </c>
      <c r="I580" s="43"/>
      <c r="J580" s="43"/>
      <c r="K580" s="25" t="e">
        <f>VLOOKUP(J580,Key!$E$2:$F$9,2,FALSE)</f>
        <v>#N/A</v>
      </c>
      <c r="L580" s="42"/>
      <c r="M580" s="43" t="s">
        <v>154</v>
      </c>
      <c r="N580" s="42" t="s">
        <v>155</v>
      </c>
      <c r="O580" s="43"/>
      <c r="P580" s="43"/>
      <c r="Q580" s="25" t="e">
        <f>VLOOKUP(P580,Key!$E$2:$F$9,2,FALSE)</f>
        <v>#N/A</v>
      </c>
      <c r="R580" s="25" t="e">
        <f t="shared" si="9"/>
        <v>#N/A</v>
      </c>
      <c r="S580" s="58"/>
      <c r="T580" s="58"/>
      <c r="U580" s="43"/>
      <c r="V580" s="43"/>
      <c r="W580" s="58"/>
      <c r="X580" s="58"/>
      <c r="Y580" s="59" t="s">
        <v>156</v>
      </c>
      <c r="Z580" s="60"/>
      <c r="AA580" s="25"/>
      <c r="AB580" s="25"/>
    </row>
    <row r="581" spans="2:28">
      <c r="B581" s="40"/>
      <c r="C581" s="40"/>
      <c r="D581" s="41"/>
      <c r="E581" s="42"/>
      <c r="F581" s="42"/>
      <c r="G581" s="43" t="s">
        <v>154</v>
      </c>
      <c r="H581" s="42" t="s">
        <v>155</v>
      </c>
      <c r="I581" s="43"/>
      <c r="J581" s="43"/>
      <c r="K581" s="25" t="e">
        <f>VLOOKUP(J581,Key!$E$2:$F$9,2,FALSE)</f>
        <v>#N/A</v>
      </c>
      <c r="L581" s="42"/>
      <c r="M581" s="43" t="s">
        <v>154</v>
      </c>
      <c r="N581" s="42" t="s">
        <v>155</v>
      </c>
      <c r="O581" s="43"/>
      <c r="P581" s="43"/>
      <c r="Q581" s="25" t="e">
        <f>VLOOKUP(P581,Key!$E$2:$F$9,2,FALSE)</f>
        <v>#N/A</v>
      </c>
      <c r="R581" s="25" t="e">
        <f t="shared" si="9"/>
        <v>#N/A</v>
      </c>
      <c r="S581" s="58"/>
      <c r="T581" s="58"/>
      <c r="U581" s="43"/>
      <c r="V581" s="43"/>
      <c r="W581" s="58"/>
      <c r="X581" s="58"/>
      <c r="Y581" s="59" t="s">
        <v>156</v>
      </c>
      <c r="Z581" s="60"/>
      <c r="AA581" s="25"/>
      <c r="AB581" s="25"/>
    </row>
    <row r="582" spans="2:28">
      <c r="B582" s="40"/>
      <c r="C582" s="40"/>
      <c r="D582" s="41"/>
      <c r="E582" s="42"/>
      <c r="F582" s="42"/>
      <c r="G582" s="43" t="s">
        <v>154</v>
      </c>
      <c r="H582" s="42" t="s">
        <v>155</v>
      </c>
      <c r="I582" s="43"/>
      <c r="J582" s="43"/>
      <c r="K582" s="25" t="e">
        <f>VLOOKUP(J582,Key!$E$2:$F$9,2,FALSE)</f>
        <v>#N/A</v>
      </c>
      <c r="L582" s="42"/>
      <c r="M582" s="43" t="s">
        <v>154</v>
      </c>
      <c r="N582" s="42" t="s">
        <v>155</v>
      </c>
      <c r="O582" s="43"/>
      <c r="P582" s="43"/>
      <c r="Q582" s="25" t="e">
        <f>VLOOKUP(P582,Key!$E$2:$F$9,2,FALSE)</f>
        <v>#N/A</v>
      </c>
      <c r="R582" s="25" t="e">
        <f t="shared" si="9"/>
        <v>#N/A</v>
      </c>
      <c r="S582" s="58"/>
      <c r="T582" s="58"/>
      <c r="U582" s="43"/>
      <c r="V582" s="43"/>
      <c r="W582" s="58"/>
      <c r="X582" s="58"/>
      <c r="Y582" s="59" t="s">
        <v>156</v>
      </c>
      <c r="Z582" s="60"/>
      <c r="AA582" s="25"/>
      <c r="AB582" s="25"/>
    </row>
    <row r="583" spans="2:28">
      <c r="B583" s="40"/>
      <c r="C583" s="40"/>
      <c r="D583" s="41"/>
      <c r="E583" s="42"/>
      <c r="F583" s="42"/>
      <c r="G583" s="43" t="s">
        <v>154</v>
      </c>
      <c r="H583" s="42" t="s">
        <v>155</v>
      </c>
      <c r="I583" s="43"/>
      <c r="J583" s="43"/>
      <c r="K583" s="25" t="e">
        <f>VLOOKUP(J583,Key!$E$2:$F$9,2,FALSE)</f>
        <v>#N/A</v>
      </c>
      <c r="L583" s="42"/>
      <c r="M583" s="43" t="s">
        <v>154</v>
      </c>
      <c r="N583" s="42" t="s">
        <v>155</v>
      </c>
      <c r="O583" s="43"/>
      <c r="P583" s="43"/>
      <c r="Q583" s="25" t="e">
        <f>VLOOKUP(P583,Key!$E$2:$F$9,2,FALSE)</f>
        <v>#N/A</v>
      </c>
      <c r="R583" s="25" t="e">
        <f t="shared" si="9"/>
        <v>#N/A</v>
      </c>
      <c r="S583" s="58"/>
      <c r="T583" s="58"/>
      <c r="U583" s="43"/>
      <c r="V583" s="43"/>
      <c r="W583" s="58"/>
      <c r="X583" s="58"/>
      <c r="Y583" s="59" t="s">
        <v>156</v>
      </c>
      <c r="Z583" s="60"/>
      <c r="AA583" s="25"/>
      <c r="AB583" s="25"/>
    </row>
    <row r="584" spans="2:28">
      <c r="B584" s="40"/>
      <c r="C584" s="40"/>
      <c r="D584" s="41"/>
      <c r="E584" s="42"/>
      <c r="F584" s="42"/>
      <c r="G584" s="43" t="s">
        <v>154</v>
      </c>
      <c r="H584" s="42" t="s">
        <v>155</v>
      </c>
      <c r="I584" s="43"/>
      <c r="J584" s="43"/>
      <c r="K584" s="25" t="e">
        <f>VLOOKUP(J584,Key!$E$2:$F$9,2,FALSE)</f>
        <v>#N/A</v>
      </c>
      <c r="L584" s="42"/>
      <c r="M584" s="43" t="s">
        <v>154</v>
      </c>
      <c r="N584" s="42" t="s">
        <v>155</v>
      </c>
      <c r="O584" s="43"/>
      <c r="P584" s="43"/>
      <c r="Q584" s="25" t="e">
        <f>VLOOKUP(P584,Key!$E$2:$F$9,2,FALSE)</f>
        <v>#N/A</v>
      </c>
      <c r="R584" s="25" t="e">
        <f t="shared" si="9"/>
        <v>#N/A</v>
      </c>
      <c r="S584" s="58"/>
      <c r="T584" s="58"/>
      <c r="U584" s="43"/>
      <c r="V584" s="43"/>
      <c r="W584" s="58"/>
      <c r="X584" s="58"/>
      <c r="Y584" s="59" t="s">
        <v>156</v>
      </c>
      <c r="Z584" s="60"/>
      <c r="AA584" s="25"/>
      <c r="AB584" s="25"/>
    </row>
    <row r="585" spans="2:28">
      <c r="B585" s="40"/>
      <c r="C585" s="40"/>
      <c r="D585" s="41"/>
      <c r="E585" s="42"/>
      <c r="F585" s="42"/>
      <c r="G585" s="43" t="s">
        <v>154</v>
      </c>
      <c r="H585" s="42" t="s">
        <v>155</v>
      </c>
      <c r="I585" s="43"/>
      <c r="J585" s="43"/>
      <c r="K585" s="25" t="e">
        <f>VLOOKUP(J585,Key!$E$2:$F$9,2,FALSE)</f>
        <v>#N/A</v>
      </c>
      <c r="L585" s="42"/>
      <c r="M585" s="43" t="s">
        <v>154</v>
      </c>
      <c r="N585" s="42" t="s">
        <v>155</v>
      </c>
      <c r="O585" s="43"/>
      <c r="P585" s="43"/>
      <c r="Q585" s="25" t="e">
        <f>VLOOKUP(P585,Key!$E$2:$F$9,2,FALSE)</f>
        <v>#N/A</v>
      </c>
      <c r="R585" s="25" t="e">
        <f t="shared" si="9"/>
        <v>#N/A</v>
      </c>
      <c r="S585" s="58"/>
      <c r="T585" s="58"/>
      <c r="U585" s="43"/>
      <c r="V585" s="43"/>
      <c r="W585" s="58"/>
      <c r="X585" s="58"/>
      <c r="Y585" s="59" t="s">
        <v>156</v>
      </c>
      <c r="Z585" s="60"/>
      <c r="AA585" s="25"/>
      <c r="AB585" s="25"/>
    </row>
    <row r="586" spans="2:28">
      <c r="B586" s="40"/>
      <c r="C586" s="40"/>
      <c r="D586" s="41"/>
      <c r="E586" s="42"/>
      <c r="F586" s="42"/>
      <c r="G586" s="43" t="s">
        <v>154</v>
      </c>
      <c r="H586" s="42" t="s">
        <v>155</v>
      </c>
      <c r="I586" s="43"/>
      <c r="J586" s="43"/>
      <c r="K586" s="25" t="e">
        <f>VLOOKUP(J586,Key!$E$2:$F$9,2,FALSE)</f>
        <v>#N/A</v>
      </c>
      <c r="L586" s="42"/>
      <c r="M586" s="43" t="s">
        <v>154</v>
      </c>
      <c r="N586" s="42" t="s">
        <v>155</v>
      </c>
      <c r="O586" s="43"/>
      <c r="P586" s="43"/>
      <c r="Q586" s="25" t="e">
        <f>VLOOKUP(P586,Key!$E$2:$F$9,2,FALSE)</f>
        <v>#N/A</v>
      </c>
      <c r="R586" s="25" t="e">
        <f t="shared" si="9"/>
        <v>#N/A</v>
      </c>
      <c r="S586" s="58"/>
      <c r="T586" s="58"/>
      <c r="U586" s="43"/>
      <c r="V586" s="43"/>
      <c r="W586" s="58"/>
      <c r="X586" s="58"/>
      <c r="Y586" s="59" t="s">
        <v>156</v>
      </c>
      <c r="Z586" s="60"/>
      <c r="AA586" s="25"/>
      <c r="AB586" s="25"/>
    </row>
    <row r="587" spans="2:28">
      <c r="B587" s="40"/>
      <c r="C587" s="40"/>
      <c r="D587" s="41"/>
      <c r="E587" s="42"/>
      <c r="F587" s="42"/>
      <c r="G587" s="43" t="s">
        <v>154</v>
      </c>
      <c r="H587" s="42" t="s">
        <v>155</v>
      </c>
      <c r="I587" s="43"/>
      <c r="J587" s="43"/>
      <c r="K587" s="25" t="e">
        <f>VLOOKUP(J587,Key!$E$2:$F$9,2,FALSE)</f>
        <v>#N/A</v>
      </c>
      <c r="L587" s="42"/>
      <c r="M587" s="43" t="s">
        <v>154</v>
      </c>
      <c r="N587" s="42" t="s">
        <v>155</v>
      </c>
      <c r="O587" s="43"/>
      <c r="P587" s="43"/>
      <c r="Q587" s="25" t="e">
        <f>VLOOKUP(P587,Key!$E$2:$F$9,2,FALSE)</f>
        <v>#N/A</v>
      </c>
      <c r="R587" s="25" t="e">
        <f t="shared" si="9"/>
        <v>#N/A</v>
      </c>
      <c r="S587" s="58"/>
      <c r="T587" s="58"/>
      <c r="U587" s="43"/>
      <c r="V587" s="43"/>
      <c r="W587" s="58"/>
      <c r="X587" s="58"/>
      <c r="Y587" s="59" t="s">
        <v>156</v>
      </c>
      <c r="Z587" s="60"/>
      <c r="AA587" s="25"/>
      <c r="AB587" s="25"/>
    </row>
    <row r="588" spans="2:28">
      <c r="B588" s="40"/>
      <c r="C588" s="40"/>
      <c r="D588" s="41"/>
      <c r="E588" s="42"/>
      <c r="F588" s="42"/>
      <c r="G588" s="43" t="s">
        <v>154</v>
      </c>
      <c r="H588" s="42" t="s">
        <v>155</v>
      </c>
      <c r="I588" s="43"/>
      <c r="J588" s="43"/>
      <c r="K588" s="25" t="e">
        <f>VLOOKUP(J588,Key!$E$2:$F$9,2,FALSE)</f>
        <v>#N/A</v>
      </c>
      <c r="L588" s="42"/>
      <c r="M588" s="43" t="s">
        <v>154</v>
      </c>
      <c r="N588" s="42" t="s">
        <v>155</v>
      </c>
      <c r="O588" s="43"/>
      <c r="P588" s="43"/>
      <c r="Q588" s="25" t="e">
        <f>VLOOKUP(P588,Key!$E$2:$F$9,2,FALSE)</f>
        <v>#N/A</v>
      </c>
      <c r="R588" s="25" t="e">
        <f t="shared" si="9"/>
        <v>#N/A</v>
      </c>
      <c r="S588" s="58"/>
      <c r="T588" s="58"/>
      <c r="U588" s="43"/>
      <c r="V588" s="43"/>
      <c r="W588" s="58"/>
      <c r="X588" s="58"/>
      <c r="Y588" s="59" t="s">
        <v>156</v>
      </c>
      <c r="Z588" s="60"/>
      <c r="AA588" s="25"/>
      <c r="AB588" s="25"/>
    </row>
    <row r="589" spans="2:28">
      <c r="B589" s="40"/>
      <c r="C589" s="40"/>
      <c r="D589" s="41"/>
      <c r="E589" s="42"/>
      <c r="F589" s="42"/>
      <c r="G589" s="43" t="s">
        <v>154</v>
      </c>
      <c r="H589" s="42" t="s">
        <v>155</v>
      </c>
      <c r="I589" s="43"/>
      <c r="J589" s="43"/>
      <c r="K589" s="25" t="e">
        <f>VLOOKUP(J589,Key!$E$2:$F$9,2,FALSE)</f>
        <v>#N/A</v>
      </c>
      <c r="L589" s="42"/>
      <c r="M589" s="43" t="s">
        <v>154</v>
      </c>
      <c r="N589" s="42" t="s">
        <v>155</v>
      </c>
      <c r="O589" s="43"/>
      <c r="P589" s="43"/>
      <c r="Q589" s="25" t="e">
        <f>VLOOKUP(P589,Key!$E$2:$F$9,2,FALSE)</f>
        <v>#N/A</v>
      </c>
      <c r="R589" s="25" t="e">
        <f t="shared" si="9"/>
        <v>#N/A</v>
      </c>
      <c r="S589" s="58"/>
      <c r="T589" s="58"/>
      <c r="U589" s="43"/>
      <c r="V589" s="43"/>
      <c r="W589" s="58"/>
      <c r="X589" s="58"/>
      <c r="Y589" s="59" t="s">
        <v>156</v>
      </c>
      <c r="Z589" s="60"/>
      <c r="AA589" s="25"/>
      <c r="AB589" s="25"/>
    </row>
    <row r="590" spans="2:28">
      <c r="B590" s="40"/>
      <c r="C590" s="40"/>
      <c r="D590" s="41"/>
      <c r="E590" s="42"/>
      <c r="F590" s="42"/>
      <c r="G590" s="43" t="s">
        <v>154</v>
      </c>
      <c r="H590" s="42" t="s">
        <v>155</v>
      </c>
      <c r="I590" s="43"/>
      <c r="J590" s="43"/>
      <c r="K590" s="25" t="e">
        <f>VLOOKUP(J590,Key!$E$2:$F$9,2,FALSE)</f>
        <v>#N/A</v>
      </c>
      <c r="L590" s="42"/>
      <c r="M590" s="43" t="s">
        <v>154</v>
      </c>
      <c r="N590" s="42" t="s">
        <v>155</v>
      </c>
      <c r="O590" s="43"/>
      <c r="P590" s="43"/>
      <c r="Q590" s="25" t="e">
        <f>VLOOKUP(P590,Key!$E$2:$F$9,2,FALSE)</f>
        <v>#N/A</v>
      </c>
      <c r="R590" s="25" t="e">
        <f t="shared" si="9"/>
        <v>#N/A</v>
      </c>
      <c r="S590" s="58"/>
      <c r="T590" s="58"/>
      <c r="U590" s="43"/>
      <c r="V590" s="43"/>
      <c r="W590" s="58"/>
      <c r="X590" s="58"/>
      <c r="Y590" s="59" t="s">
        <v>156</v>
      </c>
      <c r="Z590" s="60"/>
      <c r="AA590" s="25"/>
      <c r="AB590" s="25"/>
    </row>
    <row r="591" spans="2:28">
      <c r="B591" s="40"/>
      <c r="C591" s="40"/>
      <c r="D591" s="41"/>
      <c r="E591" s="42"/>
      <c r="F591" s="42"/>
      <c r="G591" s="43" t="s">
        <v>154</v>
      </c>
      <c r="H591" s="42" t="s">
        <v>155</v>
      </c>
      <c r="I591" s="43"/>
      <c r="J591" s="43"/>
      <c r="K591" s="25" t="e">
        <f>VLOOKUP(J591,Key!$E$2:$F$9,2,FALSE)</f>
        <v>#N/A</v>
      </c>
      <c r="L591" s="42"/>
      <c r="M591" s="43" t="s">
        <v>154</v>
      </c>
      <c r="N591" s="42" t="s">
        <v>155</v>
      </c>
      <c r="O591" s="43"/>
      <c r="P591" s="43"/>
      <c r="Q591" s="25" t="e">
        <f>VLOOKUP(P591,Key!$E$2:$F$9,2,FALSE)</f>
        <v>#N/A</v>
      </c>
      <c r="R591" s="25" t="e">
        <f t="shared" si="9"/>
        <v>#N/A</v>
      </c>
      <c r="S591" s="58"/>
      <c r="T591" s="58"/>
      <c r="U591" s="43"/>
      <c r="V591" s="43"/>
      <c r="W591" s="58"/>
      <c r="X591" s="58"/>
      <c r="Y591" s="59" t="s">
        <v>156</v>
      </c>
      <c r="Z591" s="60"/>
      <c r="AA591" s="25"/>
      <c r="AB591" s="25"/>
    </row>
    <row r="592" spans="2:28">
      <c r="B592" s="40"/>
      <c r="C592" s="40"/>
      <c r="D592" s="41"/>
      <c r="E592" s="42"/>
      <c r="F592" s="42"/>
      <c r="G592" s="43" t="s">
        <v>154</v>
      </c>
      <c r="H592" s="42" t="s">
        <v>155</v>
      </c>
      <c r="I592" s="43"/>
      <c r="J592" s="43"/>
      <c r="K592" s="25" t="e">
        <f>VLOOKUP(J592,Key!$E$2:$F$9,2,FALSE)</f>
        <v>#N/A</v>
      </c>
      <c r="L592" s="42"/>
      <c r="M592" s="43" t="s">
        <v>154</v>
      </c>
      <c r="N592" s="42" t="s">
        <v>155</v>
      </c>
      <c r="O592" s="43"/>
      <c r="P592" s="43"/>
      <c r="Q592" s="25" t="e">
        <f>VLOOKUP(P592,Key!$E$2:$F$9,2,FALSE)</f>
        <v>#N/A</v>
      </c>
      <c r="R592" s="25" t="e">
        <f t="shared" si="9"/>
        <v>#N/A</v>
      </c>
      <c r="S592" s="58"/>
      <c r="T592" s="58"/>
      <c r="U592" s="43"/>
      <c r="V592" s="43"/>
      <c r="W592" s="58"/>
      <c r="X592" s="58"/>
      <c r="Y592" s="59" t="s">
        <v>156</v>
      </c>
      <c r="Z592" s="60"/>
      <c r="AA592" s="25"/>
      <c r="AB592" s="25"/>
    </row>
    <row r="593" spans="2:28">
      <c r="B593" s="40"/>
      <c r="C593" s="40"/>
      <c r="D593" s="41"/>
      <c r="E593" s="42"/>
      <c r="F593" s="42"/>
      <c r="G593" s="43" t="s">
        <v>154</v>
      </c>
      <c r="H593" s="42" t="s">
        <v>155</v>
      </c>
      <c r="I593" s="43"/>
      <c r="J593" s="43"/>
      <c r="K593" s="25" t="e">
        <f>VLOOKUP(J593,Key!$E$2:$F$9,2,FALSE)</f>
        <v>#N/A</v>
      </c>
      <c r="L593" s="42"/>
      <c r="M593" s="43" t="s">
        <v>154</v>
      </c>
      <c r="N593" s="42" t="s">
        <v>155</v>
      </c>
      <c r="O593" s="43"/>
      <c r="P593" s="43"/>
      <c r="Q593" s="25" t="e">
        <f>VLOOKUP(P593,Key!$E$2:$F$9,2,FALSE)</f>
        <v>#N/A</v>
      </c>
      <c r="R593" s="25" t="e">
        <f t="shared" si="9"/>
        <v>#N/A</v>
      </c>
      <c r="S593" s="58"/>
      <c r="T593" s="58"/>
      <c r="U593" s="43"/>
      <c r="V593" s="43"/>
      <c r="W593" s="58"/>
      <c r="X593" s="58"/>
      <c r="Y593" s="59" t="s">
        <v>156</v>
      </c>
      <c r="Z593" s="60"/>
      <c r="AA593" s="25"/>
      <c r="AB593" s="25"/>
    </row>
    <row r="594" spans="2:28">
      <c r="B594" s="40"/>
      <c r="C594" s="40"/>
      <c r="D594" s="41"/>
      <c r="E594" s="42"/>
      <c r="F594" s="42"/>
      <c r="G594" s="43" t="s">
        <v>154</v>
      </c>
      <c r="H594" s="42" t="s">
        <v>155</v>
      </c>
      <c r="I594" s="43"/>
      <c r="J594" s="43"/>
      <c r="K594" s="25" t="e">
        <f>VLOOKUP(J594,Key!$E$2:$F$9,2,FALSE)</f>
        <v>#N/A</v>
      </c>
      <c r="L594" s="42"/>
      <c r="M594" s="43" t="s">
        <v>154</v>
      </c>
      <c r="N594" s="42" t="s">
        <v>155</v>
      </c>
      <c r="O594" s="43"/>
      <c r="P594" s="43"/>
      <c r="Q594" s="25" t="e">
        <f>VLOOKUP(P594,Key!$E$2:$F$9,2,FALSE)</f>
        <v>#N/A</v>
      </c>
      <c r="R594" s="25" t="e">
        <f t="shared" si="9"/>
        <v>#N/A</v>
      </c>
      <c r="S594" s="58"/>
      <c r="T594" s="58"/>
      <c r="U594" s="43"/>
      <c r="V594" s="43"/>
      <c r="W594" s="58"/>
      <c r="X594" s="58"/>
      <c r="Y594" s="59" t="s">
        <v>156</v>
      </c>
      <c r="Z594" s="60"/>
      <c r="AA594" s="25"/>
      <c r="AB594" s="25"/>
    </row>
    <row r="595" spans="2:28">
      <c r="B595" s="40"/>
      <c r="C595" s="40"/>
      <c r="D595" s="41"/>
      <c r="E595" s="42"/>
      <c r="F595" s="42"/>
      <c r="G595" s="43" t="s">
        <v>154</v>
      </c>
      <c r="H595" s="42" t="s">
        <v>155</v>
      </c>
      <c r="I595" s="43"/>
      <c r="J595" s="43"/>
      <c r="K595" s="25" t="e">
        <f>VLOOKUP(J595,Key!$E$2:$F$9,2,FALSE)</f>
        <v>#N/A</v>
      </c>
      <c r="L595" s="42"/>
      <c r="M595" s="43" t="s">
        <v>154</v>
      </c>
      <c r="N595" s="42" t="s">
        <v>155</v>
      </c>
      <c r="O595" s="43"/>
      <c r="P595" s="43"/>
      <c r="Q595" s="25" t="e">
        <f>VLOOKUP(P595,Key!$E$2:$F$9,2,FALSE)</f>
        <v>#N/A</v>
      </c>
      <c r="R595" s="25" t="e">
        <f t="shared" si="9"/>
        <v>#N/A</v>
      </c>
      <c r="S595" s="58"/>
      <c r="T595" s="58"/>
      <c r="U595" s="43"/>
      <c r="V595" s="43"/>
      <c r="W595" s="58"/>
      <c r="X595" s="58"/>
      <c r="Y595" s="59" t="s">
        <v>156</v>
      </c>
      <c r="Z595" s="60"/>
      <c r="AA595" s="25"/>
      <c r="AB595" s="25"/>
    </row>
    <row r="596" spans="2:28">
      <c r="B596" s="40"/>
      <c r="C596" s="40"/>
      <c r="D596" s="41"/>
      <c r="E596" s="42"/>
      <c r="F596" s="42"/>
      <c r="G596" s="43" t="s">
        <v>154</v>
      </c>
      <c r="H596" s="42" t="s">
        <v>155</v>
      </c>
      <c r="I596" s="43"/>
      <c r="J596" s="43"/>
      <c r="K596" s="25" t="e">
        <f>VLOOKUP(J596,Key!$E$2:$F$9,2,FALSE)</f>
        <v>#N/A</v>
      </c>
      <c r="L596" s="42"/>
      <c r="M596" s="43" t="s">
        <v>154</v>
      </c>
      <c r="N596" s="42" t="s">
        <v>155</v>
      </c>
      <c r="O596" s="43"/>
      <c r="P596" s="43"/>
      <c r="Q596" s="25" t="e">
        <f>VLOOKUP(P596,Key!$E$2:$F$9,2,FALSE)</f>
        <v>#N/A</v>
      </c>
      <c r="R596" s="25" t="e">
        <f t="shared" si="9"/>
        <v>#N/A</v>
      </c>
      <c r="S596" s="58"/>
      <c r="T596" s="58"/>
      <c r="U596" s="43"/>
      <c r="V596" s="43"/>
      <c r="W596" s="58"/>
      <c r="X596" s="58"/>
      <c r="Y596" s="59" t="s">
        <v>156</v>
      </c>
      <c r="Z596" s="60"/>
      <c r="AA596" s="25"/>
      <c r="AB596" s="25"/>
    </row>
    <row r="597" spans="2:28">
      <c r="B597" s="40"/>
      <c r="C597" s="40"/>
      <c r="D597" s="41"/>
      <c r="E597" s="42"/>
      <c r="F597" s="42"/>
      <c r="G597" s="43" t="s">
        <v>154</v>
      </c>
      <c r="H597" s="42" t="s">
        <v>155</v>
      </c>
      <c r="I597" s="43"/>
      <c r="J597" s="43"/>
      <c r="K597" s="25" t="e">
        <f>VLOOKUP(J597,Key!$E$2:$F$9,2,FALSE)</f>
        <v>#N/A</v>
      </c>
      <c r="L597" s="42"/>
      <c r="M597" s="43" t="s">
        <v>154</v>
      </c>
      <c r="N597" s="42" t="s">
        <v>155</v>
      </c>
      <c r="O597" s="43"/>
      <c r="P597" s="43"/>
      <c r="Q597" s="25" t="e">
        <f>VLOOKUP(P597,Key!$E$2:$F$9,2,FALSE)</f>
        <v>#N/A</v>
      </c>
      <c r="R597" s="25" t="e">
        <f t="shared" si="9"/>
        <v>#N/A</v>
      </c>
      <c r="S597" s="58"/>
      <c r="T597" s="58"/>
      <c r="U597" s="43"/>
      <c r="V597" s="43"/>
      <c r="W597" s="58"/>
      <c r="X597" s="58"/>
      <c r="Y597" s="59" t="s">
        <v>156</v>
      </c>
      <c r="Z597" s="60"/>
      <c r="AA597" s="25"/>
      <c r="AB597" s="25"/>
    </row>
    <row r="598" spans="2:28">
      <c r="B598" s="40"/>
      <c r="C598" s="40"/>
      <c r="D598" s="41"/>
      <c r="E598" s="42"/>
      <c r="F598" s="42"/>
      <c r="G598" s="43" t="s">
        <v>154</v>
      </c>
      <c r="H598" s="42" t="s">
        <v>155</v>
      </c>
      <c r="I598" s="43"/>
      <c r="J598" s="43"/>
      <c r="K598" s="25" t="e">
        <f>VLOOKUP(J598,Key!$E$2:$F$9,2,FALSE)</f>
        <v>#N/A</v>
      </c>
      <c r="L598" s="42"/>
      <c r="M598" s="43" t="s">
        <v>154</v>
      </c>
      <c r="N598" s="42" t="s">
        <v>155</v>
      </c>
      <c r="O598" s="43"/>
      <c r="P598" s="43"/>
      <c r="Q598" s="25" t="e">
        <f>VLOOKUP(P598,Key!$E$2:$F$9,2,FALSE)</f>
        <v>#N/A</v>
      </c>
      <c r="R598" s="25" t="e">
        <f t="shared" si="9"/>
        <v>#N/A</v>
      </c>
      <c r="S598" s="58"/>
      <c r="T598" s="58"/>
      <c r="U598" s="43"/>
      <c r="V598" s="43"/>
      <c r="W598" s="58"/>
      <c r="X598" s="58"/>
      <c r="Y598" s="59" t="s">
        <v>156</v>
      </c>
      <c r="Z598" s="60"/>
      <c r="AA598" s="25"/>
      <c r="AB598" s="25"/>
    </row>
    <row r="599" spans="2:28">
      <c r="B599" s="40"/>
      <c r="C599" s="40"/>
      <c r="D599" s="41"/>
      <c r="E599" s="42"/>
      <c r="F599" s="42"/>
      <c r="G599" s="43" t="s">
        <v>154</v>
      </c>
      <c r="H599" s="42" t="s">
        <v>155</v>
      </c>
      <c r="I599" s="43"/>
      <c r="J599" s="43"/>
      <c r="K599" s="25" t="e">
        <f>VLOOKUP(J599,Key!$E$2:$F$9,2,FALSE)</f>
        <v>#N/A</v>
      </c>
      <c r="L599" s="42"/>
      <c r="M599" s="43" t="s">
        <v>154</v>
      </c>
      <c r="N599" s="42" t="s">
        <v>155</v>
      </c>
      <c r="O599" s="43"/>
      <c r="P599" s="43"/>
      <c r="Q599" s="25" t="e">
        <f>VLOOKUP(P599,Key!$E$2:$F$9,2,FALSE)</f>
        <v>#N/A</v>
      </c>
      <c r="R599" s="25" t="e">
        <f t="shared" si="9"/>
        <v>#N/A</v>
      </c>
      <c r="S599" s="58"/>
      <c r="T599" s="58"/>
      <c r="U599" s="43"/>
      <c r="V599" s="43"/>
      <c r="W599" s="58"/>
      <c r="X599" s="58"/>
      <c r="Y599" s="59" t="s">
        <v>156</v>
      </c>
      <c r="Z599" s="60"/>
      <c r="AA599" s="25"/>
      <c r="AB599" s="25"/>
    </row>
    <row r="600" spans="2:28">
      <c r="B600" s="40"/>
      <c r="C600" s="40"/>
      <c r="D600" s="41"/>
      <c r="E600" s="42"/>
      <c r="F600" s="42"/>
      <c r="G600" s="43" t="s">
        <v>154</v>
      </c>
      <c r="H600" s="42" t="s">
        <v>155</v>
      </c>
      <c r="I600" s="43"/>
      <c r="J600" s="43"/>
      <c r="K600" s="25" t="e">
        <f>VLOOKUP(J600,Key!$E$2:$F$9,2,FALSE)</f>
        <v>#N/A</v>
      </c>
      <c r="L600" s="42"/>
      <c r="M600" s="43" t="s">
        <v>154</v>
      </c>
      <c r="N600" s="42" t="s">
        <v>155</v>
      </c>
      <c r="O600" s="43"/>
      <c r="P600" s="43"/>
      <c r="Q600" s="25" t="e">
        <f>VLOOKUP(P600,Key!$E$2:$F$9,2,FALSE)</f>
        <v>#N/A</v>
      </c>
      <c r="R600" s="25" t="e">
        <f t="shared" si="9"/>
        <v>#N/A</v>
      </c>
      <c r="S600" s="58"/>
      <c r="T600" s="58"/>
      <c r="U600" s="43"/>
      <c r="V600" s="43"/>
      <c r="W600" s="58"/>
      <c r="X600" s="58"/>
      <c r="Y600" s="59" t="s">
        <v>156</v>
      </c>
      <c r="Z600" s="60"/>
      <c r="AA600" s="25"/>
      <c r="AB600" s="25"/>
    </row>
    <row r="601" spans="2:28">
      <c r="B601" s="40"/>
      <c r="C601" s="40"/>
      <c r="D601" s="41"/>
      <c r="E601" s="42"/>
      <c r="F601" s="42"/>
      <c r="G601" s="43" t="s">
        <v>154</v>
      </c>
      <c r="H601" s="42" t="s">
        <v>155</v>
      </c>
      <c r="I601" s="43"/>
      <c r="J601" s="43"/>
      <c r="K601" s="25" t="e">
        <f>VLOOKUP(J601,Key!$E$2:$F$9,2,FALSE)</f>
        <v>#N/A</v>
      </c>
      <c r="L601" s="42"/>
      <c r="M601" s="43" t="s">
        <v>154</v>
      </c>
      <c r="N601" s="42" t="s">
        <v>155</v>
      </c>
      <c r="O601" s="43"/>
      <c r="P601" s="43"/>
      <c r="Q601" s="25" t="e">
        <f>VLOOKUP(P601,Key!$E$2:$F$9,2,FALSE)</f>
        <v>#N/A</v>
      </c>
      <c r="R601" s="25" t="e">
        <f t="shared" si="9"/>
        <v>#N/A</v>
      </c>
      <c r="S601" s="58"/>
      <c r="T601" s="58"/>
      <c r="U601" s="43"/>
      <c r="V601" s="43"/>
      <c r="W601" s="58"/>
      <c r="X601" s="58"/>
      <c r="Y601" s="59" t="s">
        <v>156</v>
      </c>
      <c r="Z601" s="60"/>
      <c r="AA601" s="25"/>
      <c r="AB601" s="25"/>
    </row>
    <row r="602" spans="2:28">
      <c r="B602" s="40"/>
      <c r="C602" s="40"/>
      <c r="D602" s="41"/>
      <c r="E602" s="42"/>
      <c r="F602" s="42"/>
      <c r="G602" s="43" t="s">
        <v>154</v>
      </c>
      <c r="H602" s="42" t="s">
        <v>155</v>
      </c>
      <c r="I602" s="43"/>
      <c r="J602" s="43"/>
      <c r="K602" s="25" t="e">
        <f>VLOOKUP(J602,Key!$E$2:$F$9,2,FALSE)</f>
        <v>#N/A</v>
      </c>
      <c r="L602" s="42"/>
      <c r="M602" s="43" t="s">
        <v>154</v>
      </c>
      <c r="N602" s="42" t="s">
        <v>155</v>
      </c>
      <c r="O602" s="43"/>
      <c r="P602" s="43"/>
      <c r="Q602" s="25" t="e">
        <f>VLOOKUP(P602,Key!$E$2:$F$9,2,FALSE)</f>
        <v>#N/A</v>
      </c>
      <c r="R602" s="25" t="e">
        <f t="shared" si="9"/>
        <v>#N/A</v>
      </c>
      <c r="S602" s="58"/>
      <c r="T602" s="58"/>
      <c r="U602" s="43"/>
      <c r="V602" s="43"/>
      <c r="W602" s="58"/>
      <c r="X602" s="58"/>
      <c r="Y602" s="59" t="s">
        <v>156</v>
      </c>
      <c r="Z602" s="60"/>
      <c r="AA602" s="25"/>
      <c r="AB602" s="25"/>
    </row>
    <row r="603" spans="2:28">
      <c r="B603" s="40"/>
      <c r="C603" s="40"/>
      <c r="D603" s="41"/>
      <c r="E603" s="42"/>
      <c r="F603" s="42"/>
      <c r="G603" s="43" t="s">
        <v>154</v>
      </c>
      <c r="H603" s="42" t="s">
        <v>155</v>
      </c>
      <c r="I603" s="43"/>
      <c r="J603" s="43"/>
      <c r="K603" s="25" t="e">
        <f>VLOOKUP(J603,Key!$E$2:$F$9,2,FALSE)</f>
        <v>#N/A</v>
      </c>
      <c r="L603" s="42"/>
      <c r="M603" s="43" t="s">
        <v>154</v>
      </c>
      <c r="N603" s="42" t="s">
        <v>155</v>
      </c>
      <c r="O603" s="43"/>
      <c r="P603" s="43"/>
      <c r="Q603" s="25" t="e">
        <f>VLOOKUP(P603,Key!$E$2:$F$9,2,FALSE)</f>
        <v>#N/A</v>
      </c>
      <c r="R603" s="25" t="e">
        <f t="shared" si="9"/>
        <v>#N/A</v>
      </c>
      <c r="S603" s="58"/>
      <c r="T603" s="58"/>
      <c r="U603" s="43"/>
      <c r="V603" s="43"/>
      <c r="W603" s="58"/>
      <c r="X603" s="58"/>
      <c r="Y603" s="59" t="s">
        <v>156</v>
      </c>
      <c r="Z603" s="60"/>
      <c r="AA603" s="25"/>
      <c r="AB603" s="25"/>
    </row>
    <row r="604" spans="2:28">
      <c r="B604" s="40"/>
      <c r="C604" s="40"/>
      <c r="D604" s="41"/>
      <c r="E604" s="42"/>
      <c r="F604" s="42"/>
      <c r="G604" s="43" t="s">
        <v>154</v>
      </c>
      <c r="H604" s="42" t="s">
        <v>155</v>
      </c>
      <c r="I604" s="43"/>
      <c r="J604" s="43"/>
      <c r="K604" s="25" t="e">
        <f>VLOOKUP(J604,Key!$E$2:$F$9,2,FALSE)</f>
        <v>#N/A</v>
      </c>
      <c r="L604" s="42"/>
      <c r="M604" s="43" t="s">
        <v>154</v>
      </c>
      <c r="N604" s="42" t="s">
        <v>155</v>
      </c>
      <c r="O604" s="43"/>
      <c r="P604" s="43"/>
      <c r="Q604" s="25" t="e">
        <f>VLOOKUP(P604,Key!$E$2:$F$9,2,FALSE)</f>
        <v>#N/A</v>
      </c>
      <c r="R604" s="25" t="e">
        <f t="shared" si="9"/>
        <v>#N/A</v>
      </c>
      <c r="S604" s="58"/>
      <c r="T604" s="58"/>
      <c r="U604" s="43"/>
      <c r="V604" s="43"/>
      <c r="W604" s="58"/>
      <c r="X604" s="58"/>
      <c r="Y604" s="59" t="s">
        <v>156</v>
      </c>
      <c r="Z604" s="60"/>
      <c r="AA604" s="25"/>
      <c r="AB604" s="25"/>
    </row>
    <row r="605" spans="2:28">
      <c r="B605" s="40"/>
      <c r="C605" s="40"/>
      <c r="D605" s="41"/>
      <c r="E605" s="42"/>
      <c r="F605" s="42"/>
      <c r="G605" s="43" t="s">
        <v>154</v>
      </c>
      <c r="H605" s="42" t="s">
        <v>155</v>
      </c>
      <c r="I605" s="43"/>
      <c r="J605" s="43"/>
      <c r="K605" s="25" t="e">
        <f>VLOOKUP(J605,Key!$E$2:$F$9,2,FALSE)</f>
        <v>#N/A</v>
      </c>
      <c r="L605" s="42"/>
      <c r="M605" s="43" t="s">
        <v>154</v>
      </c>
      <c r="N605" s="42" t="s">
        <v>155</v>
      </c>
      <c r="O605" s="43"/>
      <c r="P605" s="43"/>
      <c r="Q605" s="25" t="e">
        <f>VLOOKUP(P605,Key!$E$2:$F$9,2,FALSE)</f>
        <v>#N/A</v>
      </c>
      <c r="R605" s="25" t="e">
        <f t="shared" si="9"/>
        <v>#N/A</v>
      </c>
      <c r="S605" s="58"/>
      <c r="T605" s="58"/>
      <c r="U605" s="43"/>
      <c r="V605" s="43"/>
      <c r="W605" s="58"/>
      <c r="X605" s="58"/>
      <c r="Y605" s="59" t="s">
        <v>156</v>
      </c>
      <c r="Z605" s="60"/>
      <c r="AA605" s="25"/>
      <c r="AB605" s="25"/>
    </row>
    <row r="606" spans="2:28">
      <c r="B606" s="40"/>
      <c r="C606" s="40"/>
      <c r="D606" s="41"/>
      <c r="E606" s="42"/>
      <c r="F606" s="42"/>
      <c r="G606" s="43" t="s">
        <v>154</v>
      </c>
      <c r="H606" s="42" t="s">
        <v>155</v>
      </c>
      <c r="I606" s="43"/>
      <c r="J606" s="43"/>
      <c r="K606" s="25" t="e">
        <f>VLOOKUP(J606,Key!$E$2:$F$9,2,FALSE)</f>
        <v>#N/A</v>
      </c>
      <c r="L606" s="42"/>
      <c r="M606" s="43" t="s">
        <v>154</v>
      </c>
      <c r="N606" s="42" t="s">
        <v>155</v>
      </c>
      <c r="O606" s="43"/>
      <c r="P606" s="43"/>
      <c r="Q606" s="25" t="e">
        <f>VLOOKUP(P606,Key!$E$2:$F$9,2,FALSE)</f>
        <v>#N/A</v>
      </c>
      <c r="R606" s="25" t="e">
        <f t="shared" si="9"/>
        <v>#N/A</v>
      </c>
      <c r="S606" s="58"/>
      <c r="T606" s="58"/>
      <c r="U606" s="43"/>
      <c r="V606" s="43"/>
      <c r="W606" s="58"/>
      <c r="X606" s="58"/>
      <c r="Y606" s="59" t="s">
        <v>156</v>
      </c>
      <c r="Z606" s="60"/>
      <c r="AA606" s="25"/>
      <c r="AB606" s="25"/>
    </row>
    <row r="607" spans="2:28">
      <c r="B607" s="40"/>
      <c r="C607" s="40"/>
      <c r="D607" s="41"/>
      <c r="E607" s="42"/>
      <c r="F607" s="42"/>
      <c r="G607" s="43" t="s">
        <v>154</v>
      </c>
      <c r="H607" s="42" t="s">
        <v>155</v>
      </c>
      <c r="I607" s="43"/>
      <c r="J607" s="43"/>
      <c r="K607" s="25" t="e">
        <f>VLOOKUP(J607,Key!$E$2:$F$9,2,FALSE)</f>
        <v>#N/A</v>
      </c>
      <c r="L607" s="42"/>
      <c r="M607" s="43" t="s">
        <v>154</v>
      </c>
      <c r="N607" s="42" t="s">
        <v>155</v>
      </c>
      <c r="O607" s="43"/>
      <c r="P607" s="43"/>
      <c r="Q607" s="25" t="e">
        <f>VLOOKUP(P607,Key!$E$2:$F$9,2,FALSE)</f>
        <v>#N/A</v>
      </c>
      <c r="R607" s="25" t="e">
        <f t="shared" si="9"/>
        <v>#N/A</v>
      </c>
      <c r="S607" s="58"/>
      <c r="T607" s="58"/>
      <c r="U607" s="43"/>
      <c r="V607" s="43"/>
      <c r="W607" s="58"/>
      <c r="X607" s="58"/>
      <c r="Y607" s="59" t="s">
        <v>156</v>
      </c>
      <c r="Z607" s="60"/>
      <c r="AA607" s="25"/>
      <c r="AB607" s="25"/>
    </row>
    <row r="608" spans="2:28">
      <c r="B608" s="40"/>
      <c r="C608" s="40"/>
      <c r="D608" s="41"/>
      <c r="E608" s="42"/>
      <c r="F608" s="42"/>
      <c r="G608" s="43" t="s">
        <v>154</v>
      </c>
      <c r="H608" s="42" t="s">
        <v>155</v>
      </c>
      <c r="I608" s="43"/>
      <c r="J608" s="43"/>
      <c r="K608" s="25" t="e">
        <f>VLOOKUP(J608,Key!$E$2:$F$9,2,FALSE)</f>
        <v>#N/A</v>
      </c>
      <c r="L608" s="42"/>
      <c r="M608" s="43" t="s">
        <v>154</v>
      </c>
      <c r="N608" s="42" t="s">
        <v>155</v>
      </c>
      <c r="O608" s="43"/>
      <c r="P608" s="43"/>
      <c r="Q608" s="25" t="e">
        <f>VLOOKUP(P608,Key!$E$2:$F$9,2,FALSE)</f>
        <v>#N/A</v>
      </c>
      <c r="R608" s="25" t="e">
        <f t="shared" si="9"/>
        <v>#N/A</v>
      </c>
      <c r="S608" s="58"/>
      <c r="T608" s="58"/>
      <c r="U608" s="43"/>
      <c r="V608" s="43"/>
      <c r="W608" s="58"/>
      <c r="X608" s="58"/>
      <c r="Y608" s="59" t="s">
        <v>156</v>
      </c>
      <c r="Z608" s="60"/>
      <c r="AA608" s="25"/>
      <c r="AB608" s="25"/>
    </row>
    <row r="609" spans="2:28">
      <c r="B609" s="40"/>
      <c r="C609" s="40"/>
      <c r="D609" s="41"/>
      <c r="E609" s="42"/>
      <c r="F609" s="42"/>
      <c r="G609" s="43" t="s">
        <v>154</v>
      </c>
      <c r="H609" s="42" t="s">
        <v>155</v>
      </c>
      <c r="I609" s="43"/>
      <c r="J609" s="43"/>
      <c r="K609" s="25" t="e">
        <f>VLOOKUP(J609,Key!$E$2:$F$9,2,FALSE)</f>
        <v>#N/A</v>
      </c>
      <c r="L609" s="42"/>
      <c r="M609" s="43" t="s">
        <v>154</v>
      </c>
      <c r="N609" s="42" t="s">
        <v>155</v>
      </c>
      <c r="O609" s="43"/>
      <c r="P609" s="43"/>
      <c r="Q609" s="25" t="e">
        <f>VLOOKUP(P609,Key!$E$2:$F$9,2,FALSE)</f>
        <v>#N/A</v>
      </c>
      <c r="R609" s="25" t="e">
        <f t="shared" si="9"/>
        <v>#N/A</v>
      </c>
      <c r="S609" s="58"/>
      <c r="T609" s="58"/>
      <c r="U609" s="43"/>
      <c r="V609" s="43"/>
      <c r="W609" s="58"/>
      <c r="X609" s="58"/>
      <c r="Y609" s="59" t="s">
        <v>156</v>
      </c>
      <c r="Z609" s="60"/>
      <c r="AA609" s="25"/>
      <c r="AB609" s="25"/>
    </row>
    <row r="610" spans="2:28">
      <c r="B610" s="40"/>
      <c r="C610" s="40"/>
      <c r="D610" s="41"/>
      <c r="E610" s="42"/>
      <c r="F610" s="42"/>
      <c r="G610" s="43" t="s">
        <v>154</v>
      </c>
      <c r="H610" s="42" t="s">
        <v>155</v>
      </c>
      <c r="I610" s="43"/>
      <c r="J610" s="43"/>
      <c r="K610" s="25" t="e">
        <f>VLOOKUP(J610,Key!$E$2:$F$9,2,FALSE)</f>
        <v>#N/A</v>
      </c>
      <c r="L610" s="42"/>
      <c r="M610" s="43" t="s">
        <v>154</v>
      </c>
      <c r="N610" s="42" t="s">
        <v>155</v>
      </c>
      <c r="O610" s="43"/>
      <c r="P610" s="43"/>
      <c r="Q610" s="25" t="e">
        <f>VLOOKUP(P610,Key!$E$2:$F$9,2,FALSE)</f>
        <v>#N/A</v>
      </c>
      <c r="R610" s="25" t="e">
        <f t="shared" si="9"/>
        <v>#N/A</v>
      </c>
      <c r="S610" s="58"/>
      <c r="T610" s="58"/>
      <c r="U610" s="43"/>
      <c r="V610" s="43"/>
      <c r="W610" s="58"/>
      <c r="X610" s="58"/>
      <c r="Y610" s="59" t="s">
        <v>156</v>
      </c>
      <c r="Z610" s="60"/>
      <c r="AA610" s="25"/>
      <c r="AB610" s="25"/>
    </row>
    <row r="611" spans="2:28">
      <c r="B611" s="40"/>
      <c r="C611" s="40"/>
      <c r="D611" s="41"/>
      <c r="E611" s="42"/>
      <c r="F611" s="42"/>
      <c r="G611" s="43" t="s">
        <v>154</v>
      </c>
      <c r="H611" s="42" t="s">
        <v>155</v>
      </c>
      <c r="I611" s="43"/>
      <c r="J611" s="43"/>
      <c r="K611" s="25" t="e">
        <f>VLOOKUP(J611,Key!$E$2:$F$9,2,FALSE)</f>
        <v>#N/A</v>
      </c>
      <c r="L611" s="42"/>
      <c r="M611" s="43" t="s">
        <v>154</v>
      </c>
      <c r="N611" s="42" t="s">
        <v>155</v>
      </c>
      <c r="O611" s="43"/>
      <c r="P611" s="43"/>
      <c r="Q611" s="25" t="e">
        <f>VLOOKUP(P611,Key!$E$2:$F$9,2,FALSE)</f>
        <v>#N/A</v>
      </c>
      <c r="R611" s="25" t="e">
        <f t="shared" si="9"/>
        <v>#N/A</v>
      </c>
      <c r="S611" s="58"/>
      <c r="T611" s="58"/>
      <c r="U611" s="43"/>
      <c r="V611" s="43"/>
      <c r="W611" s="58"/>
      <c r="X611" s="58"/>
      <c r="Y611" s="59" t="s">
        <v>156</v>
      </c>
      <c r="Z611" s="60"/>
      <c r="AA611" s="25"/>
      <c r="AB611" s="25"/>
    </row>
    <row r="612" spans="2:28">
      <c r="B612" s="40"/>
      <c r="C612" s="40"/>
      <c r="D612" s="41"/>
      <c r="E612" s="42"/>
      <c r="F612" s="42"/>
      <c r="G612" s="43" t="s">
        <v>154</v>
      </c>
      <c r="H612" s="42" t="s">
        <v>155</v>
      </c>
      <c r="I612" s="43"/>
      <c r="J612" s="43"/>
      <c r="K612" s="25" t="e">
        <f>VLOOKUP(J612,Key!$E$2:$F$9,2,FALSE)</f>
        <v>#N/A</v>
      </c>
      <c r="L612" s="42"/>
      <c r="M612" s="43" t="s">
        <v>154</v>
      </c>
      <c r="N612" s="42" t="s">
        <v>155</v>
      </c>
      <c r="O612" s="43"/>
      <c r="P612" s="43"/>
      <c r="Q612" s="25" t="e">
        <f>VLOOKUP(P612,Key!$E$2:$F$9,2,FALSE)</f>
        <v>#N/A</v>
      </c>
      <c r="R612" s="25" t="e">
        <f t="shared" si="9"/>
        <v>#N/A</v>
      </c>
      <c r="S612" s="58"/>
      <c r="T612" s="58"/>
      <c r="U612" s="43"/>
      <c r="V612" s="43"/>
      <c r="W612" s="58"/>
      <c r="X612" s="58"/>
      <c r="Y612" s="59" t="s">
        <v>156</v>
      </c>
      <c r="Z612" s="60"/>
      <c r="AA612" s="25"/>
      <c r="AB612" s="25"/>
    </row>
    <row r="613" spans="2:28">
      <c r="B613" s="40"/>
      <c r="C613" s="40"/>
      <c r="D613" s="41"/>
      <c r="E613" s="42"/>
      <c r="F613" s="42"/>
      <c r="G613" s="43" t="s">
        <v>154</v>
      </c>
      <c r="H613" s="42" t="s">
        <v>155</v>
      </c>
      <c r="I613" s="43"/>
      <c r="J613" s="43"/>
      <c r="K613" s="25" t="e">
        <f>VLOOKUP(J613,Key!$E$2:$F$9,2,FALSE)</f>
        <v>#N/A</v>
      </c>
      <c r="L613" s="42"/>
      <c r="M613" s="43" t="s">
        <v>154</v>
      </c>
      <c r="N613" s="42" t="s">
        <v>155</v>
      </c>
      <c r="O613" s="43"/>
      <c r="P613" s="43"/>
      <c r="Q613" s="25" t="e">
        <f>VLOOKUP(P613,Key!$E$2:$F$9,2,FALSE)</f>
        <v>#N/A</v>
      </c>
      <c r="R613" s="25" t="e">
        <f t="shared" si="9"/>
        <v>#N/A</v>
      </c>
      <c r="S613" s="58"/>
      <c r="T613" s="58"/>
      <c r="U613" s="43"/>
      <c r="V613" s="43"/>
      <c r="W613" s="58"/>
      <c r="X613" s="58"/>
      <c r="Y613" s="59" t="s">
        <v>156</v>
      </c>
      <c r="Z613" s="60"/>
      <c r="AA613" s="25"/>
      <c r="AB613" s="25"/>
    </row>
    <row r="614" spans="2:28">
      <c r="B614" s="40"/>
      <c r="C614" s="40"/>
      <c r="D614" s="41"/>
      <c r="E614" s="42"/>
      <c r="F614" s="42"/>
      <c r="G614" s="43" t="s">
        <v>154</v>
      </c>
      <c r="H614" s="42" t="s">
        <v>155</v>
      </c>
      <c r="I614" s="43"/>
      <c r="J614" s="43"/>
      <c r="K614" s="25" t="e">
        <f>VLOOKUP(J614,Key!$E$2:$F$9,2,FALSE)</f>
        <v>#N/A</v>
      </c>
      <c r="L614" s="42"/>
      <c r="M614" s="43" t="s">
        <v>154</v>
      </c>
      <c r="N614" s="42" t="s">
        <v>155</v>
      </c>
      <c r="O614" s="43"/>
      <c r="P614" s="43"/>
      <c r="Q614" s="25" t="e">
        <f>VLOOKUP(P614,Key!$E$2:$F$9,2,FALSE)</f>
        <v>#N/A</v>
      </c>
      <c r="R614" s="25" t="e">
        <f t="shared" ref="R614:R677" si="10">K614&amp;"-"&amp;Q614</f>
        <v>#N/A</v>
      </c>
      <c r="S614" s="58"/>
      <c r="T614" s="58"/>
      <c r="U614" s="43"/>
      <c r="V614" s="43"/>
      <c r="W614" s="58"/>
      <c r="X614" s="58"/>
      <c r="Y614" s="59" t="s">
        <v>156</v>
      </c>
      <c r="Z614" s="60"/>
      <c r="AA614" s="25"/>
      <c r="AB614" s="25"/>
    </row>
    <row r="615" spans="2:28">
      <c r="B615" s="40"/>
      <c r="C615" s="40"/>
      <c r="D615" s="41"/>
      <c r="E615" s="42"/>
      <c r="F615" s="42"/>
      <c r="G615" s="43" t="s">
        <v>154</v>
      </c>
      <c r="H615" s="42" t="s">
        <v>155</v>
      </c>
      <c r="I615" s="43"/>
      <c r="J615" s="43"/>
      <c r="K615" s="25" t="e">
        <f>VLOOKUP(J615,Key!$E$2:$F$9,2,FALSE)</f>
        <v>#N/A</v>
      </c>
      <c r="L615" s="42"/>
      <c r="M615" s="43" t="s">
        <v>154</v>
      </c>
      <c r="N615" s="42" t="s">
        <v>155</v>
      </c>
      <c r="O615" s="43"/>
      <c r="P615" s="43"/>
      <c r="Q615" s="25" t="e">
        <f>VLOOKUP(P615,Key!$E$2:$F$9,2,FALSE)</f>
        <v>#N/A</v>
      </c>
      <c r="R615" s="25" t="e">
        <f t="shared" si="10"/>
        <v>#N/A</v>
      </c>
      <c r="S615" s="58"/>
      <c r="T615" s="58"/>
      <c r="U615" s="43"/>
      <c r="V615" s="43"/>
      <c r="W615" s="58"/>
      <c r="X615" s="58"/>
      <c r="Y615" s="59" t="s">
        <v>156</v>
      </c>
      <c r="Z615" s="60"/>
      <c r="AA615" s="25"/>
      <c r="AB615" s="25"/>
    </row>
    <row r="616" spans="2:28">
      <c r="B616" s="40"/>
      <c r="C616" s="40"/>
      <c r="D616" s="41"/>
      <c r="E616" s="42"/>
      <c r="F616" s="42"/>
      <c r="G616" s="43" t="s">
        <v>154</v>
      </c>
      <c r="H616" s="42" t="s">
        <v>155</v>
      </c>
      <c r="I616" s="43"/>
      <c r="J616" s="43"/>
      <c r="K616" s="25" t="e">
        <f>VLOOKUP(J616,Key!$E$2:$F$9,2,FALSE)</f>
        <v>#N/A</v>
      </c>
      <c r="L616" s="42"/>
      <c r="M616" s="43" t="s">
        <v>154</v>
      </c>
      <c r="N616" s="42" t="s">
        <v>155</v>
      </c>
      <c r="O616" s="43"/>
      <c r="P616" s="43"/>
      <c r="Q616" s="25" t="e">
        <f>VLOOKUP(P616,Key!$E$2:$F$9,2,FALSE)</f>
        <v>#N/A</v>
      </c>
      <c r="R616" s="25" t="e">
        <f t="shared" si="10"/>
        <v>#N/A</v>
      </c>
      <c r="S616" s="58"/>
      <c r="T616" s="58"/>
      <c r="U616" s="43"/>
      <c r="V616" s="43"/>
      <c r="W616" s="58"/>
      <c r="X616" s="58"/>
      <c r="Y616" s="59" t="s">
        <v>156</v>
      </c>
      <c r="Z616" s="60"/>
      <c r="AA616" s="25"/>
      <c r="AB616" s="25"/>
    </row>
    <row r="617" spans="2:28">
      <c r="B617" s="40"/>
      <c r="C617" s="40"/>
      <c r="D617" s="41"/>
      <c r="E617" s="42"/>
      <c r="F617" s="42"/>
      <c r="G617" s="43" t="s">
        <v>154</v>
      </c>
      <c r="H617" s="42" t="s">
        <v>155</v>
      </c>
      <c r="I617" s="43"/>
      <c r="J617" s="43"/>
      <c r="K617" s="25" t="e">
        <f>VLOOKUP(J617,Key!$E$2:$F$9,2,FALSE)</f>
        <v>#N/A</v>
      </c>
      <c r="L617" s="42"/>
      <c r="M617" s="43" t="s">
        <v>154</v>
      </c>
      <c r="N617" s="42" t="s">
        <v>155</v>
      </c>
      <c r="O617" s="43"/>
      <c r="P617" s="43"/>
      <c r="Q617" s="25" t="e">
        <f>VLOOKUP(P617,Key!$E$2:$F$9,2,FALSE)</f>
        <v>#N/A</v>
      </c>
      <c r="R617" s="25" t="e">
        <f t="shared" si="10"/>
        <v>#N/A</v>
      </c>
      <c r="S617" s="58"/>
      <c r="T617" s="58"/>
      <c r="U617" s="43"/>
      <c r="V617" s="43"/>
      <c r="W617" s="58"/>
      <c r="X617" s="58"/>
      <c r="Y617" s="59" t="s">
        <v>156</v>
      </c>
      <c r="Z617" s="60"/>
      <c r="AA617" s="25"/>
      <c r="AB617" s="25"/>
    </row>
    <row r="618" spans="2:28">
      <c r="B618" s="40"/>
      <c r="C618" s="40"/>
      <c r="D618" s="41"/>
      <c r="E618" s="42"/>
      <c r="F618" s="42"/>
      <c r="G618" s="43" t="s">
        <v>154</v>
      </c>
      <c r="H618" s="42" t="s">
        <v>155</v>
      </c>
      <c r="I618" s="43"/>
      <c r="J618" s="43"/>
      <c r="K618" s="25" t="e">
        <f>VLOOKUP(J618,Key!$E$2:$F$9,2,FALSE)</f>
        <v>#N/A</v>
      </c>
      <c r="L618" s="42"/>
      <c r="M618" s="43" t="s">
        <v>154</v>
      </c>
      <c r="N618" s="42" t="s">
        <v>155</v>
      </c>
      <c r="O618" s="43"/>
      <c r="P618" s="43"/>
      <c r="Q618" s="25" t="e">
        <f>VLOOKUP(P618,Key!$E$2:$F$9,2,FALSE)</f>
        <v>#N/A</v>
      </c>
      <c r="R618" s="25" t="e">
        <f t="shared" si="10"/>
        <v>#N/A</v>
      </c>
      <c r="S618" s="58"/>
      <c r="T618" s="58"/>
      <c r="U618" s="43"/>
      <c r="V618" s="43"/>
      <c r="W618" s="58"/>
      <c r="X618" s="58"/>
      <c r="Y618" s="59" t="s">
        <v>156</v>
      </c>
      <c r="Z618" s="60"/>
      <c r="AA618" s="25"/>
      <c r="AB618" s="25"/>
    </row>
    <row r="619" spans="2:28">
      <c r="B619" s="40"/>
      <c r="C619" s="40"/>
      <c r="D619" s="41"/>
      <c r="E619" s="42"/>
      <c r="F619" s="42"/>
      <c r="G619" s="43" t="s">
        <v>154</v>
      </c>
      <c r="H619" s="42" t="s">
        <v>155</v>
      </c>
      <c r="I619" s="43"/>
      <c r="J619" s="43"/>
      <c r="K619" s="25" t="e">
        <f>VLOOKUP(J619,Key!$E$2:$F$9,2,FALSE)</f>
        <v>#N/A</v>
      </c>
      <c r="L619" s="42"/>
      <c r="M619" s="43" t="s">
        <v>154</v>
      </c>
      <c r="N619" s="42" t="s">
        <v>155</v>
      </c>
      <c r="O619" s="43"/>
      <c r="P619" s="43"/>
      <c r="Q619" s="25" t="e">
        <f>VLOOKUP(P619,Key!$E$2:$F$9,2,FALSE)</f>
        <v>#N/A</v>
      </c>
      <c r="R619" s="25" t="e">
        <f t="shared" si="10"/>
        <v>#N/A</v>
      </c>
      <c r="S619" s="58"/>
      <c r="T619" s="58"/>
      <c r="U619" s="43"/>
      <c r="V619" s="43"/>
      <c r="W619" s="58"/>
      <c r="X619" s="58"/>
      <c r="Y619" s="59" t="s">
        <v>156</v>
      </c>
      <c r="Z619" s="60"/>
      <c r="AA619" s="25"/>
      <c r="AB619" s="25"/>
    </row>
    <row r="620" spans="2:28">
      <c r="B620" s="40"/>
      <c r="C620" s="40"/>
      <c r="D620" s="41"/>
      <c r="E620" s="42"/>
      <c r="F620" s="42"/>
      <c r="G620" s="43" t="s">
        <v>154</v>
      </c>
      <c r="H620" s="42" t="s">
        <v>155</v>
      </c>
      <c r="I620" s="43"/>
      <c r="J620" s="43"/>
      <c r="K620" s="25" t="e">
        <f>VLOOKUP(J620,Key!$E$2:$F$9,2,FALSE)</f>
        <v>#N/A</v>
      </c>
      <c r="L620" s="42"/>
      <c r="M620" s="43" t="s">
        <v>154</v>
      </c>
      <c r="N620" s="42" t="s">
        <v>155</v>
      </c>
      <c r="O620" s="43"/>
      <c r="P620" s="43"/>
      <c r="Q620" s="25" t="e">
        <f>VLOOKUP(P620,Key!$E$2:$F$9,2,FALSE)</f>
        <v>#N/A</v>
      </c>
      <c r="R620" s="25" t="e">
        <f t="shared" si="10"/>
        <v>#N/A</v>
      </c>
      <c r="S620" s="58"/>
      <c r="T620" s="58"/>
      <c r="U620" s="43"/>
      <c r="V620" s="43"/>
      <c r="W620" s="58"/>
      <c r="X620" s="58"/>
      <c r="Y620" s="59" t="s">
        <v>156</v>
      </c>
      <c r="Z620" s="60"/>
      <c r="AA620" s="25"/>
      <c r="AB620" s="25"/>
    </row>
    <row r="621" spans="2:28">
      <c r="B621" s="40"/>
      <c r="C621" s="40"/>
      <c r="D621" s="41"/>
      <c r="E621" s="42"/>
      <c r="F621" s="42"/>
      <c r="G621" s="43" t="s">
        <v>154</v>
      </c>
      <c r="H621" s="42" t="s">
        <v>155</v>
      </c>
      <c r="I621" s="43"/>
      <c r="J621" s="43"/>
      <c r="K621" s="25" t="e">
        <f>VLOOKUP(J621,Key!$E$2:$F$9,2,FALSE)</f>
        <v>#N/A</v>
      </c>
      <c r="L621" s="42"/>
      <c r="M621" s="43" t="s">
        <v>154</v>
      </c>
      <c r="N621" s="42" t="s">
        <v>155</v>
      </c>
      <c r="O621" s="43"/>
      <c r="P621" s="43"/>
      <c r="Q621" s="25" t="e">
        <f>VLOOKUP(P621,Key!$E$2:$F$9,2,FALSE)</f>
        <v>#N/A</v>
      </c>
      <c r="R621" s="25" t="e">
        <f t="shared" si="10"/>
        <v>#N/A</v>
      </c>
      <c r="S621" s="58"/>
      <c r="T621" s="58"/>
      <c r="U621" s="43"/>
      <c r="V621" s="43"/>
      <c r="W621" s="58"/>
      <c r="X621" s="58"/>
      <c r="Y621" s="59" t="s">
        <v>156</v>
      </c>
      <c r="Z621" s="60"/>
      <c r="AA621" s="25"/>
      <c r="AB621" s="25"/>
    </row>
    <row r="622" spans="2:28">
      <c r="B622" s="40"/>
      <c r="C622" s="40"/>
      <c r="D622" s="41"/>
      <c r="E622" s="42"/>
      <c r="F622" s="42"/>
      <c r="G622" s="43" t="s">
        <v>154</v>
      </c>
      <c r="H622" s="42" t="s">
        <v>155</v>
      </c>
      <c r="I622" s="43"/>
      <c r="J622" s="43"/>
      <c r="K622" s="25" t="e">
        <f>VLOOKUP(J622,Key!$E$2:$F$9,2,FALSE)</f>
        <v>#N/A</v>
      </c>
      <c r="L622" s="42"/>
      <c r="M622" s="43" t="s">
        <v>154</v>
      </c>
      <c r="N622" s="42" t="s">
        <v>155</v>
      </c>
      <c r="O622" s="43"/>
      <c r="P622" s="43"/>
      <c r="Q622" s="25" t="e">
        <f>VLOOKUP(P622,Key!$E$2:$F$9,2,FALSE)</f>
        <v>#N/A</v>
      </c>
      <c r="R622" s="25" t="e">
        <f t="shared" si="10"/>
        <v>#N/A</v>
      </c>
      <c r="S622" s="58"/>
      <c r="T622" s="58"/>
      <c r="U622" s="43"/>
      <c r="V622" s="43"/>
      <c r="W622" s="58"/>
      <c r="X622" s="58"/>
      <c r="Y622" s="59" t="s">
        <v>156</v>
      </c>
      <c r="Z622" s="60"/>
      <c r="AA622" s="25"/>
      <c r="AB622" s="25"/>
    </row>
    <row r="623" spans="2:28">
      <c r="B623" s="40"/>
      <c r="C623" s="40"/>
      <c r="D623" s="41"/>
      <c r="E623" s="42"/>
      <c r="F623" s="42"/>
      <c r="G623" s="43" t="s">
        <v>154</v>
      </c>
      <c r="H623" s="42" t="s">
        <v>155</v>
      </c>
      <c r="I623" s="43"/>
      <c r="J623" s="43"/>
      <c r="K623" s="25" t="e">
        <f>VLOOKUP(J623,Key!$E$2:$F$9,2,FALSE)</f>
        <v>#N/A</v>
      </c>
      <c r="L623" s="42"/>
      <c r="M623" s="43" t="s">
        <v>154</v>
      </c>
      <c r="N623" s="42" t="s">
        <v>155</v>
      </c>
      <c r="O623" s="43"/>
      <c r="P623" s="43"/>
      <c r="Q623" s="25" t="e">
        <f>VLOOKUP(P623,Key!$E$2:$F$9,2,FALSE)</f>
        <v>#N/A</v>
      </c>
      <c r="R623" s="25" t="e">
        <f t="shared" si="10"/>
        <v>#N/A</v>
      </c>
      <c r="S623" s="58"/>
      <c r="T623" s="58"/>
      <c r="U623" s="43"/>
      <c r="V623" s="43"/>
      <c r="W623" s="58"/>
      <c r="X623" s="58"/>
      <c r="Y623" s="59" t="s">
        <v>156</v>
      </c>
      <c r="Z623" s="60"/>
      <c r="AA623" s="25"/>
      <c r="AB623" s="25"/>
    </row>
    <row r="624" spans="2:28">
      <c r="B624" s="40"/>
      <c r="C624" s="40"/>
      <c r="D624" s="41"/>
      <c r="E624" s="42"/>
      <c r="F624" s="42"/>
      <c r="G624" s="43" t="s">
        <v>154</v>
      </c>
      <c r="H624" s="42" t="s">
        <v>155</v>
      </c>
      <c r="I624" s="43"/>
      <c r="J624" s="43"/>
      <c r="K624" s="25" t="e">
        <f>VLOOKUP(J624,Key!$E$2:$F$9,2,FALSE)</f>
        <v>#N/A</v>
      </c>
      <c r="L624" s="42"/>
      <c r="M624" s="43" t="s">
        <v>154</v>
      </c>
      <c r="N624" s="42" t="s">
        <v>155</v>
      </c>
      <c r="O624" s="43"/>
      <c r="P624" s="43"/>
      <c r="Q624" s="25" t="e">
        <f>VLOOKUP(P624,Key!$E$2:$F$9,2,FALSE)</f>
        <v>#N/A</v>
      </c>
      <c r="R624" s="25" t="e">
        <f t="shared" si="10"/>
        <v>#N/A</v>
      </c>
      <c r="S624" s="58"/>
      <c r="T624" s="58"/>
      <c r="U624" s="43"/>
      <c r="V624" s="43"/>
      <c r="W624" s="58"/>
      <c r="X624" s="58"/>
      <c r="Y624" s="59" t="s">
        <v>156</v>
      </c>
      <c r="Z624" s="60"/>
      <c r="AA624" s="25"/>
      <c r="AB624" s="25"/>
    </row>
    <row r="625" spans="2:28">
      <c r="B625" s="40"/>
      <c r="C625" s="40"/>
      <c r="D625" s="41"/>
      <c r="E625" s="42"/>
      <c r="F625" s="42"/>
      <c r="G625" s="43" t="s">
        <v>154</v>
      </c>
      <c r="H625" s="42" t="s">
        <v>155</v>
      </c>
      <c r="I625" s="43"/>
      <c r="J625" s="43"/>
      <c r="K625" s="25" t="e">
        <f>VLOOKUP(J625,Key!$E$2:$F$9,2,FALSE)</f>
        <v>#N/A</v>
      </c>
      <c r="L625" s="42"/>
      <c r="M625" s="43" t="s">
        <v>154</v>
      </c>
      <c r="N625" s="42" t="s">
        <v>155</v>
      </c>
      <c r="O625" s="43"/>
      <c r="P625" s="43"/>
      <c r="Q625" s="25" t="e">
        <f>VLOOKUP(P625,Key!$E$2:$F$9,2,FALSE)</f>
        <v>#N/A</v>
      </c>
      <c r="R625" s="25" t="e">
        <f t="shared" si="10"/>
        <v>#N/A</v>
      </c>
      <c r="S625" s="58"/>
      <c r="T625" s="58"/>
      <c r="U625" s="43"/>
      <c r="V625" s="43"/>
      <c r="W625" s="58"/>
      <c r="X625" s="58"/>
      <c r="Y625" s="59" t="s">
        <v>156</v>
      </c>
      <c r="Z625" s="60"/>
      <c r="AA625" s="25"/>
      <c r="AB625" s="25"/>
    </row>
    <row r="626" spans="2:28">
      <c r="B626" s="40"/>
      <c r="C626" s="40"/>
      <c r="D626" s="41"/>
      <c r="E626" s="42"/>
      <c r="F626" s="42"/>
      <c r="G626" s="43" t="s">
        <v>154</v>
      </c>
      <c r="H626" s="42" t="s">
        <v>155</v>
      </c>
      <c r="I626" s="43"/>
      <c r="J626" s="43"/>
      <c r="K626" s="25" t="e">
        <f>VLOOKUP(J626,Key!$E$2:$F$9,2,FALSE)</f>
        <v>#N/A</v>
      </c>
      <c r="L626" s="42"/>
      <c r="M626" s="43" t="s">
        <v>154</v>
      </c>
      <c r="N626" s="42" t="s">
        <v>155</v>
      </c>
      <c r="O626" s="43"/>
      <c r="P626" s="43"/>
      <c r="Q626" s="25" t="e">
        <f>VLOOKUP(P626,Key!$E$2:$F$9,2,FALSE)</f>
        <v>#N/A</v>
      </c>
      <c r="R626" s="25" t="e">
        <f t="shared" si="10"/>
        <v>#N/A</v>
      </c>
      <c r="S626" s="58"/>
      <c r="T626" s="58"/>
      <c r="U626" s="43"/>
      <c r="V626" s="43"/>
      <c r="W626" s="58"/>
      <c r="X626" s="58"/>
      <c r="Y626" s="59" t="s">
        <v>156</v>
      </c>
      <c r="Z626" s="60"/>
      <c r="AA626" s="25"/>
      <c r="AB626" s="25"/>
    </row>
    <row r="627" spans="2:28">
      <c r="B627" s="40"/>
      <c r="C627" s="40"/>
      <c r="D627" s="41"/>
      <c r="E627" s="42"/>
      <c r="F627" s="42"/>
      <c r="G627" s="43" t="s">
        <v>154</v>
      </c>
      <c r="H627" s="42" t="s">
        <v>155</v>
      </c>
      <c r="I627" s="43"/>
      <c r="J627" s="43"/>
      <c r="K627" s="25" t="e">
        <f>VLOOKUP(J627,Key!$E$2:$F$9,2,FALSE)</f>
        <v>#N/A</v>
      </c>
      <c r="L627" s="42"/>
      <c r="M627" s="43" t="s">
        <v>154</v>
      </c>
      <c r="N627" s="42" t="s">
        <v>155</v>
      </c>
      <c r="O627" s="43"/>
      <c r="P627" s="43"/>
      <c r="Q627" s="25" t="e">
        <f>VLOOKUP(P627,Key!$E$2:$F$9,2,FALSE)</f>
        <v>#N/A</v>
      </c>
      <c r="R627" s="25" t="e">
        <f t="shared" si="10"/>
        <v>#N/A</v>
      </c>
      <c r="S627" s="58"/>
      <c r="T627" s="58"/>
      <c r="U627" s="43"/>
      <c r="V627" s="43"/>
      <c r="W627" s="58"/>
      <c r="X627" s="58"/>
      <c r="Y627" s="59" t="s">
        <v>156</v>
      </c>
      <c r="Z627" s="60"/>
      <c r="AA627" s="25"/>
      <c r="AB627" s="25"/>
    </row>
    <row r="628" spans="2:28">
      <c r="B628" s="40"/>
      <c r="C628" s="40"/>
      <c r="D628" s="41"/>
      <c r="E628" s="42"/>
      <c r="F628" s="42"/>
      <c r="G628" s="43" t="s">
        <v>154</v>
      </c>
      <c r="H628" s="42" t="s">
        <v>155</v>
      </c>
      <c r="I628" s="43"/>
      <c r="J628" s="43"/>
      <c r="K628" s="25" t="e">
        <f>VLOOKUP(J628,Key!$E$2:$F$9,2,FALSE)</f>
        <v>#N/A</v>
      </c>
      <c r="L628" s="42"/>
      <c r="M628" s="43" t="s">
        <v>154</v>
      </c>
      <c r="N628" s="42" t="s">
        <v>155</v>
      </c>
      <c r="O628" s="43"/>
      <c r="P628" s="43"/>
      <c r="Q628" s="25" t="e">
        <f>VLOOKUP(P628,Key!$E$2:$F$9,2,FALSE)</f>
        <v>#N/A</v>
      </c>
      <c r="R628" s="25" t="e">
        <f t="shared" si="10"/>
        <v>#N/A</v>
      </c>
      <c r="S628" s="58"/>
      <c r="T628" s="58"/>
      <c r="U628" s="43"/>
      <c r="V628" s="43"/>
      <c r="W628" s="58"/>
      <c r="X628" s="58"/>
      <c r="Y628" s="59" t="s">
        <v>156</v>
      </c>
      <c r="Z628" s="60"/>
      <c r="AA628" s="25"/>
      <c r="AB628" s="25"/>
    </row>
    <row r="629" spans="2:28">
      <c r="B629" s="40"/>
      <c r="C629" s="40"/>
      <c r="D629" s="41"/>
      <c r="E629" s="42"/>
      <c r="F629" s="42"/>
      <c r="G629" s="43" t="s">
        <v>154</v>
      </c>
      <c r="H629" s="42" t="s">
        <v>155</v>
      </c>
      <c r="I629" s="43"/>
      <c r="J629" s="43"/>
      <c r="K629" s="25" t="e">
        <f>VLOOKUP(J629,Key!$E$2:$F$9,2,FALSE)</f>
        <v>#N/A</v>
      </c>
      <c r="L629" s="42"/>
      <c r="M629" s="43" t="s">
        <v>154</v>
      </c>
      <c r="N629" s="42" t="s">
        <v>155</v>
      </c>
      <c r="O629" s="43"/>
      <c r="P629" s="43"/>
      <c r="Q629" s="25" t="e">
        <f>VLOOKUP(P629,Key!$E$2:$F$9,2,FALSE)</f>
        <v>#N/A</v>
      </c>
      <c r="R629" s="25" t="e">
        <f t="shared" si="10"/>
        <v>#N/A</v>
      </c>
      <c r="S629" s="58"/>
      <c r="T629" s="58"/>
      <c r="U629" s="43"/>
      <c r="V629" s="43"/>
      <c r="W629" s="58"/>
      <c r="X629" s="58"/>
      <c r="Y629" s="59" t="s">
        <v>156</v>
      </c>
      <c r="Z629" s="60"/>
      <c r="AA629" s="25"/>
      <c r="AB629" s="25"/>
    </row>
    <row r="630" spans="2:28">
      <c r="B630" s="40"/>
      <c r="C630" s="40"/>
      <c r="D630" s="41"/>
      <c r="E630" s="42"/>
      <c r="F630" s="42"/>
      <c r="G630" s="43" t="s">
        <v>154</v>
      </c>
      <c r="H630" s="42" t="s">
        <v>155</v>
      </c>
      <c r="I630" s="43"/>
      <c r="J630" s="43"/>
      <c r="K630" s="25" t="e">
        <f>VLOOKUP(J630,Key!$E$2:$F$9,2,FALSE)</f>
        <v>#N/A</v>
      </c>
      <c r="L630" s="42"/>
      <c r="M630" s="43" t="s">
        <v>154</v>
      </c>
      <c r="N630" s="42" t="s">
        <v>155</v>
      </c>
      <c r="O630" s="43"/>
      <c r="P630" s="43"/>
      <c r="Q630" s="25" t="e">
        <f>VLOOKUP(P630,Key!$E$2:$F$9,2,FALSE)</f>
        <v>#N/A</v>
      </c>
      <c r="R630" s="25" t="e">
        <f t="shared" si="10"/>
        <v>#N/A</v>
      </c>
      <c r="S630" s="58"/>
      <c r="T630" s="58"/>
      <c r="U630" s="43"/>
      <c r="V630" s="43"/>
      <c r="W630" s="58"/>
      <c r="X630" s="58"/>
      <c r="Y630" s="59" t="s">
        <v>156</v>
      </c>
      <c r="Z630" s="60"/>
      <c r="AA630" s="25"/>
      <c r="AB630" s="25"/>
    </row>
    <row r="631" spans="2:28">
      <c r="B631" s="40"/>
      <c r="C631" s="40"/>
      <c r="D631" s="41"/>
      <c r="E631" s="42"/>
      <c r="F631" s="42"/>
      <c r="G631" s="43" t="s">
        <v>154</v>
      </c>
      <c r="H631" s="42" t="s">
        <v>155</v>
      </c>
      <c r="I631" s="43"/>
      <c r="J631" s="43"/>
      <c r="K631" s="25" t="e">
        <f>VLOOKUP(J631,Key!$E$2:$F$9,2,FALSE)</f>
        <v>#N/A</v>
      </c>
      <c r="L631" s="42"/>
      <c r="M631" s="43" t="s">
        <v>154</v>
      </c>
      <c r="N631" s="42" t="s">
        <v>155</v>
      </c>
      <c r="O631" s="43"/>
      <c r="P631" s="43"/>
      <c r="Q631" s="25" t="e">
        <f>VLOOKUP(P631,Key!$E$2:$F$9,2,FALSE)</f>
        <v>#N/A</v>
      </c>
      <c r="R631" s="25" t="e">
        <f t="shared" si="10"/>
        <v>#N/A</v>
      </c>
      <c r="S631" s="58"/>
      <c r="T631" s="58"/>
      <c r="U631" s="43"/>
      <c r="V631" s="43"/>
      <c r="W631" s="58"/>
      <c r="X631" s="58"/>
      <c r="Y631" s="59" t="s">
        <v>156</v>
      </c>
      <c r="Z631" s="60"/>
      <c r="AA631" s="25"/>
      <c r="AB631" s="25"/>
    </row>
    <row r="632" spans="2:28">
      <c r="B632" s="40"/>
      <c r="C632" s="40"/>
      <c r="D632" s="41"/>
      <c r="E632" s="42"/>
      <c r="F632" s="42"/>
      <c r="G632" s="43" t="s">
        <v>154</v>
      </c>
      <c r="H632" s="42" t="s">
        <v>155</v>
      </c>
      <c r="I632" s="43"/>
      <c r="J632" s="43"/>
      <c r="K632" s="25" t="e">
        <f>VLOOKUP(J632,Key!$E$2:$F$9,2,FALSE)</f>
        <v>#N/A</v>
      </c>
      <c r="L632" s="42"/>
      <c r="M632" s="43" t="s">
        <v>154</v>
      </c>
      <c r="N632" s="42" t="s">
        <v>155</v>
      </c>
      <c r="O632" s="43"/>
      <c r="P632" s="43"/>
      <c r="Q632" s="25" t="e">
        <f>VLOOKUP(P632,Key!$E$2:$F$9,2,FALSE)</f>
        <v>#N/A</v>
      </c>
      <c r="R632" s="25" t="e">
        <f t="shared" si="10"/>
        <v>#N/A</v>
      </c>
      <c r="S632" s="58"/>
      <c r="T632" s="58"/>
      <c r="U632" s="43"/>
      <c r="V632" s="43"/>
      <c r="W632" s="58"/>
      <c r="X632" s="58"/>
      <c r="Y632" s="59" t="s">
        <v>156</v>
      </c>
      <c r="Z632" s="60"/>
      <c r="AA632" s="25"/>
      <c r="AB632" s="25"/>
    </row>
    <row r="633" spans="2:28">
      <c r="B633" s="40"/>
      <c r="C633" s="40"/>
      <c r="D633" s="41"/>
      <c r="E633" s="42"/>
      <c r="F633" s="42"/>
      <c r="G633" s="43" t="s">
        <v>154</v>
      </c>
      <c r="H633" s="42" t="s">
        <v>155</v>
      </c>
      <c r="I633" s="43"/>
      <c r="J633" s="43"/>
      <c r="K633" s="25" t="e">
        <f>VLOOKUP(J633,Key!$E$2:$F$9,2,FALSE)</f>
        <v>#N/A</v>
      </c>
      <c r="L633" s="42"/>
      <c r="M633" s="43" t="s">
        <v>154</v>
      </c>
      <c r="N633" s="42" t="s">
        <v>155</v>
      </c>
      <c r="O633" s="43"/>
      <c r="P633" s="43"/>
      <c r="Q633" s="25" t="e">
        <f>VLOOKUP(P633,Key!$E$2:$F$9,2,FALSE)</f>
        <v>#N/A</v>
      </c>
      <c r="R633" s="25" t="e">
        <f t="shared" si="10"/>
        <v>#N/A</v>
      </c>
      <c r="S633" s="58"/>
      <c r="T633" s="58"/>
      <c r="U633" s="43"/>
      <c r="V633" s="43"/>
      <c r="W633" s="58"/>
      <c r="X633" s="58"/>
      <c r="Y633" s="59" t="s">
        <v>156</v>
      </c>
      <c r="Z633" s="60"/>
      <c r="AA633" s="25"/>
      <c r="AB633" s="25"/>
    </row>
    <row r="634" spans="2:28">
      <c r="B634" s="40"/>
      <c r="C634" s="40"/>
      <c r="D634" s="41"/>
      <c r="E634" s="42"/>
      <c r="F634" s="42"/>
      <c r="G634" s="43" t="s">
        <v>154</v>
      </c>
      <c r="H634" s="42" t="s">
        <v>155</v>
      </c>
      <c r="I634" s="43"/>
      <c r="J634" s="43"/>
      <c r="K634" s="25" t="e">
        <f>VLOOKUP(J634,Key!$E$2:$F$9,2,FALSE)</f>
        <v>#N/A</v>
      </c>
      <c r="L634" s="42"/>
      <c r="M634" s="43" t="s">
        <v>154</v>
      </c>
      <c r="N634" s="42" t="s">
        <v>155</v>
      </c>
      <c r="O634" s="43"/>
      <c r="P634" s="43"/>
      <c r="Q634" s="25" t="e">
        <f>VLOOKUP(P634,Key!$E$2:$F$9,2,FALSE)</f>
        <v>#N/A</v>
      </c>
      <c r="R634" s="25" t="e">
        <f t="shared" si="10"/>
        <v>#N/A</v>
      </c>
      <c r="S634" s="58"/>
      <c r="T634" s="58"/>
      <c r="U634" s="43"/>
      <c r="V634" s="43"/>
      <c r="W634" s="58"/>
      <c r="X634" s="58"/>
      <c r="Y634" s="59" t="s">
        <v>156</v>
      </c>
      <c r="Z634" s="60"/>
      <c r="AA634" s="25"/>
      <c r="AB634" s="25"/>
    </row>
    <row r="635" spans="2:28">
      <c r="B635" s="40"/>
      <c r="C635" s="40"/>
      <c r="D635" s="41"/>
      <c r="E635" s="42"/>
      <c r="F635" s="42"/>
      <c r="G635" s="43" t="s">
        <v>154</v>
      </c>
      <c r="H635" s="42" t="s">
        <v>155</v>
      </c>
      <c r="I635" s="43"/>
      <c r="J635" s="43"/>
      <c r="K635" s="25" t="e">
        <f>VLOOKUP(J635,Key!$E$2:$F$9,2,FALSE)</f>
        <v>#N/A</v>
      </c>
      <c r="L635" s="42"/>
      <c r="M635" s="43" t="s">
        <v>154</v>
      </c>
      <c r="N635" s="42" t="s">
        <v>155</v>
      </c>
      <c r="O635" s="43"/>
      <c r="P635" s="43"/>
      <c r="Q635" s="25" t="e">
        <f>VLOOKUP(P635,Key!$E$2:$F$9,2,FALSE)</f>
        <v>#N/A</v>
      </c>
      <c r="R635" s="25" t="e">
        <f t="shared" si="10"/>
        <v>#N/A</v>
      </c>
      <c r="S635" s="58"/>
      <c r="T635" s="58"/>
      <c r="U635" s="43"/>
      <c r="V635" s="43"/>
      <c r="W635" s="58"/>
      <c r="X635" s="58"/>
      <c r="Y635" s="59" t="s">
        <v>156</v>
      </c>
      <c r="Z635" s="60"/>
      <c r="AA635" s="25"/>
      <c r="AB635" s="25"/>
    </row>
    <row r="636" spans="2:28">
      <c r="B636" s="40"/>
      <c r="C636" s="40"/>
      <c r="D636" s="41"/>
      <c r="E636" s="42"/>
      <c r="F636" s="42"/>
      <c r="G636" s="43" t="s">
        <v>154</v>
      </c>
      <c r="H636" s="42" t="s">
        <v>155</v>
      </c>
      <c r="I636" s="43"/>
      <c r="J636" s="43"/>
      <c r="K636" s="25" t="e">
        <f>VLOOKUP(J636,Key!$E$2:$F$9,2,FALSE)</f>
        <v>#N/A</v>
      </c>
      <c r="L636" s="42"/>
      <c r="M636" s="43" t="s">
        <v>154</v>
      </c>
      <c r="N636" s="42" t="s">
        <v>155</v>
      </c>
      <c r="O636" s="43"/>
      <c r="P636" s="43"/>
      <c r="Q636" s="25" t="e">
        <f>VLOOKUP(P636,Key!$E$2:$F$9,2,FALSE)</f>
        <v>#N/A</v>
      </c>
      <c r="R636" s="25" t="e">
        <f t="shared" si="10"/>
        <v>#N/A</v>
      </c>
      <c r="S636" s="58"/>
      <c r="T636" s="58"/>
      <c r="U636" s="43"/>
      <c r="V636" s="43"/>
      <c r="W636" s="58"/>
      <c r="X636" s="58"/>
      <c r="Y636" s="59" t="s">
        <v>156</v>
      </c>
      <c r="Z636" s="60"/>
      <c r="AA636" s="25"/>
      <c r="AB636" s="25"/>
    </row>
    <row r="637" spans="2:28">
      <c r="B637" s="40"/>
      <c r="C637" s="40"/>
      <c r="D637" s="41"/>
      <c r="E637" s="42"/>
      <c r="F637" s="42"/>
      <c r="G637" s="43" t="s">
        <v>154</v>
      </c>
      <c r="H637" s="42" t="s">
        <v>155</v>
      </c>
      <c r="I637" s="43"/>
      <c r="J637" s="43"/>
      <c r="K637" s="25" t="e">
        <f>VLOOKUP(J637,Key!$E$2:$F$9,2,FALSE)</f>
        <v>#N/A</v>
      </c>
      <c r="L637" s="42"/>
      <c r="M637" s="43" t="s">
        <v>154</v>
      </c>
      <c r="N637" s="42" t="s">
        <v>155</v>
      </c>
      <c r="O637" s="43"/>
      <c r="P637" s="43"/>
      <c r="Q637" s="25" t="e">
        <f>VLOOKUP(P637,Key!$E$2:$F$9,2,FALSE)</f>
        <v>#N/A</v>
      </c>
      <c r="R637" s="25" t="e">
        <f t="shared" si="10"/>
        <v>#N/A</v>
      </c>
      <c r="S637" s="58"/>
      <c r="T637" s="58"/>
      <c r="U637" s="43"/>
      <c r="V637" s="43"/>
      <c r="W637" s="58"/>
      <c r="X637" s="58"/>
      <c r="Y637" s="59" t="s">
        <v>156</v>
      </c>
      <c r="Z637" s="60"/>
      <c r="AA637" s="25"/>
      <c r="AB637" s="25"/>
    </row>
    <row r="638" spans="2:28">
      <c r="B638" s="40"/>
      <c r="C638" s="40"/>
      <c r="D638" s="41"/>
      <c r="E638" s="42"/>
      <c r="F638" s="42"/>
      <c r="G638" s="43" t="s">
        <v>154</v>
      </c>
      <c r="H638" s="42" t="s">
        <v>155</v>
      </c>
      <c r="I638" s="43"/>
      <c r="J638" s="43"/>
      <c r="K638" s="25" t="e">
        <f>VLOOKUP(J638,Key!$E$2:$F$9,2,FALSE)</f>
        <v>#N/A</v>
      </c>
      <c r="L638" s="42"/>
      <c r="M638" s="43" t="s">
        <v>154</v>
      </c>
      <c r="N638" s="42" t="s">
        <v>155</v>
      </c>
      <c r="O638" s="43"/>
      <c r="P638" s="43"/>
      <c r="Q638" s="25" t="e">
        <f>VLOOKUP(P638,Key!$E$2:$F$9,2,FALSE)</f>
        <v>#N/A</v>
      </c>
      <c r="R638" s="25" t="e">
        <f t="shared" si="10"/>
        <v>#N/A</v>
      </c>
      <c r="S638" s="58"/>
      <c r="T638" s="58"/>
      <c r="U638" s="43"/>
      <c r="V638" s="43"/>
      <c r="W638" s="58"/>
      <c r="X638" s="58"/>
      <c r="Y638" s="59" t="s">
        <v>156</v>
      </c>
      <c r="Z638" s="60"/>
      <c r="AA638" s="25"/>
      <c r="AB638" s="25"/>
    </row>
    <row r="639" spans="2:28">
      <c r="B639" s="40"/>
      <c r="C639" s="40"/>
      <c r="D639" s="41"/>
      <c r="E639" s="42"/>
      <c r="F639" s="42"/>
      <c r="G639" s="43" t="s">
        <v>154</v>
      </c>
      <c r="H639" s="42" t="s">
        <v>155</v>
      </c>
      <c r="I639" s="43"/>
      <c r="J639" s="43"/>
      <c r="K639" s="25" t="e">
        <f>VLOOKUP(J639,Key!$E$2:$F$9,2,FALSE)</f>
        <v>#N/A</v>
      </c>
      <c r="L639" s="42"/>
      <c r="M639" s="43" t="s">
        <v>154</v>
      </c>
      <c r="N639" s="42" t="s">
        <v>155</v>
      </c>
      <c r="O639" s="43"/>
      <c r="P639" s="43"/>
      <c r="Q639" s="25" t="e">
        <f>VLOOKUP(P639,Key!$E$2:$F$9,2,FALSE)</f>
        <v>#N/A</v>
      </c>
      <c r="R639" s="25" t="e">
        <f t="shared" si="10"/>
        <v>#N/A</v>
      </c>
      <c r="S639" s="58"/>
      <c r="T639" s="58"/>
      <c r="U639" s="43"/>
      <c r="V639" s="43"/>
      <c r="W639" s="58"/>
      <c r="X639" s="58"/>
      <c r="Y639" s="59" t="s">
        <v>156</v>
      </c>
      <c r="Z639" s="60"/>
      <c r="AA639" s="25"/>
      <c r="AB639" s="25"/>
    </row>
    <row r="640" spans="2:28">
      <c r="B640" s="40"/>
      <c r="C640" s="40"/>
      <c r="D640" s="41"/>
      <c r="E640" s="42"/>
      <c r="F640" s="42"/>
      <c r="G640" s="43" t="s">
        <v>154</v>
      </c>
      <c r="H640" s="42" t="s">
        <v>155</v>
      </c>
      <c r="I640" s="43"/>
      <c r="J640" s="43"/>
      <c r="K640" s="25" t="e">
        <f>VLOOKUP(J640,Key!$E$2:$F$9,2,FALSE)</f>
        <v>#N/A</v>
      </c>
      <c r="L640" s="42"/>
      <c r="M640" s="43" t="s">
        <v>154</v>
      </c>
      <c r="N640" s="42" t="s">
        <v>155</v>
      </c>
      <c r="O640" s="43"/>
      <c r="P640" s="43"/>
      <c r="Q640" s="25" t="e">
        <f>VLOOKUP(P640,Key!$E$2:$F$9,2,FALSE)</f>
        <v>#N/A</v>
      </c>
      <c r="R640" s="25" t="e">
        <f t="shared" si="10"/>
        <v>#N/A</v>
      </c>
      <c r="S640" s="58"/>
      <c r="T640" s="58"/>
      <c r="U640" s="43"/>
      <c r="V640" s="43"/>
      <c r="W640" s="58"/>
      <c r="X640" s="58"/>
      <c r="Y640" s="59" t="s">
        <v>156</v>
      </c>
      <c r="Z640" s="60"/>
      <c r="AA640" s="25"/>
      <c r="AB640" s="25"/>
    </row>
    <row r="641" spans="2:28">
      <c r="B641" s="40"/>
      <c r="C641" s="40"/>
      <c r="D641" s="41"/>
      <c r="E641" s="42"/>
      <c r="F641" s="42"/>
      <c r="G641" s="43" t="s">
        <v>154</v>
      </c>
      <c r="H641" s="42" t="s">
        <v>155</v>
      </c>
      <c r="I641" s="43"/>
      <c r="J641" s="43"/>
      <c r="K641" s="25" t="e">
        <f>VLOOKUP(J641,Key!$E$2:$F$9,2,FALSE)</f>
        <v>#N/A</v>
      </c>
      <c r="L641" s="42"/>
      <c r="M641" s="43" t="s">
        <v>154</v>
      </c>
      <c r="N641" s="42" t="s">
        <v>155</v>
      </c>
      <c r="O641" s="43"/>
      <c r="P641" s="43"/>
      <c r="Q641" s="25" t="e">
        <f>VLOOKUP(P641,Key!$E$2:$F$9,2,FALSE)</f>
        <v>#N/A</v>
      </c>
      <c r="R641" s="25" t="e">
        <f t="shared" si="10"/>
        <v>#N/A</v>
      </c>
      <c r="S641" s="58"/>
      <c r="T641" s="58"/>
      <c r="U641" s="43"/>
      <c r="V641" s="43"/>
      <c r="W641" s="58"/>
      <c r="X641" s="58"/>
      <c r="Y641" s="59" t="s">
        <v>156</v>
      </c>
      <c r="Z641" s="60"/>
      <c r="AA641" s="25"/>
      <c r="AB641" s="25"/>
    </row>
    <row r="642" spans="2:28">
      <c r="B642" s="40"/>
      <c r="C642" s="40"/>
      <c r="D642" s="41"/>
      <c r="E642" s="42"/>
      <c r="F642" s="42"/>
      <c r="G642" s="43" t="s">
        <v>154</v>
      </c>
      <c r="H642" s="42" t="s">
        <v>155</v>
      </c>
      <c r="I642" s="43"/>
      <c r="J642" s="43"/>
      <c r="K642" s="25" t="e">
        <f>VLOOKUP(J642,Key!$E$2:$F$9,2,FALSE)</f>
        <v>#N/A</v>
      </c>
      <c r="L642" s="42"/>
      <c r="M642" s="43" t="s">
        <v>154</v>
      </c>
      <c r="N642" s="42" t="s">
        <v>155</v>
      </c>
      <c r="O642" s="43"/>
      <c r="P642" s="43"/>
      <c r="Q642" s="25" t="e">
        <f>VLOOKUP(P642,Key!$E$2:$F$9,2,FALSE)</f>
        <v>#N/A</v>
      </c>
      <c r="R642" s="25" t="e">
        <f t="shared" si="10"/>
        <v>#N/A</v>
      </c>
      <c r="S642" s="58"/>
      <c r="T642" s="58"/>
      <c r="U642" s="43"/>
      <c r="V642" s="43"/>
      <c r="W642" s="58"/>
      <c r="X642" s="58"/>
      <c r="Y642" s="59" t="s">
        <v>156</v>
      </c>
      <c r="Z642" s="60"/>
      <c r="AA642" s="25"/>
      <c r="AB642" s="25"/>
    </row>
    <row r="643" spans="2:28">
      <c r="B643" s="40"/>
      <c r="C643" s="40"/>
      <c r="D643" s="41"/>
      <c r="E643" s="42"/>
      <c r="F643" s="42"/>
      <c r="G643" s="43" t="s">
        <v>154</v>
      </c>
      <c r="H643" s="42" t="s">
        <v>155</v>
      </c>
      <c r="I643" s="43"/>
      <c r="J643" s="43"/>
      <c r="K643" s="25" t="e">
        <f>VLOOKUP(J643,Key!$E$2:$F$9,2,FALSE)</f>
        <v>#N/A</v>
      </c>
      <c r="L643" s="42"/>
      <c r="M643" s="43" t="s">
        <v>154</v>
      </c>
      <c r="N643" s="42" t="s">
        <v>155</v>
      </c>
      <c r="O643" s="43"/>
      <c r="P643" s="43"/>
      <c r="Q643" s="25" t="e">
        <f>VLOOKUP(P643,Key!$E$2:$F$9,2,FALSE)</f>
        <v>#N/A</v>
      </c>
      <c r="R643" s="25" t="e">
        <f t="shared" si="10"/>
        <v>#N/A</v>
      </c>
      <c r="S643" s="58"/>
      <c r="T643" s="58"/>
      <c r="U643" s="43"/>
      <c r="V643" s="43"/>
      <c r="W643" s="58"/>
      <c r="X643" s="58"/>
      <c r="Y643" s="59" t="s">
        <v>156</v>
      </c>
      <c r="Z643" s="60"/>
      <c r="AA643" s="25"/>
      <c r="AB643" s="25"/>
    </row>
    <row r="644" spans="2:28">
      <c r="B644" s="40"/>
      <c r="C644" s="40"/>
      <c r="D644" s="41"/>
      <c r="E644" s="42"/>
      <c r="F644" s="42"/>
      <c r="G644" s="43" t="s">
        <v>154</v>
      </c>
      <c r="H644" s="42" t="s">
        <v>155</v>
      </c>
      <c r="I644" s="43"/>
      <c r="J644" s="43"/>
      <c r="K644" s="25" t="e">
        <f>VLOOKUP(J644,Key!$E$2:$F$9,2,FALSE)</f>
        <v>#N/A</v>
      </c>
      <c r="L644" s="42"/>
      <c r="M644" s="43" t="s">
        <v>154</v>
      </c>
      <c r="N644" s="42" t="s">
        <v>155</v>
      </c>
      <c r="O644" s="43"/>
      <c r="P644" s="43"/>
      <c r="Q644" s="25" t="e">
        <f>VLOOKUP(P644,Key!$E$2:$F$9,2,FALSE)</f>
        <v>#N/A</v>
      </c>
      <c r="R644" s="25" t="e">
        <f t="shared" si="10"/>
        <v>#N/A</v>
      </c>
      <c r="S644" s="58"/>
      <c r="T644" s="58"/>
      <c r="U644" s="43"/>
      <c r="V644" s="43"/>
      <c r="W644" s="58"/>
      <c r="X644" s="58"/>
      <c r="Y644" s="59" t="s">
        <v>156</v>
      </c>
      <c r="Z644" s="60"/>
      <c r="AA644" s="25"/>
      <c r="AB644" s="25"/>
    </row>
    <row r="645" spans="2:28">
      <c r="B645" s="40"/>
      <c r="C645" s="40"/>
      <c r="D645" s="41"/>
      <c r="E645" s="42"/>
      <c r="F645" s="42"/>
      <c r="G645" s="43" t="s">
        <v>154</v>
      </c>
      <c r="H645" s="42" t="s">
        <v>155</v>
      </c>
      <c r="I645" s="43"/>
      <c r="J645" s="43"/>
      <c r="K645" s="25" t="e">
        <f>VLOOKUP(J645,Key!$E$2:$F$9,2,FALSE)</f>
        <v>#N/A</v>
      </c>
      <c r="L645" s="42"/>
      <c r="M645" s="43" t="s">
        <v>154</v>
      </c>
      <c r="N645" s="42" t="s">
        <v>155</v>
      </c>
      <c r="O645" s="43"/>
      <c r="P645" s="43"/>
      <c r="Q645" s="25" t="e">
        <f>VLOOKUP(P645,Key!$E$2:$F$9,2,FALSE)</f>
        <v>#N/A</v>
      </c>
      <c r="R645" s="25" t="e">
        <f t="shared" si="10"/>
        <v>#N/A</v>
      </c>
      <c r="S645" s="58"/>
      <c r="T645" s="58"/>
      <c r="U645" s="43"/>
      <c r="V645" s="43"/>
      <c r="W645" s="58"/>
      <c r="X645" s="58"/>
      <c r="Y645" s="59" t="s">
        <v>156</v>
      </c>
      <c r="Z645" s="60"/>
      <c r="AA645" s="25"/>
      <c r="AB645" s="25"/>
    </row>
    <row r="646" spans="2:28">
      <c r="B646" s="40"/>
      <c r="C646" s="40"/>
      <c r="D646" s="41"/>
      <c r="E646" s="42"/>
      <c r="F646" s="42"/>
      <c r="G646" s="43" t="s">
        <v>154</v>
      </c>
      <c r="H646" s="42" t="s">
        <v>155</v>
      </c>
      <c r="I646" s="43"/>
      <c r="J646" s="43"/>
      <c r="K646" s="25" t="e">
        <f>VLOOKUP(J646,Key!$E$2:$F$9,2,FALSE)</f>
        <v>#N/A</v>
      </c>
      <c r="L646" s="42"/>
      <c r="M646" s="43" t="s">
        <v>154</v>
      </c>
      <c r="N646" s="42" t="s">
        <v>155</v>
      </c>
      <c r="O646" s="43"/>
      <c r="P646" s="43"/>
      <c r="Q646" s="25" t="e">
        <f>VLOOKUP(P646,Key!$E$2:$F$9,2,FALSE)</f>
        <v>#N/A</v>
      </c>
      <c r="R646" s="25" t="e">
        <f t="shared" si="10"/>
        <v>#N/A</v>
      </c>
      <c r="S646" s="58"/>
      <c r="T646" s="58"/>
      <c r="U646" s="43"/>
      <c r="V646" s="43"/>
      <c r="W646" s="58"/>
      <c r="X646" s="58"/>
      <c r="Y646" s="59" t="s">
        <v>156</v>
      </c>
      <c r="Z646" s="60"/>
      <c r="AA646" s="25"/>
      <c r="AB646" s="25"/>
    </row>
    <row r="647" spans="2:28">
      <c r="B647" s="40"/>
      <c r="C647" s="40"/>
      <c r="D647" s="41"/>
      <c r="E647" s="42"/>
      <c r="F647" s="42"/>
      <c r="G647" s="43" t="s">
        <v>154</v>
      </c>
      <c r="H647" s="42" t="s">
        <v>155</v>
      </c>
      <c r="I647" s="43"/>
      <c r="J647" s="43"/>
      <c r="K647" s="25" t="e">
        <f>VLOOKUP(J647,Key!$E$2:$F$9,2,FALSE)</f>
        <v>#N/A</v>
      </c>
      <c r="L647" s="42"/>
      <c r="M647" s="43" t="s">
        <v>154</v>
      </c>
      <c r="N647" s="42" t="s">
        <v>155</v>
      </c>
      <c r="O647" s="43"/>
      <c r="P647" s="43"/>
      <c r="Q647" s="25" t="e">
        <f>VLOOKUP(P647,Key!$E$2:$F$9,2,FALSE)</f>
        <v>#N/A</v>
      </c>
      <c r="R647" s="25" t="e">
        <f t="shared" si="10"/>
        <v>#N/A</v>
      </c>
      <c r="S647" s="58"/>
      <c r="T647" s="58"/>
      <c r="U647" s="43"/>
      <c r="V647" s="43"/>
      <c r="W647" s="58"/>
      <c r="X647" s="58"/>
      <c r="Y647" s="59" t="s">
        <v>156</v>
      </c>
      <c r="Z647" s="60"/>
      <c r="AA647" s="25"/>
      <c r="AB647" s="25"/>
    </row>
    <row r="648" spans="2:28">
      <c r="B648" s="40"/>
      <c r="C648" s="40"/>
      <c r="D648" s="41"/>
      <c r="E648" s="42"/>
      <c r="F648" s="42"/>
      <c r="G648" s="43" t="s">
        <v>154</v>
      </c>
      <c r="H648" s="42" t="s">
        <v>155</v>
      </c>
      <c r="I648" s="43"/>
      <c r="J648" s="43"/>
      <c r="K648" s="25" t="e">
        <f>VLOOKUP(J648,Key!$E$2:$F$9,2,FALSE)</f>
        <v>#N/A</v>
      </c>
      <c r="L648" s="42"/>
      <c r="M648" s="43" t="s">
        <v>154</v>
      </c>
      <c r="N648" s="42" t="s">
        <v>155</v>
      </c>
      <c r="O648" s="43"/>
      <c r="P648" s="43"/>
      <c r="Q648" s="25" t="e">
        <f>VLOOKUP(P648,Key!$E$2:$F$9,2,FALSE)</f>
        <v>#N/A</v>
      </c>
      <c r="R648" s="25" t="e">
        <f t="shared" si="10"/>
        <v>#N/A</v>
      </c>
      <c r="S648" s="58"/>
      <c r="T648" s="58"/>
      <c r="U648" s="43"/>
      <c r="V648" s="43"/>
      <c r="W648" s="58"/>
      <c r="X648" s="58"/>
      <c r="Y648" s="59" t="s">
        <v>156</v>
      </c>
      <c r="Z648" s="60"/>
      <c r="AA648" s="25"/>
      <c r="AB648" s="25"/>
    </row>
    <row r="649" spans="2:28">
      <c r="B649" s="40"/>
      <c r="C649" s="40"/>
      <c r="D649" s="41"/>
      <c r="E649" s="42"/>
      <c r="F649" s="42"/>
      <c r="G649" s="43" t="s">
        <v>154</v>
      </c>
      <c r="H649" s="42" t="s">
        <v>155</v>
      </c>
      <c r="I649" s="43"/>
      <c r="J649" s="43"/>
      <c r="K649" s="25" t="e">
        <f>VLOOKUP(J649,Key!$E$2:$F$9,2,FALSE)</f>
        <v>#N/A</v>
      </c>
      <c r="L649" s="42"/>
      <c r="M649" s="43" t="s">
        <v>154</v>
      </c>
      <c r="N649" s="42" t="s">
        <v>155</v>
      </c>
      <c r="O649" s="43"/>
      <c r="P649" s="43"/>
      <c r="Q649" s="25" t="e">
        <f>VLOOKUP(P649,Key!$E$2:$F$9,2,FALSE)</f>
        <v>#N/A</v>
      </c>
      <c r="R649" s="25" t="e">
        <f t="shared" si="10"/>
        <v>#N/A</v>
      </c>
      <c r="S649" s="58"/>
      <c r="T649" s="58"/>
      <c r="U649" s="43"/>
      <c r="V649" s="43"/>
      <c r="W649" s="58"/>
      <c r="X649" s="58"/>
      <c r="Y649" s="59" t="s">
        <v>156</v>
      </c>
      <c r="Z649" s="60"/>
      <c r="AA649" s="25"/>
      <c r="AB649" s="25"/>
    </row>
    <row r="650" spans="2:28">
      <c r="B650" s="40"/>
      <c r="C650" s="40"/>
      <c r="D650" s="41"/>
      <c r="E650" s="42"/>
      <c r="F650" s="42"/>
      <c r="G650" s="43" t="s">
        <v>154</v>
      </c>
      <c r="H650" s="42" t="s">
        <v>155</v>
      </c>
      <c r="I650" s="43"/>
      <c r="J650" s="43"/>
      <c r="K650" s="25" t="e">
        <f>VLOOKUP(J650,Key!$E$2:$F$9,2,FALSE)</f>
        <v>#N/A</v>
      </c>
      <c r="L650" s="42"/>
      <c r="M650" s="43" t="s">
        <v>154</v>
      </c>
      <c r="N650" s="42" t="s">
        <v>155</v>
      </c>
      <c r="O650" s="43"/>
      <c r="P650" s="43"/>
      <c r="Q650" s="25" t="e">
        <f>VLOOKUP(P650,Key!$E$2:$F$9,2,FALSE)</f>
        <v>#N/A</v>
      </c>
      <c r="R650" s="25" t="e">
        <f t="shared" si="10"/>
        <v>#N/A</v>
      </c>
      <c r="S650" s="58"/>
      <c r="T650" s="58"/>
      <c r="U650" s="43"/>
      <c r="V650" s="43"/>
      <c r="W650" s="58"/>
      <c r="X650" s="58"/>
      <c r="Y650" s="59" t="s">
        <v>156</v>
      </c>
      <c r="Z650" s="60"/>
      <c r="AA650" s="25"/>
      <c r="AB650" s="25"/>
    </row>
    <row r="651" spans="2:28">
      <c r="B651" s="40"/>
      <c r="C651" s="40"/>
      <c r="D651" s="41"/>
      <c r="E651" s="42"/>
      <c r="F651" s="42"/>
      <c r="G651" s="43" t="s">
        <v>154</v>
      </c>
      <c r="H651" s="42" t="s">
        <v>155</v>
      </c>
      <c r="I651" s="43"/>
      <c r="J651" s="43"/>
      <c r="K651" s="25" t="e">
        <f>VLOOKUP(J651,Key!$E$2:$F$9,2,FALSE)</f>
        <v>#N/A</v>
      </c>
      <c r="L651" s="42"/>
      <c r="M651" s="43" t="s">
        <v>154</v>
      </c>
      <c r="N651" s="42" t="s">
        <v>155</v>
      </c>
      <c r="O651" s="43"/>
      <c r="P651" s="43"/>
      <c r="Q651" s="25" t="e">
        <f>VLOOKUP(P651,Key!$E$2:$F$9,2,FALSE)</f>
        <v>#N/A</v>
      </c>
      <c r="R651" s="25" t="e">
        <f t="shared" si="10"/>
        <v>#N/A</v>
      </c>
      <c r="S651" s="58"/>
      <c r="T651" s="58"/>
      <c r="U651" s="43"/>
      <c r="V651" s="43"/>
      <c r="W651" s="58"/>
      <c r="X651" s="58"/>
      <c r="Y651" s="59" t="s">
        <v>156</v>
      </c>
      <c r="Z651" s="60"/>
      <c r="AA651" s="25"/>
      <c r="AB651" s="25"/>
    </row>
    <row r="652" spans="2:28">
      <c r="B652" s="40"/>
      <c r="C652" s="40"/>
      <c r="D652" s="41"/>
      <c r="E652" s="42"/>
      <c r="F652" s="42"/>
      <c r="G652" s="43" t="s">
        <v>154</v>
      </c>
      <c r="H652" s="42" t="s">
        <v>155</v>
      </c>
      <c r="I652" s="43"/>
      <c r="J652" s="43"/>
      <c r="K652" s="25" t="e">
        <f>VLOOKUP(J652,Key!$E$2:$F$9,2,FALSE)</f>
        <v>#N/A</v>
      </c>
      <c r="L652" s="42"/>
      <c r="M652" s="43" t="s">
        <v>154</v>
      </c>
      <c r="N652" s="42" t="s">
        <v>155</v>
      </c>
      <c r="O652" s="43"/>
      <c r="P652" s="43"/>
      <c r="Q652" s="25" t="e">
        <f>VLOOKUP(P652,Key!$E$2:$F$9,2,FALSE)</f>
        <v>#N/A</v>
      </c>
      <c r="R652" s="25" t="e">
        <f t="shared" si="10"/>
        <v>#N/A</v>
      </c>
      <c r="S652" s="58"/>
      <c r="T652" s="58"/>
      <c r="U652" s="43"/>
      <c r="V652" s="43"/>
      <c r="W652" s="58"/>
      <c r="X652" s="58"/>
      <c r="Y652" s="59" t="s">
        <v>156</v>
      </c>
      <c r="Z652" s="60"/>
      <c r="AA652" s="25"/>
      <c r="AB652" s="25"/>
    </row>
    <row r="653" spans="2:28">
      <c r="B653" s="40"/>
      <c r="C653" s="40"/>
      <c r="D653" s="41"/>
      <c r="E653" s="42"/>
      <c r="F653" s="42"/>
      <c r="G653" s="43" t="s">
        <v>154</v>
      </c>
      <c r="H653" s="42" t="s">
        <v>155</v>
      </c>
      <c r="I653" s="43"/>
      <c r="J653" s="43"/>
      <c r="K653" s="25" t="e">
        <f>VLOOKUP(J653,Key!$E$2:$F$9,2,FALSE)</f>
        <v>#N/A</v>
      </c>
      <c r="L653" s="42"/>
      <c r="M653" s="43" t="s">
        <v>154</v>
      </c>
      <c r="N653" s="42" t="s">
        <v>155</v>
      </c>
      <c r="O653" s="43"/>
      <c r="P653" s="43"/>
      <c r="Q653" s="25" t="e">
        <f>VLOOKUP(P653,Key!$E$2:$F$9,2,FALSE)</f>
        <v>#N/A</v>
      </c>
      <c r="R653" s="25" t="e">
        <f t="shared" si="10"/>
        <v>#N/A</v>
      </c>
      <c r="S653" s="58"/>
      <c r="T653" s="58"/>
      <c r="U653" s="43"/>
      <c r="V653" s="43"/>
      <c r="W653" s="58"/>
      <c r="X653" s="58"/>
      <c r="Y653" s="59" t="s">
        <v>156</v>
      </c>
      <c r="Z653" s="60"/>
      <c r="AA653" s="25"/>
      <c r="AB653" s="25"/>
    </row>
    <row r="654" spans="2:28">
      <c r="B654" s="40"/>
      <c r="C654" s="40"/>
      <c r="D654" s="41"/>
      <c r="E654" s="42"/>
      <c r="F654" s="42"/>
      <c r="G654" s="43" t="s">
        <v>154</v>
      </c>
      <c r="H654" s="42" t="s">
        <v>155</v>
      </c>
      <c r="I654" s="43"/>
      <c r="J654" s="43"/>
      <c r="K654" s="25" t="e">
        <f>VLOOKUP(J654,Key!$E$2:$F$9,2,FALSE)</f>
        <v>#N/A</v>
      </c>
      <c r="L654" s="42"/>
      <c r="M654" s="43" t="s">
        <v>154</v>
      </c>
      <c r="N654" s="42" t="s">
        <v>155</v>
      </c>
      <c r="O654" s="43"/>
      <c r="P654" s="43"/>
      <c r="Q654" s="25" t="e">
        <f>VLOOKUP(P654,Key!$E$2:$F$9,2,FALSE)</f>
        <v>#N/A</v>
      </c>
      <c r="R654" s="25" t="e">
        <f t="shared" si="10"/>
        <v>#N/A</v>
      </c>
      <c r="S654" s="58"/>
      <c r="T654" s="58"/>
      <c r="U654" s="43"/>
      <c r="V654" s="43"/>
      <c r="W654" s="58"/>
      <c r="X654" s="58"/>
      <c r="Y654" s="59" t="s">
        <v>156</v>
      </c>
      <c r="Z654" s="60"/>
      <c r="AA654" s="25"/>
      <c r="AB654" s="25"/>
    </row>
    <row r="655" spans="2:28">
      <c r="B655" s="40"/>
      <c r="C655" s="40"/>
      <c r="D655" s="41"/>
      <c r="E655" s="42"/>
      <c r="F655" s="42"/>
      <c r="G655" s="43" t="s">
        <v>154</v>
      </c>
      <c r="H655" s="42" t="s">
        <v>155</v>
      </c>
      <c r="I655" s="43"/>
      <c r="J655" s="43"/>
      <c r="K655" s="25" t="e">
        <f>VLOOKUP(J655,Key!$E$2:$F$9,2,FALSE)</f>
        <v>#N/A</v>
      </c>
      <c r="L655" s="42"/>
      <c r="M655" s="43" t="s">
        <v>154</v>
      </c>
      <c r="N655" s="42" t="s">
        <v>155</v>
      </c>
      <c r="O655" s="43"/>
      <c r="P655" s="43"/>
      <c r="Q655" s="25" t="e">
        <f>VLOOKUP(P655,Key!$E$2:$F$9,2,FALSE)</f>
        <v>#N/A</v>
      </c>
      <c r="R655" s="25" t="e">
        <f t="shared" si="10"/>
        <v>#N/A</v>
      </c>
      <c r="S655" s="58"/>
      <c r="T655" s="58"/>
      <c r="U655" s="43"/>
      <c r="V655" s="43"/>
      <c r="W655" s="58"/>
      <c r="X655" s="58"/>
      <c r="Y655" s="59" t="s">
        <v>156</v>
      </c>
      <c r="Z655" s="60"/>
      <c r="AA655" s="25"/>
      <c r="AB655" s="25"/>
    </row>
    <row r="656" spans="2:28">
      <c r="B656" s="40"/>
      <c r="C656" s="40"/>
      <c r="D656" s="41"/>
      <c r="E656" s="42"/>
      <c r="F656" s="42"/>
      <c r="G656" s="43" t="s">
        <v>154</v>
      </c>
      <c r="H656" s="42" t="s">
        <v>155</v>
      </c>
      <c r="I656" s="43"/>
      <c r="J656" s="43"/>
      <c r="K656" s="25" t="e">
        <f>VLOOKUP(J656,Key!$E$2:$F$9,2,FALSE)</f>
        <v>#N/A</v>
      </c>
      <c r="L656" s="42"/>
      <c r="M656" s="43" t="s">
        <v>154</v>
      </c>
      <c r="N656" s="42" t="s">
        <v>155</v>
      </c>
      <c r="O656" s="43"/>
      <c r="P656" s="43"/>
      <c r="Q656" s="25" t="e">
        <f>VLOOKUP(P656,Key!$E$2:$F$9,2,FALSE)</f>
        <v>#N/A</v>
      </c>
      <c r="R656" s="25" t="e">
        <f t="shared" si="10"/>
        <v>#N/A</v>
      </c>
      <c r="S656" s="58"/>
      <c r="T656" s="58"/>
      <c r="U656" s="43"/>
      <c r="V656" s="43"/>
      <c r="W656" s="58"/>
      <c r="X656" s="58"/>
      <c r="Y656" s="59" t="s">
        <v>156</v>
      </c>
      <c r="Z656" s="60"/>
      <c r="AA656" s="25"/>
      <c r="AB656" s="25"/>
    </row>
    <row r="657" spans="2:28">
      <c r="B657" s="40"/>
      <c r="C657" s="40"/>
      <c r="D657" s="41"/>
      <c r="E657" s="42"/>
      <c r="F657" s="42"/>
      <c r="G657" s="43" t="s">
        <v>154</v>
      </c>
      <c r="H657" s="42" t="s">
        <v>155</v>
      </c>
      <c r="I657" s="43"/>
      <c r="J657" s="43"/>
      <c r="K657" s="25" t="e">
        <f>VLOOKUP(J657,Key!$E$2:$F$9,2,FALSE)</f>
        <v>#N/A</v>
      </c>
      <c r="L657" s="42"/>
      <c r="M657" s="43" t="s">
        <v>154</v>
      </c>
      <c r="N657" s="42" t="s">
        <v>155</v>
      </c>
      <c r="O657" s="43"/>
      <c r="P657" s="43"/>
      <c r="Q657" s="25" t="e">
        <f>VLOOKUP(P657,Key!$E$2:$F$9,2,FALSE)</f>
        <v>#N/A</v>
      </c>
      <c r="R657" s="25" t="e">
        <f t="shared" si="10"/>
        <v>#N/A</v>
      </c>
      <c r="S657" s="58"/>
      <c r="T657" s="58"/>
      <c r="U657" s="43"/>
      <c r="V657" s="43"/>
      <c r="W657" s="58"/>
      <c r="X657" s="58"/>
      <c r="Y657" s="59" t="s">
        <v>156</v>
      </c>
      <c r="Z657" s="60"/>
      <c r="AA657" s="25"/>
      <c r="AB657" s="25"/>
    </row>
    <row r="658" spans="2:28">
      <c r="B658" s="40"/>
      <c r="C658" s="40"/>
      <c r="D658" s="41"/>
      <c r="E658" s="42"/>
      <c r="F658" s="42"/>
      <c r="G658" s="43" t="s">
        <v>154</v>
      </c>
      <c r="H658" s="42" t="s">
        <v>155</v>
      </c>
      <c r="I658" s="43"/>
      <c r="J658" s="43"/>
      <c r="K658" s="25" t="e">
        <f>VLOOKUP(J658,Key!$E$2:$F$9,2,FALSE)</f>
        <v>#N/A</v>
      </c>
      <c r="L658" s="42"/>
      <c r="M658" s="43" t="s">
        <v>154</v>
      </c>
      <c r="N658" s="42" t="s">
        <v>155</v>
      </c>
      <c r="O658" s="43"/>
      <c r="P658" s="43"/>
      <c r="Q658" s="25" t="e">
        <f>VLOOKUP(P658,Key!$E$2:$F$9,2,FALSE)</f>
        <v>#N/A</v>
      </c>
      <c r="R658" s="25" t="e">
        <f t="shared" si="10"/>
        <v>#N/A</v>
      </c>
      <c r="S658" s="58"/>
      <c r="T658" s="58"/>
      <c r="U658" s="43"/>
      <c r="V658" s="43"/>
      <c r="W658" s="58"/>
      <c r="X658" s="58"/>
      <c r="Y658" s="59" t="s">
        <v>156</v>
      </c>
      <c r="Z658" s="60"/>
      <c r="AA658" s="25"/>
      <c r="AB658" s="25"/>
    </row>
    <row r="659" spans="2:28">
      <c r="B659" s="40"/>
      <c r="C659" s="40"/>
      <c r="D659" s="41"/>
      <c r="E659" s="42"/>
      <c r="F659" s="42"/>
      <c r="G659" s="43" t="s">
        <v>154</v>
      </c>
      <c r="H659" s="42" t="s">
        <v>155</v>
      </c>
      <c r="I659" s="43"/>
      <c r="J659" s="43"/>
      <c r="K659" s="25" t="e">
        <f>VLOOKUP(J659,Key!$E$2:$F$9,2,FALSE)</f>
        <v>#N/A</v>
      </c>
      <c r="L659" s="42"/>
      <c r="M659" s="43" t="s">
        <v>154</v>
      </c>
      <c r="N659" s="42" t="s">
        <v>155</v>
      </c>
      <c r="O659" s="43"/>
      <c r="P659" s="43"/>
      <c r="Q659" s="25" t="e">
        <f>VLOOKUP(P659,Key!$E$2:$F$9,2,FALSE)</f>
        <v>#N/A</v>
      </c>
      <c r="R659" s="25" t="e">
        <f t="shared" si="10"/>
        <v>#N/A</v>
      </c>
      <c r="S659" s="58"/>
      <c r="T659" s="58"/>
      <c r="U659" s="43"/>
      <c r="V659" s="43"/>
      <c r="W659" s="58"/>
      <c r="X659" s="58"/>
      <c r="Y659" s="59" t="s">
        <v>156</v>
      </c>
      <c r="Z659" s="60"/>
      <c r="AA659" s="25"/>
      <c r="AB659" s="25"/>
    </row>
    <row r="660" spans="2:28">
      <c r="B660" s="40"/>
      <c r="C660" s="40"/>
      <c r="D660" s="41"/>
      <c r="E660" s="42"/>
      <c r="F660" s="42"/>
      <c r="G660" s="43" t="s">
        <v>154</v>
      </c>
      <c r="H660" s="42" t="s">
        <v>155</v>
      </c>
      <c r="I660" s="43"/>
      <c r="J660" s="43"/>
      <c r="K660" s="25" t="e">
        <f>VLOOKUP(J660,Key!$E$2:$F$9,2,FALSE)</f>
        <v>#N/A</v>
      </c>
      <c r="L660" s="42"/>
      <c r="M660" s="43" t="s">
        <v>154</v>
      </c>
      <c r="N660" s="42" t="s">
        <v>155</v>
      </c>
      <c r="O660" s="43"/>
      <c r="P660" s="43"/>
      <c r="Q660" s="25" t="e">
        <f>VLOOKUP(P660,Key!$E$2:$F$9,2,FALSE)</f>
        <v>#N/A</v>
      </c>
      <c r="R660" s="25" t="e">
        <f t="shared" si="10"/>
        <v>#N/A</v>
      </c>
      <c r="S660" s="58"/>
      <c r="T660" s="58"/>
      <c r="U660" s="43"/>
      <c r="V660" s="43"/>
      <c r="W660" s="58"/>
      <c r="X660" s="58"/>
      <c r="Y660" s="59" t="s">
        <v>156</v>
      </c>
      <c r="Z660" s="60"/>
      <c r="AA660" s="25"/>
      <c r="AB660" s="25"/>
    </row>
    <row r="661" spans="2:28">
      <c r="B661" s="40"/>
      <c r="C661" s="40"/>
      <c r="D661" s="41"/>
      <c r="E661" s="42"/>
      <c r="F661" s="42"/>
      <c r="G661" s="43" t="s">
        <v>154</v>
      </c>
      <c r="H661" s="42" t="s">
        <v>155</v>
      </c>
      <c r="I661" s="43"/>
      <c r="J661" s="43"/>
      <c r="K661" s="25" t="e">
        <f>VLOOKUP(J661,Key!$E$2:$F$9,2,FALSE)</f>
        <v>#N/A</v>
      </c>
      <c r="L661" s="42"/>
      <c r="M661" s="43" t="s">
        <v>154</v>
      </c>
      <c r="N661" s="42" t="s">
        <v>155</v>
      </c>
      <c r="O661" s="43"/>
      <c r="P661" s="43"/>
      <c r="Q661" s="25" t="e">
        <f>VLOOKUP(P661,Key!$E$2:$F$9,2,FALSE)</f>
        <v>#N/A</v>
      </c>
      <c r="R661" s="25" t="e">
        <f t="shared" si="10"/>
        <v>#N/A</v>
      </c>
      <c r="S661" s="58"/>
      <c r="T661" s="58"/>
      <c r="U661" s="43"/>
      <c r="V661" s="43"/>
      <c r="W661" s="58"/>
      <c r="X661" s="58"/>
      <c r="Y661" s="59" t="s">
        <v>156</v>
      </c>
      <c r="Z661" s="60"/>
      <c r="AA661" s="25"/>
      <c r="AB661" s="25"/>
    </row>
    <row r="662" spans="2:28">
      <c r="B662" s="40"/>
      <c r="C662" s="40"/>
      <c r="D662" s="41"/>
      <c r="E662" s="42"/>
      <c r="F662" s="42"/>
      <c r="G662" s="43" t="s">
        <v>154</v>
      </c>
      <c r="H662" s="42" t="s">
        <v>155</v>
      </c>
      <c r="I662" s="43"/>
      <c r="J662" s="43"/>
      <c r="K662" s="25" t="e">
        <f>VLOOKUP(J662,Key!$E$2:$F$9,2,FALSE)</f>
        <v>#N/A</v>
      </c>
      <c r="L662" s="42"/>
      <c r="M662" s="43" t="s">
        <v>154</v>
      </c>
      <c r="N662" s="42" t="s">
        <v>155</v>
      </c>
      <c r="O662" s="43"/>
      <c r="P662" s="43"/>
      <c r="Q662" s="25" t="e">
        <f>VLOOKUP(P662,Key!$E$2:$F$9,2,FALSE)</f>
        <v>#N/A</v>
      </c>
      <c r="R662" s="25" t="e">
        <f t="shared" si="10"/>
        <v>#N/A</v>
      </c>
      <c r="S662" s="58"/>
      <c r="T662" s="58"/>
      <c r="U662" s="43"/>
      <c r="V662" s="43"/>
      <c r="W662" s="58"/>
      <c r="X662" s="58"/>
      <c r="Y662" s="59" t="s">
        <v>156</v>
      </c>
      <c r="Z662" s="60"/>
      <c r="AA662" s="25"/>
      <c r="AB662" s="25"/>
    </row>
    <row r="663" spans="2:28">
      <c r="B663" s="40"/>
      <c r="C663" s="40"/>
      <c r="D663" s="41"/>
      <c r="E663" s="42"/>
      <c r="F663" s="42"/>
      <c r="G663" s="43" t="s">
        <v>154</v>
      </c>
      <c r="H663" s="42" t="s">
        <v>155</v>
      </c>
      <c r="I663" s="43"/>
      <c r="J663" s="43"/>
      <c r="K663" s="25" t="e">
        <f>VLOOKUP(J663,Key!$E$2:$F$9,2,FALSE)</f>
        <v>#N/A</v>
      </c>
      <c r="L663" s="42"/>
      <c r="M663" s="43" t="s">
        <v>154</v>
      </c>
      <c r="N663" s="42" t="s">
        <v>155</v>
      </c>
      <c r="O663" s="43"/>
      <c r="P663" s="43"/>
      <c r="Q663" s="25" t="e">
        <f>VLOOKUP(P663,Key!$E$2:$F$9,2,FALSE)</f>
        <v>#N/A</v>
      </c>
      <c r="R663" s="25" t="e">
        <f t="shared" si="10"/>
        <v>#N/A</v>
      </c>
      <c r="S663" s="58"/>
      <c r="T663" s="58"/>
      <c r="U663" s="43"/>
      <c r="V663" s="43"/>
      <c r="W663" s="58"/>
      <c r="X663" s="58"/>
      <c r="Y663" s="59" t="s">
        <v>156</v>
      </c>
      <c r="Z663" s="60"/>
      <c r="AA663" s="25"/>
      <c r="AB663" s="25"/>
    </row>
    <row r="664" spans="2:28">
      <c r="B664" s="40"/>
      <c r="C664" s="40"/>
      <c r="D664" s="41"/>
      <c r="E664" s="42"/>
      <c r="F664" s="42"/>
      <c r="G664" s="43" t="s">
        <v>154</v>
      </c>
      <c r="H664" s="42" t="s">
        <v>155</v>
      </c>
      <c r="I664" s="43"/>
      <c r="J664" s="43"/>
      <c r="K664" s="25" t="e">
        <f>VLOOKUP(J664,Key!$E$2:$F$9,2,FALSE)</f>
        <v>#N/A</v>
      </c>
      <c r="L664" s="42"/>
      <c r="M664" s="43" t="s">
        <v>154</v>
      </c>
      <c r="N664" s="42" t="s">
        <v>155</v>
      </c>
      <c r="O664" s="43"/>
      <c r="P664" s="43"/>
      <c r="Q664" s="25" t="e">
        <f>VLOOKUP(P664,Key!$E$2:$F$9,2,FALSE)</f>
        <v>#N/A</v>
      </c>
      <c r="R664" s="25" t="e">
        <f t="shared" si="10"/>
        <v>#N/A</v>
      </c>
      <c r="S664" s="58"/>
      <c r="T664" s="58"/>
      <c r="U664" s="43"/>
      <c r="V664" s="43"/>
      <c r="W664" s="58"/>
      <c r="X664" s="58"/>
      <c r="Y664" s="59" t="s">
        <v>156</v>
      </c>
      <c r="Z664" s="60"/>
      <c r="AA664" s="25"/>
      <c r="AB664" s="25"/>
    </row>
    <row r="665" spans="2:28">
      <c r="B665" s="40"/>
      <c r="C665" s="40"/>
      <c r="D665" s="41"/>
      <c r="E665" s="42"/>
      <c r="F665" s="42"/>
      <c r="G665" s="43" t="s">
        <v>154</v>
      </c>
      <c r="H665" s="42" t="s">
        <v>155</v>
      </c>
      <c r="I665" s="43"/>
      <c r="J665" s="43"/>
      <c r="K665" s="25" t="e">
        <f>VLOOKUP(J665,Key!$E$2:$F$9,2,FALSE)</f>
        <v>#N/A</v>
      </c>
      <c r="L665" s="42"/>
      <c r="M665" s="43" t="s">
        <v>154</v>
      </c>
      <c r="N665" s="42" t="s">
        <v>155</v>
      </c>
      <c r="O665" s="43"/>
      <c r="P665" s="43"/>
      <c r="Q665" s="25" t="e">
        <f>VLOOKUP(P665,Key!$E$2:$F$9,2,FALSE)</f>
        <v>#N/A</v>
      </c>
      <c r="R665" s="25" t="e">
        <f t="shared" si="10"/>
        <v>#N/A</v>
      </c>
      <c r="S665" s="58"/>
      <c r="T665" s="58"/>
      <c r="U665" s="43"/>
      <c r="V665" s="43"/>
      <c r="W665" s="58"/>
      <c r="X665" s="58"/>
      <c r="Y665" s="59" t="s">
        <v>156</v>
      </c>
      <c r="Z665" s="60"/>
      <c r="AA665" s="25"/>
      <c r="AB665" s="25"/>
    </row>
    <row r="666" spans="2:28">
      <c r="B666" s="40"/>
      <c r="C666" s="40"/>
      <c r="D666" s="41"/>
      <c r="E666" s="42"/>
      <c r="F666" s="42"/>
      <c r="G666" s="43" t="s">
        <v>154</v>
      </c>
      <c r="H666" s="42" t="s">
        <v>155</v>
      </c>
      <c r="I666" s="43"/>
      <c r="J666" s="43"/>
      <c r="K666" s="25" t="e">
        <f>VLOOKUP(J666,Key!$E$2:$F$9,2,FALSE)</f>
        <v>#N/A</v>
      </c>
      <c r="L666" s="42"/>
      <c r="M666" s="43" t="s">
        <v>154</v>
      </c>
      <c r="N666" s="42" t="s">
        <v>155</v>
      </c>
      <c r="O666" s="43"/>
      <c r="P666" s="43"/>
      <c r="Q666" s="25" t="e">
        <f>VLOOKUP(P666,Key!$E$2:$F$9,2,FALSE)</f>
        <v>#N/A</v>
      </c>
      <c r="R666" s="25" t="e">
        <f t="shared" si="10"/>
        <v>#N/A</v>
      </c>
      <c r="S666" s="58"/>
      <c r="T666" s="58"/>
      <c r="U666" s="43"/>
      <c r="V666" s="43"/>
      <c r="W666" s="58"/>
      <c r="X666" s="58"/>
      <c r="Y666" s="59" t="s">
        <v>156</v>
      </c>
      <c r="Z666" s="60"/>
      <c r="AA666" s="25"/>
      <c r="AB666" s="25"/>
    </row>
    <row r="667" spans="2:28">
      <c r="B667" s="40"/>
      <c r="C667" s="40"/>
      <c r="D667" s="41"/>
      <c r="E667" s="42"/>
      <c r="F667" s="42"/>
      <c r="G667" s="43" t="s">
        <v>154</v>
      </c>
      <c r="H667" s="42" t="s">
        <v>155</v>
      </c>
      <c r="I667" s="43"/>
      <c r="J667" s="43"/>
      <c r="K667" s="25" t="e">
        <f>VLOOKUP(J667,Key!$E$2:$F$9,2,FALSE)</f>
        <v>#N/A</v>
      </c>
      <c r="L667" s="42"/>
      <c r="M667" s="43" t="s">
        <v>154</v>
      </c>
      <c r="N667" s="42" t="s">
        <v>155</v>
      </c>
      <c r="O667" s="43"/>
      <c r="P667" s="43"/>
      <c r="Q667" s="25" t="e">
        <f>VLOOKUP(P667,Key!$E$2:$F$9,2,FALSE)</f>
        <v>#N/A</v>
      </c>
      <c r="R667" s="25" t="e">
        <f t="shared" si="10"/>
        <v>#N/A</v>
      </c>
      <c r="S667" s="58"/>
      <c r="T667" s="58"/>
      <c r="U667" s="43"/>
      <c r="V667" s="43"/>
      <c r="W667" s="58"/>
      <c r="X667" s="58"/>
      <c r="Y667" s="59" t="s">
        <v>156</v>
      </c>
      <c r="Z667" s="60"/>
      <c r="AA667" s="25"/>
      <c r="AB667" s="25"/>
    </row>
    <row r="668" spans="2:28">
      <c r="B668" s="40"/>
      <c r="C668" s="40"/>
      <c r="D668" s="41"/>
      <c r="E668" s="42"/>
      <c r="F668" s="42"/>
      <c r="G668" s="43" t="s">
        <v>154</v>
      </c>
      <c r="H668" s="42" t="s">
        <v>155</v>
      </c>
      <c r="I668" s="43"/>
      <c r="J668" s="43"/>
      <c r="K668" s="25" t="e">
        <f>VLOOKUP(J668,Key!$E$2:$F$9,2,FALSE)</f>
        <v>#N/A</v>
      </c>
      <c r="L668" s="42"/>
      <c r="M668" s="43" t="s">
        <v>154</v>
      </c>
      <c r="N668" s="42" t="s">
        <v>155</v>
      </c>
      <c r="O668" s="43"/>
      <c r="P668" s="43"/>
      <c r="Q668" s="25" t="e">
        <f>VLOOKUP(P668,Key!$E$2:$F$9,2,FALSE)</f>
        <v>#N/A</v>
      </c>
      <c r="R668" s="25" t="e">
        <f t="shared" si="10"/>
        <v>#N/A</v>
      </c>
      <c r="S668" s="58"/>
      <c r="T668" s="58"/>
      <c r="U668" s="43"/>
      <c r="V668" s="43"/>
      <c r="W668" s="58"/>
      <c r="X668" s="58"/>
      <c r="Y668" s="59" t="s">
        <v>156</v>
      </c>
      <c r="Z668" s="60"/>
      <c r="AA668" s="25"/>
      <c r="AB668" s="25"/>
    </row>
    <row r="669" spans="2:28">
      <c r="B669" s="40"/>
      <c r="C669" s="40"/>
      <c r="D669" s="41"/>
      <c r="E669" s="42"/>
      <c r="F669" s="42"/>
      <c r="G669" s="43" t="s">
        <v>154</v>
      </c>
      <c r="H669" s="42" t="s">
        <v>155</v>
      </c>
      <c r="I669" s="43"/>
      <c r="J669" s="43"/>
      <c r="K669" s="25" t="e">
        <f>VLOOKUP(J669,Key!$E$2:$F$9,2,FALSE)</f>
        <v>#N/A</v>
      </c>
      <c r="L669" s="42"/>
      <c r="M669" s="43" t="s">
        <v>154</v>
      </c>
      <c r="N669" s="42" t="s">
        <v>155</v>
      </c>
      <c r="O669" s="43"/>
      <c r="P669" s="43"/>
      <c r="Q669" s="25" t="e">
        <f>VLOOKUP(P669,Key!$E$2:$F$9,2,FALSE)</f>
        <v>#N/A</v>
      </c>
      <c r="R669" s="25" t="e">
        <f t="shared" si="10"/>
        <v>#N/A</v>
      </c>
      <c r="S669" s="58"/>
      <c r="T669" s="58"/>
      <c r="U669" s="43"/>
      <c r="V669" s="43"/>
      <c r="W669" s="58"/>
      <c r="X669" s="58"/>
      <c r="Y669" s="59" t="s">
        <v>156</v>
      </c>
      <c r="Z669" s="60"/>
      <c r="AA669" s="25"/>
      <c r="AB669" s="25"/>
    </row>
    <row r="670" spans="2:28">
      <c r="B670" s="40"/>
      <c r="C670" s="40"/>
      <c r="D670" s="41"/>
      <c r="E670" s="42"/>
      <c r="F670" s="42"/>
      <c r="G670" s="43" t="s">
        <v>154</v>
      </c>
      <c r="H670" s="42" t="s">
        <v>155</v>
      </c>
      <c r="I670" s="43"/>
      <c r="J670" s="43"/>
      <c r="K670" s="25" t="e">
        <f>VLOOKUP(J670,Key!$E$2:$F$9,2,FALSE)</f>
        <v>#N/A</v>
      </c>
      <c r="L670" s="42"/>
      <c r="M670" s="43" t="s">
        <v>154</v>
      </c>
      <c r="N670" s="42" t="s">
        <v>155</v>
      </c>
      <c r="O670" s="43"/>
      <c r="P670" s="43"/>
      <c r="Q670" s="25" t="e">
        <f>VLOOKUP(P670,Key!$E$2:$F$9,2,FALSE)</f>
        <v>#N/A</v>
      </c>
      <c r="R670" s="25" t="e">
        <f t="shared" si="10"/>
        <v>#N/A</v>
      </c>
      <c r="S670" s="58"/>
      <c r="T670" s="58"/>
      <c r="U670" s="43"/>
      <c r="V670" s="43"/>
      <c r="W670" s="58"/>
      <c r="X670" s="58"/>
      <c r="Y670" s="59" t="s">
        <v>156</v>
      </c>
      <c r="Z670" s="60"/>
      <c r="AA670" s="25"/>
      <c r="AB670" s="25"/>
    </row>
    <row r="671" spans="2:28">
      <c r="B671" s="40"/>
      <c r="C671" s="40"/>
      <c r="D671" s="41"/>
      <c r="E671" s="42"/>
      <c r="F671" s="42"/>
      <c r="G671" s="43" t="s">
        <v>154</v>
      </c>
      <c r="H671" s="42" t="s">
        <v>155</v>
      </c>
      <c r="I671" s="43"/>
      <c r="J671" s="43"/>
      <c r="K671" s="25" t="e">
        <f>VLOOKUP(J671,Key!$E$2:$F$9,2,FALSE)</f>
        <v>#N/A</v>
      </c>
      <c r="L671" s="42"/>
      <c r="M671" s="43" t="s">
        <v>154</v>
      </c>
      <c r="N671" s="42" t="s">
        <v>155</v>
      </c>
      <c r="O671" s="43"/>
      <c r="P671" s="43"/>
      <c r="Q671" s="25" t="e">
        <f>VLOOKUP(P671,Key!$E$2:$F$9,2,FALSE)</f>
        <v>#N/A</v>
      </c>
      <c r="R671" s="25" t="e">
        <f t="shared" si="10"/>
        <v>#N/A</v>
      </c>
      <c r="S671" s="58"/>
      <c r="T671" s="58"/>
      <c r="U671" s="43"/>
      <c r="V671" s="43"/>
      <c r="W671" s="58"/>
      <c r="X671" s="58"/>
      <c r="Y671" s="59" t="s">
        <v>156</v>
      </c>
      <c r="Z671" s="60"/>
      <c r="AA671" s="25"/>
      <c r="AB671" s="25"/>
    </row>
    <row r="672" spans="2:28">
      <c r="B672" s="40"/>
      <c r="C672" s="40"/>
      <c r="D672" s="41"/>
      <c r="E672" s="42"/>
      <c r="F672" s="42"/>
      <c r="G672" s="43" t="s">
        <v>154</v>
      </c>
      <c r="H672" s="42" t="s">
        <v>155</v>
      </c>
      <c r="I672" s="43"/>
      <c r="J672" s="43"/>
      <c r="K672" s="25" t="e">
        <f>VLOOKUP(J672,Key!$E$2:$F$9,2,FALSE)</f>
        <v>#N/A</v>
      </c>
      <c r="L672" s="42"/>
      <c r="M672" s="43" t="s">
        <v>154</v>
      </c>
      <c r="N672" s="42" t="s">
        <v>155</v>
      </c>
      <c r="O672" s="43"/>
      <c r="P672" s="43"/>
      <c r="Q672" s="25" t="e">
        <f>VLOOKUP(P672,Key!$E$2:$F$9,2,FALSE)</f>
        <v>#N/A</v>
      </c>
      <c r="R672" s="25" t="e">
        <f t="shared" si="10"/>
        <v>#N/A</v>
      </c>
      <c r="S672" s="58"/>
      <c r="T672" s="58"/>
      <c r="U672" s="43"/>
      <c r="V672" s="43"/>
      <c r="W672" s="58"/>
      <c r="X672" s="58"/>
      <c r="Y672" s="59" t="s">
        <v>156</v>
      </c>
      <c r="Z672" s="60"/>
      <c r="AA672" s="25"/>
      <c r="AB672" s="25"/>
    </row>
    <row r="673" spans="2:28">
      <c r="B673" s="40"/>
      <c r="C673" s="40"/>
      <c r="D673" s="41"/>
      <c r="E673" s="42"/>
      <c r="F673" s="42"/>
      <c r="G673" s="43" t="s">
        <v>154</v>
      </c>
      <c r="H673" s="42" t="s">
        <v>155</v>
      </c>
      <c r="I673" s="43"/>
      <c r="J673" s="43"/>
      <c r="K673" s="25" t="e">
        <f>VLOOKUP(J673,Key!$E$2:$F$9,2,FALSE)</f>
        <v>#N/A</v>
      </c>
      <c r="L673" s="42"/>
      <c r="M673" s="43" t="s">
        <v>154</v>
      </c>
      <c r="N673" s="42" t="s">
        <v>155</v>
      </c>
      <c r="O673" s="43"/>
      <c r="P673" s="43"/>
      <c r="Q673" s="25" t="e">
        <f>VLOOKUP(P673,Key!$E$2:$F$9,2,FALSE)</f>
        <v>#N/A</v>
      </c>
      <c r="R673" s="25" t="e">
        <f t="shared" si="10"/>
        <v>#N/A</v>
      </c>
      <c r="S673" s="58"/>
      <c r="T673" s="58"/>
      <c r="U673" s="43"/>
      <c r="V673" s="43"/>
      <c r="W673" s="58"/>
      <c r="X673" s="58"/>
      <c r="Y673" s="59" t="s">
        <v>156</v>
      </c>
      <c r="Z673" s="60"/>
      <c r="AA673" s="25"/>
      <c r="AB673" s="25"/>
    </row>
    <row r="674" spans="2:28">
      <c r="B674" s="40"/>
      <c r="C674" s="40"/>
      <c r="D674" s="41"/>
      <c r="E674" s="42"/>
      <c r="F674" s="42"/>
      <c r="G674" s="43" t="s">
        <v>154</v>
      </c>
      <c r="H674" s="42" t="s">
        <v>155</v>
      </c>
      <c r="I674" s="43"/>
      <c r="J674" s="43"/>
      <c r="K674" s="25" t="e">
        <f>VLOOKUP(J674,Key!$E$2:$F$9,2,FALSE)</f>
        <v>#N/A</v>
      </c>
      <c r="L674" s="42"/>
      <c r="M674" s="43" t="s">
        <v>154</v>
      </c>
      <c r="N674" s="42" t="s">
        <v>155</v>
      </c>
      <c r="O674" s="43"/>
      <c r="P674" s="43"/>
      <c r="Q674" s="25" t="e">
        <f>VLOOKUP(P674,Key!$E$2:$F$9,2,FALSE)</f>
        <v>#N/A</v>
      </c>
      <c r="R674" s="25" t="e">
        <f t="shared" si="10"/>
        <v>#N/A</v>
      </c>
      <c r="S674" s="58"/>
      <c r="T674" s="58"/>
      <c r="U674" s="43"/>
      <c r="V674" s="43"/>
      <c r="W674" s="58"/>
      <c r="X674" s="58"/>
      <c r="Y674" s="59" t="s">
        <v>156</v>
      </c>
      <c r="Z674" s="60"/>
      <c r="AA674" s="25"/>
      <c r="AB674" s="25"/>
    </row>
    <row r="675" spans="2:28">
      <c r="B675" s="40"/>
      <c r="C675" s="40"/>
      <c r="D675" s="41"/>
      <c r="E675" s="42"/>
      <c r="F675" s="42"/>
      <c r="G675" s="43" t="s">
        <v>154</v>
      </c>
      <c r="H675" s="42" t="s">
        <v>155</v>
      </c>
      <c r="I675" s="43"/>
      <c r="J675" s="43"/>
      <c r="K675" s="25" t="e">
        <f>VLOOKUP(J675,Key!$E$2:$F$9,2,FALSE)</f>
        <v>#N/A</v>
      </c>
      <c r="L675" s="42"/>
      <c r="M675" s="43" t="s">
        <v>154</v>
      </c>
      <c r="N675" s="42" t="s">
        <v>155</v>
      </c>
      <c r="O675" s="43"/>
      <c r="P675" s="43"/>
      <c r="Q675" s="25" t="e">
        <f>VLOOKUP(P675,Key!$E$2:$F$9,2,FALSE)</f>
        <v>#N/A</v>
      </c>
      <c r="R675" s="25" t="e">
        <f t="shared" si="10"/>
        <v>#N/A</v>
      </c>
      <c r="S675" s="58"/>
      <c r="T675" s="58"/>
      <c r="U675" s="43"/>
      <c r="V675" s="43"/>
      <c r="W675" s="58"/>
      <c r="X675" s="58"/>
      <c r="Y675" s="59" t="s">
        <v>156</v>
      </c>
      <c r="Z675" s="60"/>
      <c r="AA675" s="25"/>
      <c r="AB675" s="25"/>
    </row>
    <row r="676" spans="2:28">
      <c r="B676" s="40"/>
      <c r="C676" s="40"/>
      <c r="D676" s="41"/>
      <c r="E676" s="42"/>
      <c r="F676" s="42"/>
      <c r="G676" s="43" t="s">
        <v>154</v>
      </c>
      <c r="H676" s="42" t="s">
        <v>155</v>
      </c>
      <c r="I676" s="43"/>
      <c r="J676" s="43"/>
      <c r="K676" s="25" t="e">
        <f>VLOOKUP(J676,Key!$E$2:$F$9,2,FALSE)</f>
        <v>#N/A</v>
      </c>
      <c r="L676" s="42"/>
      <c r="M676" s="43" t="s">
        <v>154</v>
      </c>
      <c r="N676" s="42" t="s">
        <v>155</v>
      </c>
      <c r="O676" s="43"/>
      <c r="P676" s="43"/>
      <c r="Q676" s="25" t="e">
        <f>VLOOKUP(P676,Key!$E$2:$F$9,2,FALSE)</f>
        <v>#N/A</v>
      </c>
      <c r="R676" s="25" t="e">
        <f t="shared" si="10"/>
        <v>#N/A</v>
      </c>
      <c r="S676" s="58"/>
      <c r="T676" s="58"/>
      <c r="U676" s="43"/>
      <c r="V676" s="43"/>
      <c r="W676" s="58"/>
      <c r="X676" s="58"/>
      <c r="Y676" s="59" t="s">
        <v>156</v>
      </c>
      <c r="Z676" s="60"/>
      <c r="AA676" s="25"/>
      <c r="AB676" s="25"/>
    </row>
    <row r="677" spans="2:28">
      <c r="B677" s="40"/>
      <c r="C677" s="40"/>
      <c r="D677" s="41"/>
      <c r="E677" s="42"/>
      <c r="F677" s="42"/>
      <c r="G677" s="43" t="s">
        <v>154</v>
      </c>
      <c r="H677" s="42" t="s">
        <v>155</v>
      </c>
      <c r="I677" s="43"/>
      <c r="J677" s="43"/>
      <c r="K677" s="25" t="e">
        <f>VLOOKUP(J677,Key!$E$2:$F$9,2,FALSE)</f>
        <v>#N/A</v>
      </c>
      <c r="L677" s="42"/>
      <c r="M677" s="43" t="s">
        <v>154</v>
      </c>
      <c r="N677" s="42" t="s">
        <v>155</v>
      </c>
      <c r="O677" s="43"/>
      <c r="P677" s="43"/>
      <c r="Q677" s="25" t="e">
        <f>VLOOKUP(P677,Key!$E$2:$F$9,2,FALSE)</f>
        <v>#N/A</v>
      </c>
      <c r="R677" s="25" t="e">
        <f t="shared" si="10"/>
        <v>#N/A</v>
      </c>
      <c r="S677" s="58"/>
      <c r="T677" s="58"/>
      <c r="U677" s="43"/>
      <c r="V677" s="43"/>
      <c r="W677" s="58"/>
      <c r="X677" s="58"/>
      <c r="Y677" s="59" t="s">
        <v>156</v>
      </c>
      <c r="Z677" s="60"/>
      <c r="AA677" s="25"/>
      <c r="AB677" s="25"/>
    </row>
    <row r="678" spans="2:28">
      <c r="B678" s="40"/>
      <c r="C678" s="40"/>
      <c r="D678" s="41"/>
      <c r="E678" s="42"/>
      <c r="F678" s="42"/>
      <c r="G678" s="43" t="s">
        <v>154</v>
      </c>
      <c r="H678" s="42" t="s">
        <v>155</v>
      </c>
      <c r="I678" s="43"/>
      <c r="J678" s="43"/>
      <c r="K678" s="25" t="e">
        <f>VLOOKUP(J678,Key!$E$2:$F$9,2,FALSE)</f>
        <v>#N/A</v>
      </c>
      <c r="L678" s="42"/>
      <c r="M678" s="43" t="s">
        <v>154</v>
      </c>
      <c r="N678" s="42" t="s">
        <v>155</v>
      </c>
      <c r="O678" s="43"/>
      <c r="P678" s="43"/>
      <c r="Q678" s="25" t="e">
        <f>VLOOKUP(P678,Key!$E$2:$F$9,2,FALSE)</f>
        <v>#N/A</v>
      </c>
      <c r="R678" s="25" t="e">
        <f t="shared" ref="R678:R741" si="11">K678&amp;"-"&amp;Q678</f>
        <v>#N/A</v>
      </c>
      <c r="S678" s="58"/>
      <c r="T678" s="58"/>
      <c r="U678" s="43"/>
      <c r="V678" s="43"/>
      <c r="W678" s="58"/>
      <c r="X678" s="58"/>
      <c r="Y678" s="59" t="s">
        <v>156</v>
      </c>
      <c r="Z678" s="60"/>
      <c r="AA678" s="25"/>
      <c r="AB678" s="25"/>
    </row>
    <row r="679" spans="2:28">
      <c r="B679" s="40"/>
      <c r="C679" s="40"/>
      <c r="D679" s="41"/>
      <c r="E679" s="42"/>
      <c r="F679" s="42"/>
      <c r="G679" s="43" t="s">
        <v>154</v>
      </c>
      <c r="H679" s="42" t="s">
        <v>155</v>
      </c>
      <c r="I679" s="43"/>
      <c r="J679" s="43"/>
      <c r="K679" s="25" t="e">
        <f>VLOOKUP(J679,Key!$E$2:$F$9,2,FALSE)</f>
        <v>#N/A</v>
      </c>
      <c r="L679" s="42"/>
      <c r="M679" s="43" t="s">
        <v>154</v>
      </c>
      <c r="N679" s="42" t="s">
        <v>155</v>
      </c>
      <c r="O679" s="43"/>
      <c r="P679" s="43"/>
      <c r="Q679" s="25" t="e">
        <f>VLOOKUP(P679,Key!$E$2:$F$9,2,FALSE)</f>
        <v>#N/A</v>
      </c>
      <c r="R679" s="25" t="e">
        <f t="shared" si="11"/>
        <v>#N/A</v>
      </c>
      <c r="S679" s="58"/>
      <c r="T679" s="58"/>
      <c r="U679" s="43"/>
      <c r="V679" s="43"/>
      <c r="W679" s="58"/>
      <c r="X679" s="58"/>
      <c r="Y679" s="59" t="s">
        <v>156</v>
      </c>
      <c r="Z679" s="60"/>
      <c r="AA679" s="25"/>
      <c r="AB679" s="25"/>
    </row>
    <row r="680" spans="2:28">
      <c r="B680" s="40"/>
      <c r="C680" s="40"/>
      <c r="D680" s="41"/>
      <c r="E680" s="42"/>
      <c r="F680" s="42"/>
      <c r="G680" s="43" t="s">
        <v>154</v>
      </c>
      <c r="H680" s="42" t="s">
        <v>155</v>
      </c>
      <c r="I680" s="43"/>
      <c r="J680" s="43"/>
      <c r="K680" s="25" t="e">
        <f>VLOOKUP(J680,Key!$E$2:$F$9,2,FALSE)</f>
        <v>#N/A</v>
      </c>
      <c r="L680" s="42"/>
      <c r="M680" s="43" t="s">
        <v>154</v>
      </c>
      <c r="N680" s="42" t="s">
        <v>155</v>
      </c>
      <c r="O680" s="43"/>
      <c r="P680" s="43"/>
      <c r="Q680" s="25" t="e">
        <f>VLOOKUP(P680,Key!$E$2:$F$9,2,FALSE)</f>
        <v>#N/A</v>
      </c>
      <c r="R680" s="25" t="e">
        <f t="shared" si="11"/>
        <v>#N/A</v>
      </c>
      <c r="S680" s="58"/>
      <c r="T680" s="58"/>
      <c r="U680" s="43"/>
      <c r="V680" s="43"/>
      <c r="W680" s="58"/>
      <c r="X680" s="58"/>
      <c r="Y680" s="59" t="s">
        <v>156</v>
      </c>
      <c r="Z680" s="60"/>
      <c r="AA680" s="25"/>
      <c r="AB680" s="25"/>
    </row>
    <row r="681" spans="2:28">
      <c r="B681" s="40"/>
      <c r="C681" s="40"/>
      <c r="D681" s="41"/>
      <c r="E681" s="42"/>
      <c r="F681" s="42"/>
      <c r="G681" s="43" t="s">
        <v>154</v>
      </c>
      <c r="H681" s="42" t="s">
        <v>155</v>
      </c>
      <c r="I681" s="43"/>
      <c r="J681" s="43"/>
      <c r="K681" s="25" t="e">
        <f>VLOOKUP(J681,Key!$E$2:$F$9,2,FALSE)</f>
        <v>#N/A</v>
      </c>
      <c r="L681" s="42"/>
      <c r="M681" s="43" t="s">
        <v>154</v>
      </c>
      <c r="N681" s="42" t="s">
        <v>155</v>
      </c>
      <c r="O681" s="43"/>
      <c r="P681" s="43"/>
      <c r="Q681" s="25" t="e">
        <f>VLOOKUP(P681,Key!$E$2:$F$9,2,FALSE)</f>
        <v>#N/A</v>
      </c>
      <c r="R681" s="25" t="e">
        <f t="shared" si="11"/>
        <v>#N/A</v>
      </c>
      <c r="S681" s="58"/>
      <c r="T681" s="58"/>
      <c r="U681" s="43"/>
      <c r="V681" s="43"/>
      <c r="W681" s="58"/>
      <c r="X681" s="58"/>
      <c r="Y681" s="59" t="s">
        <v>156</v>
      </c>
      <c r="Z681" s="60"/>
      <c r="AA681" s="25"/>
      <c r="AB681" s="25"/>
    </row>
    <row r="682" spans="2:28">
      <c r="B682" s="40"/>
      <c r="C682" s="40"/>
      <c r="D682" s="41"/>
      <c r="E682" s="42"/>
      <c r="F682" s="42"/>
      <c r="G682" s="43" t="s">
        <v>154</v>
      </c>
      <c r="H682" s="42" t="s">
        <v>155</v>
      </c>
      <c r="I682" s="43"/>
      <c r="J682" s="43"/>
      <c r="K682" s="25" t="e">
        <f>VLOOKUP(J682,Key!$E$2:$F$9,2,FALSE)</f>
        <v>#N/A</v>
      </c>
      <c r="L682" s="42"/>
      <c r="M682" s="43" t="s">
        <v>154</v>
      </c>
      <c r="N682" s="42" t="s">
        <v>155</v>
      </c>
      <c r="O682" s="43"/>
      <c r="P682" s="43"/>
      <c r="Q682" s="25" t="e">
        <f>VLOOKUP(P682,Key!$E$2:$F$9,2,FALSE)</f>
        <v>#N/A</v>
      </c>
      <c r="R682" s="25" t="e">
        <f t="shared" si="11"/>
        <v>#N/A</v>
      </c>
      <c r="S682" s="58"/>
      <c r="T682" s="58"/>
      <c r="U682" s="43"/>
      <c r="V682" s="43"/>
      <c r="W682" s="58"/>
      <c r="X682" s="58"/>
      <c r="Y682" s="59" t="s">
        <v>156</v>
      </c>
      <c r="Z682" s="60"/>
      <c r="AA682" s="25"/>
      <c r="AB682" s="25"/>
    </row>
    <row r="683" spans="2:28">
      <c r="B683" s="40"/>
      <c r="C683" s="40"/>
      <c r="D683" s="41"/>
      <c r="E683" s="42"/>
      <c r="F683" s="42"/>
      <c r="G683" s="43" t="s">
        <v>154</v>
      </c>
      <c r="H683" s="42" t="s">
        <v>155</v>
      </c>
      <c r="I683" s="43"/>
      <c r="J683" s="43"/>
      <c r="K683" s="25" t="e">
        <f>VLOOKUP(J683,Key!$E$2:$F$9,2,FALSE)</f>
        <v>#N/A</v>
      </c>
      <c r="L683" s="42"/>
      <c r="M683" s="43" t="s">
        <v>154</v>
      </c>
      <c r="N683" s="42" t="s">
        <v>155</v>
      </c>
      <c r="O683" s="43"/>
      <c r="P683" s="43"/>
      <c r="Q683" s="25" t="e">
        <f>VLOOKUP(P683,Key!$E$2:$F$9,2,FALSE)</f>
        <v>#N/A</v>
      </c>
      <c r="R683" s="25" t="e">
        <f t="shared" si="11"/>
        <v>#N/A</v>
      </c>
      <c r="S683" s="58"/>
      <c r="T683" s="58"/>
      <c r="U683" s="43"/>
      <c r="V683" s="43"/>
      <c r="W683" s="58"/>
      <c r="X683" s="58"/>
      <c r="Y683" s="59" t="s">
        <v>156</v>
      </c>
      <c r="Z683" s="60"/>
      <c r="AA683" s="25"/>
      <c r="AB683" s="25"/>
    </row>
    <row r="684" spans="2:28">
      <c r="B684" s="40"/>
      <c r="C684" s="40"/>
      <c r="D684" s="41"/>
      <c r="E684" s="42"/>
      <c r="F684" s="42"/>
      <c r="G684" s="43" t="s">
        <v>154</v>
      </c>
      <c r="H684" s="42" t="s">
        <v>155</v>
      </c>
      <c r="I684" s="43"/>
      <c r="J684" s="43"/>
      <c r="K684" s="25" t="e">
        <f>VLOOKUP(J684,Key!$E$2:$F$9,2,FALSE)</f>
        <v>#N/A</v>
      </c>
      <c r="L684" s="42"/>
      <c r="M684" s="43" t="s">
        <v>154</v>
      </c>
      <c r="N684" s="42" t="s">
        <v>155</v>
      </c>
      <c r="O684" s="43"/>
      <c r="P684" s="43"/>
      <c r="Q684" s="25" t="e">
        <f>VLOOKUP(P684,Key!$E$2:$F$9,2,FALSE)</f>
        <v>#N/A</v>
      </c>
      <c r="R684" s="25" t="e">
        <f t="shared" si="11"/>
        <v>#N/A</v>
      </c>
      <c r="S684" s="58"/>
      <c r="T684" s="58"/>
      <c r="U684" s="43"/>
      <c r="V684" s="43"/>
      <c r="W684" s="58"/>
      <c r="X684" s="58"/>
      <c r="Y684" s="59" t="s">
        <v>156</v>
      </c>
      <c r="Z684" s="60"/>
      <c r="AA684" s="25"/>
      <c r="AB684" s="25"/>
    </row>
    <row r="685" spans="2:28">
      <c r="B685" s="40"/>
      <c r="C685" s="40"/>
      <c r="D685" s="41"/>
      <c r="E685" s="42"/>
      <c r="F685" s="42"/>
      <c r="G685" s="43" t="s">
        <v>154</v>
      </c>
      <c r="H685" s="42" t="s">
        <v>155</v>
      </c>
      <c r="I685" s="43"/>
      <c r="J685" s="43"/>
      <c r="K685" s="25" t="e">
        <f>VLOOKUP(J685,Key!$E$2:$F$9,2,FALSE)</f>
        <v>#N/A</v>
      </c>
      <c r="L685" s="42"/>
      <c r="M685" s="43" t="s">
        <v>154</v>
      </c>
      <c r="N685" s="42" t="s">
        <v>155</v>
      </c>
      <c r="O685" s="43"/>
      <c r="P685" s="43"/>
      <c r="Q685" s="25" t="e">
        <f>VLOOKUP(P685,Key!$E$2:$F$9,2,FALSE)</f>
        <v>#N/A</v>
      </c>
      <c r="R685" s="25" t="e">
        <f t="shared" si="11"/>
        <v>#N/A</v>
      </c>
      <c r="S685" s="58"/>
      <c r="T685" s="58"/>
      <c r="U685" s="43"/>
      <c r="V685" s="43"/>
      <c r="W685" s="58"/>
      <c r="X685" s="58"/>
      <c r="Y685" s="59" t="s">
        <v>156</v>
      </c>
      <c r="Z685" s="60"/>
      <c r="AA685" s="25"/>
      <c r="AB685" s="25"/>
    </row>
    <row r="686" spans="2:28">
      <c r="B686" s="40"/>
      <c r="C686" s="40"/>
      <c r="D686" s="41"/>
      <c r="E686" s="42"/>
      <c r="F686" s="42"/>
      <c r="G686" s="43" t="s">
        <v>154</v>
      </c>
      <c r="H686" s="42" t="s">
        <v>155</v>
      </c>
      <c r="I686" s="43"/>
      <c r="J686" s="43"/>
      <c r="K686" s="25" t="e">
        <f>VLOOKUP(J686,Key!$E$2:$F$9,2,FALSE)</f>
        <v>#N/A</v>
      </c>
      <c r="L686" s="42"/>
      <c r="M686" s="43" t="s">
        <v>154</v>
      </c>
      <c r="N686" s="42" t="s">
        <v>155</v>
      </c>
      <c r="O686" s="43"/>
      <c r="P686" s="43"/>
      <c r="Q686" s="25" t="e">
        <f>VLOOKUP(P686,Key!$E$2:$F$9,2,FALSE)</f>
        <v>#N/A</v>
      </c>
      <c r="R686" s="25" t="e">
        <f t="shared" si="11"/>
        <v>#N/A</v>
      </c>
      <c r="S686" s="58"/>
      <c r="T686" s="58"/>
      <c r="U686" s="43"/>
      <c r="V686" s="43"/>
      <c r="W686" s="58"/>
      <c r="X686" s="58"/>
      <c r="Y686" s="59" t="s">
        <v>156</v>
      </c>
      <c r="Z686" s="60"/>
      <c r="AA686" s="25"/>
      <c r="AB686" s="25"/>
    </row>
    <row r="687" spans="2:28">
      <c r="B687" s="40"/>
      <c r="C687" s="40"/>
      <c r="D687" s="41"/>
      <c r="E687" s="42"/>
      <c r="F687" s="42"/>
      <c r="G687" s="43" t="s">
        <v>154</v>
      </c>
      <c r="H687" s="42" t="s">
        <v>155</v>
      </c>
      <c r="I687" s="43"/>
      <c r="J687" s="43"/>
      <c r="K687" s="25" t="e">
        <f>VLOOKUP(J687,Key!$E$2:$F$9,2,FALSE)</f>
        <v>#N/A</v>
      </c>
      <c r="L687" s="42"/>
      <c r="M687" s="43" t="s">
        <v>154</v>
      </c>
      <c r="N687" s="42" t="s">
        <v>155</v>
      </c>
      <c r="O687" s="43"/>
      <c r="P687" s="43"/>
      <c r="Q687" s="25" t="e">
        <f>VLOOKUP(P687,Key!$E$2:$F$9,2,FALSE)</f>
        <v>#N/A</v>
      </c>
      <c r="R687" s="25" t="e">
        <f t="shared" si="11"/>
        <v>#N/A</v>
      </c>
      <c r="S687" s="58"/>
      <c r="T687" s="58"/>
      <c r="U687" s="43"/>
      <c r="V687" s="43"/>
      <c r="W687" s="58"/>
      <c r="X687" s="58"/>
      <c r="Y687" s="59" t="s">
        <v>156</v>
      </c>
      <c r="Z687" s="60"/>
      <c r="AA687" s="25"/>
      <c r="AB687" s="25"/>
    </row>
    <row r="688" spans="2:28">
      <c r="B688" s="40"/>
      <c r="C688" s="40"/>
      <c r="D688" s="41"/>
      <c r="E688" s="42"/>
      <c r="F688" s="42"/>
      <c r="G688" s="43" t="s">
        <v>154</v>
      </c>
      <c r="H688" s="42" t="s">
        <v>155</v>
      </c>
      <c r="I688" s="43"/>
      <c r="J688" s="43"/>
      <c r="K688" s="25" t="e">
        <f>VLOOKUP(J688,Key!$E$2:$F$9,2,FALSE)</f>
        <v>#N/A</v>
      </c>
      <c r="L688" s="42"/>
      <c r="M688" s="43" t="s">
        <v>154</v>
      </c>
      <c r="N688" s="42" t="s">
        <v>155</v>
      </c>
      <c r="O688" s="43"/>
      <c r="P688" s="43"/>
      <c r="Q688" s="25" t="e">
        <f>VLOOKUP(P688,Key!$E$2:$F$9,2,FALSE)</f>
        <v>#N/A</v>
      </c>
      <c r="R688" s="25" t="e">
        <f t="shared" si="11"/>
        <v>#N/A</v>
      </c>
      <c r="S688" s="58"/>
      <c r="T688" s="58"/>
      <c r="U688" s="43"/>
      <c r="V688" s="43"/>
      <c r="W688" s="58"/>
      <c r="X688" s="58"/>
      <c r="Y688" s="59" t="s">
        <v>156</v>
      </c>
      <c r="Z688" s="60"/>
      <c r="AA688" s="25"/>
      <c r="AB688" s="25"/>
    </row>
    <row r="689" spans="2:28">
      <c r="B689" s="40"/>
      <c r="C689" s="40"/>
      <c r="D689" s="41"/>
      <c r="E689" s="42"/>
      <c r="F689" s="42"/>
      <c r="G689" s="43" t="s">
        <v>154</v>
      </c>
      <c r="H689" s="42" t="s">
        <v>155</v>
      </c>
      <c r="I689" s="43"/>
      <c r="J689" s="43"/>
      <c r="K689" s="25" t="e">
        <f>VLOOKUP(J689,Key!$E$2:$F$9,2,FALSE)</f>
        <v>#N/A</v>
      </c>
      <c r="L689" s="42"/>
      <c r="M689" s="43" t="s">
        <v>154</v>
      </c>
      <c r="N689" s="42" t="s">
        <v>155</v>
      </c>
      <c r="O689" s="43"/>
      <c r="P689" s="43"/>
      <c r="Q689" s="25" t="e">
        <f>VLOOKUP(P689,Key!$E$2:$F$9,2,FALSE)</f>
        <v>#N/A</v>
      </c>
      <c r="R689" s="25" t="e">
        <f t="shared" si="11"/>
        <v>#N/A</v>
      </c>
      <c r="S689" s="58"/>
      <c r="T689" s="58"/>
      <c r="U689" s="43"/>
      <c r="V689" s="43"/>
      <c r="W689" s="58"/>
      <c r="X689" s="58"/>
      <c r="Y689" s="59" t="s">
        <v>156</v>
      </c>
      <c r="Z689" s="60"/>
      <c r="AA689" s="25"/>
      <c r="AB689" s="25"/>
    </row>
    <row r="690" spans="2:28">
      <c r="B690" s="40"/>
      <c r="C690" s="40"/>
      <c r="D690" s="41"/>
      <c r="E690" s="42"/>
      <c r="F690" s="42"/>
      <c r="G690" s="43" t="s">
        <v>154</v>
      </c>
      <c r="H690" s="42" t="s">
        <v>155</v>
      </c>
      <c r="I690" s="43"/>
      <c r="J690" s="43"/>
      <c r="K690" s="25" t="e">
        <f>VLOOKUP(J690,Key!$E$2:$F$9,2,FALSE)</f>
        <v>#N/A</v>
      </c>
      <c r="L690" s="42"/>
      <c r="M690" s="43" t="s">
        <v>154</v>
      </c>
      <c r="N690" s="42" t="s">
        <v>155</v>
      </c>
      <c r="O690" s="43"/>
      <c r="P690" s="43"/>
      <c r="Q690" s="25" t="e">
        <f>VLOOKUP(P690,Key!$E$2:$F$9,2,FALSE)</f>
        <v>#N/A</v>
      </c>
      <c r="R690" s="25" t="e">
        <f t="shared" si="11"/>
        <v>#N/A</v>
      </c>
      <c r="S690" s="58"/>
      <c r="T690" s="58"/>
      <c r="U690" s="43"/>
      <c r="V690" s="43"/>
      <c r="W690" s="58"/>
      <c r="X690" s="58"/>
      <c r="Y690" s="59" t="s">
        <v>156</v>
      </c>
      <c r="Z690" s="60"/>
      <c r="AA690" s="25"/>
      <c r="AB690" s="25"/>
    </row>
    <row r="691" spans="2:28">
      <c r="B691" s="40"/>
      <c r="C691" s="40"/>
      <c r="D691" s="41"/>
      <c r="E691" s="42"/>
      <c r="F691" s="42"/>
      <c r="G691" s="43" t="s">
        <v>154</v>
      </c>
      <c r="H691" s="42" t="s">
        <v>155</v>
      </c>
      <c r="I691" s="43"/>
      <c r="J691" s="43"/>
      <c r="K691" s="25" t="e">
        <f>VLOOKUP(J691,Key!$E$2:$F$9,2,FALSE)</f>
        <v>#N/A</v>
      </c>
      <c r="L691" s="42"/>
      <c r="M691" s="43" t="s">
        <v>154</v>
      </c>
      <c r="N691" s="42" t="s">
        <v>155</v>
      </c>
      <c r="O691" s="43"/>
      <c r="P691" s="43"/>
      <c r="Q691" s="25" t="e">
        <f>VLOOKUP(P691,Key!$E$2:$F$9,2,FALSE)</f>
        <v>#N/A</v>
      </c>
      <c r="R691" s="25" t="e">
        <f t="shared" si="11"/>
        <v>#N/A</v>
      </c>
      <c r="S691" s="58"/>
      <c r="T691" s="58"/>
      <c r="U691" s="43"/>
      <c r="V691" s="43"/>
      <c r="W691" s="58"/>
      <c r="X691" s="58"/>
      <c r="Y691" s="59" t="s">
        <v>156</v>
      </c>
      <c r="Z691" s="60"/>
      <c r="AA691" s="25"/>
      <c r="AB691" s="25"/>
    </row>
    <row r="692" spans="2:28">
      <c r="B692" s="40"/>
      <c r="C692" s="40"/>
      <c r="D692" s="41"/>
      <c r="E692" s="42"/>
      <c r="F692" s="42"/>
      <c r="G692" s="43" t="s">
        <v>154</v>
      </c>
      <c r="H692" s="42" t="s">
        <v>155</v>
      </c>
      <c r="I692" s="43"/>
      <c r="J692" s="43"/>
      <c r="K692" s="25" t="e">
        <f>VLOOKUP(J692,Key!$E$2:$F$9,2,FALSE)</f>
        <v>#N/A</v>
      </c>
      <c r="L692" s="42"/>
      <c r="M692" s="43" t="s">
        <v>154</v>
      </c>
      <c r="N692" s="42" t="s">
        <v>155</v>
      </c>
      <c r="O692" s="43"/>
      <c r="P692" s="43"/>
      <c r="Q692" s="25" t="e">
        <f>VLOOKUP(P692,Key!$E$2:$F$9,2,FALSE)</f>
        <v>#N/A</v>
      </c>
      <c r="R692" s="25" t="e">
        <f t="shared" si="11"/>
        <v>#N/A</v>
      </c>
      <c r="S692" s="58"/>
      <c r="T692" s="58"/>
      <c r="U692" s="43"/>
      <c r="V692" s="43"/>
      <c r="W692" s="58"/>
      <c r="X692" s="58"/>
      <c r="Y692" s="59" t="s">
        <v>156</v>
      </c>
      <c r="Z692" s="60"/>
      <c r="AA692" s="25"/>
      <c r="AB692" s="25"/>
    </row>
    <row r="693" spans="2:28">
      <c r="B693" s="40"/>
      <c r="C693" s="40"/>
      <c r="D693" s="41"/>
      <c r="E693" s="42"/>
      <c r="F693" s="42"/>
      <c r="G693" s="43" t="s">
        <v>154</v>
      </c>
      <c r="H693" s="42" t="s">
        <v>155</v>
      </c>
      <c r="I693" s="43"/>
      <c r="J693" s="43"/>
      <c r="K693" s="25" t="e">
        <f>VLOOKUP(J693,Key!$E$2:$F$9,2,FALSE)</f>
        <v>#N/A</v>
      </c>
      <c r="L693" s="42"/>
      <c r="M693" s="43" t="s">
        <v>154</v>
      </c>
      <c r="N693" s="42" t="s">
        <v>155</v>
      </c>
      <c r="O693" s="43"/>
      <c r="P693" s="43"/>
      <c r="Q693" s="25" t="e">
        <f>VLOOKUP(P693,Key!$E$2:$F$9,2,FALSE)</f>
        <v>#N/A</v>
      </c>
      <c r="R693" s="25" t="e">
        <f t="shared" si="11"/>
        <v>#N/A</v>
      </c>
      <c r="S693" s="58"/>
      <c r="T693" s="58"/>
      <c r="U693" s="43"/>
      <c r="V693" s="43"/>
      <c r="W693" s="58"/>
      <c r="X693" s="58"/>
      <c r="Y693" s="59" t="s">
        <v>156</v>
      </c>
      <c r="Z693" s="60"/>
      <c r="AA693" s="25"/>
      <c r="AB693" s="25"/>
    </row>
    <row r="694" spans="2:28">
      <c r="B694" s="40"/>
      <c r="C694" s="40"/>
      <c r="D694" s="41"/>
      <c r="E694" s="42"/>
      <c r="F694" s="42"/>
      <c r="G694" s="43" t="s">
        <v>154</v>
      </c>
      <c r="H694" s="42" t="s">
        <v>155</v>
      </c>
      <c r="I694" s="43"/>
      <c r="J694" s="43"/>
      <c r="K694" s="25" t="e">
        <f>VLOOKUP(J694,Key!$E$2:$F$9,2,FALSE)</f>
        <v>#N/A</v>
      </c>
      <c r="L694" s="42"/>
      <c r="M694" s="43" t="s">
        <v>154</v>
      </c>
      <c r="N694" s="42" t="s">
        <v>155</v>
      </c>
      <c r="O694" s="43"/>
      <c r="P694" s="43"/>
      <c r="Q694" s="25" t="e">
        <f>VLOOKUP(P694,Key!$E$2:$F$9,2,FALSE)</f>
        <v>#N/A</v>
      </c>
      <c r="R694" s="25" t="e">
        <f t="shared" si="11"/>
        <v>#N/A</v>
      </c>
      <c r="S694" s="58"/>
      <c r="T694" s="58"/>
      <c r="U694" s="43"/>
      <c r="V694" s="43"/>
      <c r="W694" s="58"/>
      <c r="X694" s="58"/>
      <c r="Y694" s="59" t="s">
        <v>156</v>
      </c>
      <c r="Z694" s="60"/>
      <c r="AA694" s="25"/>
      <c r="AB694" s="25"/>
    </row>
    <row r="695" spans="2:28">
      <c r="B695" s="40"/>
      <c r="C695" s="40"/>
      <c r="D695" s="41"/>
      <c r="E695" s="42"/>
      <c r="F695" s="42"/>
      <c r="G695" s="43" t="s">
        <v>154</v>
      </c>
      <c r="H695" s="42" t="s">
        <v>155</v>
      </c>
      <c r="I695" s="43"/>
      <c r="J695" s="43"/>
      <c r="K695" s="25" t="e">
        <f>VLOOKUP(J695,Key!$E$2:$F$9,2,FALSE)</f>
        <v>#N/A</v>
      </c>
      <c r="L695" s="42"/>
      <c r="M695" s="43" t="s">
        <v>154</v>
      </c>
      <c r="N695" s="42" t="s">
        <v>155</v>
      </c>
      <c r="O695" s="43"/>
      <c r="P695" s="43"/>
      <c r="Q695" s="25" t="e">
        <f>VLOOKUP(P695,Key!$E$2:$F$9,2,FALSE)</f>
        <v>#N/A</v>
      </c>
      <c r="R695" s="25" t="e">
        <f t="shared" si="11"/>
        <v>#N/A</v>
      </c>
      <c r="S695" s="58"/>
      <c r="T695" s="58"/>
      <c r="U695" s="43"/>
      <c r="V695" s="43"/>
      <c r="W695" s="58"/>
      <c r="X695" s="58"/>
      <c r="Y695" s="59" t="s">
        <v>156</v>
      </c>
      <c r="Z695" s="60"/>
      <c r="AA695" s="25"/>
      <c r="AB695" s="25"/>
    </row>
    <row r="696" spans="2:28">
      <c r="B696" s="40"/>
      <c r="C696" s="40"/>
      <c r="D696" s="41"/>
      <c r="E696" s="42"/>
      <c r="F696" s="42"/>
      <c r="G696" s="43" t="s">
        <v>154</v>
      </c>
      <c r="H696" s="42" t="s">
        <v>155</v>
      </c>
      <c r="I696" s="43"/>
      <c r="J696" s="43"/>
      <c r="K696" s="25" t="e">
        <f>VLOOKUP(J696,Key!$E$2:$F$9,2,FALSE)</f>
        <v>#N/A</v>
      </c>
      <c r="L696" s="42"/>
      <c r="M696" s="43" t="s">
        <v>154</v>
      </c>
      <c r="N696" s="42" t="s">
        <v>155</v>
      </c>
      <c r="O696" s="43"/>
      <c r="P696" s="43"/>
      <c r="Q696" s="25" t="e">
        <f>VLOOKUP(P696,Key!$E$2:$F$9,2,FALSE)</f>
        <v>#N/A</v>
      </c>
      <c r="R696" s="25" t="e">
        <f t="shared" si="11"/>
        <v>#N/A</v>
      </c>
      <c r="S696" s="58"/>
      <c r="T696" s="58"/>
      <c r="U696" s="43"/>
      <c r="V696" s="43"/>
      <c r="W696" s="58"/>
      <c r="X696" s="58"/>
      <c r="Y696" s="59" t="s">
        <v>156</v>
      </c>
      <c r="Z696" s="60"/>
      <c r="AA696" s="25"/>
      <c r="AB696" s="25"/>
    </row>
    <row r="697" spans="2:28">
      <c r="B697" s="40"/>
      <c r="C697" s="40"/>
      <c r="D697" s="41"/>
      <c r="E697" s="42"/>
      <c r="F697" s="42"/>
      <c r="G697" s="43" t="s">
        <v>154</v>
      </c>
      <c r="H697" s="42" t="s">
        <v>155</v>
      </c>
      <c r="I697" s="43"/>
      <c r="J697" s="43"/>
      <c r="K697" s="25" t="e">
        <f>VLOOKUP(J697,Key!$E$2:$F$9,2,FALSE)</f>
        <v>#N/A</v>
      </c>
      <c r="L697" s="42"/>
      <c r="M697" s="43" t="s">
        <v>154</v>
      </c>
      <c r="N697" s="42" t="s">
        <v>155</v>
      </c>
      <c r="O697" s="43"/>
      <c r="P697" s="43"/>
      <c r="Q697" s="25" t="e">
        <f>VLOOKUP(P697,Key!$E$2:$F$9,2,FALSE)</f>
        <v>#N/A</v>
      </c>
      <c r="R697" s="25" t="e">
        <f t="shared" si="11"/>
        <v>#N/A</v>
      </c>
      <c r="S697" s="58"/>
      <c r="T697" s="58"/>
      <c r="U697" s="43"/>
      <c r="V697" s="43"/>
      <c r="W697" s="58"/>
      <c r="X697" s="58"/>
      <c r="Y697" s="59" t="s">
        <v>156</v>
      </c>
      <c r="Z697" s="60"/>
      <c r="AA697" s="25"/>
      <c r="AB697" s="25"/>
    </row>
    <row r="698" spans="2:28">
      <c r="B698" s="40"/>
      <c r="C698" s="40"/>
      <c r="D698" s="41"/>
      <c r="E698" s="42"/>
      <c r="F698" s="42"/>
      <c r="G698" s="43" t="s">
        <v>154</v>
      </c>
      <c r="H698" s="42" t="s">
        <v>155</v>
      </c>
      <c r="I698" s="43"/>
      <c r="J698" s="43"/>
      <c r="K698" s="25" t="e">
        <f>VLOOKUP(J698,Key!$E$2:$F$9,2,FALSE)</f>
        <v>#N/A</v>
      </c>
      <c r="L698" s="42"/>
      <c r="M698" s="43" t="s">
        <v>154</v>
      </c>
      <c r="N698" s="42" t="s">
        <v>155</v>
      </c>
      <c r="O698" s="43"/>
      <c r="P698" s="43"/>
      <c r="Q698" s="25" t="e">
        <f>VLOOKUP(P698,Key!$E$2:$F$9,2,FALSE)</f>
        <v>#N/A</v>
      </c>
      <c r="R698" s="25" t="e">
        <f t="shared" si="11"/>
        <v>#N/A</v>
      </c>
      <c r="S698" s="58"/>
      <c r="T698" s="58"/>
      <c r="U698" s="43"/>
      <c r="V698" s="43"/>
      <c r="W698" s="58"/>
      <c r="X698" s="58"/>
      <c r="Y698" s="59" t="s">
        <v>156</v>
      </c>
      <c r="Z698" s="60"/>
      <c r="AA698" s="25"/>
      <c r="AB698" s="25"/>
    </row>
    <row r="699" spans="2:28">
      <c r="B699" s="40"/>
      <c r="C699" s="40"/>
      <c r="D699" s="41"/>
      <c r="E699" s="42"/>
      <c r="F699" s="42"/>
      <c r="G699" s="43" t="s">
        <v>154</v>
      </c>
      <c r="H699" s="42" t="s">
        <v>155</v>
      </c>
      <c r="I699" s="43"/>
      <c r="J699" s="43"/>
      <c r="K699" s="25" t="e">
        <f>VLOOKUP(J699,Key!$E$2:$F$9,2,FALSE)</f>
        <v>#N/A</v>
      </c>
      <c r="L699" s="42"/>
      <c r="M699" s="43" t="s">
        <v>154</v>
      </c>
      <c r="N699" s="42" t="s">
        <v>155</v>
      </c>
      <c r="O699" s="43"/>
      <c r="P699" s="43"/>
      <c r="Q699" s="25" t="e">
        <f>VLOOKUP(P699,Key!$E$2:$F$9,2,FALSE)</f>
        <v>#N/A</v>
      </c>
      <c r="R699" s="25" t="e">
        <f t="shared" si="11"/>
        <v>#N/A</v>
      </c>
      <c r="S699" s="58"/>
      <c r="T699" s="58"/>
      <c r="U699" s="43"/>
      <c r="V699" s="43"/>
      <c r="W699" s="58"/>
      <c r="X699" s="58"/>
      <c r="Y699" s="59" t="s">
        <v>156</v>
      </c>
      <c r="Z699" s="60"/>
      <c r="AA699" s="25"/>
      <c r="AB699" s="25"/>
    </row>
    <row r="700" spans="2:28">
      <c r="B700" s="40"/>
      <c r="C700" s="40"/>
      <c r="D700" s="41"/>
      <c r="E700" s="42"/>
      <c r="F700" s="42"/>
      <c r="G700" s="43" t="s">
        <v>154</v>
      </c>
      <c r="H700" s="42" t="s">
        <v>155</v>
      </c>
      <c r="I700" s="43"/>
      <c r="J700" s="43"/>
      <c r="K700" s="25" t="e">
        <f>VLOOKUP(J700,Key!$E$2:$F$9,2,FALSE)</f>
        <v>#N/A</v>
      </c>
      <c r="L700" s="42"/>
      <c r="M700" s="43" t="s">
        <v>154</v>
      </c>
      <c r="N700" s="42" t="s">
        <v>155</v>
      </c>
      <c r="O700" s="43"/>
      <c r="P700" s="43"/>
      <c r="Q700" s="25" t="e">
        <f>VLOOKUP(P700,Key!$E$2:$F$9,2,FALSE)</f>
        <v>#N/A</v>
      </c>
      <c r="R700" s="25" t="e">
        <f t="shared" si="11"/>
        <v>#N/A</v>
      </c>
      <c r="S700" s="58"/>
      <c r="T700" s="58"/>
      <c r="U700" s="43"/>
      <c r="V700" s="43"/>
      <c r="W700" s="58"/>
      <c r="X700" s="58"/>
      <c r="Y700" s="59" t="s">
        <v>156</v>
      </c>
      <c r="Z700" s="60"/>
      <c r="AA700" s="25"/>
      <c r="AB700" s="25"/>
    </row>
    <row r="701" spans="2:28">
      <c r="B701" s="40"/>
      <c r="C701" s="40"/>
      <c r="D701" s="41"/>
      <c r="E701" s="42"/>
      <c r="F701" s="42"/>
      <c r="G701" s="43" t="s">
        <v>154</v>
      </c>
      <c r="H701" s="42" t="s">
        <v>155</v>
      </c>
      <c r="I701" s="43"/>
      <c r="J701" s="43"/>
      <c r="K701" s="25" t="e">
        <f>VLOOKUP(J701,Key!$E$2:$F$9,2,FALSE)</f>
        <v>#N/A</v>
      </c>
      <c r="L701" s="42"/>
      <c r="M701" s="43" t="s">
        <v>154</v>
      </c>
      <c r="N701" s="42" t="s">
        <v>155</v>
      </c>
      <c r="O701" s="43"/>
      <c r="P701" s="43"/>
      <c r="Q701" s="25" t="e">
        <f>VLOOKUP(P701,Key!$E$2:$F$9,2,FALSE)</f>
        <v>#N/A</v>
      </c>
      <c r="R701" s="25" t="e">
        <f t="shared" si="11"/>
        <v>#N/A</v>
      </c>
      <c r="S701" s="58"/>
      <c r="T701" s="58"/>
      <c r="U701" s="43"/>
      <c r="V701" s="43"/>
      <c r="W701" s="58"/>
      <c r="X701" s="58"/>
      <c r="Y701" s="59" t="s">
        <v>156</v>
      </c>
      <c r="Z701" s="60"/>
      <c r="AA701" s="25"/>
      <c r="AB701" s="25"/>
    </row>
    <row r="702" spans="2:28">
      <c r="B702" s="40"/>
      <c r="C702" s="40"/>
      <c r="D702" s="41"/>
      <c r="E702" s="42"/>
      <c r="F702" s="42"/>
      <c r="G702" s="43" t="s">
        <v>154</v>
      </c>
      <c r="H702" s="42" t="s">
        <v>155</v>
      </c>
      <c r="I702" s="43"/>
      <c r="J702" s="43"/>
      <c r="K702" s="25" t="e">
        <f>VLOOKUP(J702,Key!$E$2:$F$9,2,FALSE)</f>
        <v>#N/A</v>
      </c>
      <c r="L702" s="42"/>
      <c r="M702" s="43" t="s">
        <v>154</v>
      </c>
      <c r="N702" s="42" t="s">
        <v>155</v>
      </c>
      <c r="O702" s="43"/>
      <c r="P702" s="43"/>
      <c r="Q702" s="25" t="e">
        <f>VLOOKUP(P702,Key!$E$2:$F$9,2,FALSE)</f>
        <v>#N/A</v>
      </c>
      <c r="R702" s="25" t="e">
        <f t="shared" si="11"/>
        <v>#N/A</v>
      </c>
      <c r="S702" s="58"/>
      <c r="T702" s="58"/>
      <c r="U702" s="43"/>
      <c r="V702" s="43"/>
      <c r="W702" s="58"/>
      <c r="X702" s="58"/>
      <c r="Y702" s="59" t="s">
        <v>156</v>
      </c>
      <c r="Z702" s="60"/>
      <c r="AA702" s="25"/>
      <c r="AB702" s="25"/>
    </row>
    <row r="703" spans="2:28">
      <c r="B703" s="40"/>
      <c r="C703" s="40"/>
      <c r="D703" s="41"/>
      <c r="E703" s="42"/>
      <c r="F703" s="42"/>
      <c r="G703" s="43" t="s">
        <v>154</v>
      </c>
      <c r="H703" s="42" t="s">
        <v>155</v>
      </c>
      <c r="I703" s="43"/>
      <c r="J703" s="43"/>
      <c r="K703" s="25" t="e">
        <f>VLOOKUP(J703,Key!$E$2:$F$9,2,FALSE)</f>
        <v>#N/A</v>
      </c>
      <c r="L703" s="42"/>
      <c r="M703" s="43" t="s">
        <v>154</v>
      </c>
      <c r="N703" s="42" t="s">
        <v>155</v>
      </c>
      <c r="O703" s="43"/>
      <c r="P703" s="43"/>
      <c r="Q703" s="25" t="e">
        <f>VLOOKUP(P703,Key!$E$2:$F$9,2,FALSE)</f>
        <v>#N/A</v>
      </c>
      <c r="R703" s="25" t="e">
        <f t="shared" si="11"/>
        <v>#N/A</v>
      </c>
      <c r="S703" s="58"/>
      <c r="T703" s="58"/>
      <c r="U703" s="43"/>
      <c r="V703" s="43"/>
      <c r="W703" s="58"/>
      <c r="X703" s="58"/>
      <c r="Y703" s="59" t="s">
        <v>156</v>
      </c>
      <c r="Z703" s="60"/>
      <c r="AA703" s="25"/>
      <c r="AB703" s="25"/>
    </row>
    <row r="704" spans="2:28">
      <c r="B704" s="40"/>
      <c r="C704" s="40"/>
      <c r="D704" s="41"/>
      <c r="E704" s="42"/>
      <c r="F704" s="42"/>
      <c r="G704" s="43" t="s">
        <v>154</v>
      </c>
      <c r="H704" s="42" t="s">
        <v>155</v>
      </c>
      <c r="I704" s="43"/>
      <c r="J704" s="43"/>
      <c r="K704" s="25" t="e">
        <f>VLOOKUP(J704,Key!$E$2:$F$9,2,FALSE)</f>
        <v>#N/A</v>
      </c>
      <c r="L704" s="42"/>
      <c r="M704" s="43" t="s">
        <v>154</v>
      </c>
      <c r="N704" s="42" t="s">
        <v>155</v>
      </c>
      <c r="O704" s="43"/>
      <c r="P704" s="43"/>
      <c r="Q704" s="25" t="e">
        <f>VLOOKUP(P704,Key!$E$2:$F$9,2,FALSE)</f>
        <v>#N/A</v>
      </c>
      <c r="R704" s="25" t="e">
        <f t="shared" si="11"/>
        <v>#N/A</v>
      </c>
      <c r="S704" s="58"/>
      <c r="T704" s="58"/>
      <c r="U704" s="43"/>
      <c r="V704" s="43"/>
      <c r="W704" s="58"/>
      <c r="X704" s="58"/>
      <c r="Y704" s="59" t="s">
        <v>156</v>
      </c>
      <c r="Z704" s="60"/>
      <c r="AA704" s="25"/>
      <c r="AB704" s="25"/>
    </row>
    <row r="705" spans="2:28">
      <c r="B705" s="40"/>
      <c r="C705" s="40"/>
      <c r="D705" s="41"/>
      <c r="E705" s="42"/>
      <c r="F705" s="42"/>
      <c r="G705" s="43" t="s">
        <v>154</v>
      </c>
      <c r="H705" s="42" t="s">
        <v>155</v>
      </c>
      <c r="I705" s="43"/>
      <c r="J705" s="43"/>
      <c r="K705" s="25" t="e">
        <f>VLOOKUP(J705,Key!$E$2:$F$9,2,FALSE)</f>
        <v>#N/A</v>
      </c>
      <c r="L705" s="42"/>
      <c r="M705" s="43" t="s">
        <v>154</v>
      </c>
      <c r="N705" s="42" t="s">
        <v>155</v>
      </c>
      <c r="O705" s="43"/>
      <c r="P705" s="43"/>
      <c r="Q705" s="25" t="e">
        <f>VLOOKUP(P705,Key!$E$2:$F$9,2,FALSE)</f>
        <v>#N/A</v>
      </c>
      <c r="R705" s="25" t="e">
        <f t="shared" si="11"/>
        <v>#N/A</v>
      </c>
      <c r="S705" s="58"/>
      <c r="T705" s="58"/>
      <c r="U705" s="43"/>
      <c r="V705" s="43"/>
      <c r="W705" s="58"/>
      <c r="X705" s="58"/>
      <c r="Y705" s="59" t="s">
        <v>156</v>
      </c>
      <c r="Z705" s="60"/>
      <c r="AA705" s="25"/>
      <c r="AB705" s="25"/>
    </row>
    <row r="706" spans="2:28">
      <c r="B706" s="40"/>
      <c r="C706" s="40"/>
      <c r="D706" s="41"/>
      <c r="E706" s="42"/>
      <c r="F706" s="42"/>
      <c r="G706" s="43" t="s">
        <v>154</v>
      </c>
      <c r="H706" s="42" t="s">
        <v>155</v>
      </c>
      <c r="I706" s="43"/>
      <c r="J706" s="43"/>
      <c r="K706" s="25" t="e">
        <f>VLOOKUP(J706,Key!$E$2:$F$9,2,FALSE)</f>
        <v>#N/A</v>
      </c>
      <c r="L706" s="42"/>
      <c r="M706" s="43" t="s">
        <v>154</v>
      </c>
      <c r="N706" s="42" t="s">
        <v>155</v>
      </c>
      <c r="O706" s="43"/>
      <c r="P706" s="43"/>
      <c r="Q706" s="25" t="e">
        <f>VLOOKUP(P706,Key!$E$2:$F$9,2,FALSE)</f>
        <v>#N/A</v>
      </c>
      <c r="R706" s="25" t="e">
        <f t="shared" si="11"/>
        <v>#N/A</v>
      </c>
      <c r="S706" s="58"/>
      <c r="T706" s="58"/>
      <c r="U706" s="43"/>
      <c r="V706" s="43"/>
      <c r="W706" s="58"/>
      <c r="X706" s="58"/>
      <c r="Y706" s="59" t="s">
        <v>156</v>
      </c>
      <c r="Z706" s="60"/>
      <c r="AA706" s="25"/>
      <c r="AB706" s="25"/>
    </row>
    <row r="707" spans="2:28">
      <c r="B707" s="40"/>
      <c r="C707" s="40"/>
      <c r="D707" s="41"/>
      <c r="E707" s="42"/>
      <c r="F707" s="42"/>
      <c r="G707" s="43" t="s">
        <v>154</v>
      </c>
      <c r="H707" s="42" t="s">
        <v>155</v>
      </c>
      <c r="I707" s="43"/>
      <c r="J707" s="43"/>
      <c r="K707" s="25" t="e">
        <f>VLOOKUP(J707,Key!$E$2:$F$9,2,FALSE)</f>
        <v>#N/A</v>
      </c>
      <c r="L707" s="42"/>
      <c r="M707" s="43" t="s">
        <v>154</v>
      </c>
      <c r="N707" s="42" t="s">
        <v>155</v>
      </c>
      <c r="O707" s="43"/>
      <c r="P707" s="43"/>
      <c r="Q707" s="25" t="e">
        <f>VLOOKUP(P707,Key!$E$2:$F$9,2,FALSE)</f>
        <v>#N/A</v>
      </c>
      <c r="R707" s="25" t="e">
        <f t="shared" si="11"/>
        <v>#N/A</v>
      </c>
      <c r="S707" s="58"/>
      <c r="T707" s="58"/>
      <c r="U707" s="43"/>
      <c r="V707" s="43"/>
      <c r="W707" s="58"/>
      <c r="X707" s="58"/>
      <c r="Y707" s="59" t="s">
        <v>156</v>
      </c>
      <c r="Z707" s="60"/>
      <c r="AA707" s="25"/>
      <c r="AB707" s="25"/>
    </row>
    <row r="708" spans="2:28">
      <c r="B708" s="40"/>
      <c r="C708" s="40"/>
      <c r="D708" s="41"/>
      <c r="E708" s="42"/>
      <c r="F708" s="42"/>
      <c r="G708" s="43" t="s">
        <v>154</v>
      </c>
      <c r="H708" s="42" t="s">
        <v>155</v>
      </c>
      <c r="I708" s="43"/>
      <c r="J708" s="43"/>
      <c r="K708" s="25" t="e">
        <f>VLOOKUP(J708,Key!$E$2:$F$9,2,FALSE)</f>
        <v>#N/A</v>
      </c>
      <c r="L708" s="42"/>
      <c r="M708" s="43" t="s">
        <v>154</v>
      </c>
      <c r="N708" s="42" t="s">
        <v>155</v>
      </c>
      <c r="O708" s="43"/>
      <c r="P708" s="43"/>
      <c r="Q708" s="25" t="e">
        <f>VLOOKUP(P708,Key!$E$2:$F$9,2,FALSE)</f>
        <v>#N/A</v>
      </c>
      <c r="R708" s="25" t="e">
        <f t="shared" si="11"/>
        <v>#N/A</v>
      </c>
      <c r="S708" s="58"/>
      <c r="T708" s="58"/>
      <c r="U708" s="43"/>
      <c r="V708" s="43"/>
      <c r="W708" s="58"/>
      <c r="X708" s="58"/>
      <c r="Y708" s="59" t="s">
        <v>156</v>
      </c>
      <c r="Z708" s="60"/>
      <c r="AA708" s="25"/>
      <c r="AB708" s="25"/>
    </row>
    <row r="709" spans="2:28">
      <c r="B709" s="40"/>
      <c r="C709" s="40"/>
      <c r="D709" s="41"/>
      <c r="E709" s="42"/>
      <c r="F709" s="42"/>
      <c r="G709" s="43" t="s">
        <v>154</v>
      </c>
      <c r="H709" s="42" t="s">
        <v>155</v>
      </c>
      <c r="I709" s="43"/>
      <c r="J709" s="43"/>
      <c r="K709" s="25" t="e">
        <f>VLOOKUP(J709,Key!$E$2:$F$9,2,FALSE)</f>
        <v>#N/A</v>
      </c>
      <c r="L709" s="42"/>
      <c r="M709" s="43" t="s">
        <v>154</v>
      </c>
      <c r="N709" s="42" t="s">
        <v>155</v>
      </c>
      <c r="O709" s="43"/>
      <c r="P709" s="43"/>
      <c r="Q709" s="25" t="e">
        <f>VLOOKUP(P709,Key!$E$2:$F$9,2,FALSE)</f>
        <v>#N/A</v>
      </c>
      <c r="R709" s="25" t="e">
        <f t="shared" si="11"/>
        <v>#N/A</v>
      </c>
      <c r="S709" s="58"/>
      <c r="T709" s="58"/>
      <c r="U709" s="43"/>
      <c r="V709" s="43"/>
      <c r="W709" s="58"/>
      <c r="X709" s="58"/>
      <c r="Y709" s="59" t="s">
        <v>156</v>
      </c>
      <c r="Z709" s="60"/>
      <c r="AA709" s="25"/>
      <c r="AB709" s="25"/>
    </row>
    <row r="710" spans="2:28">
      <c r="B710" s="40"/>
      <c r="C710" s="40"/>
      <c r="D710" s="41"/>
      <c r="E710" s="42"/>
      <c r="F710" s="42"/>
      <c r="G710" s="43" t="s">
        <v>154</v>
      </c>
      <c r="H710" s="42" t="s">
        <v>155</v>
      </c>
      <c r="I710" s="43"/>
      <c r="J710" s="43"/>
      <c r="K710" s="25" t="e">
        <f>VLOOKUP(J710,Key!$E$2:$F$9,2,FALSE)</f>
        <v>#N/A</v>
      </c>
      <c r="L710" s="42"/>
      <c r="M710" s="43" t="s">
        <v>154</v>
      </c>
      <c r="N710" s="42" t="s">
        <v>155</v>
      </c>
      <c r="O710" s="43"/>
      <c r="P710" s="43"/>
      <c r="Q710" s="25" t="e">
        <f>VLOOKUP(P710,Key!$E$2:$F$9,2,FALSE)</f>
        <v>#N/A</v>
      </c>
      <c r="R710" s="25" t="e">
        <f t="shared" si="11"/>
        <v>#N/A</v>
      </c>
      <c r="S710" s="58"/>
      <c r="T710" s="58"/>
      <c r="U710" s="43"/>
      <c r="V710" s="43"/>
      <c r="W710" s="58"/>
      <c r="X710" s="58"/>
      <c r="Y710" s="59" t="s">
        <v>156</v>
      </c>
      <c r="Z710" s="60"/>
      <c r="AA710" s="25"/>
      <c r="AB710" s="25"/>
    </row>
    <row r="711" spans="2:28">
      <c r="B711" s="40"/>
      <c r="C711" s="40"/>
      <c r="D711" s="41"/>
      <c r="E711" s="42"/>
      <c r="F711" s="42"/>
      <c r="G711" s="43" t="s">
        <v>154</v>
      </c>
      <c r="H711" s="42" t="s">
        <v>155</v>
      </c>
      <c r="I711" s="43"/>
      <c r="J711" s="43"/>
      <c r="K711" s="25" t="e">
        <f>VLOOKUP(J711,Key!$E$2:$F$9,2,FALSE)</f>
        <v>#N/A</v>
      </c>
      <c r="L711" s="42"/>
      <c r="M711" s="43" t="s">
        <v>154</v>
      </c>
      <c r="N711" s="42" t="s">
        <v>155</v>
      </c>
      <c r="O711" s="43"/>
      <c r="P711" s="43"/>
      <c r="Q711" s="25" t="e">
        <f>VLOOKUP(P711,Key!$E$2:$F$9,2,FALSE)</f>
        <v>#N/A</v>
      </c>
      <c r="R711" s="25" t="e">
        <f t="shared" si="11"/>
        <v>#N/A</v>
      </c>
      <c r="S711" s="58"/>
      <c r="T711" s="58"/>
      <c r="U711" s="43"/>
      <c r="V711" s="43"/>
      <c r="W711" s="58"/>
      <c r="X711" s="58"/>
      <c r="Y711" s="59" t="s">
        <v>156</v>
      </c>
      <c r="Z711" s="60"/>
      <c r="AA711" s="25"/>
      <c r="AB711" s="25"/>
    </row>
    <row r="712" spans="2:28">
      <c r="B712" s="40"/>
      <c r="C712" s="40"/>
      <c r="D712" s="41"/>
      <c r="E712" s="42"/>
      <c r="F712" s="42"/>
      <c r="G712" s="43" t="s">
        <v>154</v>
      </c>
      <c r="H712" s="42" t="s">
        <v>155</v>
      </c>
      <c r="I712" s="43"/>
      <c r="J712" s="43"/>
      <c r="K712" s="25" t="e">
        <f>VLOOKUP(J712,Key!$E$2:$F$9,2,FALSE)</f>
        <v>#N/A</v>
      </c>
      <c r="L712" s="42"/>
      <c r="M712" s="43" t="s">
        <v>154</v>
      </c>
      <c r="N712" s="42" t="s">
        <v>155</v>
      </c>
      <c r="O712" s="43"/>
      <c r="P712" s="43"/>
      <c r="Q712" s="25" t="e">
        <f>VLOOKUP(P712,Key!$E$2:$F$9,2,FALSE)</f>
        <v>#N/A</v>
      </c>
      <c r="R712" s="25" t="e">
        <f t="shared" si="11"/>
        <v>#N/A</v>
      </c>
      <c r="S712" s="58"/>
      <c r="T712" s="58"/>
      <c r="U712" s="43"/>
      <c r="V712" s="43"/>
      <c r="W712" s="58"/>
      <c r="X712" s="58"/>
      <c r="Y712" s="59" t="s">
        <v>156</v>
      </c>
      <c r="Z712" s="60"/>
      <c r="AA712" s="25"/>
      <c r="AB712" s="25"/>
    </row>
    <row r="713" spans="2:28">
      <c r="B713" s="40"/>
      <c r="C713" s="40"/>
      <c r="D713" s="41"/>
      <c r="E713" s="42"/>
      <c r="F713" s="42"/>
      <c r="G713" s="43" t="s">
        <v>154</v>
      </c>
      <c r="H713" s="42" t="s">
        <v>155</v>
      </c>
      <c r="I713" s="43"/>
      <c r="J713" s="43"/>
      <c r="K713" s="25" t="e">
        <f>VLOOKUP(J713,Key!$E$2:$F$9,2,FALSE)</f>
        <v>#N/A</v>
      </c>
      <c r="L713" s="42"/>
      <c r="M713" s="43" t="s">
        <v>154</v>
      </c>
      <c r="N713" s="42" t="s">
        <v>155</v>
      </c>
      <c r="O713" s="43"/>
      <c r="P713" s="43"/>
      <c r="Q713" s="25" t="e">
        <f>VLOOKUP(P713,Key!$E$2:$F$9,2,FALSE)</f>
        <v>#N/A</v>
      </c>
      <c r="R713" s="25" t="e">
        <f t="shared" si="11"/>
        <v>#N/A</v>
      </c>
      <c r="S713" s="58"/>
      <c r="T713" s="58"/>
      <c r="U713" s="43"/>
      <c r="V713" s="43"/>
      <c r="W713" s="58"/>
      <c r="X713" s="58"/>
      <c r="Y713" s="59" t="s">
        <v>156</v>
      </c>
      <c r="Z713" s="60"/>
      <c r="AA713" s="25"/>
      <c r="AB713" s="25"/>
    </row>
    <row r="714" spans="2:28">
      <c r="B714" s="40"/>
      <c r="C714" s="40"/>
      <c r="D714" s="41"/>
      <c r="E714" s="42"/>
      <c r="F714" s="42"/>
      <c r="G714" s="43" t="s">
        <v>154</v>
      </c>
      <c r="H714" s="42" t="s">
        <v>155</v>
      </c>
      <c r="I714" s="43"/>
      <c r="J714" s="43"/>
      <c r="K714" s="25" t="e">
        <f>VLOOKUP(J714,Key!$E$2:$F$9,2,FALSE)</f>
        <v>#N/A</v>
      </c>
      <c r="L714" s="42"/>
      <c r="M714" s="43" t="s">
        <v>154</v>
      </c>
      <c r="N714" s="42" t="s">
        <v>155</v>
      </c>
      <c r="O714" s="43"/>
      <c r="P714" s="43"/>
      <c r="Q714" s="25" t="e">
        <f>VLOOKUP(P714,Key!$E$2:$F$9,2,FALSE)</f>
        <v>#N/A</v>
      </c>
      <c r="R714" s="25" t="e">
        <f t="shared" si="11"/>
        <v>#N/A</v>
      </c>
      <c r="S714" s="58"/>
      <c r="T714" s="58"/>
      <c r="U714" s="43"/>
      <c r="V714" s="43"/>
      <c r="W714" s="58"/>
      <c r="X714" s="58"/>
      <c r="Y714" s="59" t="s">
        <v>156</v>
      </c>
      <c r="Z714" s="60"/>
      <c r="AA714" s="25"/>
      <c r="AB714" s="25"/>
    </row>
    <row r="715" spans="2:28">
      <c r="B715" s="40"/>
      <c r="C715" s="40"/>
      <c r="D715" s="41"/>
      <c r="E715" s="42"/>
      <c r="F715" s="42"/>
      <c r="G715" s="43" t="s">
        <v>154</v>
      </c>
      <c r="H715" s="42" t="s">
        <v>155</v>
      </c>
      <c r="I715" s="43"/>
      <c r="J715" s="43"/>
      <c r="K715" s="25" t="e">
        <f>VLOOKUP(J715,Key!$E$2:$F$9,2,FALSE)</f>
        <v>#N/A</v>
      </c>
      <c r="L715" s="42"/>
      <c r="M715" s="43" t="s">
        <v>154</v>
      </c>
      <c r="N715" s="42" t="s">
        <v>155</v>
      </c>
      <c r="O715" s="43"/>
      <c r="P715" s="43"/>
      <c r="Q715" s="25" t="e">
        <f>VLOOKUP(P715,Key!$E$2:$F$9,2,FALSE)</f>
        <v>#N/A</v>
      </c>
      <c r="R715" s="25" t="e">
        <f t="shared" si="11"/>
        <v>#N/A</v>
      </c>
      <c r="S715" s="58"/>
      <c r="T715" s="58"/>
      <c r="U715" s="43"/>
      <c r="V715" s="43"/>
      <c r="W715" s="58"/>
      <c r="X715" s="58"/>
      <c r="Y715" s="59" t="s">
        <v>156</v>
      </c>
      <c r="Z715" s="60"/>
      <c r="AA715" s="25"/>
      <c r="AB715" s="25"/>
    </row>
    <row r="716" spans="2:28">
      <c r="B716" s="40"/>
      <c r="C716" s="40"/>
      <c r="D716" s="41"/>
      <c r="E716" s="42"/>
      <c r="F716" s="42"/>
      <c r="G716" s="43" t="s">
        <v>154</v>
      </c>
      <c r="H716" s="42" t="s">
        <v>155</v>
      </c>
      <c r="I716" s="43"/>
      <c r="J716" s="43"/>
      <c r="K716" s="25" t="e">
        <f>VLOOKUP(J716,Key!$E$2:$F$9,2,FALSE)</f>
        <v>#N/A</v>
      </c>
      <c r="L716" s="42"/>
      <c r="M716" s="43" t="s">
        <v>154</v>
      </c>
      <c r="N716" s="42" t="s">
        <v>155</v>
      </c>
      <c r="O716" s="43"/>
      <c r="P716" s="43"/>
      <c r="Q716" s="25" t="e">
        <f>VLOOKUP(P716,Key!$E$2:$F$9,2,FALSE)</f>
        <v>#N/A</v>
      </c>
      <c r="R716" s="25" t="e">
        <f t="shared" si="11"/>
        <v>#N/A</v>
      </c>
      <c r="S716" s="58"/>
      <c r="T716" s="58"/>
      <c r="U716" s="43"/>
      <c r="V716" s="43"/>
      <c r="W716" s="58"/>
      <c r="X716" s="58"/>
      <c r="Y716" s="59" t="s">
        <v>156</v>
      </c>
      <c r="Z716" s="60"/>
      <c r="AA716" s="25"/>
      <c r="AB716" s="25"/>
    </row>
    <row r="717" spans="2:28">
      <c r="B717" s="40"/>
      <c r="C717" s="40"/>
      <c r="D717" s="41"/>
      <c r="E717" s="42"/>
      <c r="F717" s="42"/>
      <c r="G717" s="43" t="s">
        <v>154</v>
      </c>
      <c r="H717" s="42" t="s">
        <v>155</v>
      </c>
      <c r="I717" s="43"/>
      <c r="J717" s="43"/>
      <c r="K717" s="25" t="e">
        <f>VLOOKUP(J717,Key!$E$2:$F$9,2,FALSE)</f>
        <v>#N/A</v>
      </c>
      <c r="L717" s="42"/>
      <c r="M717" s="43" t="s">
        <v>154</v>
      </c>
      <c r="N717" s="42" t="s">
        <v>155</v>
      </c>
      <c r="O717" s="43"/>
      <c r="P717" s="43"/>
      <c r="Q717" s="25" t="e">
        <f>VLOOKUP(P717,Key!$E$2:$F$9,2,FALSE)</f>
        <v>#N/A</v>
      </c>
      <c r="R717" s="25" t="e">
        <f t="shared" si="11"/>
        <v>#N/A</v>
      </c>
      <c r="S717" s="58"/>
      <c r="T717" s="58"/>
      <c r="U717" s="43"/>
      <c r="V717" s="43"/>
      <c r="W717" s="58"/>
      <c r="X717" s="58"/>
      <c r="Y717" s="59" t="s">
        <v>156</v>
      </c>
      <c r="Z717" s="60"/>
      <c r="AA717" s="25"/>
      <c r="AB717" s="25"/>
    </row>
    <row r="718" spans="2:28">
      <c r="B718" s="40"/>
      <c r="C718" s="40"/>
      <c r="D718" s="41"/>
      <c r="E718" s="42"/>
      <c r="F718" s="42"/>
      <c r="G718" s="43" t="s">
        <v>154</v>
      </c>
      <c r="H718" s="42" t="s">
        <v>155</v>
      </c>
      <c r="I718" s="43"/>
      <c r="J718" s="43"/>
      <c r="K718" s="25" t="e">
        <f>VLOOKUP(J718,Key!$E$2:$F$9,2,FALSE)</f>
        <v>#N/A</v>
      </c>
      <c r="L718" s="42"/>
      <c r="M718" s="43" t="s">
        <v>154</v>
      </c>
      <c r="N718" s="42" t="s">
        <v>155</v>
      </c>
      <c r="O718" s="43"/>
      <c r="P718" s="43"/>
      <c r="Q718" s="25" t="e">
        <f>VLOOKUP(P718,Key!$E$2:$F$9,2,FALSE)</f>
        <v>#N/A</v>
      </c>
      <c r="R718" s="25" t="e">
        <f t="shared" si="11"/>
        <v>#N/A</v>
      </c>
      <c r="S718" s="58"/>
      <c r="T718" s="58"/>
      <c r="U718" s="43"/>
      <c r="V718" s="43"/>
      <c r="W718" s="58"/>
      <c r="X718" s="58"/>
      <c r="Y718" s="59" t="s">
        <v>156</v>
      </c>
      <c r="Z718" s="60"/>
      <c r="AA718" s="25"/>
      <c r="AB718" s="25"/>
    </row>
    <row r="719" spans="2:28">
      <c r="B719" s="40"/>
      <c r="C719" s="40"/>
      <c r="D719" s="41"/>
      <c r="E719" s="42"/>
      <c r="F719" s="42"/>
      <c r="G719" s="43" t="s">
        <v>154</v>
      </c>
      <c r="H719" s="42" t="s">
        <v>155</v>
      </c>
      <c r="I719" s="43"/>
      <c r="J719" s="43"/>
      <c r="K719" s="25" t="e">
        <f>VLOOKUP(J719,Key!$E$2:$F$9,2,FALSE)</f>
        <v>#N/A</v>
      </c>
      <c r="L719" s="42"/>
      <c r="M719" s="43" t="s">
        <v>154</v>
      </c>
      <c r="N719" s="42" t="s">
        <v>155</v>
      </c>
      <c r="O719" s="43"/>
      <c r="P719" s="43"/>
      <c r="Q719" s="25" t="e">
        <f>VLOOKUP(P719,Key!$E$2:$F$9,2,FALSE)</f>
        <v>#N/A</v>
      </c>
      <c r="R719" s="25" t="e">
        <f t="shared" si="11"/>
        <v>#N/A</v>
      </c>
      <c r="S719" s="58"/>
      <c r="T719" s="58"/>
      <c r="U719" s="43"/>
      <c r="V719" s="43"/>
      <c r="W719" s="58"/>
      <c r="X719" s="58"/>
      <c r="Y719" s="59" t="s">
        <v>156</v>
      </c>
      <c r="Z719" s="60"/>
      <c r="AA719" s="25"/>
      <c r="AB719" s="25"/>
    </row>
    <row r="720" spans="2:28">
      <c r="B720" s="40"/>
      <c r="C720" s="40"/>
      <c r="D720" s="41"/>
      <c r="E720" s="42"/>
      <c r="F720" s="42"/>
      <c r="G720" s="43" t="s">
        <v>154</v>
      </c>
      <c r="H720" s="42" t="s">
        <v>155</v>
      </c>
      <c r="I720" s="43"/>
      <c r="J720" s="43"/>
      <c r="K720" s="25" t="e">
        <f>VLOOKUP(J720,Key!$E$2:$F$9,2,FALSE)</f>
        <v>#N/A</v>
      </c>
      <c r="L720" s="42"/>
      <c r="M720" s="43" t="s">
        <v>154</v>
      </c>
      <c r="N720" s="42" t="s">
        <v>155</v>
      </c>
      <c r="O720" s="43"/>
      <c r="P720" s="43"/>
      <c r="Q720" s="25" t="e">
        <f>VLOOKUP(P720,Key!$E$2:$F$9,2,FALSE)</f>
        <v>#N/A</v>
      </c>
      <c r="R720" s="25" t="e">
        <f t="shared" si="11"/>
        <v>#N/A</v>
      </c>
      <c r="S720" s="58"/>
      <c r="T720" s="58"/>
      <c r="U720" s="43"/>
      <c r="V720" s="43"/>
      <c r="W720" s="58"/>
      <c r="X720" s="58"/>
      <c r="Y720" s="59" t="s">
        <v>156</v>
      </c>
      <c r="Z720" s="60"/>
      <c r="AA720" s="25"/>
      <c r="AB720" s="25"/>
    </row>
    <row r="721" spans="2:28">
      <c r="B721" s="40"/>
      <c r="C721" s="40"/>
      <c r="D721" s="41"/>
      <c r="E721" s="42"/>
      <c r="F721" s="42"/>
      <c r="G721" s="43" t="s">
        <v>154</v>
      </c>
      <c r="H721" s="42" t="s">
        <v>155</v>
      </c>
      <c r="I721" s="43"/>
      <c r="J721" s="43"/>
      <c r="K721" s="25" t="e">
        <f>VLOOKUP(J721,Key!$E$2:$F$9,2,FALSE)</f>
        <v>#N/A</v>
      </c>
      <c r="L721" s="42"/>
      <c r="M721" s="43" t="s">
        <v>154</v>
      </c>
      <c r="N721" s="42" t="s">
        <v>155</v>
      </c>
      <c r="O721" s="43"/>
      <c r="P721" s="43"/>
      <c r="Q721" s="25" t="e">
        <f>VLOOKUP(P721,Key!$E$2:$F$9,2,FALSE)</f>
        <v>#N/A</v>
      </c>
      <c r="R721" s="25" t="e">
        <f t="shared" si="11"/>
        <v>#N/A</v>
      </c>
      <c r="S721" s="58"/>
      <c r="T721" s="58"/>
      <c r="U721" s="43"/>
      <c r="V721" s="43"/>
      <c r="W721" s="58"/>
      <c r="X721" s="58"/>
      <c r="Y721" s="59" t="s">
        <v>156</v>
      </c>
      <c r="Z721" s="60"/>
      <c r="AA721" s="25"/>
      <c r="AB721" s="25"/>
    </row>
    <row r="722" spans="2:28">
      <c r="B722" s="40"/>
      <c r="C722" s="40"/>
      <c r="D722" s="41"/>
      <c r="E722" s="42"/>
      <c r="F722" s="42"/>
      <c r="G722" s="43" t="s">
        <v>154</v>
      </c>
      <c r="H722" s="42" t="s">
        <v>155</v>
      </c>
      <c r="I722" s="43"/>
      <c r="J722" s="43"/>
      <c r="K722" s="25" t="e">
        <f>VLOOKUP(J722,Key!$E$2:$F$9,2,FALSE)</f>
        <v>#N/A</v>
      </c>
      <c r="L722" s="42"/>
      <c r="M722" s="43" t="s">
        <v>154</v>
      </c>
      <c r="N722" s="42" t="s">
        <v>155</v>
      </c>
      <c r="O722" s="43"/>
      <c r="P722" s="43"/>
      <c r="Q722" s="25" t="e">
        <f>VLOOKUP(P722,Key!$E$2:$F$9,2,FALSE)</f>
        <v>#N/A</v>
      </c>
      <c r="R722" s="25" t="e">
        <f t="shared" si="11"/>
        <v>#N/A</v>
      </c>
      <c r="S722" s="58"/>
      <c r="T722" s="58"/>
      <c r="U722" s="43"/>
      <c r="V722" s="43"/>
      <c r="W722" s="58"/>
      <c r="X722" s="58"/>
      <c r="Y722" s="59" t="s">
        <v>156</v>
      </c>
      <c r="Z722" s="60"/>
      <c r="AA722" s="25"/>
      <c r="AB722" s="25"/>
    </row>
    <row r="723" spans="2:28">
      <c r="B723" s="40"/>
      <c r="C723" s="40"/>
      <c r="D723" s="41"/>
      <c r="E723" s="42"/>
      <c r="F723" s="42"/>
      <c r="G723" s="43" t="s">
        <v>154</v>
      </c>
      <c r="H723" s="42" t="s">
        <v>155</v>
      </c>
      <c r="I723" s="43"/>
      <c r="J723" s="43"/>
      <c r="K723" s="25" t="e">
        <f>VLOOKUP(J723,Key!$E$2:$F$9,2,FALSE)</f>
        <v>#N/A</v>
      </c>
      <c r="L723" s="42"/>
      <c r="M723" s="43" t="s">
        <v>154</v>
      </c>
      <c r="N723" s="42" t="s">
        <v>155</v>
      </c>
      <c r="O723" s="43"/>
      <c r="P723" s="43"/>
      <c r="Q723" s="25" t="e">
        <f>VLOOKUP(P723,Key!$E$2:$F$9,2,FALSE)</f>
        <v>#N/A</v>
      </c>
      <c r="R723" s="25" t="e">
        <f t="shared" si="11"/>
        <v>#N/A</v>
      </c>
      <c r="S723" s="58"/>
      <c r="T723" s="58"/>
      <c r="U723" s="43"/>
      <c r="V723" s="43"/>
      <c r="W723" s="58"/>
      <c r="X723" s="58"/>
      <c r="Y723" s="59" t="s">
        <v>156</v>
      </c>
      <c r="Z723" s="60"/>
      <c r="AA723" s="25"/>
      <c r="AB723" s="25"/>
    </row>
    <row r="724" spans="2:28">
      <c r="B724" s="40"/>
      <c r="C724" s="40"/>
      <c r="D724" s="41"/>
      <c r="E724" s="42"/>
      <c r="F724" s="42"/>
      <c r="G724" s="43" t="s">
        <v>154</v>
      </c>
      <c r="H724" s="42" t="s">
        <v>155</v>
      </c>
      <c r="I724" s="43"/>
      <c r="J724" s="43"/>
      <c r="K724" s="25" t="e">
        <f>VLOOKUP(J724,Key!$E$2:$F$9,2,FALSE)</f>
        <v>#N/A</v>
      </c>
      <c r="L724" s="42"/>
      <c r="M724" s="43" t="s">
        <v>154</v>
      </c>
      <c r="N724" s="42" t="s">
        <v>155</v>
      </c>
      <c r="O724" s="43"/>
      <c r="P724" s="43"/>
      <c r="Q724" s="25" t="e">
        <f>VLOOKUP(P724,Key!$E$2:$F$9,2,FALSE)</f>
        <v>#N/A</v>
      </c>
      <c r="R724" s="25" t="e">
        <f t="shared" si="11"/>
        <v>#N/A</v>
      </c>
      <c r="S724" s="58"/>
      <c r="T724" s="58"/>
      <c r="U724" s="43"/>
      <c r="V724" s="43"/>
      <c r="W724" s="58"/>
      <c r="X724" s="58"/>
      <c r="Y724" s="59" t="s">
        <v>156</v>
      </c>
      <c r="Z724" s="60"/>
      <c r="AA724" s="25"/>
      <c r="AB724" s="25"/>
    </row>
    <row r="725" spans="2:28">
      <c r="B725" s="40"/>
      <c r="C725" s="40"/>
      <c r="D725" s="41"/>
      <c r="E725" s="42"/>
      <c r="F725" s="42"/>
      <c r="G725" s="43" t="s">
        <v>154</v>
      </c>
      <c r="H725" s="42" t="s">
        <v>155</v>
      </c>
      <c r="I725" s="43"/>
      <c r="J725" s="43"/>
      <c r="K725" s="25" t="e">
        <f>VLOOKUP(J725,Key!$E$2:$F$9,2,FALSE)</f>
        <v>#N/A</v>
      </c>
      <c r="L725" s="42"/>
      <c r="M725" s="43" t="s">
        <v>154</v>
      </c>
      <c r="N725" s="42" t="s">
        <v>155</v>
      </c>
      <c r="O725" s="43"/>
      <c r="P725" s="43"/>
      <c r="Q725" s="25" t="e">
        <f>VLOOKUP(P725,Key!$E$2:$F$9,2,FALSE)</f>
        <v>#N/A</v>
      </c>
      <c r="R725" s="25" t="e">
        <f t="shared" si="11"/>
        <v>#N/A</v>
      </c>
      <c r="S725" s="58"/>
      <c r="T725" s="58"/>
      <c r="U725" s="43"/>
      <c r="V725" s="43"/>
      <c r="W725" s="58"/>
      <c r="X725" s="58"/>
      <c r="Y725" s="59" t="s">
        <v>156</v>
      </c>
      <c r="Z725" s="60"/>
      <c r="AA725" s="25"/>
      <c r="AB725" s="25"/>
    </row>
    <row r="726" spans="2:28">
      <c r="B726" s="40"/>
      <c r="C726" s="40"/>
      <c r="D726" s="41"/>
      <c r="E726" s="42"/>
      <c r="F726" s="42"/>
      <c r="G726" s="43" t="s">
        <v>154</v>
      </c>
      <c r="H726" s="42" t="s">
        <v>155</v>
      </c>
      <c r="I726" s="43"/>
      <c r="J726" s="43"/>
      <c r="K726" s="25" t="e">
        <f>VLOOKUP(J726,Key!$E$2:$F$9,2,FALSE)</f>
        <v>#N/A</v>
      </c>
      <c r="L726" s="42"/>
      <c r="M726" s="43" t="s">
        <v>154</v>
      </c>
      <c r="N726" s="42" t="s">
        <v>155</v>
      </c>
      <c r="O726" s="43"/>
      <c r="P726" s="43"/>
      <c r="Q726" s="25" t="e">
        <f>VLOOKUP(P726,Key!$E$2:$F$9,2,FALSE)</f>
        <v>#N/A</v>
      </c>
      <c r="R726" s="25" t="e">
        <f t="shared" si="11"/>
        <v>#N/A</v>
      </c>
      <c r="S726" s="58"/>
      <c r="T726" s="58"/>
      <c r="U726" s="43"/>
      <c r="V726" s="43"/>
      <c r="W726" s="58"/>
      <c r="X726" s="58"/>
      <c r="Y726" s="59" t="s">
        <v>156</v>
      </c>
      <c r="Z726" s="60"/>
      <c r="AA726" s="25"/>
      <c r="AB726" s="25"/>
    </row>
    <row r="727" spans="2:28">
      <c r="B727" s="40"/>
      <c r="C727" s="40"/>
      <c r="D727" s="41"/>
      <c r="E727" s="42"/>
      <c r="F727" s="42"/>
      <c r="G727" s="43" t="s">
        <v>154</v>
      </c>
      <c r="H727" s="42" t="s">
        <v>155</v>
      </c>
      <c r="I727" s="43"/>
      <c r="J727" s="43"/>
      <c r="K727" s="25" t="e">
        <f>VLOOKUP(J727,Key!$E$2:$F$9,2,FALSE)</f>
        <v>#N/A</v>
      </c>
      <c r="L727" s="42"/>
      <c r="M727" s="43" t="s">
        <v>154</v>
      </c>
      <c r="N727" s="42" t="s">
        <v>155</v>
      </c>
      <c r="O727" s="43"/>
      <c r="P727" s="43"/>
      <c r="Q727" s="25" t="e">
        <f>VLOOKUP(P727,Key!$E$2:$F$9,2,FALSE)</f>
        <v>#N/A</v>
      </c>
      <c r="R727" s="25" t="e">
        <f t="shared" si="11"/>
        <v>#N/A</v>
      </c>
      <c r="S727" s="58"/>
      <c r="T727" s="58"/>
      <c r="U727" s="43"/>
      <c r="V727" s="43"/>
      <c r="W727" s="58"/>
      <c r="X727" s="58"/>
      <c r="Y727" s="59" t="s">
        <v>156</v>
      </c>
      <c r="Z727" s="60"/>
      <c r="AA727" s="25"/>
      <c r="AB727" s="25"/>
    </row>
    <row r="728" spans="2:28">
      <c r="B728" s="40"/>
      <c r="C728" s="40"/>
      <c r="D728" s="41"/>
      <c r="E728" s="42"/>
      <c r="F728" s="42"/>
      <c r="G728" s="43" t="s">
        <v>154</v>
      </c>
      <c r="H728" s="42" t="s">
        <v>155</v>
      </c>
      <c r="I728" s="43"/>
      <c r="J728" s="43"/>
      <c r="K728" s="25" t="e">
        <f>VLOOKUP(J728,Key!$E$2:$F$9,2,FALSE)</f>
        <v>#N/A</v>
      </c>
      <c r="L728" s="42"/>
      <c r="M728" s="43" t="s">
        <v>154</v>
      </c>
      <c r="N728" s="42" t="s">
        <v>155</v>
      </c>
      <c r="O728" s="43"/>
      <c r="P728" s="43"/>
      <c r="Q728" s="25" t="e">
        <f>VLOOKUP(P728,Key!$E$2:$F$9,2,FALSE)</f>
        <v>#N/A</v>
      </c>
      <c r="R728" s="25" t="e">
        <f t="shared" si="11"/>
        <v>#N/A</v>
      </c>
      <c r="S728" s="58"/>
      <c r="T728" s="58"/>
      <c r="U728" s="43"/>
      <c r="V728" s="43"/>
      <c r="W728" s="58"/>
      <c r="X728" s="58"/>
      <c r="Y728" s="59" t="s">
        <v>156</v>
      </c>
      <c r="Z728" s="60"/>
      <c r="AA728" s="25"/>
      <c r="AB728" s="25"/>
    </row>
    <row r="729" spans="2:28">
      <c r="B729" s="40"/>
      <c r="C729" s="40"/>
      <c r="D729" s="41"/>
      <c r="E729" s="42"/>
      <c r="F729" s="42"/>
      <c r="G729" s="43" t="s">
        <v>154</v>
      </c>
      <c r="H729" s="42" t="s">
        <v>155</v>
      </c>
      <c r="I729" s="43"/>
      <c r="J729" s="43"/>
      <c r="K729" s="25" t="e">
        <f>VLOOKUP(J729,Key!$E$2:$F$9,2,FALSE)</f>
        <v>#N/A</v>
      </c>
      <c r="L729" s="42"/>
      <c r="M729" s="43" t="s">
        <v>154</v>
      </c>
      <c r="N729" s="42" t="s">
        <v>155</v>
      </c>
      <c r="O729" s="43"/>
      <c r="P729" s="43"/>
      <c r="Q729" s="25" t="e">
        <f>VLOOKUP(P729,Key!$E$2:$F$9,2,FALSE)</f>
        <v>#N/A</v>
      </c>
      <c r="R729" s="25" t="e">
        <f t="shared" si="11"/>
        <v>#N/A</v>
      </c>
      <c r="S729" s="58"/>
      <c r="T729" s="58"/>
      <c r="U729" s="43"/>
      <c r="V729" s="43"/>
      <c r="W729" s="58"/>
      <c r="X729" s="58"/>
      <c r="Y729" s="59" t="s">
        <v>156</v>
      </c>
      <c r="Z729" s="60"/>
      <c r="AA729" s="25"/>
      <c r="AB729" s="25"/>
    </row>
    <row r="730" spans="2:28">
      <c r="B730" s="40"/>
      <c r="C730" s="40"/>
      <c r="D730" s="41"/>
      <c r="E730" s="42"/>
      <c r="F730" s="42"/>
      <c r="G730" s="43" t="s">
        <v>154</v>
      </c>
      <c r="H730" s="42" t="s">
        <v>155</v>
      </c>
      <c r="I730" s="43"/>
      <c r="J730" s="43"/>
      <c r="K730" s="25" t="e">
        <f>VLOOKUP(J730,Key!$E$2:$F$9,2,FALSE)</f>
        <v>#N/A</v>
      </c>
      <c r="L730" s="42"/>
      <c r="M730" s="43" t="s">
        <v>154</v>
      </c>
      <c r="N730" s="42" t="s">
        <v>155</v>
      </c>
      <c r="O730" s="43"/>
      <c r="P730" s="43"/>
      <c r="Q730" s="25" t="e">
        <f>VLOOKUP(P730,Key!$E$2:$F$9,2,FALSE)</f>
        <v>#N/A</v>
      </c>
      <c r="R730" s="25" t="e">
        <f t="shared" si="11"/>
        <v>#N/A</v>
      </c>
      <c r="S730" s="58"/>
      <c r="T730" s="58"/>
      <c r="U730" s="43"/>
      <c r="V730" s="43"/>
      <c r="W730" s="58"/>
      <c r="X730" s="58"/>
      <c r="Y730" s="59" t="s">
        <v>156</v>
      </c>
      <c r="Z730" s="60"/>
      <c r="AA730" s="25"/>
      <c r="AB730" s="25"/>
    </row>
    <row r="731" spans="2:28">
      <c r="B731" s="40"/>
      <c r="C731" s="40"/>
      <c r="D731" s="41"/>
      <c r="E731" s="42"/>
      <c r="F731" s="42"/>
      <c r="G731" s="43" t="s">
        <v>154</v>
      </c>
      <c r="H731" s="42" t="s">
        <v>155</v>
      </c>
      <c r="I731" s="43"/>
      <c r="J731" s="43"/>
      <c r="K731" s="25" t="e">
        <f>VLOOKUP(J731,Key!$E$2:$F$9,2,FALSE)</f>
        <v>#N/A</v>
      </c>
      <c r="L731" s="42"/>
      <c r="M731" s="43" t="s">
        <v>154</v>
      </c>
      <c r="N731" s="42" t="s">
        <v>155</v>
      </c>
      <c r="O731" s="43"/>
      <c r="P731" s="43"/>
      <c r="Q731" s="25" t="e">
        <f>VLOOKUP(P731,Key!$E$2:$F$9,2,FALSE)</f>
        <v>#N/A</v>
      </c>
      <c r="R731" s="25" t="e">
        <f t="shared" si="11"/>
        <v>#N/A</v>
      </c>
      <c r="S731" s="58"/>
      <c r="T731" s="58"/>
      <c r="U731" s="43"/>
      <c r="V731" s="43"/>
      <c r="W731" s="58"/>
      <c r="X731" s="58"/>
      <c r="Y731" s="59" t="s">
        <v>156</v>
      </c>
      <c r="Z731" s="60"/>
      <c r="AA731" s="25"/>
      <c r="AB731" s="25"/>
    </row>
    <row r="732" spans="2:28">
      <c r="B732" s="40"/>
      <c r="C732" s="40"/>
      <c r="D732" s="41"/>
      <c r="E732" s="42"/>
      <c r="F732" s="42"/>
      <c r="G732" s="43" t="s">
        <v>154</v>
      </c>
      <c r="H732" s="42" t="s">
        <v>155</v>
      </c>
      <c r="I732" s="43"/>
      <c r="J732" s="43"/>
      <c r="K732" s="25" t="e">
        <f>VLOOKUP(J732,Key!$E$2:$F$9,2,FALSE)</f>
        <v>#N/A</v>
      </c>
      <c r="L732" s="42"/>
      <c r="M732" s="43" t="s">
        <v>154</v>
      </c>
      <c r="N732" s="42" t="s">
        <v>155</v>
      </c>
      <c r="O732" s="43"/>
      <c r="P732" s="43"/>
      <c r="Q732" s="25" t="e">
        <f>VLOOKUP(P732,Key!$E$2:$F$9,2,FALSE)</f>
        <v>#N/A</v>
      </c>
      <c r="R732" s="25" t="e">
        <f t="shared" si="11"/>
        <v>#N/A</v>
      </c>
      <c r="S732" s="58"/>
      <c r="T732" s="58"/>
      <c r="U732" s="43"/>
      <c r="V732" s="43"/>
      <c r="W732" s="58"/>
      <c r="X732" s="58"/>
      <c r="Y732" s="59" t="s">
        <v>156</v>
      </c>
      <c r="Z732" s="60"/>
      <c r="AA732" s="25"/>
      <c r="AB732" s="25"/>
    </row>
    <row r="733" spans="2:28">
      <c r="B733" s="40"/>
      <c r="C733" s="40"/>
      <c r="D733" s="41"/>
      <c r="E733" s="42"/>
      <c r="F733" s="42"/>
      <c r="G733" s="43" t="s">
        <v>154</v>
      </c>
      <c r="H733" s="42" t="s">
        <v>155</v>
      </c>
      <c r="I733" s="43"/>
      <c r="J733" s="43"/>
      <c r="K733" s="25" t="e">
        <f>VLOOKUP(J733,Key!$E$2:$F$9,2,FALSE)</f>
        <v>#N/A</v>
      </c>
      <c r="L733" s="42"/>
      <c r="M733" s="43" t="s">
        <v>154</v>
      </c>
      <c r="N733" s="42" t="s">
        <v>155</v>
      </c>
      <c r="O733" s="43"/>
      <c r="P733" s="43"/>
      <c r="Q733" s="25" t="e">
        <f>VLOOKUP(P733,Key!$E$2:$F$9,2,FALSE)</f>
        <v>#N/A</v>
      </c>
      <c r="R733" s="25" t="e">
        <f t="shared" si="11"/>
        <v>#N/A</v>
      </c>
      <c r="S733" s="58"/>
      <c r="T733" s="58"/>
      <c r="U733" s="43"/>
      <c r="V733" s="43"/>
      <c r="W733" s="58"/>
      <c r="X733" s="58"/>
      <c r="Y733" s="59" t="s">
        <v>156</v>
      </c>
      <c r="Z733" s="60"/>
      <c r="AA733" s="25"/>
      <c r="AB733" s="25"/>
    </row>
    <row r="734" spans="2:28">
      <c r="B734" s="40"/>
      <c r="C734" s="40"/>
      <c r="D734" s="41"/>
      <c r="E734" s="42"/>
      <c r="F734" s="42"/>
      <c r="G734" s="43" t="s">
        <v>154</v>
      </c>
      <c r="H734" s="42" t="s">
        <v>155</v>
      </c>
      <c r="I734" s="43"/>
      <c r="J734" s="43"/>
      <c r="K734" s="25" t="e">
        <f>VLOOKUP(J734,Key!$E$2:$F$9,2,FALSE)</f>
        <v>#N/A</v>
      </c>
      <c r="L734" s="42"/>
      <c r="M734" s="43" t="s">
        <v>154</v>
      </c>
      <c r="N734" s="42" t="s">
        <v>155</v>
      </c>
      <c r="O734" s="43"/>
      <c r="P734" s="43"/>
      <c r="Q734" s="25" t="e">
        <f>VLOOKUP(P734,Key!$E$2:$F$9,2,FALSE)</f>
        <v>#N/A</v>
      </c>
      <c r="R734" s="25" t="e">
        <f t="shared" si="11"/>
        <v>#N/A</v>
      </c>
      <c r="S734" s="58"/>
      <c r="T734" s="58"/>
      <c r="U734" s="43"/>
      <c r="V734" s="43"/>
      <c r="W734" s="58"/>
      <c r="X734" s="58"/>
      <c r="Y734" s="59" t="s">
        <v>156</v>
      </c>
      <c r="Z734" s="60"/>
      <c r="AA734" s="25"/>
      <c r="AB734" s="25"/>
    </row>
    <row r="735" spans="2:28">
      <c r="B735" s="40"/>
      <c r="C735" s="40"/>
      <c r="D735" s="41"/>
      <c r="E735" s="42"/>
      <c r="F735" s="42"/>
      <c r="G735" s="43" t="s">
        <v>154</v>
      </c>
      <c r="H735" s="42" t="s">
        <v>155</v>
      </c>
      <c r="I735" s="43"/>
      <c r="J735" s="43"/>
      <c r="K735" s="25" t="e">
        <f>VLOOKUP(J735,Key!$E$2:$F$9,2,FALSE)</f>
        <v>#N/A</v>
      </c>
      <c r="L735" s="42"/>
      <c r="M735" s="43" t="s">
        <v>154</v>
      </c>
      <c r="N735" s="42" t="s">
        <v>155</v>
      </c>
      <c r="O735" s="43"/>
      <c r="P735" s="43"/>
      <c r="Q735" s="25" t="e">
        <f>VLOOKUP(P735,Key!$E$2:$F$9,2,FALSE)</f>
        <v>#N/A</v>
      </c>
      <c r="R735" s="25" t="e">
        <f t="shared" si="11"/>
        <v>#N/A</v>
      </c>
      <c r="S735" s="58"/>
      <c r="T735" s="58"/>
      <c r="U735" s="43"/>
      <c r="V735" s="43"/>
      <c r="W735" s="58"/>
      <c r="X735" s="58"/>
      <c r="Y735" s="59" t="s">
        <v>156</v>
      </c>
      <c r="Z735" s="60"/>
      <c r="AA735" s="25"/>
      <c r="AB735" s="25"/>
    </row>
    <row r="736" spans="2:28">
      <c r="B736" s="40"/>
      <c r="C736" s="40"/>
      <c r="D736" s="41"/>
      <c r="E736" s="42"/>
      <c r="F736" s="42"/>
      <c r="G736" s="43" t="s">
        <v>154</v>
      </c>
      <c r="H736" s="42" t="s">
        <v>155</v>
      </c>
      <c r="I736" s="43"/>
      <c r="J736" s="43"/>
      <c r="K736" s="25" t="e">
        <f>VLOOKUP(J736,Key!$E$2:$F$9,2,FALSE)</f>
        <v>#N/A</v>
      </c>
      <c r="L736" s="42"/>
      <c r="M736" s="43" t="s">
        <v>154</v>
      </c>
      <c r="N736" s="42" t="s">
        <v>155</v>
      </c>
      <c r="O736" s="43"/>
      <c r="P736" s="43"/>
      <c r="Q736" s="25" t="e">
        <f>VLOOKUP(P736,Key!$E$2:$F$9,2,FALSE)</f>
        <v>#N/A</v>
      </c>
      <c r="R736" s="25" t="e">
        <f t="shared" si="11"/>
        <v>#N/A</v>
      </c>
      <c r="S736" s="58"/>
      <c r="T736" s="58"/>
      <c r="U736" s="43"/>
      <c r="V736" s="43"/>
      <c r="W736" s="58"/>
      <c r="X736" s="58"/>
      <c r="Y736" s="59" t="s">
        <v>156</v>
      </c>
      <c r="Z736" s="60"/>
      <c r="AA736" s="25"/>
      <c r="AB736" s="25"/>
    </row>
    <row r="737" spans="2:28">
      <c r="B737" s="40"/>
      <c r="C737" s="40"/>
      <c r="D737" s="41"/>
      <c r="E737" s="42"/>
      <c r="F737" s="42"/>
      <c r="G737" s="43" t="s">
        <v>154</v>
      </c>
      <c r="H737" s="42" t="s">
        <v>155</v>
      </c>
      <c r="I737" s="43"/>
      <c r="J737" s="43"/>
      <c r="K737" s="25" t="e">
        <f>VLOOKUP(J737,Key!$E$2:$F$9,2,FALSE)</f>
        <v>#N/A</v>
      </c>
      <c r="L737" s="42"/>
      <c r="M737" s="43" t="s">
        <v>154</v>
      </c>
      <c r="N737" s="42" t="s">
        <v>155</v>
      </c>
      <c r="O737" s="43"/>
      <c r="P737" s="43"/>
      <c r="Q737" s="25" t="e">
        <f>VLOOKUP(P737,Key!$E$2:$F$9,2,FALSE)</f>
        <v>#N/A</v>
      </c>
      <c r="R737" s="25" t="e">
        <f t="shared" si="11"/>
        <v>#N/A</v>
      </c>
      <c r="S737" s="58"/>
      <c r="T737" s="58"/>
      <c r="U737" s="43"/>
      <c r="V737" s="43"/>
      <c r="W737" s="58"/>
      <c r="X737" s="58"/>
      <c r="Y737" s="59" t="s">
        <v>156</v>
      </c>
      <c r="Z737" s="60"/>
      <c r="AA737" s="25"/>
      <c r="AB737" s="25"/>
    </row>
    <row r="738" spans="2:28">
      <c r="B738" s="40"/>
      <c r="C738" s="40"/>
      <c r="D738" s="41"/>
      <c r="E738" s="42"/>
      <c r="F738" s="42"/>
      <c r="G738" s="43" t="s">
        <v>154</v>
      </c>
      <c r="H738" s="42" t="s">
        <v>155</v>
      </c>
      <c r="I738" s="43"/>
      <c r="J738" s="43"/>
      <c r="K738" s="25" t="e">
        <f>VLOOKUP(J738,Key!$E$2:$F$9,2,FALSE)</f>
        <v>#N/A</v>
      </c>
      <c r="L738" s="42"/>
      <c r="M738" s="43" t="s">
        <v>154</v>
      </c>
      <c r="N738" s="42" t="s">
        <v>155</v>
      </c>
      <c r="O738" s="43"/>
      <c r="P738" s="43"/>
      <c r="Q738" s="25" t="e">
        <f>VLOOKUP(P738,Key!$E$2:$F$9,2,FALSE)</f>
        <v>#N/A</v>
      </c>
      <c r="R738" s="25" t="e">
        <f t="shared" si="11"/>
        <v>#N/A</v>
      </c>
      <c r="S738" s="58"/>
      <c r="T738" s="58"/>
      <c r="U738" s="43"/>
      <c r="V738" s="43"/>
      <c r="W738" s="58"/>
      <c r="X738" s="58"/>
      <c r="Y738" s="59" t="s">
        <v>156</v>
      </c>
      <c r="Z738" s="60"/>
      <c r="AA738" s="25"/>
      <c r="AB738" s="25"/>
    </row>
    <row r="739" spans="2:28">
      <c r="B739" s="40"/>
      <c r="C739" s="40"/>
      <c r="D739" s="41"/>
      <c r="E739" s="42"/>
      <c r="F739" s="42"/>
      <c r="G739" s="43" t="s">
        <v>154</v>
      </c>
      <c r="H739" s="42" t="s">
        <v>155</v>
      </c>
      <c r="I739" s="43"/>
      <c r="J739" s="43"/>
      <c r="K739" s="25" t="e">
        <f>VLOOKUP(J739,Key!$E$2:$F$9,2,FALSE)</f>
        <v>#N/A</v>
      </c>
      <c r="L739" s="42"/>
      <c r="M739" s="43" t="s">
        <v>154</v>
      </c>
      <c r="N739" s="42" t="s">
        <v>155</v>
      </c>
      <c r="O739" s="43"/>
      <c r="P739" s="43"/>
      <c r="Q739" s="25" t="e">
        <f>VLOOKUP(P739,Key!$E$2:$F$9,2,FALSE)</f>
        <v>#N/A</v>
      </c>
      <c r="R739" s="25" t="e">
        <f t="shared" si="11"/>
        <v>#N/A</v>
      </c>
      <c r="S739" s="58"/>
      <c r="T739" s="58"/>
      <c r="U739" s="43"/>
      <c r="V739" s="43"/>
      <c r="W739" s="58"/>
      <c r="X739" s="58"/>
      <c r="Y739" s="59" t="s">
        <v>156</v>
      </c>
      <c r="Z739" s="60"/>
      <c r="AA739" s="25"/>
      <c r="AB739" s="25"/>
    </row>
    <row r="740" spans="2:28">
      <c r="B740" s="40"/>
      <c r="C740" s="40"/>
      <c r="D740" s="41"/>
      <c r="E740" s="42"/>
      <c r="F740" s="42"/>
      <c r="G740" s="43" t="s">
        <v>154</v>
      </c>
      <c r="H740" s="42" t="s">
        <v>155</v>
      </c>
      <c r="I740" s="43"/>
      <c r="J740" s="43"/>
      <c r="K740" s="25" t="e">
        <f>VLOOKUP(J740,Key!$E$2:$F$9,2,FALSE)</f>
        <v>#N/A</v>
      </c>
      <c r="L740" s="42"/>
      <c r="M740" s="43" t="s">
        <v>154</v>
      </c>
      <c r="N740" s="42" t="s">
        <v>155</v>
      </c>
      <c r="O740" s="43"/>
      <c r="P740" s="43"/>
      <c r="Q740" s="25" t="e">
        <f>VLOOKUP(P740,Key!$E$2:$F$9,2,FALSE)</f>
        <v>#N/A</v>
      </c>
      <c r="R740" s="25" t="e">
        <f t="shared" si="11"/>
        <v>#N/A</v>
      </c>
      <c r="S740" s="58"/>
      <c r="T740" s="58"/>
      <c r="U740" s="43"/>
      <c r="V740" s="43"/>
      <c r="W740" s="58"/>
      <c r="X740" s="58"/>
      <c r="Y740" s="59" t="s">
        <v>156</v>
      </c>
      <c r="Z740" s="60"/>
      <c r="AA740" s="25"/>
      <c r="AB740" s="25"/>
    </row>
    <row r="741" spans="2:28">
      <c r="B741" s="40"/>
      <c r="C741" s="40"/>
      <c r="D741" s="41"/>
      <c r="E741" s="42"/>
      <c r="F741" s="42"/>
      <c r="G741" s="43" t="s">
        <v>154</v>
      </c>
      <c r="H741" s="42" t="s">
        <v>155</v>
      </c>
      <c r="I741" s="43"/>
      <c r="J741" s="43"/>
      <c r="K741" s="25" t="e">
        <f>VLOOKUP(J741,Key!$E$2:$F$9,2,FALSE)</f>
        <v>#N/A</v>
      </c>
      <c r="L741" s="42"/>
      <c r="M741" s="43" t="s">
        <v>154</v>
      </c>
      <c r="N741" s="42" t="s">
        <v>155</v>
      </c>
      <c r="O741" s="43"/>
      <c r="P741" s="43"/>
      <c r="Q741" s="25" t="e">
        <f>VLOOKUP(P741,Key!$E$2:$F$9,2,FALSE)</f>
        <v>#N/A</v>
      </c>
      <c r="R741" s="25" t="e">
        <f t="shared" si="11"/>
        <v>#N/A</v>
      </c>
      <c r="S741" s="58"/>
      <c r="T741" s="58"/>
      <c r="U741" s="43"/>
      <c r="V741" s="43"/>
      <c r="W741" s="58"/>
      <c r="X741" s="58"/>
      <c r="Y741" s="59" t="s">
        <v>156</v>
      </c>
      <c r="Z741" s="60"/>
      <c r="AA741" s="25"/>
      <c r="AB741" s="25"/>
    </row>
    <row r="742" spans="2:28">
      <c r="B742" s="40"/>
      <c r="C742" s="40"/>
      <c r="D742" s="41"/>
      <c r="E742" s="42"/>
      <c r="F742" s="42"/>
      <c r="G742" s="43" t="s">
        <v>154</v>
      </c>
      <c r="H742" s="42" t="s">
        <v>155</v>
      </c>
      <c r="I742" s="43"/>
      <c r="J742" s="43"/>
      <c r="K742" s="25" t="e">
        <f>VLOOKUP(J742,Key!$E$2:$F$9,2,FALSE)</f>
        <v>#N/A</v>
      </c>
      <c r="L742" s="42"/>
      <c r="M742" s="43" t="s">
        <v>154</v>
      </c>
      <c r="N742" s="42" t="s">
        <v>155</v>
      </c>
      <c r="O742" s="43"/>
      <c r="P742" s="43"/>
      <c r="Q742" s="25" t="e">
        <f>VLOOKUP(P742,Key!$E$2:$F$9,2,FALSE)</f>
        <v>#N/A</v>
      </c>
      <c r="R742" s="25" t="e">
        <f t="shared" ref="R742:R805" si="12">K742&amp;"-"&amp;Q742</f>
        <v>#N/A</v>
      </c>
      <c r="S742" s="58"/>
      <c r="T742" s="58"/>
      <c r="U742" s="43"/>
      <c r="V742" s="43"/>
      <c r="W742" s="58"/>
      <c r="X742" s="58"/>
      <c r="Y742" s="59" t="s">
        <v>156</v>
      </c>
      <c r="Z742" s="60"/>
      <c r="AA742" s="25"/>
      <c r="AB742" s="25"/>
    </row>
    <row r="743" spans="2:28">
      <c r="B743" s="40"/>
      <c r="C743" s="40"/>
      <c r="D743" s="41"/>
      <c r="E743" s="42"/>
      <c r="F743" s="42"/>
      <c r="G743" s="43" t="s">
        <v>154</v>
      </c>
      <c r="H743" s="42" t="s">
        <v>155</v>
      </c>
      <c r="I743" s="43"/>
      <c r="J743" s="43"/>
      <c r="K743" s="25" t="e">
        <f>VLOOKUP(J743,Key!$E$2:$F$9,2,FALSE)</f>
        <v>#N/A</v>
      </c>
      <c r="L743" s="42"/>
      <c r="M743" s="43" t="s">
        <v>154</v>
      </c>
      <c r="N743" s="42" t="s">
        <v>155</v>
      </c>
      <c r="O743" s="43"/>
      <c r="P743" s="43"/>
      <c r="Q743" s="25" t="e">
        <f>VLOOKUP(P743,Key!$E$2:$F$9,2,FALSE)</f>
        <v>#N/A</v>
      </c>
      <c r="R743" s="25" t="e">
        <f t="shared" si="12"/>
        <v>#N/A</v>
      </c>
      <c r="S743" s="58"/>
      <c r="T743" s="58"/>
      <c r="U743" s="43"/>
      <c r="V743" s="43"/>
      <c r="W743" s="58"/>
      <c r="X743" s="58"/>
      <c r="Y743" s="59" t="s">
        <v>156</v>
      </c>
      <c r="Z743" s="60"/>
      <c r="AA743" s="25"/>
      <c r="AB743" s="25"/>
    </row>
    <row r="744" spans="2:28">
      <c r="B744" s="40"/>
      <c r="C744" s="40"/>
      <c r="D744" s="41"/>
      <c r="E744" s="42"/>
      <c r="F744" s="42"/>
      <c r="G744" s="43" t="s">
        <v>154</v>
      </c>
      <c r="H744" s="42" t="s">
        <v>155</v>
      </c>
      <c r="I744" s="43"/>
      <c r="J744" s="43"/>
      <c r="K744" s="25" t="e">
        <f>VLOOKUP(J744,Key!$E$2:$F$9,2,FALSE)</f>
        <v>#N/A</v>
      </c>
      <c r="L744" s="42"/>
      <c r="M744" s="43" t="s">
        <v>154</v>
      </c>
      <c r="N744" s="42" t="s">
        <v>155</v>
      </c>
      <c r="O744" s="43"/>
      <c r="P744" s="43"/>
      <c r="Q744" s="25" t="e">
        <f>VLOOKUP(P744,Key!$E$2:$F$9,2,FALSE)</f>
        <v>#N/A</v>
      </c>
      <c r="R744" s="25" t="e">
        <f t="shared" si="12"/>
        <v>#N/A</v>
      </c>
      <c r="S744" s="58"/>
      <c r="T744" s="58"/>
      <c r="U744" s="43"/>
      <c r="V744" s="43"/>
      <c r="W744" s="58"/>
      <c r="X744" s="58"/>
      <c r="Y744" s="59" t="s">
        <v>156</v>
      </c>
      <c r="Z744" s="60"/>
      <c r="AA744" s="25"/>
      <c r="AB744" s="25"/>
    </row>
    <row r="745" spans="2:28">
      <c r="B745" s="40"/>
      <c r="C745" s="40"/>
      <c r="D745" s="41"/>
      <c r="E745" s="42"/>
      <c r="F745" s="42"/>
      <c r="G745" s="43" t="s">
        <v>154</v>
      </c>
      <c r="H745" s="42" t="s">
        <v>155</v>
      </c>
      <c r="I745" s="43"/>
      <c r="J745" s="43"/>
      <c r="K745" s="25" t="e">
        <f>VLOOKUP(J745,Key!$E$2:$F$9,2,FALSE)</f>
        <v>#N/A</v>
      </c>
      <c r="L745" s="42"/>
      <c r="M745" s="43" t="s">
        <v>154</v>
      </c>
      <c r="N745" s="42" t="s">
        <v>155</v>
      </c>
      <c r="O745" s="43"/>
      <c r="P745" s="43"/>
      <c r="Q745" s="25" t="e">
        <f>VLOOKUP(P745,Key!$E$2:$F$9,2,FALSE)</f>
        <v>#N/A</v>
      </c>
      <c r="R745" s="25" t="e">
        <f t="shared" si="12"/>
        <v>#N/A</v>
      </c>
      <c r="S745" s="58"/>
      <c r="T745" s="58"/>
      <c r="U745" s="43"/>
      <c r="V745" s="43"/>
      <c r="W745" s="58"/>
      <c r="X745" s="58"/>
      <c r="Y745" s="59" t="s">
        <v>156</v>
      </c>
      <c r="Z745" s="60"/>
      <c r="AA745" s="25"/>
      <c r="AB745" s="25"/>
    </row>
    <row r="746" spans="2:28">
      <c r="B746" s="40"/>
      <c r="C746" s="40"/>
      <c r="D746" s="41"/>
      <c r="E746" s="42"/>
      <c r="F746" s="42"/>
      <c r="G746" s="43" t="s">
        <v>154</v>
      </c>
      <c r="H746" s="42" t="s">
        <v>155</v>
      </c>
      <c r="I746" s="43"/>
      <c r="J746" s="43"/>
      <c r="K746" s="25" t="e">
        <f>VLOOKUP(J746,Key!$E$2:$F$9,2,FALSE)</f>
        <v>#N/A</v>
      </c>
      <c r="L746" s="42"/>
      <c r="M746" s="43" t="s">
        <v>154</v>
      </c>
      <c r="N746" s="42" t="s">
        <v>155</v>
      </c>
      <c r="O746" s="43"/>
      <c r="P746" s="43"/>
      <c r="Q746" s="25" t="e">
        <f>VLOOKUP(P746,Key!$E$2:$F$9,2,FALSE)</f>
        <v>#N/A</v>
      </c>
      <c r="R746" s="25" t="e">
        <f t="shared" si="12"/>
        <v>#N/A</v>
      </c>
      <c r="S746" s="58"/>
      <c r="T746" s="58"/>
      <c r="U746" s="43"/>
      <c r="V746" s="43"/>
      <c r="W746" s="58"/>
      <c r="X746" s="58"/>
      <c r="Y746" s="59" t="s">
        <v>156</v>
      </c>
      <c r="Z746" s="60"/>
      <c r="AA746" s="25"/>
      <c r="AB746" s="25"/>
    </row>
    <row r="747" spans="2:28">
      <c r="B747" s="40"/>
      <c r="C747" s="40"/>
      <c r="D747" s="41"/>
      <c r="E747" s="42"/>
      <c r="F747" s="42"/>
      <c r="G747" s="43" t="s">
        <v>154</v>
      </c>
      <c r="H747" s="42" t="s">
        <v>155</v>
      </c>
      <c r="I747" s="43"/>
      <c r="J747" s="43"/>
      <c r="K747" s="25" t="e">
        <f>VLOOKUP(J747,Key!$E$2:$F$9,2,FALSE)</f>
        <v>#N/A</v>
      </c>
      <c r="L747" s="42"/>
      <c r="M747" s="43" t="s">
        <v>154</v>
      </c>
      <c r="N747" s="42" t="s">
        <v>155</v>
      </c>
      <c r="O747" s="43"/>
      <c r="P747" s="43"/>
      <c r="Q747" s="25" t="e">
        <f>VLOOKUP(P747,Key!$E$2:$F$9,2,FALSE)</f>
        <v>#N/A</v>
      </c>
      <c r="R747" s="25" t="e">
        <f t="shared" si="12"/>
        <v>#N/A</v>
      </c>
      <c r="S747" s="58"/>
      <c r="T747" s="58"/>
      <c r="U747" s="43"/>
      <c r="V747" s="43"/>
      <c r="W747" s="58"/>
      <c r="X747" s="58"/>
      <c r="Y747" s="59" t="s">
        <v>156</v>
      </c>
      <c r="Z747" s="60"/>
      <c r="AA747" s="25"/>
      <c r="AB747" s="25"/>
    </row>
    <row r="748" spans="2:28">
      <c r="B748" s="40"/>
      <c r="C748" s="40"/>
      <c r="D748" s="41"/>
      <c r="E748" s="42"/>
      <c r="F748" s="42"/>
      <c r="G748" s="43" t="s">
        <v>154</v>
      </c>
      <c r="H748" s="42" t="s">
        <v>155</v>
      </c>
      <c r="I748" s="43"/>
      <c r="J748" s="43"/>
      <c r="K748" s="25" t="e">
        <f>VLOOKUP(J748,Key!$E$2:$F$9,2,FALSE)</f>
        <v>#N/A</v>
      </c>
      <c r="L748" s="42"/>
      <c r="M748" s="43" t="s">
        <v>154</v>
      </c>
      <c r="N748" s="42" t="s">
        <v>155</v>
      </c>
      <c r="O748" s="43"/>
      <c r="P748" s="43"/>
      <c r="Q748" s="25" t="e">
        <f>VLOOKUP(P748,Key!$E$2:$F$9,2,FALSE)</f>
        <v>#N/A</v>
      </c>
      <c r="R748" s="25" t="e">
        <f t="shared" si="12"/>
        <v>#N/A</v>
      </c>
      <c r="S748" s="58"/>
      <c r="T748" s="58"/>
      <c r="U748" s="43"/>
      <c r="V748" s="43"/>
      <c r="W748" s="58"/>
      <c r="X748" s="58"/>
      <c r="Y748" s="59" t="s">
        <v>156</v>
      </c>
      <c r="Z748" s="60"/>
      <c r="AA748" s="25"/>
      <c r="AB748" s="25"/>
    </row>
    <row r="749" spans="2:28">
      <c r="B749" s="40"/>
      <c r="C749" s="40"/>
      <c r="D749" s="41"/>
      <c r="E749" s="42"/>
      <c r="F749" s="42"/>
      <c r="G749" s="43" t="s">
        <v>154</v>
      </c>
      <c r="H749" s="42" t="s">
        <v>155</v>
      </c>
      <c r="I749" s="43"/>
      <c r="J749" s="43"/>
      <c r="K749" s="25" t="e">
        <f>VLOOKUP(J749,Key!$E$2:$F$9,2,FALSE)</f>
        <v>#N/A</v>
      </c>
      <c r="L749" s="42"/>
      <c r="M749" s="43" t="s">
        <v>154</v>
      </c>
      <c r="N749" s="42" t="s">
        <v>155</v>
      </c>
      <c r="O749" s="43"/>
      <c r="P749" s="43"/>
      <c r="Q749" s="25" t="e">
        <f>VLOOKUP(P749,Key!$E$2:$F$9,2,FALSE)</f>
        <v>#N/A</v>
      </c>
      <c r="R749" s="25" t="e">
        <f t="shared" si="12"/>
        <v>#N/A</v>
      </c>
      <c r="S749" s="58"/>
      <c r="T749" s="58"/>
      <c r="U749" s="43"/>
      <c r="V749" s="43"/>
      <c r="W749" s="58"/>
      <c r="X749" s="58"/>
      <c r="Y749" s="59" t="s">
        <v>156</v>
      </c>
      <c r="Z749" s="60"/>
      <c r="AA749" s="25"/>
      <c r="AB749" s="25"/>
    </row>
    <row r="750" spans="2:28">
      <c r="B750" s="40"/>
      <c r="C750" s="40"/>
      <c r="D750" s="41"/>
      <c r="E750" s="42"/>
      <c r="F750" s="42"/>
      <c r="G750" s="43" t="s">
        <v>154</v>
      </c>
      <c r="H750" s="42" t="s">
        <v>155</v>
      </c>
      <c r="I750" s="43"/>
      <c r="J750" s="43"/>
      <c r="K750" s="25" t="e">
        <f>VLOOKUP(J750,Key!$E$2:$F$9,2,FALSE)</f>
        <v>#N/A</v>
      </c>
      <c r="L750" s="42"/>
      <c r="M750" s="43" t="s">
        <v>154</v>
      </c>
      <c r="N750" s="42" t="s">
        <v>155</v>
      </c>
      <c r="O750" s="43"/>
      <c r="P750" s="43"/>
      <c r="Q750" s="25" t="e">
        <f>VLOOKUP(P750,Key!$E$2:$F$9,2,FALSE)</f>
        <v>#N/A</v>
      </c>
      <c r="R750" s="25" t="e">
        <f t="shared" si="12"/>
        <v>#N/A</v>
      </c>
      <c r="S750" s="58"/>
      <c r="T750" s="58"/>
      <c r="U750" s="43"/>
      <c r="V750" s="43"/>
      <c r="W750" s="58"/>
      <c r="X750" s="58"/>
      <c r="Y750" s="59" t="s">
        <v>156</v>
      </c>
      <c r="Z750" s="60"/>
      <c r="AA750" s="25"/>
      <c r="AB750" s="25"/>
    </row>
    <row r="751" spans="2:28">
      <c r="B751" s="40"/>
      <c r="C751" s="40"/>
      <c r="D751" s="41"/>
      <c r="E751" s="42"/>
      <c r="F751" s="42"/>
      <c r="G751" s="43" t="s">
        <v>154</v>
      </c>
      <c r="H751" s="42" t="s">
        <v>155</v>
      </c>
      <c r="I751" s="43"/>
      <c r="J751" s="43"/>
      <c r="K751" s="25" t="e">
        <f>VLOOKUP(J751,Key!$E$2:$F$9,2,FALSE)</f>
        <v>#N/A</v>
      </c>
      <c r="L751" s="42"/>
      <c r="M751" s="43" t="s">
        <v>154</v>
      </c>
      <c r="N751" s="42" t="s">
        <v>155</v>
      </c>
      <c r="O751" s="43"/>
      <c r="P751" s="43"/>
      <c r="Q751" s="25" t="e">
        <f>VLOOKUP(P751,Key!$E$2:$F$9,2,FALSE)</f>
        <v>#N/A</v>
      </c>
      <c r="R751" s="25" t="e">
        <f t="shared" si="12"/>
        <v>#N/A</v>
      </c>
      <c r="S751" s="58"/>
      <c r="T751" s="58"/>
      <c r="U751" s="43"/>
      <c r="V751" s="43"/>
      <c r="W751" s="58"/>
      <c r="X751" s="58"/>
      <c r="Y751" s="59" t="s">
        <v>156</v>
      </c>
      <c r="Z751" s="60"/>
      <c r="AA751" s="25"/>
      <c r="AB751" s="25"/>
    </row>
    <row r="752" spans="2:28">
      <c r="B752" s="40"/>
      <c r="C752" s="40"/>
      <c r="D752" s="41"/>
      <c r="E752" s="42"/>
      <c r="F752" s="42"/>
      <c r="G752" s="43" t="s">
        <v>154</v>
      </c>
      <c r="H752" s="42" t="s">
        <v>155</v>
      </c>
      <c r="I752" s="43"/>
      <c r="J752" s="43"/>
      <c r="K752" s="25" t="e">
        <f>VLOOKUP(J752,Key!$E$2:$F$9,2,FALSE)</f>
        <v>#N/A</v>
      </c>
      <c r="L752" s="42"/>
      <c r="M752" s="43" t="s">
        <v>154</v>
      </c>
      <c r="N752" s="42" t="s">
        <v>155</v>
      </c>
      <c r="O752" s="43"/>
      <c r="P752" s="43"/>
      <c r="Q752" s="25" t="e">
        <f>VLOOKUP(P752,Key!$E$2:$F$9,2,FALSE)</f>
        <v>#N/A</v>
      </c>
      <c r="R752" s="25" t="e">
        <f t="shared" si="12"/>
        <v>#N/A</v>
      </c>
      <c r="S752" s="58"/>
      <c r="T752" s="58"/>
      <c r="U752" s="43"/>
      <c r="V752" s="43"/>
      <c r="W752" s="58"/>
      <c r="X752" s="58"/>
      <c r="Y752" s="59" t="s">
        <v>156</v>
      </c>
      <c r="Z752" s="60"/>
      <c r="AA752" s="25"/>
      <c r="AB752" s="25"/>
    </row>
    <row r="753" spans="2:28">
      <c r="B753" s="40"/>
      <c r="C753" s="40"/>
      <c r="D753" s="41"/>
      <c r="E753" s="42"/>
      <c r="F753" s="42"/>
      <c r="G753" s="43" t="s">
        <v>154</v>
      </c>
      <c r="H753" s="42" t="s">
        <v>155</v>
      </c>
      <c r="I753" s="43"/>
      <c r="J753" s="43"/>
      <c r="K753" s="25" t="e">
        <f>VLOOKUP(J753,Key!$E$2:$F$9,2,FALSE)</f>
        <v>#N/A</v>
      </c>
      <c r="L753" s="42"/>
      <c r="M753" s="43" t="s">
        <v>154</v>
      </c>
      <c r="N753" s="42" t="s">
        <v>155</v>
      </c>
      <c r="O753" s="43"/>
      <c r="P753" s="43"/>
      <c r="Q753" s="25" t="e">
        <f>VLOOKUP(P753,Key!$E$2:$F$9,2,FALSE)</f>
        <v>#N/A</v>
      </c>
      <c r="R753" s="25" t="e">
        <f t="shared" si="12"/>
        <v>#N/A</v>
      </c>
      <c r="S753" s="58"/>
      <c r="T753" s="58"/>
      <c r="U753" s="43"/>
      <c r="V753" s="43"/>
      <c r="W753" s="58"/>
      <c r="X753" s="58"/>
      <c r="Y753" s="59" t="s">
        <v>156</v>
      </c>
      <c r="Z753" s="60"/>
      <c r="AA753" s="25"/>
      <c r="AB753" s="25"/>
    </row>
    <row r="754" spans="2:28">
      <c r="B754" s="40"/>
      <c r="C754" s="40"/>
      <c r="D754" s="41"/>
      <c r="E754" s="42"/>
      <c r="F754" s="42"/>
      <c r="G754" s="43" t="s">
        <v>154</v>
      </c>
      <c r="H754" s="42" t="s">
        <v>155</v>
      </c>
      <c r="I754" s="43"/>
      <c r="J754" s="43"/>
      <c r="K754" s="25" t="e">
        <f>VLOOKUP(J754,Key!$E$2:$F$9,2,FALSE)</f>
        <v>#N/A</v>
      </c>
      <c r="L754" s="42"/>
      <c r="M754" s="43" t="s">
        <v>154</v>
      </c>
      <c r="N754" s="42" t="s">
        <v>155</v>
      </c>
      <c r="O754" s="43"/>
      <c r="P754" s="43"/>
      <c r="Q754" s="25" t="e">
        <f>VLOOKUP(P754,Key!$E$2:$F$9,2,FALSE)</f>
        <v>#N/A</v>
      </c>
      <c r="R754" s="25" t="e">
        <f t="shared" si="12"/>
        <v>#N/A</v>
      </c>
      <c r="S754" s="58"/>
      <c r="T754" s="58"/>
      <c r="U754" s="43"/>
      <c r="V754" s="43"/>
      <c r="W754" s="58"/>
      <c r="X754" s="58"/>
      <c r="Y754" s="59" t="s">
        <v>156</v>
      </c>
      <c r="Z754" s="60"/>
      <c r="AA754" s="25"/>
      <c r="AB754" s="25"/>
    </row>
    <row r="755" spans="2:28">
      <c r="B755" s="40"/>
      <c r="C755" s="40"/>
      <c r="D755" s="41"/>
      <c r="E755" s="42"/>
      <c r="F755" s="42"/>
      <c r="G755" s="43" t="s">
        <v>154</v>
      </c>
      <c r="H755" s="42" t="s">
        <v>155</v>
      </c>
      <c r="I755" s="43"/>
      <c r="J755" s="43"/>
      <c r="K755" s="25" t="e">
        <f>VLOOKUP(J755,Key!$E$2:$F$9,2,FALSE)</f>
        <v>#N/A</v>
      </c>
      <c r="L755" s="42"/>
      <c r="M755" s="43" t="s">
        <v>154</v>
      </c>
      <c r="N755" s="42" t="s">
        <v>155</v>
      </c>
      <c r="O755" s="43"/>
      <c r="P755" s="43"/>
      <c r="Q755" s="25" t="e">
        <f>VLOOKUP(P755,Key!$E$2:$F$9,2,FALSE)</f>
        <v>#N/A</v>
      </c>
      <c r="R755" s="25" t="e">
        <f t="shared" si="12"/>
        <v>#N/A</v>
      </c>
      <c r="S755" s="58"/>
      <c r="T755" s="58"/>
      <c r="U755" s="43"/>
      <c r="V755" s="43"/>
      <c r="W755" s="58"/>
      <c r="X755" s="58"/>
      <c r="Y755" s="59" t="s">
        <v>156</v>
      </c>
      <c r="Z755" s="60"/>
      <c r="AA755" s="25"/>
      <c r="AB755" s="25"/>
    </row>
    <row r="756" spans="2:28">
      <c r="B756" s="40"/>
      <c r="C756" s="40"/>
      <c r="D756" s="41"/>
      <c r="E756" s="42"/>
      <c r="F756" s="42"/>
      <c r="G756" s="43" t="s">
        <v>154</v>
      </c>
      <c r="H756" s="42" t="s">
        <v>155</v>
      </c>
      <c r="I756" s="43"/>
      <c r="J756" s="43"/>
      <c r="K756" s="25" t="e">
        <f>VLOOKUP(J756,Key!$E$2:$F$9,2,FALSE)</f>
        <v>#N/A</v>
      </c>
      <c r="L756" s="42"/>
      <c r="M756" s="43" t="s">
        <v>154</v>
      </c>
      <c r="N756" s="42" t="s">
        <v>155</v>
      </c>
      <c r="O756" s="43"/>
      <c r="P756" s="43"/>
      <c r="Q756" s="25" t="e">
        <f>VLOOKUP(P756,Key!$E$2:$F$9,2,FALSE)</f>
        <v>#N/A</v>
      </c>
      <c r="R756" s="25" t="e">
        <f t="shared" si="12"/>
        <v>#N/A</v>
      </c>
      <c r="S756" s="58"/>
      <c r="T756" s="58"/>
      <c r="U756" s="43"/>
      <c r="V756" s="43"/>
      <c r="W756" s="58"/>
      <c r="X756" s="58"/>
      <c r="Y756" s="59" t="s">
        <v>156</v>
      </c>
      <c r="Z756" s="60"/>
      <c r="AA756" s="25"/>
      <c r="AB756" s="25"/>
    </row>
    <row r="757" spans="2:28">
      <c r="B757" s="40"/>
      <c r="C757" s="40"/>
      <c r="D757" s="41"/>
      <c r="E757" s="42"/>
      <c r="F757" s="42"/>
      <c r="G757" s="43" t="s">
        <v>154</v>
      </c>
      <c r="H757" s="42" t="s">
        <v>155</v>
      </c>
      <c r="I757" s="43"/>
      <c r="J757" s="43"/>
      <c r="K757" s="25" t="e">
        <f>VLOOKUP(J757,Key!$E$2:$F$9,2,FALSE)</f>
        <v>#N/A</v>
      </c>
      <c r="L757" s="42"/>
      <c r="M757" s="43" t="s">
        <v>154</v>
      </c>
      <c r="N757" s="42" t="s">
        <v>155</v>
      </c>
      <c r="O757" s="43"/>
      <c r="P757" s="43"/>
      <c r="Q757" s="25" t="e">
        <f>VLOOKUP(P757,Key!$E$2:$F$9,2,FALSE)</f>
        <v>#N/A</v>
      </c>
      <c r="R757" s="25" t="e">
        <f t="shared" si="12"/>
        <v>#N/A</v>
      </c>
      <c r="S757" s="58"/>
      <c r="T757" s="58"/>
      <c r="U757" s="43"/>
      <c r="V757" s="43"/>
      <c r="W757" s="58"/>
      <c r="X757" s="58"/>
      <c r="Y757" s="59" t="s">
        <v>156</v>
      </c>
      <c r="Z757" s="60"/>
      <c r="AA757" s="25"/>
      <c r="AB757" s="25"/>
    </row>
    <row r="758" spans="2:28">
      <c r="B758" s="40"/>
      <c r="C758" s="40"/>
      <c r="D758" s="41"/>
      <c r="E758" s="42"/>
      <c r="F758" s="42"/>
      <c r="G758" s="43" t="s">
        <v>154</v>
      </c>
      <c r="H758" s="42" t="s">
        <v>155</v>
      </c>
      <c r="I758" s="43"/>
      <c r="J758" s="43"/>
      <c r="K758" s="25" t="e">
        <f>VLOOKUP(J758,Key!$E$2:$F$9,2,FALSE)</f>
        <v>#N/A</v>
      </c>
      <c r="L758" s="42"/>
      <c r="M758" s="43" t="s">
        <v>154</v>
      </c>
      <c r="N758" s="42" t="s">
        <v>155</v>
      </c>
      <c r="O758" s="43"/>
      <c r="P758" s="43"/>
      <c r="Q758" s="25" t="e">
        <f>VLOOKUP(P758,Key!$E$2:$F$9,2,FALSE)</f>
        <v>#N/A</v>
      </c>
      <c r="R758" s="25" t="e">
        <f t="shared" si="12"/>
        <v>#N/A</v>
      </c>
      <c r="S758" s="58"/>
      <c r="T758" s="58"/>
      <c r="U758" s="43"/>
      <c r="V758" s="43"/>
      <c r="W758" s="58"/>
      <c r="X758" s="58"/>
      <c r="Y758" s="59" t="s">
        <v>156</v>
      </c>
      <c r="Z758" s="60"/>
      <c r="AA758" s="25"/>
      <c r="AB758" s="25"/>
    </row>
    <row r="759" spans="2:28">
      <c r="B759" s="40"/>
      <c r="C759" s="40"/>
      <c r="D759" s="41"/>
      <c r="E759" s="42"/>
      <c r="F759" s="42"/>
      <c r="G759" s="43" t="s">
        <v>154</v>
      </c>
      <c r="H759" s="42" t="s">
        <v>155</v>
      </c>
      <c r="I759" s="43"/>
      <c r="J759" s="43"/>
      <c r="K759" s="25" t="e">
        <f>VLOOKUP(J759,Key!$E$2:$F$9,2,FALSE)</f>
        <v>#N/A</v>
      </c>
      <c r="L759" s="42"/>
      <c r="M759" s="43" t="s">
        <v>154</v>
      </c>
      <c r="N759" s="42" t="s">
        <v>155</v>
      </c>
      <c r="O759" s="43"/>
      <c r="P759" s="43"/>
      <c r="Q759" s="25" t="e">
        <f>VLOOKUP(P759,Key!$E$2:$F$9,2,FALSE)</f>
        <v>#N/A</v>
      </c>
      <c r="R759" s="25" t="e">
        <f t="shared" si="12"/>
        <v>#N/A</v>
      </c>
      <c r="S759" s="58"/>
      <c r="T759" s="58"/>
      <c r="U759" s="43"/>
      <c r="V759" s="43"/>
      <c r="W759" s="58"/>
      <c r="X759" s="58"/>
      <c r="Y759" s="59" t="s">
        <v>156</v>
      </c>
      <c r="Z759" s="60"/>
      <c r="AA759" s="25"/>
      <c r="AB759" s="25"/>
    </row>
    <row r="760" spans="2:28">
      <c r="B760" s="40"/>
      <c r="C760" s="40"/>
      <c r="D760" s="41"/>
      <c r="E760" s="42"/>
      <c r="F760" s="42"/>
      <c r="G760" s="43" t="s">
        <v>154</v>
      </c>
      <c r="H760" s="42" t="s">
        <v>155</v>
      </c>
      <c r="I760" s="43"/>
      <c r="J760" s="43"/>
      <c r="K760" s="25" t="e">
        <f>VLOOKUP(J760,Key!$E$2:$F$9,2,FALSE)</f>
        <v>#N/A</v>
      </c>
      <c r="L760" s="42"/>
      <c r="M760" s="43" t="s">
        <v>154</v>
      </c>
      <c r="N760" s="42" t="s">
        <v>155</v>
      </c>
      <c r="O760" s="43"/>
      <c r="P760" s="43"/>
      <c r="Q760" s="25" t="e">
        <f>VLOOKUP(P760,Key!$E$2:$F$9,2,FALSE)</f>
        <v>#N/A</v>
      </c>
      <c r="R760" s="25" t="e">
        <f t="shared" si="12"/>
        <v>#N/A</v>
      </c>
      <c r="S760" s="58"/>
      <c r="T760" s="58"/>
      <c r="U760" s="43"/>
      <c r="V760" s="43"/>
      <c r="W760" s="58"/>
      <c r="X760" s="58"/>
      <c r="Y760" s="59" t="s">
        <v>156</v>
      </c>
      <c r="Z760" s="60"/>
      <c r="AA760" s="25"/>
      <c r="AB760" s="25"/>
    </row>
    <row r="761" spans="2:28">
      <c r="B761" s="40"/>
      <c r="C761" s="40"/>
      <c r="D761" s="41"/>
      <c r="E761" s="42"/>
      <c r="F761" s="42"/>
      <c r="G761" s="43" t="s">
        <v>154</v>
      </c>
      <c r="H761" s="42" t="s">
        <v>155</v>
      </c>
      <c r="I761" s="43"/>
      <c r="J761" s="43"/>
      <c r="K761" s="25" t="e">
        <f>VLOOKUP(J761,Key!$E$2:$F$9,2,FALSE)</f>
        <v>#N/A</v>
      </c>
      <c r="L761" s="42"/>
      <c r="M761" s="43" t="s">
        <v>154</v>
      </c>
      <c r="N761" s="42" t="s">
        <v>155</v>
      </c>
      <c r="O761" s="43"/>
      <c r="P761" s="43"/>
      <c r="Q761" s="25" t="e">
        <f>VLOOKUP(P761,Key!$E$2:$F$9,2,FALSE)</f>
        <v>#N/A</v>
      </c>
      <c r="R761" s="25" t="e">
        <f t="shared" si="12"/>
        <v>#N/A</v>
      </c>
      <c r="S761" s="58"/>
      <c r="T761" s="58"/>
      <c r="U761" s="43"/>
      <c r="V761" s="43"/>
      <c r="W761" s="58"/>
      <c r="X761" s="58"/>
      <c r="Y761" s="59" t="s">
        <v>156</v>
      </c>
      <c r="Z761" s="60"/>
      <c r="AA761" s="25"/>
      <c r="AB761" s="25"/>
    </row>
    <row r="762" spans="2:28">
      <c r="B762" s="40"/>
      <c r="C762" s="40"/>
      <c r="D762" s="41"/>
      <c r="E762" s="42"/>
      <c r="F762" s="42"/>
      <c r="G762" s="43" t="s">
        <v>154</v>
      </c>
      <c r="H762" s="42" t="s">
        <v>155</v>
      </c>
      <c r="I762" s="43"/>
      <c r="J762" s="43"/>
      <c r="K762" s="25" t="e">
        <f>VLOOKUP(J762,Key!$E$2:$F$9,2,FALSE)</f>
        <v>#N/A</v>
      </c>
      <c r="L762" s="42"/>
      <c r="M762" s="43" t="s">
        <v>154</v>
      </c>
      <c r="N762" s="42" t="s">
        <v>155</v>
      </c>
      <c r="O762" s="43"/>
      <c r="P762" s="43"/>
      <c r="Q762" s="25" t="e">
        <f>VLOOKUP(P762,Key!$E$2:$F$9,2,FALSE)</f>
        <v>#N/A</v>
      </c>
      <c r="R762" s="25" t="e">
        <f t="shared" si="12"/>
        <v>#N/A</v>
      </c>
      <c r="S762" s="58"/>
      <c r="T762" s="58"/>
      <c r="U762" s="43"/>
      <c r="V762" s="43"/>
      <c r="W762" s="58"/>
      <c r="X762" s="58"/>
      <c r="Y762" s="59" t="s">
        <v>156</v>
      </c>
      <c r="Z762" s="60"/>
      <c r="AA762" s="25"/>
      <c r="AB762" s="25"/>
    </row>
    <row r="763" spans="2:28">
      <c r="B763" s="40"/>
      <c r="C763" s="40"/>
      <c r="D763" s="41"/>
      <c r="E763" s="42"/>
      <c r="F763" s="42"/>
      <c r="G763" s="43" t="s">
        <v>154</v>
      </c>
      <c r="H763" s="42" t="s">
        <v>155</v>
      </c>
      <c r="I763" s="43"/>
      <c r="J763" s="43"/>
      <c r="K763" s="25" t="e">
        <f>VLOOKUP(J763,Key!$E$2:$F$9,2,FALSE)</f>
        <v>#N/A</v>
      </c>
      <c r="L763" s="42"/>
      <c r="M763" s="43" t="s">
        <v>154</v>
      </c>
      <c r="N763" s="42" t="s">
        <v>155</v>
      </c>
      <c r="O763" s="43"/>
      <c r="P763" s="43"/>
      <c r="Q763" s="25" t="e">
        <f>VLOOKUP(P763,Key!$E$2:$F$9,2,FALSE)</f>
        <v>#N/A</v>
      </c>
      <c r="R763" s="25" t="e">
        <f t="shared" si="12"/>
        <v>#N/A</v>
      </c>
      <c r="S763" s="58"/>
      <c r="T763" s="58"/>
      <c r="U763" s="43"/>
      <c r="V763" s="43"/>
      <c r="W763" s="58"/>
      <c r="X763" s="58"/>
      <c r="Y763" s="59" t="s">
        <v>156</v>
      </c>
      <c r="Z763" s="60"/>
      <c r="AA763" s="25"/>
      <c r="AB763" s="25"/>
    </row>
    <row r="764" spans="2:28">
      <c r="B764" s="40"/>
      <c r="C764" s="40"/>
      <c r="D764" s="41"/>
      <c r="E764" s="42"/>
      <c r="F764" s="42"/>
      <c r="G764" s="43" t="s">
        <v>154</v>
      </c>
      <c r="H764" s="42" t="s">
        <v>155</v>
      </c>
      <c r="I764" s="43"/>
      <c r="J764" s="43"/>
      <c r="K764" s="25" t="e">
        <f>VLOOKUP(J764,Key!$E$2:$F$9,2,FALSE)</f>
        <v>#N/A</v>
      </c>
      <c r="L764" s="42"/>
      <c r="M764" s="43" t="s">
        <v>154</v>
      </c>
      <c r="N764" s="42" t="s">
        <v>155</v>
      </c>
      <c r="O764" s="43"/>
      <c r="P764" s="43"/>
      <c r="Q764" s="25" t="e">
        <f>VLOOKUP(P764,Key!$E$2:$F$9,2,FALSE)</f>
        <v>#N/A</v>
      </c>
      <c r="R764" s="25" t="e">
        <f t="shared" si="12"/>
        <v>#N/A</v>
      </c>
      <c r="S764" s="58"/>
      <c r="T764" s="58"/>
      <c r="U764" s="43"/>
      <c r="V764" s="43"/>
      <c r="W764" s="58"/>
      <c r="X764" s="58"/>
      <c r="Y764" s="59" t="s">
        <v>156</v>
      </c>
      <c r="Z764" s="60"/>
      <c r="AA764" s="25"/>
      <c r="AB764" s="25"/>
    </row>
    <row r="765" spans="2:28">
      <c r="B765" s="40"/>
      <c r="C765" s="40"/>
      <c r="D765" s="41"/>
      <c r="E765" s="42"/>
      <c r="F765" s="42"/>
      <c r="G765" s="43" t="s">
        <v>154</v>
      </c>
      <c r="H765" s="42" t="s">
        <v>155</v>
      </c>
      <c r="I765" s="43"/>
      <c r="J765" s="43"/>
      <c r="K765" s="25" t="e">
        <f>VLOOKUP(J765,Key!$E$2:$F$9,2,FALSE)</f>
        <v>#N/A</v>
      </c>
      <c r="L765" s="42"/>
      <c r="M765" s="43" t="s">
        <v>154</v>
      </c>
      <c r="N765" s="42" t="s">
        <v>155</v>
      </c>
      <c r="O765" s="43"/>
      <c r="P765" s="43"/>
      <c r="Q765" s="25" t="e">
        <f>VLOOKUP(P765,Key!$E$2:$F$9,2,FALSE)</f>
        <v>#N/A</v>
      </c>
      <c r="R765" s="25" t="e">
        <f t="shared" si="12"/>
        <v>#N/A</v>
      </c>
      <c r="S765" s="58"/>
      <c r="T765" s="58"/>
      <c r="U765" s="43"/>
      <c r="V765" s="43"/>
      <c r="W765" s="58"/>
      <c r="X765" s="58"/>
      <c r="Y765" s="59" t="s">
        <v>156</v>
      </c>
      <c r="Z765" s="60"/>
      <c r="AA765" s="25"/>
      <c r="AB765" s="25"/>
    </row>
    <row r="766" spans="2:28">
      <c r="B766" s="40"/>
      <c r="C766" s="40"/>
      <c r="D766" s="41"/>
      <c r="E766" s="42"/>
      <c r="F766" s="42"/>
      <c r="G766" s="43" t="s">
        <v>154</v>
      </c>
      <c r="H766" s="42" t="s">
        <v>155</v>
      </c>
      <c r="I766" s="43"/>
      <c r="J766" s="43"/>
      <c r="K766" s="25" t="e">
        <f>VLOOKUP(J766,Key!$E$2:$F$9,2,FALSE)</f>
        <v>#N/A</v>
      </c>
      <c r="L766" s="42"/>
      <c r="M766" s="43" t="s">
        <v>154</v>
      </c>
      <c r="N766" s="42" t="s">
        <v>155</v>
      </c>
      <c r="O766" s="43"/>
      <c r="P766" s="43"/>
      <c r="Q766" s="25" t="e">
        <f>VLOOKUP(P766,Key!$E$2:$F$9,2,FALSE)</f>
        <v>#N/A</v>
      </c>
      <c r="R766" s="25" t="e">
        <f t="shared" si="12"/>
        <v>#N/A</v>
      </c>
      <c r="S766" s="58"/>
      <c r="T766" s="58"/>
      <c r="U766" s="43"/>
      <c r="V766" s="43"/>
      <c r="W766" s="58"/>
      <c r="X766" s="58"/>
      <c r="Y766" s="59" t="s">
        <v>156</v>
      </c>
      <c r="Z766" s="60"/>
      <c r="AA766" s="25"/>
      <c r="AB766" s="25"/>
    </row>
    <row r="767" spans="2:28">
      <c r="B767" s="40"/>
      <c r="C767" s="40"/>
      <c r="D767" s="41"/>
      <c r="E767" s="42"/>
      <c r="F767" s="42"/>
      <c r="G767" s="43" t="s">
        <v>154</v>
      </c>
      <c r="H767" s="42" t="s">
        <v>155</v>
      </c>
      <c r="I767" s="43"/>
      <c r="J767" s="43"/>
      <c r="K767" s="25" t="e">
        <f>VLOOKUP(J767,Key!$E$2:$F$9,2,FALSE)</f>
        <v>#N/A</v>
      </c>
      <c r="L767" s="42"/>
      <c r="M767" s="43" t="s">
        <v>154</v>
      </c>
      <c r="N767" s="42" t="s">
        <v>155</v>
      </c>
      <c r="O767" s="43"/>
      <c r="P767" s="43"/>
      <c r="Q767" s="25" t="e">
        <f>VLOOKUP(P767,Key!$E$2:$F$9,2,FALSE)</f>
        <v>#N/A</v>
      </c>
      <c r="R767" s="25" t="e">
        <f t="shared" si="12"/>
        <v>#N/A</v>
      </c>
      <c r="S767" s="58"/>
      <c r="T767" s="58"/>
      <c r="U767" s="43"/>
      <c r="V767" s="43"/>
      <c r="W767" s="58"/>
      <c r="X767" s="58"/>
      <c r="Y767" s="59" t="s">
        <v>156</v>
      </c>
      <c r="Z767" s="60"/>
      <c r="AA767" s="25"/>
      <c r="AB767" s="25"/>
    </row>
    <row r="768" spans="2:28">
      <c r="B768" s="40"/>
      <c r="C768" s="40"/>
      <c r="D768" s="41"/>
      <c r="E768" s="42"/>
      <c r="F768" s="42"/>
      <c r="G768" s="43" t="s">
        <v>154</v>
      </c>
      <c r="H768" s="42" t="s">
        <v>155</v>
      </c>
      <c r="I768" s="43"/>
      <c r="J768" s="43"/>
      <c r="K768" s="25" t="e">
        <f>VLOOKUP(J768,Key!$E$2:$F$9,2,FALSE)</f>
        <v>#N/A</v>
      </c>
      <c r="L768" s="42"/>
      <c r="M768" s="43" t="s">
        <v>154</v>
      </c>
      <c r="N768" s="42" t="s">
        <v>155</v>
      </c>
      <c r="O768" s="43"/>
      <c r="P768" s="43"/>
      <c r="Q768" s="25" t="e">
        <f>VLOOKUP(P768,Key!$E$2:$F$9,2,FALSE)</f>
        <v>#N/A</v>
      </c>
      <c r="R768" s="25" t="e">
        <f t="shared" si="12"/>
        <v>#N/A</v>
      </c>
      <c r="S768" s="58"/>
      <c r="T768" s="58"/>
      <c r="U768" s="43"/>
      <c r="V768" s="43"/>
      <c r="W768" s="58"/>
      <c r="X768" s="58"/>
      <c r="Y768" s="59" t="s">
        <v>156</v>
      </c>
      <c r="Z768" s="60"/>
      <c r="AA768" s="25"/>
      <c r="AB768" s="25"/>
    </row>
    <row r="769" spans="2:28">
      <c r="B769" s="40"/>
      <c r="C769" s="40"/>
      <c r="D769" s="41"/>
      <c r="E769" s="42"/>
      <c r="F769" s="42"/>
      <c r="G769" s="43" t="s">
        <v>154</v>
      </c>
      <c r="H769" s="42" t="s">
        <v>155</v>
      </c>
      <c r="I769" s="43"/>
      <c r="J769" s="43"/>
      <c r="K769" s="25" t="e">
        <f>VLOOKUP(J769,Key!$E$2:$F$9,2,FALSE)</f>
        <v>#N/A</v>
      </c>
      <c r="L769" s="42"/>
      <c r="M769" s="43" t="s">
        <v>154</v>
      </c>
      <c r="N769" s="42" t="s">
        <v>155</v>
      </c>
      <c r="O769" s="43"/>
      <c r="P769" s="43"/>
      <c r="Q769" s="25" t="e">
        <f>VLOOKUP(P769,Key!$E$2:$F$9,2,FALSE)</f>
        <v>#N/A</v>
      </c>
      <c r="R769" s="25" t="e">
        <f t="shared" si="12"/>
        <v>#N/A</v>
      </c>
      <c r="S769" s="58"/>
      <c r="T769" s="58"/>
      <c r="U769" s="43"/>
      <c r="V769" s="43"/>
      <c r="W769" s="58"/>
      <c r="X769" s="58"/>
      <c r="Y769" s="59" t="s">
        <v>156</v>
      </c>
      <c r="Z769" s="60"/>
      <c r="AA769" s="25"/>
      <c r="AB769" s="25"/>
    </row>
    <row r="770" spans="2:28">
      <c r="B770" s="40"/>
      <c r="C770" s="40"/>
      <c r="D770" s="41"/>
      <c r="E770" s="42"/>
      <c r="F770" s="42"/>
      <c r="G770" s="43" t="s">
        <v>154</v>
      </c>
      <c r="H770" s="42" t="s">
        <v>155</v>
      </c>
      <c r="I770" s="43"/>
      <c r="J770" s="43"/>
      <c r="K770" s="25" t="e">
        <f>VLOOKUP(J770,Key!$E$2:$F$9,2,FALSE)</f>
        <v>#N/A</v>
      </c>
      <c r="L770" s="42"/>
      <c r="M770" s="43" t="s">
        <v>154</v>
      </c>
      <c r="N770" s="42" t="s">
        <v>155</v>
      </c>
      <c r="O770" s="43"/>
      <c r="P770" s="43"/>
      <c r="Q770" s="25" t="e">
        <f>VLOOKUP(P770,Key!$E$2:$F$9,2,FALSE)</f>
        <v>#N/A</v>
      </c>
      <c r="R770" s="25" t="e">
        <f t="shared" si="12"/>
        <v>#N/A</v>
      </c>
      <c r="S770" s="58"/>
      <c r="T770" s="58"/>
      <c r="U770" s="43"/>
      <c r="V770" s="43"/>
      <c r="W770" s="58"/>
      <c r="X770" s="58"/>
      <c r="Y770" s="59" t="s">
        <v>156</v>
      </c>
      <c r="Z770" s="60"/>
      <c r="AA770" s="25"/>
      <c r="AB770" s="25"/>
    </row>
    <row r="771" spans="2:28">
      <c r="B771" s="40"/>
      <c r="C771" s="40"/>
      <c r="D771" s="41"/>
      <c r="E771" s="42"/>
      <c r="F771" s="42"/>
      <c r="G771" s="43" t="s">
        <v>154</v>
      </c>
      <c r="H771" s="42" t="s">
        <v>155</v>
      </c>
      <c r="I771" s="43"/>
      <c r="J771" s="43"/>
      <c r="K771" s="25" t="e">
        <f>VLOOKUP(J771,Key!$E$2:$F$9,2,FALSE)</f>
        <v>#N/A</v>
      </c>
      <c r="L771" s="42"/>
      <c r="M771" s="43" t="s">
        <v>154</v>
      </c>
      <c r="N771" s="42" t="s">
        <v>155</v>
      </c>
      <c r="O771" s="43"/>
      <c r="P771" s="43"/>
      <c r="Q771" s="25" t="e">
        <f>VLOOKUP(P771,Key!$E$2:$F$9,2,FALSE)</f>
        <v>#N/A</v>
      </c>
      <c r="R771" s="25" t="e">
        <f t="shared" si="12"/>
        <v>#N/A</v>
      </c>
      <c r="S771" s="58"/>
      <c r="T771" s="58"/>
      <c r="U771" s="43"/>
      <c r="V771" s="43"/>
      <c r="W771" s="58"/>
      <c r="X771" s="58"/>
      <c r="Y771" s="59" t="s">
        <v>156</v>
      </c>
      <c r="Z771" s="60"/>
      <c r="AA771" s="25"/>
      <c r="AB771" s="25"/>
    </row>
    <row r="772" spans="2:28">
      <c r="B772" s="40"/>
      <c r="C772" s="40"/>
      <c r="D772" s="41"/>
      <c r="E772" s="42"/>
      <c r="F772" s="42"/>
      <c r="G772" s="43" t="s">
        <v>154</v>
      </c>
      <c r="H772" s="42" t="s">
        <v>155</v>
      </c>
      <c r="I772" s="43"/>
      <c r="J772" s="43"/>
      <c r="K772" s="25" t="e">
        <f>VLOOKUP(J772,Key!$E$2:$F$9,2,FALSE)</f>
        <v>#N/A</v>
      </c>
      <c r="L772" s="42"/>
      <c r="M772" s="43" t="s">
        <v>154</v>
      </c>
      <c r="N772" s="42" t="s">
        <v>155</v>
      </c>
      <c r="O772" s="43"/>
      <c r="P772" s="43"/>
      <c r="Q772" s="25" t="e">
        <f>VLOOKUP(P772,Key!$E$2:$F$9,2,FALSE)</f>
        <v>#N/A</v>
      </c>
      <c r="R772" s="25" t="e">
        <f t="shared" si="12"/>
        <v>#N/A</v>
      </c>
      <c r="S772" s="58"/>
      <c r="T772" s="58"/>
      <c r="U772" s="43"/>
      <c r="V772" s="43"/>
      <c r="W772" s="58"/>
      <c r="X772" s="58"/>
      <c r="Y772" s="59" t="s">
        <v>156</v>
      </c>
      <c r="Z772" s="60"/>
      <c r="AA772" s="25"/>
      <c r="AB772" s="25"/>
    </row>
    <row r="773" spans="2:28">
      <c r="B773" s="40"/>
      <c r="C773" s="40"/>
      <c r="D773" s="41"/>
      <c r="E773" s="42"/>
      <c r="F773" s="42"/>
      <c r="G773" s="43" t="s">
        <v>154</v>
      </c>
      <c r="H773" s="42" t="s">
        <v>155</v>
      </c>
      <c r="I773" s="43"/>
      <c r="J773" s="43"/>
      <c r="K773" s="25" t="e">
        <f>VLOOKUP(J773,Key!$E$2:$F$9,2,FALSE)</f>
        <v>#N/A</v>
      </c>
      <c r="L773" s="42"/>
      <c r="M773" s="43" t="s">
        <v>154</v>
      </c>
      <c r="N773" s="42" t="s">
        <v>155</v>
      </c>
      <c r="O773" s="43"/>
      <c r="P773" s="43"/>
      <c r="Q773" s="25" t="e">
        <f>VLOOKUP(P773,Key!$E$2:$F$9,2,FALSE)</f>
        <v>#N/A</v>
      </c>
      <c r="R773" s="25" t="e">
        <f t="shared" si="12"/>
        <v>#N/A</v>
      </c>
      <c r="S773" s="58"/>
      <c r="T773" s="58"/>
      <c r="U773" s="43"/>
      <c r="V773" s="43"/>
      <c r="W773" s="58"/>
      <c r="X773" s="58"/>
      <c r="Y773" s="59" t="s">
        <v>156</v>
      </c>
      <c r="Z773" s="60"/>
      <c r="AA773" s="25"/>
      <c r="AB773" s="25"/>
    </row>
    <row r="774" spans="2:28">
      <c r="B774" s="40"/>
      <c r="C774" s="40"/>
      <c r="D774" s="41"/>
      <c r="E774" s="42"/>
      <c r="F774" s="42"/>
      <c r="G774" s="43" t="s">
        <v>154</v>
      </c>
      <c r="H774" s="42" t="s">
        <v>155</v>
      </c>
      <c r="I774" s="43"/>
      <c r="J774" s="43"/>
      <c r="K774" s="25" t="e">
        <f>VLOOKUP(J774,Key!$E$2:$F$9,2,FALSE)</f>
        <v>#N/A</v>
      </c>
      <c r="L774" s="42"/>
      <c r="M774" s="43" t="s">
        <v>154</v>
      </c>
      <c r="N774" s="42" t="s">
        <v>155</v>
      </c>
      <c r="O774" s="43"/>
      <c r="P774" s="43"/>
      <c r="Q774" s="25" t="e">
        <f>VLOOKUP(P774,Key!$E$2:$F$9,2,FALSE)</f>
        <v>#N/A</v>
      </c>
      <c r="R774" s="25" t="e">
        <f t="shared" si="12"/>
        <v>#N/A</v>
      </c>
      <c r="S774" s="58"/>
      <c r="T774" s="58"/>
      <c r="U774" s="43"/>
      <c r="V774" s="43"/>
      <c r="W774" s="58"/>
      <c r="X774" s="58"/>
      <c r="Y774" s="59" t="s">
        <v>156</v>
      </c>
      <c r="Z774" s="60"/>
      <c r="AA774" s="25"/>
      <c r="AB774" s="25"/>
    </row>
    <row r="775" spans="2:28">
      <c r="B775" s="40"/>
      <c r="C775" s="40"/>
      <c r="D775" s="41"/>
      <c r="E775" s="42"/>
      <c r="F775" s="42"/>
      <c r="G775" s="43" t="s">
        <v>154</v>
      </c>
      <c r="H775" s="42" t="s">
        <v>155</v>
      </c>
      <c r="I775" s="43"/>
      <c r="J775" s="43"/>
      <c r="K775" s="25" t="e">
        <f>VLOOKUP(J775,Key!$E$2:$F$9,2,FALSE)</f>
        <v>#N/A</v>
      </c>
      <c r="L775" s="42"/>
      <c r="M775" s="43" t="s">
        <v>154</v>
      </c>
      <c r="N775" s="42" t="s">
        <v>155</v>
      </c>
      <c r="O775" s="43"/>
      <c r="P775" s="43"/>
      <c r="Q775" s="25" t="e">
        <f>VLOOKUP(P775,Key!$E$2:$F$9,2,FALSE)</f>
        <v>#N/A</v>
      </c>
      <c r="R775" s="25" t="e">
        <f t="shared" si="12"/>
        <v>#N/A</v>
      </c>
      <c r="S775" s="58"/>
      <c r="T775" s="58"/>
      <c r="U775" s="43"/>
      <c r="V775" s="43"/>
      <c r="W775" s="58"/>
      <c r="X775" s="58"/>
      <c r="Y775" s="59" t="s">
        <v>156</v>
      </c>
      <c r="Z775" s="60"/>
      <c r="AA775" s="25"/>
      <c r="AB775" s="25"/>
    </row>
    <row r="776" spans="2:28">
      <c r="B776" s="40"/>
      <c r="C776" s="40"/>
      <c r="D776" s="41"/>
      <c r="E776" s="42"/>
      <c r="F776" s="42"/>
      <c r="G776" s="43" t="s">
        <v>154</v>
      </c>
      <c r="H776" s="42" t="s">
        <v>155</v>
      </c>
      <c r="I776" s="43"/>
      <c r="J776" s="43"/>
      <c r="K776" s="25" t="e">
        <f>VLOOKUP(J776,Key!$E$2:$F$9,2,FALSE)</f>
        <v>#N/A</v>
      </c>
      <c r="L776" s="42"/>
      <c r="M776" s="43" t="s">
        <v>154</v>
      </c>
      <c r="N776" s="42" t="s">
        <v>155</v>
      </c>
      <c r="O776" s="43"/>
      <c r="P776" s="43"/>
      <c r="Q776" s="25" t="e">
        <f>VLOOKUP(P776,Key!$E$2:$F$9,2,FALSE)</f>
        <v>#N/A</v>
      </c>
      <c r="R776" s="25" t="e">
        <f t="shared" si="12"/>
        <v>#N/A</v>
      </c>
      <c r="S776" s="58"/>
      <c r="T776" s="58"/>
      <c r="U776" s="43"/>
      <c r="V776" s="43"/>
      <c r="W776" s="58"/>
      <c r="X776" s="58"/>
      <c r="Y776" s="59" t="s">
        <v>156</v>
      </c>
      <c r="Z776" s="60"/>
      <c r="AA776" s="25"/>
      <c r="AB776" s="25"/>
    </row>
    <row r="777" spans="2:28">
      <c r="B777" s="40"/>
      <c r="C777" s="40"/>
      <c r="D777" s="41"/>
      <c r="E777" s="42"/>
      <c r="F777" s="42"/>
      <c r="G777" s="43" t="s">
        <v>154</v>
      </c>
      <c r="H777" s="42" t="s">
        <v>155</v>
      </c>
      <c r="I777" s="43"/>
      <c r="J777" s="43"/>
      <c r="K777" s="25" t="e">
        <f>VLOOKUP(J777,Key!$E$2:$F$9,2,FALSE)</f>
        <v>#N/A</v>
      </c>
      <c r="L777" s="42"/>
      <c r="M777" s="43" t="s">
        <v>154</v>
      </c>
      <c r="N777" s="42" t="s">
        <v>155</v>
      </c>
      <c r="O777" s="43"/>
      <c r="P777" s="43"/>
      <c r="Q777" s="25" t="e">
        <f>VLOOKUP(P777,Key!$E$2:$F$9,2,FALSE)</f>
        <v>#N/A</v>
      </c>
      <c r="R777" s="25" t="e">
        <f t="shared" si="12"/>
        <v>#N/A</v>
      </c>
      <c r="S777" s="58"/>
      <c r="T777" s="58"/>
      <c r="U777" s="43"/>
      <c r="V777" s="43"/>
      <c r="W777" s="58"/>
      <c r="X777" s="58"/>
      <c r="Y777" s="59" t="s">
        <v>156</v>
      </c>
      <c r="Z777" s="60"/>
      <c r="AA777" s="25"/>
      <c r="AB777" s="25"/>
    </row>
    <row r="778" spans="2:28">
      <c r="B778" s="40"/>
      <c r="C778" s="40"/>
      <c r="D778" s="41"/>
      <c r="E778" s="42"/>
      <c r="F778" s="42"/>
      <c r="G778" s="43" t="s">
        <v>154</v>
      </c>
      <c r="H778" s="42" t="s">
        <v>155</v>
      </c>
      <c r="I778" s="43"/>
      <c r="J778" s="43"/>
      <c r="K778" s="25" t="e">
        <f>VLOOKUP(J778,Key!$E$2:$F$9,2,FALSE)</f>
        <v>#N/A</v>
      </c>
      <c r="L778" s="42"/>
      <c r="M778" s="43" t="s">
        <v>154</v>
      </c>
      <c r="N778" s="42" t="s">
        <v>155</v>
      </c>
      <c r="O778" s="43"/>
      <c r="P778" s="43"/>
      <c r="Q778" s="25" t="e">
        <f>VLOOKUP(P778,Key!$E$2:$F$9,2,FALSE)</f>
        <v>#N/A</v>
      </c>
      <c r="R778" s="25" t="e">
        <f t="shared" si="12"/>
        <v>#N/A</v>
      </c>
      <c r="S778" s="58"/>
      <c r="T778" s="58"/>
      <c r="U778" s="43"/>
      <c r="V778" s="43"/>
      <c r="W778" s="58"/>
      <c r="X778" s="58"/>
      <c r="Y778" s="59" t="s">
        <v>156</v>
      </c>
      <c r="Z778" s="60"/>
      <c r="AA778" s="25"/>
      <c r="AB778" s="25"/>
    </row>
    <row r="779" spans="2:28">
      <c r="B779" s="40"/>
      <c r="C779" s="40"/>
      <c r="D779" s="41"/>
      <c r="E779" s="42"/>
      <c r="F779" s="42"/>
      <c r="G779" s="43" t="s">
        <v>154</v>
      </c>
      <c r="H779" s="42" t="s">
        <v>155</v>
      </c>
      <c r="I779" s="43"/>
      <c r="J779" s="43"/>
      <c r="K779" s="25" t="e">
        <f>VLOOKUP(J779,Key!$E$2:$F$9,2,FALSE)</f>
        <v>#N/A</v>
      </c>
      <c r="L779" s="42"/>
      <c r="M779" s="43" t="s">
        <v>154</v>
      </c>
      <c r="N779" s="42" t="s">
        <v>155</v>
      </c>
      <c r="O779" s="43"/>
      <c r="P779" s="43"/>
      <c r="Q779" s="25" t="e">
        <f>VLOOKUP(P779,Key!$E$2:$F$9,2,FALSE)</f>
        <v>#N/A</v>
      </c>
      <c r="R779" s="25" t="e">
        <f t="shared" si="12"/>
        <v>#N/A</v>
      </c>
      <c r="S779" s="58"/>
      <c r="T779" s="58"/>
      <c r="U779" s="43"/>
      <c r="V779" s="43"/>
      <c r="W779" s="58"/>
      <c r="X779" s="58"/>
      <c r="Y779" s="59" t="s">
        <v>156</v>
      </c>
      <c r="Z779" s="60"/>
      <c r="AA779" s="25"/>
      <c r="AB779" s="25"/>
    </row>
    <row r="780" spans="2:28">
      <c r="B780" s="40"/>
      <c r="C780" s="40"/>
      <c r="D780" s="41"/>
      <c r="E780" s="42"/>
      <c r="F780" s="42"/>
      <c r="G780" s="43" t="s">
        <v>154</v>
      </c>
      <c r="H780" s="42" t="s">
        <v>155</v>
      </c>
      <c r="I780" s="43"/>
      <c r="J780" s="43"/>
      <c r="K780" s="25" t="e">
        <f>VLOOKUP(J780,Key!$E$2:$F$9,2,FALSE)</f>
        <v>#N/A</v>
      </c>
      <c r="L780" s="42"/>
      <c r="M780" s="43" t="s">
        <v>154</v>
      </c>
      <c r="N780" s="42" t="s">
        <v>155</v>
      </c>
      <c r="O780" s="43"/>
      <c r="P780" s="43"/>
      <c r="Q780" s="25" t="e">
        <f>VLOOKUP(P780,Key!$E$2:$F$9,2,FALSE)</f>
        <v>#N/A</v>
      </c>
      <c r="R780" s="25" t="e">
        <f t="shared" si="12"/>
        <v>#N/A</v>
      </c>
      <c r="S780" s="58"/>
      <c r="T780" s="58"/>
      <c r="U780" s="43"/>
      <c r="V780" s="43"/>
      <c r="W780" s="58"/>
      <c r="X780" s="58"/>
      <c r="Y780" s="59" t="s">
        <v>156</v>
      </c>
      <c r="Z780" s="60"/>
      <c r="AA780" s="25"/>
      <c r="AB780" s="25"/>
    </row>
    <row r="781" spans="2:28">
      <c r="B781" s="40"/>
      <c r="C781" s="40"/>
      <c r="D781" s="41"/>
      <c r="E781" s="42"/>
      <c r="F781" s="42"/>
      <c r="G781" s="43" t="s">
        <v>154</v>
      </c>
      <c r="H781" s="42" t="s">
        <v>155</v>
      </c>
      <c r="I781" s="43"/>
      <c r="J781" s="43"/>
      <c r="K781" s="25" t="e">
        <f>VLOOKUP(J781,Key!$E$2:$F$9,2,FALSE)</f>
        <v>#N/A</v>
      </c>
      <c r="L781" s="42"/>
      <c r="M781" s="43" t="s">
        <v>154</v>
      </c>
      <c r="N781" s="42" t="s">
        <v>155</v>
      </c>
      <c r="O781" s="43"/>
      <c r="P781" s="43"/>
      <c r="Q781" s="25" t="e">
        <f>VLOOKUP(P781,Key!$E$2:$F$9,2,FALSE)</f>
        <v>#N/A</v>
      </c>
      <c r="R781" s="25" t="e">
        <f t="shared" si="12"/>
        <v>#N/A</v>
      </c>
      <c r="S781" s="58"/>
      <c r="T781" s="58"/>
      <c r="U781" s="43"/>
      <c r="V781" s="43"/>
      <c r="W781" s="58"/>
      <c r="X781" s="58"/>
      <c r="Y781" s="59" t="s">
        <v>156</v>
      </c>
      <c r="Z781" s="60"/>
      <c r="AA781" s="25"/>
      <c r="AB781" s="25"/>
    </row>
    <row r="782" spans="2:28">
      <c r="B782" s="40"/>
      <c r="C782" s="40"/>
      <c r="D782" s="41"/>
      <c r="E782" s="42"/>
      <c r="F782" s="42"/>
      <c r="G782" s="43" t="s">
        <v>154</v>
      </c>
      <c r="H782" s="42" t="s">
        <v>155</v>
      </c>
      <c r="I782" s="43"/>
      <c r="J782" s="43"/>
      <c r="K782" s="25" t="e">
        <f>VLOOKUP(J782,Key!$E$2:$F$9,2,FALSE)</f>
        <v>#N/A</v>
      </c>
      <c r="L782" s="42"/>
      <c r="M782" s="43" t="s">
        <v>154</v>
      </c>
      <c r="N782" s="42" t="s">
        <v>155</v>
      </c>
      <c r="O782" s="43"/>
      <c r="P782" s="43"/>
      <c r="Q782" s="25" t="e">
        <f>VLOOKUP(P782,Key!$E$2:$F$9,2,FALSE)</f>
        <v>#N/A</v>
      </c>
      <c r="R782" s="25" t="e">
        <f t="shared" si="12"/>
        <v>#N/A</v>
      </c>
      <c r="S782" s="58"/>
      <c r="T782" s="58"/>
      <c r="U782" s="43"/>
      <c r="V782" s="43"/>
      <c r="W782" s="58"/>
      <c r="X782" s="58"/>
      <c r="Y782" s="59" t="s">
        <v>156</v>
      </c>
      <c r="Z782" s="60"/>
      <c r="AA782" s="25"/>
      <c r="AB782" s="25"/>
    </row>
    <row r="783" spans="2:28">
      <c r="B783" s="40"/>
      <c r="C783" s="40"/>
      <c r="D783" s="41"/>
      <c r="E783" s="42"/>
      <c r="F783" s="42"/>
      <c r="G783" s="43" t="s">
        <v>154</v>
      </c>
      <c r="H783" s="42" t="s">
        <v>155</v>
      </c>
      <c r="I783" s="43"/>
      <c r="J783" s="43"/>
      <c r="K783" s="25" t="e">
        <f>VLOOKUP(J783,Key!$E$2:$F$9,2,FALSE)</f>
        <v>#N/A</v>
      </c>
      <c r="L783" s="42"/>
      <c r="M783" s="43" t="s">
        <v>154</v>
      </c>
      <c r="N783" s="42" t="s">
        <v>155</v>
      </c>
      <c r="O783" s="43"/>
      <c r="P783" s="43"/>
      <c r="Q783" s="25" t="e">
        <f>VLOOKUP(P783,Key!$E$2:$F$9,2,FALSE)</f>
        <v>#N/A</v>
      </c>
      <c r="R783" s="25" t="e">
        <f t="shared" si="12"/>
        <v>#N/A</v>
      </c>
      <c r="S783" s="58"/>
      <c r="T783" s="58"/>
      <c r="U783" s="43"/>
      <c r="V783" s="43"/>
      <c r="W783" s="58"/>
      <c r="X783" s="58"/>
      <c r="Y783" s="59" t="s">
        <v>156</v>
      </c>
      <c r="Z783" s="60"/>
      <c r="AA783" s="25"/>
      <c r="AB783" s="25"/>
    </row>
    <row r="784" spans="2:28">
      <c r="B784" s="40"/>
      <c r="C784" s="40"/>
      <c r="D784" s="41"/>
      <c r="E784" s="42"/>
      <c r="F784" s="42"/>
      <c r="G784" s="43" t="s">
        <v>154</v>
      </c>
      <c r="H784" s="42" t="s">
        <v>155</v>
      </c>
      <c r="I784" s="43"/>
      <c r="J784" s="43"/>
      <c r="K784" s="25" t="e">
        <f>VLOOKUP(J784,Key!$E$2:$F$9,2,FALSE)</f>
        <v>#N/A</v>
      </c>
      <c r="L784" s="42"/>
      <c r="M784" s="43" t="s">
        <v>154</v>
      </c>
      <c r="N784" s="42" t="s">
        <v>155</v>
      </c>
      <c r="O784" s="43"/>
      <c r="P784" s="43"/>
      <c r="Q784" s="25" t="e">
        <f>VLOOKUP(P784,Key!$E$2:$F$9,2,FALSE)</f>
        <v>#N/A</v>
      </c>
      <c r="R784" s="25" t="e">
        <f t="shared" si="12"/>
        <v>#N/A</v>
      </c>
      <c r="S784" s="58"/>
      <c r="T784" s="58"/>
      <c r="U784" s="43"/>
      <c r="V784" s="43"/>
      <c r="W784" s="58"/>
      <c r="X784" s="58"/>
      <c r="Y784" s="59" t="s">
        <v>156</v>
      </c>
      <c r="Z784" s="60"/>
      <c r="AA784" s="25"/>
      <c r="AB784" s="25"/>
    </row>
    <row r="785" spans="2:28">
      <c r="B785" s="40"/>
      <c r="C785" s="40"/>
      <c r="D785" s="41"/>
      <c r="E785" s="42"/>
      <c r="F785" s="42"/>
      <c r="G785" s="43" t="s">
        <v>154</v>
      </c>
      <c r="H785" s="42" t="s">
        <v>155</v>
      </c>
      <c r="I785" s="43"/>
      <c r="J785" s="43"/>
      <c r="K785" s="25" t="e">
        <f>VLOOKUP(J785,Key!$E$2:$F$9,2,FALSE)</f>
        <v>#N/A</v>
      </c>
      <c r="L785" s="42"/>
      <c r="M785" s="43" t="s">
        <v>154</v>
      </c>
      <c r="N785" s="42" t="s">
        <v>155</v>
      </c>
      <c r="O785" s="43"/>
      <c r="P785" s="43"/>
      <c r="Q785" s="25" t="e">
        <f>VLOOKUP(P785,Key!$E$2:$F$9,2,FALSE)</f>
        <v>#N/A</v>
      </c>
      <c r="R785" s="25" t="e">
        <f t="shared" si="12"/>
        <v>#N/A</v>
      </c>
      <c r="S785" s="58"/>
      <c r="T785" s="58"/>
      <c r="U785" s="43"/>
      <c r="V785" s="43"/>
      <c r="W785" s="58"/>
      <c r="X785" s="58"/>
      <c r="Y785" s="59" t="s">
        <v>156</v>
      </c>
      <c r="Z785" s="60"/>
      <c r="AA785" s="25"/>
      <c r="AB785" s="25"/>
    </row>
    <row r="786" spans="2:28">
      <c r="B786" s="40"/>
      <c r="C786" s="40"/>
      <c r="D786" s="41"/>
      <c r="E786" s="42"/>
      <c r="F786" s="42"/>
      <c r="G786" s="43" t="s">
        <v>154</v>
      </c>
      <c r="H786" s="42" t="s">
        <v>155</v>
      </c>
      <c r="I786" s="43"/>
      <c r="J786" s="43"/>
      <c r="K786" s="25" t="e">
        <f>VLOOKUP(J786,Key!$E$2:$F$9,2,FALSE)</f>
        <v>#N/A</v>
      </c>
      <c r="L786" s="42"/>
      <c r="M786" s="43" t="s">
        <v>154</v>
      </c>
      <c r="N786" s="42" t="s">
        <v>155</v>
      </c>
      <c r="O786" s="43"/>
      <c r="P786" s="43"/>
      <c r="Q786" s="25" t="e">
        <f>VLOOKUP(P786,Key!$E$2:$F$9,2,FALSE)</f>
        <v>#N/A</v>
      </c>
      <c r="R786" s="25" t="e">
        <f t="shared" si="12"/>
        <v>#N/A</v>
      </c>
      <c r="S786" s="58"/>
      <c r="T786" s="58"/>
      <c r="U786" s="43"/>
      <c r="V786" s="43"/>
      <c r="W786" s="58"/>
      <c r="X786" s="58"/>
      <c r="Y786" s="59" t="s">
        <v>156</v>
      </c>
      <c r="Z786" s="60"/>
      <c r="AA786" s="25"/>
      <c r="AB786" s="25"/>
    </row>
    <row r="787" spans="2:28">
      <c r="B787" s="40"/>
      <c r="C787" s="40"/>
      <c r="D787" s="41"/>
      <c r="E787" s="42"/>
      <c r="F787" s="42"/>
      <c r="G787" s="43" t="s">
        <v>154</v>
      </c>
      <c r="H787" s="42" t="s">
        <v>155</v>
      </c>
      <c r="I787" s="43"/>
      <c r="J787" s="43"/>
      <c r="K787" s="25" t="e">
        <f>VLOOKUP(J787,Key!$E$2:$F$9,2,FALSE)</f>
        <v>#N/A</v>
      </c>
      <c r="L787" s="42"/>
      <c r="M787" s="43" t="s">
        <v>154</v>
      </c>
      <c r="N787" s="42" t="s">
        <v>155</v>
      </c>
      <c r="O787" s="43"/>
      <c r="P787" s="43"/>
      <c r="Q787" s="25" t="e">
        <f>VLOOKUP(P787,Key!$E$2:$F$9,2,FALSE)</f>
        <v>#N/A</v>
      </c>
      <c r="R787" s="25" t="e">
        <f t="shared" si="12"/>
        <v>#N/A</v>
      </c>
      <c r="S787" s="58"/>
      <c r="T787" s="58"/>
      <c r="U787" s="43"/>
      <c r="V787" s="43"/>
      <c r="W787" s="58"/>
      <c r="X787" s="58"/>
      <c r="Y787" s="59" t="s">
        <v>156</v>
      </c>
      <c r="Z787" s="60"/>
      <c r="AA787" s="25"/>
      <c r="AB787" s="25"/>
    </row>
    <row r="788" spans="2:28">
      <c r="B788" s="40"/>
      <c r="C788" s="40"/>
      <c r="D788" s="41"/>
      <c r="E788" s="42"/>
      <c r="F788" s="42"/>
      <c r="G788" s="43" t="s">
        <v>154</v>
      </c>
      <c r="H788" s="42" t="s">
        <v>155</v>
      </c>
      <c r="I788" s="43"/>
      <c r="J788" s="43"/>
      <c r="K788" s="25" t="e">
        <f>VLOOKUP(J788,Key!$E$2:$F$9,2,FALSE)</f>
        <v>#N/A</v>
      </c>
      <c r="L788" s="42"/>
      <c r="M788" s="43" t="s">
        <v>154</v>
      </c>
      <c r="N788" s="42" t="s">
        <v>155</v>
      </c>
      <c r="O788" s="43"/>
      <c r="P788" s="43"/>
      <c r="Q788" s="25" t="e">
        <f>VLOOKUP(P788,Key!$E$2:$F$9,2,FALSE)</f>
        <v>#N/A</v>
      </c>
      <c r="R788" s="25" t="e">
        <f t="shared" si="12"/>
        <v>#N/A</v>
      </c>
      <c r="S788" s="58"/>
      <c r="T788" s="58"/>
      <c r="U788" s="43"/>
      <c r="V788" s="43"/>
      <c r="W788" s="58"/>
      <c r="X788" s="58"/>
      <c r="Y788" s="59" t="s">
        <v>156</v>
      </c>
      <c r="Z788" s="60"/>
      <c r="AA788" s="25"/>
      <c r="AB788" s="25"/>
    </row>
    <row r="789" spans="2:28">
      <c r="B789" s="40"/>
      <c r="C789" s="40"/>
      <c r="D789" s="41"/>
      <c r="E789" s="42"/>
      <c r="F789" s="42"/>
      <c r="G789" s="43" t="s">
        <v>154</v>
      </c>
      <c r="H789" s="42" t="s">
        <v>155</v>
      </c>
      <c r="I789" s="43"/>
      <c r="J789" s="43"/>
      <c r="K789" s="25" t="e">
        <f>VLOOKUP(J789,Key!$E$2:$F$9,2,FALSE)</f>
        <v>#N/A</v>
      </c>
      <c r="L789" s="42"/>
      <c r="M789" s="43" t="s">
        <v>154</v>
      </c>
      <c r="N789" s="42" t="s">
        <v>155</v>
      </c>
      <c r="O789" s="43"/>
      <c r="P789" s="43"/>
      <c r="Q789" s="25" t="e">
        <f>VLOOKUP(P789,Key!$E$2:$F$9,2,FALSE)</f>
        <v>#N/A</v>
      </c>
      <c r="R789" s="25" t="e">
        <f t="shared" si="12"/>
        <v>#N/A</v>
      </c>
      <c r="S789" s="58"/>
      <c r="T789" s="58"/>
      <c r="U789" s="43"/>
      <c r="V789" s="43"/>
      <c r="W789" s="58"/>
      <c r="X789" s="58"/>
      <c r="Y789" s="59" t="s">
        <v>156</v>
      </c>
      <c r="Z789" s="60"/>
      <c r="AA789" s="25"/>
      <c r="AB789" s="25"/>
    </row>
    <row r="790" spans="2:28">
      <c r="B790" s="40"/>
      <c r="C790" s="40"/>
      <c r="D790" s="41"/>
      <c r="E790" s="42"/>
      <c r="F790" s="42"/>
      <c r="G790" s="43" t="s">
        <v>154</v>
      </c>
      <c r="H790" s="42" t="s">
        <v>155</v>
      </c>
      <c r="I790" s="43"/>
      <c r="J790" s="43"/>
      <c r="K790" s="25" t="e">
        <f>VLOOKUP(J790,Key!$E$2:$F$9,2,FALSE)</f>
        <v>#N/A</v>
      </c>
      <c r="L790" s="42"/>
      <c r="M790" s="43" t="s">
        <v>154</v>
      </c>
      <c r="N790" s="42" t="s">
        <v>155</v>
      </c>
      <c r="O790" s="43"/>
      <c r="P790" s="43"/>
      <c r="Q790" s="25" t="e">
        <f>VLOOKUP(P790,Key!$E$2:$F$9,2,FALSE)</f>
        <v>#N/A</v>
      </c>
      <c r="R790" s="25" t="e">
        <f t="shared" si="12"/>
        <v>#N/A</v>
      </c>
      <c r="S790" s="58"/>
      <c r="T790" s="58"/>
      <c r="U790" s="43"/>
      <c r="V790" s="43"/>
      <c r="W790" s="58"/>
      <c r="X790" s="58"/>
      <c r="Y790" s="59" t="s">
        <v>156</v>
      </c>
      <c r="Z790" s="60"/>
      <c r="AA790" s="25"/>
      <c r="AB790" s="25"/>
    </row>
    <row r="791" spans="2:28">
      <c r="B791" s="40"/>
      <c r="C791" s="40"/>
      <c r="D791" s="41"/>
      <c r="E791" s="42"/>
      <c r="F791" s="42"/>
      <c r="G791" s="43" t="s">
        <v>154</v>
      </c>
      <c r="H791" s="42" t="s">
        <v>155</v>
      </c>
      <c r="I791" s="43"/>
      <c r="J791" s="43"/>
      <c r="K791" s="25" t="e">
        <f>VLOOKUP(J791,Key!$E$2:$F$9,2,FALSE)</f>
        <v>#N/A</v>
      </c>
      <c r="L791" s="42"/>
      <c r="M791" s="43" t="s">
        <v>154</v>
      </c>
      <c r="N791" s="42" t="s">
        <v>155</v>
      </c>
      <c r="O791" s="43"/>
      <c r="P791" s="43"/>
      <c r="Q791" s="25" t="e">
        <f>VLOOKUP(P791,Key!$E$2:$F$9,2,FALSE)</f>
        <v>#N/A</v>
      </c>
      <c r="R791" s="25" t="e">
        <f t="shared" si="12"/>
        <v>#N/A</v>
      </c>
      <c r="S791" s="58"/>
      <c r="T791" s="58"/>
      <c r="U791" s="43"/>
      <c r="V791" s="43"/>
      <c r="W791" s="58"/>
      <c r="X791" s="58"/>
      <c r="Y791" s="59" t="s">
        <v>156</v>
      </c>
      <c r="Z791" s="60"/>
      <c r="AA791" s="25"/>
      <c r="AB791" s="25"/>
    </row>
    <row r="792" spans="2:28">
      <c r="B792" s="40"/>
      <c r="C792" s="40"/>
      <c r="D792" s="41"/>
      <c r="E792" s="42"/>
      <c r="F792" s="42"/>
      <c r="G792" s="43" t="s">
        <v>154</v>
      </c>
      <c r="H792" s="42" t="s">
        <v>155</v>
      </c>
      <c r="I792" s="43"/>
      <c r="J792" s="43"/>
      <c r="K792" s="25" t="e">
        <f>VLOOKUP(J792,Key!$E$2:$F$9,2,FALSE)</f>
        <v>#N/A</v>
      </c>
      <c r="L792" s="42"/>
      <c r="M792" s="43" t="s">
        <v>154</v>
      </c>
      <c r="N792" s="42" t="s">
        <v>155</v>
      </c>
      <c r="O792" s="43"/>
      <c r="P792" s="43"/>
      <c r="Q792" s="25" t="e">
        <f>VLOOKUP(P792,Key!$E$2:$F$9,2,FALSE)</f>
        <v>#N/A</v>
      </c>
      <c r="R792" s="25" t="e">
        <f t="shared" si="12"/>
        <v>#N/A</v>
      </c>
      <c r="S792" s="58"/>
      <c r="T792" s="58"/>
      <c r="U792" s="43"/>
      <c r="V792" s="43"/>
      <c r="W792" s="58"/>
      <c r="X792" s="58"/>
      <c r="Y792" s="59" t="s">
        <v>156</v>
      </c>
      <c r="Z792" s="60"/>
      <c r="AA792" s="25"/>
      <c r="AB792" s="25"/>
    </row>
    <row r="793" spans="2:28">
      <c r="B793" s="40"/>
      <c r="C793" s="40"/>
      <c r="D793" s="41"/>
      <c r="E793" s="42"/>
      <c r="F793" s="42"/>
      <c r="G793" s="43" t="s">
        <v>154</v>
      </c>
      <c r="H793" s="42" t="s">
        <v>155</v>
      </c>
      <c r="I793" s="43"/>
      <c r="J793" s="43"/>
      <c r="K793" s="25" t="e">
        <f>VLOOKUP(J793,Key!$E$2:$F$9,2,FALSE)</f>
        <v>#N/A</v>
      </c>
      <c r="L793" s="42"/>
      <c r="M793" s="43" t="s">
        <v>154</v>
      </c>
      <c r="N793" s="42" t="s">
        <v>155</v>
      </c>
      <c r="O793" s="43"/>
      <c r="P793" s="43"/>
      <c r="Q793" s="25" t="e">
        <f>VLOOKUP(P793,Key!$E$2:$F$9,2,FALSE)</f>
        <v>#N/A</v>
      </c>
      <c r="R793" s="25" t="e">
        <f t="shared" si="12"/>
        <v>#N/A</v>
      </c>
      <c r="S793" s="58"/>
      <c r="T793" s="58"/>
      <c r="U793" s="43"/>
      <c r="V793" s="43"/>
      <c r="W793" s="58"/>
      <c r="X793" s="58"/>
      <c r="Y793" s="59" t="s">
        <v>156</v>
      </c>
      <c r="Z793" s="60"/>
      <c r="AA793" s="25"/>
      <c r="AB793" s="25"/>
    </row>
    <row r="794" spans="2:28">
      <c r="B794" s="40"/>
      <c r="C794" s="40"/>
      <c r="D794" s="41"/>
      <c r="E794" s="42"/>
      <c r="F794" s="42"/>
      <c r="G794" s="43" t="s">
        <v>154</v>
      </c>
      <c r="H794" s="42" t="s">
        <v>155</v>
      </c>
      <c r="I794" s="43"/>
      <c r="J794" s="43"/>
      <c r="K794" s="25" t="e">
        <f>VLOOKUP(J794,Key!$E$2:$F$9,2,FALSE)</f>
        <v>#N/A</v>
      </c>
      <c r="L794" s="42"/>
      <c r="M794" s="43" t="s">
        <v>154</v>
      </c>
      <c r="N794" s="42" t="s">
        <v>155</v>
      </c>
      <c r="O794" s="43"/>
      <c r="P794" s="43"/>
      <c r="Q794" s="25" t="e">
        <f>VLOOKUP(P794,Key!$E$2:$F$9,2,FALSE)</f>
        <v>#N/A</v>
      </c>
      <c r="R794" s="25" t="e">
        <f t="shared" si="12"/>
        <v>#N/A</v>
      </c>
      <c r="S794" s="58"/>
      <c r="T794" s="58"/>
      <c r="U794" s="43"/>
      <c r="V794" s="43"/>
      <c r="W794" s="58"/>
      <c r="X794" s="58"/>
      <c r="Y794" s="59" t="s">
        <v>156</v>
      </c>
      <c r="Z794" s="60"/>
      <c r="AA794" s="25"/>
      <c r="AB794" s="25"/>
    </row>
    <row r="795" spans="2:28">
      <c r="B795" s="40"/>
      <c r="C795" s="40"/>
      <c r="D795" s="41"/>
      <c r="E795" s="42"/>
      <c r="F795" s="42"/>
      <c r="G795" s="43" t="s">
        <v>154</v>
      </c>
      <c r="H795" s="42" t="s">
        <v>155</v>
      </c>
      <c r="I795" s="43"/>
      <c r="J795" s="43"/>
      <c r="K795" s="25" t="e">
        <f>VLOOKUP(J795,Key!$E$2:$F$9,2,FALSE)</f>
        <v>#N/A</v>
      </c>
      <c r="L795" s="42"/>
      <c r="M795" s="43" t="s">
        <v>154</v>
      </c>
      <c r="N795" s="42" t="s">
        <v>155</v>
      </c>
      <c r="O795" s="43"/>
      <c r="P795" s="43"/>
      <c r="Q795" s="25" t="e">
        <f>VLOOKUP(P795,Key!$E$2:$F$9,2,FALSE)</f>
        <v>#N/A</v>
      </c>
      <c r="R795" s="25" t="e">
        <f t="shared" si="12"/>
        <v>#N/A</v>
      </c>
      <c r="S795" s="58"/>
      <c r="T795" s="58"/>
      <c r="U795" s="43"/>
      <c r="V795" s="43"/>
      <c r="W795" s="58"/>
      <c r="X795" s="58"/>
      <c r="Y795" s="59" t="s">
        <v>156</v>
      </c>
      <c r="Z795" s="60"/>
      <c r="AA795" s="25"/>
      <c r="AB795" s="25"/>
    </row>
    <row r="796" spans="2:28">
      <c r="B796" s="40"/>
      <c r="C796" s="40"/>
      <c r="D796" s="41"/>
      <c r="E796" s="42"/>
      <c r="F796" s="42"/>
      <c r="G796" s="43" t="s">
        <v>154</v>
      </c>
      <c r="H796" s="42" t="s">
        <v>155</v>
      </c>
      <c r="I796" s="43"/>
      <c r="J796" s="43"/>
      <c r="K796" s="25" t="e">
        <f>VLOOKUP(J796,Key!$E$2:$F$9,2,FALSE)</f>
        <v>#N/A</v>
      </c>
      <c r="L796" s="42"/>
      <c r="M796" s="43" t="s">
        <v>154</v>
      </c>
      <c r="N796" s="42" t="s">
        <v>155</v>
      </c>
      <c r="O796" s="43"/>
      <c r="P796" s="43"/>
      <c r="Q796" s="25" t="e">
        <f>VLOOKUP(P796,Key!$E$2:$F$9,2,FALSE)</f>
        <v>#N/A</v>
      </c>
      <c r="R796" s="25" t="e">
        <f t="shared" si="12"/>
        <v>#N/A</v>
      </c>
      <c r="S796" s="58"/>
      <c r="T796" s="58"/>
      <c r="U796" s="43"/>
      <c r="V796" s="43"/>
      <c r="W796" s="58"/>
      <c r="X796" s="58"/>
      <c r="Y796" s="59" t="s">
        <v>156</v>
      </c>
      <c r="Z796" s="60"/>
      <c r="AA796" s="25"/>
      <c r="AB796" s="25"/>
    </row>
    <row r="797" spans="2:28">
      <c r="B797" s="40"/>
      <c r="C797" s="40"/>
      <c r="D797" s="41"/>
      <c r="E797" s="42"/>
      <c r="F797" s="42"/>
      <c r="G797" s="43" t="s">
        <v>154</v>
      </c>
      <c r="H797" s="42" t="s">
        <v>155</v>
      </c>
      <c r="I797" s="43"/>
      <c r="J797" s="43"/>
      <c r="K797" s="25" t="e">
        <f>VLOOKUP(J797,Key!$E$2:$F$9,2,FALSE)</f>
        <v>#N/A</v>
      </c>
      <c r="L797" s="42"/>
      <c r="M797" s="43" t="s">
        <v>154</v>
      </c>
      <c r="N797" s="42" t="s">
        <v>155</v>
      </c>
      <c r="O797" s="43"/>
      <c r="P797" s="43"/>
      <c r="Q797" s="25" t="e">
        <f>VLOOKUP(P797,Key!$E$2:$F$9,2,FALSE)</f>
        <v>#N/A</v>
      </c>
      <c r="R797" s="25" t="e">
        <f t="shared" si="12"/>
        <v>#N/A</v>
      </c>
      <c r="S797" s="58"/>
      <c r="T797" s="58"/>
      <c r="U797" s="43"/>
      <c r="V797" s="43"/>
      <c r="W797" s="58"/>
      <c r="X797" s="58"/>
      <c r="Y797" s="59" t="s">
        <v>156</v>
      </c>
      <c r="Z797" s="60"/>
      <c r="AA797" s="25"/>
      <c r="AB797" s="25"/>
    </row>
    <row r="798" spans="2:28">
      <c r="B798" s="40"/>
      <c r="C798" s="40"/>
      <c r="D798" s="41"/>
      <c r="E798" s="42"/>
      <c r="F798" s="42"/>
      <c r="G798" s="43" t="s">
        <v>154</v>
      </c>
      <c r="H798" s="42" t="s">
        <v>155</v>
      </c>
      <c r="I798" s="43"/>
      <c r="J798" s="43"/>
      <c r="K798" s="25" t="e">
        <f>VLOOKUP(J798,Key!$E$2:$F$9,2,FALSE)</f>
        <v>#N/A</v>
      </c>
      <c r="L798" s="42"/>
      <c r="M798" s="43" t="s">
        <v>154</v>
      </c>
      <c r="N798" s="42" t="s">
        <v>155</v>
      </c>
      <c r="O798" s="43"/>
      <c r="P798" s="43"/>
      <c r="Q798" s="25" t="e">
        <f>VLOOKUP(P798,Key!$E$2:$F$9,2,FALSE)</f>
        <v>#N/A</v>
      </c>
      <c r="R798" s="25" t="e">
        <f t="shared" si="12"/>
        <v>#N/A</v>
      </c>
      <c r="S798" s="58"/>
      <c r="T798" s="58"/>
      <c r="U798" s="43"/>
      <c r="V798" s="43"/>
      <c r="W798" s="58"/>
      <c r="X798" s="58"/>
      <c r="Y798" s="59" t="s">
        <v>156</v>
      </c>
      <c r="Z798" s="60"/>
      <c r="AA798" s="25"/>
      <c r="AB798" s="25"/>
    </row>
    <row r="799" spans="2:28">
      <c r="B799" s="40"/>
      <c r="C799" s="40"/>
      <c r="D799" s="41"/>
      <c r="E799" s="42"/>
      <c r="F799" s="42"/>
      <c r="G799" s="43" t="s">
        <v>154</v>
      </c>
      <c r="H799" s="42" t="s">
        <v>155</v>
      </c>
      <c r="I799" s="43"/>
      <c r="J799" s="43"/>
      <c r="K799" s="25" t="e">
        <f>VLOOKUP(J799,Key!$E$2:$F$9,2,FALSE)</f>
        <v>#N/A</v>
      </c>
      <c r="L799" s="42"/>
      <c r="M799" s="43" t="s">
        <v>154</v>
      </c>
      <c r="N799" s="42" t="s">
        <v>155</v>
      </c>
      <c r="O799" s="43"/>
      <c r="P799" s="43"/>
      <c r="Q799" s="25" t="e">
        <f>VLOOKUP(P799,Key!$E$2:$F$9,2,FALSE)</f>
        <v>#N/A</v>
      </c>
      <c r="R799" s="25" t="e">
        <f t="shared" si="12"/>
        <v>#N/A</v>
      </c>
      <c r="S799" s="58"/>
      <c r="T799" s="58"/>
      <c r="U799" s="43"/>
      <c r="V799" s="43"/>
      <c r="W799" s="58"/>
      <c r="X799" s="58"/>
      <c r="Y799" s="59" t="s">
        <v>156</v>
      </c>
      <c r="Z799" s="60"/>
      <c r="AA799" s="25"/>
      <c r="AB799" s="25"/>
    </row>
    <row r="800" spans="2:28">
      <c r="B800" s="40"/>
      <c r="C800" s="40"/>
      <c r="D800" s="41"/>
      <c r="E800" s="42"/>
      <c r="F800" s="42"/>
      <c r="G800" s="43" t="s">
        <v>154</v>
      </c>
      <c r="H800" s="42" t="s">
        <v>155</v>
      </c>
      <c r="I800" s="43"/>
      <c r="J800" s="43"/>
      <c r="K800" s="25" t="e">
        <f>VLOOKUP(J800,Key!$E$2:$F$9,2,FALSE)</f>
        <v>#N/A</v>
      </c>
      <c r="L800" s="42"/>
      <c r="M800" s="43" t="s">
        <v>154</v>
      </c>
      <c r="N800" s="42" t="s">
        <v>155</v>
      </c>
      <c r="O800" s="43"/>
      <c r="P800" s="43"/>
      <c r="Q800" s="25" t="e">
        <f>VLOOKUP(P800,Key!$E$2:$F$9,2,FALSE)</f>
        <v>#N/A</v>
      </c>
      <c r="R800" s="25" t="e">
        <f t="shared" si="12"/>
        <v>#N/A</v>
      </c>
      <c r="S800" s="58"/>
      <c r="T800" s="58"/>
      <c r="U800" s="43"/>
      <c r="V800" s="43"/>
      <c r="W800" s="58"/>
      <c r="X800" s="58"/>
      <c r="Y800" s="59" t="s">
        <v>156</v>
      </c>
      <c r="Z800" s="60"/>
      <c r="AA800" s="25"/>
      <c r="AB800" s="25"/>
    </row>
    <row r="801" spans="2:28">
      <c r="B801" s="40"/>
      <c r="C801" s="40"/>
      <c r="D801" s="41"/>
      <c r="E801" s="42"/>
      <c r="F801" s="42"/>
      <c r="G801" s="43" t="s">
        <v>154</v>
      </c>
      <c r="H801" s="42" t="s">
        <v>155</v>
      </c>
      <c r="I801" s="43"/>
      <c r="J801" s="43"/>
      <c r="K801" s="25" t="e">
        <f>VLOOKUP(J801,Key!$E$2:$F$9,2,FALSE)</f>
        <v>#N/A</v>
      </c>
      <c r="L801" s="42"/>
      <c r="M801" s="43" t="s">
        <v>154</v>
      </c>
      <c r="N801" s="42" t="s">
        <v>155</v>
      </c>
      <c r="O801" s="43"/>
      <c r="P801" s="43"/>
      <c r="Q801" s="25" t="e">
        <f>VLOOKUP(P801,Key!$E$2:$F$9,2,FALSE)</f>
        <v>#N/A</v>
      </c>
      <c r="R801" s="25" t="e">
        <f t="shared" si="12"/>
        <v>#N/A</v>
      </c>
      <c r="S801" s="58"/>
      <c r="T801" s="58"/>
      <c r="U801" s="43"/>
      <c r="V801" s="43"/>
      <c r="W801" s="58"/>
      <c r="X801" s="58"/>
      <c r="Y801" s="59" t="s">
        <v>156</v>
      </c>
      <c r="Z801" s="60"/>
      <c r="AA801" s="25"/>
      <c r="AB801" s="25"/>
    </row>
    <row r="802" spans="2:28">
      <c r="B802" s="40"/>
      <c r="C802" s="40"/>
      <c r="D802" s="41"/>
      <c r="E802" s="42"/>
      <c r="F802" s="42"/>
      <c r="G802" s="43" t="s">
        <v>154</v>
      </c>
      <c r="H802" s="42" t="s">
        <v>155</v>
      </c>
      <c r="I802" s="43"/>
      <c r="J802" s="43"/>
      <c r="K802" s="25" t="e">
        <f>VLOOKUP(J802,Key!$E$2:$F$9,2,FALSE)</f>
        <v>#N/A</v>
      </c>
      <c r="L802" s="42"/>
      <c r="M802" s="43" t="s">
        <v>154</v>
      </c>
      <c r="N802" s="42" t="s">
        <v>155</v>
      </c>
      <c r="O802" s="43"/>
      <c r="P802" s="43"/>
      <c r="Q802" s="25" t="e">
        <f>VLOOKUP(P802,Key!$E$2:$F$9,2,FALSE)</f>
        <v>#N/A</v>
      </c>
      <c r="R802" s="25" t="e">
        <f t="shared" si="12"/>
        <v>#N/A</v>
      </c>
      <c r="S802" s="58"/>
      <c r="T802" s="58"/>
      <c r="U802" s="43"/>
      <c r="V802" s="43"/>
      <c r="W802" s="58"/>
      <c r="X802" s="58"/>
      <c r="Y802" s="59" t="s">
        <v>156</v>
      </c>
      <c r="Z802" s="60"/>
      <c r="AA802" s="25"/>
      <c r="AB802" s="25"/>
    </row>
    <row r="803" spans="2:28">
      <c r="B803" s="40"/>
      <c r="C803" s="40"/>
      <c r="D803" s="41"/>
      <c r="E803" s="42"/>
      <c r="F803" s="42"/>
      <c r="G803" s="43" t="s">
        <v>154</v>
      </c>
      <c r="H803" s="42" t="s">
        <v>155</v>
      </c>
      <c r="I803" s="43"/>
      <c r="J803" s="43"/>
      <c r="K803" s="25" t="e">
        <f>VLOOKUP(J803,Key!$E$2:$F$9,2,FALSE)</f>
        <v>#N/A</v>
      </c>
      <c r="L803" s="42"/>
      <c r="M803" s="43" t="s">
        <v>154</v>
      </c>
      <c r="N803" s="42" t="s">
        <v>155</v>
      </c>
      <c r="O803" s="43"/>
      <c r="P803" s="43"/>
      <c r="Q803" s="25" t="e">
        <f>VLOOKUP(P803,Key!$E$2:$F$9,2,FALSE)</f>
        <v>#N/A</v>
      </c>
      <c r="R803" s="25" t="e">
        <f t="shared" si="12"/>
        <v>#N/A</v>
      </c>
      <c r="S803" s="58"/>
      <c r="T803" s="58"/>
      <c r="U803" s="43"/>
      <c r="V803" s="43"/>
      <c r="W803" s="58"/>
      <c r="X803" s="58"/>
      <c r="Y803" s="59" t="s">
        <v>156</v>
      </c>
      <c r="Z803" s="60"/>
      <c r="AA803" s="25"/>
      <c r="AB803" s="25"/>
    </row>
    <row r="804" spans="2:28">
      <c r="B804" s="40"/>
      <c r="C804" s="40"/>
      <c r="D804" s="41"/>
      <c r="E804" s="42"/>
      <c r="F804" s="42"/>
      <c r="G804" s="43" t="s">
        <v>154</v>
      </c>
      <c r="H804" s="42" t="s">
        <v>155</v>
      </c>
      <c r="I804" s="43"/>
      <c r="J804" s="43"/>
      <c r="K804" s="25" t="e">
        <f>VLOOKUP(J804,Key!$E$2:$F$9,2,FALSE)</f>
        <v>#N/A</v>
      </c>
      <c r="L804" s="42"/>
      <c r="M804" s="43" t="s">
        <v>154</v>
      </c>
      <c r="N804" s="42" t="s">
        <v>155</v>
      </c>
      <c r="O804" s="43"/>
      <c r="P804" s="43"/>
      <c r="Q804" s="25" t="e">
        <f>VLOOKUP(P804,Key!$E$2:$F$9,2,FALSE)</f>
        <v>#N/A</v>
      </c>
      <c r="R804" s="25" t="e">
        <f t="shared" si="12"/>
        <v>#N/A</v>
      </c>
      <c r="S804" s="58"/>
      <c r="T804" s="58"/>
      <c r="U804" s="43"/>
      <c r="V804" s="43"/>
      <c r="W804" s="58"/>
      <c r="X804" s="58"/>
      <c r="Y804" s="59" t="s">
        <v>156</v>
      </c>
      <c r="Z804" s="60"/>
      <c r="AA804" s="25"/>
      <c r="AB804" s="25"/>
    </row>
    <row r="805" spans="2:28">
      <c r="B805" s="40"/>
      <c r="C805" s="40"/>
      <c r="D805" s="41"/>
      <c r="E805" s="42"/>
      <c r="F805" s="42"/>
      <c r="G805" s="43" t="s">
        <v>154</v>
      </c>
      <c r="H805" s="42" t="s">
        <v>155</v>
      </c>
      <c r="I805" s="43"/>
      <c r="J805" s="43"/>
      <c r="K805" s="25" t="e">
        <f>VLOOKUP(J805,Key!$E$2:$F$9,2,FALSE)</f>
        <v>#N/A</v>
      </c>
      <c r="L805" s="42"/>
      <c r="M805" s="43" t="s">
        <v>154</v>
      </c>
      <c r="N805" s="42" t="s">
        <v>155</v>
      </c>
      <c r="O805" s="43"/>
      <c r="P805" s="43"/>
      <c r="Q805" s="25" t="e">
        <f>VLOOKUP(P805,Key!$E$2:$F$9,2,FALSE)</f>
        <v>#N/A</v>
      </c>
      <c r="R805" s="25" t="e">
        <f t="shared" si="12"/>
        <v>#N/A</v>
      </c>
      <c r="S805" s="58"/>
      <c r="T805" s="58"/>
      <c r="U805" s="43"/>
      <c r="V805" s="43"/>
      <c r="W805" s="58"/>
      <c r="X805" s="58"/>
      <c r="Y805" s="59" t="s">
        <v>156</v>
      </c>
      <c r="Z805" s="60"/>
      <c r="AA805" s="25"/>
      <c r="AB805" s="25"/>
    </row>
    <row r="806" spans="2:28">
      <c r="B806" s="40"/>
      <c r="C806" s="40"/>
      <c r="D806" s="41"/>
      <c r="E806" s="42"/>
      <c r="F806" s="42"/>
      <c r="G806" s="43" t="s">
        <v>154</v>
      </c>
      <c r="H806" s="42" t="s">
        <v>155</v>
      </c>
      <c r="I806" s="43"/>
      <c r="J806" s="43"/>
      <c r="K806" s="25" t="e">
        <f>VLOOKUP(J806,Key!$E$2:$F$9,2,FALSE)</f>
        <v>#N/A</v>
      </c>
      <c r="L806" s="42"/>
      <c r="M806" s="43" t="s">
        <v>154</v>
      </c>
      <c r="N806" s="42" t="s">
        <v>155</v>
      </c>
      <c r="O806" s="43"/>
      <c r="P806" s="43"/>
      <c r="Q806" s="25" t="e">
        <f>VLOOKUP(P806,Key!$E$2:$F$9,2,FALSE)</f>
        <v>#N/A</v>
      </c>
      <c r="R806" s="25" t="e">
        <f t="shared" ref="R806:R869" si="13">K806&amp;"-"&amp;Q806</f>
        <v>#N/A</v>
      </c>
      <c r="S806" s="58"/>
      <c r="T806" s="58"/>
      <c r="U806" s="43"/>
      <c r="V806" s="43"/>
      <c r="W806" s="58"/>
      <c r="X806" s="58"/>
      <c r="Y806" s="59" t="s">
        <v>156</v>
      </c>
      <c r="Z806" s="60"/>
      <c r="AA806" s="25"/>
      <c r="AB806" s="25"/>
    </row>
    <row r="807" spans="2:28">
      <c r="B807" s="40"/>
      <c r="C807" s="40"/>
      <c r="D807" s="41"/>
      <c r="E807" s="42"/>
      <c r="F807" s="42"/>
      <c r="G807" s="43" t="s">
        <v>154</v>
      </c>
      <c r="H807" s="42" t="s">
        <v>155</v>
      </c>
      <c r="I807" s="43"/>
      <c r="J807" s="43"/>
      <c r="K807" s="25" t="e">
        <f>VLOOKUP(J807,Key!$E$2:$F$9,2,FALSE)</f>
        <v>#N/A</v>
      </c>
      <c r="L807" s="42"/>
      <c r="M807" s="43" t="s">
        <v>154</v>
      </c>
      <c r="N807" s="42" t="s">
        <v>155</v>
      </c>
      <c r="O807" s="43"/>
      <c r="P807" s="43"/>
      <c r="Q807" s="25" t="e">
        <f>VLOOKUP(P807,Key!$E$2:$F$9,2,FALSE)</f>
        <v>#N/A</v>
      </c>
      <c r="R807" s="25" t="e">
        <f t="shared" si="13"/>
        <v>#N/A</v>
      </c>
      <c r="S807" s="58"/>
      <c r="T807" s="58"/>
      <c r="U807" s="43"/>
      <c r="V807" s="43"/>
      <c r="W807" s="58"/>
      <c r="X807" s="58"/>
      <c r="Y807" s="59" t="s">
        <v>156</v>
      </c>
      <c r="Z807" s="60"/>
      <c r="AA807" s="25"/>
      <c r="AB807" s="25"/>
    </row>
    <row r="808" spans="2:28">
      <c r="B808" s="40"/>
      <c r="C808" s="40"/>
      <c r="D808" s="41"/>
      <c r="E808" s="42"/>
      <c r="F808" s="42"/>
      <c r="G808" s="43" t="s">
        <v>154</v>
      </c>
      <c r="H808" s="42" t="s">
        <v>155</v>
      </c>
      <c r="I808" s="43"/>
      <c r="J808" s="43"/>
      <c r="K808" s="25" t="e">
        <f>VLOOKUP(J808,Key!$E$2:$F$9,2,FALSE)</f>
        <v>#N/A</v>
      </c>
      <c r="L808" s="42"/>
      <c r="M808" s="43" t="s">
        <v>154</v>
      </c>
      <c r="N808" s="42" t="s">
        <v>155</v>
      </c>
      <c r="O808" s="43"/>
      <c r="P808" s="43"/>
      <c r="Q808" s="25" t="e">
        <f>VLOOKUP(P808,Key!$E$2:$F$9,2,FALSE)</f>
        <v>#N/A</v>
      </c>
      <c r="R808" s="25" t="e">
        <f t="shared" si="13"/>
        <v>#N/A</v>
      </c>
      <c r="S808" s="58"/>
      <c r="T808" s="58"/>
      <c r="U808" s="43"/>
      <c r="V808" s="43"/>
      <c r="W808" s="58"/>
      <c r="X808" s="58"/>
      <c r="Y808" s="59" t="s">
        <v>156</v>
      </c>
      <c r="Z808" s="60"/>
      <c r="AA808" s="25"/>
      <c r="AB808" s="25"/>
    </row>
    <row r="809" spans="2:28">
      <c r="B809" s="40"/>
      <c r="C809" s="40"/>
      <c r="D809" s="41"/>
      <c r="E809" s="42"/>
      <c r="F809" s="42"/>
      <c r="G809" s="43" t="s">
        <v>154</v>
      </c>
      <c r="H809" s="42" t="s">
        <v>155</v>
      </c>
      <c r="I809" s="43"/>
      <c r="J809" s="43"/>
      <c r="K809" s="25" t="e">
        <f>VLOOKUP(J809,Key!$E$2:$F$9,2,FALSE)</f>
        <v>#N/A</v>
      </c>
      <c r="L809" s="42"/>
      <c r="M809" s="43" t="s">
        <v>154</v>
      </c>
      <c r="N809" s="42" t="s">
        <v>155</v>
      </c>
      <c r="O809" s="43"/>
      <c r="P809" s="43"/>
      <c r="Q809" s="25" t="e">
        <f>VLOOKUP(P809,Key!$E$2:$F$9,2,FALSE)</f>
        <v>#N/A</v>
      </c>
      <c r="R809" s="25" t="e">
        <f t="shared" si="13"/>
        <v>#N/A</v>
      </c>
      <c r="S809" s="58"/>
      <c r="T809" s="58"/>
      <c r="U809" s="43"/>
      <c r="V809" s="43"/>
      <c r="W809" s="58"/>
      <c r="X809" s="58"/>
      <c r="Y809" s="59" t="s">
        <v>156</v>
      </c>
      <c r="Z809" s="60"/>
      <c r="AA809" s="25"/>
      <c r="AB809" s="25"/>
    </row>
    <row r="810" spans="2:28">
      <c r="B810" s="40"/>
      <c r="C810" s="40"/>
      <c r="D810" s="41"/>
      <c r="E810" s="42"/>
      <c r="F810" s="42"/>
      <c r="G810" s="43" t="s">
        <v>154</v>
      </c>
      <c r="H810" s="42" t="s">
        <v>155</v>
      </c>
      <c r="I810" s="43"/>
      <c r="J810" s="43"/>
      <c r="K810" s="25" t="e">
        <f>VLOOKUP(J810,Key!$E$2:$F$9,2,FALSE)</f>
        <v>#N/A</v>
      </c>
      <c r="L810" s="42"/>
      <c r="M810" s="43" t="s">
        <v>154</v>
      </c>
      <c r="N810" s="42" t="s">
        <v>155</v>
      </c>
      <c r="O810" s="43"/>
      <c r="P810" s="43"/>
      <c r="Q810" s="25" t="e">
        <f>VLOOKUP(P810,Key!$E$2:$F$9,2,FALSE)</f>
        <v>#N/A</v>
      </c>
      <c r="R810" s="25" t="e">
        <f t="shared" si="13"/>
        <v>#N/A</v>
      </c>
      <c r="S810" s="58"/>
      <c r="T810" s="58"/>
      <c r="U810" s="43"/>
      <c r="V810" s="43"/>
      <c r="W810" s="58"/>
      <c r="X810" s="58"/>
      <c r="Y810" s="59" t="s">
        <v>156</v>
      </c>
      <c r="Z810" s="60"/>
      <c r="AA810" s="25"/>
      <c r="AB810" s="25"/>
    </row>
    <row r="811" spans="2:28">
      <c r="B811" s="40"/>
      <c r="C811" s="40"/>
      <c r="D811" s="41"/>
      <c r="E811" s="42"/>
      <c r="F811" s="42"/>
      <c r="G811" s="43" t="s">
        <v>154</v>
      </c>
      <c r="H811" s="42" t="s">
        <v>155</v>
      </c>
      <c r="I811" s="43"/>
      <c r="J811" s="43"/>
      <c r="K811" s="25" t="e">
        <f>VLOOKUP(J811,Key!$E$2:$F$9,2,FALSE)</f>
        <v>#N/A</v>
      </c>
      <c r="L811" s="42"/>
      <c r="M811" s="43" t="s">
        <v>154</v>
      </c>
      <c r="N811" s="42" t="s">
        <v>155</v>
      </c>
      <c r="O811" s="43"/>
      <c r="P811" s="43"/>
      <c r="Q811" s="25" t="e">
        <f>VLOOKUP(P811,Key!$E$2:$F$9,2,FALSE)</f>
        <v>#N/A</v>
      </c>
      <c r="R811" s="25" t="e">
        <f t="shared" si="13"/>
        <v>#N/A</v>
      </c>
      <c r="S811" s="58"/>
      <c r="T811" s="58"/>
      <c r="U811" s="43"/>
      <c r="V811" s="43"/>
      <c r="W811" s="58"/>
      <c r="X811" s="58"/>
      <c r="Y811" s="59" t="s">
        <v>156</v>
      </c>
      <c r="Z811" s="60"/>
      <c r="AA811" s="25"/>
      <c r="AB811" s="25"/>
    </row>
    <row r="812" spans="2:28">
      <c r="B812" s="40"/>
      <c r="C812" s="40"/>
      <c r="D812" s="41"/>
      <c r="E812" s="42"/>
      <c r="F812" s="42"/>
      <c r="G812" s="43" t="s">
        <v>154</v>
      </c>
      <c r="H812" s="42" t="s">
        <v>155</v>
      </c>
      <c r="I812" s="43"/>
      <c r="J812" s="43"/>
      <c r="K812" s="25" t="e">
        <f>VLOOKUP(J812,Key!$E$2:$F$9,2,FALSE)</f>
        <v>#N/A</v>
      </c>
      <c r="L812" s="42"/>
      <c r="M812" s="43" t="s">
        <v>154</v>
      </c>
      <c r="N812" s="42" t="s">
        <v>155</v>
      </c>
      <c r="O812" s="43"/>
      <c r="P812" s="43"/>
      <c r="Q812" s="25" t="e">
        <f>VLOOKUP(P812,Key!$E$2:$F$9,2,FALSE)</f>
        <v>#N/A</v>
      </c>
      <c r="R812" s="25" t="e">
        <f t="shared" si="13"/>
        <v>#N/A</v>
      </c>
      <c r="S812" s="58"/>
      <c r="T812" s="58"/>
      <c r="U812" s="43"/>
      <c r="V812" s="43"/>
      <c r="W812" s="58"/>
      <c r="X812" s="58"/>
      <c r="Y812" s="59" t="s">
        <v>156</v>
      </c>
      <c r="Z812" s="60"/>
      <c r="AA812" s="25"/>
      <c r="AB812" s="25"/>
    </row>
    <row r="813" spans="2:28">
      <c r="B813" s="40"/>
      <c r="C813" s="40"/>
      <c r="D813" s="41"/>
      <c r="E813" s="42"/>
      <c r="F813" s="42"/>
      <c r="G813" s="43" t="s">
        <v>154</v>
      </c>
      <c r="H813" s="42" t="s">
        <v>155</v>
      </c>
      <c r="I813" s="43"/>
      <c r="J813" s="43"/>
      <c r="K813" s="25" t="e">
        <f>VLOOKUP(J813,Key!$E$2:$F$9,2,FALSE)</f>
        <v>#N/A</v>
      </c>
      <c r="L813" s="42"/>
      <c r="M813" s="43" t="s">
        <v>154</v>
      </c>
      <c r="N813" s="42" t="s">
        <v>155</v>
      </c>
      <c r="O813" s="43"/>
      <c r="P813" s="43"/>
      <c r="Q813" s="25" t="e">
        <f>VLOOKUP(P813,Key!$E$2:$F$9,2,FALSE)</f>
        <v>#N/A</v>
      </c>
      <c r="R813" s="25" t="e">
        <f t="shared" si="13"/>
        <v>#N/A</v>
      </c>
      <c r="S813" s="58"/>
      <c r="T813" s="58"/>
      <c r="U813" s="43"/>
      <c r="V813" s="43"/>
      <c r="W813" s="58"/>
      <c r="X813" s="58"/>
      <c r="Y813" s="59" t="s">
        <v>156</v>
      </c>
      <c r="Z813" s="60"/>
      <c r="AA813" s="25"/>
      <c r="AB813" s="25"/>
    </row>
    <row r="814" spans="2:28">
      <c r="B814" s="40"/>
      <c r="C814" s="40"/>
      <c r="D814" s="41"/>
      <c r="E814" s="42"/>
      <c r="F814" s="42"/>
      <c r="G814" s="43" t="s">
        <v>154</v>
      </c>
      <c r="H814" s="42" t="s">
        <v>155</v>
      </c>
      <c r="I814" s="43"/>
      <c r="J814" s="43"/>
      <c r="K814" s="25" t="e">
        <f>VLOOKUP(J814,Key!$E$2:$F$9,2,FALSE)</f>
        <v>#N/A</v>
      </c>
      <c r="L814" s="42"/>
      <c r="M814" s="43" t="s">
        <v>154</v>
      </c>
      <c r="N814" s="42" t="s">
        <v>155</v>
      </c>
      <c r="O814" s="43"/>
      <c r="P814" s="43"/>
      <c r="Q814" s="25" t="e">
        <f>VLOOKUP(P814,Key!$E$2:$F$9,2,FALSE)</f>
        <v>#N/A</v>
      </c>
      <c r="R814" s="25" t="e">
        <f t="shared" si="13"/>
        <v>#N/A</v>
      </c>
      <c r="S814" s="58"/>
      <c r="T814" s="58"/>
      <c r="U814" s="43"/>
      <c r="V814" s="43"/>
      <c r="W814" s="58"/>
      <c r="X814" s="58"/>
      <c r="Y814" s="59" t="s">
        <v>156</v>
      </c>
      <c r="Z814" s="60"/>
      <c r="AA814" s="25"/>
      <c r="AB814" s="25"/>
    </row>
    <row r="815" spans="2:28">
      <c r="B815" s="40"/>
      <c r="C815" s="40"/>
      <c r="D815" s="41"/>
      <c r="E815" s="42"/>
      <c r="F815" s="42"/>
      <c r="G815" s="43" t="s">
        <v>154</v>
      </c>
      <c r="H815" s="42" t="s">
        <v>155</v>
      </c>
      <c r="I815" s="43"/>
      <c r="J815" s="43"/>
      <c r="K815" s="25" t="e">
        <f>VLOOKUP(J815,Key!$E$2:$F$9,2,FALSE)</f>
        <v>#N/A</v>
      </c>
      <c r="L815" s="42"/>
      <c r="M815" s="43" t="s">
        <v>154</v>
      </c>
      <c r="N815" s="42" t="s">
        <v>155</v>
      </c>
      <c r="O815" s="43"/>
      <c r="P815" s="43"/>
      <c r="Q815" s="25" t="e">
        <f>VLOOKUP(P815,Key!$E$2:$F$9,2,FALSE)</f>
        <v>#N/A</v>
      </c>
      <c r="R815" s="25" t="e">
        <f t="shared" si="13"/>
        <v>#N/A</v>
      </c>
      <c r="S815" s="58"/>
      <c r="T815" s="58"/>
      <c r="U815" s="43"/>
      <c r="V815" s="43"/>
      <c r="W815" s="58"/>
      <c r="X815" s="58"/>
      <c r="Y815" s="59" t="s">
        <v>156</v>
      </c>
      <c r="Z815" s="60"/>
      <c r="AA815" s="25"/>
      <c r="AB815" s="25"/>
    </row>
    <row r="816" spans="2:28">
      <c r="B816" s="40"/>
      <c r="C816" s="40"/>
      <c r="D816" s="41"/>
      <c r="E816" s="42"/>
      <c r="F816" s="42"/>
      <c r="G816" s="43" t="s">
        <v>154</v>
      </c>
      <c r="H816" s="42" t="s">
        <v>155</v>
      </c>
      <c r="I816" s="43"/>
      <c r="J816" s="43"/>
      <c r="K816" s="25" t="e">
        <f>VLOOKUP(J816,Key!$E$2:$F$9,2,FALSE)</f>
        <v>#N/A</v>
      </c>
      <c r="L816" s="42"/>
      <c r="M816" s="43" t="s">
        <v>154</v>
      </c>
      <c r="N816" s="42" t="s">
        <v>155</v>
      </c>
      <c r="O816" s="43"/>
      <c r="P816" s="43"/>
      <c r="Q816" s="25" t="e">
        <f>VLOOKUP(P816,Key!$E$2:$F$9,2,FALSE)</f>
        <v>#N/A</v>
      </c>
      <c r="R816" s="25" t="e">
        <f t="shared" si="13"/>
        <v>#N/A</v>
      </c>
      <c r="S816" s="58"/>
      <c r="T816" s="58"/>
      <c r="U816" s="43"/>
      <c r="V816" s="43"/>
      <c r="W816" s="58"/>
      <c r="X816" s="58"/>
      <c r="Y816" s="59" t="s">
        <v>156</v>
      </c>
      <c r="Z816" s="60"/>
      <c r="AA816" s="25"/>
      <c r="AB816" s="25"/>
    </row>
    <row r="817" spans="2:28">
      <c r="B817" s="40"/>
      <c r="C817" s="40"/>
      <c r="D817" s="41"/>
      <c r="E817" s="42"/>
      <c r="F817" s="42"/>
      <c r="G817" s="43" t="s">
        <v>154</v>
      </c>
      <c r="H817" s="42" t="s">
        <v>155</v>
      </c>
      <c r="I817" s="43"/>
      <c r="J817" s="43"/>
      <c r="K817" s="25" t="e">
        <f>VLOOKUP(J817,Key!$E$2:$F$9,2,FALSE)</f>
        <v>#N/A</v>
      </c>
      <c r="L817" s="42"/>
      <c r="M817" s="43" t="s">
        <v>154</v>
      </c>
      <c r="N817" s="42" t="s">
        <v>155</v>
      </c>
      <c r="O817" s="43"/>
      <c r="P817" s="43"/>
      <c r="Q817" s="25" t="e">
        <f>VLOOKUP(P817,Key!$E$2:$F$9,2,FALSE)</f>
        <v>#N/A</v>
      </c>
      <c r="R817" s="25" t="e">
        <f t="shared" si="13"/>
        <v>#N/A</v>
      </c>
      <c r="S817" s="58"/>
      <c r="T817" s="58"/>
      <c r="U817" s="43"/>
      <c r="V817" s="43"/>
      <c r="W817" s="58"/>
      <c r="X817" s="58"/>
      <c r="Y817" s="59" t="s">
        <v>156</v>
      </c>
      <c r="Z817" s="60"/>
      <c r="AA817" s="25"/>
      <c r="AB817" s="25"/>
    </row>
    <row r="818" spans="2:28">
      <c r="B818" s="40"/>
      <c r="C818" s="40"/>
      <c r="D818" s="41"/>
      <c r="E818" s="42"/>
      <c r="F818" s="42"/>
      <c r="G818" s="43" t="s">
        <v>154</v>
      </c>
      <c r="H818" s="42" t="s">
        <v>155</v>
      </c>
      <c r="I818" s="43"/>
      <c r="J818" s="43"/>
      <c r="K818" s="25" t="e">
        <f>VLOOKUP(J818,Key!$E$2:$F$9,2,FALSE)</f>
        <v>#N/A</v>
      </c>
      <c r="L818" s="42"/>
      <c r="M818" s="43" t="s">
        <v>154</v>
      </c>
      <c r="N818" s="42" t="s">
        <v>155</v>
      </c>
      <c r="O818" s="43"/>
      <c r="P818" s="43"/>
      <c r="Q818" s="25" t="e">
        <f>VLOOKUP(P818,Key!$E$2:$F$9,2,FALSE)</f>
        <v>#N/A</v>
      </c>
      <c r="R818" s="25" t="e">
        <f t="shared" si="13"/>
        <v>#N/A</v>
      </c>
      <c r="S818" s="58"/>
      <c r="T818" s="58"/>
      <c r="U818" s="43"/>
      <c r="V818" s="43"/>
      <c r="W818" s="58"/>
      <c r="X818" s="58"/>
      <c r="Y818" s="59" t="s">
        <v>156</v>
      </c>
      <c r="Z818" s="60"/>
      <c r="AA818" s="25"/>
      <c r="AB818" s="25"/>
    </row>
    <row r="819" spans="2:28">
      <c r="B819" s="40"/>
      <c r="C819" s="40"/>
      <c r="D819" s="41"/>
      <c r="E819" s="42"/>
      <c r="F819" s="42"/>
      <c r="G819" s="43" t="s">
        <v>154</v>
      </c>
      <c r="H819" s="42" t="s">
        <v>155</v>
      </c>
      <c r="I819" s="43"/>
      <c r="J819" s="43"/>
      <c r="K819" s="25" t="e">
        <f>VLOOKUP(J819,Key!$E$2:$F$9,2,FALSE)</f>
        <v>#N/A</v>
      </c>
      <c r="L819" s="42"/>
      <c r="M819" s="43" t="s">
        <v>154</v>
      </c>
      <c r="N819" s="42" t="s">
        <v>155</v>
      </c>
      <c r="O819" s="43"/>
      <c r="P819" s="43"/>
      <c r="Q819" s="25" t="e">
        <f>VLOOKUP(P819,Key!$E$2:$F$9,2,FALSE)</f>
        <v>#N/A</v>
      </c>
      <c r="R819" s="25" t="e">
        <f t="shared" si="13"/>
        <v>#N/A</v>
      </c>
      <c r="S819" s="58"/>
      <c r="T819" s="58"/>
      <c r="U819" s="43"/>
      <c r="V819" s="43"/>
      <c r="W819" s="58"/>
      <c r="X819" s="58"/>
      <c r="Y819" s="59" t="s">
        <v>156</v>
      </c>
      <c r="Z819" s="60"/>
      <c r="AA819" s="25"/>
      <c r="AB819" s="25"/>
    </row>
    <row r="820" spans="2:28">
      <c r="B820" s="40"/>
      <c r="C820" s="40"/>
      <c r="D820" s="41"/>
      <c r="E820" s="42"/>
      <c r="F820" s="42"/>
      <c r="G820" s="43" t="s">
        <v>154</v>
      </c>
      <c r="H820" s="42" t="s">
        <v>155</v>
      </c>
      <c r="I820" s="43"/>
      <c r="J820" s="43"/>
      <c r="K820" s="25" t="e">
        <f>VLOOKUP(J820,Key!$E$2:$F$9,2,FALSE)</f>
        <v>#N/A</v>
      </c>
      <c r="L820" s="42"/>
      <c r="M820" s="43" t="s">
        <v>154</v>
      </c>
      <c r="N820" s="42" t="s">
        <v>155</v>
      </c>
      <c r="O820" s="43"/>
      <c r="P820" s="43"/>
      <c r="Q820" s="25" t="e">
        <f>VLOOKUP(P820,Key!$E$2:$F$9,2,FALSE)</f>
        <v>#N/A</v>
      </c>
      <c r="R820" s="25" t="e">
        <f t="shared" si="13"/>
        <v>#N/A</v>
      </c>
      <c r="S820" s="58"/>
      <c r="T820" s="58"/>
      <c r="U820" s="43"/>
      <c r="V820" s="43"/>
      <c r="W820" s="58"/>
      <c r="X820" s="58"/>
      <c r="Y820" s="59" t="s">
        <v>156</v>
      </c>
      <c r="Z820" s="60"/>
      <c r="AA820" s="25"/>
      <c r="AB820" s="25"/>
    </row>
    <row r="821" spans="2:28">
      <c r="B821" s="40"/>
      <c r="C821" s="40"/>
      <c r="D821" s="41"/>
      <c r="E821" s="42"/>
      <c r="F821" s="42"/>
      <c r="G821" s="43" t="s">
        <v>154</v>
      </c>
      <c r="H821" s="42" t="s">
        <v>155</v>
      </c>
      <c r="I821" s="43"/>
      <c r="J821" s="43"/>
      <c r="K821" s="25" t="e">
        <f>VLOOKUP(J821,Key!$E$2:$F$9,2,FALSE)</f>
        <v>#N/A</v>
      </c>
      <c r="L821" s="42"/>
      <c r="M821" s="43" t="s">
        <v>154</v>
      </c>
      <c r="N821" s="42" t="s">
        <v>155</v>
      </c>
      <c r="O821" s="43"/>
      <c r="P821" s="43"/>
      <c r="Q821" s="25" t="e">
        <f>VLOOKUP(P821,Key!$E$2:$F$9,2,FALSE)</f>
        <v>#N/A</v>
      </c>
      <c r="R821" s="25" t="e">
        <f t="shared" si="13"/>
        <v>#N/A</v>
      </c>
      <c r="S821" s="58"/>
      <c r="T821" s="58"/>
      <c r="U821" s="43"/>
      <c r="V821" s="43"/>
      <c r="W821" s="58"/>
      <c r="X821" s="58"/>
      <c r="Y821" s="59" t="s">
        <v>156</v>
      </c>
      <c r="Z821" s="60"/>
      <c r="AA821" s="25"/>
      <c r="AB821" s="25"/>
    </row>
    <row r="822" spans="2:28">
      <c r="B822" s="40"/>
      <c r="C822" s="40"/>
      <c r="D822" s="41"/>
      <c r="E822" s="42"/>
      <c r="F822" s="42"/>
      <c r="G822" s="43" t="s">
        <v>154</v>
      </c>
      <c r="H822" s="42" t="s">
        <v>155</v>
      </c>
      <c r="I822" s="43"/>
      <c r="J822" s="43"/>
      <c r="K822" s="25" t="e">
        <f>VLOOKUP(J822,Key!$E$2:$F$9,2,FALSE)</f>
        <v>#N/A</v>
      </c>
      <c r="L822" s="42"/>
      <c r="M822" s="43" t="s">
        <v>154</v>
      </c>
      <c r="N822" s="42" t="s">
        <v>155</v>
      </c>
      <c r="O822" s="43"/>
      <c r="P822" s="43"/>
      <c r="Q822" s="25" t="e">
        <f>VLOOKUP(P822,Key!$E$2:$F$9,2,FALSE)</f>
        <v>#N/A</v>
      </c>
      <c r="R822" s="25" t="e">
        <f t="shared" si="13"/>
        <v>#N/A</v>
      </c>
      <c r="S822" s="58"/>
      <c r="T822" s="58"/>
      <c r="U822" s="43"/>
      <c r="V822" s="43"/>
      <c r="W822" s="58"/>
      <c r="X822" s="58"/>
      <c r="Y822" s="59" t="s">
        <v>156</v>
      </c>
      <c r="Z822" s="60"/>
      <c r="AA822" s="25"/>
      <c r="AB822" s="25"/>
    </row>
    <row r="823" spans="2:28">
      <c r="B823" s="40"/>
      <c r="C823" s="40"/>
      <c r="D823" s="41"/>
      <c r="E823" s="42"/>
      <c r="F823" s="42"/>
      <c r="G823" s="43" t="s">
        <v>154</v>
      </c>
      <c r="H823" s="42" t="s">
        <v>155</v>
      </c>
      <c r="I823" s="43"/>
      <c r="J823" s="43"/>
      <c r="K823" s="25" t="e">
        <f>VLOOKUP(J823,Key!$E$2:$F$9,2,FALSE)</f>
        <v>#N/A</v>
      </c>
      <c r="L823" s="42"/>
      <c r="M823" s="43" t="s">
        <v>154</v>
      </c>
      <c r="N823" s="42" t="s">
        <v>155</v>
      </c>
      <c r="O823" s="43"/>
      <c r="P823" s="43"/>
      <c r="Q823" s="25" t="e">
        <f>VLOOKUP(P823,Key!$E$2:$F$9,2,FALSE)</f>
        <v>#N/A</v>
      </c>
      <c r="R823" s="25" t="e">
        <f t="shared" si="13"/>
        <v>#N/A</v>
      </c>
      <c r="S823" s="58"/>
      <c r="T823" s="58"/>
      <c r="U823" s="43"/>
      <c r="V823" s="43"/>
      <c r="W823" s="58"/>
      <c r="X823" s="58"/>
      <c r="Y823" s="59" t="s">
        <v>156</v>
      </c>
      <c r="Z823" s="60"/>
      <c r="AA823" s="25"/>
      <c r="AB823" s="25"/>
    </row>
    <row r="824" spans="2:28">
      <c r="B824" s="40"/>
      <c r="C824" s="40"/>
      <c r="D824" s="41"/>
      <c r="E824" s="42"/>
      <c r="F824" s="42"/>
      <c r="G824" s="43" t="s">
        <v>154</v>
      </c>
      <c r="H824" s="42" t="s">
        <v>155</v>
      </c>
      <c r="I824" s="43"/>
      <c r="J824" s="43"/>
      <c r="K824" s="25" t="e">
        <f>VLOOKUP(J824,Key!$E$2:$F$9,2,FALSE)</f>
        <v>#N/A</v>
      </c>
      <c r="L824" s="42"/>
      <c r="M824" s="43" t="s">
        <v>154</v>
      </c>
      <c r="N824" s="42" t="s">
        <v>155</v>
      </c>
      <c r="O824" s="43"/>
      <c r="P824" s="43"/>
      <c r="Q824" s="25" t="e">
        <f>VLOOKUP(P824,Key!$E$2:$F$9,2,FALSE)</f>
        <v>#N/A</v>
      </c>
      <c r="R824" s="25" t="e">
        <f t="shared" si="13"/>
        <v>#N/A</v>
      </c>
      <c r="S824" s="58"/>
      <c r="T824" s="58"/>
      <c r="U824" s="43"/>
      <c r="V824" s="43"/>
      <c r="W824" s="58"/>
      <c r="X824" s="58"/>
      <c r="Y824" s="59" t="s">
        <v>156</v>
      </c>
      <c r="Z824" s="60"/>
      <c r="AA824" s="25"/>
      <c r="AB824" s="25"/>
    </row>
    <row r="825" spans="2:28">
      <c r="B825" s="40"/>
      <c r="C825" s="40"/>
      <c r="D825" s="41"/>
      <c r="E825" s="42"/>
      <c r="F825" s="42"/>
      <c r="G825" s="43" t="s">
        <v>154</v>
      </c>
      <c r="H825" s="42" t="s">
        <v>155</v>
      </c>
      <c r="I825" s="43"/>
      <c r="J825" s="43"/>
      <c r="K825" s="25" t="e">
        <f>VLOOKUP(J825,Key!$E$2:$F$9,2,FALSE)</f>
        <v>#N/A</v>
      </c>
      <c r="L825" s="42"/>
      <c r="M825" s="43" t="s">
        <v>154</v>
      </c>
      <c r="N825" s="42" t="s">
        <v>155</v>
      </c>
      <c r="O825" s="43"/>
      <c r="P825" s="43"/>
      <c r="Q825" s="25" t="e">
        <f>VLOOKUP(P825,Key!$E$2:$F$9,2,FALSE)</f>
        <v>#N/A</v>
      </c>
      <c r="R825" s="25" t="e">
        <f t="shared" si="13"/>
        <v>#N/A</v>
      </c>
      <c r="S825" s="58"/>
      <c r="T825" s="58"/>
      <c r="U825" s="43"/>
      <c r="V825" s="43"/>
      <c r="W825" s="58"/>
      <c r="X825" s="58"/>
      <c r="Y825" s="59" t="s">
        <v>156</v>
      </c>
      <c r="Z825" s="60"/>
      <c r="AA825" s="25"/>
      <c r="AB825" s="25"/>
    </row>
    <row r="826" spans="2:28">
      <c r="B826" s="40"/>
      <c r="C826" s="40"/>
      <c r="D826" s="41"/>
      <c r="E826" s="42"/>
      <c r="F826" s="42"/>
      <c r="G826" s="43" t="s">
        <v>154</v>
      </c>
      <c r="H826" s="42" t="s">
        <v>155</v>
      </c>
      <c r="I826" s="43"/>
      <c r="J826" s="43"/>
      <c r="K826" s="25" t="e">
        <f>VLOOKUP(J826,Key!$E$2:$F$9,2,FALSE)</f>
        <v>#N/A</v>
      </c>
      <c r="L826" s="42"/>
      <c r="M826" s="43" t="s">
        <v>154</v>
      </c>
      <c r="N826" s="42" t="s">
        <v>155</v>
      </c>
      <c r="O826" s="43"/>
      <c r="P826" s="43"/>
      <c r="Q826" s="25" t="e">
        <f>VLOOKUP(P826,Key!$E$2:$F$9,2,FALSE)</f>
        <v>#N/A</v>
      </c>
      <c r="R826" s="25" t="e">
        <f t="shared" si="13"/>
        <v>#N/A</v>
      </c>
      <c r="S826" s="58"/>
      <c r="T826" s="58"/>
      <c r="U826" s="43"/>
      <c r="V826" s="43"/>
      <c r="W826" s="58"/>
      <c r="X826" s="58"/>
      <c r="Y826" s="59" t="s">
        <v>156</v>
      </c>
      <c r="Z826" s="60"/>
      <c r="AA826" s="25"/>
      <c r="AB826" s="25"/>
    </row>
    <row r="827" spans="2:28">
      <c r="B827" s="40"/>
      <c r="C827" s="40"/>
      <c r="D827" s="41"/>
      <c r="E827" s="42"/>
      <c r="F827" s="42"/>
      <c r="G827" s="43" t="s">
        <v>154</v>
      </c>
      <c r="H827" s="42" t="s">
        <v>155</v>
      </c>
      <c r="I827" s="43"/>
      <c r="J827" s="43"/>
      <c r="K827" s="25" t="e">
        <f>VLOOKUP(J827,Key!$E$2:$F$9,2,FALSE)</f>
        <v>#N/A</v>
      </c>
      <c r="L827" s="42"/>
      <c r="M827" s="43" t="s">
        <v>154</v>
      </c>
      <c r="N827" s="42" t="s">
        <v>155</v>
      </c>
      <c r="O827" s="43"/>
      <c r="P827" s="43"/>
      <c r="Q827" s="25" t="e">
        <f>VLOOKUP(P827,Key!$E$2:$F$9,2,FALSE)</f>
        <v>#N/A</v>
      </c>
      <c r="R827" s="25" t="e">
        <f t="shared" si="13"/>
        <v>#N/A</v>
      </c>
      <c r="S827" s="58"/>
      <c r="T827" s="58"/>
      <c r="U827" s="43"/>
      <c r="V827" s="43"/>
      <c r="W827" s="58"/>
      <c r="X827" s="58"/>
      <c r="Y827" s="59" t="s">
        <v>156</v>
      </c>
      <c r="Z827" s="60"/>
      <c r="AA827" s="25"/>
      <c r="AB827" s="25"/>
    </row>
    <row r="828" spans="2:28">
      <c r="B828" s="40"/>
      <c r="C828" s="40"/>
      <c r="D828" s="41"/>
      <c r="E828" s="42"/>
      <c r="F828" s="42"/>
      <c r="G828" s="43" t="s">
        <v>154</v>
      </c>
      <c r="H828" s="42" t="s">
        <v>155</v>
      </c>
      <c r="I828" s="43"/>
      <c r="J828" s="43"/>
      <c r="K828" s="25" t="e">
        <f>VLOOKUP(J828,Key!$E$2:$F$9,2,FALSE)</f>
        <v>#N/A</v>
      </c>
      <c r="L828" s="42"/>
      <c r="M828" s="43" t="s">
        <v>154</v>
      </c>
      <c r="N828" s="42" t="s">
        <v>155</v>
      </c>
      <c r="O828" s="43"/>
      <c r="P828" s="43"/>
      <c r="Q828" s="25" t="e">
        <f>VLOOKUP(P828,Key!$E$2:$F$9,2,FALSE)</f>
        <v>#N/A</v>
      </c>
      <c r="R828" s="25" t="e">
        <f t="shared" si="13"/>
        <v>#N/A</v>
      </c>
      <c r="S828" s="58"/>
      <c r="T828" s="58"/>
      <c r="U828" s="43"/>
      <c r="V828" s="43"/>
      <c r="W828" s="58"/>
      <c r="X828" s="58"/>
      <c r="Y828" s="59" t="s">
        <v>156</v>
      </c>
      <c r="Z828" s="60"/>
      <c r="AA828" s="25"/>
      <c r="AB828" s="25"/>
    </row>
    <row r="829" spans="2:28">
      <c r="B829" s="40"/>
      <c r="C829" s="40"/>
      <c r="D829" s="41"/>
      <c r="E829" s="42"/>
      <c r="F829" s="42"/>
      <c r="G829" s="43" t="s">
        <v>154</v>
      </c>
      <c r="H829" s="42" t="s">
        <v>155</v>
      </c>
      <c r="I829" s="43"/>
      <c r="J829" s="43"/>
      <c r="K829" s="25" t="e">
        <f>VLOOKUP(J829,Key!$E$2:$F$9,2,FALSE)</f>
        <v>#N/A</v>
      </c>
      <c r="L829" s="42"/>
      <c r="M829" s="43" t="s">
        <v>154</v>
      </c>
      <c r="N829" s="42" t="s">
        <v>155</v>
      </c>
      <c r="O829" s="43"/>
      <c r="P829" s="43"/>
      <c r="Q829" s="25" t="e">
        <f>VLOOKUP(P829,Key!$E$2:$F$9,2,FALSE)</f>
        <v>#N/A</v>
      </c>
      <c r="R829" s="25" t="e">
        <f t="shared" si="13"/>
        <v>#N/A</v>
      </c>
      <c r="S829" s="58"/>
      <c r="T829" s="58"/>
      <c r="U829" s="43"/>
      <c r="V829" s="43"/>
      <c r="W829" s="58"/>
      <c r="X829" s="58"/>
      <c r="Y829" s="59" t="s">
        <v>156</v>
      </c>
      <c r="Z829" s="60"/>
      <c r="AA829" s="25"/>
      <c r="AB829" s="25"/>
    </row>
    <row r="830" spans="2:28">
      <c r="B830" s="40"/>
      <c r="C830" s="40"/>
      <c r="D830" s="41"/>
      <c r="E830" s="42"/>
      <c r="F830" s="42"/>
      <c r="G830" s="43" t="s">
        <v>154</v>
      </c>
      <c r="H830" s="42" t="s">
        <v>155</v>
      </c>
      <c r="I830" s="43"/>
      <c r="J830" s="43"/>
      <c r="K830" s="25" t="e">
        <f>VLOOKUP(J830,Key!$E$2:$F$9,2,FALSE)</f>
        <v>#N/A</v>
      </c>
      <c r="L830" s="42"/>
      <c r="M830" s="43" t="s">
        <v>154</v>
      </c>
      <c r="N830" s="42" t="s">
        <v>155</v>
      </c>
      <c r="O830" s="43"/>
      <c r="P830" s="43"/>
      <c r="Q830" s="25" t="e">
        <f>VLOOKUP(P830,Key!$E$2:$F$9,2,FALSE)</f>
        <v>#N/A</v>
      </c>
      <c r="R830" s="25" t="e">
        <f t="shared" si="13"/>
        <v>#N/A</v>
      </c>
      <c r="S830" s="58"/>
      <c r="T830" s="58"/>
      <c r="U830" s="43"/>
      <c r="V830" s="43"/>
      <c r="W830" s="58"/>
      <c r="X830" s="58"/>
      <c r="Y830" s="59" t="s">
        <v>156</v>
      </c>
      <c r="Z830" s="60"/>
      <c r="AA830" s="25"/>
      <c r="AB830" s="25"/>
    </row>
    <row r="831" spans="2:28">
      <c r="B831" s="40"/>
      <c r="C831" s="40"/>
      <c r="D831" s="41"/>
      <c r="E831" s="42"/>
      <c r="F831" s="42"/>
      <c r="G831" s="43" t="s">
        <v>154</v>
      </c>
      <c r="H831" s="42" t="s">
        <v>155</v>
      </c>
      <c r="I831" s="43"/>
      <c r="J831" s="43"/>
      <c r="K831" s="25" t="e">
        <f>VLOOKUP(J831,Key!$E$2:$F$9,2,FALSE)</f>
        <v>#N/A</v>
      </c>
      <c r="L831" s="42"/>
      <c r="M831" s="43" t="s">
        <v>154</v>
      </c>
      <c r="N831" s="42" t="s">
        <v>155</v>
      </c>
      <c r="O831" s="43"/>
      <c r="P831" s="43"/>
      <c r="Q831" s="25" t="e">
        <f>VLOOKUP(P831,Key!$E$2:$F$9,2,FALSE)</f>
        <v>#N/A</v>
      </c>
      <c r="R831" s="25" t="e">
        <f t="shared" si="13"/>
        <v>#N/A</v>
      </c>
      <c r="S831" s="58"/>
      <c r="T831" s="58"/>
      <c r="U831" s="43"/>
      <c r="V831" s="43"/>
      <c r="W831" s="58"/>
      <c r="X831" s="58"/>
      <c r="Y831" s="59" t="s">
        <v>156</v>
      </c>
      <c r="Z831" s="60"/>
      <c r="AA831" s="25"/>
      <c r="AB831" s="25"/>
    </row>
    <row r="832" spans="2:28">
      <c r="B832" s="40"/>
      <c r="C832" s="40"/>
      <c r="D832" s="41"/>
      <c r="E832" s="42"/>
      <c r="F832" s="42"/>
      <c r="G832" s="43" t="s">
        <v>154</v>
      </c>
      <c r="H832" s="42" t="s">
        <v>155</v>
      </c>
      <c r="I832" s="43"/>
      <c r="J832" s="43"/>
      <c r="K832" s="25" t="e">
        <f>VLOOKUP(J832,Key!$E$2:$F$9,2,FALSE)</f>
        <v>#N/A</v>
      </c>
      <c r="L832" s="42"/>
      <c r="M832" s="43" t="s">
        <v>154</v>
      </c>
      <c r="N832" s="42" t="s">
        <v>155</v>
      </c>
      <c r="O832" s="43"/>
      <c r="P832" s="43"/>
      <c r="Q832" s="25" t="e">
        <f>VLOOKUP(P832,Key!$E$2:$F$9,2,FALSE)</f>
        <v>#N/A</v>
      </c>
      <c r="R832" s="25" t="e">
        <f t="shared" si="13"/>
        <v>#N/A</v>
      </c>
      <c r="S832" s="58"/>
      <c r="T832" s="58"/>
      <c r="U832" s="43"/>
      <c r="V832" s="43"/>
      <c r="W832" s="58"/>
      <c r="X832" s="58"/>
      <c r="Y832" s="59" t="s">
        <v>156</v>
      </c>
      <c r="Z832" s="60"/>
      <c r="AA832" s="25"/>
      <c r="AB832" s="25"/>
    </row>
    <row r="833" spans="2:28">
      <c r="B833" s="40"/>
      <c r="C833" s="40"/>
      <c r="D833" s="41"/>
      <c r="E833" s="42"/>
      <c r="F833" s="42"/>
      <c r="G833" s="43" t="s">
        <v>154</v>
      </c>
      <c r="H833" s="42" t="s">
        <v>155</v>
      </c>
      <c r="I833" s="43"/>
      <c r="J833" s="43"/>
      <c r="K833" s="25" t="e">
        <f>VLOOKUP(J833,Key!$E$2:$F$9,2,FALSE)</f>
        <v>#N/A</v>
      </c>
      <c r="L833" s="42"/>
      <c r="M833" s="43" t="s">
        <v>154</v>
      </c>
      <c r="N833" s="42" t="s">
        <v>155</v>
      </c>
      <c r="O833" s="43"/>
      <c r="P833" s="43"/>
      <c r="Q833" s="25" t="e">
        <f>VLOOKUP(P833,Key!$E$2:$F$9,2,FALSE)</f>
        <v>#N/A</v>
      </c>
      <c r="R833" s="25" t="e">
        <f t="shared" si="13"/>
        <v>#N/A</v>
      </c>
      <c r="S833" s="58"/>
      <c r="T833" s="58"/>
      <c r="U833" s="43"/>
      <c r="V833" s="43"/>
      <c r="W833" s="58"/>
      <c r="X833" s="58"/>
      <c r="Y833" s="59" t="s">
        <v>156</v>
      </c>
      <c r="Z833" s="60"/>
      <c r="AA833" s="25"/>
      <c r="AB833" s="25"/>
    </row>
    <row r="834" spans="2:28">
      <c r="B834" s="40"/>
      <c r="C834" s="40"/>
      <c r="D834" s="41"/>
      <c r="E834" s="42"/>
      <c r="F834" s="42"/>
      <c r="G834" s="43" t="s">
        <v>154</v>
      </c>
      <c r="H834" s="42" t="s">
        <v>155</v>
      </c>
      <c r="I834" s="43"/>
      <c r="J834" s="43"/>
      <c r="K834" s="25" t="e">
        <f>VLOOKUP(J834,Key!$E$2:$F$9,2,FALSE)</f>
        <v>#N/A</v>
      </c>
      <c r="L834" s="42"/>
      <c r="M834" s="43" t="s">
        <v>154</v>
      </c>
      <c r="N834" s="42" t="s">
        <v>155</v>
      </c>
      <c r="O834" s="43"/>
      <c r="P834" s="43"/>
      <c r="Q834" s="25" t="e">
        <f>VLOOKUP(P834,Key!$E$2:$F$9,2,FALSE)</f>
        <v>#N/A</v>
      </c>
      <c r="R834" s="25" t="e">
        <f t="shared" si="13"/>
        <v>#N/A</v>
      </c>
      <c r="S834" s="58"/>
      <c r="T834" s="58"/>
      <c r="U834" s="43"/>
      <c r="V834" s="43"/>
      <c r="W834" s="58"/>
      <c r="X834" s="58"/>
      <c r="Y834" s="59" t="s">
        <v>156</v>
      </c>
      <c r="Z834" s="60"/>
      <c r="AA834" s="25"/>
      <c r="AB834" s="25"/>
    </row>
    <row r="835" spans="2:28">
      <c r="B835" s="40"/>
      <c r="C835" s="40"/>
      <c r="D835" s="41"/>
      <c r="E835" s="42"/>
      <c r="F835" s="42"/>
      <c r="G835" s="43" t="s">
        <v>154</v>
      </c>
      <c r="H835" s="42" t="s">
        <v>155</v>
      </c>
      <c r="I835" s="43"/>
      <c r="J835" s="43"/>
      <c r="K835" s="25" t="e">
        <f>VLOOKUP(J835,Key!$E$2:$F$9,2,FALSE)</f>
        <v>#N/A</v>
      </c>
      <c r="L835" s="42"/>
      <c r="M835" s="43" t="s">
        <v>154</v>
      </c>
      <c r="N835" s="42" t="s">
        <v>155</v>
      </c>
      <c r="O835" s="43"/>
      <c r="P835" s="43"/>
      <c r="Q835" s="25" t="e">
        <f>VLOOKUP(P835,Key!$E$2:$F$9,2,FALSE)</f>
        <v>#N/A</v>
      </c>
      <c r="R835" s="25" t="e">
        <f t="shared" si="13"/>
        <v>#N/A</v>
      </c>
      <c r="S835" s="58"/>
      <c r="T835" s="58"/>
      <c r="U835" s="43"/>
      <c r="V835" s="43"/>
      <c r="W835" s="58"/>
      <c r="X835" s="58"/>
      <c r="Y835" s="59" t="s">
        <v>156</v>
      </c>
      <c r="Z835" s="60"/>
      <c r="AA835" s="25"/>
      <c r="AB835" s="25"/>
    </row>
    <row r="836" spans="2:28">
      <c r="B836" s="40"/>
      <c r="C836" s="40"/>
      <c r="D836" s="41"/>
      <c r="E836" s="42"/>
      <c r="F836" s="42"/>
      <c r="G836" s="43" t="s">
        <v>154</v>
      </c>
      <c r="H836" s="42" t="s">
        <v>155</v>
      </c>
      <c r="I836" s="43"/>
      <c r="J836" s="43"/>
      <c r="K836" s="25" t="e">
        <f>VLOOKUP(J836,Key!$E$2:$F$9,2,FALSE)</f>
        <v>#N/A</v>
      </c>
      <c r="L836" s="42"/>
      <c r="M836" s="43" t="s">
        <v>154</v>
      </c>
      <c r="N836" s="42" t="s">
        <v>155</v>
      </c>
      <c r="O836" s="43"/>
      <c r="P836" s="43"/>
      <c r="Q836" s="25" t="e">
        <f>VLOOKUP(P836,Key!$E$2:$F$9,2,FALSE)</f>
        <v>#N/A</v>
      </c>
      <c r="R836" s="25" t="e">
        <f t="shared" si="13"/>
        <v>#N/A</v>
      </c>
      <c r="S836" s="58"/>
      <c r="T836" s="58"/>
      <c r="U836" s="43"/>
      <c r="V836" s="43"/>
      <c r="W836" s="58"/>
      <c r="X836" s="58"/>
      <c r="Y836" s="59" t="s">
        <v>156</v>
      </c>
      <c r="Z836" s="60"/>
      <c r="AA836" s="25"/>
      <c r="AB836" s="25"/>
    </row>
    <row r="837" spans="2:28">
      <c r="B837" s="40"/>
      <c r="C837" s="40"/>
      <c r="D837" s="41"/>
      <c r="E837" s="42"/>
      <c r="F837" s="42"/>
      <c r="G837" s="43" t="s">
        <v>154</v>
      </c>
      <c r="H837" s="42" t="s">
        <v>155</v>
      </c>
      <c r="I837" s="43"/>
      <c r="J837" s="43"/>
      <c r="K837" s="25" t="e">
        <f>VLOOKUP(J837,Key!$E$2:$F$9,2,FALSE)</f>
        <v>#N/A</v>
      </c>
      <c r="L837" s="42"/>
      <c r="M837" s="43" t="s">
        <v>154</v>
      </c>
      <c r="N837" s="42" t="s">
        <v>155</v>
      </c>
      <c r="O837" s="43"/>
      <c r="P837" s="43"/>
      <c r="Q837" s="25" t="e">
        <f>VLOOKUP(P837,Key!$E$2:$F$9,2,FALSE)</f>
        <v>#N/A</v>
      </c>
      <c r="R837" s="25" t="e">
        <f t="shared" si="13"/>
        <v>#N/A</v>
      </c>
      <c r="S837" s="58"/>
      <c r="T837" s="58"/>
      <c r="U837" s="43"/>
      <c r="V837" s="43"/>
      <c r="W837" s="58"/>
      <c r="X837" s="58"/>
      <c r="Y837" s="59" t="s">
        <v>156</v>
      </c>
      <c r="Z837" s="60"/>
      <c r="AA837" s="25"/>
      <c r="AB837" s="25"/>
    </row>
    <row r="838" spans="2:28">
      <c r="B838" s="40"/>
      <c r="C838" s="40"/>
      <c r="D838" s="41"/>
      <c r="E838" s="42"/>
      <c r="F838" s="42"/>
      <c r="G838" s="43" t="s">
        <v>154</v>
      </c>
      <c r="H838" s="42" t="s">
        <v>155</v>
      </c>
      <c r="I838" s="43"/>
      <c r="J838" s="43"/>
      <c r="K838" s="25" t="e">
        <f>VLOOKUP(J838,Key!$E$2:$F$9,2,FALSE)</f>
        <v>#N/A</v>
      </c>
      <c r="L838" s="42"/>
      <c r="M838" s="43" t="s">
        <v>154</v>
      </c>
      <c r="N838" s="42" t="s">
        <v>155</v>
      </c>
      <c r="O838" s="43"/>
      <c r="P838" s="43"/>
      <c r="Q838" s="25" t="e">
        <f>VLOOKUP(P838,Key!$E$2:$F$9,2,FALSE)</f>
        <v>#N/A</v>
      </c>
      <c r="R838" s="25" t="e">
        <f t="shared" si="13"/>
        <v>#N/A</v>
      </c>
      <c r="S838" s="58"/>
      <c r="T838" s="58"/>
      <c r="U838" s="43"/>
      <c r="V838" s="43"/>
      <c r="W838" s="58"/>
      <c r="X838" s="58"/>
      <c r="Y838" s="59" t="s">
        <v>156</v>
      </c>
      <c r="Z838" s="60"/>
      <c r="AA838" s="25"/>
      <c r="AB838" s="25"/>
    </row>
    <row r="839" spans="2:28">
      <c r="B839" s="40"/>
      <c r="C839" s="40"/>
      <c r="D839" s="41"/>
      <c r="E839" s="42"/>
      <c r="F839" s="42"/>
      <c r="G839" s="43" t="s">
        <v>154</v>
      </c>
      <c r="H839" s="42" t="s">
        <v>155</v>
      </c>
      <c r="I839" s="43"/>
      <c r="J839" s="43"/>
      <c r="K839" s="25" t="e">
        <f>VLOOKUP(J839,Key!$E$2:$F$9,2,FALSE)</f>
        <v>#N/A</v>
      </c>
      <c r="L839" s="42"/>
      <c r="M839" s="43" t="s">
        <v>154</v>
      </c>
      <c r="N839" s="42" t="s">
        <v>155</v>
      </c>
      <c r="O839" s="43"/>
      <c r="P839" s="43"/>
      <c r="Q839" s="25" t="e">
        <f>VLOOKUP(P839,Key!$E$2:$F$9,2,FALSE)</f>
        <v>#N/A</v>
      </c>
      <c r="R839" s="25" t="e">
        <f t="shared" si="13"/>
        <v>#N/A</v>
      </c>
      <c r="S839" s="58"/>
      <c r="T839" s="58"/>
      <c r="U839" s="43"/>
      <c r="V839" s="43"/>
      <c r="W839" s="58"/>
      <c r="X839" s="58"/>
      <c r="Y839" s="59" t="s">
        <v>156</v>
      </c>
      <c r="Z839" s="60"/>
      <c r="AA839" s="25"/>
      <c r="AB839" s="25"/>
    </row>
    <row r="840" spans="2:28">
      <c r="B840" s="40"/>
      <c r="C840" s="40"/>
      <c r="D840" s="41"/>
      <c r="E840" s="42"/>
      <c r="F840" s="42"/>
      <c r="G840" s="43" t="s">
        <v>154</v>
      </c>
      <c r="H840" s="42" t="s">
        <v>155</v>
      </c>
      <c r="I840" s="43"/>
      <c r="J840" s="43"/>
      <c r="K840" s="25" t="e">
        <f>VLOOKUP(J840,Key!$E$2:$F$9,2,FALSE)</f>
        <v>#N/A</v>
      </c>
      <c r="L840" s="42"/>
      <c r="M840" s="43" t="s">
        <v>154</v>
      </c>
      <c r="N840" s="42" t="s">
        <v>155</v>
      </c>
      <c r="O840" s="43"/>
      <c r="P840" s="43"/>
      <c r="Q840" s="25" t="e">
        <f>VLOOKUP(P840,Key!$E$2:$F$9,2,FALSE)</f>
        <v>#N/A</v>
      </c>
      <c r="R840" s="25" t="e">
        <f t="shared" si="13"/>
        <v>#N/A</v>
      </c>
      <c r="S840" s="58"/>
      <c r="T840" s="58"/>
      <c r="U840" s="43"/>
      <c r="V840" s="43"/>
      <c r="W840" s="58"/>
      <c r="X840" s="58"/>
      <c r="Y840" s="59" t="s">
        <v>156</v>
      </c>
      <c r="Z840" s="60"/>
      <c r="AA840" s="25"/>
      <c r="AB840" s="25"/>
    </row>
    <row r="841" spans="2:28">
      <c r="B841" s="40"/>
      <c r="C841" s="40"/>
      <c r="D841" s="41"/>
      <c r="E841" s="42"/>
      <c r="F841" s="42"/>
      <c r="G841" s="43" t="s">
        <v>154</v>
      </c>
      <c r="H841" s="42" t="s">
        <v>155</v>
      </c>
      <c r="I841" s="43"/>
      <c r="J841" s="43"/>
      <c r="K841" s="25" t="e">
        <f>VLOOKUP(J841,Key!$E$2:$F$9,2,FALSE)</f>
        <v>#N/A</v>
      </c>
      <c r="L841" s="42"/>
      <c r="M841" s="43" t="s">
        <v>154</v>
      </c>
      <c r="N841" s="42" t="s">
        <v>155</v>
      </c>
      <c r="O841" s="43"/>
      <c r="P841" s="43"/>
      <c r="Q841" s="25" t="e">
        <f>VLOOKUP(P841,Key!$E$2:$F$9,2,FALSE)</f>
        <v>#N/A</v>
      </c>
      <c r="R841" s="25" t="e">
        <f t="shared" si="13"/>
        <v>#N/A</v>
      </c>
      <c r="S841" s="58"/>
      <c r="T841" s="58"/>
      <c r="U841" s="43"/>
      <c r="V841" s="43"/>
      <c r="W841" s="58"/>
      <c r="X841" s="58"/>
      <c r="Y841" s="59" t="s">
        <v>156</v>
      </c>
      <c r="Z841" s="60"/>
      <c r="AA841" s="25"/>
      <c r="AB841" s="25"/>
    </row>
    <row r="842" spans="2:28">
      <c r="B842" s="40"/>
      <c r="C842" s="40"/>
      <c r="D842" s="41"/>
      <c r="E842" s="42"/>
      <c r="F842" s="42"/>
      <c r="G842" s="43" t="s">
        <v>154</v>
      </c>
      <c r="H842" s="42" t="s">
        <v>155</v>
      </c>
      <c r="I842" s="43"/>
      <c r="J842" s="43"/>
      <c r="K842" s="25" t="e">
        <f>VLOOKUP(J842,Key!$E$2:$F$9,2,FALSE)</f>
        <v>#N/A</v>
      </c>
      <c r="L842" s="42"/>
      <c r="M842" s="43" t="s">
        <v>154</v>
      </c>
      <c r="N842" s="42" t="s">
        <v>155</v>
      </c>
      <c r="O842" s="43"/>
      <c r="P842" s="43"/>
      <c r="Q842" s="25" t="e">
        <f>VLOOKUP(P842,Key!$E$2:$F$9,2,FALSE)</f>
        <v>#N/A</v>
      </c>
      <c r="R842" s="25" t="e">
        <f t="shared" si="13"/>
        <v>#N/A</v>
      </c>
      <c r="S842" s="58"/>
      <c r="T842" s="58"/>
      <c r="U842" s="43"/>
      <c r="V842" s="43"/>
      <c r="W842" s="58"/>
      <c r="X842" s="58"/>
      <c r="Y842" s="59" t="s">
        <v>156</v>
      </c>
      <c r="Z842" s="60"/>
      <c r="AA842" s="25"/>
      <c r="AB842" s="25"/>
    </row>
    <row r="843" spans="2:28">
      <c r="B843" s="40"/>
      <c r="C843" s="40"/>
      <c r="D843" s="41"/>
      <c r="E843" s="42"/>
      <c r="F843" s="42"/>
      <c r="G843" s="43" t="s">
        <v>154</v>
      </c>
      <c r="H843" s="42" t="s">
        <v>155</v>
      </c>
      <c r="I843" s="43"/>
      <c r="J843" s="43"/>
      <c r="K843" s="25" t="e">
        <f>VLOOKUP(J843,Key!$E$2:$F$9,2,FALSE)</f>
        <v>#N/A</v>
      </c>
      <c r="L843" s="42"/>
      <c r="M843" s="43" t="s">
        <v>154</v>
      </c>
      <c r="N843" s="42" t="s">
        <v>155</v>
      </c>
      <c r="O843" s="43"/>
      <c r="P843" s="43"/>
      <c r="Q843" s="25" t="e">
        <f>VLOOKUP(P843,Key!$E$2:$F$9,2,FALSE)</f>
        <v>#N/A</v>
      </c>
      <c r="R843" s="25" t="e">
        <f t="shared" si="13"/>
        <v>#N/A</v>
      </c>
      <c r="S843" s="58"/>
      <c r="T843" s="58"/>
      <c r="U843" s="43"/>
      <c r="V843" s="43"/>
      <c r="W843" s="58"/>
      <c r="X843" s="58"/>
      <c r="Y843" s="59" t="s">
        <v>156</v>
      </c>
      <c r="Z843" s="60"/>
      <c r="AA843" s="25"/>
      <c r="AB843" s="25"/>
    </row>
    <row r="844" spans="2:28">
      <c r="B844" s="40"/>
      <c r="C844" s="40"/>
      <c r="D844" s="41"/>
      <c r="E844" s="42"/>
      <c r="F844" s="42"/>
      <c r="G844" s="43" t="s">
        <v>154</v>
      </c>
      <c r="H844" s="42" t="s">
        <v>155</v>
      </c>
      <c r="I844" s="43"/>
      <c r="J844" s="43"/>
      <c r="K844" s="25" t="e">
        <f>VLOOKUP(J844,Key!$E$2:$F$9,2,FALSE)</f>
        <v>#N/A</v>
      </c>
      <c r="L844" s="42"/>
      <c r="M844" s="43" t="s">
        <v>154</v>
      </c>
      <c r="N844" s="42" t="s">
        <v>155</v>
      </c>
      <c r="O844" s="43"/>
      <c r="P844" s="43"/>
      <c r="Q844" s="25" t="e">
        <f>VLOOKUP(P844,Key!$E$2:$F$9,2,FALSE)</f>
        <v>#N/A</v>
      </c>
      <c r="R844" s="25" t="e">
        <f t="shared" si="13"/>
        <v>#N/A</v>
      </c>
      <c r="S844" s="58"/>
      <c r="T844" s="58"/>
      <c r="U844" s="43"/>
      <c r="V844" s="43"/>
      <c r="W844" s="58"/>
      <c r="X844" s="58"/>
      <c r="Y844" s="59" t="s">
        <v>156</v>
      </c>
      <c r="Z844" s="60"/>
      <c r="AA844" s="25"/>
      <c r="AB844" s="25"/>
    </row>
    <row r="845" spans="2:28">
      <c r="B845" s="40"/>
      <c r="C845" s="40"/>
      <c r="D845" s="41"/>
      <c r="E845" s="42"/>
      <c r="F845" s="42"/>
      <c r="G845" s="43" t="s">
        <v>154</v>
      </c>
      <c r="H845" s="42" t="s">
        <v>155</v>
      </c>
      <c r="I845" s="43"/>
      <c r="J845" s="43"/>
      <c r="K845" s="25" t="e">
        <f>VLOOKUP(J845,Key!$E$2:$F$9,2,FALSE)</f>
        <v>#N/A</v>
      </c>
      <c r="L845" s="42"/>
      <c r="M845" s="43" t="s">
        <v>154</v>
      </c>
      <c r="N845" s="42" t="s">
        <v>155</v>
      </c>
      <c r="O845" s="43"/>
      <c r="P845" s="43"/>
      <c r="Q845" s="25" t="e">
        <f>VLOOKUP(P845,Key!$E$2:$F$9,2,FALSE)</f>
        <v>#N/A</v>
      </c>
      <c r="R845" s="25" t="e">
        <f t="shared" si="13"/>
        <v>#N/A</v>
      </c>
      <c r="S845" s="58"/>
      <c r="T845" s="58"/>
      <c r="U845" s="43"/>
      <c r="V845" s="43"/>
      <c r="W845" s="58"/>
      <c r="X845" s="58"/>
      <c r="Y845" s="59" t="s">
        <v>156</v>
      </c>
      <c r="Z845" s="60"/>
      <c r="AA845" s="25"/>
      <c r="AB845" s="25"/>
    </row>
    <row r="846" spans="2:28">
      <c r="B846" s="40"/>
      <c r="C846" s="40"/>
      <c r="D846" s="41"/>
      <c r="E846" s="42"/>
      <c r="F846" s="42"/>
      <c r="G846" s="43" t="s">
        <v>154</v>
      </c>
      <c r="H846" s="42" t="s">
        <v>155</v>
      </c>
      <c r="I846" s="43"/>
      <c r="J846" s="43"/>
      <c r="K846" s="25" t="e">
        <f>VLOOKUP(J846,Key!$E$2:$F$9,2,FALSE)</f>
        <v>#N/A</v>
      </c>
      <c r="L846" s="42"/>
      <c r="M846" s="43" t="s">
        <v>154</v>
      </c>
      <c r="N846" s="42" t="s">
        <v>155</v>
      </c>
      <c r="O846" s="43"/>
      <c r="P846" s="43"/>
      <c r="Q846" s="25" t="e">
        <f>VLOOKUP(P846,Key!$E$2:$F$9,2,FALSE)</f>
        <v>#N/A</v>
      </c>
      <c r="R846" s="25" t="e">
        <f t="shared" si="13"/>
        <v>#N/A</v>
      </c>
      <c r="S846" s="58"/>
      <c r="T846" s="58"/>
      <c r="U846" s="43"/>
      <c r="V846" s="43"/>
      <c r="W846" s="58"/>
      <c r="X846" s="58"/>
      <c r="Y846" s="59" t="s">
        <v>156</v>
      </c>
      <c r="Z846" s="60"/>
      <c r="AA846" s="25"/>
      <c r="AB846" s="25"/>
    </row>
    <row r="847" spans="2:28">
      <c r="B847" s="40"/>
      <c r="C847" s="40"/>
      <c r="D847" s="41"/>
      <c r="E847" s="42"/>
      <c r="F847" s="42"/>
      <c r="G847" s="43" t="s">
        <v>154</v>
      </c>
      <c r="H847" s="42" t="s">
        <v>155</v>
      </c>
      <c r="I847" s="43"/>
      <c r="J847" s="43"/>
      <c r="K847" s="25" t="e">
        <f>VLOOKUP(J847,Key!$E$2:$F$9,2,FALSE)</f>
        <v>#N/A</v>
      </c>
      <c r="L847" s="42"/>
      <c r="M847" s="43" t="s">
        <v>154</v>
      </c>
      <c r="N847" s="42" t="s">
        <v>155</v>
      </c>
      <c r="O847" s="43"/>
      <c r="P847" s="43"/>
      <c r="Q847" s="25" t="e">
        <f>VLOOKUP(P847,Key!$E$2:$F$9,2,FALSE)</f>
        <v>#N/A</v>
      </c>
      <c r="R847" s="25" t="e">
        <f t="shared" si="13"/>
        <v>#N/A</v>
      </c>
      <c r="S847" s="58"/>
      <c r="T847" s="58"/>
      <c r="U847" s="43"/>
      <c r="V847" s="43"/>
      <c r="W847" s="58"/>
      <c r="X847" s="58"/>
      <c r="Y847" s="59" t="s">
        <v>156</v>
      </c>
      <c r="Z847" s="60"/>
      <c r="AA847" s="25"/>
      <c r="AB847" s="25"/>
    </row>
    <row r="848" spans="2:28">
      <c r="B848" s="40"/>
      <c r="C848" s="40"/>
      <c r="D848" s="41"/>
      <c r="E848" s="42"/>
      <c r="F848" s="42"/>
      <c r="G848" s="43" t="s">
        <v>154</v>
      </c>
      <c r="H848" s="42" t="s">
        <v>155</v>
      </c>
      <c r="I848" s="43"/>
      <c r="J848" s="43"/>
      <c r="K848" s="25" t="e">
        <f>VLOOKUP(J848,Key!$E$2:$F$9,2,FALSE)</f>
        <v>#N/A</v>
      </c>
      <c r="L848" s="42"/>
      <c r="M848" s="43" t="s">
        <v>154</v>
      </c>
      <c r="N848" s="42" t="s">
        <v>155</v>
      </c>
      <c r="O848" s="43"/>
      <c r="P848" s="43"/>
      <c r="Q848" s="25" t="e">
        <f>VLOOKUP(P848,Key!$E$2:$F$9,2,FALSE)</f>
        <v>#N/A</v>
      </c>
      <c r="R848" s="25" t="e">
        <f t="shared" si="13"/>
        <v>#N/A</v>
      </c>
      <c r="S848" s="58"/>
      <c r="T848" s="58"/>
      <c r="U848" s="43"/>
      <c r="V848" s="43"/>
      <c r="W848" s="58"/>
      <c r="X848" s="58"/>
      <c r="Y848" s="59" t="s">
        <v>156</v>
      </c>
      <c r="Z848" s="60"/>
      <c r="AA848" s="25"/>
      <c r="AB848" s="25"/>
    </row>
    <row r="849" spans="2:28">
      <c r="B849" s="40"/>
      <c r="C849" s="40"/>
      <c r="D849" s="41"/>
      <c r="E849" s="42"/>
      <c r="F849" s="42"/>
      <c r="G849" s="43" t="s">
        <v>154</v>
      </c>
      <c r="H849" s="42" t="s">
        <v>155</v>
      </c>
      <c r="I849" s="43"/>
      <c r="J849" s="43"/>
      <c r="K849" s="25" t="e">
        <f>VLOOKUP(J849,Key!$E$2:$F$9,2,FALSE)</f>
        <v>#N/A</v>
      </c>
      <c r="L849" s="42"/>
      <c r="M849" s="43" t="s">
        <v>154</v>
      </c>
      <c r="N849" s="42" t="s">
        <v>155</v>
      </c>
      <c r="O849" s="43"/>
      <c r="P849" s="43"/>
      <c r="Q849" s="25" t="e">
        <f>VLOOKUP(P849,Key!$E$2:$F$9,2,FALSE)</f>
        <v>#N/A</v>
      </c>
      <c r="R849" s="25" t="e">
        <f t="shared" si="13"/>
        <v>#N/A</v>
      </c>
      <c r="S849" s="58"/>
      <c r="T849" s="58"/>
      <c r="U849" s="43"/>
      <c r="V849" s="43"/>
      <c r="W849" s="58"/>
      <c r="X849" s="58"/>
      <c r="Y849" s="59" t="s">
        <v>156</v>
      </c>
      <c r="Z849" s="60"/>
      <c r="AA849" s="25"/>
      <c r="AB849" s="25"/>
    </row>
    <row r="850" spans="2:28">
      <c r="B850" s="40"/>
      <c r="C850" s="40"/>
      <c r="D850" s="41"/>
      <c r="E850" s="42"/>
      <c r="F850" s="42"/>
      <c r="G850" s="43" t="s">
        <v>154</v>
      </c>
      <c r="H850" s="42" t="s">
        <v>155</v>
      </c>
      <c r="I850" s="43"/>
      <c r="J850" s="43"/>
      <c r="K850" s="25" t="e">
        <f>VLOOKUP(J850,Key!$E$2:$F$9,2,FALSE)</f>
        <v>#N/A</v>
      </c>
      <c r="L850" s="42"/>
      <c r="M850" s="43" t="s">
        <v>154</v>
      </c>
      <c r="N850" s="42" t="s">
        <v>155</v>
      </c>
      <c r="O850" s="43"/>
      <c r="P850" s="43"/>
      <c r="Q850" s="25" t="e">
        <f>VLOOKUP(P850,Key!$E$2:$F$9,2,FALSE)</f>
        <v>#N/A</v>
      </c>
      <c r="R850" s="25" t="e">
        <f t="shared" si="13"/>
        <v>#N/A</v>
      </c>
      <c r="S850" s="58"/>
      <c r="T850" s="58"/>
      <c r="U850" s="43"/>
      <c r="V850" s="43"/>
      <c r="W850" s="58"/>
      <c r="X850" s="58"/>
      <c r="Y850" s="59" t="s">
        <v>156</v>
      </c>
      <c r="Z850" s="60"/>
      <c r="AA850" s="25"/>
      <c r="AB850" s="25"/>
    </row>
    <row r="851" spans="2:28">
      <c r="B851" s="40"/>
      <c r="C851" s="40"/>
      <c r="D851" s="41"/>
      <c r="E851" s="42"/>
      <c r="F851" s="42"/>
      <c r="G851" s="43" t="s">
        <v>154</v>
      </c>
      <c r="H851" s="42" t="s">
        <v>155</v>
      </c>
      <c r="I851" s="43"/>
      <c r="J851" s="43"/>
      <c r="K851" s="25" t="e">
        <f>VLOOKUP(J851,Key!$E$2:$F$9,2,FALSE)</f>
        <v>#N/A</v>
      </c>
      <c r="L851" s="42"/>
      <c r="M851" s="43" t="s">
        <v>154</v>
      </c>
      <c r="N851" s="42" t="s">
        <v>155</v>
      </c>
      <c r="O851" s="43"/>
      <c r="P851" s="43"/>
      <c r="Q851" s="25" t="e">
        <f>VLOOKUP(P851,Key!$E$2:$F$9,2,FALSE)</f>
        <v>#N/A</v>
      </c>
      <c r="R851" s="25" t="e">
        <f t="shared" si="13"/>
        <v>#N/A</v>
      </c>
      <c r="S851" s="58"/>
      <c r="T851" s="58"/>
      <c r="U851" s="43"/>
      <c r="V851" s="43"/>
      <c r="W851" s="58"/>
      <c r="X851" s="58"/>
      <c r="Y851" s="59" t="s">
        <v>156</v>
      </c>
      <c r="Z851" s="60"/>
      <c r="AA851" s="25"/>
      <c r="AB851" s="25"/>
    </row>
    <row r="852" spans="2:28">
      <c r="B852" s="40"/>
      <c r="C852" s="40"/>
      <c r="D852" s="41"/>
      <c r="E852" s="42"/>
      <c r="F852" s="42"/>
      <c r="G852" s="43" t="s">
        <v>154</v>
      </c>
      <c r="H852" s="42" t="s">
        <v>155</v>
      </c>
      <c r="I852" s="43"/>
      <c r="J852" s="43"/>
      <c r="K852" s="25" t="e">
        <f>VLOOKUP(J852,Key!$E$2:$F$9,2,FALSE)</f>
        <v>#N/A</v>
      </c>
      <c r="L852" s="42"/>
      <c r="M852" s="43" t="s">
        <v>154</v>
      </c>
      <c r="N852" s="42" t="s">
        <v>155</v>
      </c>
      <c r="O852" s="43"/>
      <c r="P852" s="43"/>
      <c r="Q852" s="25" t="e">
        <f>VLOOKUP(P852,Key!$E$2:$F$9,2,FALSE)</f>
        <v>#N/A</v>
      </c>
      <c r="R852" s="25" t="e">
        <f t="shared" si="13"/>
        <v>#N/A</v>
      </c>
      <c r="S852" s="58"/>
      <c r="T852" s="58"/>
      <c r="U852" s="43"/>
      <c r="V852" s="43"/>
      <c r="W852" s="58"/>
      <c r="X852" s="58"/>
      <c r="Y852" s="59" t="s">
        <v>156</v>
      </c>
      <c r="Z852" s="60"/>
      <c r="AA852" s="25"/>
      <c r="AB852" s="25"/>
    </row>
    <row r="853" spans="2:28">
      <c r="B853" s="40"/>
      <c r="C853" s="40"/>
      <c r="D853" s="41"/>
      <c r="E853" s="42"/>
      <c r="F853" s="42"/>
      <c r="G853" s="43" t="s">
        <v>154</v>
      </c>
      <c r="H853" s="42" t="s">
        <v>155</v>
      </c>
      <c r="I853" s="43"/>
      <c r="J853" s="43"/>
      <c r="K853" s="25" t="e">
        <f>VLOOKUP(J853,Key!$E$2:$F$9,2,FALSE)</f>
        <v>#N/A</v>
      </c>
      <c r="L853" s="42"/>
      <c r="M853" s="43" t="s">
        <v>154</v>
      </c>
      <c r="N853" s="42" t="s">
        <v>155</v>
      </c>
      <c r="O853" s="43"/>
      <c r="P853" s="43"/>
      <c r="Q853" s="25" t="e">
        <f>VLOOKUP(P853,Key!$E$2:$F$9,2,FALSE)</f>
        <v>#N/A</v>
      </c>
      <c r="R853" s="25" t="e">
        <f t="shared" si="13"/>
        <v>#N/A</v>
      </c>
      <c r="S853" s="58"/>
      <c r="T853" s="58"/>
      <c r="U853" s="43"/>
      <c r="V853" s="43"/>
      <c r="W853" s="58"/>
      <c r="X853" s="58"/>
      <c r="Y853" s="59" t="s">
        <v>156</v>
      </c>
      <c r="Z853" s="60"/>
      <c r="AA853" s="25"/>
      <c r="AB853" s="25"/>
    </row>
    <row r="854" spans="2:28">
      <c r="B854" s="40"/>
      <c r="C854" s="40"/>
      <c r="D854" s="41"/>
      <c r="E854" s="42"/>
      <c r="F854" s="42"/>
      <c r="G854" s="43" t="s">
        <v>154</v>
      </c>
      <c r="H854" s="42" t="s">
        <v>155</v>
      </c>
      <c r="I854" s="43"/>
      <c r="J854" s="43"/>
      <c r="K854" s="25" t="e">
        <f>VLOOKUP(J854,Key!$E$2:$F$9,2,FALSE)</f>
        <v>#N/A</v>
      </c>
      <c r="L854" s="42"/>
      <c r="M854" s="43" t="s">
        <v>154</v>
      </c>
      <c r="N854" s="42" t="s">
        <v>155</v>
      </c>
      <c r="O854" s="43"/>
      <c r="P854" s="43"/>
      <c r="Q854" s="25" t="e">
        <f>VLOOKUP(P854,Key!$E$2:$F$9,2,FALSE)</f>
        <v>#N/A</v>
      </c>
      <c r="R854" s="25" t="e">
        <f t="shared" si="13"/>
        <v>#N/A</v>
      </c>
      <c r="S854" s="58"/>
      <c r="T854" s="58"/>
      <c r="U854" s="43"/>
      <c r="V854" s="43"/>
      <c r="W854" s="58"/>
      <c r="X854" s="58"/>
      <c r="Y854" s="59" t="s">
        <v>156</v>
      </c>
      <c r="Z854" s="60"/>
      <c r="AA854" s="25"/>
      <c r="AB854" s="25"/>
    </row>
    <row r="855" spans="2:28">
      <c r="B855" s="40"/>
      <c r="C855" s="40"/>
      <c r="D855" s="41"/>
      <c r="E855" s="42"/>
      <c r="F855" s="42"/>
      <c r="G855" s="43" t="s">
        <v>154</v>
      </c>
      <c r="H855" s="42" t="s">
        <v>155</v>
      </c>
      <c r="I855" s="43"/>
      <c r="J855" s="43"/>
      <c r="K855" s="25" t="e">
        <f>VLOOKUP(J855,Key!$E$2:$F$9,2,FALSE)</f>
        <v>#N/A</v>
      </c>
      <c r="L855" s="42"/>
      <c r="M855" s="43" t="s">
        <v>154</v>
      </c>
      <c r="N855" s="42" t="s">
        <v>155</v>
      </c>
      <c r="O855" s="43"/>
      <c r="P855" s="43"/>
      <c r="Q855" s="25" t="e">
        <f>VLOOKUP(P855,Key!$E$2:$F$9,2,FALSE)</f>
        <v>#N/A</v>
      </c>
      <c r="R855" s="25" t="e">
        <f t="shared" si="13"/>
        <v>#N/A</v>
      </c>
      <c r="S855" s="58"/>
      <c r="T855" s="58"/>
      <c r="U855" s="43"/>
      <c r="V855" s="43"/>
      <c r="W855" s="58"/>
      <c r="X855" s="58"/>
      <c r="Y855" s="59" t="s">
        <v>156</v>
      </c>
      <c r="Z855" s="60"/>
      <c r="AA855" s="25"/>
      <c r="AB855" s="25"/>
    </row>
    <row r="856" spans="2:28">
      <c r="B856" s="40"/>
      <c r="C856" s="40"/>
      <c r="D856" s="41"/>
      <c r="E856" s="42"/>
      <c r="F856" s="42"/>
      <c r="G856" s="43" t="s">
        <v>154</v>
      </c>
      <c r="H856" s="42" t="s">
        <v>155</v>
      </c>
      <c r="I856" s="43"/>
      <c r="J856" s="43"/>
      <c r="K856" s="25" t="e">
        <f>VLOOKUP(J856,Key!$E$2:$F$9,2,FALSE)</f>
        <v>#N/A</v>
      </c>
      <c r="L856" s="42"/>
      <c r="M856" s="43" t="s">
        <v>154</v>
      </c>
      <c r="N856" s="42" t="s">
        <v>155</v>
      </c>
      <c r="O856" s="43"/>
      <c r="P856" s="43"/>
      <c r="Q856" s="25" t="e">
        <f>VLOOKUP(P856,Key!$E$2:$F$9,2,FALSE)</f>
        <v>#N/A</v>
      </c>
      <c r="R856" s="25" t="e">
        <f t="shared" si="13"/>
        <v>#N/A</v>
      </c>
      <c r="S856" s="58"/>
      <c r="T856" s="58"/>
      <c r="U856" s="43"/>
      <c r="V856" s="43"/>
      <c r="W856" s="58"/>
      <c r="X856" s="58"/>
      <c r="Y856" s="59" t="s">
        <v>156</v>
      </c>
      <c r="Z856" s="60"/>
      <c r="AA856" s="25"/>
      <c r="AB856" s="25"/>
    </row>
    <row r="857" spans="2:28">
      <c r="B857" s="40"/>
      <c r="C857" s="40"/>
      <c r="D857" s="41"/>
      <c r="E857" s="42"/>
      <c r="F857" s="42"/>
      <c r="G857" s="43" t="s">
        <v>154</v>
      </c>
      <c r="H857" s="42" t="s">
        <v>155</v>
      </c>
      <c r="I857" s="43"/>
      <c r="J857" s="43"/>
      <c r="K857" s="25" t="e">
        <f>VLOOKUP(J857,Key!$E$2:$F$9,2,FALSE)</f>
        <v>#N/A</v>
      </c>
      <c r="L857" s="42"/>
      <c r="M857" s="43" t="s">
        <v>154</v>
      </c>
      <c r="N857" s="42" t="s">
        <v>155</v>
      </c>
      <c r="O857" s="43"/>
      <c r="P857" s="43"/>
      <c r="Q857" s="25" t="e">
        <f>VLOOKUP(P857,Key!$E$2:$F$9,2,FALSE)</f>
        <v>#N/A</v>
      </c>
      <c r="R857" s="25" t="e">
        <f t="shared" si="13"/>
        <v>#N/A</v>
      </c>
      <c r="S857" s="58"/>
      <c r="T857" s="58"/>
      <c r="U857" s="43"/>
      <c r="V857" s="43"/>
      <c r="W857" s="58"/>
      <c r="X857" s="58"/>
      <c r="Y857" s="59" t="s">
        <v>156</v>
      </c>
      <c r="Z857" s="60"/>
      <c r="AA857" s="25"/>
      <c r="AB857" s="25"/>
    </row>
    <row r="858" spans="2:28">
      <c r="B858" s="40"/>
      <c r="C858" s="40"/>
      <c r="D858" s="41"/>
      <c r="E858" s="42"/>
      <c r="F858" s="42"/>
      <c r="G858" s="43" t="s">
        <v>154</v>
      </c>
      <c r="H858" s="42" t="s">
        <v>155</v>
      </c>
      <c r="I858" s="43"/>
      <c r="J858" s="43"/>
      <c r="K858" s="25" t="e">
        <f>VLOOKUP(J858,Key!$E$2:$F$9,2,FALSE)</f>
        <v>#N/A</v>
      </c>
      <c r="L858" s="42"/>
      <c r="M858" s="43" t="s">
        <v>154</v>
      </c>
      <c r="N858" s="42" t="s">
        <v>155</v>
      </c>
      <c r="O858" s="43"/>
      <c r="P858" s="43"/>
      <c r="Q858" s="25" t="e">
        <f>VLOOKUP(P858,Key!$E$2:$F$9,2,FALSE)</f>
        <v>#N/A</v>
      </c>
      <c r="R858" s="25" t="e">
        <f t="shared" si="13"/>
        <v>#N/A</v>
      </c>
      <c r="S858" s="58"/>
      <c r="T858" s="58"/>
      <c r="U858" s="43"/>
      <c r="V858" s="43"/>
      <c r="W858" s="58"/>
      <c r="X858" s="58"/>
      <c r="Y858" s="59" t="s">
        <v>156</v>
      </c>
      <c r="Z858" s="60"/>
      <c r="AA858" s="25"/>
      <c r="AB858" s="25"/>
    </row>
    <row r="859" spans="2:28">
      <c r="B859" s="40"/>
      <c r="C859" s="40"/>
      <c r="D859" s="41"/>
      <c r="E859" s="42"/>
      <c r="F859" s="42"/>
      <c r="G859" s="43" t="s">
        <v>154</v>
      </c>
      <c r="H859" s="42" t="s">
        <v>155</v>
      </c>
      <c r="I859" s="43"/>
      <c r="J859" s="43"/>
      <c r="K859" s="25" t="e">
        <f>VLOOKUP(J859,Key!$E$2:$F$9,2,FALSE)</f>
        <v>#N/A</v>
      </c>
      <c r="L859" s="42"/>
      <c r="M859" s="43" t="s">
        <v>154</v>
      </c>
      <c r="N859" s="42" t="s">
        <v>155</v>
      </c>
      <c r="O859" s="43"/>
      <c r="P859" s="43"/>
      <c r="Q859" s="25" t="e">
        <f>VLOOKUP(P859,Key!$E$2:$F$9,2,FALSE)</f>
        <v>#N/A</v>
      </c>
      <c r="R859" s="25" t="e">
        <f t="shared" si="13"/>
        <v>#N/A</v>
      </c>
      <c r="S859" s="58"/>
      <c r="T859" s="58"/>
      <c r="U859" s="43"/>
      <c r="V859" s="43"/>
      <c r="W859" s="58"/>
      <c r="X859" s="58"/>
      <c r="Y859" s="59" t="s">
        <v>156</v>
      </c>
      <c r="Z859" s="60"/>
      <c r="AA859" s="25"/>
      <c r="AB859" s="25"/>
    </row>
    <row r="860" spans="2:28">
      <c r="B860" s="40"/>
      <c r="C860" s="40"/>
      <c r="D860" s="41"/>
      <c r="E860" s="42"/>
      <c r="F860" s="42"/>
      <c r="G860" s="43" t="s">
        <v>154</v>
      </c>
      <c r="H860" s="42" t="s">
        <v>155</v>
      </c>
      <c r="I860" s="43"/>
      <c r="J860" s="43"/>
      <c r="K860" s="25" t="e">
        <f>VLOOKUP(J860,Key!$E$2:$F$9,2,FALSE)</f>
        <v>#N/A</v>
      </c>
      <c r="L860" s="42"/>
      <c r="M860" s="43" t="s">
        <v>154</v>
      </c>
      <c r="N860" s="42" t="s">
        <v>155</v>
      </c>
      <c r="O860" s="43"/>
      <c r="P860" s="43"/>
      <c r="Q860" s="25" t="e">
        <f>VLOOKUP(P860,Key!$E$2:$F$9,2,FALSE)</f>
        <v>#N/A</v>
      </c>
      <c r="R860" s="25" t="e">
        <f t="shared" si="13"/>
        <v>#N/A</v>
      </c>
      <c r="S860" s="58"/>
      <c r="T860" s="58"/>
      <c r="U860" s="43"/>
      <c r="V860" s="43"/>
      <c r="W860" s="58"/>
      <c r="X860" s="58"/>
      <c r="Y860" s="59" t="s">
        <v>156</v>
      </c>
      <c r="Z860" s="60"/>
      <c r="AA860" s="25"/>
      <c r="AB860" s="25"/>
    </row>
    <row r="861" spans="2:28">
      <c r="B861" s="40"/>
      <c r="C861" s="40"/>
      <c r="D861" s="41"/>
      <c r="E861" s="42"/>
      <c r="F861" s="42"/>
      <c r="G861" s="43" t="s">
        <v>154</v>
      </c>
      <c r="H861" s="42" t="s">
        <v>155</v>
      </c>
      <c r="I861" s="43"/>
      <c r="J861" s="43"/>
      <c r="K861" s="25" t="e">
        <f>VLOOKUP(J861,Key!$E$2:$F$9,2,FALSE)</f>
        <v>#N/A</v>
      </c>
      <c r="L861" s="42"/>
      <c r="M861" s="43" t="s">
        <v>154</v>
      </c>
      <c r="N861" s="42" t="s">
        <v>155</v>
      </c>
      <c r="O861" s="43"/>
      <c r="P861" s="43"/>
      <c r="Q861" s="25" t="e">
        <f>VLOOKUP(P861,Key!$E$2:$F$9,2,FALSE)</f>
        <v>#N/A</v>
      </c>
      <c r="R861" s="25" t="e">
        <f t="shared" si="13"/>
        <v>#N/A</v>
      </c>
      <c r="S861" s="58"/>
      <c r="T861" s="58"/>
      <c r="U861" s="43"/>
      <c r="V861" s="43"/>
      <c r="W861" s="58"/>
      <c r="X861" s="58"/>
      <c r="Y861" s="59" t="s">
        <v>156</v>
      </c>
      <c r="Z861" s="60"/>
      <c r="AA861" s="25"/>
      <c r="AB861" s="25"/>
    </row>
    <row r="862" spans="2:28">
      <c r="B862" s="40"/>
      <c r="C862" s="40"/>
      <c r="D862" s="41"/>
      <c r="E862" s="42"/>
      <c r="F862" s="42"/>
      <c r="G862" s="43" t="s">
        <v>154</v>
      </c>
      <c r="H862" s="42" t="s">
        <v>155</v>
      </c>
      <c r="I862" s="43"/>
      <c r="J862" s="43"/>
      <c r="K862" s="25" t="e">
        <f>VLOOKUP(J862,Key!$E$2:$F$9,2,FALSE)</f>
        <v>#N/A</v>
      </c>
      <c r="L862" s="42"/>
      <c r="M862" s="43" t="s">
        <v>154</v>
      </c>
      <c r="N862" s="42" t="s">
        <v>155</v>
      </c>
      <c r="O862" s="43"/>
      <c r="P862" s="43"/>
      <c r="Q862" s="25" t="e">
        <f>VLOOKUP(P862,Key!$E$2:$F$9,2,FALSE)</f>
        <v>#N/A</v>
      </c>
      <c r="R862" s="25" t="e">
        <f t="shared" si="13"/>
        <v>#N/A</v>
      </c>
      <c r="S862" s="58"/>
      <c r="T862" s="58"/>
      <c r="U862" s="43"/>
      <c r="V862" s="43"/>
      <c r="W862" s="58"/>
      <c r="X862" s="58"/>
      <c r="Y862" s="59" t="s">
        <v>156</v>
      </c>
      <c r="Z862" s="60"/>
      <c r="AA862" s="25"/>
      <c r="AB862" s="25"/>
    </row>
    <row r="863" spans="2:28">
      <c r="B863" s="40"/>
      <c r="C863" s="40"/>
      <c r="D863" s="41"/>
      <c r="E863" s="42"/>
      <c r="F863" s="42"/>
      <c r="G863" s="43" t="s">
        <v>154</v>
      </c>
      <c r="H863" s="42" t="s">
        <v>155</v>
      </c>
      <c r="I863" s="43"/>
      <c r="J863" s="43"/>
      <c r="K863" s="25" t="e">
        <f>VLOOKUP(J863,Key!$E$2:$F$9,2,FALSE)</f>
        <v>#N/A</v>
      </c>
      <c r="L863" s="42"/>
      <c r="M863" s="43" t="s">
        <v>154</v>
      </c>
      <c r="N863" s="42" t="s">
        <v>155</v>
      </c>
      <c r="O863" s="43"/>
      <c r="P863" s="43"/>
      <c r="Q863" s="25" t="e">
        <f>VLOOKUP(P863,Key!$E$2:$F$9,2,FALSE)</f>
        <v>#N/A</v>
      </c>
      <c r="R863" s="25" t="e">
        <f t="shared" si="13"/>
        <v>#N/A</v>
      </c>
      <c r="S863" s="58"/>
      <c r="T863" s="58"/>
      <c r="U863" s="43"/>
      <c r="V863" s="43"/>
      <c r="W863" s="58"/>
      <c r="X863" s="58"/>
      <c r="Y863" s="59" t="s">
        <v>156</v>
      </c>
      <c r="Z863" s="60"/>
      <c r="AA863" s="25"/>
      <c r="AB863" s="25"/>
    </row>
    <row r="864" spans="2:28">
      <c r="B864" s="40"/>
      <c r="C864" s="40"/>
      <c r="D864" s="41"/>
      <c r="E864" s="42"/>
      <c r="F864" s="42"/>
      <c r="G864" s="43" t="s">
        <v>154</v>
      </c>
      <c r="H864" s="42" t="s">
        <v>155</v>
      </c>
      <c r="I864" s="43"/>
      <c r="J864" s="43"/>
      <c r="K864" s="25" t="e">
        <f>VLOOKUP(J864,Key!$E$2:$F$9,2,FALSE)</f>
        <v>#N/A</v>
      </c>
      <c r="L864" s="42"/>
      <c r="M864" s="43" t="s">
        <v>154</v>
      </c>
      <c r="N864" s="42" t="s">
        <v>155</v>
      </c>
      <c r="O864" s="43"/>
      <c r="P864" s="43"/>
      <c r="Q864" s="25" t="e">
        <f>VLOOKUP(P864,Key!$E$2:$F$9,2,FALSE)</f>
        <v>#N/A</v>
      </c>
      <c r="R864" s="25" t="e">
        <f t="shared" si="13"/>
        <v>#N/A</v>
      </c>
      <c r="S864" s="58"/>
      <c r="T864" s="58"/>
      <c r="U864" s="43"/>
      <c r="V864" s="43"/>
      <c r="W864" s="58"/>
      <c r="X864" s="58"/>
      <c r="Y864" s="59" t="s">
        <v>156</v>
      </c>
      <c r="Z864" s="60"/>
      <c r="AA864" s="25"/>
      <c r="AB864" s="25"/>
    </row>
    <row r="865" spans="2:28">
      <c r="B865" s="40"/>
      <c r="C865" s="40"/>
      <c r="D865" s="41"/>
      <c r="E865" s="42"/>
      <c r="F865" s="42"/>
      <c r="G865" s="43" t="s">
        <v>154</v>
      </c>
      <c r="H865" s="42" t="s">
        <v>155</v>
      </c>
      <c r="I865" s="43"/>
      <c r="J865" s="43"/>
      <c r="K865" s="25" t="e">
        <f>VLOOKUP(J865,Key!$E$2:$F$9,2,FALSE)</f>
        <v>#N/A</v>
      </c>
      <c r="L865" s="42"/>
      <c r="M865" s="43" t="s">
        <v>154</v>
      </c>
      <c r="N865" s="42" t="s">
        <v>155</v>
      </c>
      <c r="O865" s="43"/>
      <c r="P865" s="43"/>
      <c r="Q865" s="25" t="e">
        <f>VLOOKUP(P865,Key!$E$2:$F$9,2,FALSE)</f>
        <v>#N/A</v>
      </c>
      <c r="R865" s="25" t="e">
        <f t="shared" si="13"/>
        <v>#N/A</v>
      </c>
      <c r="S865" s="58"/>
      <c r="T865" s="58"/>
      <c r="U865" s="43"/>
      <c r="V865" s="43"/>
      <c r="W865" s="58"/>
      <c r="X865" s="58"/>
      <c r="Y865" s="59" t="s">
        <v>156</v>
      </c>
      <c r="Z865" s="60"/>
      <c r="AA865" s="25"/>
      <c r="AB865" s="25"/>
    </row>
    <row r="866" spans="2:28">
      <c r="B866" s="40"/>
      <c r="C866" s="40"/>
      <c r="D866" s="41"/>
      <c r="E866" s="42"/>
      <c r="F866" s="42"/>
      <c r="G866" s="43" t="s">
        <v>154</v>
      </c>
      <c r="H866" s="42" t="s">
        <v>155</v>
      </c>
      <c r="I866" s="43"/>
      <c r="J866" s="43"/>
      <c r="K866" s="25" t="e">
        <f>VLOOKUP(J866,Key!$E$2:$F$9,2,FALSE)</f>
        <v>#N/A</v>
      </c>
      <c r="L866" s="42"/>
      <c r="M866" s="43" t="s">
        <v>154</v>
      </c>
      <c r="N866" s="42" t="s">
        <v>155</v>
      </c>
      <c r="O866" s="43"/>
      <c r="P866" s="43"/>
      <c r="Q866" s="25" t="e">
        <f>VLOOKUP(P866,Key!$E$2:$F$9,2,FALSE)</f>
        <v>#N/A</v>
      </c>
      <c r="R866" s="25" t="e">
        <f t="shared" si="13"/>
        <v>#N/A</v>
      </c>
      <c r="S866" s="58"/>
      <c r="T866" s="58"/>
      <c r="U866" s="43"/>
      <c r="V866" s="43"/>
      <c r="W866" s="58"/>
      <c r="X866" s="58"/>
      <c r="Y866" s="59" t="s">
        <v>156</v>
      </c>
      <c r="Z866" s="60"/>
      <c r="AA866" s="25"/>
      <c r="AB866" s="25"/>
    </row>
    <row r="867" spans="2:28">
      <c r="B867" s="40"/>
      <c r="C867" s="40"/>
      <c r="D867" s="41"/>
      <c r="E867" s="42"/>
      <c r="F867" s="42"/>
      <c r="G867" s="43" t="s">
        <v>154</v>
      </c>
      <c r="H867" s="42" t="s">
        <v>155</v>
      </c>
      <c r="I867" s="43"/>
      <c r="J867" s="43"/>
      <c r="K867" s="25" t="e">
        <f>VLOOKUP(J867,Key!$E$2:$F$9,2,FALSE)</f>
        <v>#N/A</v>
      </c>
      <c r="L867" s="42"/>
      <c r="M867" s="43" t="s">
        <v>154</v>
      </c>
      <c r="N867" s="42" t="s">
        <v>155</v>
      </c>
      <c r="O867" s="43"/>
      <c r="P867" s="43"/>
      <c r="Q867" s="25" t="e">
        <f>VLOOKUP(P867,Key!$E$2:$F$9,2,FALSE)</f>
        <v>#N/A</v>
      </c>
      <c r="R867" s="25" t="e">
        <f t="shared" si="13"/>
        <v>#N/A</v>
      </c>
      <c r="S867" s="58"/>
      <c r="T867" s="58"/>
      <c r="U867" s="43"/>
      <c r="V867" s="43"/>
      <c r="W867" s="58"/>
      <c r="X867" s="58"/>
      <c r="Y867" s="59" t="s">
        <v>156</v>
      </c>
      <c r="Z867" s="60"/>
      <c r="AA867" s="25"/>
      <c r="AB867" s="25"/>
    </row>
    <row r="868" spans="2:28">
      <c r="B868" s="40"/>
      <c r="C868" s="40"/>
      <c r="D868" s="41"/>
      <c r="E868" s="42"/>
      <c r="F868" s="42"/>
      <c r="G868" s="43" t="s">
        <v>154</v>
      </c>
      <c r="H868" s="42" t="s">
        <v>155</v>
      </c>
      <c r="I868" s="43"/>
      <c r="J868" s="43"/>
      <c r="K868" s="25" t="e">
        <f>VLOOKUP(J868,Key!$E$2:$F$9,2,FALSE)</f>
        <v>#N/A</v>
      </c>
      <c r="L868" s="42"/>
      <c r="M868" s="43" t="s">
        <v>154</v>
      </c>
      <c r="N868" s="42" t="s">
        <v>155</v>
      </c>
      <c r="O868" s="43"/>
      <c r="P868" s="43"/>
      <c r="Q868" s="25" t="e">
        <f>VLOOKUP(P868,Key!$E$2:$F$9,2,FALSE)</f>
        <v>#N/A</v>
      </c>
      <c r="R868" s="25" t="e">
        <f t="shared" si="13"/>
        <v>#N/A</v>
      </c>
      <c r="S868" s="58"/>
      <c r="T868" s="58"/>
      <c r="U868" s="43"/>
      <c r="V868" s="43"/>
      <c r="W868" s="58"/>
      <c r="X868" s="58"/>
      <c r="Y868" s="59" t="s">
        <v>156</v>
      </c>
      <c r="Z868" s="60"/>
      <c r="AA868" s="25"/>
      <c r="AB868" s="25"/>
    </row>
    <row r="869" spans="2:28">
      <c r="B869" s="40"/>
      <c r="C869" s="40"/>
      <c r="D869" s="41"/>
      <c r="E869" s="42"/>
      <c r="F869" s="42"/>
      <c r="G869" s="43"/>
      <c r="H869" s="42" t="s">
        <v>155</v>
      </c>
      <c r="I869" s="43"/>
      <c r="J869" s="43"/>
      <c r="K869" s="25" t="e">
        <f>VLOOKUP(J869,Key!$E$2:$F$9,2,FALSE)</f>
        <v>#N/A</v>
      </c>
      <c r="L869" s="42"/>
      <c r="M869" s="43" t="s">
        <v>154</v>
      </c>
      <c r="N869" s="42" t="s">
        <v>155</v>
      </c>
      <c r="O869" s="43"/>
      <c r="P869" s="43"/>
      <c r="Q869" s="25" t="e">
        <f>VLOOKUP(P869,Key!$E$2:$F$9,2,FALSE)</f>
        <v>#N/A</v>
      </c>
      <c r="R869" s="25" t="e">
        <f t="shared" si="13"/>
        <v>#N/A</v>
      </c>
      <c r="S869" s="58"/>
      <c r="T869" s="58"/>
      <c r="U869" s="43"/>
      <c r="V869" s="43"/>
      <c r="W869" s="58"/>
      <c r="X869" s="58"/>
      <c r="Y869" s="59" t="s">
        <v>156</v>
      </c>
      <c r="Z869" s="60"/>
      <c r="AA869" s="25"/>
      <c r="AB869" s="25"/>
    </row>
    <row r="870" spans="2:28">
      <c r="B870" s="40"/>
      <c r="C870" s="40"/>
      <c r="D870" s="41"/>
      <c r="E870" s="42"/>
      <c r="F870" s="42"/>
      <c r="G870" s="43"/>
      <c r="H870" s="42" t="s">
        <v>155</v>
      </c>
      <c r="I870" s="43"/>
      <c r="J870" s="43"/>
      <c r="K870" s="25" t="e">
        <f>VLOOKUP(J870,Key!$E$2:$F$9,2,FALSE)</f>
        <v>#N/A</v>
      </c>
      <c r="L870" s="42"/>
      <c r="M870" s="43" t="s">
        <v>154</v>
      </c>
      <c r="N870" s="42" t="s">
        <v>155</v>
      </c>
      <c r="O870" s="43"/>
      <c r="P870" s="43"/>
      <c r="Q870" s="25" t="e">
        <f>VLOOKUP(P870,Key!$E$2:$F$9,2,FALSE)</f>
        <v>#N/A</v>
      </c>
      <c r="R870" s="25" t="e">
        <f t="shared" ref="R870:R933" si="14">K870&amp;"-"&amp;Q870</f>
        <v>#N/A</v>
      </c>
      <c r="S870" s="58"/>
      <c r="T870" s="58"/>
      <c r="U870" s="43"/>
      <c r="V870" s="43"/>
      <c r="W870" s="58"/>
      <c r="X870" s="58"/>
      <c r="Y870" s="59" t="s">
        <v>156</v>
      </c>
      <c r="Z870" s="60"/>
      <c r="AA870" s="25"/>
      <c r="AB870" s="25"/>
    </row>
    <row r="871" spans="2:28">
      <c r="B871" s="40"/>
      <c r="C871" s="40"/>
      <c r="D871" s="41"/>
      <c r="E871" s="42"/>
      <c r="F871" s="42"/>
      <c r="G871" s="43"/>
      <c r="H871" s="42" t="s">
        <v>155</v>
      </c>
      <c r="I871" s="43"/>
      <c r="J871" s="43"/>
      <c r="K871" s="25" t="e">
        <f>VLOOKUP(J871,Key!$E$2:$F$9,2,FALSE)</f>
        <v>#N/A</v>
      </c>
      <c r="L871" s="42"/>
      <c r="M871" s="43" t="s">
        <v>154</v>
      </c>
      <c r="N871" s="42" t="s">
        <v>155</v>
      </c>
      <c r="O871" s="43"/>
      <c r="P871" s="43"/>
      <c r="Q871" s="25" t="e">
        <f>VLOOKUP(P871,Key!$E$2:$F$9,2,FALSE)</f>
        <v>#N/A</v>
      </c>
      <c r="R871" s="25" t="e">
        <f t="shared" si="14"/>
        <v>#N/A</v>
      </c>
      <c r="S871" s="58"/>
      <c r="T871" s="58"/>
      <c r="U871" s="43"/>
      <c r="V871" s="43"/>
      <c r="W871" s="58"/>
      <c r="X871" s="58"/>
      <c r="Y871" s="59" t="s">
        <v>156</v>
      </c>
      <c r="Z871" s="60"/>
      <c r="AA871" s="25"/>
      <c r="AB871" s="25"/>
    </row>
    <row r="872" spans="2:28">
      <c r="B872" s="40"/>
      <c r="C872" s="40"/>
      <c r="D872" s="41"/>
      <c r="E872" s="42"/>
      <c r="F872" s="42"/>
      <c r="G872" s="43"/>
      <c r="H872" s="42" t="s">
        <v>155</v>
      </c>
      <c r="I872" s="43"/>
      <c r="J872" s="43"/>
      <c r="K872" s="25" t="e">
        <f>VLOOKUP(J872,Key!$E$2:$F$9,2,FALSE)</f>
        <v>#N/A</v>
      </c>
      <c r="L872" s="42"/>
      <c r="M872" s="43" t="s">
        <v>154</v>
      </c>
      <c r="N872" s="42" t="s">
        <v>155</v>
      </c>
      <c r="O872" s="43"/>
      <c r="P872" s="43"/>
      <c r="Q872" s="25" t="e">
        <f>VLOOKUP(P872,Key!$E$2:$F$9,2,FALSE)</f>
        <v>#N/A</v>
      </c>
      <c r="R872" s="25" t="e">
        <f t="shared" si="14"/>
        <v>#N/A</v>
      </c>
      <c r="S872" s="58"/>
      <c r="T872" s="58"/>
      <c r="U872" s="43"/>
      <c r="V872" s="43"/>
      <c r="W872" s="58"/>
      <c r="X872" s="58"/>
      <c r="Y872" s="59" t="s">
        <v>156</v>
      </c>
      <c r="Z872" s="60"/>
      <c r="AA872" s="25"/>
      <c r="AB872" s="25"/>
    </row>
    <row r="873" spans="2:28">
      <c r="B873" s="40"/>
      <c r="C873" s="40"/>
      <c r="D873" s="41"/>
      <c r="E873" s="42"/>
      <c r="F873" s="42"/>
      <c r="G873" s="43"/>
      <c r="H873" s="42" t="s">
        <v>155</v>
      </c>
      <c r="I873" s="43"/>
      <c r="J873" s="43"/>
      <c r="K873" s="25" t="e">
        <f>VLOOKUP(J873,Key!$E$2:$F$9,2,FALSE)</f>
        <v>#N/A</v>
      </c>
      <c r="L873" s="42"/>
      <c r="M873" s="43" t="s">
        <v>154</v>
      </c>
      <c r="N873" s="42" t="s">
        <v>155</v>
      </c>
      <c r="O873" s="43"/>
      <c r="P873" s="43"/>
      <c r="Q873" s="25" t="e">
        <f>VLOOKUP(P873,Key!$E$2:$F$9,2,FALSE)</f>
        <v>#N/A</v>
      </c>
      <c r="R873" s="25" t="e">
        <f t="shared" si="14"/>
        <v>#N/A</v>
      </c>
      <c r="S873" s="58"/>
      <c r="T873" s="58"/>
      <c r="U873" s="43"/>
      <c r="V873" s="43"/>
      <c r="W873" s="58"/>
      <c r="X873" s="58"/>
      <c r="Y873" s="59" t="s">
        <v>156</v>
      </c>
      <c r="Z873" s="60"/>
      <c r="AA873" s="25"/>
      <c r="AB873" s="25"/>
    </row>
    <row r="874" spans="2:28">
      <c r="B874" s="40"/>
      <c r="C874" s="40"/>
      <c r="D874" s="41"/>
      <c r="E874" s="42"/>
      <c r="F874" s="42"/>
      <c r="G874" s="43"/>
      <c r="H874" s="42" t="s">
        <v>155</v>
      </c>
      <c r="I874" s="43"/>
      <c r="J874" s="43"/>
      <c r="K874" s="25" t="e">
        <f>VLOOKUP(J874,Key!$E$2:$F$9,2,FALSE)</f>
        <v>#N/A</v>
      </c>
      <c r="L874" s="42"/>
      <c r="M874" s="43" t="s">
        <v>154</v>
      </c>
      <c r="N874" s="42" t="s">
        <v>155</v>
      </c>
      <c r="O874" s="43"/>
      <c r="P874" s="43"/>
      <c r="Q874" s="25" t="e">
        <f>VLOOKUP(P874,Key!$E$2:$F$9,2,FALSE)</f>
        <v>#N/A</v>
      </c>
      <c r="R874" s="25" t="e">
        <f t="shared" si="14"/>
        <v>#N/A</v>
      </c>
      <c r="S874" s="58"/>
      <c r="T874" s="58"/>
      <c r="U874" s="43"/>
      <c r="V874" s="43"/>
      <c r="W874" s="58"/>
      <c r="X874" s="58"/>
      <c r="Y874" s="59" t="s">
        <v>156</v>
      </c>
      <c r="Z874" s="60"/>
      <c r="AA874" s="25"/>
      <c r="AB874" s="25"/>
    </row>
    <row r="875" spans="2:28">
      <c r="B875" s="40"/>
      <c r="C875" s="40"/>
      <c r="D875" s="41"/>
      <c r="E875" s="42"/>
      <c r="F875" s="42"/>
      <c r="G875" s="43"/>
      <c r="H875" s="42" t="s">
        <v>155</v>
      </c>
      <c r="I875" s="43"/>
      <c r="J875" s="43"/>
      <c r="K875" s="25" t="e">
        <f>VLOOKUP(J875,Key!$E$2:$F$9,2,FALSE)</f>
        <v>#N/A</v>
      </c>
      <c r="L875" s="42"/>
      <c r="M875" s="43" t="s">
        <v>154</v>
      </c>
      <c r="N875" s="42" t="s">
        <v>155</v>
      </c>
      <c r="O875" s="43"/>
      <c r="P875" s="43"/>
      <c r="Q875" s="25" t="e">
        <f>VLOOKUP(P875,Key!$E$2:$F$9,2,FALSE)</f>
        <v>#N/A</v>
      </c>
      <c r="R875" s="25" t="e">
        <f t="shared" si="14"/>
        <v>#N/A</v>
      </c>
      <c r="S875" s="58"/>
      <c r="T875" s="58"/>
      <c r="U875" s="43"/>
      <c r="V875" s="43"/>
      <c r="W875" s="58"/>
      <c r="X875" s="58"/>
      <c r="Y875" s="59" t="s">
        <v>156</v>
      </c>
      <c r="Z875" s="60"/>
      <c r="AA875" s="25"/>
      <c r="AB875" s="25"/>
    </row>
    <row r="876" spans="2:28">
      <c r="B876" s="40"/>
      <c r="C876" s="40"/>
      <c r="D876" s="41"/>
      <c r="E876" s="42"/>
      <c r="F876" s="42"/>
      <c r="G876" s="43"/>
      <c r="H876" s="42" t="s">
        <v>155</v>
      </c>
      <c r="I876" s="43"/>
      <c r="J876" s="43"/>
      <c r="K876" s="25" t="e">
        <f>VLOOKUP(J876,Key!$E$2:$F$9,2,FALSE)</f>
        <v>#N/A</v>
      </c>
      <c r="L876" s="42"/>
      <c r="M876" s="43" t="s">
        <v>154</v>
      </c>
      <c r="N876" s="42" t="s">
        <v>155</v>
      </c>
      <c r="O876" s="43"/>
      <c r="P876" s="43"/>
      <c r="Q876" s="25" t="e">
        <f>VLOOKUP(P876,Key!$E$2:$F$9,2,FALSE)</f>
        <v>#N/A</v>
      </c>
      <c r="R876" s="25" t="e">
        <f t="shared" si="14"/>
        <v>#N/A</v>
      </c>
      <c r="S876" s="58"/>
      <c r="T876" s="58"/>
      <c r="U876" s="43"/>
      <c r="V876" s="43"/>
      <c r="W876" s="58"/>
      <c r="X876" s="58"/>
      <c r="Y876" s="59" t="s">
        <v>156</v>
      </c>
      <c r="Z876" s="60"/>
      <c r="AA876" s="25"/>
      <c r="AB876" s="25"/>
    </row>
    <row r="877" spans="2:28">
      <c r="B877" s="40"/>
      <c r="C877" s="40"/>
      <c r="D877" s="41"/>
      <c r="E877" s="42"/>
      <c r="F877" s="42"/>
      <c r="G877" s="43"/>
      <c r="H877" s="42" t="s">
        <v>155</v>
      </c>
      <c r="I877" s="43"/>
      <c r="J877" s="43"/>
      <c r="K877" s="25" t="e">
        <f>VLOOKUP(J877,Key!$E$2:$F$9,2,FALSE)</f>
        <v>#N/A</v>
      </c>
      <c r="L877" s="42"/>
      <c r="M877" s="43" t="s">
        <v>154</v>
      </c>
      <c r="N877" s="42" t="s">
        <v>155</v>
      </c>
      <c r="O877" s="43"/>
      <c r="P877" s="43"/>
      <c r="Q877" s="25" t="e">
        <f>VLOOKUP(P877,Key!$E$2:$F$9,2,FALSE)</f>
        <v>#N/A</v>
      </c>
      <c r="R877" s="25" t="e">
        <f t="shared" si="14"/>
        <v>#N/A</v>
      </c>
      <c r="S877" s="58"/>
      <c r="T877" s="58"/>
      <c r="U877" s="43"/>
      <c r="V877" s="43"/>
      <c r="W877" s="58"/>
      <c r="X877" s="58"/>
      <c r="Y877" s="59" t="s">
        <v>156</v>
      </c>
      <c r="Z877" s="60"/>
      <c r="AA877" s="25"/>
      <c r="AB877" s="25"/>
    </row>
    <row r="878" spans="2:28">
      <c r="B878" s="40"/>
      <c r="C878" s="40"/>
      <c r="D878" s="41"/>
      <c r="E878" s="42"/>
      <c r="F878" s="42"/>
      <c r="G878" s="43"/>
      <c r="H878" s="42" t="s">
        <v>155</v>
      </c>
      <c r="I878" s="43"/>
      <c r="J878" s="43"/>
      <c r="K878" s="25" t="e">
        <f>VLOOKUP(J878,Key!$E$2:$F$9,2,FALSE)</f>
        <v>#N/A</v>
      </c>
      <c r="L878" s="42"/>
      <c r="M878" s="43" t="s">
        <v>154</v>
      </c>
      <c r="N878" s="42" t="s">
        <v>155</v>
      </c>
      <c r="O878" s="43"/>
      <c r="P878" s="43"/>
      <c r="Q878" s="25" t="e">
        <f>VLOOKUP(P878,Key!$E$2:$F$9,2,FALSE)</f>
        <v>#N/A</v>
      </c>
      <c r="R878" s="25" t="e">
        <f t="shared" si="14"/>
        <v>#N/A</v>
      </c>
      <c r="S878" s="58"/>
      <c r="T878" s="58"/>
      <c r="U878" s="43"/>
      <c r="V878" s="43"/>
      <c r="W878" s="58"/>
      <c r="X878" s="58"/>
      <c r="Y878" s="59" t="s">
        <v>156</v>
      </c>
      <c r="Z878" s="60"/>
      <c r="AA878" s="25"/>
      <c r="AB878" s="25"/>
    </row>
    <row r="879" spans="2:28">
      <c r="B879" s="40"/>
      <c r="C879" s="40"/>
      <c r="D879" s="41"/>
      <c r="E879" s="42"/>
      <c r="F879" s="42"/>
      <c r="G879" s="43"/>
      <c r="H879" s="42" t="s">
        <v>155</v>
      </c>
      <c r="I879" s="43"/>
      <c r="J879" s="43"/>
      <c r="K879" s="25" t="e">
        <f>VLOOKUP(J879,Key!$E$2:$F$9,2,FALSE)</f>
        <v>#N/A</v>
      </c>
      <c r="L879" s="42"/>
      <c r="M879" s="43" t="s">
        <v>154</v>
      </c>
      <c r="N879" s="42" t="s">
        <v>155</v>
      </c>
      <c r="O879" s="43"/>
      <c r="P879" s="43"/>
      <c r="Q879" s="25" t="e">
        <f>VLOOKUP(P879,Key!$E$2:$F$9,2,FALSE)</f>
        <v>#N/A</v>
      </c>
      <c r="R879" s="25" t="e">
        <f t="shared" si="14"/>
        <v>#N/A</v>
      </c>
      <c r="S879" s="58"/>
      <c r="T879" s="58"/>
      <c r="U879" s="43"/>
      <c r="V879" s="43"/>
      <c r="W879" s="58"/>
      <c r="X879" s="58"/>
      <c r="Y879" s="59" t="s">
        <v>156</v>
      </c>
      <c r="Z879" s="60"/>
      <c r="AA879" s="25"/>
      <c r="AB879" s="25"/>
    </row>
    <row r="880" spans="2:28">
      <c r="B880" s="40"/>
      <c r="C880" s="40"/>
      <c r="D880" s="41"/>
      <c r="E880" s="42"/>
      <c r="F880" s="42"/>
      <c r="G880" s="43"/>
      <c r="H880" s="42" t="s">
        <v>155</v>
      </c>
      <c r="I880" s="43"/>
      <c r="J880" s="43"/>
      <c r="K880" s="25" t="e">
        <f>VLOOKUP(J880,Key!$E$2:$F$9,2,FALSE)</f>
        <v>#N/A</v>
      </c>
      <c r="L880" s="42"/>
      <c r="M880" s="43" t="s">
        <v>154</v>
      </c>
      <c r="N880" s="42" t="s">
        <v>155</v>
      </c>
      <c r="O880" s="43"/>
      <c r="P880" s="43"/>
      <c r="Q880" s="25" t="e">
        <f>VLOOKUP(P880,Key!$E$2:$F$9,2,FALSE)</f>
        <v>#N/A</v>
      </c>
      <c r="R880" s="25" t="e">
        <f t="shared" si="14"/>
        <v>#N/A</v>
      </c>
      <c r="S880" s="58"/>
      <c r="T880" s="58"/>
      <c r="U880" s="43"/>
      <c r="V880" s="43"/>
      <c r="W880" s="58"/>
      <c r="X880" s="58"/>
      <c r="Y880" s="59" t="s">
        <v>156</v>
      </c>
      <c r="Z880" s="60"/>
      <c r="AA880" s="25"/>
      <c r="AB880" s="25"/>
    </row>
    <row r="881" spans="2:28">
      <c r="B881" s="40"/>
      <c r="C881" s="40"/>
      <c r="D881" s="41"/>
      <c r="E881" s="42"/>
      <c r="F881" s="42"/>
      <c r="G881" s="43"/>
      <c r="H881" s="42" t="s">
        <v>155</v>
      </c>
      <c r="I881" s="43"/>
      <c r="J881" s="43"/>
      <c r="K881" s="25" t="e">
        <f>VLOOKUP(J881,Key!$E$2:$F$9,2,FALSE)</f>
        <v>#N/A</v>
      </c>
      <c r="L881" s="42"/>
      <c r="M881" s="43" t="s">
        <v>154</v>
      </c>
      <c r="N881" s="42" t="s">
        <v>155</v>
      </c>
      <c r="O881" s="43"/>
      <c r="P881" s="43"/>
      <c r="Q881" s="25" t="e">
        <f>VLOOKUP(P881,Key!$E$2:$F$9,2,FALSE)</f>
        <v>#N/A</v>
      </c>
      <c r="R881" s="25" t="e">
        <f t="shared" si="14"/>
        <v>#N/A</v>
      </c>
      <c r="S881" s="58"/>
      <c r="T881" s="58"/>
      <c r="U881" s="43"/>
      <c r="V881" s="43"/>
      <c r="W881" s="58"/>
      <c r="X881" s="58"/>
      <c r="Y881" s="59" t="s">
        <v>156</v>
      </c>
      <c r="Z881" s="60"/>
      <c r="AA881" s="25"/>
      <c r="AB881" s="25"/>
    </row>
    <row r="882" spans="2:28">
      <c r="B882" s="40"/>
      <c r="C882" s="40"/>
      <c r="D882" s="41"/>
      <c r="E882" s="42"/>
      <c r="F882" s="42"/>
      <c r="G882" s="43"/>
      <c r="H882" s="42" t="s">
        <v>155</v>
      </c>
      <c r="I882" s="43"/>
      <c r="J882" s="43"/>
      <c r="K882" s="25" t="e">
        <f>VLOOKUP(J882,Key!$E$2:$F$9,2,FALSE)</f>
        <v>#N/A</v>
      </c>
      <c r="L882" s="42"/>
      <c r="M882" s="43" t="s">
        <v>154</v>
      </c>
      <c r="N882" s="42" t="s">
        <v>155</v>
      </c>
      <c r="O882" s="43"/>
      <c r="P882" s="43"/>
      <c r="Q882" s="25" t="e">
        <f>VLOOKUP(P882,Key!$E$2:$F$9,2,FALSE)</f>
        <v>#N/A</v>
      </c>
      <c r="R882" s="25" t="e">
        <f t="shared" si="14"/>
        <v>#N/A</v>
      </c>
      <c r="S882" s="58"/>
      <c r="T882" s="58"/>
      <c r="U882" s="43"/>
      <c r="V882" s="43"/>
      <c r="W882" s="58"/>
      <c r="X882" s="58"/>
      <c r="Y882" s="59" t="s">
        <v>156</v>
      </c>
      <c r="Z882" s="60"/>
      <c r="AA882" s="25"/>
      <c r="AB882" s="25"/>
    </row>
    <row r="883" spans="2:28">
      <c r="B883" s="40"/>
      <c r="C883" s="40"/>
      <c r="D883" s="41"/>
      <c r="E883" s="42"/>
      <c r="F883" s="42"/>
      <c r="G883" s="43"/>
      <c r="H883" s="42" t="s">
        <v>155</v>
      </c>
      <c r="I883" s="43"/>
      <c r="J883" s="43"/>
      <c r="K883" s="25" t="e">
        <f>VLOOKUP(J883,Key!$E$2:$F$9,2,FALSE)</f>
        <v>#N/A</v>
      </c>
      <c r="L883" s="42"/>
      <c r="M883" s="43" t="s">
        <v>154</v>
      </c>
      <c r="N883" s="42" t="s">
        <v>155</v>
      </c>
      <c r="O883" s="43"/>
      <c r="P883" s="43"/>
      <c r="Q883" s="25" t="e">
        <f>VLOOKUP(P883,Key!$E$2:$F$9,2,FALSE)</f>
        <v>#N/A</v>
      </c>
      <c r="R883" s="25" t="e">
        <f t="shared" si="14"/>
        <v>#N/A</v>
      </c>
      <c r="S883" s="58"/>
      <c r="T883" s="58"/>
      <c r="U883" s="43"/>
      <c r="V883" s="43"/>
      <c r="W883" s="58"/>
      <c r="X883" s="58"/>
      <c r="Y883" s="59" t="s">
        <v>156</v>
      </c>
      <c r="Z883" s="60"/>
      <c r="AA883" s="25"/>
      <c r="AB883" s="25"/>
    </row>
    <row r="884" spans="2:28">
      <c r="B884" s="40"/>
      <c r="C884" s="40"/>
      <c r="D884" s="41"/>
      <c r="E884" s="42"/>
      <c r="F884" s="42"/>
      <c r="G884" s="43"/>
      <c r="H884" s="42" t="s">
        <v>155</v>
      </c>
      <c r="I884" s="43"/>
      <c r="J884" s="43"/>
      <c r="K884" s="25" t="e">
        <f>VLOOKUP(J884,Key!$E$2:$F$9,2,FALSE)</f>
        <v>#N/A</v>
      </c>
      <c r="L884" s="42"/>
      <c r="M884" s="43" t="s">
        <v>154</v>
      </c>
      <c r="N884" s="42" t="s">
        <v>155</v>
      </c>
      <c r="O884" s="43"/>
      <c r="P884" s="43"/>
      <c r="Q884" s="25" t="e">
        <f>VLOOKUP(P884,Key!$E$2:$F$9,2,FALSE)</f>
        <v>#N/A</v>
      </c>
      <c r="R884" s="25" t="e">
        <f t="shared" si="14"/>
        <v>#N/A</v>
      </c>
      <c r="S884" s="58"/>
      <c r="T884" s="58"/>
      <c r="U884" s="43"/>
      <c r="V884" s="43"/>
      <c r="W884" s="58"/>
      <c r="X884" s="58"/>
      <c r="Y884" s="59" t="s">
        <v>156</v>
      </c>
      <c r="Z884" s="60"/>
      <c r="AA884" s="25"/>
      <c r="AB884" s="25"/>
    </row>
    <row r="885" spans="2:28">
      <c r="B885" s="40"/>
      <c r="C885" s="40"/>
      <c r="D885" s="41"/>
      <c r="E885" s="42"/>
      <c r="F885" s="42"/>
      <c r="G885" s="43"/>
      <c r="H885" s="42" t="s">
        <v>155</v>
      </c>
      <c r="I885" s="43"/>
      <c r="J885" s="43"/>
      <c r="K885" s="25" t="e">
        <f>VLOOKUP(J885,Key!$E$2:$F$9,2,FALSE)</f>
        <v>#N/A</v>
      </c>
      <c r="L885" s="42"/>
      <c r="M885" s="43" t="s">
        <v>154</v>
      </c>
      <c r="N885" s="42" t="s">
        <v>155</v>
      </c>
      <c r="O885" s="43"/>
      <c r="P885" s="43"/>
      <c r="Q885" s="25" t="e">
        <f>VLOOKUP(P885,Key!$E$2:$F$9,2,FALSE)</f>
        <v>#N/A</v>
      </c>
      <c r="R885" s="25" t="e">
        <f t="shared" si="14"/>
        <v>#N/A</v>
      </c>
      <c r="S885" s="58"/>
      <c r="T885" s="58"/>
      <c r="U885" s="43"/>
      <c r="V885" s="43"/>
      <c r="W885" s="58"/>
      <c r="X885" s="58"/>
      <c r="Y885" s="59" t="s">
        <v>156</v>
      </c>
      <c r="Z885" s="60"/>
      <c r="AA885" s="25"/>
      <c r="AB885" s="25"/>
    </row>
    <row r="886" spans="2:28">
      <c r="B886" s="40"/>
      <c r="C886" s="40"/>
      <c r="D886" s="41"/>
      <c r="E886" s="42"/>
      <c r="F886" s="42"/>
      <c r="G886" s="43"/>
      <c r="H886" s="42" t="s">
        <v>155</v>
      </c>
      <c r="I886" s="43"/>
      <c r="J886" s="43"/>
      <c r="K886" s="25" t="e">
        <f>VLOOKUP(J886,Key!$E$2:$F$9,2,FALSE)</f>
        <v>#N/A</v>
      </c>
      <c r="L886" s="42"/>
      <c r="M886" s="43" t="s">
        <v>154</v>
      </c>
      <c r="N886" s="42" t="s">
        <v>155</v>
      </c>
      <c r="O886" s="43"/>
      <c r="P886" s="43"/>
      <c r="Q886" s="25" t="e">
        <f>VLOOKUP(P886,Key!$E$2:$F$9,2,FALSE)</f>
        <v>#N/A</v>
      </c>
      <c r="R886" s="25" t="e">
        <f t="shared" si="14"/>
        <v>#N/A</v>
      </c>
      <c r="S886" s="58"/>
      <c r="T886" s="58"/>
      <c r="U886" s="43"/>
      <c r="V886" s="43"/>
      <c r="W886" s="58"/>
      <c r="X886" s="58"/>
      <c r="Y886" s="59" t="s">
        <v>156</v>
      </c>
      <c r="Z886" s="60"/>
      <c r="AA886" s="25"/>
      <c r="AB886" s="25"/>
    </row>
    <row r="887" spans="2:28">
      <c r="B887" s="40"/>
      <c r="C887" s="40"/>
      <c r="D887" s="41"/>
      <c r="E887" s="42"/>
      <c r="F887" s="42"/>
      <c r="G887" s="43"/>
      <c r="H887" s="42" t="s">
        <v>155</v>
      </c>
      <c r="I887" s="43"/>
      <c r="J887" s="43"/>
      <c r="K887" s="25" t="e">
        <f>VLOOKUP(J887,Key!$E$2:$F$9,2,FALSE)</f>
        <v>#N/A</v>
      </c>
      <c r="L887" s="42"/>
      <c r="M887" s="43" t="s">
        <v>154</v>
      </c>
      <c r="N887" s="42" t="s">
        <v>155</v>
      </c>
      <c r="O887" s="43"/>
      <c r="P887" s="43"/>
      <c r="Q887" s="25" t="e">
        <f>VLOOKUP(P887,Key!$E$2:$F$9,2,FALSE)</f>
        <v>#N/A</v>
      </c>
      <c r="R887" s="25" t="e">
        <f t="shared" si="14"/>
        <v>#N/A</v>
      </c>
      <c r="S887" s="58"/>
      <c r="T887" s="58"/>
      <c r="U887" s="43"/>
      <c r="V887" s="43"/>
      <c r="W887" s="58"/>
      <c r="X887" s="58"/>
      <c r="Y887" s="59" t="s">
        <v>156</v>
      </c>
      <c r="Z887" s="60"/>
      <c r="AA887" s="25"/>
      <c r="AB887" s="25"/>
    </row>
    <row r="888" spans="2:28">
      <c r="B888" s="40"/>
      <c r="C888" s="40"/>
      <c r="D888" s="41"/>
      <c r="E888" s="42"/>
      <c r="F888" s="42"/>
      <c r="G888" s="43"/>
      <c r="H888" s="42" t="s">
        <v>155</v>
      </c>
      <c r="I888" s="43"/>
      <c r="J888" s="43"/>
      <c r="K888" s="25" t="e">
        <f>VLOOKUP(J888,Key!$E$2:$F$9,2,FALSE)</f>
        <v>#N/A</v>
      </c>
      <c r="L888" s="42"/>
      <c r="M888" s="43" t="s">
        <v>154</v>
      </c>
      <c r="N888" s="42" t="s">
        <v>155</v>
      </c>
      <c r="O888" s="43"/>
      <c r="P888" s="43"/>
      <c r="Q888" s="25" t="e">
        <f>VLOOKUP(P888,Key!$E$2:$F$9,2,FALSE)</f>
        <v>#N/A</v>
      </c>
      <c r="R888" s="25" t="e">
        <f t="shared" si="14"/>
        <v>#N/A</v>
      </c>
      <c r="S888" s="58"/>
      <c r="T888" s="58"/>
      <c r="U888" s="43"/>
      <c r="V888" s="43"/>
      <c r="W888" s="58"/>
      <c r="X888" s="58"/>
      <c r="Y888" s="59" t="s">
        <v>156</v>
      </c>
      <c r="Z888" s="60"/>
      <c r="AA888" s="25"/>
      <c r="AB888" s="25"/>
    </row>
    <row r="889" spans="2:28">
      <c r="B889" s="40"/>
      <c r="C889" s="40"/>
      <c r="D889" s="41"/>
      <c r="E889" s="42"/>
      <c r="F889" s="42"/>
      <c r="G889" s="43"/>
      <c r="H889" s="42" t="s">
        <v>155</v>
      </c>
      <c r="I889" s="43"/>
      <c r="J889" s="43"/>
      <c r="K889" s="25" t="e">
        <f>VLOOKUP(J889,Key!$E$2:$F$9,2,FALSE)</f>
        <v>#N/A</v>
      </c>
      <c r="L889" s="42"/>
      <c r="M889" s="43" t="s">
        <v>154</v>
      </c>
      <c r="N889" s="42" t="s">
        <v>155</v>
      </c>
      <c r="O889" s="43"/>
      <c r="P889" s="43"/>
      <c r="Q889" s="25" t="e">
        <f>VLOOKUP(P889,Key!$E$2:$F$9,2,FALSE)</f>
        <v>#N/A</v>
      </c>
      <c r="R889" s="25" t="e">
        <f t="shared" si="14"/>
        <v>#N/A</v>
      </c>
      <c r="S889" s="58"/>
      <c r="T889" s="58"/>
      <c r="U889" s="43"/>
      <c r="V889" s="43"/>
      <c r="W889" s="58"/>
      <c r="X889" s="58"/>
      <c r="Y889" s="59" t="s">
        <v>156</v>
      </c>
      <c r="Z889" s="60"/>
      <c r="AA889" s="25"/>
      <c r="AB889" s="25"/>
    </row>
    <row r="890" spans="2:28">
      <c r="B890" s="40"/>
      <c r="C890" s="40"/>
      <c r="D890" s="41"/>
      <c r="E890" s="42"/>
      <c r="F890" s="42"/>
      <c r="G890" s="43"/>
      <c r="H890" s="42" t="s">
        <v>155</v>
      </c>
      <c r="I890" s="43"/>
      <c r="J890" s="43"/>
      <c r="K890" s="25" t="e">
        <f>VLOOKUP(J890,Key!$E$2:$F$9,2,FALSE)</f>
        <v>#N/A</v>
      </c>
      <c r="L890" s="42"/>
      <c r="M890" s="43" t="s">
        <v>154</v>
      </c>
      <c r="N890" s="42" t="s">
        <v>155</v>
      </c>
      <c r="O890" s="43"/>
      <c r="P890" s="43"/>
      <c r="Q890" s="25" t="e">
        <f>VLOOKUP(P890,Key!$E$2:$F$9,2,FALSE)</f>
        <v>#N/A</v>
      </c>
      <c r="R890" s="25" t="e">
        <f t="shared" si="14"/>
        <v>#N/A</v>
      </c>
      <c r="S890" s="58"/>
      <c r="T890" s="58"/>
      <c r="U890" s="43"/>
      <c r="V890" s="43"/>
      <c r="W890" s="58"/>
      <c r="X890" s="58"/>
      <c r="Y890" s="59" t="s">
        <v>156</v>
      </c>
      <c r="Z890" s="60"/>
      <c r="AA890" s="25"/>
      <c r="AB890" s="25"/>
    </row>
    <row r="891" spans="2:28">
      <c r="B891" s="40"/>
      <c r="C891" s="40"/>
      <c r="D891" s="41"/>
      <c r="E891" s="42"/>
      <c r="F891" s="42"/>
      <c r="G891" s="43"/>
      <c r="H891" s="42" t="s">
        <v>155</v>
      </c>
      <c r="I891" s="43"/>
      <c r="J891" s="43"/>
      <c r="K891" s="25" t="e">
        <f>VLOOKUP(J891,Key!$E$2:$F$9,2,FALSE)</f>
        <v>#N/A</v>
      </c>
      <c r="L891" s="42"/>
      <c r="M891" s="43" t="s">
        <v>154</v>
      </c>
      <c r="N891" s="42" t="s">
        <v>155</v>
      </c>
      <c r="O891" s="43"/>
      <c r="P891" s="43"/>
      <c r="Q891" s="25" t="e">
        <f>VLOOKUP(P891,Key!$E$2:$F$9,2,FALSE)</f>
        <v>#N/A</v>
      </c>
      <c r="R891" s="25" t="e">
        <f t="shared" si="14"/>
        <v>#N/A</v>
      </c>
      <c r="S891" s="58"/>
      <c r="T891" s="58"/>
      <c r="U891" s="43"/>
      <c r="V891" s="43"/>
      <c r="W891" s="58"/>
      <c r="X891" s="58"/>
      <c r="Y891" s="59" t="s">
        <v>156</v>
      </c>
      <c r="Z891" s="60"/>
      <c r="AA891" s="25"/>
      <c r="AB891" s="25"/>
    </row>
    <row r="892" spans="2:28">
      <c r="B892" s="40"/>
      <c r="C892" s="40"/>
      <c r="D892" s="41"/>
      <c r="E892" s="42"/>
      <c r="F892" s="42"/>
      <c r="G892" s="43"/>
      <c r="H892" s="42" t="s">
        <v>155</v>
      </c>
      <c r="I892" s="43"/>
      <c r="J892" s="43"/>
      <c r="K892" s="25" t="e">
        <f>VLOOKUP(J892,Key!$E$2:$F$9,2,FALSE)</f>
        <v>#N/A</v>
      </c>
      <c r="L892" s="42"/>
      <c r="M892" s="43" t="s">
        <v>154</v>
      </c>
      <c r="N892" s="42" t="s">
        <v>155</v>
      </c>
      <c r="O892" s="43"/>
      <c r="P892" s="43"/>
      <c r="Q892" s="25" t="e">
        <f>VLOOKUP(P892,Key!$E$2:$F$9,2,FALSE)</f>
        <v>#N/A</v>
      </c>
      <c r="R892" s="25" t="e">
        <f t="shared" si="14"/>
        <v>#N/A</v>
      </c>
      <c r="S892" s="58"/>
      <c r="T892" s="58"/>
      <c r="U892" s="43"/>
      <c r="V892" s="43"/>
      <c r="W892" s="58"/>
      <c r="X892" s="58"/>
      <c r="Y892" s="59" t="s">
        <v>156</v>
      </c>
      <c r="Z892" s="60"/>
      <c r="AA892" s="25"/>
      <c r="AB892" s="25"/>
    </row>
    <row r="893" spans="2:28">
      <c r="B893" s="40"/>
      <c r="C893" s="40"/>
      <c r="D893" s="41"/>
      <c r="E893" s="42"/>
      <c r="F893" s="42"/>
      <c r="G893" s="43"/>
      <c r="H893" s="42" t="s">
        <v>155</v>
      </c>
      <c r="I893" s="43"/>
      <c r="J893" s="43"/>
      <c r="K893" s="25" t="e">
        <f>VLOOKUP(J893,Key!$E$2:$F$9,2,FALSE)</f>
        <v>#N/A</v>
      </c>
      <c r="L893" s="42"/>
      <c r="M893" s="43" t="s">
        <v>154</v>
      </c>
      <c r="N893" s="42" t="s">
        <v>155</v>
      </c>
      <c r="O893" s="43"/>
      <c r="P893" s="43"/>
      <c r="Q893" s="25" t="e">
        <f>VLOOKUP(P893,Key!$E$2:$F$9,2,FALSE)</f>
        <v>#N/A</v>
      </c>
      <c r="R893" s="25" t="e">
        <f t="shared" si="14"/>
        <v>#N/A</v>
      </c>
      <c r="S893" s="58"/>
      <c r="T893" s="58"/>
      <c r="U893" s="43"/>
      <c r="V893" s="43"/>
      <c r="W893" s="58"/>
      <c r="X893" s="58"/>
      <c r="Y893" s="59" t="s">
        <v>156</v>
      </c>
      <c r="Z893" s="60"/>
      <c r="AA893" s="25"/>
      <c r="AB893" s="25"/>
    </row>
    <row r="894" spans="2:28">
      <c r="B894" s="40"/>
      <c r="C894" s="40"/>
      <c r="D894" s="41"/>
      <c r="E894" s="42"/>
      <c r="F894" s="42"/>
      <c r="G894" s="43"/>
      <c r="H894" s="42" t="s">
        <v>155</v>
      </c>
      <c r="I894" s="43"/>
      <c r="J894" s="43"/>
      <c r="K894" s="25" t="e">
        <f>VLOOKUP(J894,Key!$E$2:$F$9,2,FALSE)</f>
        <v>#N/A</v>
      </c>
      <c r="L894" s="42"/>
      <c r="M894" s="43" t="s">
        <v>154</v>
      </c>
      <c r="N894" s="42" t="s">
        <v>155</v>
      </c>
      <c r="O894" s="43"/>
      <c r="P894" s="43"/>
      <c r="Q894" s="25" t="e">
        <f>VLOOKUP(P894,Key!$E$2:$F$9,2,FALSE)</f>
        <v>#N/A</v>
      </c>
      <c r="R894" s="25" t="e">
        <f t="shared" si="14"/>
        <v>#N/A</v>
      </c>
      <c r="S894" s="58"/>
      <c r="T894" s="58"/>
      <c r="U894" s="43"/>
      <c r="V894" s="43"/>
      <c r="W894" s="58"/>
      <c r="X894" s="58"/>
      <c r="Y894" s="59" t="s">
        <v>156</v>
      </c>
      <c r="Z894" s="60"/>
      <c r="AA894" s="25"/>
      <c r="AB894" s="25"/>
    </row>
    <row r="895" spans="2:28">
      <c r="B895" s="40"/>
      <c r="C895" s="40"/>
      <c r="D895" s="41"/>
      <c r="E895" s="42"/>
      <c r="F895" s="42"/>
      <c r="G895" s="43"/>
      <c r="H895" s="42" t="s">
        <v>155</v>
      </c>
      <c r="I895" s="43"/>
      <c r="J895" s="43"/>
      <c r="K895" s="25" t="e">
        <f>VLOOKUP(J895,Key!$E$2:$F$9,2,FALSE)</f>
        <v>#N/A</v>
      </c>
      <c r="L895" s="42"/>
      <c r="M895" s="43" t="s">
        <v>154</v>
      </c>
      <c r="N895" s="42" t="s">
        <v>155</v>
      </c>
      <c r="O895" s="43"/>
      <c r="P895" s="43"/>
      <c r="Q895" s="25" t="e">
        <f>VLOOKUP(P895,Key!$E$2:$F$9,2,FALSE)</f>
        <v>#N/A</v>
      </c>
      <c r="R895" s="25" t="e">
        <f t="shared" si="14"/>
        <v>#N/A</v>
      </c>
      <c r="S895" s="58"/>
      <c r="T895" s="58"/>
      <c r="U895" s="43"/>
      <c r="V895" s="43"/>
      <c r="W895" s="58"/>
      <c r="X895" s="58"/>
      <c r="Y895" s="59" t="s">
        <v>156</v>
      </c>
      <c r="Z895" s="60"/>
      <c r="AA895" s="25"/>
      <c r="AB895" s="25"/>
    </row>
    <row r="896" spans="2:28">
      <c r="B896" s="40"/>
      <c r="C896" s="40"/>
      <c r="D896" s="41"/>
      <c r="E896" s="42"/>
      <c r="F896" s="42"/>
      <c r="G896" s="43"/>
      <c r="H896" s="42" t="s">
        <v>155</v>
      </c>
      <c r="I896" s="43"/>
      <c r="J896" s="43"/>
      <c r="K896" s="25" t="e">
        <f>VLOOKUP(J896,Key!$E$2:$F$9,2,FALSE)</f>
        <v>#N/A</v>
      </c>
      <c r="L896" s="42"/>
      <c r="M896" s="43" t="s">
        <v>154</v>
      </c>
      <c r="N896" s="42" t="s">
        <v>155</v>
      </c>
      <c r="O896" s="43"/>
      <c r="P896" s="43"/>
      <c r="Q896" s="25" t="e">
        <f>VLOOKUP(P896,Key!$E$2:$F$9,2,FALSE)</f>
        <v>#N/A</v>
      </c>
      <c r="R896" s="25" t="e">
        <f t="shared" si="14"/>
        <v>#N/A</v>
      </c>
      <c r="S896" s="58"/>
      <c r="T896" s="58"/>
      <c r="U896" s="43"/>
      <c r="V896" s="43"/>
      <c r="W896" s="58"/>
      <c r="X896" s="58"/>
      <c r="Y896" s="59" t="s">
        <v>156</v>
      </c>
      <c r="Z896" s="60"/>
      <c r="AA896" s="25"/>
      <c r="AB896" s="25"/>
    </row>
    <row r="897" spans="2:28">
      <c r="B897" s="40"/>
      <c r="C897" s="40"/>
      <c r="D897" s="41"/>
      <c r="E897" s="42"/>
      <c r="F897" s="42"/>
      <c r="G897" s="43"/>
      <c r="H897" s="42" t="s">
        <v>155</v>
      </c>
      <c r="I897" s="43"/>
      <c r="J897" s="43"/>
      <c r="K897" s="25" t="e">
        <f>VLOOKUP(J897,Key!$E$2:$F$9,2,FALSE)</f>
        <v>#N/A</v>
      </c>
      <c r="L897" s="42"/>
      <c r="M897" s="43" t="s">
        <v>154</v>
      </c>
      <c r="N897" s="42" t="s">
        <v>155</v>
      </c>
      <c r="O897" s="43"/>
      <c r="P897" s="43"/>
      <c r="Q897" s="25" t="e">
        <f>VLOOKUP(P897,Key!$E$2:$F$9,2,FALSE)</f>
        <v>#N/A</v>
      </c>
      <c r="R897" s="25" t="e">
        <f t="shared" si="14"/>
        <v>#N/A</v>
      </c>
      <c r="S897" s="58"/>
      <c r="T897" s="58"/>
      <c r="U897" s="43"/>
      <c r="V897" s="43"/>
      <c r="W897" s="58"/>
      <c r="X897" s="58"/>
      <c r="Y897" s="59" t="s">
        <v>156</v>
      </c>
      <c r="Z897" s="60"/>
      <c r="AA897" s="25"/>
      <c r="AB897" s="25"/>
    </row>
    <row r="898" spans="2:28">
      <c r="B898" s="40"/>
      <c r="C898" s="40"/>
      <c r="D898" s="41"/>
      <c r="E898" s="42"/>
      <c r="F898" s="42"/>
      <c r="G898" s="43"/>
      <c r="H898" s="42" t="s">
        <v>155</v>
      </c>
      <c r="I898" s="43"/>
      <c r="J898" s="43"/>
      <c r="K898" s="25" t="e">
        <f>VLOOKUP(J898,Key!$E$2:$F$9,2,FALSE)</f>
        <v>#N/A</v>
      </c>
      <c r="L898" s="42"/>
      <c r="M898" s="43" t="s">
        <v>154</v>
      </c>
      <c r="N898" s="42" t="s">
        <v>155</v>
      </c>
      <c r="O898" s="43"/>
      <c r="P898" s="43"/>
      <c r="Q898" s="25" t="e">
        <f>VLOOKUP(P898,Key!$E$2:$F$9,2,FALSE)</f>
        <v>#N/A</v>
      </c>
      <c r="R898" s="25" t="e">
        <f t="shared" si="14"/>
        <v>#N/A</v>
      </c>
      <c r="S898" s="58"/>
      <c r="T898" s="58"/>
      <c r="U898" s="43"/>
      <c r="V898" s="43"/>
      <c r="W898" s="58"/>
      <c r="X898" s="58"/>
      <c r="Y898" s="59" t="s">
        <v>156</v>
      </c>
      <c r="Z898" s="60"/>
      <c r="AA898" s="25"/>
      <c r="AB898" s="25"/>
    </row>
    <row r="899" spans="2:28">
      <c r="B899" s="40"/>
      <c r="C899" s="40"/>
      <c r="D899" s="41"/>
      <c r="E899" s="42"/>
      <c r="F899" s="42"/>
      <c r="G899" s="43"/>
      <c r="H899" s="42" t="s">
        <v>155</v>
      </c>
      <c r="I899" s="43"/>
      <c r="J899" s="43"/>
      <c r="K899" s="25" t="e">
        <f>VLOOKUP(J899,Key!$E$2:$F$9,2,FALSE)</f>
        <v>#N/A</v>
      </c>
      <c r="L899" s="42"/>
      <c r="M899" s="43" t="s">
        <v>154</v>
      </c>
      <c r="N899" s="42" t="s">
        <v>155</v>
      </c>
      <c r="O899" s="43"/>
      <c r="P899" s="43"/>
      <c r="Q899" s="25" t="e">
        <f>VLOOKUP(P899,Key!$E$2:$F$9,2,FALSE)</f>
        <v>#N/A</v>
      </c>
      <c r="R899" s="25" t="e">
        <f t="shared" si="14"/>
        <v>#N/A</v>
      </c>
      <c r="S899" s="58"/>
      <c r="T899" s="58"/>
      <c r="U899" s="43"/>
      <c r="V899" s="43"/>
      <c r="W899" s="58"/>
      <c r="X899" s="58"/>
      <c r="Y899" s="59" t="s">
        <v>156</v>
      </c>
      <c r="Z899" s="60"/>
      <c r="AA899" s="25"/>
      <c r="AB899" s="25"/>
    </row>
    <row r="900" spans="2:28">
      <c r="B900" s="40"/>
      <c r="C900" s="40"/>
      <c r="D900" s="41"/>
      <c r="E900" s="42"/>
      <c r="F900" s="42"/>
      <c r="G900" s="43"/>
      <c r="H900" s="42" t="s">
        <v>155</v>
      </c>
      <c r="I900" s="43"/>
      <c r="J900" s="43"/>
      <c r="K900" s="25" t="e">
        <f>VLOOKUP(J900,Key!$E$2:$F$9,2,FALSE)</f>
        <v>#N/A</v>
      </c>
      <c r="L900" s="42"/>
      <c r="M900" s="43" t="s">
        <v>154</v>
      </c>
      <c r="N900" s="42" t="s">
        <v>155</v>
      </c>
      <c r="O900" s="43"/>
      <c r="P900" s="43"/>
      <c r="Q900" s="25" t="e">
        <f>VLOOKUP(P900,Key!$E$2:$F$9,2,FALSE)</f>
        <v>#N/A</v>
      </c>
      <c r="R900" s="25" t="e">
        <f t="shared" si="14"/>
        <v>#N/A</v>
      </c>
      <c r="S900" s="58"/>
      <c r="T900" s="58"/>
      <c r="U900" s="43"/>
      <c r="V900" s="43"/>
      <c r="W900" s="58"/>
      <c r="X900" s="58"/>
      <c r="Y900" s="59" t="s">
        <v>156</v>
      </c>
      <c r="Z900" s="60"/>
      <c r="AA900" s="25"/>
      <c r="AB900" s="25"/>
    </row>
    <row r="901" spans="2:28">
      <c r="B901" s="40"/>
      <c r="C901" s="40"/>
      <c r="D901" s="41"/>
      <c r="E901" s="42"/>
      <c r="F901" s="42"/>
      <c r="G901" s="43"/>
      <c r="H901" s="42" t="s">
        <v>155</v>
      </c>
      <c r="I901" s="43"/>
      <c r="J901" s="43"/>
      <c r="K901" s="25" t="e">
        <f>VLOOKUP(J901,Key!$E$2:$F$9,2,FALSE)</f>
        <v>#N/A</v>
      </c>
      <c r="L901" s="42"/>
      <c r="M901" s="43" t="s">
        <v>154</v>
      </c>
      <c r="N901" s="42" t="s">
        <v>155</v>
      </c>
      <c r="O901" s="43"/>
      <c r="P901" s="43"/>
      <c r="Q901" s="25" t="e">
        <f>VLOOKUP(P901,Key!$E$2:$F$9,2,FALSE)</f>
        <v>#N/A</v>
      </c>
      <c r="R901" s="25" t="e">
        <f t="shared" si="14"/>
        <v>#N/A</v>
      </c>
      <c r="S901" s="58"/>
      <c r="T901" s="58"/>
      <c r="U901" s="43"/>
      <c r="V901" s="43"/>
      <c r="W901" s="58"/>
      <c r="X901" s="58"/>
      <c r="Y901" s="59" t="s">
        <v>156</v>
      </c>
      <c r="Z901" s="60"/>
      <c r="AA901" s="25"/>
      <c r="AB901" s="25"/>
    </row>
    <row r="902" spans="2:28">
      <c r="B902" s="40"/>
      <c r="C902" s="40"/>
      <c r="D902" s="41"/>
      <c r="E902" s="42"/>
      <c r="F902" s="42"/>
      <c r="G902" s="43"/>
      <c r="H902" s="42" t="s">
        <v>155</v>
      </c>
      <c r="I902" s="43"/>
      <c r="J902" s="43"/>
      <c r="K902" s="25" t="e">
        <f>VLOOKUP(J902,Key!$E$2:$F$9,2,FALSE)</f>
        <v>#N/A</v>
      </c>
      <c r="L902" s="42"/>
      <c r="M902" s="43" t="s">
        <v>154</v>
      </c>
      <c r="N902" s="42" t="s">
        <v>155</v>
      </c>
      <c r="O902" s="43"/>
      <c r="P902" s="43"/>
      <c r="Q902" s="25" t="e">
        <f>VLOOKUP(P902,Key!$E$2:$F$9,2,FALSE)</f>
        <v>#N/A</v>
      </c>
      <c r="R902" s="25" t="e">
        <f t="shared" si="14"/>
        <v>#N/A</v>
      </c>
      <c r="S902" s="58"/>
      <c r="T902" s="58"/>
      <c r="U902" s="43"/>
      <c r="V902" s="43"/>
      <c r="W902" s="58"/>
      <c r="X902" s="58"/>
      <c r="Y902" s="59" t="s">
        <v>156</v>
      </c>
      <c r="Z902" s="60"/>
      <c r="AA902" s="25"/>
      <c r="AB902" s="25"/>
    </row>
    <row r="903" spans="2:28">
      <c r="B903" s="40"/>
      <c r="C903" s="40"/>
      <c r="D903" s="41"/>
      <c r="E903" s="42"/>
      <c r="F903" s="42"/>
      <c r="G903" s="43"/>
      <c r="H903" s="42" t="s">
        <v>155</v>
      </c>
      <c r="I903" s="43"/>
      <c r="J903" s="43"/>
      <c r="K903" s="25" t="e">
        <f>VLOOKUP(J903,Key!$E$2:$F$9,2,FALSE)</f>
        <v>#N/A</v>
      </c>
      <c r="L903" s="42"/>
      <c r="M903" s="43" t="s">
        <v>154</v>
      </c>
      <c r="N903" s="42" t="s">
        <v>155</v>
      </c>
      <c r="O903" s="43"/>
      <c r="P903" s="43"/>
      <c r="Q903" s="25" t="e">
        <f>VLOOKUP(P903,Key!$E$2:$F$9,2,FALSE)</f>
        <v>#N/A</v>
      </c>
      <c r="R903" s="25" t="e">
        <f t="shared" si="14"/>
        <v>#N/A</v>
      </c>
      <c r="S903" s="58"/>
      <c r="T903" s="58"/>
      <c r="U903" s="43"/>
      <c r="V903" s="43"/>
      <c r="W903" s="58"/>
      <c r="X903" s="58"/>
      <c r="Y903" s="59" t="s">
        <v>156</v>
      </c>
      <c r="Z903" s="60"/>
      <c r="AA903" s="25"/>
      <c r="AB903" s="25"/>
    </row>
    <row r="904" spans="2:28">
      <c r="B904" s="40"/>
      <c r="C904" s="40"/>
      <c r="D904" s="41"/>
      <c r="E904" s="42"/>
      <c r="F904" s="42"/>
      <c r="G904" s="43"/>
      <c r="H904" s="42" t="s">
        <v>155</v>
      </c>
      <c r="I904" s="43"/>
      <c r="J904" s="43"/>
      <c r="K904" s="25" t="e">
        <f>VLOOKUP(J904,Key!$E$2:$F$9,2,FALSE)</f>
        <v>#N/A</v>
      </c>
      <c r="L904" s="42"/>
      <c r="M904" s="43" t="s">
        <v>154</v>
      </c>
      <c r="N904" s="42" t="s">
        <v>155</v>
      </c>
      <c r="O904" s="43"/>
      <c r="P904" s="43"/>
      <c r="Q904" s="25" t="e">
        <f>VLOOKUP(P904,Key!$E$2:$F$9,2,FALSE)</f>
        <v>#N/A</v>
      </c>
      <c r="R904" s="25" t="e">
        <f t="shared" si="14"/>
        <v>#N/A</v>
      </c>
      <c r="S904" s="58"/>
      <c r="T904" s="58"/>
      <c r="U904" s="43"/>
      <c r="V904" s="43"/>
      <c r="W904" s="58"/>
      <c r="X904" s="58"/>
      <c r="Y904" s="59" t="s">
        <v>156</v>
      </c>
      <c r="Z904" s="60"/>
      <c r="AA904" s="25"/>
      <c r="AB904" s="25"/>
    </row>
    <row r="905" spans="2:28">
      <c r="B905" s="40"/>
      <c r="C905" s="40"/>
      <c r="D905" s="41"/>
      <c r="E905" s="42"/>
      <c r="F905" s="42"/>
      <c r="G905" s="43"/>
      <c r="H905" s="42" t="s">
        <v>155</v>
      </c>
      <c r="I905" s="43"/>
      <c r="J905" s="43"/>
      <c r="K905" s="25" t="e">
        <f>VLOOKUP(J905,Key!$E$2:$F$9,2,FALSE)</f>
        <v>#N/A</v>
      </c>
      <c r="L905" s="42"/>
      <c r="M905" s="43" t="s">
        <v>154</v>
      </c>
      <c r="N905" s="42" t="s">
        <v>155</v>
      </c>
      <c r="O905" s="43"/>
      <c r="P905" s="43"/>
      <c r="Q905" s="25" t="e">
        <f>VLOOKUP(P905,Key!$E$2:$F$9,2,FALSE)</f>
        <v>#N/A</v>
      </c>
      <c r="R905" s="25" t="e">
        <f t="shared" si="14"/>
        <v>#N/A</v>
      </c>
      <c r="S905" s="58"/>
      <c r="T905" s="58"/>
      <c r="U905" s="43"/>
      <c r="V905" s="43"/>
      <c r="W905" s="58"/>
      <c r="X905" s="58"/>
      <c r="Y905" s="59" t="s">
        <v>156</v>
      </c>
      <c r="Z905" s="60"/>
      <c r="AA905" s="25"/>
      <c r="AB905" s="25"/>
    </row>
    <row r="906" spans="2:28">
      <c r="B906" s="40"/>
      <c r="C906" s="40"/>
      <c r="D906" s="41"/>
      <c r="E906" s="42"/>
      <c r="F906" s="42"/>
      <c r="G906" s="43"/>
      <c r="H906" s="42" t="s">
        <v>155</v>
      </c>
      <c r="I906" s="43"/>
      <c r="J906" s="43"/>
      <c r="K906" s="25" t="e">
        <f>VLOOKUP(J906,Key!$E$2:$F$9,2,FALSE)</f>
        <v>#N/A</v>
      </c>
      <c r="L906" s="42"/>
      <c r="M906" s="43" t="s">
        <v>154</v>
      </c>
      <c r="N906" s="42" t="s">
        <v>155</v>
      </c>
      <c r="O906" s="43"/>
      <c r="P906" s="43"/>
      <c r="Q906" s="25" t="e">
        <f>VLOOKUP(P906,Key!$E$2:$F$9,2,FALSE)</f>
        <v>#N/A</v>
      </c>
      <c r="R906" s="25" t="e">
        <f t="shared" si="14"/>
        <v>#N/A</v>
      </c>
      <c r="S906" s="58"/>
      <c r="T906" s="58"/>
      <c r="U906" s="43"/>
      <c r="V906" s="43"/>
      <c r="W906" s="58"/>
      <c r="X906" s="58"/>
      <c r="Y906" s="59" t="s">
        <v>156</v>
      </c>
      <c r="Z906" s="60"/>
      <c r="AA906" s="25"/>
      <c r="AB906" s="25"/>
    </row>
    <row r="907" spans="2:28">
      <c r="B907" s="40"/>
      <c r="C907" s="40"/>
      <c r="D907" s="41"/>
      <c r="E907" s="42"/>
      <c r="F907" s="42"/>
      <c r="G907" s="43"/>
      <c r="H907" s="42" t="s">
        <v>155</v>
      </c>
      <c r="I907" s="43"/>
      <c r="J907" s="43"/>
      <c r="K907" s="25" t="e">
        <f>VLOOKUP(J907,Key!$E$2:$F$9,2,FALSE)</f>
        <v>#N/A</v>
      </c>
      <c r="L907" s="42"/>
      <c r="M907" s="43" t="s">
        <v>154</v>
      </c>
      <c r="N907" s="42" t="s">
        <v>155</v>
      </c>
      <c r="O907" s="43"/>
      <c r="P907" s="43"/>
      <c r="Q907" s="25" t="e">
        <f>VLOOKUP(P907,Key!$E$2:$F$9,2,FALSE)</f>
        <v>#N/A</v>
      </c>
      <c r="R907" s="25" t="e">
        <f t="shared" si="14"/>
        <v>#N/A</v>
      </c>
      <c r="S907" s="58"/>
      <c r="T907" s="58"/>
      <c r="U907" s="43"/>
      <c r="V907" s="43"/>
      <c r="W907" s="58"/>
      <c r="X907" s="58"/>
      <c r="Y907" s="59" t="s">
        <v>156</v>
      </c>
      <c r="Z907" s="60"/>
      <c r="AA907" s="25"/>
      <c r="AB907" s="25"/>
    </row>
    <row r="908" spans="2:28">
      <c r="B908" s="40"/>
      <c r="C908" s="40"/>
      <c r="D908" s="41"/>
      <c r="E908" s="42"/>
      <c r="F908" s="42"/>
      <c r="G908" s="43"/>
      <c r="H908" s="42" t="s">
        <v>155</v>
      </c>
      <c r="I908" s="43"/>
      <c r="J908" s="43"/>
      <c r="K908" s="25" t="e">
        <f>VLOOKUP(J908,Key!$E$2:$F$9,2,FALSE)</f>
        <v>#N/A</v>
      </c>
      <c r="L908" s="42"/>
      <c r="M908" s="43" t="s">
        <v>154</v>
      </c>
      <c r="N908" s="42" t="s">
        <v>155</v>
      </c>
      <c r="O908" s="43"/>
      <c r="P908" s="43"/>
      <c r="Q908" s="25" t="e">
        <f>VLOOKUP(P908,Key!$E$2:$F$9,2,FALSE)</f>
        <v>#N/A</v>
      </c>
      <c r="R908" s="25" t="e">
        <f t="shared" si="14"/>
        <v>#N/A</v>
      </c>
      <c r="S908" s="58"/>
      <c r="T908" s="58"/>
      <c r="U908" s="43"/>
      <c r="V908" s="43"/>
      <c r="W908" s="58"/>
      <c r="X908" s="58"/>
      <c r="Y908" s="59" t="s">
        <v>156</v>
      </c>
      <c r="Z908" s="60"/>
      <c r="AA908" s="25"/>
      <c r="AB908" s="25"/>
    </row>
    <row r="909" spans="2:28">
      <c r="B909" s="40"/>
      <c r="C909" s="40"/>
      <c r="D909" s="41"/>
      <c r="E909" s="42"/>
      <c r="F909" s="42"/>
      <c r="G909" s="43"/>
      <c r="H909" s="42" t="s">
        <v>155</v>
      </c>
      <c r="I909" s="43"/>
      <c r="J909" s="43"/>
      <c r="K909" s="25" t="e">
        <f>VLOOKUP(J909,Key!$E$2:$F$9,2,FALSE)</f>
        <v>#N/A</v>
      </c>
      <c r="L909" s="42"/>
      <c r="M909" s="43" t="s">
        <v>154</v>
      </c>
      <c r="N909" s="42" t="s">
        <v>155</v>
      </c>
      <c r="O909" s="43"/>
      <c r="P909" s="43"/>
      <c r="Q909" s="25" t="e">
        <f>VLOOKUP(P909,Key!$E$2:$F$9,2,FALSE)</f>
        <v>#N/A</v>
      </c>
      <c r="R909" s="25" t="e">
        <f t="shared" si="14"/>
        <v>#N/A</v>
      </c>
      <c r="S909" s="58"/>
      <c r="T909" s="58"/>
      <c r="U909" s="43"/>
      <c r="V909" s="43"/>
      <c r="W909" s="58"/>
      <c r="X909" s="58"/>
      <c r="Y909" s="59" t="s">
        <v>156</v>
      </c>
      <c r="Z909" s="60"/>
      <c r="AA909" s="25"/>
      <c r="AB909" s="25"/>
    </row>
    <row r="910" spans="2:28">
      <c r="B910" s="40"/>
      <c r="C910" s="40"/>
      <c r="D910" s="41"/>
      <c r="E910" s="42"/>
      <c r="F910" s="42"/>
      <c r="G910" s="43"/>
      <c r="H910" s="42" t="s">
        <v>155</v>
      </c>
      <c r="I910" s="43"/>
      <c r="J910" s="43"/>
      <c r="K910" s="25" t="e">
        <f>VLOOKUP(J910,Key!$E$2:$F$9,2,FALSE)</f>
        <v>#N/A</v>
      </c>
      <c r="L910" s="42"/>
      <c r="M910" s="43" t="s">
        <v>154</v>
      </c>
      <c r="N910" s="42" t="s">
        <v>155</v>
      </c>
      <c r="O910" s="43"/>
      <c r="P910" s="43"/>
      <c r="Q910" s="25" t="e">
        <f>VLOOKUP(P910,Key!$E$2:$F$9,2,FALSE)</f>
        <v>#N/A</v>
      </c>
      <c r="R910" s="25" t="e">
        <f t="shared" si="14"/>
        <v>#N/A</v>
      </c>
      <c r="S910" s="58"/>
      <c r="T910" s="58"/>
      <c r="U910" s="43"/>
      <c r="V910" s="43"/>
      <c r="W910" s="58"/>
      <c r="X910" s="58"/>
      <c r="Y910" s="59" t="s">
        <v>156</v>
      </c>
      <c r="Z910" s="60"/>
      <c r="AA910" s="25"/>
      <c r="AB910" s="25"/>
    </row>
    <row r="911" spans="2:28">
      <c r="B911" s="40"/>
      <c r="C911" s="40"/>
      <c r="D911" s="41"/>
      <c r="E911" s="42"/>
      <c r="F911" s="42"/>
      <c r="G911" s="43"/>
      <c r="H911" s="42" t="s">
        <v>155</v>
      </c>
      <c r="I911" s="43"/>
      <c r="J911" s="43"/>
      <c r="K911" s="25" t="e">
        <f>VLOOKUP(J911,Key!$E$2:$F$9,2,FALSE)</f>
        <v>#N/A</v>
      </c>
      <c r="L911" s="42"/>
      <c r="M911" s="43" t="s">
        <v>154</v>
      </c>
      <c r="N911" s="42" t="s">
        <v>155</v>
      </c>
      <c r="O911" s="43"/>
      <c r="P911" s="43"/>
      <c r="Q911" s="25" t="e">
        <f>VLOOKUP(P911,Key!$E$2:$F$9,2,FALSE)</f>
        <v>#N/A</v>
      </c>
      <c r="R911" s="25" t="e">
        <f t="shared" si="14"/>
        <v>#N/A</v>
      </c>
      <c r="S911" s="58"/>
      <c r="T911" s="58"/>
      <c r="U911" s="43"/>
      <c r="V911" s="43"/>
      <c r="W911" s="58"/>
      <c r="X911" s="58"/>
      <c r="Y911" s="59" t="s">
        <v>156</v>
      </c>
      <c r="Z911" s="60"/>
      <c r="AA911" s="25"/>
      <c r="AB911" s="25"/>
    </row>
    <row r="912" spans="2:28">
      <c r="B912" s="40"/>
      <c r="C912" s="40"/>
      <c r="D912" s="41"/>
      <c r="E912" s="42"/>
      <c r="F912" s="42"/>
      <c r="G912" s="43"/>
      <c r="H912" s="42" t="s">
        <v>155</v>
      </c>
      <c r="I912" s="43"/>
      <c r="J912" s="43"/>
      <c r="K912" s="25" t="e">
        <f>VLOOKUP(J912,Key!$E$2:$F$9,2,FALSE)</f>
        <v>#N/A</v>
      </c>
      <c r="L912" s="42"/>
      <c r="M912" s="43" t="s">
        <v>154</v>
      </c>
      <c r="N912" s="42" t="s">
        <v>155</v>
      </c>
      <c r="O912" s="43"/>
      <c r="P912" s="43"/>
      <c r="Q912" s="25" t="e">
        <f>VLOOKUP(P912,Key!$E$2:$F$9,2,FALSE)</f>
        <v>#N/A</v>
      </c>
      <c r="R912" s="25" t="e">
        <f t="shared" si="14"/>
        <v>#N/A</v>
      </c>
      <c r="S912" s="58"/>
      <c r="T912" s="58"/>
      <c r="U912" s="43"/>
      <c r="V912" s="43"/>
      <c r="W912" s="58"/>
      <c r="X912" s="58"/>
      <c r="Y912" s="59" t="s">
        <v>156</v>
      </c>
      <c r="Z912" s="60"/>
      <c r="AA912" s="25"/>
      <c r="AB912" s="25"/>
    </row>
    <row r="913" spans="2:28">
      <c r="B913" s="40"/>
      <c r="C913" s="40"/>
      <c r="D913" s="41"/>
      <c r="E913" s="42"/>
      <c r="F913" s="42"/>
      <c r="G913" s="43"/>
      <c r="H913" s="42" t="s">
        <v>155</v>
      </c>
      <c r="I913" s="43"/>
      <c r="J913" s="43"/>
      <c r="K913" s="25" t="e">
        <f>VLOOKUP(J913,Key!$E$2:$F$9,2,FALSE)</f>
        <v>#N/A</v>
      </c>
      <c r="L913" s="42"/>
      <c r="M913" s="43" t="s">
        <v>154</v>
      </c>
      <c r="N913" s="42" t="s">
        <v>155</v>
      </c>
      <c r="O913" s="43"/>
      <c r="P913" s="43"/>
      <c r="Q913" s="25" t="e">
        <f>VLOOKUP(P913,Key!$E$2:$F$9,2,FALSE)</f>
        <v>#N/A</v>
      </c>
      <c r="R913" s="25" t="e">
        <f t="shared" si="14"/>
        <v>#N/A</v>
      </c>
      <c r="S913" s="58"/>
      <c r="T913" s="58"/>
      <c r="U913" s="43"/>
      <c r="V913" s="43"/>
      <c r="W913" s="58"/>
      <c r="X913" s="58"/>
      <c r="Y913" s="59" t="s">
        <v>156</v>
      </c>
      <c r="Z913" s="60"/>
      <c r="AA913" s="25"/>
      <c r="AB913" s="25"/>
    </row>
    <row r="914" spans="2:28">
      <c r="B914" s="40"/>
      <c r="C914" s="40"/>
      <c r="D914" s="41"/>
      <c r="E914" s="42"/>
      <c r="F914" s="42"/>
      <c r="G914" s="43"/>
      <c r="H914" s="42" t="s">
        <v>155</v>
      </c>
      <c r="I914" s="43"/>
      <c r="J914" s="43"/>
      <c r="K914" s="25" t="e">
        <f>VLOOKUP(J914,Key!$E$2:$F$9,2,FALSE)</f>
        <v>#N/A</v>
      </c>
      <c r="L914" s="42"/>
      <c r="M914" s="43" t="s">
        <v>154</v>
      </c>
      <c r="N914" s="42" t="s">
        <v>155</v>
      </c>
      <c r="O914" s="43"/>
      <c r="P914" s="43"/>
      <c r="Q914" s="25" t="e">
        <f>VLOOKUP(P914,Key!$E$2:$F$9,2,FALSE)</f>
        <v>#N/A</v>
      </c>
      <c r="R914" s="25" t="e">
        <f t="shared" si="14"/>
        <v>#N/A</v>
      </c>
      <c r="S914" s="58"/>
      <c r="T914" s="58"/>
      <c r="U914" s="43"/>
      <c r="V914" s="43"/>
      <c r="W914" s="58"/>
      <c r="X914" s="58"/>
      <c r="Y914" s="59" t="s">
        <v>156</v>
      </c>
      <c r="Z914" s="60"/>
      <c r="AA914" s="25"/>
      <c r="AB914" s="25"/>
    </row>
    <row r="915" spans="2:28">
      <c r="B915" s="40"/>
      <c r="C915" s="40"/>
      <c r="D915" s="41"/>
      <c r="E915" s="42"/>
      <c r="F915" s="42"/>
      <c r="G915" s="43"/>
      <c r="H915" s="42" t="s">
        <v>155</v>
      </c>
      <c r="I915" s="43"/>
      <c r="J915" s="43"/>
      <c r="K915" s="25" t="e">
        <f>VLOOKUP(J915,Key!$E$2:$F$9,2,FALSE)</f>
        <v>#N/A</v>
      </c>
      <c r="L915" s="42"/>
      <c r="M915" s="43" t="s">
        <v>154</v>
      </c>
      <c r="N915" s="42" t="s">
        <v>155</v>
      </c>
      <c r="O915" s="43"/>
      <c r="P915" s="43"/>
      <c r="Q915" s="25" t="e">
        <f>VLOOKUP(P915,Key!$E$2:$F$9,2,FALSE)</f>
        <v>#N/A</v>
      </c>
      <c r="R915" s="25" t="e">
        <f t="shared" si="14"/>
        <v>#N/A</v>
      </c>
      <c r="S915" s="58"/>
      <c r="T915" s="58"/>
      <c r="U915" s="43"/>
      <c r="V915" s="43"/>
      <c r="W915" s="58"/>
      <c r="X915" s="58"/>
      <c r="Y915" s="59" t="s">
        <v>156</v>
      </c>
      <c r="Z915" s="60"/>
      <c r="AA915" s="25"/>
      <c r="AB915" s="25"/>
    </row>
    <row r="916" spans="2:28">
      <c r="B916" s="40"/>
      <c r="C916" s="40"/>
      <c r="D916" s="41"/>
      <c r="E916" s="42"/>
      <c r="F916" s="42"/>
      <c r="G916" s="43"/>
      <c r="H916" s="42" t="s">
        <v>155</v>
      </c>
      <c r="I916" s="43"/>
      <c r="J916" s="43"/>
      <c r="K916" s="25" t="e">
        <f>VLOOKUP(J916,Key!$E$2:$F$9,2,FALSE)</f>
        <v>#N/A</v>
      </c>
      <c r="L916" s="42"/>
      <c r="M916" s="43" t="s">
        <v>154</v>
      </c>
      <c r="N916" s="42" t="s">
        <v>155</v>
      </c>
      <c r="O916" s="43"/>
      <c r="P916" s="43"/>
      <c r="Q916" s="25" t="e">
        <f>VLOOKUP(P916,Key!$E$2:$F$9,2,FALSE)</f>
        <v>#N/A</v>
      </c>
      <c r="R916" s="25" t="e">
        <f t="shared" si="14"/>
        <v>#N/A</v>
      </c>
      <c r="S916" s="58"/>
      <c r="T916" s="58"/>
      <c r="U916" s="43"/>
      <c r="V916" s="43"/>
      <c r="W916" s="58"/>
      <c r="X916" s="58"/>
      <c r="Y916" s="59" t="s">
        <v>156</v>
      </c>
      <c r="Z916" s="60"/>
      <c r="AA916" s="25"/>
      <c r="AB916" s="25"/>
    </row>
    <row r="917" spans="2:28">
      <c r="B917" s="40"/>
      <c r="C917" s="40"/>
      <c r="D917" s="41"/>
      <c r="E917" s="42"/>
      <c r="F917" s="42"/>
      <c r="G917" s="43"/>
      <c r="H917" s="42" t="s">
        <v>155</v>
      </c>
      <c r="I917" s="43"/>
      <c r="J917" s="43"/>
      <c r="K917" s="25" t="e">
        <f>VLOOKUP(J917,Key!$E$2:$F$9,2,FALSE)</f>
        <v>#N/A</v>
      </c>
      <c r="L917" s="42"/>
      <c r="M917" s="43" t="s">
        <v>154</v>
      </c>
      <c r="N917" s="42" t="s">
        <v>155</v>
      </c>
      <c r="O917" s="43"/>
      <c r="P917" s="43"/>
      <c r="Q917" s="25" t="e">
        <f>VLOOKUP(P917,Key!$E$2:$F$9,2,FALSE)</f>
        <v>#N/A</v>
      </c>
      <c r="R917" s="25" t="e">
        <f t="shared" si="14"/>
        <v>#N/A</v>
      </c>
      <c r="S917" s="58"/>
      <c r="T917" s="58"/>
      <c r="U917" s="43"/>
      <c r="V917" s="43"/>
      <c r="W917" s="58"/>
      <c r="X917" s="58"/>
      <c r="Y917" s="59" t="s">
        <v>156</v>
      </c>
      <c r="Z917" s="60"/>
      <c r="AA917" s="25"/>
      <c r="AB917" s="25"/>
    </row>
    <row r="918" spans="2:28">
      <c r="B918" s="40"/>
      <c r="C918" s="40"/>
      <c r="D918" s="41"/>
      <c r="E918" s="42"/>
      <c r="F918" s="42"/>
      <c r="G918" s="43"/>
      <c r="H918" s="42" t="s">
        <v>155</v>
      </c>
      <c r="I918" s="43"/>
      <c r="J918" s="43"/>
      <c r="K918" s="25" t="e">
        <f>VLOOKUP(J918,Key!$E$2:$F$9,2,FALSE)</f>
        <v>#N/A</v>
      </c>
      <c r="L918" s="42"/>
      <c r="M918" s="43" t="s">
        <v>154</v>
      </c>
      <c r="N918" s="42" t="s">
        <v>155</v>
      </c>
      <c r="O918" s="43"/>
      <c r="P918" s="43"/>
      <c r="Q918" s="25" t="e">
        <f>VLOOKUP(P918,Key!$E$2:$F$9,2,FALSE)</f>
        <v>#N/A</v>
      </c>
      <c r="R918" s="25" t="e">
        <f t="shared" si="14"/>
        <v>#N/A</v>
      </c>
      <c r="S918" s="58"/>
      <c r="T918" s="58"/>
      <c r="U918" s="43"/>
      <c r="V918" s="43"/>
      <c r="W918" s="58"/>
      <c r="X918" s="58"/>
      <c r="Y918" s="59" t="s">
        <v>156</v>
      </c>
      <c r="Z918" s="60"/>
      <c r="AA918" s="25"/>
      <c r="AB918" s="25"/>
    </row>
    <row r="919" spans="2:28">
      <c r="B919" s="40"/>
      <c r="C919" s="40"/>
      <c r="D919" s="41"/>
      <c r="E919" s="42"/>
      <c r="F919" s="42"/>
      <c r="G919" s="43"/>
      <c r="H919" s="42" t="s">
        <v>155</v>
      </c>
      <c r="I919" s="43"/>
      <c r="J919" s="43"/>
      <c r="K919" s="25" t="e">
        <f>VLOOKUP(J919,Key!$E$2:$F$9,2,FALSE)</f>
        <v>#N/A</v>
      </c>
      <c r="L919" s="42"/>
      <c r="M919" s="43" t="s">
        <v>154</v>
      </c>
      <c r="N919" s="42" t="s">
        <v>155</v>
      </c>
      <c r="O919" s="43"/>
      <c r="P919" s="43"/>
      <c r="Q919" s="25" t="e">
        <f>VLOOKUP(P919,Key!$E$2:$F$9,2,FALSE)</f>
        <v>#N/A</v>
      </c>
      <c r="R919" s="25" t="e">
        <f t="shared" si="14"/>
        <v>#N/A</v>
      </c>
      <c r="S919" s="58"/>
      <c r="T919" s="58"/>
      <c r="U919" s="43"/>
      <c r="V919" s="43"/>
      <c r="W919" s="58"/>
      <c r="X919" s="58"/>
      <c r="Y919" s="59" t="s">
        <v>156</v>
      </c>
      <c r="Z919" s="60"/>
      <c r="AA919" s="25"/>
      <c r="AB919" s="25"/>
    </row>
    <row r="920" spans="2:28">
      <c r="B920" s="40"/>
      <c r="C920" s="40"/>
      <c r="D920" s="41"/>
      <c r="E920" s="42"/>
      <c r="F920" s="42"/>
      <c r="G920" s="43"/>
      <c r="H920" s="42" t="s">
        <v>155</v>
      </c>
      <c r="I920" s="43"/>
      <c r="J920" s="43"/>
      <c r="K920" s="25" t="e">
        <f>VLOOKUP(J920,Key!$E$2:$F$9,2,FALSE)</f>
        <v>#N/A</v>
      </c>
      <c r="L920" s="42"/>
      <c r="M920" s="43" t="s">
        <v>154</v>
      </c>
      <c r="N920" s="42" t="s">
        <v>155</v>
      </c>
      <c r="O920" s="43"/>
      <c r="P920" s="43"/>
      <c r="Q920" s="25" t="e">
        <f>VLOOKUP(P920,Key!$E$2:$F$9,2,FALSE)</f>
        <v>#N/A</v>
      </c>
      <c r="R920" s="25" t="e">
        <f t="shared" si="14"/>
        <v>#N/A</v>
      </c>
      <c r="S920" s="58"/>
      <c r="T920" s="58"/>
      <c r="U920" s="43"/>
      <c r="V920" s="43"/>
      <c r="W920" s="58"/>
      <c r="X920" s="58"/>
      <c r="Y920" s="59" t="s">
        <v>156</v>
      </c>
      <c r="Z920" s="60"/>
      <c r="AA920" s="25"/>
      <c r="AB920" s="25"/>
    </row>
    <row r="921" spans="2:28">
      <c r="B921" s="40"/>
      <c r="C921" s="40"/>
      <c r="D921" s="41"/>
      <c r="E921" s="42"/>
      <c r="F921" s="42"/>
      <c r="G921" s="43"/>
      <c r="H921" s="42" t="s">
        <v>155</v>
      </c>
      <c r="I921" s="43"/>
      <c r="J921" s="43"/>
      <c r="K921" s="25" t="e">
        <f>VLOOKUP(J921,Key!$E$2:$F$9,2,FALSE)</f>
        <v>#N/A</v>
      </c>
      <c r="L921" s="42"/>
      <c r="M921" s="43" t="s">
        <v>154</v>
      </c>
      <c r="N921" s="42" t="s">
        <v>155</v>
      </c>
      <c r="O921" s="43"/>
      <c r="P921" s="43"/>
      <c r="Q921" s="25" t="e">
        <f>VLOOKUP(P921,Key!$E$2:$F$9,2,FALSE)</f>
        <v>#N/A</v>
      </c>
      <c r="R921" s="25" t="e">
        <f t="shared" si="14"/>
        <v>#N/A</v>
      </c>
      <c r="S921" s="58"/>
      <c r="T921" s="58"/>
      <c r="U921" s="43"/>
      <c r="V921" s="43"/>
      <c r="W921" s="58"/>
      <c r="X921" s="58"/>
      <c r="Y921" s="59" t="s">
        <v>156</v>
      </c>
      <c r="Z921" s="60"/>
      <c r="AA921" s="25"/>
      <c r="AB921" s="25"/>
    </row>
    <row r="922" spans="2:28">
      <c r="B922" s="40"/>
      <c r="C922" s="40"/>
      <c r="D922" s="41"/>
      <c r="E922" s="42"/>
      <c r="F922" s="42"/>
      <c r="G922" s="43"/>
      <c r="H922" s="42" t="s">
        <v>155</v>
      </c>
      <c r="I922" s="43"/>
      <c r="J922" s="43"/>
      <c r="K922" s="25" t="e">
        <f>VLOOKUP(J922,Key!$E$2:$F$9,2,FALSE)</f>
        <v>#N/A</v>
      </c>
      <c r="L922" s="42"/>
      <c r="M922" s="43" t="s">
        <v>154</v>
      </c>
      <c r="N922" s="42" t="s">
        <v>155</v>
      </c>
      <c r="O922" s="43"/>
      <c r="P922" s="43"/>
      <c r="Q922" s="25" t="e">
        <f>VLOOKUP(P922,Key!$E$2:$F$9,2,FALSE)</f>
        <v>#N/A</v>
      </c>
      <c r="R922" s="25" t="e">
        <f t="shared" si="14"/>
        <v>#N/A</v>
      </c>
      <c r="S922" s="58"/>
      <c r="T922" s="58"/>
      <c r="U922" s="43"/>
      <c r="V922" s="43"/>
      <c r="W922" s="58"/>
      <c r="X922" s="58"/>
      <c r="Y922" s="59" t="s">
        <v>156</v>
      </c>
      <c r="Z922" s="60"/>
      <c r="AA922" s="25"/>
      <c r="AB922" s="25"/>
    </row>
    <row r="923" spans="2:28">
      <c r="B923" s="40"/>
      <c r="C923" s="40"/>
      <c r="D923" s="41"/>
      <c r="E923" s="42"/>
      <c r="F923" s="42"/>
      <c r="G923" s="43"/>
      <c r="H923" s="42" t="s">
        <v>155</v>
      </c>
      <c r="I923" s="43"/>
      <c r="J923" s="43"/>
      <c r="K923" s="25" t="e">
        <f>VLOOKUP(J923,Key!$E$2:$F$9,2,FALSE)</f>
        <v>#N/A</v>
      </c>
      <c r="L923" s="42"/>
      <c r="M923" s="43" t="s">
        <v>154</v>
      </c>
      <c r="N923" s="42" t="s">
        <v>155</v>
      </c>
      <c r="O923" s="43"/>
      <c r="P923" s="43"/>
      <c r="Q923" s="25" t="e">
        <f>VLOOKUP(P923,Key!$E$2:$F$9,2,FALSE)</f>
        <v>#N/A</v>
      </c>
      <c r="R923" s="25" t="e">
        <f t="shared" si="14"/>
        <v>#N/A</v>
      </c>
      <c r="S923" s="58"/>
      <c r="T923" s="58"/>
      <c r="U923" s="43"/>
      <c r="V923" s="43"/>
      <c r="W923" s="58"/>
      <c r="X923" s="58"/>
      <c r="Y923" s="59" t="s">
        <v>156</v>
      </c>
      <c r="Z923" s="60"/>
      <c r="AA923" s="25"/>
      <c r="AB923" s="25"/>
    </row>
    <row r="924" spans="2:28">
      <c r="B924" s="40"/>
      <c r="C924" s="40"/>
      <c r="D924" s="41"/>
      <c r="E924" s="42"/>
      <c r="F924" s="42"/>
      <c r="G924" s="43"/>
      <c r="H924" s="42" t="s">
        <v>155</v>
      </c>
      <c r="I924" s="43"/>
      <c r="J924" s="43"/>
      <c r="K924" s="25" t="e">
        <f>VLOOKUP(J924,Key!$E$2:$F$9,2,FALSE)</f>
        <v>#N/A</v>
      </c>
      <c r="L924" s="42"/>
      <c r="M924" s="43" t="s">
        <v>154</v>
      </c>
      <c r="N924" s="42" t="s">
        <v>155</v>
      </c>
      <c r="O924" s="43"/>
      <c r="P924" s="43"/>
      <c r="Q924" s="25" t="e">
        <f>VLOOKUP(P924,Key!$E$2:$F$9,2,FALSE)</f>
        <v>#N/A</v>
      </c>
      <c r="R924" s="25" t="e">
        <f t="shared" si="14"/>
        <v>#N/A</v>
      </c>
      <c r="S924" s="58"/>
      <c r="T924" s="58"/>
      <c r="U924" s="43"/>
      <c r="V924" s="43"/>
      <c r="W924" s="58"/>
      <c r="X924" s="58"/>
      <c r="Y924" s="59" t="s">
        <v>156</v>
      </c>
      <c r="Z924" s="60"/>
      <c r="AA924" s="25"/>
      <c r="AB924" s="25"/>
    </row>
    <row r="925" spans="2:28">
      <c r="B925" s="40"/>
      <c r="C925" s="40"/>
      <c r="D925" s="41"/>
      <c r="E925" s="42"/>
      <c r="F925" s="42"/>
      <c r="G925" s="43"/>
      <c r="H925" s="42" t="s">
        <v>155</v>
      </c>
      <c r="I925" s="43"/>
      <c r="J925" s="43"/>
      <c r="K925" s="25" t="e">
        <f>VLOOKUP(J925,Key!$E$2:$F$9,2,FALSE)</f>
        <v>#N/A</v>
      </c>
      <c r="L925" s="42"/>
      <c r="M925" s="43" t="s">
        <v>154</v>
      </c>
      <c r="N925" s="42" t="s">
        <v>155</v>
      </c>
      <c r="O925" s="43"/>
      <c r="P925" s="43"/>
      <c r="Q925" s="25" t="e">
        <f>VLOOKUP(P925,Key!$E$2:$F$9,2,FALSE)</f>
        <v>#N/A</v>
      </c>
      <c r="R925" s="25" t="e">
        <f t="shared" si="14"/>
        <v>#N/A</v>
      </c>
      <c r="S925" s="58"/>
      <c r="T925" s="58"/>
      <c r="U925" s="43"/>
      <c r="V925" s="43"/>
      <c r="W925" s="58"/>
      <c r="X925" s="58"/>
      <c r="Y925" s="59" t="s">
        <v>156</v>
      </c>
      <c r="Z925" s="60"/>
      <c r="AA925" s="25"/>
      <c r="AB925" s="25"/>
    </row>
    <row r="926" spans="2:28">
      <c r="B926" s="40"/>
      <c r="C926" s="40"/>
      <c r="D926" s="41"/>
      <c r="E926" s="42"/>
      <c r="F926" s="42"/>
      <c r="G926" s="43"/>
      <c r="H926" s="42" t="s">
        <v>155</v>
      </c>
      <c r="I926" s="43"/>
      <c r="J926" s="43"/>
      <c r="K926" s="25" t="e">
        <f>VLOOKUP(J926,Key!$E$2:$F$9,2,FALSE)</f>
        <v>#N/A</v>
      </c>
      <c r="L926" s="42"/>
      <c r="M926" s="43" t="s">
        <v>154</v>
      </c>
      <c r="N926" s="42" t="s">
        <v>155</v>
      </c>
      <c r="O926" s="43"/>
      <c r="P926" s="43"/>
      <c r="Q926" s="25" t="e">
        <f>VLOOKUP(P926,Key!$E$2:$F$9,2,FALSE)</f>
        <v>#N/A</v>
      </c>
      <c r="R926" s="25" t="e">
        <f t="shared" si="14"/>
        <v>#N/A</v>
      </c>
      <c r="S926" s="58"/>
      <c r="T926" s="58"/>
      <c r="U926" s="43"/>
      <c r="V926" s="43"/>
      <c r="W926" s="58"/>
      <c r="X926" s="58"/>
      <c r="Y926" s="59" t="s">
        <v>156</v>
      </c>
      <c r="Z926" s="60"/>
      <c r="AA926" s="25"/>
      <c r="AB926" s="25"/>
    </row>
    <row r="927" spans="2:28">
      <c r="B927" s="40"/>
      <c r="C927" s="40"/>
      <c r="D927" s="41"/>
      <c r="E927" s="42"/>
      <c r="F927" s="42"/>
      <c r="G927" s="43"/>
      <c r="H927" s="42" t="s">
        <v>155</v>
      </c>
      <c r="I927" s="43"/>
      <c r="J927" s="43"/>
      <c r="K927" s="25" t="e">
        <f>VLOOKUP(J927,Key!$E$2:$F$9,2,FALSE)</f>
        <v>#N/A</v>
      </c>
      <c r="L927" s="42"/>
      <c r="M927" s="43" t="s">
        <v>154</v>
      </c>
      <c r="N927" s="42" t="s">
        <v>155</v>
      </c>
      <c r="O927" s="43"/>
      <c r="P927" s="43"/>
      <c r="Q927" s="25" t="e">
        <f>VLOOKUP(P927,Key!$E$2:$F$9,2,FALSE)</f>
        <v>#N/A</v>
      </c>
      <c r="R927" s="25" t="e">
        <f t="shared" si="14"/>
        <v>#N/A</v>
      </c>
      <c r="S927" s="58"/>
      <c r="T927" s="58"/>
      <c r="U927" s="43"/>
      <c r="V927" s="43"/>
      <c r="W927" s="58"/>
      <c r="X927" s="58"/>
      <c r="Y927" s="59" t="s">
        <v>156</v>
      </c>
      <c r="Z927" s="60"/>
      <c r="AA927" s="25"/>
      <c r="AB927" s="25"/>
    </row>
    <row r="928" spans="2:28">
      <c r="B928" s="40"/>
      <c r="C928" s="40"/>
      <c r="D928" s="41"/>
      <c r="E928" s="42"/>
      <c r="F928" s="42"/>
      <c r="G928" s="43"/>
      <c r="H928" s="42" t="s">
        <v>155</v>
      </c>
      <c r="I928" s="43"/>
      <c r="J928" s="43"/>
      <c r="K928" s="25" t="e">
        <f>VLOOKUP(J928,Key!$E$2:$F$9,2,FALSE)</f>
        <v>#N/A</v>
      </c>
      <c r="L928" s="42"/>
      <c r="M928" s="43" t="s">
        <v>154</v>
      </c>
      <c r="N928" s="42" t="s">
        <v>155</v>
      </c>
      <c r="O928" s="43"/>
      <c r="P928" s="43"/>
      <c r="Q928" s="25" t="e">
        <f>VLOOKUP(P928,Key!$E$2:$F$9,2,FALSE)</f>
        <v>#N/A</v>
      </c>
      <c r="R928" s="25" t="e">
        <f t="shared" si="14"/>
        <v>#N/A</v>
      </c>
      <c r="S928" s="58"/>
      <c r="T928" s="58"/>
      <c r="U928" s="43"/>
      <c r="V928" s="43"/>
      <c r="W928" s="58"/>
      <c r="X928" s="58"/>
      <c r="Y928" s="59" t="s">
        <v>156</v>
      </c>
      <c r="Z928" s="60"/>
      <c r="AA928" s="25"/>
      <c r="AB928" s="25"/>
    </row>
    <row r="929" spans="2:28">
      <c r="B929" s="40"/>
      <c r="C929" s="40"/>
      <c r="D929" s="41"/>
      <c r="E929" s="42"/>
      <c r="F929" s="42"/>
      <c r="G929" s="43"/>
      <c r="H929" s="42" t="s">
        <v>155</v>
      </c>
      <c r="I929" s="43"/>
      <c r="J929" s="43"/>
      <c r="K929" s="25" t="e">
        <f>VLOOKUP(J929,Key!$E$2:$F$9,2,FALSE)</f>
        <v>#N/A</v>
      </c>
      <c r="L929" s="42"/>
      <c r="M929" s="43" t="s">
        <v>154</v>
      </c>
      <c r="N929" s="42" t="s">
        <v>155</v>
      </c>
      <c r="O929" s="43"/>
      <c r="P929" s="43"/>
      <c r="Q929" s="25" t="e">
        <f>VLOOKUP(P929,Key!$E$2:$F$9,2,FALSE)</f>
        <v>#N/A</v>
      </c>
      <c r="R929" s="25" t="e">
        <f t="shared" si="14"/>
        <v>#N/A</v>
      </c>
      <c r="S929" s="58"/>
      <c r="T929" s="58"/>
      <c r="U929" s="43"/>
      <c r="V929" s="43"/>
      <c r="W929" s="58"/>
      <c r="X929" s="58"/>
      <c r="Y929" s="59" t="s">
        <v>156</v>
      </c>
      <c r="Z929" s="60"/>
      <c r="AA929" s="25"/>
      <c r="AB929" s="25"/>
    </row>
    <row r="930" spans="2:28">
      <c r="B930" s="40"/>
      <c r="C930" s="40"/>
      <c r="D930" s="41"/>
      <c r="E930" s="42"/>
      <c r="F930" s="42"/>
      <c r="G930" s="43"/>
      <c r="H930" s="42" t="s">
        <v>155</v>
      </c>
      <c r="I930" s="43"/>
      <c r="J930" s="43"/>
      <c r="K930" s="25" t="e">
        <f>VLOOKUP(J930,Key!$E$2:$F$9,2,FALSE)</f>
        <v>#N/A</v>
      </c>
      <c r="L930" s="42"/>
      <c r="M930" s="43" t="s">
        <v>154</v>
      </c>
      <c r="N930" s="42" t="s">
        <v>155</v>
      </c>
      <c r="O930" s="43"/>
      <c r="P930" s="43"/>
      <c r="Q930" s="25" t="e">
        <f>VLOOKUP(P930,Key!$E$2:$F$9,2,FALSE)</f>
        <v>#N/A</v>
      </c>
      <c r="R930" s="25" t="e">
        <f t="shared" si="14"/>
        <v>#N/A</v>
      </c>
      <c r="S930" s="58"/>
      <c r="T930" s="58"/>
      <c r="U930" s="43"/>
      <c r="V930" s="43"/>
      <c r="W930" s="58"/>
      <c r="X930" s="58"/>
      <c r="Y930" s="59" t="s">
        <v>156</v>
      </c>
      <c r="Z930" s="60"/>
      <c r="AA930" s="25"/>
      <c r="AB930" s="25"/>
    </row>
    <row r="931" spans="2:28">
      <c r="B931" s="40"/>
      <c r="C931" s="40"/>
      <c r="D931" s="41"/>
      <c r="E931" s="42"/>
      <c r="F931" s="42"/>
      <c r="G931" s="43"/>
      <c r="H931" s="42" t="s">
        <v>155</v>
      </c>
      <c r="I931" s="43"/>
      <c r="J931" s="43"/>
      <c r="K931" s="25" t="e">
        <f>VLOOKUP(J931,Key!$E$2:$F$9,2,FALSE)</f>
        <v>#N/A</v>
      </c>
      <c r="L931" s="42"/>
      <c r="M931" s="43" t="s">
        <v>154</v>
      </c>
      <c r="N931" s="42" t="s">
        <v>155</v>
      </c>
      <c r="O931" s="43"/>
      <c r="P931" s="43"/>
      <c r="Q931" s="25" t="e">
        <f>VLOOKUP(P931,Key!$E$2:$F$9,2,FALSE)</f>
        <v>#N/A</v>
      </c>
      <c r="R931" s="25" t="e">
        <f t="shared" si="14"/>
        <v>#N/A</v>
      </c>
      <c r="S931" s="58"/>
      <c r="T931" s="58"/>
      <c r="U931" s="43"/>
      <c r="V931" s="43"/>
      <c r="W931" s="58"/>
      <c r="X931" s="58"/>
      <c r="Y931" s="59" t="s">
        <v>156</v>
      </c>
      <c r="Z931" s="60"/>
      <c r="AA931" s="25"/>
      <c r="AB931" s="25"/>
    </row>
    <row r="932" spans="2:28">
      <c r="B932" s="40"/>
      <c r="C932" s="40"/>
      <c r="D932" s="41"/>
      <c r="E932" s="42"/>
      <c r="F932" s="42"/>
      <c r="G932" s="43"/>
      <c r="H932" s="42" t="s">
        <v>155</v>
      </c>
      <c r="I932" s="43"/>
      <c r="J932" s="43"/>
      <c r="K932" s="25" t="e">
        <f>VLOOKUP(J932,Key!$E$2:$F$9,2,FALSE)</f>
        <v>#N/A</v>
      </c>
      <c r="L932" s="42"/>
      <c r="M932" s="43" t="s">
        <v>154</v>
      </c>
      <c r="N932" s="42" t="s">
        <v>155</v>
      </c>
      <c r="O932" s="43"/>
      <c r="P932" s="43"/>
      <c r="Q932" s="25" t="e">
        <f>VLOOKUP(P932,Key!$E$2:$F$9,2,FALSE)</f>
        <v>#N/A</v>
      </c>
      <c r="R932" s="25" t="e">
        <f t="shared" si="14"/>
        <v>#N/A</v>
      </c>
      <c r="S932" s="58"/>
      <c r="T932" s="58"/>
      <c r="U932" s="43"/>
      <c r="V932" s="43"/>
      <c r="W932" s="58"/>
      <c r="X932" s="58"/>
      <c r="Y932" s="59" t="s">
        <v>156</v>
      </c>
      <c r="Z932" s="60"/>
      <c r="AA932" s="25"/>
      <c r="AB932" s="25"/>
    </row>
    <row r="933" spans="2:28">
      <c r="B933" s="40"/>
      <c r="C933" s="40"/>
      <c r="D933" s="41"/>
      <c r="E933" s="42"/>
      <c r="F933" s="42"/>
      <c r="G933" s="43"/>
      <c r="H933" s="42" t="s">
        <v>155</v>
      </c>
      <c r="I933" s="43"/>
      <c r="J933" s="43"/>
      <c r="K933" s="25" t="e">
        <f>VLOOKUP(J933,Key!$E$2:$F$9,2,FALSE)</f>
        <v>#N/A</v>
      </c>
      <c r="L933" s="42"/>
      <c r="M933" s="43" t="s">
        <v>154</v>
      </c>
      <c r="N933" s="42" t="s">
        <v>155</v>
      </c>
      <c r="O933" s="43"/>
      <c r="P933" s="43"/>
      <c r="Q933" s="25" t="e">
        <f>VLOOKUP(P933,Key!$E$2:$F$9,2,FALSE)</f>
        <v>#N/A</v>
      </c>
      <c r="R933" s="25" t="e">
        <f t="shared" si="14"/>
        <v>#N/A</v>
      </c>
      <c r="S933" s="58"/>
      <c r="T933" s="58"/>
      <c r="U933" s="43"/>
      <c r="V933" s="43"/>
      <c r="W933" s="58"/>
      <c r="X933" s="58"/>
      <c r="Y933" s="59" t="s">
        <v>156</v>
      </c>
      <c r="Z933" s="60"/>
      <c r="AA933" s="25"/>
      <c r="AB933" s="25"/>
    </row>
    <row r="934" spans="2:28">
      <c r="B934" s="40"/>
      <c r="C934" s="40"/>
      <c r="D934" s="41"/>
      <c r="E934" s="42"/>
      <c r="F934" s="42"/>
      <c r="G934" s="43"/>
      <c r="H934" s="42" t="s">
        <v>155</v>
      </c>
      <c r="I934" s="43"/>
      <c r="J934" s="43"/>
      <c r="K934" s="25" t="e">
        <f>VLOOKUP(J934,Key!$E$2:$F$9,2,FALSE)</f>
        <v>#N/A</v>
      </c>
      <c r="L934" s="42"/>
      <c r="M934" s="43" t="s">
        <v>154</v>
      </c>
      <c r="N934" s="42" t="s">
        <v>155</v>
      </c>
      <c r="O934" s="43"/>
      <c r="P934" s="43"/>
      <c r="Q934" s="25" t="e">
        <f>VLOOKUP(P934,Key!$E$2:$F$9,2,FALSE)</f>
        <v>#N/A</v>
      </c>
      <c r="R934" s="25" t="e">
        <f t="shared" ref="R934:R997" si="15">K934&amp;"-"&amp;Q934</f>
        <v>#N/A</v>
      </c>
      <c r="S934" s="58"/>
      <c r="T934" s="58"/>
      <c r="U934" s="43"/>
      <c r="V934" s="43"/>
      <c r="W934" s="58"/>
      <c r="X934" s="58"/>
      <c r="Y934" s="59" t="s">
        <v>156</v>
      </c>
      <c r="Z934" s="60"/>
      <c r="AA934" s="25"/>
      <c r="AB934" s="25"/>
    </row>
    <row r="935" spans="2:28">
      <c r="B935" s="40"/>
      <c r="C935" s="40"/>
      <c r="D935" s="41"/>
      <c r="E935" s="42"/>
      <c r="F935" s="42"/>
      <c r="G935" s="43"/>
      <c r="H935" s="42" t="s">
        <v>155</v>
      </c>
      <c r="I935" s="43"/>
      <c r="J935" s="43"/>
      <c r="K935" s="25" t="e">
        <f>VLOOKUP(J935,Key!$E$2:$F$9,2,FALSE)</f>
        <v>#N/A</v>
      </c>
      <c r="L935" s="42"/>
      <c r="M935" s="43" t="s">
        <v>154</v>
      </c>
      <c r="N935" s="42" t="s">
        <v>155</v>
      </c>
      <c r="O935" s="43"/>
      <c r="P935" s="43"/>
      <c r="Q935" s="25" t="e">
        <f>VLOOKUP(P935,Key!$E$2:$F$9,2,FALSE)</f>
        <v>#N/A</v>
      </c>
      <c r="R935" s="25" t="e">
        <f t="shared" si="15"/>
        <v>#N/A</v>
      </c>
      <c r="S935" s="58"/>
      <c r="T935" s="58"/>
      <c r="U935" s="43"/>
      <c r="V935" s="43"/>
      <c r="W935" s="58"/>
      <c r="X935" s="58"/>
      <c r="Y935" s="59" t="s">
        <v>156</v>
      </c>
      <c r="Z935" s="60"/>
      <c r="AA935" s="25"/>
      <c r="AB935" s="25"/>
    </row>
    <row r="936" spans="2:28">
      <c r="B936" s="40"/>
      <c r="C936" s="40"/>
      <c r="D936" s="41"/>
      <c r="E936" s="42"/>
      <c r="F936" s="42"/>
      <c r="G936" s="43"/>
      <c r="H936" s="42" t="s">
        <v>155</v>
      </c>
      <c r="I936" s="43"/>
      <c r="J936" s="43"/>
      <c r="K936" s="25" t="e">
        <f>VLOOKUP(J936,Key!$E$2:$F$9,2,FALSE)</f>
        <v>#N/A</v>
      </c>
      <c r="L936" s="42"/>
      <c r="M936" s="43" t="s">
        <v>154</v>
      </c>
      <c r="N936" s="42" t="s">
        <v>155</v>
      </c>
      <c r="O936" s="43"/>
      <c r="P936" s="43"/>
      <c r="Q936" s="25" t="e">
        <f>VLOOKUP(P936,Key!$E$2:$F$9,2,FALSE)</f>
        <v>#N/A</v>
      </c>
      <c r="R936" s="25" t="e">
        <f t="shared" si="15"/>
        <v>#N/A</v>
      </c>
      <c r="S936" s="58"/>
      <c r="T936" s="58"/>
      <c r="U936" s="43"/>
      <c r="V936" s="43"/>
      <c r="W936" s="58"/>
      <c r="X936" s="58"/>
      <c r="Y936" s="59" t="s">
        <v>156</v>
      </c>
      <c r="Z936" s="60"/>
      <c r="AA936" s="25"/>
      <c r="AB936" s="25"/>
    </row>
    <row r="937" spans="2:28">
      <c r="B937" s="40"/>
      <c r="C937" s="40"/>
      <c r="D937" s="41"/>
      <c r="E937" s="42"/>
      <c r="F937" s="42"/>
      <c r="G937" s="43"/>
      <c r="H937" s="42" t="s">
        <v>155</v>
      </c>
      <c r="I937" s="43"/>
      <c r="J937" s="43"/>
      <c r="K937" s="25" t="e">
        <f>VLOOKUP(J937,Key!$E$2:$F$9,2,FALSE)</f>
        <v>#N/A</v>
      </c>
      <c r="L937" s="42"/>
      <c r="M937" s="43" t="s">
        <v>154</v>
      </c>
      <c r="N937" s="42" t="s">
        <v>155</v>
      </c>
      <c r="O937" s="43"/>
      <c r="P937" s="43"/>
      <c r="Q937" s="25" t="e">
        <f>VLOOKUP(P937,Key!$E$2:$F$9,2,FALSE)</f>
        <v>#N/A</v>
      </c>
      <c r="R937" s="25" t="e">
        <f t="shared" si="15"/>
        <v>#N/A</v>
      </c>
      <c r="S937" s="58"/>
      <c r="T937" s="58"/>
      <c r="U937" s="43"/>
      <c r="V937" s="43"/>
      <c r="W937" s="58"/>
      <c r="X937" s="58"/>
      <c r="Y937" s="59" t="s">
        <v>156</v>
      </c>
      <c r="Z937" s="60"/>
      <c r="AA937" s="25"/>
      <c r="AB937" s="25"/>
    </row>
    <row r="938" spans="2:28">
      <c r="B938" s="40"/>
      <c r="C938" s="40"/>
      <c r="D938" s="41"/>
      <c r="E938" s="42"/>
      <c r="F938" s="42"/>
      <c r="G938" s="43"/>
      <c r="H938" s="42" t="s">
        <v>155</v>
      </c>
      <c r="I938" s="43"/>
      <c r="J938" s="43"/>
      <c r="K938" s="25" t="e">
        <f>VLOOKUP(J938,Key!$E$2:$F$9,2,FALSE)</f>
        <v>#N/A</v>
      </c>
      <c r="L938" s="42"/>
      <c r="M938" s="43" t="s">
        <v>154</v>
      </c>
      <c r="N938" s="42" t="s">
        <v>155</v>
      </c>
      <c r="O938" s="43"/>
      <c r="P938" s="43"/>
      <c r="Q938" s="25" t="e">
        <f>VLOOKUP(P938,Key!$E$2:$F$9,2,FALSE)</f>
        <v>#N/A</v>
      </c>
      <c r="R938" s="25" t="e">
        <f t="shared" si="15"/>
        <v>#N/A</v>
      </c>
      <c r="S938" s="58"/>
      <c r="T938" s="58"/>
      <c r="U938" s="43"/>
      <c r="V938" s="43"/>
      <c r="W938" s="58"/>
      <c r="X938" s="58"/>
      <c r="Y938" s="59" t="s">
        <v>156</v>
      </c>
      <c r="Z938" s="60"/>
      <c r="AA938" s="25"/>
      <c r="AB938" s="25"/>
    </row>
    <row r="939" spans="2:28">
      <c r="B939" s="40"/>
      <c r="C939" s="40"/>
      <c r="D939" s="41"/>
      <c r="E939" s="42"/>
      <c r="F939" s="42"/>
      <c r="G939" s="43"/>
      <c r="H939" s="42" t="s">
        <v>155</v>
      </c>
      <c r="I939" s="43"/>
      <c r="J939" s="43"/>
      <c r="K939" s="25" t="e">
        <f>VLOOKUP(J939,Key!$E$2:$F$9,2,FALSE)</f>
        <v>#N/A</v>
      </c>
      <c r="L939" s="42"/>
      <c r="M939" s="43" t="s">
        <v>154</v>
      </c>
      <c r="N939" s="42" t="s">
        <v>155</v>
      </c>
      <c r="O939" s="43"/>
      <c r="P939" s="43"/>
      <c r="Q939" s="25" t="e">
        <f>VLOOKUP(P939,Key!$E$2:$F$9,2,FALSE)</f>
        <v>#N/A</v>
      </c>
      <c r="R939" s="25" t="e">
        <f t="shared" si="15"/>
        <v>#N/A</v>
      </c>
      <c r="S939" s="58"/>
      <c r="T939" s="58"/>
      <c r="U939" s="43"/>
      <c r="V939" s="43"/>
      <c r="W939" s="58"/>
      <c r="X939" s="58"/>
      <c r="Y939" s="59" t="s">
        <v>156</v>
      </c>
      <c r="Z939" s="60"/>
      <c r="AA939" s="25"/>
      <c r="AB939" s="25"/>
    </row>
    <row r="940" spans="2:28">
      <c r="B940" s="40"/>
      <c r="C940" s="40"/>
      <c r="D940" s="41"/>
      <c r="E940" s="42"/>
      <c r="F940" s="42"/>
      <c r="G940" s="43"/>
      <c r="H940" s="42" t="s">
        <v>155</v>
      </c>
      <c r="I940" s="43"/>
      <c r="J940" s="43"/>
      <c r="K940" s="25" t="e">
        <f>VLOOKUP(J940,Key!$E$2:$F$9,2,FALSE)</f>
        <v>#N/A</v>
      </c>
      <c r="L940" s="42"/>
      <c r="M940" s="43" t="s">
        <v>154</v>
      </c>
      <c r="N940" s="42" t="s">
        <v>155</v>
      </c>
      <c r="O940" s="43"/>
      <c r="P940" s="43"/>
      <c r="Q940" s="25" t="e">
        <f>VLOOKUP(P940,Key!$E$2:$F$9,2,FALSE)</f>
        <v>#N/A</v>
      </c>
      <c r="R940" s="25" t="e">
        <f t="shared" si="15"/>
        <v>#N/A</v>
      </c>
      <c r="S940" s="58"/>
      <c r="T940" s="58"/>
      <c r="U940" s="43"/>
      <c r="V940" s="43"/>
      <c r="W940" s="58"/>
      <c r="X940" s="58"/>
      <c r="Y940" s="59" t="s">
        <v>156</v>
      </c>
      <c r="Z940" s="60"/>
      <c r="AA940" s="25"/>
      <c r="AB940" s="25"/>
    </row>
    <row r="941" spans="2:28">
      <c r="B941" s="40"/>
      <c r="C941" s="40"/>
      <c r="D941" s="41"/>
      <c r="E941" s="42"/>
      <c r="F941" s="42"/>
      <c r="G941" s="43"/>
      <c r="H941" s="42" t="s">
        <v>155</v>
      </c>
      <c r="I941" s="43"/>
      <c r="J941" s="43"/>
      <c r="K941" s="25" t="e">
        <f>VLOOKUP(J941,Key!$E$2:$F$9,2,FALSE)</f>
        <v>#N/A</v>
      </c>
      <c r="L941" s="42"/>
      <c r="M941" s="43" t="s">
        <v>154</v>
      </c>
      <c r="N941" s="42" t="s">
        <v>155</v>
      </c>
      <c r="O941" s="43"/>
      <c r="P941" s="43"/>
      <c r="Q941" s="25" t="e">
        <f>VLOOKUP(P941,Key!$E$2:$F$9,2,FALSE)</f>
        <v>#N/A</v>
      </c>
      <c r="R941" s="25" t="e">
        <f t="shared" si="15"/>
        <v>#N/A</v>
      </c>
      <c r="S941" s="58"/>
      <c r="T941" s="58"/>
      <c r="U941" s="43"/>
      <c r="V941" s="43"/>
      <c r="W941" s="58"/>
      <c r="X941" s="58"/>
      <c r="Y941" s="59" t="s">
        <v>156</v>
      </c>
      <c r="Z941" s="60"/>
      <c r="AA941" s="25"/>
      <c r="AB941" s="25"/>
    </row>
    <row r="942" spans="2:28">
      <c r="B942" s="40"/>
      <c r="C942" s="40"/>
      <c r="D942" s="41"/>
      <c r="E942" s="42"/>
      <c r="F942" s="42"/>
      <c r="G942" s="43"/>
      <c r="H942" s="42" t="s">
        <v>155</v>
      </c>
      <c r="I942" s="43"/>
      <c r="J942" s="43"/>
      <c r="K942" s="25" t="e">
        <f>VLOOKUP(J942,Key!$E$2:$F$9,2,FALSE)</f>
        <v>#N/A</v>
      </c>
      <c r="L942" s="42"/>
      <c r="M942" s="43" t="s">
        <v>154</v>
      </c>
      <c r="N942" s="42" t="s">
        <v>155</v>
      </c>
      <c r="O942" s="43"/>
      <c r="P942" s="43"/>
      <c r="Q942" s="25" t="e">
        <f>VLOOKUP(P942,Key!$E$2:$F$9,2,FALSE)</f>
        <v>#N/A</v>
      </c>
      <c r="R942" s="25" t="e">
        <f t="shared" si="15"/>
        <v>#N/A</v>
      </c>
      <c r="S942" s="58"/>
      <c r="T942" s="58"/>
      <c r="U942" s="43"/>
      <c r="V942" s="43"/>
      <c r="W942" s="58"/>
      <c r="X942" s="58"/>
      <c r="Y942" s="59" t="s">
        <v>156</v>
      </c>
      <c r="Z942" s="60"/>
      <c r="AA942" s="25"/>
      <c r="AB942" s="25"/>
    </row>
    <row r="943" spans="2:28">
      <c r="B943" s="40"/>
      <c r="C943" s="40"/>
      <c r="D943" s="41"/>
      <c r="E943" s="42"/>
      <c r="F943" s="42"/>
      <c r="G943" s="43"/>
      <c r="H943" s="42" t="s">
        <v>155</v>
      </c>
      <c r="I943" s="43"/>
      <c r="J943" s="43"/>
      <c r="K943" s="25" t="e">
        <f>VLOOKUP(J943,Key!$E$2:$F$9,2,FALSE)</f>
        <v>#N/A</v>
      </c>
      <c r="L943" s="42"/>
      <c r="M943" s="43" t="s">
        <v>154</v>
      </c>
      <c r="N943" s="42" t="s">
        <v>155</v>
      </c>
      <c r="O943" s="43"/>
      <c r="P943" s="43"/>
      <c r="Q943" s="25" t="e">
        <f>VLOOKUP(P943,Key!$E$2:$F$9,2,FALSE)</f>
        <v>#N/A</v>
      </c>
      <c r="R943" s="25" t="e">
        <f t="shared" si="15"/>
        <v>#N/A</v>
      </c>
      <c r="S943" s="58"/>
      <c r="T943" s="58"/>
      <c r="U943" s="43"/>
      <c r="V943" s="43"/>
      <c r="W943" s="58"/>
      <c r="X943" s="58"/>
      <c r="Y943" s="59" t="s">
        <v>156</v>
      </c>
      <c r="Z943" s="60"/>
      <c r="AA943" s="25"/>
      <c r="AB943" s="25"/>
    </row>
    <row r="944" spans="2:28">
      <c r="B944" s="40"/>
      <c r="C944" s="40"/>
      <c r="D944" s="41"/>
      <c r="E944" s="42"/>
      <c r="F944" s="42"/>
      <c r="G944" s="43"/>
      <c r="H944" s="42" t="s">
        <v>155</v>
      </c>
      <c r="I944" s="43"/>
      <c r="J944" s="43"/>
      <c r="K944" s="25" t="e">
        <f>VLOOKUP(J944,Key!$E$2:$F$9,2,FALSE)</f>
        <v>#N/A</v>
      </c>
      <c r="L944" s="42"/>
      <c r="M944" s="43" t="s">
        <v>154</v>
      </c>
      <c r="N944" s="42" t="s">
        <v>155</v>
      </c>
      <c r="O944" s="43"/>
      <c r="P944" s="43"/>
      <c r="Q944" s="25" t="e">
        <f>VLOOKUP(P944,Key!$E$2:$F$9,2,FALSE)</f>
        <v>#N/A</v>
      </c>
      <c r="R944" s="25" t="e">
        <f t="shared" si="15"/>
        <v>#N/A</v>
      </c>
      <c r="S944" s="58"/>
      <c r="T944" s="58"/>
      <c r="U944" s="43"/>
      <c r="V944" s="43"/>
      <c r="W944" s="58"/>
      <c r="X944" s="58"/>
      <c r="Y944" s="59" t="s">
        <v>156</v>
      </c>
      <c r="Z944" s="60"/>
      <c r="AA944" s="25"/>
      <c r="AB944" s="25"/>
    </row>
    <row r="945" spans="2:28">
      <c r="B945" s="40"/>
      <c r="C945" s="40"/>
      <c r="D945" s="41"/>
      <c r="E945" s="42"/>
      <c r="F945" s="42"/>
      <c r="G945" s="43"/>
      <c r="H945" s="42" t="s">
        <v>155</v>
      </c>
      <c r="I945" s="43"/>
      <c r="J945" s="43"/>
      <c r="K945" s="25" t="e">
        <f>VLOOKUP(J945,Key!$E$2:$F$9,2,FALSE)</f>
        <v>#N/A</v>
      </c>
      <c r="L945" s="42"/>
      <c r="M945" s="43" t="s">
        <v>154</v>
      </c>
      <c r="N945" s="42" t="s">
        <v>155</v>
      </c>
      <c r="O945" s="43"/>
      <c r="P945" s="43"/>
      <c r="Q945" s="25" t="e">
        <f>VLOOKUP(P945,Key!$E$2:$F$9,2,FALSE)</f>
        <v>#N/A</v>
      </c>
      <c r="R945" s="25" t="e">
        <f t="shared" si="15"/>
        <v>#N/A</v>
      </c>
      <c r="S945" s="58"/>
      <c r="T945" s="58"/>
      <c r="U945" s="43"/>
      <c r="V945" s="43"/>
      <c r="W945" s="58"/>
      <c r="X945" s="58"/>
      <c r="Y945" s="59" t="s">
        <v>156</v>
      </c>
      <c r="Z945" s="60"/>
      <c r="AA945" s="25"/>
      <c r="AB945" s="25"/>
    </row>
    <row r="946" spans="2:28">
      <c r="B946" s="40"/>
      <c r="C946" s="40"/>
      <c r="D946" s="41"/>
      <c r="E946" s="42"/>
      <c r="F946" s="42"/>
      <c r="G946" s="43"/>
      <c r="H946" s="42" t="s">
        <v>155</v>
      </c>
      <c r="I946" s="43"/>
      <c r="J946" s="43"/>
      <c r="K946" s="25" t="e">
        <f>VLOOKUP(J946,Key!$E$2:$F$9,2,FALSE)</f>
        <v>#N/A</v>
      </c>
      <c r="L946" s="42"/>
      <c r="M946" s="43" t="s">
        <v>154</v>
      </c>
      <c r="N946" s="42" t="s">
        <v>155</v>
      </c>
      <c r="O946" s="43"/>
      <c r="P946" s="43"/>
      <c r="Q946" s="25" t="e">
        <f>VLOOKUP(P946,Key!$E$2:$F$9,2,FALSE)</f>
        <v>#N/A</v>
      </c>
      <c r="R946" s="25" t="e">
        <f t="shared" si="15"/>
        <v>#N/A</v>
      </c>
      <c r="S946" s="58"/>
      <c r="T946" s="58"/>
      <c r="U946" s="43"/>
      <c r="V946" s="43"/>
      <c r="W946" s="58"/>
      <c r="X946" s="58"/>
      <c r="Y946" s="59" t="s">
        <v>156</v>
      </c>
      <c r="Z946" s="60"/>
      <c r="AA946" s="25"/>
      <c r="AB946" s="25"/>
    </row>
    <row r="947" spans="2:28">
      <c r="B947" s="40"/>
      <c r="C947" s="40"/>
      <c r="D947" s="41"/>
      <c r="E947" s="42"/>
      <c r="F947" s="42"/>
      <c r="G947" s="43"/>
      <c r="H947" s="42" t="s">
        <v>155</v>
      </c>
      <c r="I947" s="43"/>
      <c r="J947" s="43"/>
      <c r="K947" s="25" t="e">
        <f>VLOOKUP(J947,Key!$E$2:$F$9,2,FALSE)</f>
        <v>#N/A</v>
      </c>
      <c r="L947" s="42"/>
      <c r="M947" s="43" t="s">
        <v>154</v>
      </c>
      <c r="N947" s="42" t="s">
        <v>155</v>
      </c>
      <c r="O947" s="43"/>
      <c r="P947" s="43"/>
      <c r="Q947" s="25" t="e">
        <f>VLOOKUP(P947,Key!$E$2:$F$9,2,FALSE)</f>
        <v>#N/A</v>
      </c>
      <c r="R947" s="25" t="e">
        <f t="shared" si="15"/>
        <v>#N/A</v>
      </c>
      <c r="S947" s="58"/>
      <c r="T947" s="58"/>
      <c r="U947" s="43"/>
      <c r="V947" s="43"/>
      <c r="W947" s="58"/>
      <c r="X947" s="58"/>
      <c r="Y947" s="59" t="s">
        <v>156</v>
      </c>
      <c r="Z947" s="60"/>
      <c r="AA947" s="25"/>
      <c r="AB947" s="25"/>
    </row>
    <row r="948" spans="2:28">
      <c r="B948" s="40"/>
      <c r="C948" s="40"/>
      <c r="D948" s="41"/>
      <c r="E948" s="42"/>
      <c r="F948" s="42"/>
      <c r="G948" s="43"/>
      <c r="H948" s="42" t="s">
        <v>155</v>
      </c>
      <c r="I948" s="43"/>
      <c r="J948" s="43"/>
      <c r="K948" s="25" t="e">
        <f>VLOOKUP(J948,Key!$E$2:$F$9,2,FALSE)</f>
        <v>#N/A</v>
      </c>
      <c r="L948" s="42"/>
      <c r="M948" s="43" t="s">
        <v>154</v>
      </c>
      <c r="N948" s="42" t="s">
        <v>155</v>
      </c>
      <c r="O948" s="43"/>
      <c r="P948" s="43"/>
      <c r="Q948" s="25" t="e">
        <f>VLOOKUP(P948,Key!$E$2:$F$9,2,FALSE)</f>
        <v>#N/A</v>
      </c>
      <c r="R948" s="25" t="e">
        <f t="shared" si="15"/>
        <v>#N/A</v>
      </c>
      <c r="S948" s="58"/>
      <c r="T948" s="58"/>
      <c r="U948" s="43"/>
      <c r="V948" s="43"/>
      <c r="W948" s="58"/>
      <c r="X948" s="58"/>
      <c r="Y948" s="59" t="s">
        <v>156</v>
      </c>
      <c r="Z948" s="60"/>
      <c r="AA948" s="25"/>
      <c r="AB948" s="25"/>
    </row>
    <row r="949" spans="2:28">
      <c r="B949" s="40"/>
      <c r="C949" s="40"/>
      <c r="D949" s="41"/>
      <c r="E949" s="42"/>
      <c r="F949" s="42"/>
      <c r="G949" s="43"/>
      <c r="H949" s="42" t="s">
        <v>155</v>
      </c>
      <c r="I949" s="43"/>
      <c r="J949" s="43"/>
      <c r="K949" s="25" t="e">
        <f>VLOOKUP(J949,Key!$E$2:$F$9,2,FALSE)</f>
        <v>#N/A</v>
      </c>
      <c r="L949" s="42"/>
      <c r="M949" s="43" t="s">
        <v>154</v>
      </c>
      <c r="N949" s="42" t="s">
        <v>155</v>
      </c>
      <c r="O949" s="43"/>
      <c r="P949" s="43"/>
      <c r="Q949" s="25" t="e">
        <f>VLOOKUP(P949,Key!$E$2:$F$9,2,FALSE)</f>
        <v>#N/A</v>
      </c>
      <c r="R949" s="25" t="e">
        <f t="shared" si="15"/>
        <v>#N/A</v>
      </c>
      <c r="S949" s="58"/>
      <c r="T949" s="58"/>
      <c r="U949" s="43"/>
      <c r="V949" s="43"/>
      <c r="W949" s="58"/>
      <c r="X949" s="58"/>
      <c r="Y949" s="59" t="s">
        <v>156</v>
      </c>
      <c r="Z949" s="60"/>
      <c r="AA949" s="25"/>
      <c r="AB949" s="25"/>
    </row>
    <row r="950" spans="2:28">
      <c r="B950" s="40"/>
      <c r="C950" s="40"/>
      <c r="D950" s="41"/>
      <c r="E950" s="42"/>
      <c r="F950" s="42"/>
      <c r="G950" s="43"/>
      <c r="H950" s="42" t="s">
        <v>155</v>
      </c>
      <c r="I950" s="43"/>
      <c r="J950" s="43"/>
      <c r="K950" s="25" t="e">
        <f>VLOOKUP(J950,Key!$E$2:$F$9,2,FALSE)</f>
        <v>#N/A</v>
      </c>
      <c r="L950" s="42"/>
      <c r="M950" s="43" t="s">
        <v>154</v>
      </c>
      <c r="N950" s="42" t="s">
        <v>155</v>
      </c>
      <c r="O950" s="43"/>
      <c r="P950" s="43"/>
      <c r="Q950" s="25" t="e">
        <f>VLOOKUP(P950,Key!$E$2:$F$9,2,FALSE)</f>
        <v>#N/A</v>
      </c>
      <c r="R950" s="25" t="e">
        <f t="shared" si="15"/>
        <v>#N/A</v>
      </c>
      <c r="S950" s="58"/>
      <c r="T950" s="58"/>
      <c r="U950" s="43"/>
      <c r="V950" s="43"/>
      <c r="W950" s="58"/>
      <c r="X950" s="58"/>
      <c r="Y950" s="59" t="s">
        <v>156</v>
      </c>
      <c r="Z950" s="60"/>
      <c r="AA950" s="25"/>
      <c r="AB950" s="25"/>
    </row>
    <row r="951" spans="2:28">
      <c r="B951" s="40"/>
      <c r="C951" s="40"/>
      <c r="D951" s="41"/>
      <c r="E951" s="42"/>
      <c r="F951" s="42"/>
      <c r="G951" s="43"/>
      <c r="H951" s="42" t="s">
        <v>155</v>
      </c>
      <c r="I951" s="43"/>
      <c r="J951" s="43"/>
      <c r="K951" s="25" t="e">
        <f>VLOOKUP(J951,Key!$E$2:$F$9,2,FALSE)</f>
        <v>#N/A</v>
      </c>
      <c r="L951" s="42"/>
      <c r="M951" s="43" t="s">
        <v>154</v>
      </c>
      <c r="N951" s="42" t="s">
        <v>155</v>
      </c>
      <c r="O951" s="43"/>
      <c r="P951" s="43"/>
      <c r="Q951" s="25" t="e">
        <f>VLOOKUP(P951,Key!$E$2:$F$9,2,FALSE)</f>
        <v>#N/A</v>
      </c>
      <c r="R951" s="25" t="e">
        <f t="shared" si="15"/>
        <v>#N/A</v>
      </c>
      <c r="S951" s="58"/>
      <c r="T951" s="58"/>
      <c r="U951" s="43"/>
      <c r="V951" s="43"/>
      <c r="W951" s="58"/>
      <c r="X951" s="58"/>
      <c r="Y951" s="59" t="s">
        <v>156</v>
      </c>
      <c r="Z951" s="60"/>
      <c r="AA951" s="25"/>
      <c r="AB951" s="25"/>
    </row>
    <row r="952" spans="2:28">
      <c r="B952" s="40"/>
      <c r="C952" s="40"/>
      <c r="D952" s="41"/>
      <c r="E952" s="42"/>
      <c r="F952" s="42"/>
      <c r="G952" s="43"/>
      <c r="H952" s="42" t="s">
        <v>155</v>
      </c>
      <c r="I952" s="43"/>
      <c r="J952" s="43"/>
      <c r="K952" s="25" t="e">
        <f>VLOOKUP(J952,Key!$E$2:$F$9,2,FALSE)</f>
        <v>#N/A</v>
      </c>
      <c r="L952" s="42"/>
      <c r="M952" s="43" t="s">
        <v>154</v>
      </c>
      <c r="N952" s="42" t="s">
        <v>155</v>
      </c>
      <c r="O952" s="43"/>
      <c r="P952" s="43"/>
      <c r="Q952" s="25" t="e">
        <f>VLOOKUP(P952,Key!$E$2:$F$9,2,FALSE)</f>
        <v>#N/A</v>
      </c>
      <c r="R952" s="25" t="e">
        <f t="shared" si="15"/>
        <v>#N/A</v>
      </c>
      <c r="S952" s="58"/>
      <c r="T952" s="58"/>
      <c r="U952" s="43"/>
      <c r="V952" s="43"/>
      <c r="W952" s="58"/>
      <c r="X952" s="58"/>
      <c r="Y952" s="59" t="s">
        <v>156</v>
      </c>
      <c r="Z952" s="60"/>
      <c r="AA952" s="25"/>
      <c r="AB952" s="25"/>
    </row>
    <row r="953" spans="2:28">
      <c r="B953" s="40"/>
      <c r="C953" s="40"/>
      <c r="D953" s="41"/>
      <c r="E953" s="42"/>
      <c r="F953" s="42"/>
      <c r="G953" s="43"/>
      <c r="H953" s="42" t="s">
        <v>155</v>
      </c>
      <c r="I953" s="43"/>
      <c r="J953" s="43"/>
      <c r="K953" s="25" t="e">
        <f>VLOOKUP(J953,Key!$E$2:$F$9,2,FALSE)</f>
        <v>#N/A</v>
      </c>
      <c r="L953" s="42"/>
      <c r="M953" s="43" t="s">
        <v>154</v>
      </c>
      <c r="N953" s="42" t="s">
        <v>155</v>
      </c>
      <c r="O953" s="43"/>
      <c r="P953" s="43"/>
      <c r="Q953" s="25" t="e">
        <f>VLOOKUP(P953,Key!$E$2:$F$9,2,FALSE)</f>
        <v>#N/A</v>
      </c>
      <c r="R953" s="25" t="e">
        <f t="shared" si="15"/>
        <v>#N/A</v>
      </c>
      <c r="S953" s="58"/>
      <c r="T953" s="58"/>
      <c r="U953" s="43"/>
      <c r="V953" s="43"/>
      <c r="W953" s="58"/>
      <c r="X953" s="58"/>
      <c r="Y953" s="59" t="s">
        <v>156</v>
      </c>
      <c r="Z953" s="60"/>
      <c r="AA953" s="25"/>
      <c r="AB953" s="25"/>
    </row>
    <row r="954" spans="2:28">
      <c r="B954" s="40"/>
      <c r="C954" s="40"/>
      <c r="D954" s="41"/>
      <c r="E954" s="42"/>
      <c r="F954" s="42"/>
      <c r="G954" s="43"/>
      <c r="H954" s="42" t="s">
        <v>155</v>
      </c>
      <c r="I954" s="43"/>
      <c r="J954" s="43"/>
      <c r="K954" s="25" t="e">
        <f>VLOOKUP(J954,Key!$E$2:$F$9,2,FALSE)</f>
        <v>#N/A</v>
      </c>
      <c r="L954" s="42"/>
      <c r="M954" s="43" t="s">
        <v>154</v>
      </c>
      <c r="N954" s="42" t="s">
        <v>155</v>
      </c>
      <c r="O954" s="43"/>
      <c r="P954" s="43"/>
      <c r="Q954" s="25" t="e">
        <f>VLOOKUP(P954,Key!$E$2:$F$9,2,FALSE)</f>
        <v>#N/A</v>
      </c>
      <c r="R954" s="25" t="e">
        <f t="shared" si="15"/>
        <v>#N/A</v>
      </c>
      <c r="S954" s="58"/>
      <c r="T954" s="58"/>
      <c r="U954" s="43"/>
      <c r="V954" s="43"/>
      <c r="W954" s="58"/>
      <c r="X954" s="58"/>
      <c r="Y954" s="59" t="s">
        <v>156</v>
      </c>
      <c r="Z954" s="60"/>
      <c r="AA954" s="25"/>
      <c r="AB954" s="25"/>
    </row>
    <row r="955" spans="2:28">
      <c r="B955" s="40"/>
      <c r="C955" s="40"/>
      <c r="D955" s="41"/>
      <c r="E955" s="42"/>
      <c r="F955" s="42"/>
      <c r="G955" s="43"/>
      <c r="H955" s="42" t="s">
        <v>155</v>
      </c>
      <c r="I955" s="43"/>
      <c r="J955" s="43"/>
      <c r="K955" s="25" t="e">
        <f>VLOOKUP(J955,Key!$E$2:$F$9,2,FALSE)</f>
        <v>#N/A</v>
      </c>
      <c r="L955" s="42"/>
      <c r="M955" s="43" t="s">
        <v>154</v>
      </c>
      <c r="N955" s="42" t="s">
        <v>155</v>
      </c>
      <c r="O955" s="43"/>
      <c r="P955" s="43"/>
      <c r="Q955" s="25" t="e">
        <f>VLOOKUP(P955,Key!$E$2:$F$9,2,FALSE)</f>
        <v>#N/A</v>
      </c>
      <c r="R955" s="25" t="e">
        <f t="shared" si="15"/>
        <v>#N/A</v>
      </c>
      <c r="S955" s="58"/>
      <c r="T955" s="58"/>
      <c r="U955" s="43"/>
      <c r="V955" s="43"/>
      <c r="W955" s="58"/>
      <c r="X955" s="58"/>
      <c r="Y955" s="59" t="s">
        <v>156</v>
      </c>
      <c r="Z955" s="60"/>
      <c r="AA955" s="25"/>
      <c r="AB955" s="25"/>
    </row>
    <row r="956" spans="2:28">
      <c r="B956" s="40"/>
      <c r="C956" s="40"/>
      <c r="D956" s="41"/>
      <c r="E956" s="42"/>
      <c r="F956" s="42"/>
      <c r="G956" s="43"/>
      <c r="H956" s="42" t="s">
        <v>155</v>
      </c>
      <c r="I956" s="43"/>
      <c r="J956" s="43"/>
      <c r="K956" s="25" t="e">
        <f>VLOOKUP(J956,Key!$E$2:$F$9,2,FALSE)</f>
        <v>#N/A</v>
      </c>
      <c r="L956" s="42"/>
      <c r="M956" s="43" t="s">
        <v>154</v>
      </c>
      <c r="N956" s="42" t="s">
        <v>155</v>
      </c>
      <c r="O956" s="43"/>
      <c r="P956" s="43"/>
      <c r="Q956" s="25" t="e">
        <f>VLOOKUP(P956,Key!$E$2:$F$9,2,FALSE)</f>
        <v>#N/A</v>
      </c>
      <c r="R956" s="25" t="e">
        <f t="shared" si="15"/>
        <v>#N/A</v>
      </c>
      <c r="S956" s="58"/>
      <c r="T956" s="58"/>
      <c r="U956" s="43"/>
      <c r="V956" s="43"/>
      <c r="W956" s="58"/>
      <c r="X956" s="58"/>
      <c r="Y956" s="59" t="s">
        <v>156</v>
      </c>
      <c r="Z956" s="60"/>
      <c r="AA956" s="25"/>
      <c r="AB956" s="25"/>
    </row>
    <row r="957" spans="2:28">
      <c r="B957" s="40"/>
      <c r="C957" s="40"/>
      <c r="D957" s="41"/>
      <c r="E957" s="42"/>
      <c r="F957" s="42"/>
      <c r="G957" s="43"/>
      <c r="H957" s="42" t="s">
        <v>155</v>
      </c>
      <c r="I957" s="43"/>
      <c r="J957" s="43"/>
      <c r="K957" s="25" t="e">
        <f>VLOOKUP(J957,Key!$E$2:$F$9,2,FALSE)</f>
        <v>#N/A</v>
      </c>
      <c r="L957" s="42"/>
      <c r="M957" s="43" t="s">
        <v>154</v>
      </c>
      <c r="N957" s="42" t="s">
        <v>155</v>
      </c>
      <c r="O957" s="43"/>
      <c r="P957" s="43"/>
      <c r="Q957" s="25" t="e">
        <f>VLOOKUP(P957,Key!$E$2:$F$9,2,FALSE)</f>
        <v>#N/A</v>
      </c>
      <c r="R957" s="25" t="e">
        <f t="shared" si="15"/>
        <v>#N/A</v>
      </c>
      <c r="S957" s="58"/>
      <c r="T957" s="58"/>
      <c r="U957" s="43"/>
      <c r="V957" s="43"/>
      <c r="W957" s="58"/>
      <c r="X957" s="58"/>
      <c r="Y957" s="59" t="s">
        <v>156</v>
      </c>
      <c r="Z957" s="60"/>
      <c r="AA957" s="25"/>
      <c r="AB957" s="25"/>
    </row>
    <row r="958" spans="2:28">
      <c r="B958" s="40"/>
      <c r="C958" s="40"/>
      <c r="D958" s="41"/>
      <c r="E958" s="42"/>
      <c r="F958" s="42"/>
      <c r="G958" s="43"/>
      <c r="H958" s="42" t="s">
        <v>155</v>
      </c>
      <c r="I958" s="43"/>
      <c r="J958" s="43"/>
      <c r="K958" s="25" t="e">
        <f>VLOOKUP(J958,Key!$E$2:$F$9,2,FALSE)</f>
        <v>#N/A</v>
      </c>
      <c r="L958" s="42"/>
      <c r="M958" s="43" t="s">
        <v>154</v>
      </c>
      <c r="N958" s="42" t="s">
        <v>155</v>
      </c>
      <c r="O958" s="43"/>
      <c r="P958" s="43"/>
      <c r="Q958" s="25" t="e">
        <f>VLOOKUP(P958,Key!$E$2:$F$9,2,FALSE)</f>
        <v>#N/A</v>
      </c>
      <c r="R958" s="25" t="e">
        <f t="shared" si="15"/>
        <v>#N/A</v>
      </c>
      <c r="S958" s="58"/>
      <c r="T958" s="58"/>
      <c r="U958" s="43"/>
      <c r="V958" s="43"/>
      <c r="W958" s="58"/>
      <c r="X958" s="58"/>
      <c r="Y958" s="59" t="s">
        <v>156</v>
      </c>
      <c r="Z958" s="60"/>
      <c r="AA958" s="25"/>
      <c r="AB958" s="25"/>
    </row>
    <row r="959" spans="2:28">
      <c r="B959" s="40"/>
      <c r="C959" s="40"/>
      <c r="D959" s="41"/>
      <c r="E959" s="42"/>
      <c r="F959" s="42"/>
      <c r="G959" s="43"/>
      <c r="H959" s="42" t="s">
        <v>155</v>
      </c>
      <c r="I959" s="43"/>
      <c r="J959" s="43"/>
      <c r="K959" s="25" t="e">
        <f>VLOOKUP(J959,Key!$E$2:$F$9,2,FALSE)</f>
        <v>#N/A</v>
      </c>
      <c r="L959" s="42"/>
      <c r="M959" s="43" t="s">
        <v>154</v>
      </c>
      <c r="N959" s="42" t="s">
        <v>155</v>
      </c>
      <c r="O959" s="43"/>
      <c r="P959" s="43"/>
      <c r="Q959" s="25" t="e">
        <f>VLOOKUP(P959,Key!$E$2:$F$9,2,FALSE)</f>
        <v>#N/A</v>
      </c>
      <c r="R959" s="25" t="e">
        <f t="shared" si="15"/>
        <v>#N/A</v>
      </c>
      <c r="S959" s="58"/>
      <c r="T959" s="58"/>
      <c r="U959" s="43"/>
      <c r="V959" s="43"/>
      <c r="W959" s="58"/>
      <c r="X959" s="58"/>
      <c r="Y959" s="59" t="s">
        <v>156</v>
      </c>
      <c r="Z959" s="60"/>
      <c r="AA959" s="25"/>
      <c r="AB959" s="25"/>
    </row>
    <row r="960" spans="2:28">
      <c r="B960" s="40"/>
      <c r="C960" s="40"/>
      <c r="D960" s="41"/>
      <c r="E960" s="42"/>
      <c r="F960" s="42"/>
      <c r="G960" s="43"/>
      <c r="H960" s="42" t="s">
        <v>155</v>
      </c>
      <c r="I960" s="43"/>
      <c r="J960" s="43"/>
      <c r="K960" s="25" t="e">
        <f>VLOOKUP(J960,Key!$E$2:$F$9,2,FALSE)</f>
        <v>#N/A</v>
      </c>
      <c r="L960" s="42"/>
      <c r="M960" s="43" t="s">
        <v>154</v>
      </c>
      <c r="N960" s="42" t="s">
        <v>155</v>
      </c>
      <c r="O960" s="43"/>
      <c r="P960" s="43"/>
      <c r="Q960" s="25" t="e">
        <f>VLOOKUP(P960,Key!$E$2:$F$9,2,FALSE)</f>
        <v>#N/A</v>
      </c>
      <c r="R960" s="25" t="e">
        <f t="shared" si="15"/>
        <v>#N/A</v>
      </c>
      <c r="S960" s="58"/>
      <c r="T960" s="58"/>
      <c r="U960" s="43"/>
      <c r="V960" s="43"/>
      <c r="W960" s="58"/>
      <c r="X960" s="58"/>
      <c r="Y960" s="59" t="s">
        <v>156</v>
      </c>
      <c r="Z960" s="60"/>
      <c r="AA960" s="25"/>
      <c r="AB960" s="25"/>
    </row>
    <row r="961" spans="2:28">
      <c r="B961" s="40"/>
      <c r="C961" s="40"/>
      <c r="D961" s="41"/>
      <c r="E961" s="42"/>
      <c r="F961" s="42"/>
      <c r="G961" s="43"/>
      <c r="H961" s="42" t="s">
        <v>155</v>
      </c>
      <c r="I961" s="43"/>
      <c r="J961" s="43"/>
      <c r="K961" s="25" t="e">
        <f>VLOOKUP(J961,Key!$E$2:$F$9,2,FALSE)</f>
        <v>#N/A</v>
      </c>
      <c r="L961" s="42"/>
      <c r="M961" s="43" t="s">
        <v>154</v>
      </c>
      <c r="N961" s="42" t="s">
        <v>155</v>
      </c>
      <c r="O961" s="43"/>
      <c r="P961" s="43"/>
      <c r="Q961" s="25" t="e">
        <f>VLOOKUP(P961,Key!$E$2:$F$9,2,FALSE)</f>
        <v>#N/A</v>
      </c>
      <c r="R961" s="25" t="e">
        <f t="shared" si="15"/>
        <v>#N/A</v>
      </c>
      <c r="S961" s="58"/>
      <c r="T961" s="58"/>
      <c r="U961" s="43"/>
      <c r="V961" s="43"/>
      <c r="W961" s="58"/>
      <c r="X961" s="58"/>
      <c r="Y961" s="59" t="s">
        <v>156</v>
      </c>
      <c r="Z961" s="60"/>
      <c r="AA961" s="25"/>
      <c r="AB961" s="25"/>
    </row>
    <row r="962" spans="2:28">
      <c r="B962" s="40"/>
      <c r="C962" s="40"/>
      <c r="D962" s="41"/>
      <c r="E962" s="42"/>
      <c r="F962" s="42"/>
      <c r="G962" s="43"/>
      <c r="H962" s="42" t="s">
        <v>155</v>
      </c>
      <c r="I962" s="43"/>
      <c r="J962" s="43"/>
      <c r="K962" s="25" t="e">
        <f>VLOOKUP(J962,Key!$E$2:$F$9,2,FALSE)</f>
        <v>#N/A</v>
      </c>
      <c r="L962" s="42"/>
      <c r="M962" s="43" t="s">
        <v>154</v>
      </c>
      <c r="N962" s="42" t="s">
        <v>155</v>
      </c>
      <c r="O962" s="43"/>
      <c r="P962" s="43"/>
      <c r="Q962" s="25" t="e">
        <f>VLOOKUP(P962,Key!$E$2:$F$9,2,FALSE)</f>
        <v>#N/A</v>
      </c>
      <c r="R962" s="25" t="e">
        <f t="shared" si="15"/>
        <v>#N/A</v>
      </c>
      <c r="S962" s="58"/>
      <c r="T962" s="58"/>
      <c r="U962" s="43"/>
      <c r="V962" s="43"/>
      <c r="W962" s="58"/>
      <c r="X962" s="58"/>
      <c r="Y962" s="59" t="s">
        <v>156</v>
      </c>
      <c r="Z962" s="60"/>
      <c r="AA962" s="25"/>
      <c r="AB962" s="25"/>
    </row>
    <row r="963" spans="2:28">
      <c r="B963" s="40"/>
      <c r="C963" s="40"/>
      <c r="D963" s="41"/>
      <c r="E963" s="42"/>
      <c r="F963" s="42"/>
      <c r="G963" s="43"/>
      <c r="H963" s="42" t="s">
        <v>155</v>
      </c>
      <c r="I963" s="43"/>
      <c r="J963" s="43"/>
      <c r="K963" s="25" t="e">
        <f>VLOOKUP(J963,Key!$E$2:$F$9,2,FALSE)</f>
        <v>#N/A</v>
      </c>
      <c r="L963" s="42"/>
      <c r="M963" s="43" t="s">
        <v>154</v>
      </c>
      <c r="N963" s="42" t="s">
        <v>155</v>
      </c>
      <c r="O963" s="43"/>
      <c r="P963" s="43"/>
      <c r="Q963" s="25" t="e">
        <f>VLOOKUP(P963,Key!$E$2:$F$9,2,FALSE)</f>
        <v>#N/A</v>
      </c>
      <c r="R963" s="25" t="e">
        <f t="shared" si="15"/>
        <v>#N/A</v>
      </c>
      <c r="S963" s="58"/>
      <c r="T963" s="58"/>
      <c r="U963" s="43"/>
      <c r="V963" s="43"/>
      <c r="W963" s="58"/>
      <c r="X963" s="58"/>
      <c r="Y963" s="59" t="s">
        <v>156</v>
      </c>
      <c r="Z963" s="60"/>
      <c r="AA963" s="25"/>
      <c r="AB963" s="25"/>
    </row>
    <row r="964" spans="2:28">
      <c r="B964" s="40"/>
      <c r="C964" s="40"/>
      <c r="D964" s="41"/>
      <c r="E964" s="42"/>
      <c r="F964" s="42"/>
      <c r="G964" s="43"/>
      <c r="H964" s="42" t="s">
        <v>155</v>
      </c>
      <c r="I964" s="43"/>
      <c r="J964" s="43"/>
      <c r="K964" s="25" t="e">
        <f>VLOOKUP(J964,Key!$E$2:$F$9,2,FALSE)</f>
        <v>#N/A</v>
      </c>
      <c r="L964" s="42"/>
      <c r="M964" s="43" t="s">
        <v>154</v>
      </c>
      <c r="N964" s="42" t="s">
        <v>155</v>
      </c>
      <c r="O964" s="43"/>
      <c r="P964" s="43"/>
      <c r="Q964" s="25" t="e">
        <f>VLOOKUP(P964,Key!$E$2:$F$9,2,FALSE)</f>
        <v>#N/A</v>
      </c>
      <c r="R964" s="25" t="e">
        <f t="shared" si="15"/>
        <v>#N/A</v>
      </c>
      <c r="S964" s="58"/>
      <c r="T964" s="58"/>
      <c r="U964" s="43"/>
      <c r="V964" s="43"/>
      <c r="W964" s="58"/>
      <c r="X964" s="58"/>
      <c r="Y964" s="59" t="s">
        <v>156</v>
      </c>
      <c r="Z964" s="60"/>
      <c r="AA964" s="25"/>
      <c r="AB964" s="25"/>
    </row>
    <row r="965" spans="2:28">
      <c r="B965" s="40"/>
      <c r="C965" s="40"/>
      <c r="D965" s="41"/>
      <c r="E965" s="42"/>
      <c r="F965" s="42"/>
      <c r="G965" s="43"/>
      <c r="H965" s="42" t="s">
        <v>155</v>
      </c>
      <c r="I965" s="43"/>
      <c r="J965" s="43"/>
      <c r="K965" s="25" t="e">
        <f>VLOOKUP(J965,Key!$E$2:$F$9,2,FALSE)</f>
        <v>#N/A</v>
      </c>
      <c r="L965" s="42"/>
      <c r="M965" s="43" t="s">
        <v>154</v>
      </c>
      <c r="N965" s="42" t="s">
        <v>155</v>
      </c>
      <c r="O965" s="43"/>
      <c r="P965" s="43"/>
      <c r="Q965" s="25" t="e">
        <f>VLOOKUP(P965,Key!$E$2:$F$9,2,FALSE)</f>
        <v>#N/A</v>
      </c>
      <c r="R965" s="25" t="e">
        <f t="shared" si="15"/>
        <v>#N/A</v>
      </c>
      <c r="S965" s="58"/>
      <c r="T965" s="58"/>
      <c r="U965" s="43"/>
      <c r="V965" s="43"/>
      <c r="W965" s="58"/>
      <c r="X965" s="58"/>
      <c r="Y965" s="59" t="s">
        <v>156</v>
      </c>
      <c r="Z965" s="60"/>
      <c r="AA965" s="25"/>
      <c r="AB965" s="25"/>
    </row>
    <row r="966" spans="2:28">
      <c r="B966" s="40"/>
      <c r="C966" s="40"/>
      <c r="D966" s="41"/>
      <c r="E966" s="42"/>
      <c r="F966" s="42"/>
      <c r="G966" s="43"/>
      <c r="H966" s="42" t="s">
        <v>155</v>
      </c>
      <c r="I966" s="43"/>
      <c r="J966" s="43"/>
      <c r="K966" s="25" t="e">
        <f>VLOOKUP(J966,Key!$E$2:$F$9,2,FALSE)</f>
        <v>#N/A</v>
      </c>
      <c r="L966" s="42"/>
      <c r="M966" s="43" t="s">
        <v>154</v>
      </c>
      <c r="N966" s="42" t="s">
        <v>155</v>
      </c>
      <c r="O966" s="43"/>
      <c r="P966" s="43"/>
      <c r="Q966" s="25" t="e">
        <f>VLOOKUP(P966,Key!$E$2:$F$9,2,FALSE)</f>
        <v>#N/A</v>
      </c>
      <c r="R966" s="25" t="e">
        <f t="shared" si="15"/>
        <v>#N/A</v>
      </c>
      <c r="S966" s="58"/>
      <c r="T966" s="58"/>
      <c r="U966" s="43"/>
      <c r="V966" s="43"/>
      <c r="W966" s="58"/>
      <c r="X966" s="58"/>
      <c r="Y966" s="59" t="s">
        <v>156</v>
      </c>
      <c r="Z966" s="60"/>
      <c r="AA966" s="25"/>
      <c r="AB966" s="25"/>
    </row>
    <row r="967" spans="2:28">
      <c r="B967" s="40"/>
      <c r="C967" s="40"/>
      <c r="D967" s="41"/>
      <c r="E967" s="42"/>
      <c r="F967" s="42"/>
      <c r="G967" s="43"/>
      <c r="H967" s="42" t="s">
        <v>155</v>
      </c>
      <c r="I967" s="43"/>
      <c r="J967" s="43"/>
      <c r="K967" s="25" t="e">
        <f>VLOOKUP(J967,Key!$E$2:$F$9,2,FALSE)</f>
        <v>#N/A</v>
      </c>
      <c r="L967" s="42"/>
      <c r="M967" s="43" t="s">
        <v>154</v>
      </c>
      <c r="N967" s="42" t="s">
        <v>155</v>
      </c>
      <c r="O967" s="43"/>
      <c r="P967" s="43"/>
      <c r="Q967" s="25" t="e">
        <f>VLOOKUP(P967,Key!$E$2:$F$9,2,FALSE)</f>
        <v>#N/A</v>
      </c>
      <c r="R967" s="25" t="e">
        <f t="shared" si="15"/>
        <v>#N/A</v>
      </c>
      <c r="S967" s="58"/>
      <c r="T967" s="58"/>
      <c r="U967" s="43"/>
      <c r="V967" s="43"/>
      <c r="W967" s="58"/>
      <c r="X967" s="58"/>
      <c r="Y967" s="59" t="s">
        <v>156</v>
      </c>
      <c r="Z967" s="60"/>
      <c r="AA967" s="25"/>
      <c r="AB967" s="25"/>
    </row>
    <row r="968" spans="2:28">
      <c r="B968" s="40"/>
      <c r="C968" s="40"/>
      <c r="D968" s="41"/>
      <c r="E968" s="42"/>
      <c r="F968" s="42"/>
      <c r="G968" s="43"/>
      <c r="H968" s="42" t="s">
        <v>155</v>
      </c>
      <c r="I968" s="43"/>
      <c r="J968" s="43"/>
      <c r="K968" s="25" t="e">
        <f>VLOOKUP(J968,Key!$E$2:$F$9,2,FALSE)</f>
        <v>#N/A</v>
      </c>
      <c r="L968" s="42"/>
      <c r="M968" s="43" t="s">
        <v>154</v>
      </c>
      <c r="N968" s="42" t="s">
        <v>155</v>
      </c>
      <c r="O968" s="43"/>
      <c r="P968" s="43"/>
      <c r="Q968" s="25" t="e">
        <f>VLOOKUP(P968,Key!$E$2:$F$9,2,FALSE)</f>
        <v>#N/A</v>
      </c>
      <c r="R968" s="25" t="e">
        <f t="shared" si="15"/>
        <v>#N/A</v>
      </c>
      <c r="S968" s="58"/>
      <c r="T968" s="58"/>
      <c r="U968" s="43"/>
      <c r="V968" s="43"/>
      <c r="W968" s="58"/>
      <c r="X968" s="58"/>
      <c r="Y968" s="59" t="s">
        <v>156</v>
      </c>
      <c r="Z968" s="60"/>
      <c r="AA968" s="25"/>
      <c r="AB968" s="25"/>
    </row>
    <row r="969" spans="2:28">
      <c r="B969" s="40"/>
      <c r="C969" s="40"/>
      <c r="D969" s="41"/>
      <c r="E969" s="42"/>
      <c r="F969" s="42"/>
      <c r="G969" s="43"/>
      <c r="H969" s="42" t="s">
        <v>155</v>
      </c>
      <c r="I969" s="43"/>
      <c r="J969" s="43"/>
      <c r="K969" s="25" t="e">
        <f>VLOOKUP(J969,Key!$E$2:$F$9,2,FALSE)</f>
        <v>#N/A</v>
      </c>
      <c r="L969" s="42"/>
      <c r="M969" s="43" t="s">
        <v>154</v>
      </c>
      <c r="N969" s="42" t="s">
        <v>155</v>
      </c>
      <c r="O969" s="43"/>
      <c r="P969" s="43"/>
      <c r="Q969" s="25" t="e">
        <f>VLOOKUP(P969,Key!$E$2:$F$9,2,FALSE)</f>
        <v>#N/A</v>
      </c>
      <c r="R969" s="25" t="e">
        <f t="shared" si="15"/>
        <v>#N/A</v>
      </c>
      <c r="S969" s="58"/>
      <c r="T969" s="58"/>
      <c r="U969" s="43"/>
      <c r="V969" s="43"/>
      <c r="W969" s="58"/>
      <c r="X969" s="58"/>
      <c r="Y969" s="59" t="s">
        <v>156</v>
      </c>
      <c r="Z969" s="60"/>
      <c r="AA969" s="25"/>
      <c r="AB969" s="25"/>
    </row>
    <row r="970" spans="2:28">
      <c r="B970" s="40"/>
      <c r="C970" s="40"/>
      <c r="D970" s="41"/>
      <c r="E970" s="42"/>
      <c r="F970" s="42"/>
      <c r="G970" s="43"/>
      <c r="H970" s="42" t="s">
        <v>155</v>
      </c>
      <c r="I970" s="43"/>
      <c r="J970" s="43"/>
      <c r="K970" s="25" t="e">
        <f>VLOOKUP(J970,Key!$E$2:$F$9,2,FALSE)</f>
        <v>#N/A</v>
      </c>
      <c r="L970" s="42"/>
      <c r="M970" s="43" t="s">
        <v>154</v>
      </c>
      <c r="N970" s="42" t="s">
        <v>155</v>
      </c>
      <c r="O970" s="43"/>
      <c r="P970" s="43"/>
      <c r="Q970" s="25" t="e">
        <f>VLOOKUP(P970,Key!$E$2:$F$9,2,FALSE)</f>
        <v>#N/A</v>
      </c>
      <c r="R970" s="25" t="e">
        <f t="shared" si="15"/>
        <v>#N/A</v>
      </c>
      <c r="S970" s="58"/>
      <c r="T970" s="58"/>
      <c r="U970" s="43"/>
      <c r="V970" s="43"/>
      <c r="W970" s="58"/>
      <c r="X970" s="58"/>
      <c r="Y970" s="59" t="s">
        <v>156</v>
      </c>
      <c r="Z970" s="60"/>
      <c r="AA970" s="25"/>
      <c r="AB970" s="25"/>
    </row>
    <row r="971" spans="2:28">
      <c r="B971" s="40"/>
      <c r="C971" s="40"/>
      <c r="D971" s="41"/>
      <c r="E971" s="42"/>
      <c r="F971" s="42"/>
      <c r="G971" s="43"/>
      <c r="H971" s="42" t="s">
        <v>155</v>
      </c>
      <c r="I971" s="43"/>
      <c r="J971" s="43"/>
      <c r="K971" s="25" t="e">
        <f>VLOOKUP(J971,Key!$E$2:$F$9,2,FALSE)</f>
        <v>#N/A</v>
      </c>
      <c r="L971" s="42"/>
      <c r="M971" s="43" t="s">
        <v>154</v>
      </c>
      <c r="N971" s="42" t="s">
        <v>155</v>
      </c>
      <c r="O971" s="43"/>
      <c r="P971" s="43"/>
      <c r="Q971" s="25" t="e">
        <f>VLOOKUP(P971,Key!$E$2:$F$9,2,FALSE)</f>
        <v>#N/A</v>
      </c>
      <c r="R971" s="25" t="e">
        <f t="shared" si="15"/>
        <v>#N/A</v>
      </c>
      <c r="S971" s="58"/>
      <c r="T971" s="58"/>
      <c r="U971" s="43"/>
      <c r="V971" s="43"/>
      <c r="W971" s="58"/>
      <c r="X971" s="58"/>
      <c r="Y971" s="59" t="s">
        <v>156</v>
      </c>
      <c r="Z971" s="60"/>
      <c r="AA971" s="25"/>
      <c r="AB971" s="25"/>
    </row>
    <row r="972" spans="2:28">
      <c r="B972" s="40"/>
      <c r="C972" s="40"/>
      <c r="D972" s="41"/>
      <c r="E972" s="42"/>
      <c r="F972" s="42"/>
      <c r="G972" s="43"/>
      <c r="H972" s="42" t="s">
        <v>155</v>
      </c>
      <c r="I972" s="43"/>
      <c r="J972" s="43"/>
      <c r="K972" s="25" t="e">
        <f>VLOOKUP(J972,Key!$E$2:$F$9,2,FALSE)</f>
        <v>#N/A</v>
      </c>
      <c r="L972" s="42"/>
      <c r="M972" s="43" t="s">
        <v>154</v>
      </c>
      <c r="N972" s="42" t="s">
        <v>155</v>
      </c>
      <c r="O972" s="43"/>
      <c r="P972" s="43"/>
      <c r="Q972" s="25" t="e">
        <f>VLOOKUP(P972,Key!$E$2:$F$9,2,FALSE)</f>
        <v>#N/A</v>
      </c>
      <c r="R972" s="25" t="e">
        <f t="shared" si="15"/>
        <v>#N/A</v>
      </c>
      <c r="S972" s="58"/>
      <c r="T972" s="58"/>
      <c r="U972" s="43"/>
      <c r="V972" s="43"/>
      <c r="W972" s="58"/>
      <c r="X972" s="58"/>
      <c r="Y972" s="59" t="s">
        <v>156</v>
      </c>
      <c r="Z972" s="60"/>
      <c r="AA972" s="25"/>
      <c r="AB972" s="25"/>
    </row>
    <row r="973" spans="2:28">
      <c r="B973" s="40"/>
      <c r="C973" s="40"/>
      <c r="D973" s="41"/>
      <c r="E973" s="42"/>
      <c r="F973" s="42"/>
      <c r="G973" s="43"/>
      <c r="H973" s="42" t="s">
        <v>155</v>
      </c>
      <c r="I973" s="43"/>
      <c r="J973" s="43"/>
      <c r="K973" s="25" t="e">
        <f>VLOOKUP(J973,Key!$E$2:$F$9,2,FALSE)</f>
        <v>#N/A</v>
      </c>
      <c r="L973" s="42"/>
      <c r="M973" s="43" t="s">
        <v>154</v>
      </c>
      <c r="N973" s="42" t="s">
        <v>155</v>
      </c>
      <c r="O973" s="43"/>
      <c r="P973" s="43"/>
      <c r="Q973" s="25" t="e">
        <f>VLOOKUP(P973,Key!$E$2:$F$9,2,FALSE)</f>
        <v>#N/A</v>
      </c>
      <c r="R973" s="25" t="e">
        <f t="shared" si="15"/>
        <v>#N/A</v>
      </c>
      <c r="S973" s="58"/>
      <c r="T973" s="58"/>
      <c r="U973" s="43"/>
      <c r="V973" s="43"/>
      <c r="W973" s="58"/>
      <c r="X973" s="58"/>
      <c r="Y973" s="59" t="s">
        <v>156</v>
      </c>
      <c r="Z973" s="60"/>
      <c r="AA973" s="25"/>
      <c r="AB973" s="25"/>
    </row>
    <row r="974" spans="2:28">
      <c r="B974" s="40"/>
      <c r="C974" s="40"/>
      <c r="D974" s="41"/>
      <c r="E974" s="42"/>
      <c r="F974" s="42"/>
      <c r="G974" s="43"/>
      <c r="H974" s="42" t="s">
        <v>155</v>
      </c>
      <c r="I974" s="43"/>
      <c r="J974" s="43"/>
      <c r="K974" s="25" t="e">
        <f>VLOOKUP(J974,Key!$E$2:$F$9,2,FALSE)</f>
        <v>#N/A</v>
      </c>
      <c r="L974" s="42"/>
      <c r="M974" s="43" t="s">
        <v>154</v>
      </c>
      <c r="N974" s="42" t="s">
        <v>155</v>
      </c>
      <c r="O974" s="43"/>
      <c r="P974" s="43"/>
      <c r="Q974" s="25" t="e">
        <f>VLOOKUP(P974,Key!$E$2:$F$9,2,FALSE)</f>
        <v>#N/A</v>
      </c>
      <c r="R974" s="25" t="e">
        <f t="shared" si="15"/>
        <v>#N/A</v>
      </c>
      <c r="S974" s="58"/>
      <c r="T974" s="58"/>
      <c r="U974" s="43"/>
      <c r="V974" s="43"/>
      <c r="W974" s="58"/>
      <c r="X974" s="58"/>
      <c r="Y974" s="59" t="s">
        <v>156</v>
      </c>
      <c r="Z974" s="60"/>
      <c r="AA974" s="25"/>
      <c r="AB974" s="25"/>
    </row>
    <row r="975" spans="2:28">
      <c r="B975" s="40"/>
      <c r="C975" s="40"/>
      <c r="D975" s="41"/>
      <c r="E975" s="42"/>
      <c r="F975" s="42"/>
      <c r="G975" s="43"/>
      <c r="H975" s="42" t="s">
        <v>155</v>
      </c>
      <c r="I975" s="43"/>
      <c r="J975" s="43"/>
      <c r="K975" s="25" t="e">
        <f>VLOOKUP(J975,Key!$E$2:$F$9,2,FALSE)</f>
        <v>#N/A</v>
      </c>
      <c r="L975" s="42"/>
      <c r="M975" s="43" t="s">
        <v>154</v>
      </c>
      <c r="N975" s="42" t="s">
        <v>155</v>
      </c>
      <c r="O975" s="43"/>
      <c r="P975" s="43"/>
      <c r="Q975" s="25" t="e">
        <f>VLOOKUP(P975,Key!$E$2:$F$9,2,FALSE)</f>
        <v>#N/A</v>
      </c>
      <c r="R975" s="25" t="e">
        <f t="shared" si="15"/>
        <v>#N/A</v>
      </c>
      <c r="S975" s="58"/>
      <c r="T975" s="58"/>
      <c r="U975" s="43"/>
      <c r="V975" s="43"/>
      <c r="W975" s="58"/>
      <c r="X975" s="58"/>
      <c r="Y975" s="59" t="s">
        <v>156</v>
      </c>
      <c r="Z975" s="60"/>
      <c r="AA975" s="25"/>
      <c r="AB975" s="25"/>
    </row>
    <row r="976" spans="2:28">
      <c r="B976" s="40"/>
      <c r="C976" s="40"/>
      <c r="D976" s="41"/>
      <c r="E976" s="42"/>
      <c r="F976" s="42"/>
      <c r="G976" s="43"/>
      <c r="H976" s="42" t="s">
        <v>155</v>
      </c>
      <c r="I976" s="43"/>
      <c r="J976" s="43"/>
      <c r="K976" s="25" t="e">
        <f>VLOOKUP(J976,Key!$E$2:$F$9,2,FALSE)</f>
        <v>#N/A</v>
      </c>
      <c r="L976" s="42"/>
      <c r="M976" s="43" t="s">
        <v>154</v>
      </c>
      <c r="N976" s="42" t="s">
        <v>155</v>
      </c>
      <c r="O976" s="43"/>
      <c r="P976" s="43"/>
      <c r="Q976" s="25" t="e">
        <f>VLOOKUP(P976,Key!$E$2:$F$9,2,FALSE)</f>
        <v>#N/A</v>
      </c>
      <c r="R976" s="25" t="e">
        <f t="shared" si="15"/>
        <v>#N/A</v>
      </c>
      <c r="S976" s="58"/>
      <c r="T976" s="58"/>
      <c r="U976" s="43"/>
      <c r="V976" s="43"/>
      <c r="W976" s="58"/>
      <c r="X976" s="58"/>
      <c r="Y976" s="59" t="s">
        <v>156</v>
      </c>
      <c r="Z976" s="60"/>
      <c r="AA976" s="25"/>
      <c r="AB976" s="25"/>
    </row>
    <row r="977" spans="2:28">
      <c r="B977" s="40"/>
      <c r="C977" s="40"/>
      <c r="D977" s="41"/>
      <c r="E977" s="42"/>
      <c r="F977" s="42"/>
      <c r="G977" s="43"/>
      <c r="H977" s="42" t="s">
        <v>155</v>
      </c>
      <c r="I977" s="43"/>
      <c r="J977" s="43"/>
      <c r="K977" s="25" t="e">
        <f>VLOOKUP(J977,Key!$E$2:$F$9,2,FALSE)</f>
        <v>#N/A</v>
      </c>
      <c r="L977" s="42"/>
      <c r="M977" s="43" t="s">
        <v>154</v>
      </c>
      <c r="N977" s="42" t="s">
        <v>155</v>
      </c>
      <c r="O977" s="43"/>
      <c r="P977" s="43"/>
      <c r="Q977" s="25" t="e">
        <f>VLOOKUP(P977,Key!$E$2:$F$9,2,FALSE)</f>
        <v>#N/A</v>
      </c>
      <c r="R977" s="25" t="e">
        <f t="shared" si="15"/>
        <v>#N/A</v>
      </c>
      <c r="S977" s="58"/>
      <c r="T977" s="58"/>
      <c r="U977" s="43"/>
      <c r="V977" s="43"/>
      <c r="W977" s="58"/>
      <c r="X977" s="58"/>
      <c r="Y977" s="59" t="s">
        <v>156</v>
      </c>
      <c r="Z977" s="60"/>
      <c r="AA977" s="25"/>
      <c r="AB977" s="25"/>
    </row>
    <row r="978" spans="2:28">
      <c r="B978" s="40"/>
      <c r="C978" s="40"/>
      <c r="D978" s="41"/>
      <c r="E978" s="42"/>
      <c r="F978" s="42"/>
      <c r="G978" s="43"/>
      <c r="H978" s="42" t="s">
        <v>155</v>
      </c>
      <c r="I978" s="43"/>
      <c r="J978" s="43"/>
      <c r="K978" s="25" t="e">
        <f>VLOOKUP(J978,Key!$E$2:$F$9,2,FALSE)</f>
        <v>#N/A</v>
      </c>
      <c r="L978" s="42"/>
      <c r="M978" s="43" t="s">
        <v>154</v>
      </c>
      <c r="N978" s="42" t="s">
        <v>155</v>
      </c>
      <c r="O978" s="43"/>
      <c r="P978" s="43"/>
      <c r="Q978" s="25" t="e">
        <f>VLOOKUP(P978,Key!$E$2:$F$9,2,FALSE)</f>
        <v>#N/A</v>
      </c>
      <c r="R978" s="25" t="e">
        <f t="shared" si="15"/>
        <v>#N/A</v>
      </c>
      <c r="S978" s="58"/>
      <c r="T978" s="58"/>
      <c r="U978" s="43"/>
      <c r="V978" s="43"/>
      <c r="W978" s="58"/>
      <c r="X978" s="58"/>
      <c r="Y978" s="59"/>
      <c r="Z978" s="60"/>
      <c r="AA978" s="25"/>
      <c r="AB978" s="25"/>
    </row>
    <row r="979" spans="2:28">
      <c r="B979" s="40"/>
      <c r="C979" s="40"/>
      <c r="D979" s="41"/>
      <c r="E979" s="42"/>
      <c r="F979" s="42"/>
      <c r="G979" s="43"/>
      <c r="H979" s="42" t="s">
        <v>155</v>
      </c>
      <c r="I979" s="43"/>
      <c r="J979" s="43"/>
      <c r="K979" s="25" t="e">
        <f>VLOOKUP(J979,Key!$E$2:$F$9,2,FALSE)</f>
        <v>#N/A</v>
      </c>
      <c r="L979" s="42"/>
      <c r="M979" s="43" t="s">
        <v>154</v>
      </c>
      <c r="N979" s="42" t="s">
        <v>155</v>
      </c>
      <c r="O979" s="43"/>
      <c r="P979" s="43"/>
      <c r="Q979" s="25" t="e">
        <f>VLOOKUP(P979,Key!$E$2:$F$9,2,FALSE)</f>
        <v>#N/A</v>
      </c>
      <c r="R979" s="25" t="e">
        <f t="shared" si="15"/>
        <v>#N/A</v>
      </c>
      <c r="S979" s="58"/>
      <c r="T979" s="58"/>
      <c r="U979" s="43"/>
      <c r="V979" s="43"/>
      <c r="W979" s="58"/>
      <c r="X979" s="58"/>
      <c r="Y979" s="59"/>
      <c r="Z979" s="60"/>
      <c r="AA979" s="25"/>
      <c r="AB979" s="25"/>
    </row>
    <row r="980" spans="2:28">
      <c r="B980" s="40"/>
      <c r="C980" s="40"/>
      <c r="D980" s="41"/>
      <c r="E980" s="42"/>
      <c r="F980" s="42"/>
      <c r="G980" s="43"/>
      <c r="H980" s="42" t="s">
        <v>155</v>
      </c>
      <c r="I980" s="43"/>
      <c r="J980" s="43"/>
      <c r="K980" s="25" t="e">
        <f>VLOOKUP(J980,Key!$E$2:$F$9,2,FALSE)</f>
        <v>#N/A</v>
      </c>
      <c r="L980" s="42"/>
      <c r="M980" s="43" t="s">
        <v>154</v>
      </c>
      <c r="N980" s="42" t="s">
        <v>155</v>
      </c>
      <c r="O980" s="43"/>
      <c r="P980" s="43"/>
      <c r="Q980" s="25" t="e">
        <f>VLOOKUP(P980,Key!$E$2:$F$9,2,FALSE)</f>
        <v>#N/A</v>
      </c>
      <c r="R980" s="25" t="e">
        <f t="shared" si="15"/>
        <v>#N/A</v>
      </c>
      <c r="S980" s="58"/>
      <c r="T980" s="58"/>
      <c r="U980" s="43"/>
      <c r="V980" s="43"/>
      <c r="W980" s="58"/>
      <c r="X980" s="58"/>
      <c r="Y980" s="59"/>
      <c r="Z980" s="60"/>
      <c r="AA980" s="25"/>
      <c r="AB980" s="25"/>
    </row>
    <row r="981" spans="2:28">
      <c r="B981" s="40"/>
      <c r="C981" s="40"/>
      <c r="D981" s="41"/>
      <c r="E981" s="42"/>
      <c r="F981" s="42"/>
      <c r="G981" s="43"/>
      <c r="H981" s="42" t="s">
        <v>155</v>
      </c>
      <c r="I981" s="43"/>
      <c r="J981" s="43"/>
      <c r="K981" s="25" t="e">
        <f>VLOOKUP(J981,Key!$E$2:$F$9,2,FALSE)</f>
        <v>#N/A</v>
      </c>
      <c r="L981" s="42"/>
      <c r="M981" s="43" t="s">
        <v>154</v>
      </c>
      <c r="N981" s="42" t="s">
        <v>155</v>
      </c>
      <c r="O981" s="43"/>
      <c r="P981" s="43"/>
      <c r="Q981" s="25" t="e">
        <f>VLOOKUP(P981,Key!$E$2:$F$9,2,FALSE)</f>
        <v>#N/A</v>
      </c>
      <c r="R981" s="25" t="e">
        <f t="shared" si="15"/>
        <v>#N/A</v>
      </c>
      <c r="S981" s="58"/>
      <c r="T981" s="58"/>
      <c r="U981" s="43"/>
      <c r="V981" s="43"/>
      <c r="W981" s="58"/>
      <c r="X981" s="58"/>
      <c r="Y981" s="59"/>
      <c r="Z981" s="60"/>
      <c r="AA981" s="25"/>
      <c r="AB981" s="25"/>
    </row>
    <row r="982" spans="2:28">
      <c r="B982" s="40"/>
      <c r="C982" s="40"/>
      <c r="D982" s="41"/>
      <c r="E982" s="42"/>
      <c r="F982" s="42"/>
      <c r="G982" s="43"/>
      <c r="H982" s="42" t="s">
        <v>155</v>
      </c>
      <c r="I982" s="43"/>
      <c r="J982" s="43"/>
      <c r="K982" s="25" t="e">
        <f>VLOOKUP(J982,Key!$E$2:$F$9,2,FALSE)</f>
        <v>#N/A</v>
      </c>
      <c r="L982" s="42"/>
      <c r="M982" s="43" t="s">
        <v>154</v>
      </c>
      <c r="N982" s="42" t="s">
        <v>155</v>
      </c>
      <c r="O982" s="43"/>
      <c r="P982" s="43"/>
      <c r="Q982" s="25" t="e">
        <f>VLOOKUP(P982,Key!$E$2:$F$9,2,FALSE)</f>
        <v>#N/A</v>
      </c>
      <c r="R982" s="25" t="e">
        <f t="shared" si="15"/>
        <v>#N/A</v>
      </c>
      <c r="S982" s="58"/>
      <c r="T982" s="58"/>
      <c r="U982" s="43"/>
      <c r="V982" s="43"/>
      <c r="W982" s="58"/>
      <c r="X982" s="58"/>
      <c r="Y982" s="59"/>
      <c r="Z982" s="60"/>
      <c r="AA982" s="25"/>
      <c r="AB982" s="25"/>
    </row>
    <row r="983" spans="2:28">
      <c r="B983" s="40"/>
      <c r="C983" s="40"/>
      <c r="D983" s="41"/>
      <c r="E983" s="42"/>
      <c r="F983" s="42"/>
      <c r="G983" s="43"/>
      <c r="H983" s="42" t="s">
        <v>155</v>
      </c>
      <c r="I983" s="43"/>
      <c r="J983" s="43"/>
      <c r="K983" s="25" t="e">
        <f>VLOOKUP(J983,Key!$E$2:$F$9,2,FALSE)</f>
        <v>#N/A</v>
      </c>
      <c r="L983" s="42"/>
      <c r="M983" s="43" t="s">
        <v>154</v>
      </c>
      <c r="N983" s="42" t="s">
        <v>155</v>
      </c>
      <c r="O983" s="43"/>
      <c r="P983" s="43"/>
      <c r="Q983" s="25" t="e">
        <f>VLOOKUP(P983,Key!$E$2:$F$9,2,FALSE)</f>
        <v>#N/A</v>
      </c>
      <c r="R983" s="25" t="e">
        <f t="shared" si="15"/>
        <v>#N/A</v>
      </c>
      <c r="S983" s="58"/>
      <c r="T983" s="58"/>
      <c r="U983" s="43"/>
      <c r="V983" s="43"/>
      <c r="W983" s="58"/>
      <c r="X983" s="58"/>
      <c r="Y983" s="59"/>
      <c r="Z983" s="60"/>
      <c r="AA983" s="25"/>
      <c r="AB983" s="25"/>
    </row>
    <row r="984" spans="2:28">
      <c r="B984" s="40"/>
      <c r="C984" s="40"/>
      <c r="D984" s="41"/>
      <c r="E984" s="42"/>
      <c r="F984" s="42"/>
      <c r="G984" s="43"/>
      <c r="H984" s="42" t="s">
        <v>155</v>
      </c>
      <c r="I984" s="43"/>
      <c r="J984" s="43"/>
      <c r="K984" s="25" t="e">
        <f>VLOOKUP(J984,Key!$E$2:$F$9,2,FALSE)</f>
        <v>#N/A</v>
      </c>
      <c r="L984" s="42"/>
      <c r="M984" s="43" t="s">
        <v>154</v>
      </c>
      <c r="N984" s="42" t="s">
        <v>155</v>
      </c>
      <c r="O984" s="43"/>
      <c r="P984" s="43"/>
      <c r="Q984" s="25" t="e">
        <f>VLOOKUP(P984,Key!$E$2:$F$9,2,FALSE)</f>
        <v>#N/A</v>
      </c>
      <c r="R984" s="25" t="e">
        <f t="shared" si="15"/>
        <v>#N/A</v>
      </c>
      <c r="S984" s="58"/>
      <c r="T984" s="58"/>
      <c r="U984" s="43"/>
      <c r="V984" s="43"/>
      <c r="W984" s="58"/>
      <c r="X984" s="58"/>
      <c r="Y984" s="59"/>
      <c r="Z984" s="60"/>
      <c r="AA984" s="25"/>
      <c r="AB984" s="25"/>
    </row>
    <row r="985" spans="2:28">
      <c r="B985" s="40"/>
      <c r="C985" s="40"/>
      <c r="D985" s="41"/>
      <c r="E985" s="42"/>
      <c r="F985" s="42"/>
      <c r="G985" s="43"/>
      <c r="H985" s="42" t="s">
        <v>155</v>
      </c>
      <c r="I985" s="43"/>
      <c r="J985" s="43"/>
      <c r="K985" s="25" t="e">
        <f>VLOOKUP(J985,Key!$E$2:$F$9,2,FALSE)</f>
        <v>#N/A</v>
      </c>
      <c r="L985" s="42"/>
      <c r="M985" s="43" t="s">
        <v>154</v>
      </c>
      <c r="N985" s="42" t="s">
        <v>155</v>
      </c>
      <c r="O985" s="43"/>
      <c r="P985" s="43"/>
      <c r="Q985" s="25" t="e">
        <f>VLOOKUP(P985,Key!$E$2:$F$9,2,FALSE)</f>
        <v>#N/A</v>
      </c>
      <c r="R985" s="25" t="e">
        <f t="shared" si="15"/>
        <v>#N/A</v>
      </c>
      <c r="S985" s="58"/>
      <c r="T985" s="58"/>
      <c r="U985" s="43"/>
      <c r="V985" s="43"/>
      <c r="W985" s="58"/>
      <c r="X985" s="58"/>
      <c r="Y985" s="59"/>
      <c r="Z985" s="60"/>
      <c r="AA985" s="25"/>
      <c r="AB985" s="25"/>
    </row>
    <row r="986" spans="2:28">
      <c r="B986" s="40"/>
      <c r="C986" s="40"/>
      <c r="D986" s="41"/>
      <c r="E986" s="42"/>
      <c r="F986" s="42"/>
      <c r="G986" s="43"/>
      <c r="H986" s="42" t="s">
        <v>155</v>
      </c>
      <c r="I986" s="43"/>
      <c r="J986" s="43"/>
      <c r="K986" s="25" t="e">
        <f>VLOOKUP(J986,Key!$E$2:$F$9,2,FALSE)</f>
        <v>#N/A</v>
      </c>
      <c r="L986" s="42"/>
      <c r="M986" s="43" t="s">
        <v>154</v>
      </c>
      <c r="N986" s="42" t="s">
        <v>155</v>
      </c>
      <c r="O986" s="43"/>
      <c r="P986" s="43"/>
      <c r="Q986" s="25" t="e">
        <f>VLOOKUP(P986,Key!$E$2:$F$9,2,FALSE)</f>
        <v>#N/A</v>
      </c>
      <c r="R986" s="25" t="e">
        <f t="shared" si="15"/>
        <v>#N/A</v>
      </c>
      <c r="S986" s="58"/>
      <c r="T986" s="58"/>
      <c r="U986" s="43"/>
      <c r="V986" s="43"/>
      <c r="W986" s="58"/>
      <c r="X986" s="58"/>
      <c r="Y986" s="59"/>
      <c r="Z986" s="60"/>
      <c r="AA986" s="25"/>
      <c r="AB986" s="25"/>
    </row>
    <row r="987" spans="2:28">
      <c r="B987" s="40"/>
      <c r="C987" s="40"/>
      <c r="D987" s="41"/>
      <c r="E987" s="42"/>
      <c r="F987" s="42"/>
      <c r="G987" s="43"/>
      <c r="H987" s="42" t="s">
        <v>155</v>
      </c>
      <c r="I987" s="43"/>
      <c r="J987" s="43"/>
      <c r="K987" s="25" t="e">
        <f>VLOOKUP(J987,Key!$E$2:$F$9,2,FALSE)</f>
        <v>#N/A</v>
      </c>
      <c r="L987" s="42"/>
      <c r="M987" s="43" t="s">
        <v>154</v>
      </c>
      <c r="N987" s="42" t="s">
        <v>155</v>
      </c>
      <c r="O987" s="43"/>
      <c r="P987" s="43"/>
      <c r="Q987" s="25" t="e">
        <f>VLOOKUP(P987,Key!$E$2:$F$9,2,FALSE)</f>
        <v>#N/A</v>
      </c>
      <c r="R987" s="25" t="e">
        <f t="shared" si="15"/>
        <v>#N/A</v>
      </c>
      <c r="S987" s="58"/>
      <c r="T987" s="58"/>
      <c r="U987" s="43"/>
      <c r="V987" s="43"/>
      <c r="W987" s="58"/>
      <c r="X987" s="58"/>
      <c r="Y987" s="59"/>
      <c r="Z987" s="60"/>
      <c r="AA987" s="25"/>
      <c r="AB987" s="25"/>
    </row>
    <row r="988" spans="2:28">
      <c r="B988" s="40"/>
      <c r="C988" s="40"/>
      <c r="D988" s="41"/>
      <c r="E988" s="42"/>
      <c r="F988" s="42"/>
      <c r="G988" s="43"/>
      <c r="H988" s="42" t="s">
        <v>155</v>
      </c>
      <c r="I988" s="43"/>
      <c r="J988" s="43"/>
      <c r="K988" s="25" t="e">
        <f>VLOOKUP(J988,Key!$E$2:$F$9,2,FALSE)</f>
        <v>#N/A</v>
      </c>
      <c r="L988" s="42"/>
      <c r="M988" s="43" t="s">
        <v>154</v>
      </c>
      <c r="N988" s="42" t="s">
        <v>155</v>
      </c>
      <c r="O988" s="43"/>
      <c r="P988" s="43"/>
      <c r="Q988" s="25" t="e">
        <f>VLOOKUP(P988,Key!$E$2:$F$9,2,FALSE)</f>
        <v>#N/A</v>
      </c>
      <c r="R988" s="25" t="e">
        <f t="shared" si="15"/>
        <v>#N/A</v>
      </c>
      <c r="S988" s="58"/>
      <c r="T988" s="58"/>
      <c r="U988" s="43"/>
      <c r="V988" s="43"/>
      <c r="W988" s="58"/>
      <c r="X988" s="58"/>
      <c r="Y988" s="59"/>
      <c r="Z988" s="60"/>
      <c r="AA988" s="25"/>
      <c r="AB988" s="25"/>
    </row>
    <row r="989" spans="2:28">
      <c r="B989" s="40"/>
      <c r="C989" s="40"/>
      <c r="D989" s="41"/>
      <c r="E989" s="42"/>
      <c r="F989" s="42"/>
      <c r="G989" s="43"/>
      <c r="H989" s="42" t="s">
        <v>155</v>
      </c>
      <c r="I989" s="43"/>
      <c r="J989" s="43"/>
      <c r="K989" s="25" t="e">
        <f>VLOOKUP(J989,Key!$E$2:$F$9,2,FALSE)</f>
        <v>#N/A</v>
      </c>
      <c r="L989" s="42"/>
      <c r="M989" s="43" t="s">
        <v>154</v>
      </c>
      <c r="N989" s="42" t="s">
        <v>155</v>
      </c>
      <c r="O989" s="43"/>
      <c r="P989" s="43"/>
      <c r="Q989" s="25" t="e">
        <f>VLOOKUP(P989,Key!$E$2:$F$9,2,FALSE)</f>
        <v>#N/A</v>
      </c>
      <c r="R989" s="25" t="e">
        <f t="shared" si="15"/>
        <v>#N/A</v>
      </c>
      <c r="S989" s="58"/>
      <c r="T989" s="58"/>
      <c r="U989" s="43"/>
      <c r="V989" s="43"/>
      <c r="W989" s="58"/>
      <c r="X989" s="58"/>
      <c r="Y989" s="59"/>
      <c r="Z989" s="60"/>
      <c r="AA989" s="25"/>
      <c r="AB989" s="25"/>
    </row>
    <row r="990" spans="2:28">
      <c r="B990" s="40"/>
      <c r="C990" s="40"/>
      <c r="D990" s="41"/>
      <c r="E990" s="42"/>
      <c r="F990" s="42"/>
      <c r="G990" s="43"/>
      <c r="H990" s="42" t="s">
        <v>155</v>
      </c>
      <c r="I990" s="43"/>
      <c r="J990" s="43"/>
      <c r="K990" s="25" t="e">
        <f>VLOOKUP(J990,Key!$E$2:$F$9,2,FALSE)</f>
        <v>#N/A</v>
      </c>
      <c r="L990" s="42"/>
      <c r="M990" s="43" t="s">
        <v>154</v>
      </c>
      <c r="N990" s="42" t="s">
        <v>155</v>
      </c>
      <c r="O990" s="43"/>
      <c r="P990" s="43"/>
      <c r="Q990" s="25" t="e">
        <f>VLOOKUP(P990,Key!$E$2:$F$9,2,FALSE)</f>
        <v>#N/A</v>
      </c>
      <c r="R990" s="25" t="e">
        <f t="shared" si="15"/>
        <v>#N/A</v>
      </c>
      <c r="S990" s="58"/>
      <c r="T990" s="58"/>
      <c r="U990" s="43"/>
      <c r="V990" s="43"/>
      <c r="W990" s="58"/>
      <c r="X990" s="58"/>
      <c r="Y990" s="59"/>
      <c r="Z990" s="60"/>
      <c r="AA990" s="25"/>
      <c r="AB990" s="25"/>
    </row>
    <row r="991" spans="2:28">
      <c r="B991" s="40"/>
      <c r="C991" s="40"/>
      <c r="D991" s="41"/>
      <c r="E991" s="42"/>
      <c r="F991" s="42"/>
      <c r="G991" s="43"/>
      <c r="H991" s="42" t="s">
        <v>155</v>
      </c>
      <c r="I991" s="43"/>
      <c r="J991" s="43"/>
      <c r="K991" s="25" t="e">
        <f>VLOOKUP(J991,Key!$E$2:$F$9,2,FALSE)</f>
        <v>#N/A</v>
      </c>
      <c r="L991" s="42"/>
      <c r="M991" s="43" t="s">
        <v>154</v>
      </c>
      <c r="N991" s="42" t="s">
        <v>155</v>
      </c>
      <c r="O991" s="43"/>
      <c r="P991" s="43"/>
      <c r="Q991" s="25" t="e">
        <f>VLOOKUP(P991,Key!$E$2:$F$9,2,FALSE)</f>
        <v>#N/A</v>
      </c>
      <c r="R991" s="25" t="e">
        <f t="shared" si="15"/>
        <v>#N/A</v>
      </c>
      <c r="S991" s="58"/>
      <c r="T991" s="58"/>
      <c r="U991" s="43"/>
      <c r="V991" s="43"/>
      <c r="W991" s="58"/>
      <c r="X991" s="58"/>
      <c r="Y991" s="59"/>
      <c r="Z991" s="60"/>
      <c r="AA991" s="25"/>
      <c r="AB991" s="25"/>
    </row>
    <row r="992" spans="2:28">
      <c r="B992" s="40"/>
      <c r="C992" s="40"/>
      <c r="D992" s="41"/>
      <c r="E992" s="42"/>
      <c r="F992" s="42"/>
      <c r="G992" s="43"/>
      <c r="H992" s="42" t="s">
        <v>155</v>
      </c>
      <c r="I992" s="43"/>
      <c r="J992" s="43"/>
      <c r="K992" s="25" t="e">
        <f>VLOOKUP(J992,Key!$E$2:$F$9,2,FALSE)</f>
        <v>#N/A</v>
      </c>
      <c r="L992" s="42"/>
      <c r="M992" s="43" t="s">
        <v>154</v>
      </c>
      <c r="N992" s="42" t="s">
        <v>155</v>
      </c>
      <c r="O992" s="43"/>
      <c r="P992" s="43"/>
      <c r="Q992" s="25" t="e">
        <f>VLOOKUP(P992,Key!$E$2:$F$9,2,FALSE)</f>
        <v>#N/A</v>
      </c>
      <c r="R992" s="25" t="e">
        <f t="shared" si="15"/>
        <v>#N/A</v>
      </c>
      <c r="S992" s="58"/>
      <c r="T992" s="58"/>
      <c r="U992" s="43"/>
      <c r="V992" s="43"/>
      <c r="W992" s="58"/>
      <c r="X992" s="58"/>
      <c r="Y992" s="59"/>
      <c r="Z992" s="60"/>
      <c r="AA992" s="25"/>
      <c r="AB992" s="25"/>
    </row>
    <row r="993" spans="2:28">
      <c r="B993" s="40"/>
      <c r="C993" s="40"/>
      <c r="D993" s="41"/>
      <c r="E993" s="42"/>
      <c r="F993" s="42"/>
      <c r="G993" s="43"/>
      <c r="H993" s="42" t="s">
        <v>155</v>
      </c>
      <c r="I993" s="43"/>
      <c r="J993" s="43"/>
      <c r="K993" s="25" t="e">
        <f>VLOOKUP(J993,Key!$E$2:$F$9,2,FALSE)</f>
        <v>#N/A</v>
      </c>
      <c r="L993" s="42"/>
      <c r="M993" s="43" t="s">
        <v>154</v>
      </c>
      <c r="N993" s="42" t="s">
        <v>155</v>
      </c>
      <c r="O993" s="43"/>
      <c r="P993" s="43"/>
      <c r="Q993" s="25" t="e">
        <f>VLOOKUP(P993,Key!$E$2:$F$9,2,FALSE)</f>
        <v>#N/A</v>
      </c>
      <c r="R993" s="25" t="e">
        <f t="shared" si="15"/>
        <v>#N/A</v>
      </c>
      <c r="S993" s="58"/>
      <c r="T993" s="58"/>
      <c r="U993" s="43"/>
      <c r="V993" s="43"/>
      <c r="W993" s="58"/>
      <c r="X993" s="58"/>
      <c r="Y993" s="59"/>
      <c r="Z993" s="60"/>
      <c r="AA993" s="25"/>
      <c r="AB993" s="25"/>
    </row>
    <row r="994" spans="2:28">
      <c r="B994" s="40"/>
      <c r="C994" s="40"/>
      <c r="D994" s="41"/>
      <c r="E994" s="42"/>
      <c r="F994" s="42"/>
      <c r="G994" s="43"/>
      <c r="H994" s="42" t="s">
        <v>155</v>
      </c>
      <c r="I994" s="43"/>
      <c r="J994" s="43"/>
      <c r="K994" s="25" t="e">
        <f>VLOOKUP(J994,Key!$E$2:$F$9,2,FALSE)</f>
        <v>#N/A</v>
      </c>
      <c r="L994" s="42"/>
      <c r="M994" s="43" t="s">
        <v>154</v>
      </c>
      <c r="N994" s="42" t="s">
        <v>155</v>
      </c>
      <c r="O994" s="43"/>
      <c r="P994" s="43"/>
      <c r="Q994" s="25" t="e">
        <f>VLOOKUP(P994,Key!$E$2:$F$9,2,FALSE)</f>
        <v>#N/A</v>
      </c>
      <c r="R994" s="25" t="e">
        <f t="shared" si="15"/>
        <v>#N/A</v>
      </c>
      <c r="S994" s="58"/>
      <c r="T994" s="58"/>
      <c r="U994" s="43"/>
      <c r="V994" s="43"/>
      <c r="W994" s="58"/>
      <c r="X994" s="58"/>
      <c r="Y994" s="59"/>
      <c r="Z994" s="60"/>
      <c r="AA994" s="25"/>
      <c r="AB994" s="25"/>
    </row>
    <row r="995" spans="2:28">
      <c r="B995" s="40"/>
      <c r="C995" s="40"/>
      <c r="D995" s="41"/>
      <c r="E995" s="42"/>
      <c r="F995" s="42"/>
      <c r="G995" s="43"/>
      <c r="H995" s="42" t="s">
        <v>155</v>
      </c>
      <c r="I995" s="43"/>
      <c r="J995" s="43"/>
      <c r="K995" s="25" t="e">
        <f>VLOOKUP(J995,Key!$E$2:$F$9,2,FALSE)</f>
        <v>#N/A</v>
      </c>
      <c r="L995" s="42"/>
      <c r="M995" s="43" t="s">
        <v>154</v>
      </c>
      <c r="N995" s="42" t="s">
        <v>155</v>
      </c>
      <c r="O995" s="43"/>
      <c r="P995" s="43"/>
      <c r="Q995" s="25" t="e">
        <f>VLOOKUP(P995,Key!$E$2:$F$9,2,FALSE)</f>
        <v>#N/A</v>
      </c>
      <c r="R995" s="25" t="e">
        <f t="shared" si="15"/>
        <v>#N/A</v>
      </c>
      <c r="S995" s="58"/>
      <c r="T995" s="58"/>
      <c r="U995" s="43"/>
      <c r="V995" s="43"/>
      <c r="W995" s="58"/>
      <c r="X995" s="58"/>
      <c r="Y995" s="59"/>
      <c r="Z995" s="60"/>
      <c r="AA995" s="25"/>
      <c r="AB995" s="25"/>
    </row>
    <row r="996" spans="2:28">
      <c r="B996" s="40"/>
      <c r="C996" s="40"/>
      <c r="D996" s="41"/>
      <c r="E996" s="42"/>
      <c r="F996" s="42"/>
      <c r="G996" s="43"/>
      <c r="H996" s="42" t="s">
        <v>155</v>
      </c>
      <c r="I996" s="43"/>
      <c r="J996" s="43"/>
      <c r="K996" s="25" t="e">
        <f>VLOOKUP(J996,Key!$E$2:$F$9,2,FALSE)</f>
        <v>#N/A</v>
      </c>
      <c r="L996" s="42"/>
      <c r="M996" s="43" t="s">
        <v>154</v>
      </c>
      <c r="N996" s="42" t="s">
        <v>155</v>
      </c>
      <c r="O996" s="43"/>
      <c r="P996" s="43"/>
      <c r="Q996" s="25" t="e">
        <f>VLOOKUP(P996,Key!$E$2:$F$9,2,FALSE)</f>
        <v>#N/A</v>
      </c>
      <c r="R996" s="25" t="e">
        <f t="shared" si="15"/>
        <v>#N/A</v>
      </c>
      <c r="S996" s="58"/>
      <c r="T996" s="58"/>
      <c r="U996" s="43"/>
      <c r="V996" s="43"/>
      <c r="W996" s="58"/>
      <c r="X996" s="58"/>
      <c r="Y996" s="59"/>
      <c r="Z996" s="60"/>
      <c r="AA996" s="25"/>
      <c r="AB996" s="25"/>
    </row>
    <row r="997" spans="2:28">
      <c r="B997" s="40"/>
      <c r="C997" s="40"/>
      <c r="D997" s="41"/>
      <c r="E997" s="42"/>
      <c r="F997" s="42"/>
      <c r="G997" s="43"/>
      <c r="H997" s="42" t="s">
        <v>155</v>
      </c>
      <c r="I997" s="43"/>
      <c r="J997" s="43"/>
      <c r="K997" s="25" t="e">
        <f>VLOOKUP(J997,Key!$E$2:$F$9,2,FALSE)</f>
        <v>#N/A</v>
      </c>
      <c r="L997" s="42"/>
      <c r="M997" s="43" t="s">
        <v>154</v>
      </c>
      <c r="N997" s="42" t="s">
        <v>155</v>
      </c>
      <c r="O997" s="43"/>
      <c r="P997" s="43"/>
      <c r="Q997" s="25" t="e">
        <f>VLOOKUP(P997,Key!$E$2:$F$9,2,FALSE)</f>
        <v>#N/A</v>
      </c>
      <c r="R997" s="25" t="e">
        <f t="shared" si="15"/>
        <v>#N/A</v>
      </c>
      <c r="S997" s="58"/>
      <c r="T997" s="58"/>
      <c r="U997" s="43"/>
      <c r="V997" s="43"/>
      <c r="W997" s="58"/>
      <c r="X997" s="58"/>
      <c r="Y997" s="59"/>
      <c r="Z997" s="60"/>
      <c r="AA997" s="25"/>
      <c r="AB997" s="25"/>
    </row>
    <row r="998" spans="2:28">
      <c r="B998" s="40"/>
      <c r="C998" s="40"/>
      <c r="D998" s="41"/>
      <c r="E998" s="42"/>
      <c r="F998" s="42"/>
      <c r="G998" s="43"/>
      <c r="H998" s="42" t="s">
        <v>155</v>
      </c>
      <c r="I998" s="43"/>
      <c r="J998" s="43"/>
      <c r="K998" s="25" t="e">
        <f>VLOOKUP(J998,Key!$E$2:$F$9,2,FALSE)</f>
        <v>#N/A</v>
      </c>
      <c r="L998" s="42"/>
      <c r="M998" s="43" t="s">
        <v>154</v>
      </c>
      <c r="N998" s="42" t="s">
        <v>155</v>
      </c>
      <c r="O998" s="43"/>
      <c r="P998" s="43"/>
      <c r="Q998" s="25" t="e">
        <f>VLOOKUP(P998,Key!$E$2:$F$9,2,FALSE)</f>
        <v>#N/A</v>
      </c>
      <c r="R998" s="25" t="e">
        <f t="shared" ref="R998:R1061" si="16">K998&amp;"-"&amp;Q998</f>
        <v>#N/A</v>
      </c>
      <c r="S998" s="58"/>
      <c r="T998" s="58"/>
      <c r="U998" s="43"/>
      <c r="V998" s="43"/>
      <c r="W998" s="58"/>
      <c r="X998" s="58"/>
      <c r="Y998" s="59"/>
      <c r="Z998" s="60"/>
      <c r="AA998" s="25"/>
      <c r="AB998" s="25"/>
    </row>
    <row r="999" spans="2:28">
      <c r="B999" s="40"/>
      <c r="C999" s="40"/>
      <c r="D999" s="41"/>
      <c r="E999" s="42"/>
      <c r="F999" s="42"/>
      <c r="G999" s="43"/>
      <c r="H999" s="42" t="s">
        <v>155</v>
      </c>
      <c r="I999" s="43"/>
      <c r="J999" s="43"/>
      <c r="K999" s="25" t="e">
        <f>VLOOKUP(J999,Key!$E$2:$F$9,2,FALSE)</f>
        <v>#N/A</v>
      </c>
      <c r="L999" s="42"/>
      <c r="M999" s="43" t="s">
        <v>154</v>
      </c>
      <c r="N999" s="42" t="s">
        <v>155</v>
      </c>
      <c r="O999" s="43"/>
      <c r="P999" s="43"/>
      <c r="Q999" s="25" t="e">
        <f>VLOOKUP(P999,Key!$E$2:$F$9,2,FALSE)</f>
        <v>#N/A</v>
      </c>
      <c r="R999" s="25" t="e">
        <f t="shared" si="16"/>
        <v>#N/A</v>
      </c>
      <c r="S999" s="58"/>
      <c r="T999" s="58"/>
      <c r="U999" s="43"/>
      <c r="V999" s="43"/>
      <c r="W999" s="58"/>
      <c r="X999" s="58"/>
      <c r="Y999" s="59"/>
      <c r="Z999" s="60"/>
      <c r="AA999" s="25"/>
      <c r="AB999" s="25"/>
    </row>
    <row r="1000" spans="2:28">
      <c r="B1000" s="40"/>
      <c r="C1000" s="40"/>
      <c r="D1000" s="41"/>
      <c r="E1000" s="42"/>
      <c r="F1000" s="42"/>
      <c r="G1000" s="43"/>
      <c r="H1000" s="42" t="s">
        <v>155</v>
      </c>
      <c r="I1000" s="43"/>
      <c r="J1000" s="43"/>
      <c r="K1000" s="25" t="e">
        <f>VLOOKUP(J1000,Key!$E$2:$F$9,2,FALSE)</f>
        <v>#N/A</v>
      </c>
      <c r="L1000" s="42"/>
      <c r="M1000" s="43" t="s">
        <v>154</v>
      </c>
      <c r="N1000" s="42" t="s">
        <v>155</v>
      </c>
      <c r="O1000" s="43"/>
      <c r="P1000" s="43"/>
      <c r="Q1000" s="25" t="e">
        <f>VLOOKUP(P1000,Key!$E$2:$F$9,2,FALSE)</f>
        <v>#N/A</v>
      </c>
      <c r="R1000" s="25" t="e">
        <f t="shared" si="16"/>
        <v>#N/A</v>
      </c>
      <c r="S1000" s="58"/>
      <c r="T1000" s="58"/>
      <c r="U1000" s="43"/>
      <c r="V1000" s="43"/>
      <c r="W1000" s="58"/>
      <c r="X1000" s="58"/>
      <c r="Y1000" s="59"/>
      <c r="Z1000" s="60"/>
      <c r="AA1000" s="25"/>
      <c r="AB1000" s="25"/>
    </row>
    <row r="1001" spans="2:28">
      <c r="B1001" s="40"/>
      <c r="C1001" s="40"/>
      <c r="D1001" s="41"/>
      <c r="E1001" s="42"/>
      <c r="F1001" s="42"/>
      <c r="G1001" s="43"/>
      <c r="H1001" s="42" t="s">
        <v>155</v>
      </c>
      <c r="I1001" s="43"/>
      <c r="J1001" s="43"/>
      <c r="K1001" s="25" t="e">
        <f>VLOOKUP(J1001,Key!$E$2:$F$9,2,FALSE)</f>
        <v>#N/A</v>
      </c>
      <c r="L1001" s="42"/>
      <c r="M1001" s="43" t="s">
        <v>154</v>
      </c>
      <c r="N1001" s="42" t="s">
        <v>155</v>
      </c>
      <c r="O1001" s="43"/>
      <c r="P1001" s="43"/>
      <c r="Q1001" s="25" t="e">
        <f>VLOOKUP(P1001,Key!$E$2:$F$9,2,FALSE)</f>
        <v>#N/A</v>
      </c>
      <c r="R1001" s="25" t="e">
        <f t="shared" si="16"/>
        <v>#N/A</v>
      </c>
      <c r="S1001" s="58"/>
      <c r="T1001" s="58"/>
      <c r="U1001" s="43"/>
      <c r="V1001" s="43"/>
      <c r="W1001" s="58"/>
      <c r="X1001" s="58"/>
      <c r="Y1001" s="59"/>
      <c r="Z1001" s="60"/>
      <c r="AA1001" s="25"/>
      <c r="AB1001" s="25"/>
    </row>
    <row r="1002" spans="2:28">
      <c r="B1002" s="40"/>
      <c r="C1002" s="40"/>
      <c r="D1002" s="41"/>
      <c r="E1002" s="42"/>
      <c r="F1002" s="42"/>
      <c r="G1002" s="43"/>
      <c r="H1002" s="42" t="s">
        <v>155</v>
      </c>
      <c r="I1002" s="43"/>
      <c r="J1002" s="43"/>
      <c r="K1002" s="25" t="e">
        <f>VLOOKUP(J1002,Key!$E$2:$F$9,2,FALSE)</f>
        <v>#N/A</v>
      </c>
      <c r="L1002" s="42"/>
      <c r="M1002" s="43" t="s">
        <v>154</v>
      </c>
      <c r="N1002" s="42" t="s">
        <v>155</v>
      </c>
      <c r="O1002" s="43"/>
      <c r="P1002" s="43"/>
      <c r="Q1002" s="25" t="e">
        <f>VLOOKUP(P1002,Key!$E$2:$F$9,2,FALSE)</f>
        <v>#N/A</v>
      </c>
      <c r="R1002" s="25" t="e">
        <f t="shared" si="16"/>
        <v>#N/A</v>
      </c>
      <c r="S1002" s="58"/>
      <c r="T1002" s="58"/>
      <c r="U1002" s="43"/>
      <c r="V1002" s="43"/>
      <c r="W1002" s="58"/>
      <c r="X1002" s="58"/>
      <c r="Y1002" s="59"/>
      <c r="Z1002" s="60"/>
      <c r="AA1002" s="25"/>
      <c r="AB1002" s="25"/>
    </row>
    <row r="1003" spans="2:28">
      <c r="B1003" s="40"/>
      <c r="C1003" s="40"/>
      <c r="D1003" s="41"/>
      <c r="E1003" s="42"/>
      <c r="F1003" s="42"/>
      <c r="G1003" s="43"/>
      <c r="H1003" s="42" t="s">
        <v>155</v>
      </c>
      <c r="I1003" s="43"/>
      <c r="J1003" s="43"/>
      <c r="K1003" s="25" t="e">
        <f>VLOOKUP(J1003,Key!$E$2:$F$9,2,FALSE)</f>
        <v>#N/A</v>
      </c>
      <c r="L1003" s="42"/>
      <c r="M1003" s="43" t="s">
        <v>154</v>
      </c>
      <c r="N1003" s="42" t="s">
        <v>155</v>
      </c>
      <c r="O1003" s="43"/>
      <c r="P1003" s="43"/>
      <c r="Q1003" s="25" t="e">
        <f>VLOOKUP(P1003,Key!$E$2:$F$9,2,FALSE)</f>
        <v>#N/A</v>
      </c>
      <c r="R1003" s="25" t="e">
        <f t="shared" si="16"/>
        <v>#N/A</v>
      </c>
      <c r="S1003" s="58"/>
      <c r="T1003" s="58"/>
      <c r="U1003" s="43"/>
      <c r="V1003" s="43"/>
      <c r="W1003" s="58"/>
      <c r="X1003" s="58"/>
      <c r="Y1003" s="59"/>
      <c r="Z1003" s="60"/>
      <c r="AA1003" s="25"/>
      <c r="AB1003" s="25"/>
    </row>
    <row r="1004" spans="2:28">
      <c r="B1004" s="40"/>
      <c r="C1004" s="40"/>
      <c r="D1004" s="41"/>
      <c r="E1004" s="42"/>
      <c r="F1004" s="42"/>
      <c r="G1004" s="43"/>
      <c r="H1004" s="42" t="s">
        <v>155</v>
      </c>
      <c r="I1004" s="43"/>
      <c r="J1004" s="43"/>
      <c r="K1004" s="25" t="e">
        <f>VLOOKUP(J1004,Key!$E$2:$F$9,2,FALSE)</f>
        <v>#N/A</v>
      </c>
      <c r="L1004" s="42"/>
      <c r="M1004" s="43" t="s">
        <v>154</v>
      </c>
      <c r="N1004" s="42" t="s">
        <v>155</v>
      </c>
      <c r="O1004" s="43"/>
      <c r="P1004" s="43"/>
      <c r="Q1004" s="25" t="e">
        <f>VLOOKUP(P1004,Key!$E$2:$F$9,2,FALSE)</f>
        <v>#N/A</v>
      </c>
      <c r="R1004" s="25" t="e">
        <f t="shared" si="16"/>
        <v>#N/A</v>
      </c>
      <c r="S1004" s="58"/>
      <c r="T1004" s="58"/>
      <c r="U1004" s="43"/>
      <c r="V1004" s="43"/>
      <c r="W1004" s="58"/>
      <c r="X1004" s="58"/>
      <c r="Y1004" s="59"/>
      <c r="Z1004" s="60"/>
      <c r="AA1004" s="25"/>
      <c r="AB1004" s="25"/>
    </row>
    <row r="1005" spans="2:28">
      <c r="B1005" s="40"/>
      <c r="C1005" s="40"/>
      <c r="D1005" s="41"/>
      <c r="E1005" s="42"/>
      <c r="F1005" s="42"/>
      <c r="G1005" s="43"/>
      <c r="H1005" s="42" t="s">
        <v>155</v>
      </c>
      <c r="I1005" s="43"/>
      <c r="J1005" s="43"/>
      <c r="K1005" s="25" t="e">
        <f>VLOOKUP(J1005,Key!$E$2:$F$9,2,FALSE)</f>
        <v>#N/A</v>
      </c>
      <c r="L1005" s="42"/>
      <c r="M1005" s="43" t="s">
        <v>154</v>
      </c>
      <c r="N1005" s="42" t="s">
        <v>155</v>
      </c>
      <c r="O1005" s="43"/>
      <c r="P1005" s="43"/>
      <c r="Q1005" s="25" t="e">
        <f>VLOOKUP(P1005,Key!$E$2:$F$9,2,FALSE)</f>
        <v>#N/A</v>
      </c>
      <c r="R1005" s="25" t="e">
        <f t="shared" si="16"/>
        <v>#N/A</v>
      </c>
      <c r="S1005" s="58"/>
      <c r="T1005" s="58"/>
      <c r="U1005" s="43"/>
      <c r="V1005" s="43"/>
      <c r="W1005" s="58"/>
      <c r="X1005" s="58"/>
      <c r="Y1005" s="59"/>
      <c r="Z1005" s="60"/>
      <c r="AA1005" s="25"/>
      <c r="AB1005" s="25"/>
    </row>
    <row r="1006" spans="2:28">
      <c r="B1006" s="40"/>
      <c r="C1006" s="40"/>
      <c r="D1006" s="41"/>
      <c r="E1006" s="42"/>
      <c r="F1006" s="42"/>
      <c r="G1006" s="43"/>
      <c r="H1006" s="42" t="s">
        <v>155</v>
      </c>
      <c r="I1006" s="43"/>
      <c r="J1006" s="43"/>
      <c r="K1006" s="25" t="e">
        <f>VLOOKUP(J1006,Key!$E$2:$F$9,2,FALSE)</f>
        <v>#N/A</v>
      </c>
      <c r="L1006" s="42"/>
      <c r="M1006" s="43" t="s">
        <v>154</v>
      </c>
      <c r="N1006" s="42" t="s">
        <v>155</v>
      </c>
      <c r="O1006" s="43"/>
      <c r="P1006" s="43"/>
      <c r="Q1006" s="25" t="e">
        <f>VLOOKUP(P1006,Key!$E$2:$F$9,2,FALSE)</f>
        <v>#N/A</v>
      </c>
      <c r="R1006" s="25" t="e">
        <f t="shared" si="16"/>
        <v>#N/A</v>
      </c>
      <c r="S1006" s="58"/>
      <c r="T1006" s="58"/>
      <c r="U1006" s="43"/>
      <c r="V1006" s="43"/>
      <c r="W1006" s="58"/>
      <c r="X1006" s="58"/>
      <c r="Y1006" s="59"/>
      <c r="Z1006" s="60"/>
      <c r="AA1006" s="25"/>
      <c r="AB1006" s="25"/>
    </row>
    <row r="1007" spans="2:28">
      <c r="B1007" s="40"/>
      <c r="C1007" s="40"/>
      <c r="D1007" s="41"/>
      <c r="E1007" s="42"/>
      <c r="F1007" s="42"/>
      <c r="G1007" s="43"/>
      <c r="H1007" s="42" t="s">
        <v>155</v>
      </c>
      <c r="I1007" s="43"/>
      <c r="J1007" s="43"/>
      <c r="K1007" s="25" t="e">
        <f>VLOOKUP(J1007,Key!$E$2:$F$9,2,FALSE)</f>
        <v>#N/A</v>
      </c>
      <c r="L1007" s="42"/>
      <c r="M1007" s="43" t="s">
        <v>154</v>
      </c>
      <c r="N1007" s="42" t="s">
        <v>155</v>
      </c>
      <c r="O1007" s="43"/>
      <c r="P1007" s="43"/>
      <c r="Q1007" s="25" t="e">
        <f>VLOOKUP(P1007,Key!$E$2:$F$9,2,FALSE)</f>
        <v>#N/A</v>
      </c>
      <c r="R1007" s="25" t="e">
        <f t="shared" si="16"/>
        <v>#N/A</v>
      </c>
      <c r="S1007" s="58"/>
      <c r="T1007" s="58"/>
      <c r="U1007" s="43"/>
      <c r="V1007" s="43"/>
      <c r="W1007" s="58"/>
      <c r="X1007" s="58"/>
      <c r="Y1007" s="59"/>
      <c r="Z1007" s="60"/>
      <c r="AA1007" s="25"/>
      <c r="AB1007" s="25"/>
    </row>
    <row r="1008" spans="2:28">
      <c r="B1008" s="40"/>
      <c r="C1008" s="40"/>
      <c r="D1008" s="41"/>
      <c r="E1008" s="42"/>
      <c r="F1008" s="42"/>
      <c r="G1008" s="43"/>
      <c r="H1008" s="42" t="s">
        <v>155</v>
      </c>
      <c r="I1008" s="43"/>
      <c r="J1008" s="43"/>
      <c r="K1008" s="25" t="e">
        <f>VLOOKUP(J1008,Key!$E$2:$F$9,2,FALSE)</f>
        <v>#N/A</v>
      </c>
      <c r="L1008" s="42"/>
      <c r="M1008" s="43" t="s">
        <v>154</v>
      </c>
      <c r="N1008" s="42" t="s">
        <v>155</v>
      </c>
      <c r="O1008" s="43"/>
      <c r="P1008" s="43"/>
      <c r="Q1008" s="25" t="e">
        <f>VLOOKUP(P1008,Key!$E$2:$F$9,2,FALSE)</f>
        <v>#N/A</v>
      </c>
      <c r="R1008" s="25" t="e">
        <f t="shared" si="16"/>
        <v>#N/A</v>
      </c>
      <c r="S1008" s="58"/>
      <c r="T1008" s="58"/>
      <c r="U1008" s="43"/>
      <c r="V1008" s="43"/>
      <c r="W1008" s="58"/>
      <c r="X1008" s="58"/>
      <c r="Y1008" s="59"/>
      <c r="Z1008" s="60"/>
      <c r="AA1008" s="25"/>
      <c r="AB1008" s="25"/>
    </row>
    <row r="1009" spans="2:28">
      <c r="B1009" s="40"/>
      <c r="C1009" s="40"/>
      <c r="D1009" s="41"/>
      <c r="E1009" s="42"/>
      <c r="F1009" s="42"/>
      <c r="G1009" s="43"/>
      <c r="H1009" s="42" t="s">
        <v>155</v>
      </c>
      <c r="I1009" s="43"/>
      <c r="J1009" s="43"/>
      <c r="K1009" s="25" t="e">
        <f>VLOOKUP(J1009,Key!$E$2:$F$9,2,FALSE)</f>
        <v>#N/A</v>
      </c>
      <c r="L1009" s="42"/>
      <c r="M1009" s="43" t="s">
        <v>154</v>
      </c>
      <c r="N1009" s="42" t="s">
        <v>155</v>
      </c>
      <c r="O1009" s="43"/>
      <c r="P1009" s="43"/>
      <c r="Q1009" s="25" t="e">
        <f>VLOOKUP(P1009,Key!$E$2:$F$9,2,FALSE)</f>
        <v>#N/A</v>
      </c>
      <c r="R1009" s="25" t="e">
        <f t="shared" si="16"/>
        <v>#N/A</v>
      </c>
      <c r="S1009" s="58"/>
      <c r="T1009" s="58"/>
      <c r="U1009" s="43"/>
      <c r="V1009" s="43"/>
      <c r="W1009" s="58"/>
      <c r="X1009" s="58"/>
      <c r="Y1009" s="59"/>
      <c r="Z1009" s="60"/>
      <c r="AA1009" s="25"/>
      <c r="AB1009" s="25"/>
    </row>
    <row r="1010" spans="2:28">
      <c r="B1010" s="40"/>
      <c r="C1010" s="40"/>
      <c r="D1010" s="41"/>
      <c r="E1010" s="42"/>
      <c r="F1010" s="42"/>
      <c r="G1010" s="43"/>
      <c r="H1010" s="42" t="s">
        <v>155</v>
      </c>
      <c r="I1010" s="43"/>
      <c r="J1010" s="43"/>
      <c r="K1010" s="25" t="e">
        <f>VLOOKUP(J1010,Key!$E$2:$F$9,2,FALSE)</f>
        <v>#N/A</v>
      </c>
      <c r="L1010" s="42"/>
      <c r="M1010" s="43" t="s">
        <v>154</v>
      </c>
      <c r="N1010" s="42" t="s">
        <v>155</v>
      </c>
      <c r="O1010" s="43"/>
      <c r="P1010" s="43"/>
      <c r="Q1010" s="25" t="e">
        <f>VLOOKUP(P1010,Key!$E$2:$F$9,2,FALSE)</f>
        <v>#N/A</v>
      </c>
      <c r="R1010" s="25" t="e">
        <f t="shared" si="16"/>
        <v>#N/A</v>
      </c>
      <c r="S1010" s="58"/>
      <c r="T1010" s="58"/>
      <c r="U1010" s="43"/>
      <c r="V1010" s="43"/>
      <c r="W1010" s="58"/>
      <c r="X1010" s="58"/>
      <c r="Y1010" s="59"/>
      <c r="Z1010" s="60"/>
      <c r="AA1010" s="25"/>
      <c r="AB1010" s="25"/>
    </row>
    <row r="1011" spans="2:28">
      <c r="B1011" s="40"/>
      <c r="C1011" s="40"/>
      <c r="D1011" s="41"/>
      <c r="E1011" s="42"/>
      <c r="F1011" s="42"/>
      <c r="G1011" s="43"/>
      <c r="H1011" s="42" t="s">
        <v>155</v>
      </c>
      <c r="I1011" s="43"/>
      <c r="J1011" s="43"/>
      <c r="K1011" s="25" t="e">
        <f>VLOOKUP(J1011,Key!$E$2:$F$9,2,FALSE)</f>
        <v>#N/A</v>
      </c>
      <c r="L1011" s="42"/>
      <c r="M1011" s="43" t="s">
        <v>154</v>
      </c>
      <c r="N1011" s="42" t="s">
        <v>155</v>
      </c>
      <c r="O1011" s="43"/>
      <c r="P1011" s="43"/>
      <c r="Q1011" s="25" t="e">
        <f>VLOOKUP(P1011,Key!$E$2:$F$9,2,FALSE)</f>
        <v>#N/A</v>
      </c>
      <c r="R1011" s="25" t="e">
        <f t="shared" si="16"/>
        <v>#N/A</v>
      </c>
      <c r="S1011" s="58"/>
      <c r="T1011" s="58"/>
      <c r="U1011" s="43"/>
      <c r="V1011" s="43"/>
      <c r="W1011" s="58"/>
      <c r="X1011" s="58"/>
      <c r="Y1011" s="59"/>
      <c r="Z1011" s="60"/>
      <c r="AA1011" s="25"/>
      <c r="AB1011" s="25"/>
    </row>
    <row r="1012" spans="2:28">
      <c r="B1012" s="40"/>
      <c r="C1012" s="40"/>
      <c r="D1012" s="41"/>
      <c r="E1012" s="42"/>
      <c r="F1012" s="42"/>
      <c r="G1012" s="43"/>
      <c r="H1012" s="42" t="s">
        <v>155</v>
      </c>
      <c r="I1012" s="43"/>
      <c r="J1012" s="43"/>
      <c r="K1012" s="25" t="e">
        <f>VLOOKUP(J1012,Key!$E$2:$F$9,2,FALSE)</f>
        <v>#N/A</v>
      </c>
      <c r="L1012" s="42"/>
      <c r="M1012" s="43" t="s">
        <v>154</v>
      </c>
      <c r="N1012" s="42" t="s">
        <v>155</v>
      </c>
      <c r="O1012" s="43"/>
      <c r="P1012" s="43"/>
      <c r="Q1012" s="25" t="e">
        <f>VLOOKUP(P1012,Key!$E$2:$F$9,2,FALSE)</f>
        <v>#N/A</v>
      </c>
      <c r="R1012" s="25" t="e">
        <f t="shared" si="16"/>
        <v>#N/A</v>
      </c>
      <c r="S1012" s="58"/>
      <c r="T1012" s="58"/>
      <c r="U1012" s="43"/>
      <c r="V1012" s="43"/>
      <c r="W1012" s="58"/>
      <c r="X1012" s="58"/>
      <c r="Y1012" s="59"/>
      <c r="Z1012" s="60"/>
      <c r="AA1012" s="25"/>
      <c r="AB1012" s="25"/>
    </row>
    <row r="1013" spans="2:28">
      <c r="B1013" s="40"/>
      <c r="C1013" s="40"/>
      <c r="D1013" s="41"/>
      <c r="E1013" s="42"/>
      <c r="F1013" s="42"/>
      <c r="G1013" s="43"/>
      <c r="H1013" s="42" t="s">
        <v>155</v>
      </c>
      <c r="I1013" s="43"/>
      <c r="J1013" s="43"/>
      <c r="K1013" s="25" t="e">
        <f>VLOOKUP(J1013,Key!$E$2:$F$9,2,FALSE)</f>
        <v>#N/A</v>
      </c>
      <c r="L1013" s="42"/>
      <c r="M1013" s="43" t="s">
        <v>154</v>
      </c>
      <c r="N1013" s="42" t="s">
        <v>155</v>
      </c>
      <c r="O1013" s="43"/>
      <c r="P1013" s="43"/>
      <c r="Q1013" s="25" t="e">
        <f>VLOOKUP(P1013,Key!$E$2:$F$9,2,FALSE)</f>
        <v>#N/A</v>
      </c>
      <c r="R1013" s="25" t="e">
        <f t="shared" si="16"/>
        <v>#N/A</v>
      </c>
      <c r="S1013" s="58"/>
      <c r="T1013" s="58"/>
      <c r="U1013" s="43"/>
      <c r="V1013" s="43"/>
      <c r="W1013" s="58"/>
      <c r="X1013" s="58"/>
      <c r="Y1013" s="59"/>
      <c r="Z1013" s="60"/>
      <c r="AA1013" s="25"/>
      <c r="AB1013" s="25"/>
    </row>
    <row r="1014" spans="2:28">
      <c r="B1014" s="40"/>
      <c r="C1014" s="40"/>
      <c r="D1014" s="41"/>
      <c r="E1014" s="42"/>
      <c r="F1014" s="42"/>
      <c r="G1014" s="43"/>
      <c r="H1014" s="42" t="s">
        <v>155</v>
      </c>
      <c r="I1014" s="43"/>
      <c r="J1014" s="43"/>
      <c r="K1014" s="25" t="e">
        <f>VLOOKUP(J1014,Key!$E$2:$F$9,2,FALSE)</f>
        <v>#N/A</v>
      </c>
      <c r="L1014" s="42"/>
      <c r="M1014" s="43" t="s">
        <v>154</v>
      </c>
      <c r="N1014" s="42" t="s">
        <v>155</v>
      </c>
      <c r="O1014" s="43"/>
      <c r="P1014" s="43"/>
      <c r="Q1014" s="25" t="e">
        <f>VLOOKUP(P1014,Key!$E$2:$F$9,2,FALSE)</f>
        <v>#N/A</v>
      </c>
      <c r="R1014" s="25" t="e">
        <f t="shared" si="16"/>
        <v>#N/A</v>
      </c>
      <c r="S1014" s="58"/>
      <c r="T1014" s="58"/>
      <c r="U1014" s="43"/>
      <c r="V1014" s="43"/>
      <c r="W1014" s="58"/>
      <c r="X1014" s="58"/>
      <c r="Y1014" s="59"/>
      <c r="Z1014" s="60"/>
      <c r="AA1014" s="25"/>
      <c r="AB1014" s="25"/>
    </row>
    <row r="1015" spans="2:28">
      <c r="B1015" s="40"/>
      <c r="C1015" s="40"/>
      <c r="D1015" s="41"/>
      <c r="E1015" s="42"/>
      <c r="F1015" s="42"/>
      <c r="G1015" s="43"/>
      <c r="H1015" s="42" t="s">
        <v>155</v>
      </c>
      <c r="I1015" s="43"/>
      <c r="J1015" s="43"/>
      <c r="K1015" s="25" t="e">
        <f>VLOOKUP(J1015,Key!$E$2:$F$9,2,FALSE)</f>
        <v>#N/A</v>
      </c>
      <c r="L1015" s="42"/>
      <c r="M1015" s="43" t="s">
        <v>154</v>
      </c>
      <c r="N1015" s="42" t="s">
        <v>155</v>
      </c>
      <c r="O1015" s="43"/>
      <c r="P1015" s="43"/>
      <c r="Q1015" s="25" t="e">
        <f>VLOOKUP(P1015,Key!$E$2:$F$9,2,FALSE)</f>
        <v>#N/A</v>
      </c>
      <c r="R1015" s="25" t="e">
        <f t="shared" si="16"/>
        <v>#N/A</v>
      </c>
      <c r="S1015" s="58"/>
      <c r="T1015" s="58"/>
      <c r="U1015" s="43"/>
      <c r="V1015" s="43"/>
      <c r="W1015" s="58"/>
      <c r="X1015" s="58"/>
      <c r="Y1015" s="59"/>
      <c r="Z1015" s="60"/>
      <c r="AA1015" s="25"/>
      <c r="AB1015" s="25"/>
    </row>
    <row r="1016" spans="2:28">
      <c r="B1016" s="40"/>
      <c r="C1016" s="40"/>
      <c r="D1016" s="41"/>
      <c r="E1016" s="42"/>
      <c r="F1016" s="42"/>
      <c r="G1016" s="43"/>
      <c r="H1016" s="42" t="s">
        <v>155</v>
      </c>
      <c r="I1016" s="43"/>
      <c r="J1016" s="43"/>
      <c r="K1016" s="25" t="e">
        <f>VLOOKUP(J1016,Key!$E$2:$F$9,2,FALSE)</f>
        <v>#N/A</v>
      </c>
      <c r="L1016" s="42"/>
      <c r="M1016" s="43" t="s">
        <v>154</v>
      </c>
      <c r="N1016" s="42" t="s">
        <v>155</v>
      </c>
      <c r="O1016" s="43"/>
      <c r="P1016" s="43"/>
      <c r="Q1016" s="25" t="e">
        <f>VLOOKUP(P1016,Key!$E$2:$F$9,2,FALSE)</f>
        <v>#N/A</v>
      </c>
      <c r="R1016" s="25" t="e">
        <f t="shared" si="16"/>
        <v>#N/A</v>
      </c>
      <c r="S1016" s="58"/>
      <c r="T1016" s="58"/>
      <c r="U1016" s="43"/>
      <c r="V1016" s="43"/>
      <c r="W1016" s="58"/>
      <c r="X1016" s="58"/>
      <c r="Y1016" s="59"/>
      <c r="Z1016" s="60"/>
      <c r="AA1016" s="25"/>
      <c r="AB1016" s="25"/>
    </row>
    <row r="1017" spans="2:28">
      <c r="B1017" s="40"/>
      <c r="C1017" s="40"/>
      <c r="D1017" s="41"/>
      <c r="E1017" s="42"/>
      <c r="F1017" s="42"/>
      <c r="G1017" s="43"/>
      <c r="H1017" s="42" t="s">
        <v>155</v>
      </c>
      <c r="I1017" s="43"/>
      <c r="J1017" s="43"/>
      <c r="K1017" s="25" t="e">
        <f>VLOOKUP(J1017,Key!$E$2:$F$9,2,FALSE)</f>
        <v>#N/A</v>
      </c>
      <c r="L1017" s="42"/>
      <c r="M1017" s="43" t="s">
        <v>154</v>
      </c>
      <c r="N1017" s="42" t="s">
        <v>155</v>
      </c>
      <c r="O1017" s="43"/>
      <c r="P1017" s="43"/>
      <c r="Q1017" s="25" t="e">
        <f>VLOOKUP(P1017,Key!$E$2:$F$9,2,FALSE)</f>
        <v>#N/A</v>
      </c>
      <c r="R1017" s="25" t="e">
        <f t="shared" si="16"/>
        <v>#N/A</v>
      </c>
      <c r="S1017" s="58"/>
      <c r="T1017" s="58"/>
      <c r="U1017" s="43"/>
      <c r="V1017" s="43"/>
      <c r="W1017" s="58"/>
      <c r="X1017" s="58"/>
      <c r="Y1017" s="59"/>
      <c r="Z1017" s="60"/>
      <c r="AA1017" s="25"/>
      <c r="AB1017" s="25"/>
    </row>
    <row r="1018" spans="2:28">
      <c r="B1018" s="40"/>
      <c r="C1018" s="40"/>
      <c r="D1018" s="41"/>
      <c r="E1018" s="42"/>
      <c r="F1018" s="42"/>
      <c r="G1018" s="43"/>
      <c r="H1018" s="42" t="s">
        <v>155</v>
      </c>
      <c r="I1018" s="43"/>
      <c r="J1018" s="43"/>
      <c r="K1018" s="25" t="e">
        <f>VLOOKUP(J1018,Key!$E$2:$F$9,2,FALSE)</f>
        <v>#N/A</v>
      </c>
      <c r="L1018" s="42"/>
      <c r="M1018" s="43" t="s">
        <v>154</v>
      </c>
      <c r="N1018" s="42" t="s">
        <v>155</v>
      </c>
      <c r="O1018" s="43"/>
      <c r="P1018" s="43"/>
      <c r="Q1018" s="25" t="e">
        <f>VLOOKUP(P1018,Key!$E$2:$F$9,2,FALSE)</f>
        <v>#N/A</v>
      </c>
      <c r="R1018" s="25" t="e">
        <f t="shared" si="16"/>
        <v>#N/A</v>
      </c>
      <c r="S1018" s="58"/>
      <c r="T1018" s="58"/>
      <c r="U1018" s="43"/>
      <c r="V1018" s="43"/>
      <c r="W1018" s="58"/>
      <c r="X1018" s="58"/>
      <c r="Y1018" s="59"/>
      <c r="Z1018" s="60"/>
      <c r="AA1018" s="25"/>
      <c r="AB1018" s="25"/>
    </row>
    <row r="1019" spans="2:28">
      <c r="B1019" s="40"/>
      <c r="C1019" s="40"/>
      <c r="D1019" s="41"/>
      <c r="E1019" s="42"/>
      <c r="F1019" s="42"/>
      <c r="G1019" s="43"/>
      <c r="H1019" s="42" t="s">
        <v>155</v>
      </c>
      <c r="I1019" s="43"/>
      <c r="J1019" s="43"/>
      <c r="K1019" s="25" t="e">
        <f>VLOOKUP(J1019,Key!$E$2:$F$9,2,FALSE)</f>
        <v>#N/A</v>
      </c>
      <c r="L1019" s="42"/>
      <c r="M1019" s="43" t="s">
        <v>154</v>
      </c>
      <c r="N1019" s="42" t="s">
        <v>155</v>
      </c>
      <c r="O1019" s="43"/>
      <c r="P1019" s="43"/>
      <c r="Q1019" s="25" t="e">
        <f>VLOOKUP(P1019,Key!$E$2:$F$9,2,FALSE)</f>
        <v>#N/A</v>
      </c>
      <c r="R1019" s="25" t="e">
        <f t="shared" si="16"/>
        <v>#N/A</v>
      </c>
      <c r="S1019" s="58"/>
      <c r="T1019" s="58"/>
      <c r="U1019" s="43"/>
      <c r="V1019" s="43"/>
      <c r="W1019" s="58"/>
      <c r="X1019" s="58"/>
      <c r="Y1019" s="59"/>
      <c r="Z1019" s="60"/>
      <c r="AA1019" s="25"/>
      <c r="AB1019" s="25"/>
    </row>
    <row r="1020" spans="2:28">
      <c r="B1020" s="40"/>
      <c r="C1020" s="40"/>
      <c r="D1020" s="41"/>
      <c r="E1020" s="42"/>
      <c r="F1020" s="42"/>
      <c r="G1020" s="43"/>
      <c r="H1020" s="42" t="s">
        <v>155</v>
      </c>
      <c r="I1020" s="43"/>
      <c r="J1020" s="43"/>
      <c r="K1020" s="25" t="e">
        <f>VLOOKUP(J1020,Key!$E$2:$F$9,2,FALSE)</f>
        <v>#N/A</v>
      </c>
      <c r="L1020" s="42"/>
      <c r="M1020" s="43" t="s">
        <v>154</v>
      </c>
      <c r="N1020" s="42" t="s">
        <v>155</v>
      </c>
      <c r="O1020" s="43"/>
      <c r="P1020" s="43"/>
      <c r="Q1020" s="25" t="e">
        <f>VLOOKUP(P1020,Key!$E$2:$F$9,2,FALSE)</f>
        <v>#N/A</v>
      </c>
      <c r="R1020" s="25" t="e">
        <f t="shared" si="16"/>
        <v>#N/A</v>
      </c>
      <c r="S1020" s="58"/>
      <c r="T1020" s="58"/>
      <c r="U1020" s="43"/>
      <c r="V1020" s="43"/>
      <c r="W1020" s="58"/>
      <c r="X1020" s="58"/>
      <c r="Y1020" s="59"/>
      <c r="Z1020" s="60"/>
      <c r="AA1020" s="25"/>
      <c r="AB1020" s="25"/>
    </row>
    <row r="1021" spans="2:28">
      <c r="B1021" s="40"/>
      <c r="C1021" s="40"/>
      <c r="D1021" s="41"/>
      <c r="E1021" s="42"/>
      <c r="F1021" s="42"/>
      <c r="G1021" s="43"/>
      <c r="H1021" s="42" t="s">
        <v>155</v>
      </c>
      <c r="I1021" s="43"/>
      <c r="J1021" s="43"/>
      <c r="K1021" s="25" t="e">
        <f>VLOOKUP(J1021,Key!$E$2:$F$9,2,FALSE)</f>
        <v>#N/A</v>
      </c>
      <c r="L1021" s="42"/>
      <c r="M1021" s="43" t="s">
        <v>154</v>
      </c>
      <c r="N1021" s="42" t="s">
        <v>155</v>
      </c>
      <c r="O1021" s="43"/>
      <c r="P1021" s="43"/>
      <c r="Q1021" s="25" t="e">
        <f>VLOOKUP(P1021,Key!$E$2:$F$9,2,FALSE)</f>
        <v>#N/A</v>
      </c>
      <c r="R1021" s="25" t="e">
        <f t="shared" si="16"/>
        <v>#N/A</v>
      </c>
      <c r="S1021" s="58"/>
      <c r="T1021" s="58"/>
      <c r="U1021" s="43"/>
      <c r="V1021" s="43"/>
      <c r="W1021" s="58"/>
      <c r="X1021" s="58"/>
      <c r="Y1021" s="59"/>
      <c r="Z1021" s="60"/>
      <c r="AA1021" s="25"/>
      <c r="AB1021" s="25"/>
    </row>
    <row r="1022" spans="2:28">
      <c r="B1022" s="40"/>
      <c r="C1022" s="40"/>
      <c r="D1022" s="41"/>
      <c r="E1022" s="42"/>
      <c r="F1022" s="42"/>
      <c r="G1022" s="43"/>
      <c r="H1022" s="42" t="s">
        <v>155</v>
      </c>
      <c r="I1022" s="43"/>
      <c r="J1022" s="43"/>
      <c r="K1022" s="25" t="e">
        <f>VLOOKUP(J1022,Key!$E$2:$F$9,2,FALSE)</f>
        <v>#N/A</v>
      </c>
      <c r="L1022" s="42"/>
      <c r="M1022" s="43" t="s">
        <v>154</v>
      </c>
      <c r="N1022" s="42" t="s">
        <v>155</v>
      </c>
      <c r="O1022" s="43"/>
      <c r="P1022" s="43"/>
      <c r="Q1022" s="25" t="e">
        <f>VLOOKUP(P1022,Key!$E$2:$F$9,2,FALSE)</f>
        <v>#N/A</v>
      </c>
      <c r="R1022" s="25" t="e">
        <f t="shared" si="16"/>
        <v>#N/A</v>
      </c>
      <c r="S1022" s="58"/>
      <c r="T1022" s="58"/>
      <c r="U1022" s="43"/>
      <c r="V1022" s="43"/>
      <c r="W1022" s="58"/>
      <c r="X1022" s="58"/>
      <c r="Y1022" s="59"/>
      <c r="Z1022" s="60"/>
      <c r="AA1022" s="25"/>
      <c r="AB1022" s="25"/>
    </row>
    <row r="1023" spans="2:28">
      <c r="B1023" s="40"/>
      <c r="C1023" s="40"/>
      <c r="D1023" s="41"/>
      <c r="E1023" s="42"/>
      <c r="F1023" s="42"/>
      <c r="G1023" s="43"/>
      <c r="H1023" s="42" t="s">
        <v>155</v>
      </c>
      <c r="I1023" s="43"/>
      <c r="J1023" s="43"/>
      <c r="K1023" s="25" t="e">
        <f>VLOOKUP(J1023,Key!$E$2:$F$9,2,FALSE)</f>
        <v>#N/A</v>
      </c>
      <c r="L1023" s="42"/>
      <c r="M1023" s="43" t="s">
        <v>154</v>
      </c>
      <c r="N1023" s="42" t="s">
        <v>155</v>
      </c>
      <c r="O1023" s="43"/>
      <c r="P1023" s="43"/>
      <c r="Q1023" s="25" t="e">
        <f>VLOOKUP(P1023,Key!$E$2:$F$9,2,FALSE)</f>
        <v>#N/A</v>
      </c>
      <c r="R1023" s="25" t="e">
        <f t="shared" si="16"/>
        <v>#N/A</v>
      </c>
      <c r="S1023" s="58"/>
      <c r="T1023" s="58"/>
      <c r="U1023" s="43"/>
      <c r="V1023" s="43"/>
      <c r="W1023" s="58"/>
      <c r="X1023" s="58"/>
      <c r="Y1023" s="59"/>
      <c r="Z1023" s="60"/>
      <c r="AA1023" s="25"/>
      <c r="AB1023" s="25"/>
    </row>
    <row r="1024" spans="2:28">
      <c r="B1024" s="40"/>
      <c r="C1024" s="40"/>
      <c r="D1024" s="41"/>
      <c r="E1024" s="42"/>
      <c r="F1024" s="42"/>
      <c r="G1024" s="43"/>
      <c r="H1024" s="42" t="s">
        <v>155</v>
      </c>
      <c r="I1024" s="43"/>
      <c r="J1024" s="43"/>
      <c r="K1024" s="25" t="e">
        <f>VLOOKUP(J1024,Key!$E$2:$F$9,2,FALSE)</f>
        <v>#N/A</v>
      </c>
      <c r="L1024" s="42"/>
      <c r="M1024" s="43" t="s">
        <v>154</v>
      </c>
      <c r="N1024" s="42" t="s">
        <v>155</v>
      </c>
      <c r="O1024" s="43"/>
      <c r="P1024" s="43"/>
      <c r="Q1024" s="25" t="e">
        <f>VLOOKUP(P1024,Key!$E$2:$F$9,2,FALSE)</f>
        <v>#N/A</v>
      </c>
      <c r="R1024" s="25" t="e">
        <f t="shared" si="16"/>
        <v>#N/A</v>
      </c>
      <c r="S1024" s="58"/>
      <c r="T1024" s="58"/>
      <c r="U1024" s="43"/>
      <c r="V1024" s="43"/>
      <c r="W1024" s="58"/>
      <c r="X1024" s="58"/>
      <c r="Y1024" s="59"/>
      <c r="Z1024" s="60"/>
      <c r="AA1024" s="25"/>
      <c r="AB1024" s="25"/>
    </row>
    <row r="1025" spans="2:28">
      <c r="B1025" s="40"/>
      <c r="C1025" s="40"/>
      <c r="D1025" s="41"/>
      <c r="E1025" s="42"/>
      <c r="F1025" s="42"/>
      <c r="G1025" s="43"/>
      <c r="H1025" s="42" t="s">
        <v>155</v>
      </c>
      <c r="I1025" s="43"/>
      <c r="J1025" s="43"/>
      <c r="K1025" s="25" t="e">
        <f>VLOOKUP(J1025,Key!$E$2:$F$9,2,FALSE)</f>
        <v>#N/A</v>
      </c>
      <c r="L1025" s="42"/>
      <c r="M1025" s="43" t="s">
        <v>154</v>
      </c>
      <c r="N1025" s="42" t="s">
        <v>155</v>
      </c>
      <c r="O1025" s="43"/>
      <c r="P1025" s="43"/>
      <c r="Q1025" s="25" t="e">
        <f>VLOOKUP(P1025,Key!$E$2:$F$9,2,FALSE)</f>
        <v>#N/A</v>
      </c>
      <c r="R1025" s="25" t="e">
        <f t="shared" si="16"/>
        <v>#N/A</v>
      </c>
      <c r="S1025" s="58"/>
      <c r="T1025" s="58"/>
      <c r="U1025" s="43"/>
      <c r="V1025" s="43"/>
      <c r="W1025" s="58"/>
      <c r="X1025" s="58"/>
      <c r="Y1025" s="59"/>
      <c r="Z1025" s="60"/>
      <c r="AA1025" s="25"/>
      <c r="AB1025" s="25"/>
    </row>
    <row r="1026" spans="2:28">
      <c r="B1026" s="40"/>
      <c r="C1026" s="40"/>
      <c r="D1026" s="41"/>
      <c r="E1026" s="42"/>
      <c r="F1026" s="42"/>
      <c r="G1026" s="43"/>
      <c r="H1026" s="42" t="s">
        <v>155</v>
      </c>
      <c r="I1026" s="43"/>
      <c r="J1026" s="43"/>
      <c r="K1026" s="25" t="e">
        <f>VLOOKUP(J1026,Key!$E$2:$F$9,2,FALSE)</f>
        <v>#N/A</v>
      </c>
      <c r="L1026" s="42"/>
      <c r="M1026" s="43" t="s">
        <v>154</v>
      </c>
      <c r="N1026" s="42" t="s">
        <v>155</v>
      </c>
      <c r="O1026" s="43"/>
      <c r="P1026" s="43"/>
      <c r="Q1026" s="25" t="e">
        <f>VLOOKUP(P1026,Key!$E$2:$F$9,2,FALSE)</f>
        <v>#N/A</v>
      </c>
      <c r="R1026" s="25" t="e">
        <f t="shared" si="16"/>
        <v>#N/A</v>
      </c>
      <c r="S1026" s="58"/>
      <c r="T1026" s="58"/>
      <c r="U1026" s="43"/>
      <c r="V1026" s="43"/>
      <c r="W1026" s="58"/>
      <c r="X1026" s="58"/>
      <c r="Y1026" s="59"/>
      <c r="Z1026" s="60"/>
      <c r="AA1026" s="25"/>
      <c r="AB1026" s="25"/>
    </row>
    <row r="1027" spans="2:28">
      <c r="B1027" s="40"/>
      <c r="C1027" s="40"/>
      <c r="D1027" s="41"/>
      <c r="E1027" s="42"/>
      <c r="F1027" s="42"/>
      <c r="G1027" s="43"/>
      <c r="H1027" s="42" t="s">
        <v>155</v>
      </c>
      <c r="I1027" s="43"/>
      <c r="J1027" s="43"/>
      <c r="K1027" s="25" t="e">
        <f>VLOOKUP(J1027,Key!$E$2:$F$9,2,FALSE)</f>
        <v>#N/A</v>
      </c>
      <c r="L1027" s="42"/>
      <c r="M1027" s="43" t="s">
        <v>154</v>
      </c>
      <c r="N1027" s="42" t="s">
        <v>155</v>
      </c>
      <c r="O1027" s="43"/>
      <c r="P1027" s="43"/>
      <c r="Q1027" s="25" t="e">
        <f>VLOOKUP(P1027,Key!$E$2:$F$9,2,FALSE)</f>
        <v>#N/A</v>
      </c>
      <c r="R1027" s="25" t="e">
        <f t="shared" si="16"/>
        <v>#N/A</v>
      </c>
      <c r="S1027" s="58"/>
      <c r="T1027" s="58"/>
      <c r="U1027" s="43"/>
      <c r="V1027" s="43"/>
      <c r="W1027" s="58"/>
      <c r="X1027" s="58"/>
      <c r="Y1027" s="59"/>
      <c r="Z1027" s="60"/>
      <c r="AA1027" s="25"/>
      <c r="AB1027" s="25"/>
    </row>
    <row r="1028" spans="2:28">
      <c r="B1028" s="40"/>
      <c r="C1028" s="40"/>
      <c r="D1028" s="41"/>
      <c r="E1028" s="42"/>
      <c r="F1028" s="42"/>
      <c r="G1028" s="43"/>
      <c r="H1028" s="42" t="s">
        <v>155</v>
      </c>
      <c r="I1028" s="43"/>
      <c r="J1028" s="43"/>
      <c r="K1028" s="25" t="e">
        <f>VLOOKUP(J1028,Key!$E$2:$F$9,2,FALSE)</f>
        <v>#N/A</v>
      </c>
      <c r="L1028" s="42"/>
      <c r="M1028" s="43" t="s">
        <v>154</v>
      </c>
      <c r="N1028" s="42" t="s">
        <v>155</v>
      </c>
      <c r="O1028" s="43"/>
      <c r="P1028" s="43"/>
      <c r="Q1028" s="25" t="e">
        <f>VLOOKUP(P1028,Key!$E$2:$F$9,2,FALSE)</f>
        <v>#N/A</v>
      </c>
      <c r="R1028" s="25" t="e">
        <f t="shared" si="16"/>
        <v>#N/A</v>
      </c>
      <c r="S1028" s="58"/>
      <c r="T1028" s="58"/>
      <c r="U1028" s="43"/>
      <c r="V1028" s="43"/>
      <c r="W1028" s="58"/>
      <c r="X1028" s="58"/>
      <c r="Y1028" s="59"/>
      <c r="Z1028" s="60"/>
      <c r="AA1028" s="25"/>
      <c r="AB1028" s="25"/>
    </row>
    <row r="1029" spans="2:28">
      <c r="B1029" s="40"/>
      <c r="C1029" s="40"/>
      <c r="D1029" s="41"/>
      <c r="E1029" s="42"/>
      <c r="F1029" s="42"/>
      <c r="G1029" s="43"/>
      <c r="H1029" s="42" t="s">
        <v>155</v>
      </c>
      <c r="I1029" s="43"/>
      <c r="J1029" s="43"/>
      <c r="K1029" s="25" t="e">
        <f>VLOOKUP(J1029,Key!$E$2:$F$9,2,FALSE)</f>
        <v>#N/A</v>
      </c>
      <c r="L1029" s="42"/>
      <c r="M1029" s="43" t="s">
        <v>154</v>
      </c>
      <c r="N1029" s="42" t="s">
        <v>155</v>
      </c>
      <c r="O1029" s="43"/>
      <c r="P1029" s="43"/>
      <c r="Q1029" s="25" t="e">
        <f>VLOOKUP(P1029,Key!$E$2:$F$9,2,FALSE)</f>
        <v>#N/A</v>
      </c>
      <c r="R1029" s="25" t="e">
        <f t="shared" si="16"/>
        <v>#N/A</v>
      </c>
      <c r="S1029" s="58"/>
      <c r="T1029" s="58"/>
      <c r="U1029" s="43"/>
      <c r="V1029" s="43"/>
      <c r="W1029" s="58"/>
      <c r="X1029" s="58"/>
      <c r="Y1029" s="59"/>
      <c r="Z1029" s="60"/>
      <c r="AA1029" s="25"/>
      <c r="AB1029" s="25"/>
    </row>
    <row r="1030" spans="2:28">
      <c r="B1030" s="40"/>
      <c r="C1030" s="40"/>
      <c r="D1030" s="41"/>
      <c r="E1030" s="42"/>
      <c r="F1030" s="42"/>
      <c r="G1030" s="43"/>
      <c r="H1030" s="42" t="s">
        <v>155</v>
      </c>
      <c r="I1030" s="43"/>
      <c r="J1030" s="43"/>
      <c r="K1030" s="25" t="e">
        <f>VLOOKUP(J1030,Key!$E$2:$F$9,2,FALSE)</f>
        <v>#N/A</v>
      </c>
      <c r="L1030" s="42"/>
      <c r="M1030" s="43" t="s">
        <v>154</v>
      </c>
      <c r="N1030" s="42" t="s">
        <v>155</v>
      </c>
      <c r="O1030" s="43"/>
      <c r="P1030" s="43"/>
      <c r="Q1030" s="25" t="e">
        <f>VLOOKUP(P1030,Key!$E$2:$F$9,2,FALSE)</f>
        <v>#N/A</v>
      </c>
      <c r="R1030" s="25" t="e">
        <f t="shared" si="16"/>
        <v>#N/A</v>
      </c>
      <c r="S1030" s="58"/>
      <c r="T1030" s="58"/>
      <c r="U1030" s="43"/>
      <c r="V1030" s="43"/>
      <c r="W1030" s="58"/>
      <c r="X1030" s="58"/>
      <c r="Y1030" s="59"/>
      <c r="Z1030" s="60"/>
      <c r="AA1030" s="25"/>
      <c r="AB1030" s="25"/>
    </row>
    <row r="1031" spans="2:28">
      <c r="B1031" s="40"/>
      <c r="C1031" s="40"/>
      <c r="D1031" s="41"/>
      <c r="E1031" s="42"/>
      <c r="F1031" s="42"/>
      <c r="G1031" s="43"/>
      <c r="H1031" s="42" t="s">
        <v>155</v>
      </c>
      <c r="I1031" s="43"/>
      <c r="J1031" s="43"/>
      <c r="K1031" s="25" t="e">
        <f>VLOOKUP(J1031,Key!$E$2:$F$9,2,FALSE)</f>
        <v>#N/A</v>
      </c>
      <c r="L1031" s="42"/>
      <c r="M1031" s="43" t="s">
        <v>154</v>
      </c>
      <c r="N1031" s="42" t="s">
        <v>155</v>
      </c>
      <c r="O1031" s="43"/>
      <c r="P1031" s="43"/>
      <c r="Q1031" s="25" t="e">
        <f>VLOOKUP(P1031,Key!$E$2:$F$9,2,FALSE)</f>
        <v>#N/A</v>
      </c>
      <c r="R1031" s="25" t="e">
        <f t="shared" si="16"/>
        <v>#N/A</v>
      </c>
      <c r="S1031" s="58"/>
      <c r="T1031" s="58"/>
      <c r="U1031" s="43"/>
      <c r="V1031" s="43"/>
      <c r="W1031" s="58"/>
      <c r="X1031" s="58"/>
      <c r="Y1031" s="59"/>
      <c r="Z1031" s="60"/>
      <c r="AA1031" s="25"/>
      <c r="AB1031" s="25"/>
    </row>
    <row r="1032" spans="2:28">
      <c r="B1032" s="40"/>
      <c r="C1032" s="40"/>
      <c r="D1032" s="41"/>
      <c r="E1032" s="42"/>
      <c r="F1032" s="42"/>
      <c r="G1032" s="43"/>
      <c r="H1032" s="42" t="s">
        <v>155</v>
      </c>
      <c r="I1032" s="43"/>
      <c r="J1032" s="43"/>
      <c r="K1032" s="25" t="e">
        <f>VLOOKUP(J1032,Key!$E$2:$F$9,2,FALSE)</f>
        <v>#N/A</v>
      </c>
      <c r="L1032" s="42"/>
      <c r="M1032" s="43" t="s">
        <v>154</v>
      </c>
      <c r="N1032" s="42" t="s">
        <v>155</v>
      </c>
      <c r="O1032" s="43"/>
      <c r="P1032" s="43"/>
      <c r="Q1032" s="25" t="e">
        <f>VLOOKUP(P1032,Key!$E$2:$F$9,2,FALSE)</f>
        <v>#N/A</v>
      </c>
      <c r="R1032" s="25" t="e">
        <f t="shared" si="16"/>
        <v>#N/A</v>
      </c>
      <c r="S1032" s="58"/>
      <c r="T1032" s="58"/>
      <c r="U1032" s="43"/>
      <c r="V1032" s="43"/>
      <c r="W1032" s="58"/>
      <c r="X1032" s="58"/>
      <c r="Y1032" s="59"/>
      <c r="Z1032" s="60"/>
      <c r="AA1032" s="25"/>
      <c r="AB1032" s="25"/>
    </row>
    <row r="1033" spans="2:28">
      <c r="B1033" s="40"/>
      <c r="C1033" s="40"/>
      <c r="D1033" s="41"/>
      <c r="E1033" s="42"/>
      <c r="F1033" s="42"/>
      <c r="G1033" s="43"/>
      <c r="H1033" s="42" t="s">
        <v>155</v>
      </c>
      <c r="I1033" s="43"/>
      <c r="J1033" s="43"/>
      <c r="K1033" s="25" t="e">
        <f>VLOOKUP(J1033,Key!$E$2:$F$9,2,FALSE)</f>
        <v>#N/A</v>
      </c>
      <c r="L1033" s="42"/>
      <c r="M1033" s="43" t="s">
        <v>154</v>
      </c>
      <c r="N1033" s="42" t="s">
        <v>155</v>
      </c>
      <c r="O1033" s="43"/>
      <c r="P1033" s="43"/>
      <c r="Q1033" s="25" t="e">
        <f>VLOOKUP(P1033,Key!$E$2:$F$9,2,FALSE)</f>
        <v>#N/A</v>
      </c>
      <c r="R1033" s="25" t="e">
        <f t="shared" si="16"/>
        <v>#N/A</v>
      </c>
      <c r="S1033" s="58"/>
      <c r="T1033" s="58"/>
      <c r="U1033" s="43"/>
      <c r="V1033" s="43"/>
      <c r="W1033" s="58"/>
      <c r="X1033" s="58"/>
      <c r="Y1033" s="59"/>
      <c r="Z1033" s="60"/>
      <c r="AA1033" s="25"/>
      <c r="AB1033" s="25"/>
    </row>
    <row r="1034" spans="2:28">
      <c r="B1034" s="40"/>
      <c r="C1034" s="40"/>
      <c r="D1034" s="41"/>
      <c r="E1034" s="42"/>
      <c r="F1034" s="42"/>
      <c r="G1034" s="43"/>
      <c r="H1034" s="42" t="s">
        <v>155</v>
      </c>
      <c r="I1034" s="43"/>
      <c r="J1034" s="43"/>
      <c r="K1034" s="25" t="e">
        <f>VLOOKUP(J1034,Key!$E$2:$F$9,2,FALSE)</f>
        <v>#N/A</v>
      </c>
      <c r="L1034" s="42"/>
      <c r="M1034" s="43" t="s">
        <v>154</v>
      </c>
      <c r="N1034" s="42" t="s">
        <v>155</v>
      </c>
      <c r="O1034" s="43"/>
      <c r="P1034" s="43"/>
      <c r="Q1034" s="25" t="e">
        <f>VLOOKUP(P1034,Key!$E$2:$F$9,2,FALSE)</f>
        <v>#N/A</v>
      </c>
      <c r="R1034" s="25" t="e">
        <f t="shared" si="16"/>
        <v>#N/A</v>
      </c>
      <c r="S1034" s="58"/>
      <c r="T1034" s="58"/>
      <c r="U1034" s="43"/>
      <c r="V1034" s="43"/>
      <c r="W1034" s="58"/>
      <c r="X1034" s="58"/>
      <c r="Y1034" s="59"/>
      <c r="Z1034" s="60"/>
      <c r="AA1034" s="25"/>
      <c r="AB1034" s="25"/>
    </row>
    <row r="1035" spans="2:28">
      <c r="B1035" s="40"/>
      <c r="C1035" s="40"/>
      <c r="D1035" s="41"/>
      <c r="E1035" s="42"/>
      <c r="F1035" s="42"/>
      <c r="G1035" s="43"/>
      <c r="H1035" s="42" t="s">
        <v>155</v>
      </c>
      <c r="I1035" s="43"/>
      <c r="J1035" s="43"/>
      <c r="K1035" s="25" t="e">
        <f>VLOOKUP(J1035,Key!$E$2:$F$9,2,FALSE)</f>
        <v>#N/A</v>
      </c>
      <c r="L1035" s="42"/>
      <c r="M1035" s="43" t="s">
        <v>154</v>
      </c>
      <c r="N1035" s="42" t="s">
        <v>155</v>
      </c>
      <c r="O1035" s="43"/>
      <c r="P1035" s="43"/>
      <c r="Q1035" s="25" t="e">
        <f>VLOOKUP(P1035,Key!$E$2:$F$9,2,FALSE)</f>
        <v>#N/A</v>
      </c>
      <c r="R1035" s="25" t="e">
        <f t="shared" si="16"/>
        <v>#N/A</v>
      </c>
      <c r="S1035" s="58"/>
      <c r="T1035" s="58"/>
      <c r="U1035" s="43"/>
      <c r="V1035" s="43"/>
      <c r="W1035" s="58"/>
      <c r="X1035" s="58"/>
      <c r="Y1035" s="59"/>
      <c r="Z1035" s="60"/>
      <c r="AA1035" s="25"/>
      <c r="AB1035" s="25"/>
    </row>
    <row r="1036" spans="2:28">
      <c r="B1036" s="40"/>
      <c r="C1036" s="40"/>
      <c r="D1036" s="41"/>
      <c r="E1036" s="42"/>
      <c r="F1036" s="42"/>
      <c r="G1036" s="43"/>
      <c r="H1036" s="42" t="s">
        <v>155</v>
      </c>
      <c r="I1036" s="43"/>
      <c r="J1036" s="43"/>
      <c r="K1036" s="25" t="e">
        <f>VLOOKUP(J1036,Key!$E$2:$F$9,2,FALSE)</f>
        <v>#N/A</v>
      </c>
      <c r="L1036" s="42"/>
      <c r="M1036" s="43" t="s">
        <v>154</v>
      </c>
      <c r="N1036" s="42" t="s">
        <v>155</v>
      </c>
      <c r="O1036" s="43"/>
      <c r="P1036" s="43"/>
      <c r="Q1036" s="25" t="e">
        <f>VLOOKUP(P1036,Key!$E$2:$F$9,2,FALSE)</f>
        <v>#N/A</v>
      </c>
      <c r="R1036" s="25" t="e">
        <f t="shared" si="16"/>
        <v>#N/A</v>
      </c>
      <c r="S1036" s="58"/>
      <c r="T1036" s="58"/>
      <c r="U1036" s="43"/>
      <c r="V1036" s="43"/>
      <c r="W1036" s="58"/>
      <c r="X1036" s="58"/>
      <c r="Y1036" s="59"/>
      <c r="Z1036" s="60"/>
      <c r="AA1036" s="25"/>
      <c r="AB1036" s="25"/>
    </row>
    <row r="1037" spans="2:28">
      <c r="B1037" s="40"/>
      <c r="C1037" s="40"/>
      <c r="D1037" s="41"/>
      <c r="E1037" s="42"/>
      <c r="F1037" s="42"/>
      <c r="G1037" s="43"/>
      <c r="H1037" s="42" t="s">
        <v>155</v>
      </c>
      <c r="I1037" s="43"/>
      <c r="J1037" s="43"/>
      <c r="K1037" s="25" t="e">
        <f>VLOOKUP(J1037,Key!$E$2:$F$9,2,FALSE)</f>
        <v>#N/A</v>
      </c>
      <c r="L1037" s="42"/>
      <c r="M1037" s="43" t="s">
        <v>154</v>
      </c>
      <c r="N1037" s="42" t="s">
        <v>155</v>
      </c>
      <c r="O1037" s="43"/>
      <c r="P1037" s="43"/>
      <c r="Q1037" s="25" t="e">
        <f>VLOOKUP(P1037,Key!$E$2:$F$9,2,FALSE)</f>
        <v>#N/A</v>
      </c>
      <c r="R1037" s="25" t="e">
        <f t="shared" si="16"/>
        <v>#N/A</v>
      </c>
      <c r="S1037" s="58"/>
      <c r="T1037" s="58"/>
      <c r="U1037" s="43"/>
      <c r="V1037" s="43"/>
      <c r="W1037" s="58"/>
      <c r="X1037" s="58"/>
      <c r="Y1037" s="59"/>
      <c r="Z1037" s="60"/>
      <c r="AA1037" s="25"/>
      <c r="AB1037" s="25"/>
    </row>
    <row r="1038" spans="2:28">
      <c r="B1038" s="40"/>
      <c r="C1038" s="40"/>
      <c r="D1038" s="41"/>
      <c r="E1038" s="42"/>
      <c r="F1038" s="42"/>
      <c r="G1038" s="43"/>
      <c r="H1038" s="42" t="s">
        <v>155</v>
      </c>
      <c r="I1038" s="43"/>
      <c r="J1038" s="43"/>
      <c r="K1038" s="25" t="e">
        <f>VLOOKUP(J1038,Key!$E$2:$F$9,2,FALSE)</f>
        <v>#N/A</v>
      </c>
      <c r="L1038" s="42"/>
      <c r="M1038" s="43" t="s">
        <v>154</v>
      </c>
      <c r="N1038" s="42" t="s">
        <v>155</v>
      </c>
      <c r="O1038" s="43"/>
      <c r="P1038" s="43"/>
      <c r="Q1038" s="25" t="e">
        <f>VLOOKUP(P1038,Key!$E$2:$F$9,2,FALSE)</f>
        <v>#N/A</v>
      </c>
      <c r="R1038" s="25" t="e">
        <f t="shared" si="16"/>
        <v>#N/A</v>
      </c>
      <c r="S1038" s="58"/>
      <c r="T1038" s="58"/>
      <c r="U1038" s="43"/>
      <c r="V1038" s="43"/>
      <c r="W1038" s="58"/>
      <c r="X1038" s="58"/>
      <c r="Y1038" s="59"/>
      <c r="Z1038" s="60"/>
      <c r="AA1038" s="25"/>
      <c r="AB1038" s="25"/>
    </row>
    <row r="1039" spans="2:28">
      <c r="B1039" s="40"/>
      <c r="C1039" s="40"/>
      <c r="D1039" s="41"/>
      <c r="E1039" s="42"/>
      <c r="F1039" s="42"/>
      <c r="G1039" s="43"/>
      <c r="H1039" s="42" t="s">
        <v>155</v>
      </c>
      <c r="I1039" s="43"/>
      <c r="J1039" s="43"/>
      <c r="K1039" s="25" t="e">
        <f>VLOOKUP(J1039,Key!$E$2:$F$9,2,FALSE)</f>
        <v>#N/A</v>
      </c>
      <c r="L1039" s="42"/>
      <c r="M1039" s="43" t="s">
        <v>154</v>
      </c>
      <c r="N1039" s="42" t="s">
        <v>155</v>
      </c>
      <c r="O1039" s="43"/>
      <c r="P1039" s="43"/>
      <c r="Q1039" s="25" t="e">
        <f>VLOOKUP(P1039,Key!$E$2:$F$9,2,FALSE)</f>
        <v>#N/A</v>
      </c>
      <c r="R1039" s="25" t="e">
        <f t="shared" si="16"/>
        <v>#N/A</v>
      </c>
      <c r="S1039" s="58"/>
      <c r="T1039" s="58"/>
      <c r="U1039" s="43"/>
      <c r="V1039" s="43"/>
      <c r="W1039" s="58"/>
      <c r="X1039" s="58"/>
      <c r="Y1039" s="59"/>
      <c r="Z1039" s="60"/>
      <c r="AA1039" s="25"/>
      <c r="AB1039" s="25"/>
    </row>
    <row r="1040" spans="2:28">
      <c r="B1040" s="40"/>
      <c r="C1040" s="40"/>
      <c r="D1040" s="41"/>
      <c r="E1040" s="42"/>
      <c r="F1040" s="42"/>
      <c r="G1040" s="43"/>
      <c r="H1040" s="42" t="s">
        <v>155</v>
      </c>
      <c r="I1040" s="43"/>
      <c r="J1040" s="43"/>
      <c r="K1040" s="25" t="e">
        <f>VLOOKUP(J1040,Key!$E$2:$F$9,2,FALSE)</f>
        <v>#N/A</v>
      </c>
      <c r="L1040" s="42"/>
      <c r="M1040" s="43" t="s">
        <v>154</v>
      </c>
      <c r="N1040" s="42" t="s">
        <v>155</v>
      </c>
      <c r="O1040" s="43"/>
      <c r="P1040" s="43"/>
      <c r="Q1040" s="25" t="e">
        <f>VLOOKUP(P1040,Key!$E$2:$F$9,2,FALSE)</f>
        <v>#N/A</v>
      </c>
      <c r="R1040" s="25" t="e">
        <f t="shared" si="16"/>
        <v>#N/A</v>
      </c>
      <c r="S1040" s="58"/>
      <c r="T1040" s="58"/>
      <c r="U1040" s="43"/>
      <c r="V1040" s="43"/>
      <c r="W1040" s="58"/>
      <c r="X1040" s="58"/>
      <c r="Y1040" s="59"/>
      <c r="Z1040" s="60"/>
      <c r="AA1040" s="25"/>
      <c r="AB1040" s="25"/>
    </row>
    <row r="1041" spans="2:28">
      <c r="B1041" s="40"/>
      <c r="C1041" s="40"/>
      <c r="D1041" s="41"/>
      <c r="E1041" s="42"/>
      <c r="F1041" s="42"/>
      <c r="G1041" s="43"/>
      <c r="H1041" s="42" t="s">
        <v>155</v>
      </c>
      <c r="I1041" s="43"/>
      <c r="J1041" s="43"/>
      <c r="K1041" s="25" t="e">
        <f>VLOOKUP(J1041,Key!$E$2:$F$9,2,FALSE)</f>
        <v>#N/A</v>
      </c>
      <c r="L1041" s="42"/>
      <c r="M1041" s="43" t="s">
        <v>154</v>
      </c>
      <c r="N1041" s="42" t="s">
        <v>155</v>
      </c>
      <c r="O1041" s="43"/>
      <c r="P1041" s="43"/>
      <c r="Q1041" s="25" t="e">
        <f>VLOOKUP(P1041,Key!$E$2:$F$9,2,FALSE)</f>
        <v>#N/A</v>
      </c>
      <c r="R1041" s="25" t="e">
        <f t="shared" si="16"/>
        <v>#N/A</v>
      </c>
      <c r="S1041" s="58"/>
      <c r="T1041" s="58"/>
      <c r="U1041" s="43"/>
      <c r="V1041" s="43"/>
      <c r="W1041" s="58"/>
      <c r="X1041" s="58"/>
      <c r="Y1041" s="59"/>
      <c r="Z1041" s="60"/>
      <c r="AA1041" s="25"/>
      <c r="AB1041" s="25"/>
    </row>
    <row r="1042" spans="2:28">
      <c r="B1042" s="40"/>
      <c r="C1042" s="40"/>
      <c r="D1042" s="41"/>
      <c r="E1042" s="42"/>
      <c r="F1042" s="42"/>
      <c r="G1042" s="43"/>
      <c r="H1042" s="42" t="s">
        <v>155</v>
      </c>
      <c r="I1042" s="43"/>
      <c r="J1042" s="43"/>
      <c r="K1042" s="25" t="e">
        <f>VLOOKUP(J1042,Key!$E$2:$F$9,2,FALSE)</f>
        <v>#N/A</v>
      </c>
      <c r="L1042" s="42"/>
      <c r="M1042" s="43" t="s">
        <v>154</v>
      </c>
      <c r="N1042" s="42" t="s">
        <v>155</v>
      </c>
      <c r="O1042" s="43"/>
      <c r="P1042" s="43"/>
      <c r="Q1042" s="25" t="e">
        <f>VLOOKUP(P1042,Key!$E$2:$F$9,2,FALSE)</f>
        <v>#N/A</v>
      </c>
      <c r="R1042" s="25" t="e">
        <f t="shared" si="16"/>
        <v>#N/A</v>
      </c>
      <c r="S1042" s="58"/>
      <c r="T1042" s="58"/>
      <c r="U1042" s="43"/>
      <c r="V1042" s="43"/>
      <c r="W1042" s="58"/>
      <c r="X1042" s="58"/>
      <c r="Y1042" s="59"/>
      <c r="Z1042" s="60"/>
      <c r="AA1042" s="25"/>
      <c r="AB1042" s="25"/>
    </row>
    <row r="1043" spans="2:28">
      <c r="B1043" s="40"/>
      <c r="C1043" s="40"/>
      <c r="D1043" s="41"/>
      <c r="E1043" s="42"/>
      <c r="F1043" s="42"/>
      <c r="G1043" s="43"/>
      <c r="H1043" s="42" t="s">
        <v>155</v>
      </c>
      <c r="I1043" s="43"/>
      <c r="J1043" s="43"/>
      <c r="K1043" s="25" t="e">
        <f>VLOOKUP(J1043,Key!$E$2:$F$9,2,FALSE)</f>
        <v>#N/A</v>
      </c>
      <c r="L1043" s="42"/>
      <c r="M1043" s="43" t="s">
        <v>154</v>
      </c>
      <c r="N1043" s="42" t="s">
        <v>155</v>
      </c>
      <c r="O1043" s="43"/>
      <c r="P1043" s="43"/>
      <c r="Q1043" s="25" t="e">
        <f>VLOOKUP(P1043,Key!$E$2:$F$9,2,FALSE)</f>
        <v>#N/A</v>
      </c>
      <c r="R1043" s="25" t="e">
        <f t="shared" si="16"/>
        <v>#N/A</v>
      </c>
      <c r="S1043" s="58"/>
      <c r="T1043" s="58"/>
      <c r="U1043" s="43"/>
      <c r="V1043" s="43"/>
      <c r="W1043" s="58"/>
      <c r="X1043" s="58"/>
      <c r="Y1043" s="59"/>
      <c r="Z1043" s="60"/>
      <c r="AA1043" s="25"/>
      <c r="AB1043" s="25"/>
    </row>
    <row r="1044" spans="2:28">
      <c r="B1044" s="40"/>
      <c r="C1044" s="40"/>
      <c r="D1044" s="41"/>
      <c r="E1044" s="42"/>
      <c r="F1044" s="42"/>
      <c r="G1044" s="43"/>
      <c r="H1044" s="42" t="s">
        <v>155</v>
      </c>
      <c r="I1044" s="43"/>
      <c r="J1044" s="43"/>
      <c r="K1044" s="25" t="e">
        <f>VLOOKUP(J1044,Key!$E$2:$F$9,2,FALSE)</f>
        <v>#N/A</v>
      </c>
      <c r="L1044" s="42"/>
      <c r="M1044" s="43" t="s">
        <v>154</v>
      </c>
      <c r="N1044" s="42" t="s">
        <v>155</v>
      </c>
      <c r="O1044" s="43"/>
      <c r="P1044" s="43"/>
      <c r="Q1044" s="25" t="e">
        <f>VLOOKUP(P1044,Key!$E$2:$F$9,2,FALSE)</f>
        <v>#N/A</v>
      </c>
      <c r="R1044" s="25" t="e">
        <f t="shared" si="16"/>
        <v>#N/A</v>
      </c>
      <c r="S1044" s="58"/>
      <c r="T1044" s="58"/>
      <c r="U1044" s="43"/>
      <c r="V1044" s="43"/>
      <c r="W1044" s="58"/>
      <c r="X1044" s="58"/>
      <c r="Y1044" s="59"/>
      <c r="Z1044" s="60"/>
      <c r="AA1044" s="25"/>
      <c r="AB1044" s="25"/>
    </row>
    <row r="1045" spans="2:28">
      <c r="B1045" s="40"/>
      <c r="C1045" s="40"/>
      <c r="D1045" s="41"/>
      <c r="E1045" s="42"/>
      <c r="F1045" s="42"/>
      <c r="G1045" s="43"/>
      <c r="H1045" s="42" t="s">
        <v>155</v>
      </c>
      <c r="I1045" s="43"/>
      <c r="J1045" s="43"/>
      <c r="K1045" s="25" t="e">
        <f>VLOOKUP(J1045,Key!$E$2:$F$9,2,FALSE)</f>
        <v>#N/A</v>
      </c>
      <c r="L1045" s="42"/>
      <c r="M1045" s="43" t="s">
        <v>154</v>
      </c>
      <c r="N1045" s="42" t="s">
        <v>155</v>
      </c>
      <c r="O1045" s="43"/>
      <c r="P1045" s="43"/>
      <c r="Q1045" s="25" t="e">
        <f>VLOOKUP(P1045,Key!$E$2:$F$9,2,FALSE)</f>
        <v>#N/A</v>
      </c>
      <c r="R1045" s="25" t="e">
        <f t="shared" si="16"/>
        <v>#N/A</v>
      </c>
      <c r="S1045" s="58"/>
      <c r="T1045" s="58"/>
      <c r="U1045" s="43"/>
      <c r="V1045" s="43"/>
      <c r="W1045" s="58"/>
      <c r="X1045" s="58"/>
      <c r="Y1045" s="59"/>
      <c r="Z1045" s="60"/>
      <c r="AA1045" s="25"/>
      <c r="AB1045" s="25"/>
    </row>
    <row r="1046" spans="2:28">
      <c r="B1046" s="40"/>
      <c r="C1046" s="40"/>
      <c r="D1046" s="41"/>
      <c r="E1046" s="42"/>
      <c r="F1046" s="42"/>
      <c r="G1046" s="43"/>
      <c r="H1046" s="42" t="s">
        <v>155</v>
      </c>
      <c r="I1046" s="43"/>
      <c r="J1046" s="43"/>
      <c r="K1046" s="25" t="e">
        <f>VLOOKUP(J1046,Key!$E$2:$F$9,2,FALSE)</f>
        <v>#N/A</v>
      </c>
      <c r="L1046" s="42"/>
      <c r="M1046" s="43" t="s">
        <v>154</v>
      </c>
      <c r="N1046" s="42" t="s">
        <v>155</v>
      </c>
      <c r="O1046" s="43"/>
      <c r="P1046" s="43"/>
      <c r="Q1046" s="25" t="e">
        <f>VLOOKUP(P1046,Key!$E$2:$F$9,2,FALSE)</f>
        <v>#N/A</v>
      </c>
      <c r="R1046" s="25" t="e">
        <f t="shared" si="16"/>
        <v>#N/A</v>
      </c>
      <c r="S1046" s="58"/>
      <c r="T1046" s="58"/>
      <c r="U1046" s="43"/>
      <c r="V1046" s="43"/>
      <c r="W1046" s="58"/>
      <c r="X1046" s="58"/>
      <c r="Y1046" s="59"/>
      <c r="Z1046" s="60"/>
      <c r="AA1046" s="25"/>
      <c r="AB1046" s="25"/>
    </row>
    <row r="1047" spans="2:28">
      <c r="B1047" s="40"/>
      <c r="C1047" s="40"/>
      <c r="D1047" s="41"/>
      <c r="E1047" s="42"/>
      <c r="F1047" s="42"/>
      <c r="G1047" s="43"/>
      <c r="H1047" s="42" t="s">
        <v>155</v>
      </c>
      <c r="I1047" s="43"/>
      <c r="J1047" s="43"/>
      <c r="K1047" s="25" t="e">
        <f>VLOOKUP(J1047,Key!$E$2:$F$9,2,FALSE)</f>
        <v>#N/A</v>
      </c>
      <c r="L1047" s="42"/>
      <c r="M1047" s="43" t="s">
        <v>154</v>
      </c>
      <c r="N1047" s="42" t="s">
        <v>155</v>
      </c>
      <c r="O1047" s="43"/>
      <c r="P1047" s="43"/>
      <c r="Q1047" s="25" t="e">
        <f>VLOOKUP(P1047,Key!$E$2:$F$9,2,FALSE)</f>
        <v>#N/A</v>
      </c>
      <c r="R1047" s="25" t="e">
        <f t="shared" si="16"/>
        <v>#N/A</v>
      </c>
      <c r="S1047" s="58"/>
      <c r="T1047" s="58"/>
      <c r="U1047" s="43"/>
      <c r="V1047" s="43"/>
      <c r="W1047" s="58"/>
      <c r="X1047" s="58"/>
      <c r="Y1047" s="59"/>
      <c r="Z1047" s="60"/>
      <c r="AA1047" s="25"/>
      <c r="AB1047" s="25"/>
    </row>
    <row r="1048" spans="2:28">
      <c r="B1048" s="40"/>
      <c r="C1048" s="40"/>
      <c r="D1048" s="41"/>
      <c r="E1048" s="42"/>
      <c r="F1048" s="42"/>
      <c r="G1048" s="43"/>
      <c r="H1048" s="42" t="s">
        <v>155</v>
      </c>
      <c r="I1048" s="43"/>
      <c r="J1048" s="43"/>
      <c r="K1048" s="25" t="e">
        <f>VLOOKUP(J1048,Key!$E$2:$F$9,2,FALSE)</f>
        <v>#N/A</v>
      </c>
      <c r="L1048" s="42"/>
      <c r="M1048" s="43" t="s">
        <v>154</v>
      </c>
      <c r="N1048" s="42" t="s">
        <v>155</v>
      </c>
      <c r="O1048" s="43"/>
      <c r="P1048" s="43"/>
      <c r="Q1048" s="25" t="e">
        <f>VLOOKUP(P1048,Key!$E$2:$F$9,2,FALSE)</f>
        <v>#N/A</v>
      </c>
      <c r="R1048" s="25" t="e">
        <f t="shared" si="16"/>
        <v>#N/A</v>
      </c>
      <c r="S1048" s="58"/>
      <c r="T1048" s="58"/>
      <c r="U1048" s="43"/>
      <c r="V1048" s="43"/>
      <c r="W1048" s="58"/>
      <c r="X1048" s="58"/>
      <c r="Y1048" s="59"/>
      <c r="Z1048" s="60"/>
      <c r="AA1048" s="25"/>
      <c r="AB1048" s="25"/>
    </row>
    <row r="1049" spans="2:28">
      <c r="B1049" s="40"/>
      <c r="C1049" s="40"/>
      <c r="D1049" s="41"/>
      <c r="E1049" s="42"/>
      <c r="F1049" s="42"/>
      <c r="G1049" s="43"/>
      <c r="H1049" s="42" t="s">
        <v>155</v>
      </c>
      <c r="I1049" s="43"/>
      <c r="J1049" s="43"/>
      <c r="K1049" s="25" t="e">
        <f>VLOOKUP(J1049,Key!$E$2:$F$9,2,FALSE)</f>
        <v>#N/A</v>
      </c>
      <c r="L1049" s="42"/>
      <c r="M1049" s="43" t="s">
        <v>154</v>
      </c>
      <c r="N1049" s="42" t="s">
        <v>155</v>
      </c>
      <c r="O1049" s="43"/>
      <c r="P1049" s="43"/>
      <c r="Q1049" s="25" t="e">
        <f>VLOOKUP(P1049,Key!$E$2:$F$9,2,FALSE)</f>
        <v>#N/A</v>
      </c>
      <c r="R1049" s="25" t="e">
        <f t="shared" si="16"/>
        <v>#N/A</v>
      </c>
      <c r="S1049" s="58"/>
      <c r="T1049" s="58"/>
      <c r="U1049" s="43"/>
      <c r="V1049" s="43"/>
      <c r="W1049" s="58"/>
      <c r="X1049" s="58"/>
      <c r="Y1049" s="59"/>
      <c r="Z1049" s="60"/>
      <c r="AA1049" s="25"/>
      <c r="AB1049" s="25"/>
    </row>
    <row r="1050" spans="2:28">
      <c r="B1050" s="40"/>
      <c r="C1050" s="40"/>
      <c r="D1050" s="41"/>
      <c r="E1050" s="42"/>
      <c r="F1050" s="42"/>
      <c r="G1050" s="43"/>
      <c r="H1050" s="42" t="s">
        <v>155</v>
      </c>
      <c r="I1050" s="43"/>
      <c r="J1050" s="43"/>
      <c r="K1050" s="25" t="e">
        <f>VLOOKUP(J1050,Key!$E$2:$F$9,2,FALSE)</f>
        <v>#N/A</v>
      </c>
      <c r="L1050" s="42"/>
      <c r="M1050" s="43" t="s">
        <v>154</v>
      </c>
      <c r="N1050" s="42" t="s">
        <v>155</v>
      </c>
      <c r="O1050" s="43"/>
      <c r="P1050" s="43"/>
      <c r="Q1050" s="25" t="e">
        <f>VLOOKUP(P1050,Key!$E$2:$F$9,2,FALSE)</f>
        <v>#N/A</v>
      </c>
      <c r="R1050" s="25" t="e">
        <f t="shared" si="16"/>
        <v>#N/A</v>
      </c>
      <c r="S1050" s="58"/>
      <c r="T1050" s="58"/>
      <c r="U1050" s="43"/>
      <c r="V1050" s="43"/>
      <c r="W1050" s="58"/>
      <c r="X1050" s="58"/>
      <c r="Y1050" s="59"/>
      <c r="Z1050" s="60"/>
      <c r="AA1050" s="25"/>
      <c r="AB1050" s="25"/>
    </row>
    <row r="1051" spans="2:28">
      <c r="B1051" s="40"/>
      <c r="C1051" s="40"/>
      <c r="D1051" s="41"/>
      <c r="E1051" s="42"/>
      <c r="F1051" s="42"/>
      <c r="G1051" s="43"/>
      <c r="H1051" s="42" t="s">
        <v>155</v>
      </c>
      <c r="I1051" s="43"/>
      <c r="J1051" s="43"/>
      <c r="K1051" s="25" t="e">
        <f>VLOOKUP(J1051,Key!$E$2:$F$9,2,FALSE)</f>
        <v>#N/A</v>
      </c>
      <c r="L1051" s="42"/>
      <c r="M1051" s="43" t="s">
        <v>154</v>
      </c>
      <c r="N1051" s="42" t="s">
        <v>155</v>
      </c>
      <c r="O1051" s="43"/>
      <c r="P1051" s="43"/>
      <c r="Q1051" s="25" t="e">
        <f>VLOOKUP(P1051,Key!$E$2:$F$9,2,FALSE)</f>
        <v>#N/A</v>
      </c>
      <c r="R1051" s="25" t="e">
        <f t="shared" si="16"/>
        <v>#N/A</v>
      </c>
      <c r="S1051" s="58"/>
      <c r="T1051" s="58"/>
      <c r="U1051" s="43"/>
      <c r="V1051" s="43"/>
      <c r="W1051" s="58"/>
      <c r="X1051" s="58"/>
      <c r="Y1051" s="59"/>
      <c r="Z1051" s="60"/>
      <c r="AA1051" s="25"/>
      <c r="AB1051" s="25"/>
    </row>
    <row r="1052" spans="2:28">
      <c r="B1052" s="40"/>
      <c r="C1052" s="40"/>
      <c r="D1052" s="41"/>
      <c r="E1052" s="42"/>
      <c r="F1052" s="42"/>
      <c r="G1052" s="43"/>
      <c r="H1052" s="42" t="s">
        <v>155</v>
      </c>
      <c r="I1052" s="43"/>
      <c r="J1052" s="43"/>
      <c r="K1052" s="25" t="e">
        <f>VLOOKUP(J1052,Key!$E$2:$F$9,2,FALSE)</f>
        <v>#N/A</v>
      </c>
      <c r="L1052" s="42"/>
      <c r="M1052" s="43" t="s">
        <v>154</v>
      </c>
      <c r="N1052" s="42" t="s">
        <v>155</v>
      </c>
      <c r="O1052" s="43"/>
      <c r="P1052" s="43"/>
      <c r="Q1052" s="25" t="e">
        <f>VLOOKUP(P1052,Key!$E$2:$F$9,2,FALSE)</f>
        <v>#N/A</v>
      </c>
      <c r="R1052" s="25" t="e">
        <f t="shared" si="16"/>
        <v>#N/A</v>
      </c>
      <c r="S1052" s="58"/>
      <c r="T1052" s="58"/>
      <c r="U1052" s="43"/>
      <c r="V1052" s="43"/>
      <c r="W1052" s="58"/>
      <c r="X1052" s="58"/>
      <c r="Y1052" s="59"/>
      <c r="Z1052" s="60"/>
      <c r="AA1052" s="25"/>
      <c r="AB1052" s="25"/>
    </row>
    <row r="1053" spans="2:28">
      <c r="B1053" s="40"/>
      <c r="C1053" s="40"/>
      <c r="D1053" s="41"/>
      <c r="E1053" s="42"/>
      <c r="F1053" s="42"/>
      <c r="G1053" s="43"/>
      <c r="H1053" s="42" t="s">
        <v>155</v>
      </c>
      <c r="I1053" s="43"/>
      <c r="J1053" s="43"/>
      <c r="K1053" s="25" t="e">
        <f>VLOOKUP(J1053,Key!$E$2:$F$9,2,FALSE)</f>
        <v>#N/A</v>
      </c>
      <c r="L1053" s="42"/>
      <c r="M1053" s="43" t="s">
        <v>154</v>
      </c>
      <c r="N1053" s="42" t="s">
        <v>155</v>
      </c>
      <c r="O1053" s="43"/>
      <c r="P1053" s="43"/>
      <c r="Q1053" s="25" t="e">
        <f>VLOOKUP(P1053,Key!$E$2:$F$9,2,FALSE)</f>
        <v>#N/A</v>
      </c>
      <c r="R1053" s="25" t="e">
        <f t="shared" si="16"/>
        <v>#N/A</v>
      </c>
      <c r="S1053" s="58"/>
      <c r="T1053" s="58"/>
      <c r="U1053" s="43"/>
      <c r="V1053" s="43"/>
      <c r="W1053" s="58"/>
      <c r="X1053" s="58"/>
      <c r="Y1053" s="59"/>
      <c r="Z1053" s="60"/>
      <c r="AA1053" s="25"/>
      <c r="AB1053" s="25"/>
    </row>
    <row r="1054" spans="2:28">
      <c r="B1054" s="40"/>
      <c r="C1054" s="40"/>
      <c r="D1054" s="41"/>
      <c r="E1054" s="42"/>
      <c r="F1054" s="42"/>
      <c r="G1054" s="43"/>
      <c r="H1054" s="42" t="s">
        <v>155</v>
      </c>
      <c r="I1054" s="43"/>
      <c r="J1054" s="43"/>
      <c r="K1054" s="25" t="e">
        <f>VLOOKUP(J1054,Key!$E$2:$F$9,2,FALSE)</f>
        <v>#N/A</v>
      </c>
      <c r="L1054" s="42"/>
      <c r="M1054" s="43" t="s">
        <v>154</v>
      </c>
      <c r="N1054" s="42" t="s">
        <v>155</v>
      </c>
      <c r="O1054" s="43"/>
      <c r="P1054" s="43"/>
      <c r="Q1054" s="25" t="e">
        <f>VLOOKUP(P1054,Key!$E$2:$F$9,2,FALSE)</f>
        <v>#N/A</v>
      </c>
      <c r="R1054" s="25" t="e">
        <f t="shared" si="16"/>
        <v>#N/A</v>
      </c>
      <c r="S1054" s="58"/>
      <c r="T1054" s="58"/>
      <c r="U1054" s="43"/>
      <c r="V1054" s="43"/>
      <c r="W1054" s="58"/>
      <c r="X1054" s="58"/>
      <c r="Y1054" s="59"/>
      <c r="Z1054" s="60"/>
      <c r="AA1054" s="25"/>
      <c r="AB1054" s="25"/>
    </row>
    <row r="1055" spans="2:28">
      <c r="B1055" s="40"/>
      <c r="C1055" s="40"/>
      <c r="D1055" s="41"/>
      <c r="E1055" s="42"/>
      <c r="F1055" s="42"/>
      <c r="G1055" s="43"/>
      <c r="H1055" s="42" t="s">
        <v>155</v>
      </c>
      <c r="I1055" s="43"/>
      <c r="J1055" s="43"/>
      <c r="K1055" s="25" t="e">
        <f>VLOOKUP(J1055,Key!$E$2:$F$9,2,FALSE)</f>
        <v>#N/A</v>
      </c>
      <c r="L1055" s="42"/>
      <c r="M1055" s="43" t="s">
        <v>154</v>
      </c>
      <c r="N1055" s="42" t="s">
        <v>155</v>
      </c>
      <c r="O1055" s="43"/>
      <c r="P1055" s="43"/>
      <c r="Q1055" s="25" t="e">
        <f>VLOOKUP(P1055,Key!$E$2:$F$9,2,FALSE)</f>
        <v>#N/A</v>
      </c>
      <c r="R1055" s="25" t="e">
        <f t="shared" si="16"/>
        <v>#N/A</v>
      </c>
      <c r="S1055" s="58"/>
      <c r="T1055" s="58"/>
      <c r="U1055" s="43"/>
      <c r="V1055" s="43"/>
      <c r="W1055" s="58"/>
      <c r="X1055" s="58"/>
      <c r="Y1055" s="59"/>
      <c r="Z1055" s="60"/>
      <c r="AA1055" s="25"/>
      <c r="AB1055" s="25"/>
    </row>
    <row r="1056" spans="2:28">
      <c r="B1056" s="40"/>
      <c r="C1056" s="40"/>
      <c r="D1056" s="41"/>
      <c r="E1056" s="42"/>
      <c r="F1056" s="42"/>
      <c r="G1056" s="43"/>
      <c r="H1056" s="42" t="s">
        <v>155</v>
      </c>
      <c r="I1056" s="43"/>
      <c r="J1056" s="43"/>
      <c r="K1056" s="25" t="e">
        <f>VLOOKUP(J1056,Key!$E$2:$F$9,2,FALSE)</f>
        <v>#N/A</v>
      </c>
      <c r="L1056" s="42"/>
      <c r="M1056" s="43" t="s">
        <v>154</v>
      </c>
      <c r="N1056" s="42" t="s">
        <v>155</v>
      </c>
      <c r="O1056" s="43"/>
      <c r="P1056" s="43"/>
      <c r="Q1056" s="25" t="e">
        <f>VLOOKUP(P1056,Key!$E$2:$F$9,2,FALSE)</f>
        <v>#N/A</v>
      </c>
      <c r="R1056" s="25" t="e">
        <f t="shared" si="16"/>
        <v>#N/A</v>
      </c>
      <c r="S1056" s="58"/>
      <c r="T1056" s="58"/>
      <c r="U1056" s="43"/>
      <c r="V1056" s="43"/>
      <c r="W1056" s="58"/>
      <c r="X1056" s="58"/>
      <c r="Y1056" s="59"/>
      <c r="Z1056" s="60"/>
      <c r="AA1056" s="25"/>
      <c r="AB1056" s="25"/>
    </row>
    <row r="1057" spans="2:28">
      <c r="B1057" s="40"/>
      <c r="C1057" s="40"/>
      <c r="D1057" s="41"/>
      <c r="E1057" s="42"/>
      <c r="F1057" s="42"/>
      <c r="G1057" s="43"/>
      <c r="H1057" s="42" t="s">
        <v>155</v>
      </c>
      <c r="I1057" s="43"/>
      <c r="J1057" s="43"/>
      <c r="K1057" s="25" t="e">
        <f>VLOOKUP(J1057,Key!$E$2:$F$9,2,FALSE)</f>
        <v>#N/A</v>
      </c>
      <c r="L1057" s="42"/>
      <c r="M1057" s="43" t="s">
        <v>154</v>
      </c>
      <c r="N1057" s="42" t="s">
        <v>155</v>
      </c>
      <c r="O1057" s="43"/>
      <c r="P1057" s="43"/>
      <c r="Q1057" s="25" t="e">
        <f>VLOOKUP(P1057,Key!$E$2:$F$9,2,FALSE)</f>
        <v>#N/A</v>
      </c>
      <c r="R1057" s="25" t="e">
        <f t="shared" si="16"/>
        <v>#N/A</v>
      </c>
      <c r="S1057" s="58"/>
      <c r="T1057" s="58"/>
      <c r="U1057" s="43"/>
      <c r="V1057" s="43"/>
      <c r="W1057" s="58"/>
      <c r="X1057" s="58"/>
      <c r="Y1057" s="59"/>
      <c r="Z1057" s="60"/>
      <c r="AA1057" s="25"/>
      <c r="AB1057" s="25"/>
    </row>
    <row r="1058" spans="2:28">
      <c r="B1058" s="40"/>
      <c r="C1058" s="40"/>
      <c r="D1058" s="41"/>
      <c r="E1058" s="42"/>
      <c r="F1058" s="42"/>
      <c r="G1058" s="43"/>
      <c r="H1058" s="42" t="s">
        <v>155</v>
      </c>
      <c r="I1058" s="43"/>
      <c r="J1058" s="43"/>
      <c r="K1058" s="25" t="e">
        <f>VLOOKUP(J1058,Key!$E$2:$F$9,2,FALSE)</f>
        <v>#N/A</v>
      </c>
      <c r="L1058" s="42"/>
      <c r="M1058" s="43" t="s">
        <v>154</v>
      </c>
      <c r="N1058" s="42" t="s">
        <v>155</v>
      </c>
      <c r="O1058" s="43"/>
      <c r="P1058" s="43"/>
      <c r="Q1058" s="25" t="e">
        <f>VLOOKUP(P1058,Key!$E$2:$F$9,2,FALSE)</f>
        <v>#N/A</v>
      </c>
      <c r="R1058" s="25" t="e">
        <f t="shared" si="16"/>
        <v>#N/A</v>
      </c>
      <c r="S1058" s="58"/>
      <c r="T1058" s="58"/>
      <c r="U1058" s="43"/>
      <c r="V1058" s="43"/>
      <c r="W1058" s="58"/>
      <c r="X1058" s="58"/>
      <c r="Y1058" s="59"/>
      <c r="Z1058" s="60"/>
      <c r="AA1058" s="25"/>
      <c r="AB1058" s="25"/>
    </row>
    <row r="1059" spans="2:28">
      <c r="B1059" s="40"/>
      <c r="C1059" s="40"/>
      <c r="D1059" s="41"/>
      <c r="E1059" s="42"/>
      <c r="F1059" s="42"/>
      <c r="G1059" s="43"/>
      <c r="H1059" s="42" t="s">
        <v>155</v>
      </c>
      <c r="I1059" s="43"/>
      <c r="J1059" s="43"/>
      <c r="K1059" s="25" t="e">
        <f>VLOOKUP(J1059,Key!$E$2:$F$9,2,FALSE)</f>
        <v>#N/A</v>
      </c>
      <c r="L1059" s="42"/>
      <c r="M1059" s="43" t="s">
        <v>154</v>
      </c>
      <c r="N1059" s="42" t="s">
        <v>155</v>
      </c>
      <c r="O1059" s="43"/>
      <c r="P1059" s="43"/>
      <c r="Q1059" s="25" t="e">
        <f>VLOOKUP(P1059,Key!$E$2:$F$9,2,FALSE)</f>
        <v>#N/A</v>
      </c>
      <c r="R1059" s="25" t="e">
        <f t="shared" si="16"/>
        <v>#N/A</v>
      </c>
      <c r="S1059" s="58"/>
      <c r="T1059" s="58"/>
      <c r="U1059" s="43"/>
      <c r="V1059" s="43"/>
      <c r="W1059" s="58"/>
      <c r="X1059" s="58"/>
      <c r="Y1059" s="59"/>
      <c r="Z1059" s="60"/>
      <c r="AA1059" s="25"/>
      <c r="AB1059" s="25"/>
    </row>
    <row r="1060" spans="2:28">
      <c r="B1060" s="40"/>
      <c r="C1060" s="40"/>
      <c r="D1060" s="41"/>
      <c r="E1060" s="42"/>
      <c r="F1060" s="42"/>
      <c r="G1060" s="43"/>
      <c r="H1060" s="42" t="s">
        <v>155</v>
      </c>
      <c r="I1060" s="43"/>
      <c r="J1060" s="43"/>
      <c r="K1060" s="25" t="e">
        <f>VLOOKUP(J1060,Key!$E$2:$F$9,2,FALSE)</f>
        <v>#N/A</v>
      </c>
      <c r="L1060" s="42"/>
      <c r="M1060" s="43" t="s">
        <v>154</v>
      </c>
      <c r="N1060" s="42" t="s">
        <v>155</v>
      </c>
      <c r="O1060" s="43"/>
      <c r="P1060" s="43"/>
      <c r="Q1060" s="25" t="e">
        <f>VLOOKUP(P1060,Key!$E$2:$F$9,2,FALSE)</f>
        <v>#N/A</v>
      </c>
      <c r="R1060" s="25" t="e">
        <f t="shared" si="16"/>
        <v>#N/A</v>
      </c>
      <c r="S1060" s="58"/>
      <c r="T1060" s="58"/>
      <c r="U1060" s="43"/>
      <c r="V1060" s="43"/>
      <c r="W1060" s="58"/>
      <c r="X1060" s="58"/>
      <c r="Y1060" s="59"/>
      <c r="Z1060" s="60"/>
      <c r="AA1060" s="25"/>
      <c r="AB1060" s="25"/>
    </row>
    <row r="1061" spans="2:28">
      <c r="B1061" s="40"/>
      <c r="C1061" s="40"/>
      <c r="D1061" s="41"/>
      <c r="E1061" s="42"/>
      <c r="F1061" s="42"/>
      <c r="G1061" s="43"/>
      <c r="H1061" s="42" t="s">
        <v>155</v>
      </c>
      <c r="I1061" s="43"/>
      <c r="J1061" s="43"/>
      <c r="K1061" s="25" t="e">
        <f>VLOOKUP(J1061,Key!$E$2:$F$9,2,FALSE)</f>
        <v>#N/A</v>
      </c>
      <c r="L1061" s="42"/>
      <c r="M1061" s="43" t="s">
        <v>154</v>
      </c>
      <c r="N1061" s="42" t="s">
        <v>155</v>
      </c>
      <c r="O1061" s="43"/>
      <c r="P1061" s="43"/>
      <c r="Q1061" s="25" t="e">
        <f>VLOOKUP(P1061,Key!$E$2:$F$9,2,FALSE)</f>
        <v>#N/A</v>
      </c>
      <c r="R1061" s="25" t="e">
        <f t="shared" si="16"/>
        <v>#N/A</v>
      </c>
      <c r="S1061" s="58"/>
      <c r="T1061" s="58"/>
      <c r="U1061" s="43"/>
      <c r="V1061" s="43"/>
      <c r="W1061" s="58"/>
      <c r="X1061" s="58"/>
      <c r="Y1061" s="59"/>
      <c r="Z1061" s="60"/>
      <c r="AA1061" s="25"/>
      <c r="AB1061" s="25"/>
    </row>
    <row r="1062" spans="2:28">
      <c r="B1062" s="40"/>
      <c r="C1062" s="40"/>
      <c r="D1062" s="41"/>
      <c r="E1062" s="42"/>
      <c r="F1062" s="42"/>
      <c r="G1062" s="43"/>
      <c r="H1062" s="42" t="s">
        <v>155</v>
      </c>
      <c r="I1062" s="43"/>
      <c r="J1062" s="43"/>
      <c r="K1062" s="25" t="e">
        <f>VLOOKUP(J1062,Key!$E$2:$F$9,2,FALSE)</f>
        <v>#N/A</v>
      </c>
      <c r="L1062" s="42"/>
      <c r="M1062" s="43" t="s">
        <v>154</v>
      </c>
      <c r="N1062" s="42" t="s">
        <v>155</v>
      </c>
      <c r="O1062" s="43"/>
      <c r="P1062" s="43"/>
      <c r="Q1062" s="25" t="e">
        <f>VLOOKUP(P1062,Key!$E$2:$F$9,2,FALSE)</f>
        <v>#N/A</v>
      </c>
      <c r="R1062" s="25" t="e">
        <f t="shared" ref="R1062:R1125" si="17">K1062&amp;"-"&amp;Q1062</f>
        <v>#N/A</v>
      </c>
      <c r="S1062" s="58"/>
      <c r="T1062" s="58"/>
      <c r="U1062" s="43"/>
      <c r="V1062" s="43"/>
      <c r="W1062" s="58"/>
      <c r="X1062" s="58"/>
      <c r="Y1062" s="59"/>
      <c r="Z1062" s="60"/>
      <c r="AA1062" s="25"/>
      <c r="AB1062" s="25"/>
    </row>
    <row r="1063" spans="2:28">
      <c r="B1063" s="40"/>
      <c r="C1063" s="40"/>
      <c r="D1063" s="41"/>
      <c r="E1063" s="42"/>
      <c r="F1063" s="42"/>
      <c r="G1063" s="43"/>
      <c r="H1063" s="42" t="s">
        <v>155</v>
      </c>
      <c r="I1063" s="43"/>
      <c r="J1063" s="43"/>
      <c r="K1063" s="25" t="e">
        <f>VLOOKUP(J1063,Key!$E$2:$F$9,2,FALSE)</f>
        <v>#N/A</v>
      </c>
      <c r="L1063" s="42"/>
      <c r="M1063" s="43" t="s">
        <v>154</v>
      </c>
      <c r="N1063" s="42" t="s">
        <v>155</v>
      </c>
      <c r="O1063" s="43"/>
      <c r="P1063" s="43"/>
      <c r="Q1063" s="25" t="e">
        <f>VLOOKUP(P1063,Key!$E$2:$F$9,2,FALSE)</f>
        <v>#N/A</v>
      </c>
      <c r="R1063" s="25" t="e">
        <f t="shared" si="17"/>
        <v>#N/A</v>
      </c>
      <c r="S1063" s="58"/>
      <c r="T1063" s="58"/>
      <c r="U1063" s="43"/>
      <c r="V1063" s="43"/>
      <c r="W1063" s="58"/>
      <c r="X1063" s="58"/>
      <c r="Y1063" s="59"/>
      <c r="Z1063" s="60"/>
      <c r="AA1063" s="25"/>
      <c r="AB1063" s="25"/>
    </row>
    <row r="1064" spans="2:28">
      <c r="B1064" s="40"/>
      <c r="C1064" s="40"/>
      <c r="D1064" s="41"/>
      <c r="E1064" s="42"/>
      <c r="F1064" s="42"/>
      <c r="G1064" s="43"/>
      <c r="H1064" s="42" t="s">
        <v>155</v>
      </c>
      <c r="I1064" s="43"/>
      <c r="J1064" s="43"/>
      <c r="K1064" s="25" t="e">
        <f>VLOOKUP(J1064,Key!$E$2:$F$9,2,FALSE)</f>
        <v>#N/A</v>
      </c>
      <c r="L1064" s="42"/>
      <c r="M1064" s="43" t="s">
        <v>154</v>
      </c>
      <c r="N1064" s="42" t="s">
        <v>155</v>
      </c>
      <c r="O1064" s="43"/>
      <c r="P1064" s="43"/>
      <c r="Q1064" s="25" t="e">
        <f>VLOOKUP(P1064,Key!$E$2:$F$9,2,FALSE)</f>
        <v>#N/A</v>
      </c>
      <c r="R1064" s="25" t="e">
        <f t="shared" si="17"/>
        <v>#N/A</v>
      </c>
      <c r="S1064" s="58"/>
      <c r="T1064" s="58"/>
      <c r="U1064" s="43"/>
      <c r="V1064" s="43"/>
      <c r="W1064" s="58"/>
      <c r="X1064" s="58"/>
      <c r="Y1064" s="59"/>
      <c r="Z1064" s="60"/>
      <c r="AA1064" s="25"/>
      <c r="AB1064" s="25"/>
    </row>
    <row r="1065" spans="2:28">
      <c r="B1065" s="40"/>
      <c r="C1065" s="40"/>
      <c r="D1065" s="41"/>
      <c r="E1065" s="42"/>
      <c r="F1065" s="42"/>
      <c r="G1065" s="43"/>
      <c r="H1065" s="42" t="s">
        <v>155</v>
      </c>
      <c r="I1065" s="43"/>
      <c r="J1065" s="43"/>
      <c r="K1065" s="25" t="e">
        <f>VLOOKUP(J1065,Key!$E$2:$F$9,2,FALSE)</f>
        <v>#N/A</v>
      </c>
      <c r="L1065" s="42"/>
      <c r="M1065" s="43" t="s">
        <v>154</v>
      </c>
      <c r="N1065" s="42" t="s">
        <v>155</v>
      </c>
      <c r="O1065" s="43"/>
      <c r="P1065" s="43"/>
      <c r="Q1065" s="25" t="e">
        <f>VLOOKUP(P1065,Key!$E$2:$F$9,2,FALSE)</f>
        <v>#N/A</v>
      </c>
      <c r="R1065" s="25" t="e">
        <f t="shared" si="17"/>
        <v>#N/A</v>
      </c>
      <c r="S1065" s="58"/>
      <c r="T1065" s="58"/>
      <c r="U1065" s="43"/>
      <c r="V1065" s="43"/>
      <c r="W1065" s="58"/>
      <c r="X1065" s="58"/>
      <c r="Y1065" s="59"/>
      <c r="Z1065" s="60"/>
      <c r="AA1065" s="25"/>
      <c r="AB1065" s="25"/>
    </row>
    <row r="1066" spans="2:28">
      <c r="B1066" s="40"/>
      <c r="C1066" s="40"/>
      <c r="D1066" s="41"/>
      <c r="E1066" s="42"/>
      <c r="F1066" s="42"/>
      <c r="G1066" s="43"/>
      <c r="H1066" s="42" t="s">
        <v>155</v>
      </c>
      <c r="I1066" s="43"/>
      <c r="J1066" s="43"/>
      <c r="K1066" s="25" t="e">
        <f>VLOOKUP(J1066,Key!$E$2:$F$9,2,FALSE)</f>
        <v>#N/A</v>
      </c>
      <c r="L1066" s="42"/>
      <c r="M1066" s="43" t="s">
        <v>154</v>
      </c>
      <c r="N1066" s="42" t="s">
        <v>155</v>
      </c>
      <c r="O1066" s="43"/>
      <c r="P1066" s="43"/>
      <c r="Q1066" s="25" t="e">
        <f>VLOOKUP(P1066,Key!$E$2:$F$9,2,FALSE)</f>
        <v>#N/A</v>
      </c>
      <c r="R1066" s="25" t="e">
        <f t="shared" si="17"/>
        <v>#N/A</v>
      </c>
      <c r="S1066" s="58"/>
      <c r="T1066" s="58"/>
      <c r="U1066" s="43"/>
      <c r="V1066" s="43"/>
      <c r="W1066" s="58"/>
      <c r="X1066" s="58"/>
      <c r="Y1066" s="59"/>
      <c r="Z1066" s="60"/>
      <c r="AA1066" s="25"/>
      <c r="AB1066" s="25"/>
    </row>
    <row r="1067" spans="2:28">
      <c r="B1067" s="40"/>
      <c r="C1067" s="40"/>
      <c r="D1067" s="41"/>
      <c r="E1067" s="42"/>
      <c r="F1067" s="42"/>
      <c r="G1067" s="43"/>
      <c r="H1067" s="42" t="s">
        <v>155</v>
      </c>
      <c r="I1067" s="43"/>
      <c r="J1067" s="43"/>
      <c r="K1067" s="25" t="e">
        <f>VLOOKUP(J1067,Key!$E$2:$F$9,2,FALSE)</f>
        <v>#N/A</v>
      </c>
      <c r="L1067" s="42"/>
      <c r="M1067" s="43" t="s">
        <v>154</v>
      </c>
      <c r="N1067" s="42" t="s">
        <v>155</v>
      </c>
      <c r="O1067" s="43"/>
      <c r="P1067" s="43"/>
      <c r="Q1067" s="25" t="e">
        <f>VLOOKUP(P1067,Key!$E$2:$F$9,2,FALSE)</f>
        <v>#N/A</v>
      </c>
      <c r="R1067" s="25" t="e">
        <f t="shared" si="17"/>
        <v>#N/A</v>
      </c>
      <c r="S1067" s="58"/>
      <c r="T1067" s="58"/>
      <c r="U1067" s="43"/>
      <c r="V1067" s="43"/>
      <c r="W1067" s="58"/>
      <c r="X1067" s="58"/>
      <c r="Y1067" s="59"/>
      <c r="Z1067" s="60"/>
      <c r="AA1067" s="25"/>
      <c r="AB1067" s="25"/>
    </row>
    <row r="1068" spans="2:28">
      <c r="B1068" s="40"/>
      <c r="C1068" s="40"/>
      <c r="D1068" s="41"/>
      <c r="E1068" s="42"/>
      <c r="F1068" s="42"/>
      <c r="G1068" s="43"/>
      <c r="H1068" s="42" t="s">
        <v>155</v>
      </c>
      <c r="I1068" s="43"/>
      <c r="J1068" s="43"/>
      <c r="K1068" s="25" t="e">
        <f>VLOOKUP(J1068,Key!$E$2:$F$9,2,FALSE)</f>
        <v>#N/A</v>
      </c>
      <c r="L1068" s="42"/>
      <c r="M1068" s="43" t="s">
        <v>154</v>
      </c>
      <c r="N1068" s="42" t="s">
        <v>155</v>
      </c>
      <c r="O1068" s="43"/>
      <c r="P1068" s="43"/>
      <c r="Q1068" s="25" t="e">
        <f>VLOOKUP(P1068,Key!$E$2:$F$9,2,FALSE)</f>
        <v>#N/A</v>
      </c>
      <c r="R1068" s="25" t="e">
        <f t="shared" si="17"/>
        <v>#N/A</v>
      </c>
      <c r="S1068" s="58"/>
      <c r="T1068" s="58"/>
      <c r="U1068" s="43"/>
      <c r="V1068" s="43"/>
      <c r="W1068" s="58"/>
      <c r="X1068" s="58"/>
      <c r="Y1068" s="59"/>
      <c r="Z1068" s="60"/>
      <c r="AA1068" s="25"/>
      <c r="AB1068" s="25"/>
    </row>
    <row r="1069" spans="2:28">
      <c r="B1069" s="40"/>
      <c r="C1069" s="40"/>
      <c r="D1069" s="41"/>
      <c r="E1069" s="42"/>
      <c r="F1069" s="42"/>
      <c r="G1069" s="43"/>
      <c r="H1069" s="42" t="s">
        <v>155</v>
      </c>
      <c r="I1069" s="43"/>
      <c r="J1069" s="43"/>
      <c r="K1069" s="25" t="e">
        <f>VLOOKUP(J1069,Key!$E$2:$F$9,2,FALSE)</f>
        <v>#N/A</v>
      </c>
      <c r="L1069" s="42"/>
      <c r="M1069" s="43" t="s">
        <v>154</v>
      </c>
      <c r="N1069" s="42" t="s">
        <v>155</v>
      </c>
      <c r="O1069" s="43"/>
      <c r="P1069" s="43"/>
      <c r="Q1069" s="25" t="e">
        <f>VLOOKUP(P1069,Key!$E$2:$F$9,2,FALSE)</f>
        <v>#N/A</v>
      </c>
      <c r="R1069" s="25" t="e">
        <f t="shared" si="17"/>
        <v>#N/A</v>
      </c>
      <c r="S1069" s="58"/>
      <c r="T1069" s="58"/>
      <c r="U1069" s="43"/>
      <c r="V1069" s="43"/>
      <c r="W1069" s="58"/>
      <c r="X1069" s="58"/>
      <c r="Y1069" s="59"/>
      <c r="Z1069" s="60"/>
      <c r="AA1069" s="25"/>
      <c r="AB1069" s="25"/>
    </row>
    <row r="1070" spans="2:28">
      <c r="B1070" s="40"/>
      <c r="C1070" s="40"/>
      <c r="D1070" s="41"/>
      <c r="E1070" s="42"/>
      <c r="F1070" s="42"/>
      <c r="G1070" s="43"/>
      <c r="H1070" s="42" t="s">
        <v>155</v>
      </c>
      <c r="I1070" s="43"/>
      <c r="J1070" s="43"/>
      <c r="K1070" s="25" t="e">
        <f>VLOOKUP(J1070,Key!$E$2:$F$9,2,FALSE)</f>
        <v>#N/A</v>
      </c>
      <c r="L1070" s="42"/>
      <c r="M1070" s="43" t="s">
        <v>154</v>
      </c>
      <c r="N1070" s="42" t="s">
        <v>155</v>
      </c>
      <c r="O1070" s="43"/>
      <c r="P1070" s="43"/>
      <c r="Q1070" s="25" t="e">
        <f>VLOOKUP(P1070,Key!$E$2:$F$9,2,FALSE)</f>
        <v>#N/A</v>
      </c>
      <c r="R1070" s="25" t="e">
        <f t="shared" si="17"/>
        <v>#N/A</v>
      </c>
      <c r="S1070" s="58"/>
      <c r="T1070" s="58"/>
      <c r="U1070" s="43"/>
      <c r="V1070" s="43"/>
      <c r="W1070" s="58"/>
      <c r="X1070" s="58"/>
      <c r="Y1070" s="59"/>
      <c r="Z1070" s="60"/>
      <c r="AA1070" s="25"/>
      <c r="AB1070" s="25"/>
    </row>
    <row r="1071" spans="2:28">
      <c r="B1071" s="40"/>
      <c r="C1071" s="40"/>
      <c r="D1071" s="41"/>
      <c r="E1071" s="42"/>
      <c r="F1071" s="42"/>
      <c r="G1071" s="43"/>
      <c r="H1071" s="42" t="s">
        <v>155</v>
      </c>
      <c r="I1071" s="43"/>
      <c r="J1071" s="43"/>
      <c r="K1071" s="25" t="e">
        <f>VLOOKUP(J1071,Key!$E$2:$F$9,2,FALSE)</f>
        <v>#N/A</v>
      </c>
      <c r="L1071" s="42"/>
      <c r="M1071" s="43" t="s">
        <v>154</v>
      </c>
      <c r="N1071" s="42" t="s">
        <v>155</v>
      </c>
      <c r="O1071" s="43"/>
      <c r="P1071" s="43"/>
      <c r="Q1071" s="25" t="e">
        <f>VLOOKUP(P1071,Key!$E$2:$F$9,2,FALSE)</f>
        <v>#N/A</v>
      </c>
      <c r="R1071" s="25" t="e">
        <f t="shared" si="17"/>
        <v>#N/A</v>
      </c>
      <c r="S1071" s="58"/>
      <c r="T1071" s="58"/>
      <c r="U1071" s="43"/>
      <c r="V1071" s="43"/>
      <c r="W1071" s="58"/>
      <c r="X1071" s="58"/>
      <c r="Y1071" s="59"/>
      <c r="Z1071" s="60"/>
      <c r="AA1071" s="25"/>
      <c r="AB1071" s="25"/>
    </row>
    <row r="1072" spans="2:28">
      <c r="B1072" s="40"/>
      <c r="C1072" s="40"/>
      <c r="D1072" s="41"/>
      <c r="E1072" s="42"/>
      <c r="F1072" s="42"/>
      <c r="G1072" s="43"/>
      <c r="H1072" s="42" t="s">
        <v>155</v>
      </c>
      <c r="I1072" s="43"/>
      <c r="J1072" s="43"/>
      <c r="K1072" s="25" t="e">
        <f>VLOOKUP(J1072,Key!$E$2:$F$9,2,FALSE)</f>
        <v>#N/A</v>
      </c>
      <c r="L1072" s="42"/>
      <c r="M1072" s="43" t="s">
        <v>154</v>
      </c>
      <c r="N1072" s="42" t="s">
        <v>155</v>
      </c>
      <c r="O1072" s="43"/>
      <c r="P1072" s="43"/>
      <c r="Q1072" s="25" t="e">
        <f>VLOOKUP(P1072,Key!$E$2:$F$9,2,FALSE)</f>
        <v>#N/A</v>
      </c>
      <c r="R1072" s="25" t="e">
        <f t="shared" si="17"/>
        <v>#N/A</v>
      </c>
      <c r="S1072" s="58"/>
      <c r="T1072" s="58"/>
      <c r="U1072" s="43"/>
      <c r="V1072" s="43"/>
      <c r="W1072" s="58"/>
      <c r="X1072" s="58"/>
      <c r="Y1072" s="59"/>
      <c r="Z1072" s="60"/>
      <c r="AA1072" s="25"/>
      <c r="AB1072" s="25"/>
    </row>
    <row r="1073" spans="2:28">
      <c r="B1073" s="40"/>
      <c r="C1073" s="40"/>
      <c r="D1073" s="41"/>
      <c r="E1073" s="42"/>
      <c r="F1073" s="42"/>
      <c r="G1073" s="43"/>
      <c r="H1073" s="42" t="s">
        <v>155</v>
      </c>
      <c r="I1073" s="43"/>
      <c r="J1073" s="43"/>
      <c r="K1073" s="25" t="e">
        <f>VLOOKUP(J1073,Key!$E$2:$F$9,2,FALSE)</f>
        <v>#N/A</v>
      </c>
      <c r="L1073" s="42"/>
      <c r="M1073" s="43" t="s">
        <v>154</v>
      </c>
      <c r="N1073" s="42" t="s">
        <v>155</v>
      </c>
      <c r="O1073" s="43"/>
      <c r="P1073" s="43"/>
      <c r="Q1073" s="25" t="e">
        <f>VLOOKUP(P1073,Key!$E$2:$F$9,2,FALSE)</f>
        <v>#N/A</v>
      </c>
      <c r="R1073" s="25" t="e">
        <f t="shared" si="17"/>
        <v>#N/A</v>
      </c>
      <c r="S1073" s="58"/>
      <c r="T1073" s="58"/>
      <c r="U1073" s="43"/>
      <c r="V1073" s="43"/>
      <c r="W1073" s="58"/>
      <c r="X1073" s="58"/>
      <c r="Y1073" s="59"/>
      <c r="Z1073" s="60"/>
      <c r="AA1073" s="25"/>
      <c r="AB1073" s="25"/>
    </row>
    <row r="1074" spans="2:28">
      <c r="B1074" s="40"/>
      <c r="C1074" s="40"/>
      <c r="D1074" s="41"/>
      <c r="E1074" s="42"/>
      <c r="F1074" s="42"/>
      <c r="G1074" s="43"/>
      <c r="H1074" s="42" t="s">
        <v>155</v>
      </c>
      <c r="I1074" s="43"/>
      <c r="J1074" s="43"/>
      <c r="K1074" s="25" t="e">
        <f>VLOOKUP(J1074,Key!$E$2:$F$9,2,FALSE)</f>
        <v>#N/A</v>
      </c>
      <c r="L1074" s="42"/>
      <c r="M1074" s="43" t="s">
        <v>154</v>
      </c>
      <c r="N1074" s="42" t="s">
        <v>155</v>
      </c>
      <c r="O1074" s="43"/>
      <c r="P1074" s="43"/>
      <c r="Q1074" s="25" t="e">
        <f>VLOOKUP(P1074,Key!$E$2:$F$9,2,FALSE)</f>
        <v>#N/A</v>
      </c>
      <c r="R1074" s="25" t="e">
        <f t="shared" si="17"/>
        <v>#N/A</v>
      </c>
      <c r="S1074" s="58"/>
      <c r="T1074" s="58"/>
      <c r="U1074" s="43"/>
      <c r="V1074" s="43"/>
      <c r="W1074" s="58"/>
      <c r="X1074" s="58"/>
      <c r="Y1074" s="59"/>
      <c r="Z1074" s="60"/>
      <c r="AA1074" s="25"/>
      <c r="AB1074" s="25"/>
    </row>
    <row r="1075" spans="2:28">
      <c r="B1075" s="40"/>
      <c r="C1075" s="40"/>
      <c r="D1075" s="41"/>
      <c r="E1075" s="42"/>
      <c r="F1075" s="42"/>
      <c r="G1075" s="43"/>
      <c r="H1075" s="42" t="s">
        <v>155</v>
      </c>
      <c r="I1075" s="43"/>
      <c r="J1075" s="43"/>
      <c r="K1075" s="25" t="e">
        <f>VLOOKUP(J1075,Key!$E$2:$F$9,2,FALSE)</f>
        <v>#N/A</v>
      </c>
      <c r="L1075" s="42"/>
      <c r="M1075" s="43" t="s">
        <v>154</v>
      </c>
      <c r="N1075" s="42" t="s">
        <v>155</v>
      </c>
      <c r="O1075" s="43"/>
      <c r="P1075" s="43"/>
      <c r="Q1075" s="25" t="e">
        <f>VLOOKUP(P1075,Key!$E$2:$F$9,2,FALSE)</f>
        <v>#N/A</v>
      </c>
      <c r="R1075" s="25" t="e">
        <f t="shared" si="17"/>
        <v>#N/A</v>
      </c>
      <c r="S1075" s="58"/>
      <c r="T1075" s="58"/>
      <c r="U1075" s="43"/>
      <c r="V1075" s="43"/>
      <c r="W1075" s="58"/>
      <c r="X1075" s="58"/>
      <c r="Y1075" s="59"/>
      <c r="Z1075" s="60"/>
      <c r="AA1075" s="25"/>
      <c r="AB1075" s="25"/>
    </row>
    <row r="1076" spans="2:28">
      <c r="B1076" s="40"/>
      <c r="C1076" s="40"/>
      <c r="D1076" s="41"/>
      <c r="E1076" s="42"/>
      <c r="F1076" s="42"/>
      <c r="G1076" s="43"/>
      <c r="H1076" s="42" t="s">
        <v>155</v>
      </c>
      <c r="I1076" s="43"/>
      <c r="J1076" s="43"/>
      <c r="K1076" s="25" t="e">
        <f>VLOOKUP(J1076,Key!$E$2:$F$9,2,FALSE)</f>
        <v>#N/A</v>
      </c>
      <c r="L1076" s="42"/>
      <c r="M1076" s="43" t="s">
        <v>154</v>
      </c>
      <c r="N1076" s="42" t="s">
        <v>155</v>
      </c>
      <c r="O1076" s="43"/>
      <c r="P1076" s="43"/>
      <c r="Q1076" s="25" t="e">
        <f>VLOOKUP(P1076,Key!$E$2:$F$9,2,FALSE)</f>
        <v>#N/A</v>
      </c>
      <c r="R1076" s="25" t="e">
        <f t="shared" si="17"/>
        <v>#N/A</v>
      </c>
      <c r="S1076" s="58"/>
      <c r="T1076" s="58"/>
      <c r="U1076" s="43"/>
      <c r="V1076" s="43"/>
      <c r="W1076" s="58"/>
      <c r="X1076" s="58"/>
      <c r="Y1076" s="59"/>
      <c r="Z1076" s="60"/>
      <c r="AA1076" s="25"/>
      <c r="AB1076" s="25"/>
    </row>
    <row r="1077" spans="2:28">
      <c r="B1077" s="40"/>
      <c r="C1077" s="40"/>
      <c r="D1077" s="41"/>
      <c r="E1077" s="42"/>
      <c r="F1077" s="42"/>
      <c r="G1077" s="43"/>
      <c r="H1077" s="42" t="s">
        <v>155</v>
      </c>
      <c r="I1077" s="43"/>
      <c r="J1077" s="43"/>
      <c r="K1077" s="25" t="e">
        <f>VLOOKUP(J1077,Key!$E$2:$F$9,2,FALSE)</f>
        <v>#N/A</v>
      </c>
      <c r="L1077" s="42"/>
      <c r="M1077" s="43" t="s">
        <v>154</v>
      </c>
      <c r="N1077" s="42" t="s">
        <v>155</v>
      </c>
      <c r="O1077" s="43"/>
      <c r="P1077" s="43"/>
      <c r="Q1077" s="25" t="e">
        <f>VLOOKUP(P1077,Key!$E$2:$F$9,2,FALSE)</f>
        <v>#N/A</v>
      </c>
      <c r="R1077" s="25" t="e">
        <f t="shared" si="17"/>
        <v>#N/A</v>
      </c>
      <c r="S1077" s="58"/>
      <c r="T1077" s="58"/>
      <c r="U1077" s="43"/>
      <c r="V1077" s="43"/>
      <c r="W1077" s="58"/>
      <c r="X1077" s="58"/>
      <c r="Y1077" s="59"/>
      <c r="Z1077" s="60"/>
      <c r="AA1077" s="25"/>
      <c r="AB1077" s="25"/>
    </row>
    <row r="1078" spans="2:28">
      <c r="B1078" s="40"/>
      <c r="C1078" s="40"/>
      <c r="D1078" s="41"/>
      <c r="E1078" s="42"/>
      <c r="F1078" s="42"/>
      <c r="G1078" s="43"/>
      <c r="H1078" s="42" t="s">
        <v>155</v>
      </c>
      <c r="I1078" s="43"/>
      <c r="J1078" s="43"/>
      <c r="K1078" s="25" t="e">
        <f>VLOOKUP(J1078,Key!$E$2:$F$9,2,FALSE)</f>
        <v>#N/A</v>
      </c>
      <c r="L1078" s="42"/>
      <c r="M1078" s="43" t="s">
        <v>154</v>
      </c>
      <c r="N1078" s="42" t="s">
        <v>155</v>
      </c>
      <c r="O1078" s="43"/>
      <c r="P1078" s="43"/>
      <c r="Q1078" s="25" t="e">
        <f>VLOOKUP(P1078,Key!$E$2:$F$9,2,FALSE)</f>
        <v>#N/A</v>
      </c>
      <c r="R1078" s="25" t="e">
        <f t="shared" si="17"/>
        <v>#N/A</v>
      </c>
      <c r="S1078" s="58"/>
      <c r="T1078" s="58"/>
      <c r="U1078" s="43"/>
      <c r="V1078" s="43"/>
      <c r="W1078" s="58"/>
      <c r="X1078" s="58"/>
      <c r="Y1078" s="59"/>
      <c r="Z1078" s="60"/>
      <c r="AA1078" s="25"/>
      <c r="AB1078" s="25"/>
    </row>
    <row r="1079" spans="2:28">
      <c r="B1079" s="40"/>
      <c r="C1079" s="40"/>
      <c r="D1079" s="41"/>
      <c r="E1079" s="42"/>
      <c r="F1079" s="42"/>
      <c r="G1079" s="43"/>
      <c r="H1079" s="42" t="s">
        <v>155</v>
      </c>
      <c r="I1079" s="43"/>
      <c r="J1079" s="43"/>
      <c r="K1079" s="25" t="e">
        <f>VLOOKUP(J1079,Key!$E$2:$F$9,2,FALSE)</f>
        <v>#N/A</v>
      </c>
      <c r="L1079" s="42"/>
      <c r="M1079" s="43" t="s">
        <v>154</v>
      </c>
      <c r="N1079" s="42" t="s">
        <v>155</v>
      </c>
      <c r="O1079" s="43"/>
      <c r="P1079" s="43"/>
      <c r="Q1079" s="25" t="e">
        <f>VLOOKUP(P1079,Key!$E$2:$F$9,2,FALSE)</f>
        <v>#N/A</v>
      </c>
      <c r="R1079" s="25" t="e">
        <f t="shared" si="17"/>
        <v>#N/A</v>
      </c>
      <c r="S1079" s="58"/>
      <c r="T1079" s="58"/>
      <c r="U1079" s="43"/>
      <c r="V1079" s="43"/>
      <c r="W1079" s="58"/>
      <c r="X1079" s="58"/>
      <c r="Y1079" s="59"/>
      <c r="Z1079" s="60"/>
      <c r="AA1079" s="25"/>
      <c r="AB1079" s="25"/>
    </row>
    <row r="1080" spans="2:28">
      <c r="B1080" s="40"/>
      <c r="C1080" s="40"/>
      <c r="D1080" s="41"/>
      <c r="E1080" s="42"/>
      <c r="F1080" s="42"/>
      <c r="G1080" s="43"/>
      <c r="H1080" s="42" t="s">
        <v>155</v>
      </c>
      <c r="I1080" s="43"/>
      <c r="J1080" s="43"/>
      <c r="K1080" s="25" t="e">
        <f>VLOOKUP(J1080,Key!$E$2:$F$9,2,FALSE)</f>
        <v>#N/A</v>
      </c>
      <c r="L1080" s="42"/>
      <c r="M1080" s="43" t="s">
        <v>154</v>
      </c>
      <c r="N1080" s="42" t="s">
        <v>155</v>
      </c>
      <c r="O1080" s="43"/>
      <c r="P1080" s="43"/>
      <c r="Q1080" s="25" t="e">
        <f>VLOOKUP(P1080,Key!$E$2:$F$9,2,FALSE)</f>
        <v>#N/A</v>
      </c>
      <c r="R1080" s="25" t="e">
        <f t="shared" si="17"/>
        <v>#N/A</v>
      </c>
      <c r="S1080" s="58"/>
      <c r="T1080" s="58"/>
      <c r="U1080" s="43"/>
      <c r="V1080" s="43"/>
      <c r="W1080" s="58"/>
      <c r="X1080" s="58"/>
      <c r="Y1080" s="59"/>
      <c r="Z1080" s="60"/>
      <c r="AA1080" s="25"/>
      <c r="AB1080" s="25"/>
    </row>
    <row r="1081" spans="2:28">
      <c r="B1081" s="40"/>
      <c r="C1081" s="40"/>
      <c r="D1081" s="41"/>
      <c r="E1081" s="42"/>
      <c r="F1081" s="42"/>
      <c r="G1081" s="43"/>
      <c r="H1081" s="42" t="s">
        <v>155</v>
      </c>
      <c r="I1081" s="43"/>
      <c r="J1081" s="43"/>
      <c r="K1081" s="25" t="e">
        <f>VLOOKUP(J1081,Key!$E$2:$F$9,2,FALSE)</f>
        <v>#N/A</v>
      </c>
      <c r="L1081" s="42"/>
      <c r="M1081" s="43" t="s">
        <v>154</v>
      </c>
      <c r="N1081" s="42"/>
      <c r="O1081" s="43"/>
      <c r="P1081" s="43"/>
      <c r="Q1081" s="25" t="e">
        <f>VLOOKUP(P1081,Key!$E$2:$F$9,2,FALSE)</f>
        <v>#N/A</v>
      </c>
      <c r="R1081" s="25" t="e">
        <f t="shared" si="17"/>
        <v>#N/A</v>
      </c>
      <c r="S1081" s="58"/>
      <c r="T1081" s="58"/>
      <c r="U1081" s="43"/>
      <c r="V1081" s="43"/>
      <c r="W1081" s="58"/>
      <c r="X1081" s="58"/>
      <c r="Y1081" s="59"/>
      <c r="Z1081" s="60"/>
      <c r="AA1081" s="25"/>
      <c r="AB1081" s="25"/>
    </row>
    <row r="1082" spans="2:28">
      <c r="B1082" s="40"/>
      <c r="C1082" s="40"/>
      <c r="D1082" s="41"/>
      <c r="E1082" s="42"/>
      <c r="F1082" s="42"/>
      <c r="G1082" s="43"/>
      <c r="H1082" s="42" t="s">
        <v>155</v>
      </c>
      <c r="I1082" s="43"/>
      <c r="J1082" s="43"/>
      <c r="K1082" s="25" t="e">
        <f>VLOOKUP(J1082,Key!$E$2:$F$9,2,FALSE)</f>
        <v>#N/A</v>
      </c>
      <c r="L1082" s="42"/>
      <c r="M1082" s="43" t="s">
        <v>154</v>
      </c>
      <c r="N1082" s="42"/>
      <c r="O1082" s="43"/>
      <c r="P1082" s="43"/>
      <c r="Q1082" s="25" t="e">
        <f>VLOOKUP(P1082,Key!$E$2:$F$9,2,FALSE)</f>
        <v>#N/A</v>
      </c>
      <c r="R1082" s="25" t="e">
        <f t="shared" si="17"/>
        <v>#N/A</v>
      </c>
      <c r="S1082" s="58"/>
      <c r="T1082" s="58"/>
      <c r="U1082" s="43"/>
      <c r="V1082" s="43"/>
      <c r="W1082" s="58"/>
      <c r="X1082" s="58"/>
      <c r="Y1082" s="59"/>
      <c r="Z1082" s="60"/>
      <c r="AA1082" s="25"/>
      <c r="AB1082" s="25"/>
    </row>
    <row r="1083" spans="2:28">
      <c r="B1083" s="40"/>
      <c r="C1083" s="40"/>
      <c r="D1083" s="41"/>
      <c r="E1083" s="42"/>
      <c r="F1083" s="42"/>
      <c r="G1083" s="43"/>
      <c r="H1083" s="42" t="s">
        <v>155</v>
      </c>
      <c r="I1083" s="43"/>
      <c r="J1083" s="43"/>
      <c r="K1083" s="25" t="e">
        <f>VLOOKUP(J1083,Key!$E$2:$F$9,2,FALSE)</f>
        <v>#N/A</v>
      </c>
      <c r="L1083" s="42"/>
      <c r="M1083" s="43" t="s">
        <v>154</v>
      </c>
      <c r="N1083" s="42"/>
      <c r="O1083" s="43"/>
      <c r="P1083" s="43"/>
      <c r="Q1083" s="25" t="e">
        <f>VLOOKUP(P1083,Key!$E$2:$F$9,2,FALSE)</f>
        <v>#N/A</v>
      </c>
      <c r="R1083" s="25" t="e">
        <f t="shared" si="17"/>
        <v>#N/A</v>
      </c>
      <c r="S1083" s="58"/>
      <c r="T1083" s="58"/>
      <c r="U1083" s="43"/>
      <c r="V1083" s="43"/>
      <c r="W1083" s="58"/>
      <c r="X1083" s="58"/>
      <c r="Y1083" s="59"/>
      <c r="Z1083" s="60"/>
      <c r="AA1083" s="25"/>
      <c r="AB1083" s="25"/>
    </row>
    <row r="1084" spans="2:28">
      <c r="B1084" s="40"/>
      <c r="C1084" s="40"/>
      <c r="D1084" s="41"/>
      <c r="E1084" s="42"/>
      <c r="F1084" s="42"/>
      <c r="G1084" s="43"/>
      <c r="H1084" s="42" t="s">
        <v>155</v>
      </c>
      <c r="I1084" s="43"/>
      <c r="J1084" s="43"/>
      <c r="K1084" s="25" t="e">
        <f>VLOOKUP(J1084,Key!$E$2:$F$9,2,FALSE)</f>
        <v>#N/A</v>
      </c>
      <c r="L1084" s="42"/>
      <c r="M1084" s="43" t="s">
        <v>154</v>
      </c>
      <c r="N1084" s="42"/>
      <c r="O1084" s="43"/>
      <c r="P1084" s="43"/>
      <c r="Q1084" s="25" t="e">
        <f>VLOOKUP(P1084,Key!$E$2:$F$9,2,FALSE)</f>
        <v>#N/A</v>
      </c>
      <c r="R1084" s="25" t="e">
        <f t="shared" si="17"/>
        <v>#N/A</v>
      </c>
      <c r="S1084" s="58"/>
      <c r="T1084" s="58"/>
      <c r="U1084" s="43"/>
      <c r="V1084" s="43"/>
      <c r="W1084" s="58"/>
      <c r="X1084" s="58"/>
      <c r="Y1084" s="59"/>
      <c r="Z1084" s="60"/>
      <c r="AA1084" s="25"/>
      <c r="AB1084" s="25"/>
    </row>
    <row r="1085" spans="2:28">
      <c r="B1085" s="40"/>
      <c r="C1085" s="40"/>
      <c r="D1085" s="41"/>
      <c r="E1085" s="42"/>
      <c r="F1085" s="42"/>
      <c r="G1085" s="43"/>
      <c r="H1085" s="42" t="s">
        <v>155</v>
      </c>
      <c r="I1085" s="43"/>
      <c r="J1085" s="43"/>
      <c r="K1085" s="25" t="e">
        <f>VLOOKUP(J1085,Key!$E$2:$F$9,2,FALSE)</f>
        <v>#N/A</v>
      </c>
      <c r="L1085" s="42"/>
      <c r="M1085" s="43" t="s">
        <v>154</v>
      </c>
      <c r="N1085" s="42"/>
      <c r="O1085" s="43"/>
      <c r="P1085" s="43"/>
      <c r="Q1085" s="25" t="e">
        <f>VLOOKUP(P1085,Key!$E$2:$F$9,2,FALSE)</f>
        <v>#N/A</v>
      </c>
      <c r="R1085" s="25" t="e">
        <f t="shared" si="17"/>
        <v>#N/A</v>
      </c>
      <c r="S1085" s="58"/>
      <c r="T1085" s="58"/>
      <c r="U1085" s="43"/>
      <c r="V1085" s="43"/>
      <c r="W1085" s="58"/>
      <c r="X1085" s="58"/>
      <c r="Y1085" s="59"/>
      <c r="Z1085" s="60"/>
      <c r="AA1085" s="25"/>
      <c r="AB1085" s="25"/>
    </row>
    <row r="1086" spans="2:28">
      <c r="B1086" s="40"/>
      <c r="C1086" s="40"/>
      <c r="D1086" s="41"/>
      <c r="E1086" s="42"/>
      <c r="F1086" s="42"/>
      <c r="G1086" s="43"/>
      <c r="H1086" s="42" t="s">
        <v>155</v>
      </c>
      <c r="I1086" s="43"/>
      <c r="J1086" s="43"/>
      <c r="K1086" s="25" t="e">
        <f>VLOOKUP(J1086,Key!$E$2:$F$9,2,FALSE)</f>
        <v>#N/A</v>
      </c>
      <c r="L1086" s="42"/>
      <c r="M1086" s="43" t="s">
        <v>154</v>
      </c>
      <c r="N1086" s="42"/>
      <c r="O1086" s="43"/>
      <c r="P1086" s="43"/>
      <c r="Q1086" s="25" t="e">
        <f>VLOOKUP(P1086,Key!$E$2:$F$9,2,FALSE)</f>
        <v>#N/A</v>
      </c>
      <c r="R1086" s="25" t="e">
        <f t="shared" si="17"/>
        <v>#N/A</v>
      </c>
      <c r="S1086" s="58"/>
      <c r="T1086" s="58"/>
      <c r="U1086" s="43"/>
      <c r="V1086" s="43"/>
      <c r="W1086" s="58"/>
      <c r="X1086" s="58"/>
      <c r="Y1086" s="59"/>
      <c r="Z1086" s="60"/>
      <c r="AA1086" s="25"/>
      <c r="AB1086" s="25"/>
    </row>
    <row r="1087" spans="2:28">
      <c r="B1087" s="40"/>
      <c r="C1087" s="40"/>
      <c r="D1087" s="41"/>
      <c r="E1087" s="42"/>
      <c r="F1087" s="42"/>
      <c r="G1087" s="43"/>
      <c r="H1087" s="42"/>
      <c r="I1087" s="43"/>
      <c r="J1087" s="43"/>
      <c r="K1087" s="25" t="e">
        <f>VLOOKUP(J1087,Key!$E$2:$F$9,2,FALSE)</f>
        <v>#N/A</v>
      </c>
      <c r="L1087" s="42"/>
      <c r="M1087" s="43" t="s">
        <v>154</v>
      </c>
      <c r="N1087" s="42"/>
      <c r="O1087" s="43"/>
      <c r="P1087" s="43"/>
      <c r="Q1087" s="25" t="e">
        <f>VLOOKUP(P1087,Key!$E$2:$F$9,2,FALSE)</f>
        <v>#N/A</v>
      </c>
      <c r="R1087" s="25" t="e">
        <f t="shared" si="17"/>
        <v>#N/A</v>
      </c>
      <c r="S1087" s="58"/>
      <c r="T1087" s="58"/>
      <c r="U1087" s="43"/>
      <c r="V1087" s="43"/>
      <c r="W1087" s="58"/>
      <c r="X1087" s="58"/>
      <c r="Y1087" s="59"/>
      <c r="Z1087" s="60"/>
      <c r="AA1087" s="25"/>
      <c r="AB1087" s="25"/>
    </row>
    <row r="1088" spans="2:28">
      <c r="B1088" s="40"/>
      <c r="C1088" s="40"/>
      <c r="D1088" s="41"/>
      <c r="E1088" s="42"/>
      <c r="F1088" s="42"/>
      <c r="G1088" s="43"/>
      <c r="H1088" s="42"/>
      <c r="I1088" s="43"/>
      <c r="J1088" s="43"/>
      <c r="K1088" s="25" t="e">
        <f>VLOOKUP(J1088,Key!$E$2:$F$9,2,FALSE)</f>
        <v>#N/A</v>
      </c>
      <c r="L1088" s="42"/>
      <c r="M1088" s="43" t="s">
        <v>154</v>
      </c>
      <c r="N1088" s="42"/>
      <c r="O1088" s="43"/>
      <c r="P1088" s="43"/>
      <c r="Q1088" s="25" t="e">
        <f>VLOOKUP(P1088,Key!$E$2:$F$9,2,FALSE)</f>
        <v>#N/A</v>
      </c>
      <c r="R1088" s="25" t="e">
        <f t="shared" si="17"/>
        <v>#N/A</v>
      </c>
      <c r="S1088" s="58"/>
      <c r="T1088" s="58"/>
      <c r="U1088" s="43"/>
      <c r="V1088" s="43"/>
      <c r="W1088" s="58"/>
      <c r="X1088" s="58"/>
      <c r="Y1088" s="59"/>
      <c r="Z1088" s="60"/>
      <c r="AA1088" s="25"/>
      <c r="AB1088" s="25"/>
    </row>
    <row r="1089" spans="2:28">
      <c r="B1089" s="40"/>
      <c r="C1089" s="40"/>
      <c r="D1089" s="41"/>
      <c r="E1089" s="42"/>
      <c r="F1089" s="42"/>
      <c r="G1089" s="43"/>
      <c r="H1089" s="42"/>
      <c r="I1089" s="43"/>
      <c r="J1089" s="43"/>
      <c r="K1089" s="25" t="e">
        <f>VLOOKUP(J1089,Key!$E$2:$F$9,2,FALSE)</f>
        <v>#N/A</v>
      </c>
      <c r="L1089" s="42"/>
      <c r="M1089" s="43" t="s">
        <v>154</v>
      </c>
      <c r="N1089" s="42"/>
      <c r="O1089" s="43"/>
      <c r="P1089" s="43"/>
      <c r="Q1089" s="25" t="e">
        <f>VLOOKUP(P1089,Key!$E$2:$F$9,2,FALSE)</f>
        <v>#N/A</v>
      </c>
      <c r="R1089" s="25" t="e">
        <f t="shared" si="17"/>
        <v>#N/A</v>
      </c>
      <c r="S1089" s="58"/>
      <c r="T1089" s="58"/>
      <c r="U1089" s="43"/>
      <c r="V1089" s="43"/>
      <c r="W1089" s="58"/>
      <c r="X1089" s="58"/>
      <c r="Y1089" s="59"/>
      <c r="Z1089" s="60"/>
      <c r="AA1089" s="25"/>
      <c r="AB1089" s="25"/>
    </row>
    <row r="1090" spans="2:28">
      <c r="B1090" s="40"/>
      <c r="C1090" s="40"/>
      <c r="D1090" s="41"/>
      <c r="E1090" s="42"/>
      <c r="F1090" s="42"/>
      <c r="G1090" s="43"/>
      <c r="H1090" s="42"/>
      <c r="I1090" s="43"/>
      <c r="J1090" s="43"/>
      <c r="K1090" s="25" t="e">
        <f>VLOOKUP(J1090,Key!$E$2:$F$9,2,FALSE)</f>
        <v>#N/A</v>
      </c>
      <c r="L1090" s="42"/>
      <c r="M1090" s="43" t="s">
        <v>154</v>
      </c>
      <c r="N1090" s="42"/>
      <c r="O1090" s="43"/>
      <c r="P1090" s="43"/>
      <c r="Q1090" s="25" t="e">
        <f>VLOOKUP(P1090,Key!$E$2:$F$9,2,FALSE)</f>
        <v>#N/A</v>
      </c>
      <c r="R1090" s="25" t="e">
        <f t="shared" si="17"/>
        <v>#N/A</v>
      </c>
      <c r="S1090" s="58"/>
      <c r="T1090" s="58"/>
      <c r="U1090" s="43"/>
      <c r="V1090" s="43"/>
      <c r="W1090" s="58"/>
      <c r="X1090" s="58"/>
      <c r="Y1090" s="59"/>
      <c r="Z1090" s="60"/>
      <c r="AA1090" s="25"/>
      <c r="AB1090" s="25"/>
    </row>
    <row r="1091" spans="2:28">
      <c r="B1091" s="40"/>
      <c r="C1091" s="40"/>
      <c r="D1091" s="41"/>
      <c r="E1091" s="42"/>
      <c r="F1091" s="42"/>
      <c r="G1091" s="43"/>
      <c r="H1091" s="42"/>
      <c r="I1091" s="43"/>
      <c r="J1091" s="43"/>
      <c r="K1091" s="25" t="e">
        <f>VLOOKUP(J1091,Key!$E$2:$F$9,2,FALSE)</f>
        <v>#N/A</v>
      </c>
      <c r="L1091" s="42"/>
      <c r="M1091" s="43" t="s">
        <v>154</v>
      </c>
      <c r="N1091" s="42"/>
      <c r="O1091" s="43"/>
      <c r="P1091" s="43"/>
      <c r="Q1091" s="25" t="e">
        <f>VLOOKUP(P1091,Key!$E$2:$F$9,2,FALSE)</f>
        <v>#N/A</v>
      </c>
      <c r="R1091" s="25" t="e">
        <f t="shared" si="17"/>
        <v>#N/A</v>
      </c>
      <c r="S1091" s="58"/>
      <c r="T1091" s="58"/>
      <c r="U1091" s="43"/>
      <c r="V1091" s="43"/>
      <c r="W1091" s="58"/>
      <c r="X1091" s="58"/>
      <c r="Y1091" s="59"/>
      <c r="Z1091" s="60"/>
      <c r="AA1091" s="25"/>
      <c r="AB1091" s="25"/>
    </row>
    <row r="1092" spans="2:28">
      <c r="B1092" s="40"/>
      <c r="C1092" s="40"/>
      <c r="D1092" s="41"/>
      <c r="E1092" s="42"/>
      <c r="F1092" s="42"/>
      <c r="G1092" s="43"/>
      <c r="H1092" s="42"/>
      <c r="I1092" s="43"/>
      <c r="J1092" s="43"/>
      <c r="K1092" s="25" t="e">
        <f>VLOOKUP(J1092,Key!$E$2:$F$9,2,FALSE)</f>
        <v>#N/A</v>
      </c>
      <c r="L1092" s="42"/>
      <c r="M1092" s="43" t="s">
        <v>154</v>
      </c>
      <c r="N1092" s="42"/>
      <c r="O1092" s="43"/>
      <c r="P1092" s="43"/>
      <c r="Q1092" s="25" t="e">
        <f>VLOOKUP(P1092,Key!$E$2:$F$9,2,FALSE)</f>
        <v>#N/A</v>
      </c>
      <c r="R1092" s="25" t="e">
        <f t="shared" si="17"/>
        <v>#N/A</v>
      </c>
      <c r="S1092" s="58"/>
      <c r="T1092" s="58"/>
      <c r="U1092" s="43"/>
      <c r="V1092" s="43"/>
      <c r="W1092" s="58"/>
      <c r="X1092" s="58"/>
      <c r="Y1092" s="59"/>
      <c r="Z1092" s="60"/>
      <c r="AA1092" s="25"/>
      <c r="AB1092" s="25"/>
    </row>
    <row r="1093" spans="2:28">
      <c r="B1093" s="40"/>
      <c r="C1093" s="40"/>
      <c r="D1093" s="41"/>
      <c r="E1093" s="42"/>
      <c r="F1093" s="42"/>
      <c r="G1093" s="43"/>
      <c r="H1093" s="42"/>
      <c r="I1093" s="43"/>
      <c r="J1093" s="43"/>
      <c r="K1093" s="25" t="e">
        <f>VLOOKUP(J1093,Key!$E$2:$F$9,2,FALSE)</f>
        <v>#N/A</v>
      </c>
      <c r="L1093" s="42"/>
      <c r="M1093" s="43" t="s">
        <v>154</v>
      </c>
      <c r="N1093" s="42"/>
      <c r="O1093" s="43"/>
      <c r="P1093" s="43"/>
      <c r="Q1093" s="25" t="e">
        <f>VLOOKUP(P1093,Key!$E$2:$F$9,2,FALSE)</f>
        <v>#N/A</v>
      </c>
      <c r="R1093" s="25" t="e">
        <f t="shared" si="17"/>
        <v>#N/A</v>
      </c>
      <c r="S1093" s="58"/>
      <c r="T1093" s="58"/>
      <c r="U1093" s="43"/>
      <c r="V1093" s="43"/>
      <c r="W1093" s="58"/>
      <c r="X1093" s="58"/>
      <c r="Y1093" s="59"/>
      <c r="Z1093" s="60"/>
      <c r="AA1093" s="25"/>
      <c r="AB1093" s="25"/>
    </row>
    <row r="1094" spans="2:28">
      <c r="B1094" s="40"/>
      <c r="C1094" s="40"/>
      <c r="D1094" s="41"/>
      <c r="E1094" s="42"/>
      <c r="F1094" s="42"/>
      <c r="G1094" s="43"/>
      <c r="H1094" s="42"/>
      <c r="I1094" s="43"/>
      <c r="J1094" s="43"/>
      <c r="K1094" s="25" t="e">
        <f>VLOOKUP(J1094,Key!$E$2:$F$9,2,FALSE)</f>
        <v>#N/A</v>
      </c>
      <c r="L1094" s="42"/>
      <c r="M1094" s="43" t="s">
        <v>154</v>
      </c>
      <c r="N1094" s="42"/>
      <c r="O1094" s="43"/>
      <c r="P1094" s="43"/>
      <c r="Q1094" s="25" t="e">
        <f>VLOOKUP(P1094,Key!$E$2:$F$9,2,FALSE)</f>
        <v>#N/A</v>
      </c>
      <c r="R1094" s="25" t="e">
        <f t="shared" si="17"/>
        <v>#N/A</v>
      </c>
      <c r="S1094" s="58"/>
      <c r="T1094" s="58"/>
      <c r="U1094" s="43"/>
      <c r="V1094" s="43"/>
      <c r="W1094" s="58"/>
      <c r="X1094" s="58"/>
      <c r="Y1094" s="59"/>
      <c r="Z1094" s="60"/>
      <c r="AA1094" s="25"/>
      <c r="AB1094" s="25"/>
    </row>
    <row r="1095" spans="2:28">
      <c r="B1095" s="40"/>
      <c r="C1095" s="40"/>
      <c r="D1095" s="41"/>
      <c r="E1095" s="42"/>
      <c r="F1095" s="42"/>
      <c r="G1095" s="43"/>
      <c r="H1095" s="42"/>
      <c r="I1095" s="43"/>
      <c r="J1095" s="43"/>
      <c r="K1095" s="25" t="e">
        <f>VLOOKUP(J1095,Key!$E$2:$F$9,2,FALSE)</f>
        <v>#N/A</v>
      </c>
      <c r="L1095" s="42"/>
      <c r="M1095" s="43" t="s">
        <v>154</v>
      </c>
      <c r="N1095" s="42"/>
      <c r="O1095" s="43"/>
      <c r="P1095" s="43"/>
      <c r="Q1095" s="25" t="e">
        <f>VLOOKUP(P1095,Key!$E$2:$F$9,2,FALSE)</f>
        <v>#N/A</v>
      </c>
      <c r="R1095" s="25" t="e">
        <f t="shared" si="17"/>
        <v>#N/A</v>
      </c>
      <c r="S1095" s="58"/>
      <c r="T1095" s="58"/>
      <c r="U1095" s="43"/>
      <c r="V1095" s="43"/>
      <c r="W1095" s="58"/>
      <c r="X1095" s="58"/>
      <c r="Y1095" s="59"/>
      <c r="Z1095" s="60"/>
      <c r="AA1095" s="25"/>
      <c r="AB1095" s="25"/>
    </row>
    <row r="1096" spans="2:28">
      <c r="B1096" s="40"/>
      <c r="C1096" s="40"/>
      <c r="D1096" s="41"/>
      <c r="E1096" s="42"/>
      <c r="F1096" s="42"/>
      <c r="G1096" s="43"/>
      <c r="H1096" s="42"/>
      <c r="I1096" s="43"/>
      <c r="J1096" s="43"/>
      <c r="K1096" s="25" t="e">
        <f>VLOOKUP(J1096,Key!$E$2:$F$9,2,FALSE)</f>
        <v>#N/A</v>
      </c>
      <c r="L1096" s="42"/>
      <c r="M1096" s="43" t="s">
        <v>154</v>
      </c>
      <c r="N1096" s="42"/>
      <c r="O1096" s="43"/>
      <c r="P1096" s="43"/>
      <c r="Q1096" s="25" t="e">
        <f>VLOOKUP(P1096,Key!$E$2:$F$9,2,FALSE)</f>
        <v>#N/A</v>
      </c>
      <c r="R1096" s="25" t="e">
        <f t="shared" si="17"/>
        <v>#N/A</v>
      </c>
      <c r="S1096" s="58"/>
      <c r="T1096" s="58"/>
      <c r="U1096" s="43"/>
      <c r="V1096" s="43"/>
      <c r="W1096" s="58"/>
      <c r="X1096" s="58"/>
      <c r="Y1096" s="59"/>
      <c r="Z1096" s="60"/>
      <c r="AA1096" s="25"/>
      <c r="AB1096" s="25"/>
    </row>
    <row r="1097" spans="2:28">
      <c r="B1097" s="40"/>
      <c r="C1097" s="40"/>
      <c r="D1097" s="41"/>
      <c r="E1097" s="42"/>
      <c r="F1097" s="42"/>
      <c r="G1097" s="43"/>
      <c r="H1097" s="42"/>
      <c r="I1097" s="43"/>
      <c r="J1097" s="43"/>
      <c r="K1097" s="25" t="e">
        <f>VLOOKUP(J1097,Key!$E$2:$F$9,2,FALSE)</f>
        <v>#N/A</v>
      </c>
      <c r="L1097" s="42"/>
      <c r="M1097" s="43" t="s">
        <v>154</v>
      </c>
      <c r="N1097" s="42"/>
      <c r="O1097" s="43"/>
      <c r="P1097" s="43"/>
      <c r="Q1097" s="25" t="e">
        <f>VLOOKUP(P1097,Key!$E$2:$F$9,2,FALSE)</f>
        <v>#N/A</v>
      </c>
      <c r="R1097" s="25" t="e">
        <f t="shared" si="17"/>
        <v>#N/A</v>
      </c>
      <c r="S1097" s="58"/>
      <c r="T1097" s="58"/>
      <c r="U1097" s="43"/>
      <c r="V1097" s="43"/>
      <c r="W1097" s="58"/>
      <c r="X1097" s="58"/>
      <c r="Y1097" s="59"/>
      <c r="Z1097" s="60"/>
      <c r="AA1097" s="25"/>
      <c r="AB1097" s="25"/>
    </row>
    <row r="1098" spans="2:28">
      <c r="B1098" s="40"/>
      <c r="C1098" s="40"/>
      <c r="D1098" s="41"/>
      <c r="E1098" s="42"/>
      <c r="F1098" s="42"/>
      <c r="G1098" s="43"/>
      <c r="H1098" s="42"/>
      <c r="I1098" s="43"/>
      <c r="J1098" s="43"/>
      <c r="K1098" s="25" t="e">
        <f>VLOOKUP(J1098,Key!$E$2:$F$9,2,FALSE)</f>
        <v>#N/A</v>
      </c>
      <c r="L1098" s="42"/>
      <c r="M1098" s="43" t="s">
        <v>154</v>
      </c>
      <c r="N1098" s="42"/>
      <c r="O1098" s="43"/>
      <c r="P1098" s="43"/>
      <c r="Q1098" s="25" t="e">
        <f>VLOOKUP(P1098,Key!$E$2:$F$9,2,FALSE)</f>
        <v>#N/A</v>
      </c>
      <c r="R1098" s="25" t="e">
        <f t="shared" si="17"/>
        <v>#N/A</v>
      </c>
      <c r="S1098" s="58"/>
      <c r="T1098" s="58"/>
      <c r="U1098" s="43"/>
      <c r="V1098" s="43"/>
      <c r="W1098" s="58"/>
      <c r="X1098" s="58"/>
      <c r="Y1098" s="59"/>
      <c r="Z1098" s="60"/>
      <c r="AA1098" s="25"/>
      <c r="AB1098" s="25"/>
    </row>
    <row r="1099" spans="2:28">
      <c r="B1099" s="40"/>
      <c r="C1099" s="40"/>
      <c r="D1099" s="41"/>
      <c r="E1099" s="42"/>
      <c r="F1099" s="42"/>
      <c r="G1099" s="43"/>
      <c r="H1099" s="42"/>
      <c r="I1099" s="43"/>
      <c r="J1099" s="43"/>
      <c r="K1099" s="25" t="e">
        <f>VLOOKUP(J1099,Key!$E$2:$F$9,2,FALSE)</f>
        <v>#N/A</v>
      </c>
      <c r="L1099" s="42"/>
      <c r="M1099" s="43" t="s">
        <v>154</v>
      </c>
      <c r="N1099" s="42"/>
      <c r="O1099" s="43"/>
      <c r="P1099" s="43"/>
      <c r="Q1099" s="25" t="e">
        <f>VLOOKUP(P1099,Key!$E$2:$F$9,2,FALSE)</f>
        <v>#N/A</v>
      </c>
      <c r="R1099" s="25" t="e">
        <f t="shared" si="17"/>
        <v>#N/A</v>
      </c>
      <c r="S1099" s="58"/>
      <c r="T1099" s="58"/>
      <c r="U1099" s="43"/>
      <c r="V1099" s="43"/>
      <c r="W1099" s="58"/>
      <c r="X1099" s="58"/>
      <c r="Y1099" s="59"/>
      <c r="Z1099" s="60"/>
      <c r="AA1099" s="25"/>
      <c r="AB1099" s="25"/>
    </row>
    <row r="1100" spans="2:28">
      <c r="B1100" s="40"/>
      <c r="C1100" s="40"/>
      <c r="D1100" s="41"/>
      <c r="E1100" s="42"/>
      <c r="F1100" s="42"/>
      <c r="G1100" s="43"/>
      <c r="H1100" s="42"/>
      <c r="I1100" s="43"/>
      <c r="J1100" s="43"/>
      <c r="K1100" s="25" t="e">
        <f>VLOOKUP(J1100,Key!$E$2:$F$9,2,FALSE)</f>
        <v>#N/A</v>
      </c>
      <c r="L1100" s="42"/>
      <c r="M1100" s="43" t="s">
        <v>154</v>
      </c>
      <c r="N1100" s="42"/>
      <c r="O1100" s="43"/>
      <c r="P1100" s="43"/>
      <c r="Q1100" s="25" t="e">
        <f>VLOOKUP(P1100,Key!$E$2:$F$9,2,FALSE)</f>
        <v>#N/A</v>
      </c>
      <c r="R1100" s="25" t="e">
        <f t="shared" si="17"/>
        <v>#N/A</v>
      </c>
      <c r="S1100" s="58"/>
      <c r="T1100" s="58"/>
      <c r="U1100" s="43"/>
      <c r="V1100" s="43"/>
      <c r="W1100" s="58"/>
      <c r="X1100" s="58"/>
      <c r="Y1100" s="59"/>
      <c r="Z1100" s="60"/>
      <c r="AA1100" s="25"/>
      <c r="AB1100" s="25"/>
    </row>
    <row r="1101" spans="2:28">
      <c r="B1101" s="40"/>
      <c r="C1101" s="40"/>
      <c r="D1101" s="41"/>
      <c r="E1101" s="42"/>
      <c r="F1101" s="42"/>
      <c r="G1101" s="43"/>
      <c r="H1101" s="42"/>
      <c r="I1101" s="43"/>
      <c r="J1101" s="43"/>
      <c r="K1101" s="25" t="e">
        <f>VLOOKUP(J1101,Key!$E$2:$F$9,2,FALSE)</f>
        <v>#N/A</v>
      </c>
      <c r="L1101" s="42"/>
      <c r="M1101" s="43" t="s">
        <v>154</v>
      </c>
      <c r="N1101" s="42"/>
      <c r="O1101" s="43"/>
      <c r="P1101" s="43"/>
      <c r="Q1101" s="25" t="e">
        <f>VLOOKUP(P1101,Key!$E$2:$F$9,2,FALSE)</f>
        <v>#N/A</v>
      </c>
      <c r="R1101" s="25" t="e">
        <f t="shared" si="17"/>
        <v>#N/A</v>
      </c>
      <c r="S1101" s="58"/>
      <c r="T1101" s="58"/>
      <c r="U1101" s="43"/>
      <c r="V1101" s="43"/>
      <c r="W1101" s="58"/>
      <c r="X1101" s="58"/>
      <c r="Y1101" s="59"/>
      <c r="Z1101" s="60"/>
      <c r="AA1101" s="25"/>
      <c r="AB1101" s="25"/>
    </row>
    <row r="1102" spans="2:28">
      <c r="B1102" s="40"/>
      <c r="C1102" s="40"/>
      <c r="D1102" s="41"/>
      <c r="E1102" s="42"/>
      <c r="F1102" s="42"/>
      <c r="G1102" s="43"/>
      <c r="H1102" s="42"/>
      <c r="I1102" s="43"/>
      <c r="J1102" s="43"/>
      <c r="K1102" s="25" t="e">
        <f>VLOOKUP(J1102,Key!$E$2:$F$9,2,FALSE)</f>
        <v>#N/A</v>
      </c>
      <c r="L1102" s="42"/>
      <c r="M1102" s="43" t="s">
        <v>154</v>
      </c>
      <c r="N1102" s="42"/>
      <c r="O1102" s="43"/>
      <c r="P1102" s="43"/>
      <c r="Q1102" s="25" t="e">
        <f>VLOOKUP(P1102,Key!$E$2:$F$9,2,FALSE)</f>
        <v>#N/A</v>
      </c>
      <c r="R1102" s="25" t="e">
        <f t="shared" si="17"/>
        <v>#N/A</v>
      </c>
      <c r="S1102" s="58"/>
      <c r="T1102" s="58"/>
      <c r="U1102" s="43"/>
      <c r="V1102" s="43"/>
      <c r="W1102" s="58"/>
      <c r="X1102" s="58"/>
      <c r="Y1102" s="59"/>
      <c r="Z1102" s="60"/>
      <c r="AA1102" s="25"/>
      <c r="AB1102" s="25"/>
    </row>
    <row r="1103" spans="2:28">
      <c r="B1103" s="40"/>
      <c r="C1103" s="40"/>
      <c r="D1103" s="41"/>
      <c r="E1103" s="42"/>
      <c r="F1103" s="42"/>
      <c r="G1103" s="43"/>
      <c r="H1103" s="42"/>
      <c r="I1103" s="43"/>
      <c r="J1103" s="43"/>
      <c r="K1103" s="25" t="e">
        <f>VLOOKUP(J1103,Key!$E$2:$F$9,2,FALSE)</f>
        <v>#N/A</v>
      </c>
      <c r="L1103" s="42"/>
      <c r="M1103" s="43" t="s">
        <v>154</v>
      </c>
      <c r="N1103" s="42"/>
      <c r="O1103" s="43"/>
      <c r="P1103" s="43"/>
      <c r="Q1103" s="25" t="e">
        <f>VLOOKUP(P1103,Key!$E$2:$F$9,2,FALSE)</f>
        <v>#N/A</v>
      </c>
      <c r="R1103" s="25" t="e">
        <f t="shared" si="17"/>
        <v>#N/A</v>
      </c>
      <c r="S1103" s="58"/>
      <c r="T1103" s="58"/>
      <c r="U1103" s="43"/>
      <c r="V1103" s="43"/>
      <c r="W1103" s="58"/>
      <c r="X1103" s="58"/>
      <c r="Y1103" s="59"/>
      <c r="Z1103" s="60"/>
      <c r="AA1103" s="25"/>
      <c r="AB1103" s="25"/>
    </row>
    <row r="1104" spans="2:28">
      <c r="B1104" s="40"/>
      <c r="C1104" s="40"/>
      <c r="D1104" s="41"/>
      <c r="E1104" s="42"/>
      <c r="F1104" s="42"/>
      <c r="G1104" s="43"/>
      <c r="H1104" s="42"/>
      <c r="I1104" s="43"/>
      <c r="J1104" s="43"/>
      <c r="K1104" s="25" t="e">
        <f>VLOOKUP(J1104,Key!$E$2:$F$9,2,FALSE)</f>
        <v>#N/A</v>
      </c>
      <c r="L1104" s="42"/>
      <c r="M1104" s="43" t="s">
        <v>154</v>
      </c>
      <c r="N1104" s="42"/>
      <c r="O1104" s="43"/>
      <c r="P1104" s="43"/>
      <c r="Q1104" s="25" t="e">
        <f>VLOOKUP(P1104,Key!$E$2:$F$9,2,FALSE)</f>
        <v>#N/A</v>
      </c>
      <c r="R1104" s="25" t="e">
        <f t="shared" si="17"/>
        <v>#N/A</v>
      </c>
      <c r="S1104" s="58"/>
      <c r="T1104" s="58"/>
      <c r="U1104" s="43"/>
      <c r="V1104" s="43"/>
      <c r="W1104" s="58"/>
      <c r="X1104" s="58"/>
      <c r="Y1104" s="59"/>
      <c r="Z1104" s="60"/>
      <c r="AA1104" s="25"/>
      <c r="AB1104" s="25"/>
    </row>
    <row r="1105" spans="2:28">
      <c r="B1105" s="40"/>
      <c r="C1105" s="40"/>
      <c r="D1105" s="41"/>
      <c r="E1105" s="42"/>
      <c r="F1105" s="42"/>
      <c r="G1105" s="43"/>
      <c r="H1105" s="42"/>
      <c r="I1105" s="43"/>
      <c r="J1105" s="43"/>
      <c r="K1105" s="25" t="e">
        <f>VLOOKUP(J1105,Key!$E$2:$F$9,2,FALSE)</f>
        <v>#N/A</v>
      </c>
      <c r="L1105" s="42"/>
      <c r="M1105" s="43" t="s">
        <v>154</v>
      </c>
      <c r="N1105" s="42"/>
      <c r="O1105" s="43"/>
      <c r="P1105" s="43"/>
      <c r="Q1105" s="25" t="e">
        <f>VLOOKUP(P1105,Key!$E$2:$F$9,2,FALSE)</f>
        <v>#N/A</v>
      </c>
      <c r="R1105" s="25" t="e">
        <f t="shared" si="17"/>
        <v>#N/A</v>
      </c>
      <c r="S1105" s="58"/>
      <c r="T1105" s="58"/>
      <c r="U1105" s="43"/>
      <c r="V1105" s="43"/>
      <c r="W1105" s="58"/>
      <c r="X1105" s="58"/>
      <c r="Y1105" s="59"/>
      <c r="Z1105" s="60"/>
      <c r="AA1105" s="25"/>
      <c r="AB1105" s="25"/>
    </row>
    <row r="1106" spans="2:28">
      <c r="B1106" s="40"/>
      <c r="C1106" s="40"/>
      <c r="D1106" s="41"/>
      <c r="E1106" s="42"/>
      <c r="F1106" s="42"/>
      <c r="G1106" s="43"/>
      <c r="H1106" s="42"/>
      <c r="I1106" s="43"/>
      <c r="J1106" s="43"/>
      <c r="K1106" s="25" t="e">
        <f>VLOOKUP(J1106,Key!$E$2:$F$9,2,FALSE)</f>
        <v>#N/A</v>
      </c>
      <c r="L1106" s="42"/>
      <c r="M1106" s="43" t="s">
        <v>154</v>
      </c>
      <c r="N1106" s="42"/>
      <c r="O1106" s="43"/>
      <c r="P1106" s="43"/>
      <c r="Q1106" s="25" t="e">
        <f>VLOOKUP(P1106,Key!$E$2:$F$9,2,FALSE)</f>
        <v>#N/A</v>
      </c>
      <c r="R1106" s="25" t="e">
        <f t="shared" si="17"/>
        <v>#N/A</v>
      </c>
      <c r="S1106" s="58"/>
      <c r="T1106" s="58"/>
      <c r="U1106" s="43"/>
      <c r="V1106" s="43"/>
      <c r="W1106" s="58"/>
      <c r="X1106" s="58"/>
      <c r="Y1106" s="59"/>
      <c r="Z1106" s="60"/>
      <c r="AA1106" s="25"/>
      <c r="AB1106" s="25"/>
    </row>
    <row r="1107" spans="2:28">
      <c r="B1107" s="40"/>
      <c r="C1107" s="40"/>
      <c r="D1107" s="41"/>
      <c r="E1107" s="42"/>
      <c r="F1107" s="42"/>
      <c r="G1107" s="43"/>
      <c r="H1107" s="42"/>
      <c r="I1107" s="43"/>
      <c r="J1107" s="43"/>
      <c r="K1107" s="25" t="e">
        <f>VLOOKUP(J1107,Key!$E$2:$F$9,2,FALSE)</f>
        <v>#N/A</v>
      </c>
      <c r="L1107" s="42"/>
      <c r="M1107" s="43" t="s">
        <v>154</v>
      </c>
      <c r="N1107" s="42"/>
      <c r="O1107" s="43"/>
      <c r="P1107" s="43"/>
      <c r="Q1107" s="25" t="e">
        <f>VLOOKUP(P1107,Key!$E$2:$F$9,2,FALSE)</f>
        <v>#N/A</v>
      </c>
      <c r="R1107" s="25" t="e">
        <f t="shared" si="17"/>
        <v>#N/A</v>
      </c>
      <c r="S1107" s="58"/>
      <c r="T1107" s="58"/>
      <c r="U1107" s="43"/>
      <c r="V1107" s="43"/>
      <c r="W1107" s="58"/>
      <c r="X1107" s="58"/>
      <c r="Y1107" s="59"/>
      <c r="Z1107" s="60"/>
      <c r="AA1107" s="25"/>
      <c r="AB1107" s="25"/>
    </row>
    <row r="1108" spans="2:28">
      <c r="B1108" s="40"/>
      <c r="C1108" s="40"/>
      <c r="D1108" s="41"/>
      <c r="E1108" s="42"/>
      <c r="F1108" s="42"/>
      <c r="G1108" s="43"/>
      <c r="H1108" s="42"/>
      <c r="I1108" s="43"/>
      <c r="J1108" s="43"/>
      <c r="K1108" s="25" t="e">
        <f>VLOOKUP(J1108,Key!$E$2:$F$9,2,FALSE)</f>
        <v>#N/A</v>
      </c>
      <c r="L1108" s="42"/>
      <c r="M1108" s="43" t="s">
        <v>154</v>
      </c>
      <c r="N1108" s="42"/>
      <c r="O1108" s="43"/>
      <c r="P1108" s="43"/>
      <c r="Q1108" s="25" t="e">
        <f>VLOOKUP(P1108,Key!$E$2:$F$9,2,FALSE)</f>
        <v>#N/A</v>
      </c>
      <c r="R1108" s="25" t="e">
        <f t="shared" si="17"/>
        <v>#N/A</v>
      </c>
      <c r="S1108" s="58"/>
      <c r="T1108" s="58"/>
      <c r="U1108" s="43"/>
      <c r="V1108" s="43"/>
      <c r="W1108" s="58"/>
      <c r="X1108" s="58"/>
      <c r="Y1108" s="59"/>
      <c r="Z1108" s="60"/>
      <c r="AA1108" s="25"/>
      <c r="AB1108" s="25"/>
    </row>
    <row r="1109" spans="2:28">
      <c r="B1109" s="40"/>
      <c r="C1109" s="40"/>
      <c r="D1109" s="41"/>
      <c r="E1109" s="42"/>
      <c r="F1109" s="42"/>
      <c r="G1109" s="43"/>
      <c r="H1109" s="42"/>
      <c r="I1109" s="43"/>
      <c r="J1109" s="43"/>
      <c r="K1109" s="25" t="e">
        <f>VLOOKUP(J1109,Key!$E$2:$F$9,2,FALSE)</f>
        <v>#N/A</v>
      </c>
      <c r="L1109" s="42"/>
      <c r="M1109" s="43" t="s">
        <v>154</v>
      </c>
      <c r="N1109" s="42"/>
      <c r="O1109" s="43"/>
      <c r="P1109" s="43"/>
      <c r="Q1109" s="25" t="e">
        <f>VLOOKUP(P1109,Key!$E$2:$F$9,2,FALSE)</f>
        <v>#N/A</v>
      </c>
      <c r="R1109" s="25" t="e">
        <f t="shared" si="17"/>
        <v>#N/A</v>
      </c>
      <c r="S1109" s="58"/>
      <c r="T1109" s="58"/>
      <c r="U1109" s="43"/>
      <c r="V1109" s="43"/>
      <c r="W1109" s="58"/>
      <c r="X1109" s="58"/>
      <c r="Y1109" s="59"/>
      <c r="Z1109" s="60"/>
      <c r="AA1109" s="25"/>
      <c r="AB1109" s="25"/>
    </row>
    <row r="1110" spans="2:28">
      <c r="B1110" s="40"/>
      <c r="C1110" s="40"/>
      <c r="D1110" s="41"/>
      <c r="E1110" s="42"/>
      <c r="F1110" s="42"/>
      <c r="G1110" s="43"/>
      <c r="H1110" s="42"/>
      <c r="I1110" s="43"/>
      <c r="J1110" s="43"/>
      <c r="K1110" s="25" t="e">
        <f>VLOOKUP(J1110,Key!$E$2:$F$9,2,FALSE)</f>
        <v>#N/A</v>
      </c>
      <c r="L1110" s="42"/>
      <c r="M1110" s="43" t="s">
        <v>154</v>
      </c>
      <c r="N1110" s="42"/>
      <c r="O1110" s="43"/>
      <c r="P1110" s="43"/>
      <c r="Q1110" s="25" t="e">
        <f>VLOOKUP(P1110,Key!$E$2:$F$9,2,FALSE)</f>
        <v>#N/A</v>
      </c>
      <c r="R1110" s="25" t="e">
        <f t="shared" si="17"/>
        <v>#N/A</v>
      </c>
      <c r="S1110" s="58"/>
      <c r="T1110" s="58"/>
      <c r="U1110" s="43"/>
      <c r="V1110" s="43"/>
      <c r="W1110" s="58"/>
      <c r="X1110" s="58"/>
      <c r="Y1110" s="59"/>
      <c r="Z1110" s="60"/>
      <c r="AA1110" s="25"/>
      <c r="AB1110" s="25"/>
    </row>
    <row r="1111" spans="2:28">
      <c r="B1111" s="40"/>
      <c r="C1111" s="40"/>
      <c r="D1111" s="41"/>
      <c r="E1111" s="42"/>
      <c r="F1111" s="42"/>
      <c r="G1111" s="43"/>
      <c r="H1111" s="42"/>
      <c r="I1111" s="43"/>
      <c r="J1111" s="43"/>
      <c r="K1111" s="25" t="e">
        <f>VLOOKUP(J1111,Key!$E$2:$F$9,2,FALSE)</f>
        <v>#N/A</v>
      </c>
      <c r="L1111" s="42"/>
      <c r="M1111" s="43" t="s">
        <v>154</v>
      </c>
      <c r="N1111" s="42"/>
      <c r="O1111" s="43"/>
      <c r="P1111" s="43"/>
      <c r="Q1111" s="25" t="e">
        <f>VLOOKUP(P1111,Key!$E$2:$F$9,2,FALSE)</f>
        <v>#N/A</v>
      </c>
      <c r="R1111" s="25" t="e">
        <f t="shared" si="17"/>
        <v>#N/A</v>
      </c>
      <c r="S1111" s="58"/>
      <c r="T1111" s="58"/>
      <c r="U1111" s="43"/>
      <c r="V1111" s="43"/>
      <c r="W1111" s="58"/>
      <c r="X1111" s="58"/>
      <c r="Y1111" s="59"/>
      <c r="Z1111" s="60"/>
      <c r="AA1111" s="25"/>
      <c r="AB1111" s="25"/>
    </row>
    <row r="1112" spans="2:28">
      <c r="B1112" s="40"/>
      <c r="C1112" s="40"/>
      <c r="D1112" s="41"/>
      <c r="E1112" s="42"/>
      <c r="F1112" s="42"/>
      <c r="G1112" s="43"/>
      <c r="H1112" s="42"/>
      <c r="I1112" s="43"/>
      <c r="J1112" s="43"/>
      <c r="K1112" s="25" t="e">
        <f>VLOOKUP(J1112,Key!$E$2:$F$9,2,FALSE)</f>
        <v>#N/A</v>
      </c>
      <c r="L1112" s="42"/>
      <c r="M1112" s="43" t="s">
        <v>154</v>
      </c>
      <c r="N1112" s="42"/>
      <c r="O1112" s="43"/>
      <c r="P1112" s="43"/>
      <c r="Q1112" s="25" t="e">
        <f>VLOOKUP(P1112,Key!$E$2:$F$9,2,FALSE)</f>
        <v>#N/A</v>
      </c>
      <c r="R1112" s="25" t="e">
        <f t="shared" si="17"/>
        <v>#N/A</v>
      </c>
      <c r="S1112" s="58"/>
      <c r="T1112" s="58"/>
      <c r="U1112" s="43"/>
      <c r="V1112" s="43"/>
      <c r="W1112" s="58"/>
      <c r="X1112" s="58"/>
      <c r="Y1112" s="59"/>
      <c r="Z1112" s="60"/>
      <c r="AA1112" s="25"/>
      <c r="AB1112" s="25"/>
    </row>
    <row r="1113" spans="2:28">
      <c r="B1113" s="40"/>
      <c r="C1113" s="40"/>
      <c r="D1113" s="41"/>
      <c r="E1113" s="42"/>
      <c r="F1113" s="42"/>
      <c r="G1113" s="43"/>
      <c r="H1113" s="42"/>
      <c r="I1113" s="43"/>
      <c r="J1113" s="43"/>
      <c r="K1113" s="25" t="e">
        <f>VLOOKUP(J1113,Key!$E$2:$F$9,2,FALSE)</f>
        <v>#N/A</v>
      </c>
      <c r="L1113" s="42"/>
      <c r="M1113" s="43" t="s">
        <v>154</v>
      </c>
      <c r="N1113" s="42"/>
      <c r="O1113" s="43"/>
      <c r="P1113" s="43"/>
      <c r="Q1113" s="25" t="e">
        <f>VLOOKUP(P1113,Key!$E$2:$F$9,2,FALSE)</f>
        <v>#N/A</v>
      </c>
      <c r="R1113" s="25" t="e">
        <f t="shared" si="17"/>
        <v>#N/A</v>
      </c>
      <c r="S1113" s="58"/>
      <c r="T1113" s="58"/>
      <c r="U1113" s="43"/>
      <c r="V1113" s="43"/>
      <c r="W1113" s="58"/>
      <c r="X1113" s="58"/>
      <c r="Y1113" s="59"/>
      <c r="Z1113" s="60"/>
      <c r="AA1113" s="25"/>
      <c r="AB1113" s="25"/>
    </row>
    <row r="1114" spans="2:28">
      <c r="B1114" s="40"/>
      <c r="C1114" s="40"/>
      <c r="D1114" s="41"/>
      <c r="E1114" s="42"/>
      <c r="F1114" s="42"/>
      <c r="G1114" s="43"/>
      <c r="H1114" s="42"/>
      <c r="I1114" s="43"/>
      <c r="J1114" s="43"/>
      <c r="K1114" s="25" t="e">
        <f>VLOOKUP(J1114,Key!$E$2:$F$9,2,FALSE)</f>
        <v>#N/A</v>
      </c>
      <c r="L1114" s="42"/>
      <c r="M1114" s="43" t="s">
        <v>154</v>
      </c>
      <c r="N1114" s="42"/>
      <c r="O1114" s="43"/>
      <c r="P1114" s="43"/>
      <c r="Q1114" s="25" t="e">
        <f>VLOOKUP(P1114,Key!$E$2:$F$9,2,FALSE)</f>
        <v>#N/A</v>
      </c>
      <c r="R1114" s="25" t="e">
        <f t="shared" si="17"/>
        <v>#N/A</v>
      </c>
      <c r="S1114" s="58"/>
      <c r="T1114" s="58"/>
      <c r="U1114" s="43"/>
      <c r="V1114" s="43"/>
      <c r="W1114" s="58"/>
      <c r="X1114" s="58"/>
      <c r="Y1114" s="59"/>
      <c r="Z1114" s="60"/>
      <c r="AA1114" s="25"/>
      <c r="AB1114" s="25"/>
    </row>
    <row r="1115" spans="2:28">
      <c r="B1115" s="40"/>
      <c r="C1115" s="40"/>
      <c r="D1115" s="41"/>
      <c r="E1115" s="42"/>
      <c r="F1115" s="42"/>
      <c r="G1115" s="43"/>
      <c r="H1115" s="42"/>
      <c r="I1115" s="43"/>
      <c r="J1115" s="43"/>
      <c r="K1115" s="25" t="e">
        <f>VLOOKUP(J1115,Key!$E$2:$F$9,2,FALSE)</f>
        <v>#N/A</v>
      </c>
      <c r="L1115" s="42"/>
      <c r="M1115" s="43" t="s">
        <v>154</v>
      </c>
      <c r="N1115" s="42"/>
      <c r="O1115" s="43"/>
      <c r="P1115" s="43"/>
      <c r="Q1115" s="25" t="e">
        <f>VLOOKUP(P1115,Key!$E$2:$F$9,2,FALSE)</f>
        <v>#N/A</v>
      </c>
      <c r="R1115" s="25" t="e">
        <f t="shared" si="17"/>
        <v>#N/A</v>
      </c>
      <c r="S1115" s="58"/>
      <c r="T1115" s="58"/>
      <c r="U1115" s="43"/>
      <c r="V1115" s="43"/>
      <c r="W1115" s="58"/>
      <c r="X1115" s="58"/>
      <c r="Y1115" s="59"/>
      <c r="Z1115" s="60"/>
      <c r="AA1115" s="25"/>
      <c r="AB1115" s="25"/>
    </row>
    <row r="1116" spans="2:28">
      <c r="B1116" s="40"/>
      <c r="C1116" s="40"/>
      <c r="D1116" s="41"/>
      <c r="E1116" s="42"/>
      <c r="F1116" s="42"/>
      <c r="G1116" s="43"/>
      <c r="H1116" s="42"/>
      <c r="I1116" s="43"/>
      <c r="J1116" s="43"/>
      <c r="K1116" s="25" t="e">
        <f>VLOOKUP(J1116,Key!$E$2:$F$9,2,FALSE)</f>
        <v>#N/A</v>
      </c>
      <c r="L1116" s="42"/>
      <c r="M1116" s="43" t="s">
        <v>154</v>
      </c>
      <c r="N1116" s="42"/>
      <c r="O1116" s="43"/>
      <c r="P1116" s="43"/>
      <c r="Q1116" s="25" t="e">
        <f>VLOOKUP(P1116,Key!$E$2:$F$9,2,FALSE)</f>
        <v>#N/A</v>
      </c>
      <c r="R1116" s="25" t="e">
        <f t="shared" si="17"/>
        <v>#N/A</v>
      </c>
      <c r="S1116" s="58"/>
      <c r="T1116" s="58"/>
      <c r="U1116" s="43"/>
      <c r="V1116" s="43"/>
      <c r="W1116" s="58"/>
      <c r="X1116" s="58"/>
      <c r="Y1116" s="59"/>
      <c r="Z1116" s="60"/>
      <c r="AA1116" s="25"/>
      <c r="AB1116" s="25"/>
    </row>
    <row r="1117" spans="2:28">
      <c r="B1117" s="40"/>
      <c r="C1117" s="40"/>
      <c r="D1117" s="41"/>
      <c r="E1117" s="42"/>
      <c r="F1117" s="42"/>
      <c r="G1117" s="43"/>
      <c r="H1117" s="42"/>
      <c r="I1117" s="43"/>
      <c r="J1117" s="43"/>
      <c r="K1117" s="25" t="e">
        <f>VLOOKUP(J1117,Key!$E$2:$F$9,2,FALSE)</f>
        <v>#N/A</v>
      </c>
      <c r="L1117" s="42"/>
      <c r="M1117" s="43" t="s">
        <v>154</v>
      </c>
      <c r="N1117" s="42"/>
      <c r="O1117" s="43"/>
      <c r="P1117" s="43"/>
      <c r="Q1117" s="25" t="e">
        <f>VLOOKUP(P1117,Key!$E$2:$F$9,2,FALSE)</f>
        <v>#N/A</v>
      </c>
      <c r="R1117" s="25" t="e">
        <f t="shared" si="17"/>
        <v>#N/A</v>
      </c>
      <c r="S1117" s="58"/>
      <c r="T1117" s="58"/>
      <c r="U1117" s="43"/>
      <c r="V1117" s="43"/>
      <c r="W1117" s="58"/>
      <c r="X1117" s="58"/>
      <c r="Y1117" s="59"/>
      <c r="Z1117" s="60"/>
      <c r="AA1117" s="25"/>
      <c r="AB1117" s="25"/>
    </row>
    <row r="1118" spans="2:28">
      <c r="B1118" s="40"/>
      <c r="C1118" s="40"/>
      <c r="D1118" s="41"/>
      <c r="E1118" s="42"/>
      <c r="F1118" s="42"/>
      <c r="G1118" s="43"/>
      <c r="H1118" s="42"/>
      <c r="I1118" s="43"/>
      <c r="J1118" s="43"/>
      <c r="K1118" s="25" t="e">
        <f>VLOOKUP(J1118,Key!$E$2:$F$9,2,FALSE)</f>
        <v>#N/A</v>
      </c>
      <c r="L1118" s="42"/>
      <c r="M1118" s="43" t="s">
        <v>154</v>
      </c>
      <c r="N1118" s="42"/>
      <c r="O1118" s="43"/>
      <c r="P1118" s="43"/>
      <c r="Q1118" s="25" t="e">
        <f>VLOOKUP(P1118,Key!$E$2:$F$9,2,FALSE)</f>
        <v>#N/A</v>
      </c>
      <c r="R1118" s="25" t="e">
        <f t="shared" si="17"/>
        <v>#N/A</v>
      </c>
      <c r="S1118" s="58"/>
      <c r="T1118" s="58"/>
      <c r="U1118" s="43"/>
      <c r="V1118" s="43"/>
      <c r="W1118" s="58"/>
      <c r="X1118" s="58"/>
      <c r="Y1118" s="59"/>
      <c r="Z1118" s="60"/>
      <c r="AA1118" s="25"/>
      <c r="AB1118" s="25"/>
    </row>
    <row r="1119" spans="2:28">
      <c r="B1119" s="40"/>
      <c r="C1119" s="40"/>
      <c r="D1119" s="41"/>
      <c r="E1119" s="42"/>
      <c r="F1119" s="42"/>
      <c r="G1119" s="43"/>
      <c r="H1119" s="42"/>
      <c r="I1119" s="43"/>
      <c r="J1119" s="43"/>
      <c r="K1119" s="25" t="e">
        <f>VLOOKUP(J1119,Key!$E$2:$F$9,2,FALSE)</f>
        <v>#N/A</v>
      </c>
      <c r="L1119" s="42"/>
      <c r="M1119" s="43" t="s">
        <v>154</v>
      </c>
      <c r="N1119" s="42"/>
      <c r="O1119" s="43"/>
      <c r="P1119" s="43"/>
      <c r="Q1119" s="25" t="e">
        <f>VLOOKUP(P1119,Key!$E$2:$F$9,2,FALSE)</f>
        <v>#N/A</v>
      </c>
      <c r="R1119" s="25" t="e">
        <f t="shared" si="17"/>
        <v>#N/A</v>
      </c>
      <c r="S1119" s="58"/>
      <c r="T1119" s="58"/>
      <c r="U1119" s="43"/>
      <c r="V1119" s="43"/>
      <c r="W1119" s="58"/>
      <c r="X1119" s="58"/>
      <c r="Y1119" s="59"/>
      <c r="Z1119" s="60"/>
      <c r="AA1119" s="25"/>
      <c r="AB1119" s="25"/>
    </row>
    <row r="1120" spans="2:28">
      <c r="B1120" s="40"/>
      <c r="C1120" s="40"/>
      <c r="D1120" s="41"/>
      <c r="E1120" s="42"/>
      <c r="F1120" s="42"/>
      <c r="G1120" s="43"/>
      <c r="H1120" s="42"/>
      <c r="I1120" s="43"/>
      <c r="J1120" s="43"/>
      <c r="K1120" s="25" t="e">
        <f>VLOOKUP(J1120,Key!$E$2:$F$9,2,FALSE)</f>
        <v>#N/A</v>
      </c>
      <c r="L1120" s="42"/>
      <c r="M1120" s="43" t="s">
        <v>154</v>
      </c>
      <c r="N1120" s="42"/>
      <c r="O1120" s="43"/>
      <c r="P1120" s="43"/>
      <c r="Q1120" s="25" t="e">
        <f>VLOOKUP(P1120,Key!$E$2:$F$9,2,FALSE)</f>
        <v>#N/A</v>
      </c>
      <c r="R1120" s="25" t="e">
        <f t="shared" si="17"/>
        <v>#N/A</v>
      </c>
      <c r="S1120" s="58"/>
      <c r="T1120" s="58"/>
      <c r="U1120" s="43"/>
      <c r="V1120" s="43"/>
      <c r="W1120" s="58"/>
      <c r="X1120" s="58"/>
      <c r="Y1120" s="59"/>
      <c r="Z1120" s="60"/>
      <c r="AA1120" s="25"/>
      <c r="AB1120" s="25"/>
    </row>
    <row r="1121" spans="2:28">
      <c r="B1121" s="40"/>
      <c r="C1121" s="40"/>
      <c r="D1121" s="41"/>
      <c r="E1121" s="42"/>
      <c r="F1121" s="42"/>
      <c r="G1121" s="43"/>
      <c r="H1121" s="42"/>
      <c r="I1121" s="43"/>
      <c r="J1121" s="43"/>
      <c r="K1121" s="25" t="e">
        <f>VLOOKUP(J1121,Key!$E$2:$F$9,2,FALSE)</f>
        <v>#N/A</v>
      </c>
      <c r="L1121" s="42"/>
      <c r="M1121" s="43" t="s">
        <v>154</v>
      </c>
      <c r="N1121" s="42"/>
      <c r="O1121" s="43"/>
      <c r="P1121" s="43"/>
      <c r="Q1121" s="25" t="e">
        <f>VLOOKUP(P1121,Key!$E$2:$F$9,2,FALSE)</f>
        <v>#N/A</v>
      </c>
      <c r="R1121" s="25" t="e">
        <f t="shared" si="17"/>
        <v>#N/A</v>
      </c>
      <c r="S1121" s="58"/>
      <c r="T1121" s="58"/>
      <c r="U1121" s="43"/>
      <c r="V1121" s="43"/>
      <c r="W1121" s="58"/>
      <c r="X1121" s="58"/>
      <c r="Y1121" s="59"/>
      <c r="Z1121" s="60"/>
      <c r="AA1121" s="25"/>
      <c r="AB1121" s="25"/>
    </row>
    <row r="1122" spans="2:28">
      <c r="B1122" s="40"/>
      <c r="C1122" s="40"/>
      <c r="D1122" s="41"/>
      <c r="E1122" s="42"/>
      <c r="F1122" s="42"/>
      <c r="G1122" s="43"/>
      <c r="H1122" s="42"/>
      <c r="I1122" s="43"/>
      <c r="J1122" s="43"/>
      <c r="K1122" s="25" t="e">
        <f>VLOOKUP(J1122,Key!$E$2:$F$9,2,FALSE)</f>
        <v>#N/A</v>
      </c>
      <c r="L1122" s="42"/>
      <c r="M1122" s="43" t="s">
        <v>154</v>
      </c>
      <c r="N1122" s="42"/>
      <c r="O1122" s="43"/>
      <c r="P1122" s="43"/>
      <c r="Q1122" s="25" t="e">
        <f>VLOOKUP(P1122,Key!$E$2:$F$9,2,FALSE)</f>
        <v>#N/A</v>
      </c>
      <c r="R1122" s="25" t="e">
        <f t="shared" si="17"/>
        <v>#N/A</v>
      </c>
      <c r="S1122" s="58"/>
      <c r="T1122" s="58"/>
      <c r="U1122" s="43"/>
      <c r="V1122" s="43"/>
      <c r="W1122" s="58"/>
      <c r="X1122" s="58"/>
      <c r="Y1122" s="59"/>
      <c r="Z1122" s="60"/>
      <c r="AA1122" s="25"/>
      <c r="AB1122" s="25"/>
    </row>
    <row r="1123" spans="2:28">
      <c r="B1123" s="40"/>
      <c r="C1123" s="40"/>
      <c r="D1123" s="41"/>
      <c r="E1123" s="42"/>
      <c r="F1123" s="42"/>
      <c r="G1123" s="43"/>
      <c r="H1123" s="42"/>
      <c r="I1123" s="43"/>
      <c r="J1123" s="43"/>
      <c r="K1123" s="25" t="e">
        <f>VLOOKUP(J1123,Key!$E$2:$F$9,2,FALSE)</f>
        <v>#N/A</v>
      </c>
      <c r="L1123" s="42"/>
      <c r="M1123" s="43" t="s">
        <v>154</v>
      </c>
      <c r="N1123" s="42"/>
      <c r="O1123" s="43"/>
      <c r="P1123" s="43"/>
      <c r="Q1123" s="25" t="e">
        <f>VLOOKUP(P1123,Key!$E$2:$F$9,2,FALSE)</f>
        <v>#N/A</v>
      </c>
      <c r="R1123" s="25" t="e">
        <f t="shared" si="17"/>
        <v>#N/A</v>
      </c>
      <c r="S1123" s="58"/>
      <c r="T1123" s="58"/>
      <c r="U1123" s="43"/>
      <c r="V1123" s="43"/>
      <c r="W1123" s="58"/>
      <c r="X1123" s="58"/>
      <c r="Y1123" s="59"/>
      <c r="Z1123" s="60"/>
      <c r="AA1123" s="25"/>
      <c r="AB1123" s="25"/>
    </row>
    <row r="1124" spans="2:28">
      <c r="B1124" s="40"/>
      <c r="C1124" s="40"/>
      <c r="D1124" s="41"/>
      <c r="E1124" s="42"/>
      <c r="F1124" s="42"/>
      <c r="G1124" s="43"/>
      <c r="H1124" s="42"/>
      <c r="I1124" s="43"/>
      <c r="J1124" s="43"/>
      <c r="K1124" s="25" t="e">
        <f>VLOOKUP(J1124,Key!$E$2:$F$9,2,FALSE)</f>
        <v>#N/A</v>
      </c>
      <c r="L1124" s="42"/>
      <c r="M1124" s="43" t="s">
        <v>154</v>
      </c>
      <c r="N1124" s="42"/>
      <c r="O1124" s="43"/>
      <c r="P1124" s="43"/>
      <c r="Q1124" s="25" t="e">
        <f>VLOOKUP(P1124,Key!$E$2:$F$9,2,FALSE)</f>
        <v>#N/A</v>
      </c>
      <c r="R1124" s="25" t="e">
        <f t="shared" si="17"/>
        <v>#N/A</v>
      </c>
      <c r="S1124" s="58"/>
      <c r="T1124" s="58"/>
      <c r="U1124" s="43"/>
      <c r="V1124" s="43"/>
      <c r="W1124" s="58"/>
      <c r="X1124" s="58"/>
      <c r="Y1124" s="59"/>
      <c r="Z1124" s="60"/>
      <c r="AA1124" s="25"/>
      <c r="AB1124" s="25"/>
    </row>
    <row r="1125" spans="2:28">
      <c r="B1125" s="40"/>
      <c r="C1125" s="40"/>
      <c r="D1125" s="41"/>
      <c r="E1125" s="42"/>
      <c r="F1125" s="42"/>
      <c r="G1125" s="43"/>
      <c r="H1125" s="42"/>
      <c r="I1125" s="43"/>
      <c r="J1125" s="43"/>
      <c r="K1125" s="25" t="e">
        <f>VLOOKUP(J1125,Key!$E$2:$F$9,2,FALSE)</f>
        <v>#N/A</v>
      </c>
      <c r="L1125" s="42"/>
      <c r="M1125" s="43" t="s">
        <v>154</v>
      </c>
      <c r="N1125" s="42"/>
      <c r="O1125" s="43"/>
      <c r="P1125" s="43"/>
      <c r="Q1125" s="25" t="e">
        <f>VLOOKUP(P1125,Key!$E$2:$F$9,2,FALSE)</f>
        <v>#N/A</v>
      </c>
      <c r="R1125" s="25" t="e">
        <f t="shared" si="17"/>
        <v>#N/A</v>
      </c>
      <c r="S1125" s="58"/>
      <c r="T1125" s="58"/>
      <c r="U1125" s="43"/>
      <c r="V1125" s="43"/>
      <c r="W1125" s="58"/>
      <c r="X1125" s="58"/>
      <c r="Y1125" s="59"/>
      <c r="Z1125" s="60"/>
      <c r="AA1125" s="25"/>
      <c r="AB1125" s="25"/>
    </row>
    <row r="1126" spans="2:28">
      <c r="B1126" s="40"/>
      <c r="C1126" s="40"/>
      <c r="D1126" s="41"/>
      <c r="E1126" s="42"/>
      <c r="F1126" s="42"/>
      <c r="G1126" s="43"/>
      <c r="H1126" s="42"/>
      <c r="I1126" s="43"/>
      <c r="J1126" s="43"/>
      <c r="K1126" s="25" t="e">
        <f>VLOOKUP(J1126,Key!$E$2:$F$9,2,FALSE)</f>
        <v>#N/A</v>
      </c>
      <c r="L1126" s="42"/>
      <c r="M1126" s="43" t="s">
        <v>154</v>
      </c>
      <c r="N1126" s="42"/>
      <c r="O1126" s="43"/>
      <c r="P1126" s="43"/>
      <c r="Q1126" s="25" t="e">
        <f>VLOOKUP(P1126,Key!$E$2:$F$9,2,FALSE)</f>
        <v>#N/A</v>
      </c>
      <c r="R1126" s="25" t="e">
        <f t="shared" ref="R1126:R1189" si="18">K1126&amp;"-"&amp;Q1126</f>
        <v>#N/A</v>
      </c>
      <c r="S1126" s="58"/>
      <c r="T1126" s="58"/>
      <c r="U1126" s="43"/>
      <c r="V1126" s="43"/>
      <c r="W1126" s="58"/>
      <c r="X1126" s="58"/>
      <c r="Y1126" s="59"/>
      <c r="Z1126" s="60"/>
      <c r="AA1126" s="25"/>
      <c r="AB1126" s="25"/>
    </row>
    <row r="1127" spans="2:28">
      <c r="B1127" s="40"/>
      <c r="C1127" s="40"/>
      <c r="D1127" s="41"/>
      <c r="E1127" s="42"/>
      <c r="F1127" s="42"/>
      <c r="G1127" s="43"/>
      <c r="H1127" s="42"/>
      <c r="I1127" s="43"/>
      <c r="J1127" s="43"/>
      <c r="K1127" s="25" t="e">
        <f>VLOOKUP(J1127,Key!$E$2:$F$9,2,FALSE)</f>
        <v>#N/A</v>
      </c>
      <c r="L1127" s="42"/>
      <c r="M1127" s="43" t="s">
        <v>154</v>
      </c>
      <c r="N1127" s="42"/>
      <c r="O1127" s="43"/>
      <c r="P1127" s="43"/>
      <c r="Q1127" s="25" t="e">
        <f>VLOOKUP(P1127,Key!$E$2:$F$9,2,FALSE)</f>
        <v>#N/A</v>
      </c>
      <c r="R1127" s="25" t="e">
        <f t="shared" si="18"/>
        <v>#N/A</v>
      </c>
      <c r="S1127" s="58"/>
      <c r="T1127" s="58"/>
      <c r="U1127" s="43"/>
      <c r="V1127" s="43"/>
      <c r="W1127" s="58"/>
      <c r="X1127" s="58"/>
      <c r="Y1127" s="59"/>
      <c r="Z1127" s="60"/>
      <c r="AA1127" s="25"/>
      <c r="AB1127" s="25"/>
    </row>
    <row r="1128" spans="2:28">
      <c r="B1128" s="40"/>
      <c r="C1128" s="40"/>
      <c r="D1128" s="41"/>
      <c r="E1128" s="42"/>
      <c r="F1128" s="42"/>
      <c r="G1128" s="43"/>
      <c r="H1128" s="42"/>
      <c r="I1128" s="43"/>
      <c r="J1128" s="43"/>
      <c r="K1128" s="25" t="e">
        <f>VLOOKUP(J1128,Key!$E$2:$F$9,2,FALSE)</f>
        <v>#N/A</v>
      </c>
      <c r="L1128" s="42"/>
      <c r="M1128" s="43" t="s">
        <v>154</v>
      </c>
      <c r="N1128" s="42"/>
      <c r="O1128" s="43"/>
      <c r="P1128" s="43"/>
      <c r="Q1128" s="25" t="e">
        <f>VLOOKUP(P1128,Key!$E$2:$F$9,2,FALSE)</f>
        <v>#N/A</v>
      </c>
      <c r="R1128" s="25" t="e">
        <f t="shared" si="18"/>
        <v>#N/A</v>
      </c>
      <c r="S1128" s="58"/>
      <c r="T1128" s="58"/>
      <c r="U1128" s="43"/>
      <c r="V1128" s="43"/>
      <c r="W1128" s="58"/>
      <c r="X1128" s="58"/>
      <c r="Y1128" s="59"/>
      <c r="Z1128" s="60"/>
      <c r="AA1128" s="25"/>
      <c r="AB1128" s="25"/>
    </row>
    <row r="1129" spans="2:28">
      <c r="B1129" s="40"/>
      <c r="C1129" s="40"/>
      <c r="D1129" s="41"/>
      <c r="E1129" s="42"/>
      <c r="F1129" s="42"/>
      <c r="G1129" s="43"/>
      <c r="H1129" s="42"/>
      <c r="I1129" s="43"/>
      <c r="J1129" s="43"/>
      <c r="K1129" s="25" t="e">
        <f>VLOOKUP(J1129,Key!$E$2:$F$9,2,FALSE)</f>
        <v>#N/A</v>
      </c>
      <c r="L1129" s="42"/>
      <c r="M1129" s="43" t="s">
        <v>154</v>
      </c>
      <c r="N1129" s="42"/>
      <c r="O1129" s="43"/>
      <c r="P1129" s="43"/>
      <c r="Q1129" s="25" t="e">
        <f>VLOOKUP(P1129,Key!$E$2:$F$9,2,FALSE)</f>
        <v>#N/A</v>
      </c>
      <c r="R1129" s="25" t="e">
        <f t="shared" si="18"/>
        <v>#N/A</v>
      </c>
      <c r="S1129" s="58"/>
      <c r="T1129" s="58"/>
      <c r="U1129" s="43"/>
      <c r="V1129" s="43"/>
      <c r="W1129" s="58"/>
      <c r="X1129" s="58"/>
      <c r="Y1129" s="59"/>
      <c r="Z1129" s="60"/>
      <c r="AA1129" s="25"/>
      <c r="AB1129" s="25"/>
    </row>
    <row r="1130" spans="2:28">
      <c r="B1130" s="40"/>
      <c r="C1130" s="40"/>
      <c r="D1130" s="41"/>
      <c r="E1130" s="42"/>
      <c r="F1130" s="42"/>
      <c r="G1130" s="43"/>
      <c r="H1130" s="42"/>
      <c r="I1130" s="43"/>
      <c r="J1130" s="43"/>
      <c r="K1130" s="25" t="e">
        <f>VLOOKUP(J1130,Key!$E$2:$F$9,2,FALSE)</f>
        <v>#N/A</v>
      </c>
      <c r="L1130" s="42"/>
      <c r="M1130" s="43" t="s">
        <v>154</v>
      </c>
      <c r="N1130" s="42"/>
      <c r="O1130" s="43"/>
      <c r="P1130" s="43"/>
      <c r="Q1130" s="25" t="e">
        <f>VLOOKUP(P1130,Key!$E$2:$F$9,2,FALSE)</f>
        <v>#N/A</v>
      </c>
      <c r="R1130" s="25" t="e">
        <f t="shared" si="18"/>
        <v>#N/A</v>
      </c>
      <c r="S1130" s="58"/>
      <c r="T1130" s="58"/>
      <c r="U1130" s="43"/>
      <c r="V1130" s="43"/>
      <c r="W1130" s="58"/>
      <c r="X1130" s="58"/>
      <c r="Y1130" s="59"/>
      <c r="Z1130" s="60"/>
      <c r="AA1130" s="25"/>
      <c r="AB1130" s="25"/>
    </row>
    <row r="1131" spans="2:28">
      <c r="B1131" s="40"/>
      <c r="C1131" s="40"/>
      <c r="D1131" s="41"/>
      <c r="E1131" s="42"/>
      <c r="F1131" s="42"/>
      <c r="G1131" s="43"/>
      <c r="H1131" s="42"/>
      <c r="I1131" s="43"/>
      <c r="J1131" s="43"/>
      <c r="K1131" s="25" t="e">
        <f>VLOOKUP(J1131,Key!$E$2:$F$9,2,FALSE)</f>
        <v>#N/A</v>
      </c>
      <c r="L1131" s="42"/>
      <c r="M1131" s="43" t="s">
        <v>154</v>
      </c>
      <c r="N1131" s="42"/>
      <c r="O1131" s="43"/>
      <c r="P1131" s="43"/>
      <c r="Q1131" s="25" t="e">
        <f>VLOOKUP(P1131,Key!$E$2:$F$9,2,FALSE)</f>
        <v>#N/A</v>
      </c>
      <c r="R1131" s="25" t="e">
        <f t="shared" si="18"/>
        <v>#N/A</v>
      </c>
      <c r="S1131" s="58"/>
      <c r="T1131" s="58"/>
      <c r="U1131" s="43"/>
      <c r="V1131" s="43"/>
      <c r="W1131" s="58"/>
      <c r="X1131" s="58"/>
      <c r="Y1131" s="59"/>
      <c r="Z1131" s="60"/>
      <c r="AA1131" s="25"/>
      <c r="AB1131" s="25"/>
    </row>
    <row r="1132" spans="2:28">
      <c r="B1132" s="40"/>
      <c r="C1132" s="40"/>
      <c r="D1132" s="41"/>
      <c r="E1132" s="42"/>
      <c r="F1132" s="42"/>
      <c r="G1132" s="43"/>
      <c r="H1132" s="42"/>
      <c r="I1132" s="43"/>
      <c r="J1132" s="43"/>
      <c r="K1132" s="25" t="e">
        <f>VLOOKUP(J1132,Key!$E$2:$F$9,2,FALSE)</f>
        <v>#N/A</v>
      </c>
      <c r="L1132" s="42"/>
      <c r="M1132" s="43" t="s">
        <v>154</v>
      </c>
      <c r="N1132" s="42"/>
      <c r="O1132" s="43"/>
      <c r="P1132" s="43"/>
      <c r="Q1132" s="25" t="e">
        <f>VLOOKUP(P1132,Key!$E$2:$F$9,2,FALSE)</f>
        <v>#N/A</v>
      </c>
      <c r="R1132" s="25" t="e">
        <f t="shared" si="18"/>
        <v>#N/A</v>
      </c>
      <c r="S1132" s="58"/>
      <c r="T1132" s="58"/>
      <c r="U1132" s="43"/>
      <c r="V1132" s="43"/>
      <c r="W1132" s="58"/>
      <c r="X1132" s="58"/>
      <c r="Y1132" s="59"/>
      <c r="Z1132" s="60"/>
      <c r="AA1132" s="25"/>
      <c r="AB1132" s="25"/>
    </row>
    <row r="1133" spans="2:28">
      <c r="B1133" s="40"/>
      <c r="C1133" s="40"/>
      <c r="D1133" s="41"/>
      <c r="E1133" s="42"/>
      <c r="F1133" s="42"/>
      <c r="G1133" s="43"/>
      <c r="H1133" s="42"/>
      <c r="I1133" s="43"/>
      <c r="J1133" s="43"/>
      <c r="K1133" s="25" t="e">
        <f>VLOOKUP(J1133,Key!$E$2:$F$9,2,FALSE)</f>
        <v>#N/A</v>
      </c>
      <c r="L1133" s="42"/>
      <c r="M1133" s="43" t="s">
        <v>154</v>
      </c>
      <c r="N1133" s="42"/>
      <c r="O1133" s="43"/>
      <c r="P1133" s="43"/>
      <c r="Q1133" s="25" t="e">
        <f>VLOOKUP(P1133,Key!$E$2:$F$9,2,FALSE)</f>
        <v>#N/A</v>
      </c>
      <c r="R1133" s="25" t="e">
        <f t="shared" si="18"/>
        <v>#N/A</v>
      </c>
      <c r="S1133" s="58"/>
      <c r="T1133" s="58"/>
      <c r="U1133" s="43"/>
      <c r="V1133" s="43"/>
      <c r="W1133" s="58"/>
      <c r="X1133" s="58"/>
      <c r="Y1133" s="59"/>
      <c r="Z1133" s="60"/>
      <c r="AA1133" s="25"/>
      <c r="AB1133" s="25"/>
    </row>
    <row r="1134" spans="2:28">
      <c r="B1134" s="40"/>
      <c r="C1134" s="40"/>
      <c r="D1134" s="41"/>
      <c r="E1134" s="42"/>
      <c r="F1134" s="42"/>
      <c r="G1134" s="43"/>
      <c r="H1134" s="42"/>
      <c r="I1134" s="43"/>
      <c r="J1134" s="43"/>
      <c r="K1134" s="25" t="e">
        <f>VLOOKUP(J1134,Key!$E$2:$F$9,2,FALSE)</f>
        <v>#N/A</v>
      </c>
      <c r="L1134" s="42"/>
      <c r="M1134" s="43" t="s">
        <v>154</v>
      </c>
      <c r="N1134" s="42"/>
      <c r="O1134" s="43"/>
      <c r="P1134" s="43"/>
      <c r="Q1134" s="25" t="e">
        <f>VLOOKUP(P1134,Key!$E$2:$F$9,2,FALSE)</f>
        <v>#N/A</v>
      </c>
      <c r="R1134" s="25" t="e">
        <f t="shared" si="18"/>
        <v>#N/A</v>
      </c>
      <c r="S1134" s="58"/>
      <c r="T1134" s="58"/>
      <c r="U1134" s="43"/>
      <c r="V1134" s="43"/>
      <c r="W1134" s="58"/>
      <c r="X1134" s="58"/>
      <c r="Y1134" s="59"/>
      <c r="Z1134" s="60"/>
      <c r="AA1134" s="25"/>
      <c r="AB1134" s="25"/>
    </row>
    <row r="1135" spans="2:28">
      <c r="B1135" s="40"/>
      <c r="C1135" s="40"/>
      <c r="D1135" s="41"/>
      <c r="E1135" s="42"/>
      <c r="F1135" s="42"/>
      <c r="G1135" s="43"/>
      <c r="H1135" s="42"/>
      <c r="I1135" s="43"/>
      <c r="J1135" s="43"/>
      <c r="K1135" s="25" t="e">
        <f>VLOOKUP(J1135,Key!$E$2:$F$9,2,FALSE)</f>
        <v>#N/A</v>
      </c>
      <c r="L1135" s="42"/>
      <c r="M1135" s="43" t="s">
        <v>154</v>
      </c>
      <c r="N1135" s="42"/>
      <c r="O1135" s="43"/>
      <c r="P1135" s="43"/>
      <c r="Q1135" s="25" t="e">
        <f>VLOOKUP(P1135,Key!$E$2:$F$9,2,FALSE)</f>
        <v>#N/A</v>
      </c>
      <c r="R1135" s="25" t="e">
        <f t="shared" si="18"/>
        <v>#N/A</v>
      </c>
      <c r="S1135" s="58"/>
      <c r="T1135" s="58"/>
      <c r="U1135" s="43"/>
      <c r="V1135" s="43"/>
      <c r="W1135" s="58"/>
      <c r="X1135" s="58"/>
      <c r="Y1135" s="59"/>
      <c r="Z1135" s="60"/>
      <c r="AA1135" s="25"/>
      <c r="AB1135" s="25"/>
    </row>
    <row r="1136" spans="2:28">
      <c r="B1136" s="40"/>
      <c r="C1136" s="40"/>
      <c r="D1136" s="41"/>
      <c r="E1136" s="42"/>
      <c r="F1136" s="42"/>
      <c r="G1136" s="43"/>
      <c r="H1136" s="42"/>
      <c r="I1136" s="43"/>
      <c r="J1136" s="43"/>
      <c r="K1136" s="25" t="e">
        <f>VLOOKUP(J1136,Key!$E$2:$F$9,2,FALSE)</f>
        <v>#N/A</v>
      </c>
      <c r="L1136" s="42"/>
      <c r="M1136" s="43" t="s">
        <v>154</v>
      </c>
      <c r="N1136" s="42"/>
      <c r="O1136" s="43"/>
      <c r="P1136" s="43"/>
      <c r="Q1136" s="25" t="e">
        <f>VLOOKUP(P1136,Key!$E$2:$F$9,2,FALSE)</f>
        <v>#N/A</v>
      </c>
      <c r="R1136" s="25" t="e">
        <f t="shared" si="18"/>
        <v>#N/A</v>
      </c>
      <c r="S1136" s="58"/>
      <c r="T1136" s="58"/>
      <c r="U1136" s="43"/>
      <c r="V1136" s="43"/>
      <c r="W1136" s="58"/>
      <c r="X1136" s="58"/>
      <c r="Y1136" s="59"/>
      <c r="Z1136" s="60"/>
      <c r="AA1136" s="25"/>
      <c r="AB1136" s="25"/>
    </row>
    <row r="1137" spans="2:28">
      <c r="B1137" s="40"/>
      <c r="C1137" s="40"/>
      <c r="D1137" s="41"/>
      <c r="E1137" s="42"/>
      <c r="F1137" s="42"/>
      <c r="G1137" s="43"/>
      <c r="H1137" s="42"/>
      <c r="I1137" s="43"/>
      <c r="J1137" s="43"/>
      <c r="K1137" s="25" t="e">
        <f>VLOOKUP(J1137,Key!$E$2:$F$9,2,FALSE)</f>
        <v>#N/A</v>
      </c>
      <c r="L1137" s="42"/>
      <c r="M1137" s="43" t="s">
        <v>154</v>
      </c>
      <c r="N1137" s="42"/>
      <c r="O1137" s="43"/>
      <c r="P1137" s="43"/>
      <c r="Q1137" s="25" t="e">
        <f>VLOOKUP(P1137,Key!$E$2:$F$9,2,FALSE)</f>
        <v>#N/A</v>
      </c>
      <c r="R1137" s="25" t="e">
        <f t="shared" si="18"/>
        <v>#N/A</v>
      </c>
      <c r="S1137" s="58"/>
      <c r="T1137" s="58"/>
      <c r="U1137" s="43"/>
      <c r="V1137" s="43"/>
      <c r="W1137" s="58"/>
      <c r="X1137" s="58"/>
      <c r="Y1137" s="59"/>
      <c r="Z1137" s="60"/>
      <c r="AA1137" s="25"/>
      <c r="AB1137" s="25"/>
    </row>
    <row r="1138" spans="2:28">
      <c r="B1138" s="40"/>
      <c r="C1138" s="40"/>
      <c r="D1138" s="41"/>
      <c r="E1138" s="42"/>
      <c r="F1138" s="42"/>
      <c r="G1138" s="43"/>
      <c r="H1138" s="42"/>
      <c r="I1138" s="43"/>
      <c r="J1138" s="43"/>
      <c r="K1138" s="25" t="e">
        <f>VLOOKUP(J1138,Key!$E$2:$F$9,2,FALSE)</f>
        <v>#N/A</v>
      </c>
      <c r="L1138" s="42"/>
      <c r="M1138" s="43" t="s">
        <v>154</v>
      </c>
      <c r="N1138" s="42"/>
      <c r="O1138" s="43"/>
      <c r="P1138" s="43"/>
      <c r="Q1138" s="25" t="e">
        <f>VLOOKUP(P1138,Key!$E$2:$F$9,2,FALSE)</f>
        <v>#N/A</v>
      </c>
      <c r="R1138" s="25" t="e">
        <f t="shared" si="18"/>
        <v>#N/A</v>
      </c>
      <c r="S1138" s="58"/>
      <c r="T1138" s="58"/>
      <c r="U1138" s="43"/>
      <c r="V1138" s="43"/>
      <c r="W1138" s="58"/>
      <c r="X1138" s="58"/>
      <c r="Y1138" s="59"/>
      <c r="Z1138" s="60"/>
      <c r="AA1138" s="25"/>
      <c r="AB1138" s="25"/>
    </row>
    <row r="1139" spans="2:28">
      <c r="B1139" s="40"/>
      <c r="C1139" s="40"/>
      <c r="D1139" s="41"/>
      <c r="E1139" s="42"/>
      <c r="F1139" s="42"/>
      <c r="G1139" s="43"/>
      <c r="H1139" s="42"/>
      <c r="I1139" s="43"/>
      <c r="J1139" s="43"/>
      <c r="K1139" s="25" t="e">
        <f>VLOOKUP(J1139,Key!$E$2:$F$9,2,FALSE)</f>
        <v>#N/A</v>
      </c>
      <c r="L1139" s="42"/>
      <c r="M1139" s="43" t="s">
        <v>154</v>
      </c>
      <c r="N1139" s="42"/>
      <c r="O1139" s="43"/>
      <c r="P1139" s="43"/>
      <c r="Q1139" s="25" t="e">
        <f>VLOOKUP(P1139,Key!$E$2:$F$9,2,FALSE)</f>
        <v>#N/A</v>
      </c>
      <c r="R1139" s="25" t="e">
        <f t="shared" si="18"/>
        <v>#N/A</v>
      </c>
      <c r="S1139" s="58"/>
      <c r="T1139" s="58"/>
      <c r="U1139" s="43"/>
      <c r="V1139" s="43"/>
      <c r="W1139" s="58"/>
      <c r="X1139" s="58"/>
      <c r="Y1139" s="59"/>
      <c r="Z1139" s="60"/>
      <c r="AA1139" s="25"/>
      <c r="AB1139" s="25"/>
    </row>
    <row r="1140" spans="2:28">
      <c r="B1140" s="40"/>
      <c r="C1140" s="40"/>
      <c r="D1140" s="41"/>
      <c r="E1140" s="42"/>
      <c r="F1140" s="42"/>
      <c r="G1140" s="43"/>
      <c r="H1140" s="42"/>
      <c r="I1140" s="43"/>
      <c r="J1140" s="43"/>
      <c r="K1140" s="25" t="e">
        <f>VLOOKUP(J1140,Key!$E$2:$F$9,2,FALSE)</f>
        <v>#N/A</v>
      </c>
      <c r="L1140" s="42"/>
      <c r="M1140" s="43" t="s">
        <v>154</v>
      </c>
      <c r="N1140" s="42"/>
      <c r="O1140" s="43"/>
      <c r="P1140" s="43"/>
      <c r="Q1140" s="25" t="e">
        <f>VLOOKUP(P1140,Key!$E$2:$F$9,2,FALSE)</f>
        <v>#N/A</v>
      </c>
      <c r="R1140" s="25" t="e">
        <f t="shared" si="18"/>
        <v>#N/A</v>
      </c>
      <c r="S1140" s="58"/>
      <c r="T1140" s="58"/>
      <c r="U1140" s="43"/>
      <c r="V1140" s="43"/>
      <c r="W1140" s="58"/>
      <c r="X1140" s="58"/>
      <c r="Y1140" s="59"/>
      <c r="Z1140" s="60"/>
      <c r="AA1140" s="25"/>
      <c r="AB1140" s="25"/>
    </row>
    <row r="1141" spans="2:28">
      <c r="B1141" s="40"/>
      <c r="C1141" s="40"/>
      <c r="D1141" s="41"/>
      <c r="E1141" s="42"/>
      <c r="F1141" s="42"/>
      <c r="G1141" s="43"/>
      <c r="H1141" s="42"/>
      <c r="I1141" s="43"/>
      <c r="J1141" s="43"/>
      <c r="K1141" s="25" t="e">
        <f>VLOOKUP(J1141,Key!$E$2:$F$9,2,FALSE)</f>
        <v>#N/A</v>
      </c>
      <c r="L1141" s="42"/>
      <c r="M1141" s="43" t="s">
        <v>154</v>
      </c>
      <c r="N1141" s="42"/>
      <c r="O1141" s="43"/>
      <c r="P1141" s="43"/>
      <c r="Q1141" s="25" t="e">
        <f>VLOOKUP(P1141,Key!$E$2:$F$9,2,FALSE)</f>
        <v>#N/A</v>
      </c>
      <c r="R1141" s="25" t="e">
        <f t="shared" si="18"/>
        <v>#N/A</v>
      </c>
      <c r="S1141" s="58"/>
      <c r="T1141" s="58"/>
      <c r="U1141" s="43"/>
      <c r="V1141" s="43"/>
      <c r="W1141" s="58"/>
      <c r="X1141" s="58"/>
      <c r="Y1141" s="59"/>
      <c r="Z1141" s="60"/>
      <c r="AA1141" s="25"/>
      <c r="AB1141" s="25"/>
    </row>
    <row r="1142" spans="2:28">
      <c r="B1142" s="40"/>
      <c r="C1142" s="40"/>
      <c r="D1142" s="41"/>
      <c r="E1142" s="42"/>
      <c r="F1142" s="42"/>
      <c r="G1142" s="43"/>
      <c r="H1142" s="42"/>
      <c r="I1142" s="43"/>
      <c r="J1142" s="43"/>
      <c r="K1142" s="25" t="e">
        <f>VLOOKUP(J1142,Key!$E$2:$F$9,2,FALSE)</f>
        <v>#N/A</v>
      </c>
      <c r="L1142" s="42"/>
      <c r="M1142" s="43" t="s">
        <v>154</v>
      </c>
      <c r="N1142" s="42"/>
      <c r="O1142" s="43"/>
      <c r="P1142" s="43"/>
      <c r="Q1142" s="25" t="e">
        <f>VLOOKUP(P1142,Key!$E$2:$F$9,2,FALSE)</f>
        <v>#N/A</v>
      </c>
      <c r="R1142" s="25" t="e">
        <f t="shared" si="18"/>
        <v>#N/A</v>
      </c>
      <c r="S1142" s="58"/>
      <c r="T1142" s="58"/>
      <c r="U1142" s="43"/>
      <c r="V1142" s="43"/>
      <c r="W1142" s="58"/>
      <c r="X1142" s="58"/>
      <c r="Y1142" s="59"/>
      <c r="Z1142" s="60"/>
      <c r="AA1142" s="25"/>
      <c r="AB1142" s="25"/>
    </row>
    <row r="1143" spans="2:28">
      <c r="B1143" s="40"/>
      <c r="C1143" s="40"/>
      <c r="D1143" s="41"/>
      <c r="E1143" s="42"/>
      <c r="F1143" s="42"/>
      <c r="G1143" s="43"/>
      <c r="H1143" s="42"/>
      <c r="I1143" s="43"/>
      <c r="J1143" s="43"/>
      <c r="K1143" s="25" t="e">
        <f>VLOOKUP(J1143,Key!$E$2:$F$9,2,FALSE)</f>
        <v>#N/A</v>
      </c>
      <c r="L1143" s="42"/>
      <c r="M1143" s="43" t="s">
        <v>154</v>
      </c>
      <c r="N1143" s="42"/>
      <c r="O1143" s="43"/>
      <c r="P1143" s="43"/>
      <c r="Q1143" s="25" t="e">
        <f>VLOOKUP(P1143,Key!$E$2:$F$9,2,FALSE)</f>
        <v>#N/A</v>
      </c>
      <c r="R1143" s="25" t="e">
        <f t="shared" si="18"/>
        <v>#N/A</v>
      </c>
      <c r="S1143" s="58"/>
      <c r="T1143" s="58"/>
      <c r="U1143" s="43"/>
      <c r="V1143" s="43"/>
      <c r="W1143" s="58"/>
      <c r="X1143" s="58"/>
      <c r="Y1143" s="59"/>
      <c r="Z1143" s="60"/>
      <c r="AA1143" s="25"/>
      <c r="AB1143" s="25"/>
    </row>
    <row r="1144" spans="2:28">
      <c r="B1144" s="40"/>
      <c r="C1144" s="40"/>
      <c r="D1144" s="41"/>
      <c r="E1144" s="42"/>
      <c r="F1144" s="42"/>
      <c r="G1144" s="43"/>
      <c r="H1144" s="42"/>
      <c r="I1144" s="43"/>
      <c r="J1144" s="43"/>
      <c r="K1144" s="25" t="e">
        <f>VLOOKUP(J1144,Key!$E$2:$F$9,2,FALSE)</f>
        <v>#N/A</v>
      </c>
      <c r="L1144" s="42"/>
      <c r="M1144" s="43"/>
      <c r="N1144" s="42"/>
      <c r="O1144" s="43"/>
      <c r="P1144" s="43"/>
      <c r="Q1144" s="25" t="e">
        <f>VLOOKUP(P1144,Key!$E$2:$F$9,2,FALSE)</f>
        <v>#N/A</v>
      </c>
      <c r="R1144" s="25" t="e">
        <f t="shared" si="18"/>
        <v>#N/A</v>
      </c>
      <c r="S1144" s="58"/>
      <c r="T1144" s="58"/>
      <c r="U1144" s="43"/>
      <c r="V1144" s="43"/>
      <c r="W1144" s="58"/>
      <c r="X1144" s="58"/>
      <c r="Y1144" s="59"/>
      <c r="Z1144" s="60"/>
      <c r="AA1144" s="25"/>
      <c r="AB1144" s="25"/>
    </row>
    <row r="1145" spans="2:28">
      <c r="B1145" s="40"/>
      <c r="C1145" s="40"/>
      <c r="D1145" s="41"/>
      <c r="E1145" s="42"/>
      <c r="F1145" s="42"/>
      <c r="G1145" s="43"/>
      <c r="H1145" s="42"/>
      <c r="I1145" s="43"/>
      <c r="J1145" s="43"/>
      <c r="K1145" s="25" t="e">
        <f>VLOOKUP(J1145,Key!$E$2:$F$9,2,FALSE)</f>
        <v>#N/A</v>
      </c>
      <c r="L1145" s="42"/>
      <c r="M1145" s="43"/>
      <c r="N1145" s="42"/>
      <c r="O1145" s="43"/>
      <c r="P1145" s="43"/>
      <c r="Q1145" s="25" t="e">
        <f>VLOOKUP(P1145,Key!$E$2:$F$9,2,FALSE)</f>
        <v>#N/A</v>
      </c>
      <c r="R1145" s="25" t="e">
        <f t="shared" si="18"/>
        <v>#N/A</v>
      </c>
      <c r="S1145" s="58"/>
      <c r="T1145" s="58"/>
      <c r="U1145" s="43"/>
      <c r="V1145" s="43"/>
      <c r="W1145" s="58"/>
      <c r="X1145" s="58"/>
      <c r="Y1145" s="59"/>
      <c r="Z1145" s="60"/>
      <c r="AA1145" s="25"/>
      <c r="AB1145" s="25"/>
    </row>
    <row r="1146" spans="2:28">
      <c r="B1146" s="40"/>
      <c r="C1146" s="40"/>
      <c r="D1146" s="41"/>
      <c r="E1146" s="42"/>
      <c r="F1146" s="42"/>
      <c r="G1146" s="43"/>
      <c r="H1146" s="42"/>
      <c r="I1146" s="43"/>
      <c r="J1146" s="43"/>
      <c r="K1146" s="25" t="e">
        <f>VLOOKUP(J1146,Key!$E$2:$F$9,2,FALSE)</f>
        <v>#N/A</v>
      </c>
      <c r="L1146" s="42"/>
      <c r="M1146" s="43"/>
      <c r="N1146" s="42"/>
      <c r="O1146" s="43"/>
      <c r="P1146" s="43"/>
      <c r="Q1146" s="25" t="e">
        <f>VLOOKUP(P1146,Key!$E$2:$F$9,2,FALSE)</f>
        <v>#N/A</v>
      </c>
      <c r="R1146" s="25" t="e">
        <f t="shared" si="18"/>
        <v>#N/A</v>
      </c>
      <c r="S1146" s="58"/>
      <c r="T1146" s="58"/>
      <c r="U1146" s="43"/>
      <c r="V1146" s="43"/>
      <c r="W1146" s="58"/>
      <c r="X1146" s="58"/>
      <c r="Y1146" s="59"/>
      <c r="Z1146" s="60"/>
      <c r="AA1146" s="25"/>
      <c r="AB1146" s="25"/>
    </row>
    <row r="1147" spans="2:28">
      <c r="B1147" s="40"/>
      <c r="C1147" s="40"/>
      <c r="D1147" s="41"/>
      <c r="E1147" s="42"/>
      <c r="F1147" s="42"/>
      <c r="G1147" s="43"/>
      <c r="H1147" s="42"/>
      <c r="I1147" s="43"/>
      <c r="J1147" s="43"/>
      <c r="K1147" s="25" t="e">
        <f>VLOOKUP(J1147,Key!$E$2:$F$9,2,FALSE)</f>
        <v>#N/A</v>
      </c>
      <c r="L1147" s="42"/>
      <c r="M1147" s="43"/>
      <c r="N1147" s="42"/>
      <c r="O1147" s="43"/>
      <c r="P1147" s="43"/>
      <c r="Q1147" s="25" t="e">
        <f>VLOOKUP(P1147,Key!$E$2:$F$9,2,FALSE)</f>
        <v>#N/A</v>
      </c>
      <c r="R1147" s="25" t="e">
        <f t="shared" si="18"/>
        <v>#N/A</v>
      </c>
      <c r="S1147" s="58"/>
      <c r="T1147" s="58"/>
      <c r="U1147" s="43"/>
      <c r="V1147" s="43"/>
      <c r="W1147" s="58"/>
      <c r="X1147" s="58"/>
      <c r="Y1147" s="59"/>
      <c r="Z1147" s="60"/>
      <c r="AA1147" s="25"/>
      <c r="AB1147" s="25"/>
    </row>
    <row r="1148" spans="2:28">
      <c r="B1148" s="40"/>
      <c r="C1148" s="40"/>
      <c r="D1148" s="41"/>
      <c r="E1148" s="42"/>
      <c r="F1148" s="42"/>
      <c r="G1148" s="43"/>
      <c r="H1148" s="42"/>
      <c r="I1148" s="43"/>
      <c r="J1148" s="43"/>
      <c r="K1148" s="25" t="e">
        <f>VLOOKUP(J1148,Key!$E$2:$F$9,2,FALSE)</f>
        <v>#N/A</v>
      </c>
      <c r="L1148" s="42"/>
      <c r="M1148" s="43"/>
      <c r="N1148" s="42"/>
      <c r="O1148" s="43"/>
      <c r="P1148" s="43"/>
      <c r="Q1148" s="25" t="e">
        <f>VLOOKUP(P1148,Key!$E$2:$F$9,2,FALSE)</f>
        <v>#N/A</v>
      </c>
      <c r="R1148" s="25" t="e">
        <f t="shared" si="18"/>
        <v>#N/A</v>
      </c>
      <c r="S1148" s="58"/>
      <c r="T1148" s="58"/>
      <c r="U1148" s="43"/>
      <c r="V1148" s="43"/>
      <c r="W1148" s="58"/>
      <c r="X1148" s="58"/>
      <c r="Y1148" s="59"/>
      <c r="Z1148" s="60"/>
      <c r="AA1148" s="25"/>
      <c r="AB1148" s="25"/>
    </row>
    <row r="1149" spans="2:28">
      <c r="B1149" s="40"/>
      <c r="C1149" s="40"/>
      <c r="D1149" s="41"/>
      <c r="E1149" s="42"/>
      <c r="F1149" s="42"/>
      <c r="G1149" s="43"/>
      <c r="H1149" s="42"/>
      <c r="I1149" s="43"/>
      <c r="J1149" s="43"/>
      <c r="K1149" s="25" t="e">
        <f>VLOOKUP(J1149,Key!$E$2:$F$9,2,FALSE)</f>
        <v>#N/A</v>
      </c>
      <c r="L1149" s="42"/>
      <c r="M1149" s="43"/>
      <c r="N1149" s="42"/>
      <c r="O1149" s="43"/>
      <c r="P1149" s="43"/>
      <c r="Q1149" s="25" t="e">
        <f>VLOOKUP(P1149,Key!$E$2:$F$9,2,FALSE)</f>
        <v>#N/A</v>
      </c>
      <c r="R1149" s="25" t="e">
        <f t="shared" si="18"/>
        <v>#N/A</v>
      </c>
      <c r="S1149" s="58"/>
      <c r="T1149" s="58"/>
      <c r="U1149" s="43"/>
      <c r="V1149" s="43"/>
      <c r="W1149" s="58"/>
      <c r="X1149" s="58"/>
      <c r="Y1149" s="59"/>
      <c r="Z1149" s="60"/>
      <c r="AA1149" s="25"/>
      <c r="AB1149" s="25"/>
    </row>
    <row r="1150" spans="2:28">
      <c r="B1150" s="40"/>
      <c r="C1150" s="40"/>
      <c r="D1150" s="41"/>
      <c r="E1150" s="42"/>
      <c r="F1150" s="42"/>
      <c r="G1150" s="43"/>
      <c r="H1150" s="42"/>
      <c r="I1150" s="43"/>
      <c r="J1150" s="43"/>
      <c r="K1150" s="25" t="e">
        <f>VLOOKUP(J1150,Key!$E$2:$F$9,2,FALSE)</f>
        <v>#N/A</v>
      </c>
      <c r="L1150" s="42"/>
      <c r="M1150" s="43"/>
      <c r="N1150" s="42"/>
      <c r="O1150" s="43"/>
      <c r="P1150" s="43"/>
      <c r="Q1150" s="25" t="e">
        <f>VLOOKUP(P1150,Key!$E$2:$F$9,2,FALSE)</f>
        <v>#N/A</v>
      </c>
      <c r="R1150" s="25" t="e">
        <f t="shared" si="18"/>
        <v>#N/A</v>
      </c>
      <c r="S1150" s="58"/>
      <c r="T1150" s="58"/>
      <c r="U1150" s="43"/>
      <c r="V1150" s="43"/>
      <c r="W1150" s="58"/>
      <c r="X1150" s="58"/>
      <c r="Y1150" s="59"/>
      <c r="Z1150" s="60"/>
      <c r="AA1150" s="25"/>
      <c r="AB1150" s="25"/>
    </row>
    <row r="1151" spans="2:28">
      <c r="B1151" s="40"/>
      <c r="C1151" s="40"/>
      <c r="D1151" s="41"/>
      <c r="E1151" s="42"/>
      <c r="F1151" s="42"/>
      <c r="G1151" s="43"/>
      <c r="H1151" s="42"/>
      <c r="I1151" s="43"/>
      <c r="J1151" s="43"/>
      <c r="K1151" s="25" t="e">
        <f>VLOOKUP(J1151,Key!$E$2:$F$9,2,FALSE)</f>
        <v>#N/A</v>
      </c>
      <c r="L1151" s="42"/>
      <c r="M1151" s="43"/>
      <c r="N1151" s="42"/>
      <c r="O1151" s="43"/>
      <c r="P1151" s="43"/>
      <c r="Q1151" s="25" t="e">
        <f>VLOOKUP(P1151,Key!$E$2:$F$9,2,FALSE)</f>
        <v>#N/A</v>
      </c>
      <c r="R1151" s="25" t="e">
        <f t="shared" si="18"/>
        <v>#N/A</v>
      </c>
      <c r="S1151" s="58"/>
      <c r="T1151" s="58"/>
      <c r="U1151" s="43"/>
      <c r="V1151" s="43"/>
      <c r="W1151" s="58"/>
      <c r="X1151" s="58"/>
      <c r="Y1151" s="59"/>
      <c r="Z1151" s="60"/>
      <c r="AA1151" s="25"/>
      <c r="AB1151" s="25"/>
    </row>
    <row r="1152" spans="2:28">
      <c r="B1152" s="40"/>
      <c r="C1152" s="40"/>
      <c r="D1152" s="41"/>
      <c r="E1152" s="42"/>
      <c r="F1152" s="42"/>
      <c r="G1152" s="43"/>
      <c r="H1152" s="42"/>
      <c r="I1152" s="43"/>
      <c r="J1152" s="43"/>
      <c r="K1152" s="25" t="e">
        <f>VLOOKUP(J1152,Key!$E$2:$F$9,2,FALSE)</f>
        <v>#N/A</v>
      </c>
      <c r="L1152" s="42"/>
      <c r="M1152" s="43"/>
      <c r="N1152" s="42"/>
      <c r="O1152" s="43"/>
      <c r="P1152" s="43"/>
      <c r="Q1152" s="25" t="e">
        <f>VLOOKUP(P1152,Key!$E$2:$F$9,2,FALSE)</f>
        <v>#N/A</v>
      </c>
      <c r="R1152" s="25" t="e">
        <f t="shared" si="18"/>
        <v>#N/A</v>
      </c>
      <c r="S1152" s="58"/>
      <c r="T1152" s="58"/>
      <c r="U1152" s="43"/>
      <c r="V1152" s="43"/>
      <c r="W1152" s="58"/>
      <c r="X1152" s="58"/>
      <c r="Y1152" s="59"/>
      <c r="Z1152" s="60"/>
      <c r="AA1152" s="25"/>
      <c r="AB1152" s="25"/>
    </row>
    <row r="1153" spans="2:28">
      <c r="B1153" s="40"/>
      <c r="C1153" s="40"/>
      <c r="D1153" s="41"/>
      <c r="E1153" s="42"/>
      <c r="F1153" s="42"/>
      <c r="G1153" s="43"/>
      <c r="H1153" s="42"/>
      <c r="I1153" s="43"/>
      <c r="J1153" s="43"/>
      <c r="K1153" s="25" t="e">
        <f>VLOOKUP(J1153,Key!$E$2:$F$9,2,FALSE)</f>
        <v>#N/A</v>
      </c>
      <c r="L1153" s="42"/>
      <c r="M1153" s="43"/>
      <c r="N1153" s="42"/>
      <c r="O1153" s="43"/>
      <c r="P1153" s="43"/>
      <c r="Q1153" s="25" t="e">
        <f>VLOOKUP(P1153,Key!$E$2:$F$9,2,FALSE)</f>
        <v>#N/A</v>
      </c>
      <c r="R1153" s="25" t="e">
        <f t="shared" si="18"/>
        <v>#N/A</v>
      </c>
      <c r="S1153" s="58"/>
      <c r="T1153" s="58"/>
      <c r="U1153" s="43"/>
      <c r="V1153" s="43"/>
      <c r="W1153" s="58"/>
      <c r="X1153" s="58"/>
      <c r="Y1153" s="59"/>
      <c r="Z1153" s="60"/>
      <c r="AA1153" s="25"/>
      <c r="AB1153" s="25"/>
    </row>
    <row r="1154" spans="2:28">
      <c r="B1154" s="40"/>
      <c r="C1154" s="40"/>
      <c r="D1154" s="41"/>
      <c r="E1154" s="42"/>
      <c r="F1154" s="42"/>
      <c r="G1154" s="43"/>
      <c r="H1154" s="42"/>
      <c r="I1154" s="43"/>
      <c r="J1154" s="43"/>
      <c r="K1154" s="25" t="e">
        <f>VLOOKUP(J1154,Key!$E$2:$F$9,2,FALSE)</f>
        <v>#N/A</v>
      </c>
      <c r="L1154" s="42"/>
      <c r="M1154" s="43"/>
      <c r="N1154" s="42"/>
      <c r="O1154" s="43"/>
      <c r="P1154" s="43"/>
      <c r="Q1154" s="25" t="e">
        <f>VLOOKUP(P1154,Key!$E$2:$F$9,2,FALSE)</f>
        <v>#N/A</v>
      </c>
      <c r="R1154" s="25" t="e">
        <f t="shared" si="18"/>
        <v>#N/A</v>
      </c>
      <c r="S1154" s="58"/>
      <c r="T1154" s="58"/>
      <c r="U1154" s="43"/>
      <c r="V1154" s="43"/>
      <c r="W1154" s="58"/>
      <c r="X1154" s="58"/>
      <c r="Y1154" s="59"/>
      <c r="Z1154" s="60"/>
      <c r="AA1154" s="25"/>
      <c r="AB1154" s="25"/>
    </row>
    <row r="1155" spans="2:28">
      <c r="B1155" s="40"/>
      <c r="C1155" s="40"/>
      <c r="D1155" s="41"/>
      <c r="E1155" s="42"/>
      <c r="F1155" s="42"/>
      <c r="G1155" s="43"/>
      <c r="H1155" s="42"/>
      <c r="I1155" s="43"/>
      <c r="J1155" s="43"/>
      <c r="K1155" s="25" t="e">
        <f>VLOOKUP(J1155,Key!$E$2:$F$9,2,FALSE)</f>
        <v>#N/A</v>
      </c>
      <c r="L1155" s="42"/>
      <c r="M1155" s="43"/>
      <c r="N1155" s="42"/>
      <c r="O1155" s="43"/>
      <c r="P1155" s="43"/>
      <c r="Q1155" s="25" t="e">
        <f>VLOOKUP(P1155,Key!$E$2:$F$9,2,FALSE)</f>
        <v>#N/A</v>
      </c>
      <c r="R1155" s="25" t="e">
        <f t="shared" si="18"/>
        <v>#N/A</v>
      </c>
      <c r="S1155" s="58"/>
      <c r="T1155" s="58"/>
      <c r="U1155" s="43"/>
      <c r="V1155" s="43"/>
      <c r="W1155" s="58"/>
      <c r="X1155" s="58"/>
      <c r="Y1155" s="59"/>
      <c r="Z1155" s="60"/>
      <c r="AA1155" s="25"/>
      <c r="AB1155" s="25"/>
    </row>
    <row r="1156" spans="2:28">
      <c r="B1156" s="40"/>
      <c r="C1156" s="40"/>
      <c r="D1156" s="41"/>
      <c r="E1156" s="42"/>
      <c r="F1156" s="42"/>
      <c r="G1156" s="43"/>
      <c r="H1156" s="42"/>
      <c r="I1156" s="43"/>
      <c r="J1156" s="43"/>
      <c r="K1156" s="25" t="e">
        <f>VLOOKUP(J1156,Key!$E$2:$F$9,2,FALSE)</f>
        <v>#N/A</v>
      </c>
      <c r="L1156" s="42"/>
      <c r="M1156" s="43"/>
      <c r="N1156" s="42"/>
      <c r="O1156" s="43"/>
      <c r="P1156" s="43"/>
      <c r="Q1156" s="25" t="e">
        <f>VLOOKUP(P1156,Key!$E$2:$F$9,2,FALSE)</f>
        <v>#N/A</v>
      </c>
      <c r="R1156" s="25" t="e">
        <f t="shared" si="18"/>
        <v>#N/A</v>
      </c>
      <c r="S1156" s="58"/>
      <c r="T1156" s="58"/>
      <c r="U1156" s="43"/>
      <c r="V1156" s="43"/>
      <c r="W1156" s="58"/>
      <c r="X1156" s="58"/>
      <c r="Y1156" s="59"/>
      <c r="Z1156" s="60"/>
      <c r="AA1156" s="25"/>
      <c r="AB1156" s="25"/>
    </row>
    <row r="1157" spans="2:28">
      <c r="B1157" s="40"/>
      <c r="C1157" s="40"/>
      <c r="D1157" s="41"/>
      <c r="E1157" s="42"/>
      <c r="F1157" s="42"/>
      <c r="G1157" s="43"/>
      <c r="H1157" s="42"/>
      <c r="I1157" s="43"/>
      <c r="J1157" s="43"/>
      <c r="K1157" s="25" t="e">
        <f>VLOOKUP(J1157,Key!$E$2:$F$9,2,FALSE)</f>
        <v>#N/A</v>
      </c>
      <c r="L1157" s="42"/>
      <c r="M1157" s="43"/>
      <c r="N1157" s="42"/>
      <c r="O1157" s="43"/>
      <c r="P1157" s="43"/>
      <c r="Q1157" s="25" t="e">
        <f>VLOOKUP(P1157,Key!$E$2:$F$9,2,FALSE)</f>
        <v>#N/A</v>
      </c>
      <c r="R1157" s="25" t="e">
        <f t="shared" si="18"/>
        <v>#N/A</v>
      </c>
      <c r="S1157" s="58"/>
      <c r="T1157" s="58"/>
      <c r="U1157" s="43"/>
      <c r="V1157" s="43"/>
      <c r="W1157" s="58"/>
      <c r="X1157" s="58"/>
      <c r="Y1157" s="59"/>
      <c r="Z1157" s="60"/>
      <c r="AA1157" s="25"/>
      <c r="AB1157" s="25"/>
    </row>
    <row r="1158" spans="2:28">
      <c r="B1158" s="40"/>
      <c r="C1158" s="40"/>
      <c r="D1158" s="41"/>
      <c r="E1158" s="42"/>
      <c r="F1158" s="42"/>
      <c r="G1158" s="43"/>
      <c r="H1158" s="42"/>
      <c r="I1158" s="43"/>
      <c r="J1158" s="43"/>
      <c r="K1158" s="25" t="e">
        <f>VLOOKUP(J1158,Key!$E$2:$F$9,2,FALSE)</f>
        <v>#N/A</v>
      </c>
      <c r="L1158" s="42"/>
      <c r="M1158" s="43"/>
      <c r="N1158" s="42"/>
      <c r="O1158" s="43"/>
      <c r="P1158" s="43"/>
      <c r="Q1158" s="25" t="e">
        <f>VLOOKUP(P1158,Key!$E$2:$F$9,2,FALSE)</f>
        <v>#N/A</v>
      </c>
      <c r="R1158" s="25" t="e">
        <f t="shared" si="18"/>
        <v>#N/A</v>
      </c>
      <c r="S1158" s="58"/>
      <c r="T1158" s="58"/>
      <c r="U1158" s="43"/>
      <c r="V1158" s="43"/>
      <c r="W1158" s="58"/>
      <c r="X1158" s="58"/>
      <c r="Y1158" s="59"/>
      <c r="Z1158" s="60"/>
      <c r="AA1158" s="25"/>
      <c r="AB1158" s="25"/>
    </row>
    <row r="1159" spans="2:28">
      <c r="B1159" s="40"/>
      <c r="C1159" s="40"/>
      <c r="D1159" s="41"/>
      <c r="E1159" s="42"/>
      <c r="F1159" s="42"/>
      <c r="G1159" s="43"/>
      <c r="H1159" s="42"/>
      <c r="I1159" s="43"/>
      <c r="J1159" s="43"/>
      <c r="K1159" s="25" t="e">
        <f>VLOOKUP(J1159,Key!$E$2:$F$9,2,FALSE)</f>
        <v>#N/A</v>
      </c>
      <c r="L1159" s="42"/>
      <c r="M1159" s="43"/>
      <c r="N1159" s="42"/>
      <c r="O1159" s="43"/>
      <c r="P1159" s="43"/>
      <c r="Q1159" s="25" t="e">
        <f>VLOOKUP(P1159,Key!$E$2:$F$9,2,FALSE)</f>
        <v>#N/A</v>
      </c>
      <c r="R1159" s="25" t="e">
        <f t="shared" si="18"/>
        <v>#N/A</v>
      </c>
      <c r="S1159" s="58"/>
      <c r="T1159" s="58"/>
      <c r="U1159" s="43"/>
      <c r="V1159" s="43"/>
      <c r="W1159" s="58"/>
      <c r="X1159" s="58"/>
      <c r="Y1159" s="59"/>
      <c r="Z1159" s="60"/>
      <c r="AA1159" s="25"/>
      <c r="AB1159" s="25"/>
    </row>
    <row r="1160" spans="2:28">
      <c r="B1160" s="40"/>
      <c r="C1160" s="40"/>
      <c r="D1160" s="41"/>
      <c r="E1160" s="42"/>
      <c r="F1160" s="42"/>
      <c r="G1160" s="43"/>
      <c r="H1160" s="42"/>
      <c r="I1160" s="43"/>
      <c r="J1160" s="43"/>
      <c r="K1160" s="25" t="e">
        <f>VLOOKUP(J1160,Key!$E$2:$F$9,2,FALSE)</f>
        <v>#N/A</v>
      </c>
      <c r="L1160" s="42"/>
      <c r="M1160" s="43"/>
      <c r="N1160" s="42"/>
      <c r="O1160" s="43"/>
      <c r="P1160" s="43"/>
      <c r="Q1160" s="25" t="e">
        <f>VLOOKUP(P1160,Key!$E$2:$F$9,2,FALSE)</f>
        <v>#N/A</v>
      </c>
      <c r="R1160" s="25" t="e">
        <f t="shared" si="18"/>
        <v>#N/A</v>
      </c>
      <c r="S1160" s="58"/>
      <c r="T1160" s="58"/>
      <c r="U1160" s="43"/>
      <c r="V1160" s="43"/>
      <c r="W1160" s="58"/>
      <c r="X1160" s="58"/>
      <c r="Y1160" s="59"/>
      <c r="Z1160" s="60"/>
      <c r="AA1160" s="25"/>
      <c r="AB1160" s="25"/>
    </row>
    <row r="1161" spans="2:28">
      <c r="B1161" s="40"/>
      <c r="C1161" s="40"/>
      <c r="D1161" s="41"/>
      <c r="E1161" s="42"/>
      <c r="F1161" s="42"/>
      <c r="G1161" s="43"/>
      <c r="H1161" s="42"/>
      <c r="I1161" s="43"/>
      <c r="J1161" s="43"/>
      <c r="K1161" s="25" t="e">
        <f>VLOOKUP(J1161,Key!$E$2:$F$9,2,FALSE)</f>
        <v>#N/A</v>
      </c>
      <c r="L1161" s="42"/>
      <c r="M1161" s="43"/>
      <c r="N1161" s="42"/>
      <c r="O1161" s="43"/>
      <c r="P1161" s="43"/>
      <c r="Q1161" s="25" t="e">
        <f>VLOOKUP(P1161,Key!$E$2:$F$9,2,FALSE)</f>
        <v>#N/A</v>
      </c>
      <c r="R1161" s="25" t="e">
        <f t="shared" si="18"/>
        <v>#N/A</v>
      </c>
      <c r="S1161" s="58"/>
      <c r="T1161" s="58"/>
      <c r="U1161" s="43"/>
      <c r="V1161" s="43"/>
      <c r="W1161" s="58"/>
      <c r="X1161" s="58"/>
      <c r="Y1161" s="59"/>
      <c r="Z1161" s="60"/>
      <c r="AA1161" s="25"/>
      <c r="AB1161" s="25"/>
    </row>
    <row r="1162" spans="2:28">
      <c r="B1162" s="40"/>
      <c r="C1162" s="40"/>
      <c r="D1162" s="41"/>
      <c r="E1162" s="42"/>
      <c r="F1162" s="42"/>
      <c r="G1162" s="43"/>
      <c r="H1162" s="42"/>
      <c r="I1162" s="43"/>
      <c r="J1162" s="43"/>
      <c r="K1162" s="25" t="e">
        <f>VLOOKUP(J1162,Key!$E$2:$F$9,2,FALSE)</f>
        <v>#N/A</v>
      </c>
      <c r="L1162" s="42"/>
      <c r="M1162" s="43"/>
      <c r="N1162" s="42"/>
      <c r="O1162" s="43"/>
      <c r="P1162" s="43"/>
      <c r="Q1162" s="25" t="e">
        <f>VLOOKUP(P1162,Key!$E$2:$F$9,2,FALSE)</f>
        <v>#N/A</v>
      </c>
      <c r="R1162" s="25" t="e">
        <f t="shared" si="18"/>
        <v>#N/A</v>
      </c>
      <c r="S1162" s="58"/>
      <c r="T1162" s="58"/>
      <c r="U1162" s="43"/>
      <c r="V1162" s="43"/>
      <c r="W1162" s="58"/>
      <c r="X1162" s="58"/>
      <c r="Y1162" s="59"/>
      <c r="Z1162" s="60"/>
      <c r="AA1162" s="25"/>
      <c r="AB1162" s="25"/>
    </row>
    <row r="1163" spans="2:28">
      <c r="B1163" s="40"/>
      <c r="C1163" s="40"/>
      <c r="D1163" s="41"/>
      <c r="E1163" s="42"/>
      <c r="F1163" s="42"/>
      <c r="G1163" s="43"/>
      <c r="H1163" s="42"/>
      <c r="I1163" s="43"/>
      <c r="J1163" s="43"/>
      <c r="K1163" s="25" t="e">
        <f>VLOOKUP(J1163,Key!$E$2:$F$9,2,FALSE)</f>
        <v>#N/A</v>
      </c>
      <c r="L1163" s="42"/>
      <c r="M1163" s="43"/>
      <c r="N1163" s="42"/>
      <c r="O1163" s="43"/>
      <c r="P1163" s="43"/>
      <c r="Q1163" s="25" t="e">
        <f>VLOOKUP(P1163,Key!$E$2:$F$9,2,FALSE)</f>
        <v>#N/A</v>
      </c>
      <c r="R1163" s="25" t="e">
        <f t="shared" si="18"/>
        <v>#N/A</v>
      </c>
      <c r="S1163" s="58"/>
      <c r="T1163" s="58"/>
      <c r="U1163" s="43"/>
      <c r="V1163" s="43"/>
      <c r="W1163" s="58"/>
      <c r="X1163" s="58"/>
      <c r="Y1163" s="59"/>
      <c r="Z1163" s="60"/>
      <c r="AA1163" s="25"/>
      <c r="AB1163" s="25"/>
    </row>
    <row r="1164" spans="2:28">
      <c r="B1164" s="40"/>
      <c r="C1164" s="40"/>
      <c r="D1164" s="41"/>
      <c r="E1164" s="42"/>
      <c r="F1164" s="42"/>
      <c r="G1164" s="43"/>
      <c r="H1164" s="42"/>
      <c r="I1164" s="43"/>
      <c r="J1164" s="43"/>
      <c r="K1164" s="25" t="e">
        <f>VLOOKUP(J1164,Key!$E$2:$F$9,2,FALSE)</f>
        <v>#N/A</v>
      </c>
      <c r="L1164" s="42"/>
      <c r="M1164" s="43"/>
      <c r="N1164" s="42"/>
      <c r="O1164" s="43"/>
      <c r="P1164" s="43"/>
      <c r="Q1164" s="25" t="e">
        <f>VLOOKUP(P1164,Key!$E$2:$F$9,2,FALSE)</f>
        <v>#N/A</v>
      </c>
      <c r="R1164" s="25" t="e">
        <f t="shared" si="18"/>
        <v>#N/A</v>
      </c>
      <c r="S1164" s="58"/>
      <c r="T1164" s="58"/>
      <c r="U1164" s="43"/>
      <c r="V1164" s="43"/>
      <c r="W1164" s="58"/>
      <c r="X1164" s="58"/>
      <c r="Y1164" s="59"/>
      <c r="Z1164" s="60"/>
      <c r="AA1164" s="25"/>
      <c r="AB1164" s="25"/>
    </row>
    <row r="1165" spans="2:28">
      <c r="B1165" s="40"/>
      <c r="C1165" s="40"/>
      <c r="D1165" s="41"/>
      <c r="E1165" s="42"/>
      <c r="F1165" s="42"/>
      <c r="G1165" s="43"/>
      <c r="H1165" s="42"/>
      <c r="I1165" s="43"/>
      <c r="J1165" s="43"/>
      <c r="K1165" s="25" t="e">
        <f>VLOOKUP(J1165,Key!$E$2:$F$9,2,FALSE)</f>
        <v>#N/A</v>
      </c>
      <c r="L1165" s="42"/>
      <c r="M1165" s="43"/>
      <c r="N1165" s="42"/>
      <c r="O1165" s="43"/>
      <c r="P1165" s="43"/>
      <c r="Q1165" s="25" t="e">
        <f>VLOOKUP(P1165,Key!$E$2:$F$9,2,FALSE)</f>
        <v>#N/A</v>
      </c>
      <c r="R1165" s="25" t="e">
        <f t="shared" si="18"/>
        <v>#N/A</v>
      </c>
      <c r="S1165" s="58"/>
      <c r="T1165" s="58"/>
      <c r="U1165" s="43"/>
      <c r="V1165" s="43"/>
      <c r="W1165" s="58"/>
      <c r="X1165" s="58"/>
      <c r="Y1165" s="59"/>
      <c r="Z1165" s="60"/>
      <c r="AA1165" s="25"/>
      <c r="AB1165" s="25"/>
    </row>
    <row r="1166" spans="2:28">
      <c r="B1166" s="40"/>
      <c r="C1166" s="40"/>
      <c r="D1166" s="41"/>
      <c r="E1166" s="42"/>
      <c r="F1166" s="42"/>
      <c r="G1166" s="43"/>
      <c r="H1166" s="42"/>
      <c r="I1166" s="43"/>
      <c r="J1166" s="43"/>
      <c r="K1166" s="25" t="e">
        <f>VLOOKUP(J1166,Key!$E$2:$F$9,2,FALSE)</f>
        <v>#N/A</v>
      </c>
      <c r="L1166" s="42"/>
      <c r="M1166" s="43"/>
      <c r="N1166" s="42"/>
      <c r="O1166" s="43"/>
      <c r="P1166" s="43"/>
      <c r="Q1166" s="25" t="e">
        <f>VLOOKUP(P1166,Key!$E$2:$F$9,2,FALSE)</f>
        <v>#N/A</v>
      </c>
      <c r="R1166" s="25" t="e">
        <f t="shared" si="18"/>
        <v>#N/A</v>
      </c>
      <c r="S1166" s="58"/>
      <c r="T1166" s="58"/>
      <c r="U1166" s="43"/>
      <c r="V1166" s="43"/>
      <c r="W1166" s="58"/>
      <c r="X1166" s="58"/>
      <c r="Y1166" s="59"/>
      <c r="Z1166" s="60"/>
      <c r="AA1166" s="25"/>
      <c r="AB1166" s="25"/>
    </row>
    <row r="1167" spans="2:28">
      <c r="B1167" s="40"/>
      <c r="C1167" s="40"/>
      <c r="D1167" s="41"/>
      <c r="E1167" s="42"/>
      <c r="F1167" s="42"/>
      <c r="G1167" s="43"/>
      <c r="H1167" s="42"/>
      <c r="I1167" s="43"/>
      <c r="J1167" s="43"/>
      <c r="K1167" s="25" t="e">
        <f>VLOOKUP(J1167,Key!$E$2:$F$9,2,FALSE)</f>
        <v>#N/A</v>
      </c>
      <c r="L1167" s="42"/>
      <c r="M1167" s="43"/>
      <c r="N1167" s="42"/>
      <c r="O1167" s="43"/>
      <c r="P1167" s="43"/>
      <c r="Q1167" s="25" t="e">
        <f>VLOOKUP(P1167,Key!$E$2:$F$9,2,FALSE)</f>
        <v>#N/A</v>
      </c>
      <c r="R1167" s="25" t="e">
        <f t="shared" si="18"/>
        <v>#N/A</v>
      </c>
      <c r="S1167" s="58"/>
      <c r="T1167" s="58"/>
      <c r="U1167" s="43"/>
      <c r="V1167" s="43"/>
      <c r="W1167" s="58"/>
      <c r="X1167" s="58"/>
      <c r="Y1167" s="59"/>
      <c r="Z1167" s="60"/>
      <c r="AA1167" s="25"/>
      <c r="AB1167" s="25"/>
    </row>
    <row r="1168" spans="2:28">
      <c r="B1168" s="40"/>
      <c r="C1168" s="40"/>
      <c r="D1168" s="41"/>
      <c r="E1168" s="42"/>
      <c r="F1168" s="42"/>
      <c r="G1168" s="43"/>
      <c r="H1168" s="42"/>
      <c r="I1168" s="43"/>
      <c r="J1168" s="43"/>
      <c r="K1168" s="25" t="e">
        <f>VLOOKUP(J1168,Key!$E$2:$F$9,2,FALSE)</f>
        <v>#N/A</v>
      </c>
      <c r="L1168" s="42"/>
      <c r="M1168" s="43"/>
      <c r="N1168" s="42"/>
      <c r="O1168" s="43"/>
      <c r="P1168" s="43"/>
      <c r="Q1168" s="25" t="e">
        <f>VLOOKUP(P1168,Key!$E$2:$F$9,2,FALSE)</f>
        <v>#N/A</v>
      </c>
      <c r="R1168" s="25" t="e">
        <f t="shared" si="18"/>
        <v>#N/A</v>
      </c>
      <c r="S1168" s="58"/>
      <c r="T1168" s="58"/>
      <c r="U1168" s="43"/>
      <c r="V1168" s="43"/>
      <c r="W1168" s="58"/>
      <c r="X1168" s="58"/>
      <c r="Y1168" s="59"/>
      <c r="Z1168" s="60"/>
      <c r="AA1168" s="25"/>
      <c r="AB1168" s="25"/>
    </row>
    <row r="1169" spans="2:28">
      <c r="B1169" s="40"/>
      <c r="C1169" s="40"/>
      <c r="D1169" s="41"/>
      <c r="E1169" s="42"/>
      <c r="F1169" s="42"/>
      <c r="G1169" s="43"/>
      <c r="H1169" s="42"/>
      <c r="I1169" s="43"/>
      <c r="J1169" s="43"/>
      <c r="K1169" s="25" t="e">
        <f>VLOOKUP(J1169,Key!$E$2:$F$9,2,FALSE)</f>
        <v>#N/A</v>
      </c>
      <c r="L1169" s="42"/>
      <c r="M1169" s="43"/>
      <c r="N1169" s="42"/>
      <c r="O1169" s="43"/>
      <c r="P1169" s="43"/>
      <c r="Q1169" s="25" t="e">
        <f>VLOOKUP(P1169,Key!$E$2:$F$9,2,FALSE)</f>
        <v>#N/A</v>
      </c>
      <c r="R1169" s="25" t="e">
        <f t="shared" si="18"/>
        <v>#N/A</v>
      </c>
      <c r="S1169" s="58"/>
      <c r="T1169" s="58"/>
      <c r="U1169" s="43"/>
      <c r="V1169" s="43"/>
      <c r="W1169" s="58"/>
      <c r="X1169" s="58"/>
      <c r="Y1169" s="59"/>
      <c r="Z1169" s="60"/>
      <c r="AA1169" s="25"/>
      <c r="AB1169" s="25"/>
    </row>
    <row r="1170" spans="2:28">
      <c r="B1170" s="40"/>
      <c r="C1170" s="40"/>
      <c r="D1170" s="41"/>
      <c r="E1170" s="42"/>
      <c r="F1170" s="42"/>
      <c r="G1170" s="43"/>
      <c r="H1170" s="42"/>
      <c r="I1170" s="43"/>
      <c r="J1170" s="43"/>
      <c r="K1170" s="25" t="e">
        <f>VLOOKUP(J1170,Key!$E$2:$F$9,2,FALSE)</f>
        <v>#N/A</v>
      </c>
      <c r="L1170" s="42"/>
      <c r="M1170" s="43"/>
      <c r="N1170" s="42"/>
      <c r="O1170" s="43"/>
      <c r="P1170" s="43"/>
      <c r="Q1170" s="25" t="e">
        <f>VLOOKUP(P1170,Key!$E$2:$F$9,2,FALSE)</f>
        <v>#N/A</v>
      </c>
      <c r="R1170" s="25" t="e">
        <f t="shared" si="18"/>
        <v>#N/A</v>
      </c>
      <c r="S1170" s="58"/>
      <c r="T1170" s="58"/>
      <c r="U1170" s="43"/>
      <c r="V1170" s="43"/>
      <c r="W1170" s="58"/>
      <c r="X1170" s="58"/>
      <c r="Y1170" s="59"/>
      <c r="Z1170" s="60"/>
      <c r="AA1170" s="25"/>
      <c r="AB1170" s="25"/>
    </row>
    <row r="1171" spans="2:28">
      <c r="B1171" s="40"/>
      <c r="C1171" s="40"/>
      <c r="D1171" s="41"/>
      <c r="E1171" s="42"/>
      <c r="F1171" s="42"/>
      <c r="G1171" s="43"/>
      <c r="H1171" s="42"/>
      <c r="I1171" s="43"/>
      <c r="J1171" s="43"/>
      <c r="K1171" s="25" t="e">
        <f>VLOOKUP(J1171,Key!$E$2:$F$9,2,FALSE)</f>
        <v>#N/A</v>
      </c>
      <c r="L1171" s="42"/>
      <c r="M1171" s="43"/>
      <c r="N1171" s="42"/>
      <c r="O1171" s="43"/>
      <c r="P1171" s="43"/>
      <c r="Q1171" s="25" t="e">
        <f>VLOOKUP(P1171,Key!$E$2:$F$9,2,FALSE)</f>
        <v>#N/A</v>
      </c>
      <c r="R1171" s="25" t="e">
        <f t="shared" si="18"/>
        <v>#N/A</v>
      </c>
      <c r="S1171" s="58"/>
      <c r="T1171" s="58"/>
      <c r="U1171" s="43"/>
      <c r="V1171" s="43"/>
      <c r="W1171" s="58"/>
      <c r="X1171" s="58"/>
      <c r="Y1171" s="59"/>
      <c r="Z1171" s="60"/>
      <c r="AA1171" s="25"/>
      <c r="AB1171" s="25"/>
    </row>
    <row r="1172" spans="2:28">
      <c r="B1172" s="40"/>
      <c r="C1172" s="40"/>
      <c r="D1172" s="41"/>
      <c r="E1172" s="42"/>
      <c r="F1172" s="42"/>
      <c r="G1172" s="43"/>
      <c r="H1172" s="42"/>
      <c r="I1172" s="43"/>
      <c r="J1172" s="43"/>
      <c r="K1172" s="25" t="e">
        <f>VLOOKUP(J1172,Key!$E$2:$F$9,2,FALSE)</f>
        <v>#N/A</v>
      </c>
      <c r="L1172" s="42"/>
      <c r="M1172" s="43"/>
      <c r="N1172" s="42"/>
      <c r="O1172" s="43"/>
      <c r="P1172" s="43"/>
      <c r="Q1172" s="25" t="e">
        <f>VLOOKUP(P1172,Key!$E$2:$F$9,2,FALSE)</f>
        <v>#N/A</v>
      </c>
      <c r="R1172" s="25" t="e">
        <f t="shared" si="18"/>
        <v>#N/A</v>
      </c>
      <c r="S1172" s="58"/>
      <c r="T1172" s="58"/>
      <c r="U1172" s="43"/>
      <c r="V1172" s="43"/>
      <c r="W1172" s="58"/>
      <c r="X1172" s="58"/>
      <c r="Y1172" s="59"/>
      <c r="Z1172" s="60"/>
      <c r="AA1172" s="25"/>
      <c r="AB1172" s="25"/>
    </row>
    <row r="1173" spans="2:28">
      <c r="B1173" s="40"/>
      <c r="C1173" s="40"/>
      <c r="D1173" s="41"/>
      <c r="E1173" s="42"/>
      <c r="F1173" s="42"/>
      <c r="G1173" s="43"/>
      <c r="H1173" s="42"/>
      <c r="I1173" s="43"/>
      <c r="J1173" s="43"/>
      <c r="K1173" s="25" t="e">
        <f>VLOOKUP(J1173,Key!$E$2:$F$9,2,FALSE)</f>
        <v>#N/A</v>
      </c>
      <c r="L1173" s="42"/>
      <c r="M1173" s="43"/>
      <c r="N1173" s="42"/>
      <c r="O1173" s="43"/>
      <c r="P1173" s="43"/>
      <c r="Q1173" s="25" t="e">
        <f>VLOOKUP(P1173,Key!$E$2:$F$9,2,FALSE)</f>
        <v>#N/A</v>
      </c>
      <c r="R1173" s="25" t="e">
        <f t="shared" si="18"/>
        <v>#N/A</v>
      </c>
      <c r="S1173" s="58"/>
      <c r="T1173" s="58"/>
      <c r="U1173" s="43"/>
      <c r="V1173" s="43"/>
      <c r="W1173" s="58"/>
      <c r="X1173" s="58"/>
      <c r="Y1173" s="59"/>
      <c r="Z1173" s="60"/>
      <c r="AA1173" s="25"/>
      <c r="AB1173" s="25"/>
    </row>
    <row r="1174" spans="2:28">
      <c r="B1174" s="40"/>
      <c r="C1174" s="40"/>
      <c r="D1174" s="41"/>
      <c r="E1174" s="42"/>
      <c r="F1174" s="42"/>
      <c r="G1174" s="43"/>
      <c r="H1174" s="42"/>
      <c r="I1174" s="43"/>
      <c r="J1174" s="43"/>
      <c r="K1174" s="25" t="e">
        <f>VLOOKUP(J1174,Key!$E$2:$F$9,2,FALSE)</f>
        <v>#N/A</v>
      </c>
      <c r="L1174" s="42"/>
      <c r="M1174" s="43"/>
      <c r="N1174" s="42"/>
      <c r="O1174" s="43"/>
      <c r="P1174" s="43"/>
      <c r="Q1174" s="25" t="e">
        <f>VLOOKUP(P1174,Key!$E$2:$F$9,2,FALSE)</f>
        <v>#N/A</v>
      </c>
      <c r="R1174" s="25" t="e">
        <f t="shared" si="18"/>
        <v>#N/A</v>
      </c>
      <c r="S1174" s="58"/>
      <c r="T1174" s="58"/>
      <c r="U1174" s="43"/>
      <c r="V1174" s="43"/>
      <c r="W1174" s="58"/>
      <c r="X1174" s="58"/>
      <c r="Y1174" s="59"/>
      <c r="Z1174" s="60"/>
      <c r="AA1174" s="25"/>
      <c r="AB1174" s="25"/>
    </row>
    <row r="1175" spans="2:28">
      <c r="B1175" s="40"/>
      <c r="C1175" s="40"/>
      <c r="D1175" s="41"/>
      <c r="E1175" s="42"/>
      <c r="F1175" s="42"/>
      <c r="G1175" s="43"/>
      <c r="H1175" s="42"/>
      <c r="I1175" s="43"/>
      <c r="J1175" s="43"/>
      <c r="K1175" s="25" t="e">
        <f>VLOOKUP(J1175,Key!$E$2:$F$9,2,FALSE)</f>
        <v>#N/A</v>
      </c>
      <c r="L1175" s="42"/>
      <c r="M1175" s="43"/>
      <c r="N1175" s="42"/>
      <c r="O1175" s="43"/>
      <c r="P1175" s="43"/>
      <c r="Q1175" s="25" t="e">
        <f>VLOOKUP(P1175,Key!$E$2:$F$9,2,FALSE)</f>
        <v>#N/A</v>
      </c>
      <c r="R1175" s="25" t="e">
        <f t="shared" si="18"/>
        <v>#N/A</v>
      </c>
      <c r="S1175" s="58"/>
      <c r="T1175" s="58"/>
      <c r="U1175" s="43"/>
      <c r="V1175" s="43"/>
      <c r="W1175" s="58"/>
      <c r="X1175" s="58"/>
      <c r="Y1175" s="59"/>
      <c r="Z1175" s="60"/>
      <c r="AA1175" s="25"/>
      <c r="AB1175" s="25"/>
    </row>
    <row r="1176" spans="2:28">
      <c r="B1176" s="40"/>
      <c r="C1176" s="40"/>
      <c r="D1176" s="41"/>
      <c r="E1176" s="42"/>
      <c r="F1176" s="42"/>
      <c r="G1176" s="43"/>
      <c r="H1176" s="42"/>
      <c r="I1176" s="43"/>
      <c r="J1176" s="43"/>
      <c r="K1176" s="25" t="e">
        <f>VLOOKUP(J1176,Key!$E$2:$F$9,2,FALSE)</f>
        <v>#N/A</v>
      </c>
      <c r="L1176" s="42"/>
      <c r="M1176" s="43"/>
      <c r="N1176" s="42"/>
      <c r="O1176" s="43"/>
      <c r="P1176" s="43"/>
      <c r="Q1176" s="25" t="e">
        <f>VLOOKUP(P1176,Key!$E$2:$F$9,2,FALSE)</f>
        <v>#N/A</v>
      </c>
      <c r="R1176" s="25" t="e">
        <f t="shared" si="18"/>
        <v>#N/A</v>
      </c>
      <c r="S1176" s="58"/>
      <c r="T1176" s="58"/>
      <c r="U1176" s="43"/>
      <c r="V1176" s="43"/>
      <c r="W1176" s="58"/>
      <c r="X1176" s="58"/>
      <c r="Y1176" s="59"/>
      <c r="Z1176" s="60"/>
      <c r="AA1176" s="25"/>
      <c r="AB1176" s="25"/>
    </row>
    <row r="1177" spans="2:28">
      <c r="B1177" s="40"/>
      <c r="C1177" s="40"/>
      <c r="D1177" s="41"/>
      <c r="E1177" s="42"/>
      <c r="F1177" s="42"/>
      <c r="G1177" s="43"/>
      <c r="H1177" s="42"/>
      <c r="I1177" s="43"/>
      <c r="J1177" s="43"/>
      <c r="K1177" s="25" t="e">
        <f>VLOOKUP(J1177,Key!$E$2:$F$9,2,FALSE)</f>
        <v>#N/A</v>
      </c>
      <c r="L1177" s="42"/>
      <c r="M1177" s="43"/>
      <c r="N1177" s="42"/>
      <c r="O1177" s="43"/>
      <c r="P1177" s="43"/>
      <c r="Q1177" s="25" t="e">
        <f>VLOOKUP(P1177,Key!$E$2:$F$9,2,FALSE)</f>
        <v>#N/A</v>
      </c>
      <c r="R1177" s="25" t="e">
        <f t="shared" si="18"/>
        <v>#N/A</v>
      </c>
      <c r="S1177" s="58"/>
      <c r="T1177" s="58"/>
      <c r="U1177" s="43"/>
      <c r="V1177" s="43"/>
      <c r="W1177" s="58"/>
      <c r="X1177" s="58"/>
      <c r="Y1177" s="59"/>
      <c r="Z1177" s="60"/>
      <c r="AA1177" s="25"/>
      <c r="AB1177" s="25"/>
    </row>
    <row r="1178" spans="2:28">
      <c r="B1178" s="40"/>
      <c r="C1178" s="40"/>
      <c r="D1178" s="41"/>
      <c r="E1178" s="42"/>
      <c r="F1178" s="42"/>
      <c r="G1178" s="43"/>
      <c r="H1178" s="42"/>
      <c r="I1178" s="43"/>
      <c r="J1178" s="43"/>
      <c r="K1178" s="25" t="e">
        <f>VLOOKUP(J1178,Key!$E$2:$F$9,2,FALSE)</f>
        <v>#N/A</v>
      </c>
      <c r="L1178" s="42"/>
      <c r="M1178" s="43"/>
      <c r="N1178" s="42"/>
      <c r="O1178" s="43"/>
      <c r="P1178" s="43"/>
      <c r="Q1178" s="25" t="e">
        <f>VLOOKUP(P1178,Key!$E$2:$F$9,2,FALSE)</f>
        <v>#N/A</v>
      </c>
      <c r="R1178" s="25" t="e">
        <f t="shared" si="18"/>
        <v>#N/A</v>
      </c>
      <c r="S1178" s="58"/>
      <c r="T1178" s="58"/>
      <c r="U1178" s="43"/>
      <c r="V1178" s="43"/>
      <c r="W1178" s="58"/>
      <c r="X1178" s="58"/>
      <c r="Y1178" s="59"/>
      <c r="Z1178" s="60"/>
      <c r="AA1178" s="25"/>
      <c r="AB1178" s="25"/>
    </row>
    <row r="1179" spans="2:28">
      <c r="B1179" s="40"/>
      <c r="C1179" s="40"/>
      <c r="D1179" s="41"/>
      <c r="E1179" s="42"/>
      <c r="F1179" s="42"/>
      <c r="G1179" s="43"/>
      <c r="H1179" s="42"/>
      <c r="I1179" s="43"/>
      <c r="J1179" s="43"/>
      <c r="K1179" s="25" t="e">
        <f>VLOOKUP(J1179,Key!$E$2:$F$9,2,FALSE)</f>
        <v>#N/A</v>
      </c>
      <c r="L1179" s="42"/>
      <c r="M1179" s="43"/>
      <c r="N1179" s="42"/>
      <c r="O1179" s="43"/>
      <c r="P1179" s="43"/>
      <c r="Q1179" s="25" t="e">
        <f>VLOOKUP(P1179,Key!$E$2:$F$9,2,FALSE)</f>
        <v>#N/A</v>
      </c>
      <c r="R1179" s="25" t="e">
        <f t="shared" si="18"/>
        <v>#N/A</v>
      </c>
      <c r="S1179" s="58"/>
      <c r="T1179" s="58"/>
      <c r="U1179" s="43"/>
      <c r="V1179" s="43"/>
      <c r="W1179" s="58"/>
      <c r="X1179" s="58"/>
      <c r="Y1179" s="59"/>
      <c r="Z1179" s="60"/>
      <c r="AA1179" s="25"/>
      <c r="AB1179" s="25"/>
    </row>
    <row r="1180" spans="2:28">
      <c r="B1180" s="40"/>
      <c r="C1180" s="40"/>
      <c r="D1180" s="41"/>
      <c r="E1180" s="42"/>
      <c r="F1180" s="42"/>
      <c r="G1180" s="43"/>
      <c r="H1180" s="42"/>
      <c r="I1180" s="43"/>
      <c r="J1180" s="43"/>
      <c r="K1180" s="25" t="e">
        <f>VLOOKUP(J1180,Key!$E$2:$F$9,2,FALSE)</f>
        <v>#N/A</v>
      </c>
      <c r="L1180" s="42"/>
      <c r="M1180" s="43"/>
      <c r="N1180" s="42"/>
      <c r="O1180" s="43"/>
      <c r="P1180" s="43"/>
      <c r="Q1180" s="25" t="e">
        <f>VLOOKUP(P1180,Key!$E$2:$F$9,2,FALSE)</f>
        <v>#N/A</v>
      </c>
      <c r="R1180" s="25" t="e">
        <f t="shared" si="18"/>
        <v>#N/A</v>
      </c>
      <c r="S1180" s="58"/>
      <c r="T1180" s="58"/>
      <c r="U1180" s="43"/>
      <c r="V1180" s="43"/>
      <c r="W1180" s="58"/>
      <c r="X1180" s="58"/>
      <c r="Y1180" s="59"/>
      <c r="Z1180" s="60"/>
      <c r="AA1180" s="25"/>
      <c r="AB1180" s="25"/>
    </row>
    <row r="1181" spans="2:28">
      <c r="B1181" s="40"/>
      <c r="C1181" s="40"/>
      <c r="D1181" s="41"/>
      <c r="E1181" s="42"/>
      <c r="F1181" s="42"/>
      <c r="G1181" s="43"/>
      <c r="H1181" s="42"/>
      <c r="I1181" s="43"/>
      <c r="J1181" s="43"/>
      <c r="K1181" s="25" t="e">
        <f>VLOOKUP(J1181,Key!$E$2:$F$9,2,FALSE)</f>
        <v>#N/A</v>
      </c>
      <c r="L1181" s="42"/>
      <c r="M1181" s="43"/>
      <c r="N1181" s="42"/>
      <c r="O1181" s="43"/>
      <c r="P1181" s="43"/>
      <c r="Q1181" s="25" t="e">
        <f>VLOOKUP(P1181,Key!$E$2:$F$9,2,FALSE)</f>
        <v>#N/A</v>
      </c>
      <c r="R1181" s="25" t="e">
        <f t="shared" si="18"/>
        <v>#N/A</v>
      </c>
      <c r="S1181" s="58"/>
      <c r="T1181" s="58"/>
      <c r="U1181" s="43"/>
      <c r="V1181" s="43"/>
      <c r="W1181" s="58"/>
      <c r="X1181" s="58"/>
      <c r="Y1181" s="59"/>
      <c r="Z1181" s="60"/>
      <c r="AA1181" s="25"/>
      <c r="AB1181" s="25"/>
    </row>
    <row r="1182" spans="2:28">
      <c r="B1182" s="40"/>
      <c r="C1182" s="40"/>
      <c r="D1182" s="41"/>
      <c r="E1182" s="42"/>
      <c r="F1182" s="42"/>
      <c r="G1182" s="43"/>
      <c r="H1182" s="42"/>
      <c r="I1182" s="43"/>
      <c r="J1182" s="43"/>
      <c r="K1182" s="25" t="e">
        <f>VLOOKUP(J1182,Key!$E$2:$F$9,2,FALSE)</f>
        <v>#N/A</v>
      </c>
      <c r="L1182" s="42"/>
      <c r="M1182" s="43"/>
      <c r="N1182" s="42"/>
      <c r="O1182" s="43"/>
      <c r="P1182" s="43"/>
      <c r="Q1182" s="25" t="e">
        <f>VLOOKUP(P1182,Key!$E$2:$F$9,2,FALSE)</f>
        <v>#N/A</v>
      </c>
      <c r="R1182" s="25" t="e">
        <f t="shared" si="18"/>
        <v>#N/A</v>
      </c>
      <c r="S1182" s="58"/>
      <c r="T1182" s="58"/>
      <c r="U1182" s="43"/>
      <c r="V1182" s="43"/>
      <c r="W1182" s="58"/>
      <c r="X1182" s="58"/>
      <c r="Y1182" s="59"/>
      <c r="Z1182" s="60"/>
      <c r="AA1182" s="25"/>
      <c r="AB1182" s="25"/>
    </row>
    <row r="1183" spans="2:28">
      <c r="B1183" s="40"/>
      <c r="C1183" s="40"/>
      <c r="D1183" s="41"/>
      <c r="E1183" s="42"/>
      <c r="F1183" s="42"/>
      <c r="G1183" s="43"/>
      <c r="H1183" s="42"/>
      <c r="I1183" s="43"/>
      <c r="J1183" s="43"/>
      <c r="K1183" s="25" t="e">
        <f>VLOOKUP(J1183,Key!$E$2:$F$9,2,FALSE)</f>
        <v>#N/A</v>
      </c>
      <c r="L1183" s="42"/>
      <c r="M1183" s="43"/>
      <c r="N1183" s="42"/>
      <c r="O1183" s="43"/>
      <c r="P1183" s="43"/>
      <c r="Q1183" s="25" t="e">
        <f>VLOOKUP(P1183,Key!$E$2:$F$9,2,FALSE)</f>
        <v>#N/A</v>
      </c>
      <c r="R1183" s="25" t="e">
        <f t="shared" si="18"/>
        <v>#N/A</v>
      </c>
      <c r="S1183" s="58"/>
      <c r="T1183" s="58"/>
      <c r="U1183" s="43"/>
      <c r="V1183" s="43"/>
      <c r="W1183" s="58"/>
      <c r="X1183" s="58"/>
      <c r="Y1183" s="59"/>
      <c r="Z1183" s="60"/>
      <c r="AA1183" s="25"/>
      <c r="AB1183" s="25"/>
    </row>
    <row r="1184" spans="2:28">
      <c r="B1184" s="40"/>
      <c r="C1184" s="40"/>
      <c r="D1184" s="41"/>
      <c r="E1184" s="42"/>
      <c r="F1184" s="42"/>
      <c r="G1184" s="43"/>
      <c r="H1184" s="42"/>
      <c r="I1184" s="43"/>
      <c r="J1184" s="43"/>
      <c r="K1184" s="25" t="e">
        <f>VLOOKUP(J1184,Key!$E$2:$F$9,2,FALSE)</f>
        <v>#N/A</v>
      </c>
      <c r="L1184" s="42"/>
      <c r="M1184" s="43"/>
      <c r="N1184" s="42"/>
      <c r="O1184" s="43"/>
      <c r="P1184" s="43"/>
      <c r="Q1184" s="25" t="e">
        <f>VLOOKUP(P1184,Key!$E$2:$F$9,2,FALSE)</f>
        <v>#N/A</v>
      </c>
      <c r="R1184" s="25" t="e">
        <f t="shared" si="18"/>
        <v>#N/A</v>
      </c>
      <c r="S1184" s="58"/>
      <c r="T1184" s="58"/>
      <c r="U1184" s="43"/>
      <c r="V1184" s="43"/>
      <c r="W1184" s="58"/>
      <c r="X1184" s="58"/>
      <c r="Y1184" s="59"/>
      <c r="Z1184" s="60"/>
      <c r="AA1184" s="25"/>
      <c r="AB1184" s="25"/>
    </row>
    <row r="1185" spans="2:28">
      <c r="B1185" s="40"/>
      <c r="C1185" s="40"/>
      <c r="D1185" s="41"/>
      <c r="E1185" s="42"/>
      <c r="F1185" s="42"/>
      <c r="G1185" s="43"/>
      <c r="H1185" s="42"/>
      <c r="I1185" s="43"/>
      <c r="J1185" s="43"/>
      <c r="K1185" s="25" t="e">
        <f>VLOOKUP(J1185,Key!$E$2:$F$9,2,FALSE)</f>
        <v>#N/A</v>
      </c>
      <c r="L1185" s="42"/>
      <c r="M1185" s="43"/>
      <c r="N1185" s="42"/>
      <c r="O1185" s="43"/>
      <c r="P1185" s="43"/>
      <c r="Q1185" s="25" t="e">
        <f>VLOOKUP(P1185,Key!$E$2:$F$9,2,FALSE)</f>
        <v>#N/A</v>
      </c>
      <c r="R1185" s="25" t="e">
        <f t="shared" si="18"/>
        <v>#N/A</v>
      </c>
      <c r="S1185" s="58"/>
      <c r="T1185" s="58"/>
      <c r="U1185" s="43"/>
      <c r="V1185" s="43"/>
      <c r="W1185" s="58"/>
      <c r="X1185" s="58"/>
      <c r="Y1185" s="59"/>
      <c r="Z1185" s="60"/>
      <c r="AA1185" s="25"/>
      <c r="AB1185" s="25"/>
    </row>
    <row r="1186" spans="2:28">
      <c r="B1186" s="40"/>
      <c r="C1186" s="40"/>
      <c r="D1186" s="41"/>
      <c r="E1186" s="42"/>
      <c r="F1186" s="42"/>
      <c r="G1186" s="43"/>
      <c r="H1186" s="42"/>
      <c r="I1186" s="43"/>
      <c r="J1186" s="43"/>
      <c r="K1186" s="25" t="e">
        <f>VLOOKUP(J1186,Key!$E$2:$F$9,2,FALSE)</f>
        <v>#N/A</v>
      </c>
      <c r="L1186" s="42"/>
      <c r="M1186" s="43"/>
      <c r="N1186" s="42"/>
      <c r="O1186" s="43"/>
      <c r="P1186" s="43"/>
      <c r="Q1186" s="25" t="e">
        <f>VLOOKUP(P1186,Key!$E$2:$F$9,2,FALSE)</f>
        <v>#N/A</v>
      </c>
      <c r="R1186" s="25" t="e">
        <f t="shared" si="18"/>
        <v>#N/A</v>
      </c>
      <c r="S1186" s="58"/>
      <c r="T1186" s="58"/>
      <c r="U1186" s="43"/>
      <c r="V1186" s="43"/>
      <c r="W1186" s="58"/>
      <c r="X1186" s="58"/>
      <c r="Y1186" s="59"/>
      <c r="Z1186" s="60"/>
      <c r="AA1186" s="25"/>
      <c r="AB1186" s="25"/>
    </row>
    <row r="1187" spans="2:28">
      <c r="B1187" s="40"/>
      <c r="C1187" s="40"/>
      <c r="D1187" s="41"/>
      <c r="E1187" s="42"/>
      <c r="F1187" s="42"/>
      <c r="G1187" s="43"/>
      <c r="H1187" s="42"/>
      <c r="I1187" s="43"/>
      <c r="J1187" s="43"/>
      <c r="K1187" s="25" t="e">
        <f>VLOOKUP(J1187,Key!$E$2:$F$9,2,FALSE)</f>
        <v>#N/A</v>
      </c>
      <c r="L1187" s="42"/>
      <c r="M1187" s="43"/>
      <c r="N1187" s="42"/>
      <c r="O1187" s="43"/>
      <c r="P1187" s="43"/>
      <c r="Q1187" s="25" t="e">
        <f>VLOOKUP(P1187,Key!$E$2:$F$9,2,FALSE)</f>
        <v>#N/A</v>
      </c>
      <c r="R1187" s="25" t="e">
        <f t="shared" si="18"/>
        <v>#N/A</v>
      </c>
      <c r="S1187" s="58"/>
      <c r="T1187" s="58"/>
      <c r="U1187" s="43"/>
      <c r="V1187" s="43"/>
      <c r="W1187" s="58"/>
      <c r="X1187" s="58"/>
      <c r="Y1187" s="59"/>
      <c r="Z1187" s="60"/>
      <c r="AA1187" s="25"/>
      <c r="AB1187" s="25"/>
    </row>
    <row r="1188" spans="2:28">
      <c r="B1188" s="40"/>
      <c r="C1188" s="40"/>
      <c r="D1188" s="41"/>
      <c r="E1188" s="42"/>
      <c r="F1188" s="42"/>
      <c r="G1188" s="43"/>
      <c r="H1188" s="42"/>
      <c r="I1188" s="43"/>
      <c r="J1188" s="43"/>
      <c r="K1188" s="25" t="e">
        <f>VLOOKUP(J1188,Key!$E$2:$F$9,2,FALSE)</f>
        <v>#N/A</v>
      </c>
      <c r="L1188" s="42"/>
      <c r="M1188" s="43"/>
      <c r="N1188" s="42"/>
      <c r="O1188" s="43"/>
      <c r="P1188" s="43"/>
      <c r="Q1188" s="25" t="e">
        <f>VLOOKUP(P1188,Key!$E$2:$F$9,2,FALSE)</f>
        <v>#N/A</v>
      </c>
      <c r="R1188" s="25" t="e">
        <f t="shared" si="18"/>
        <v>#N/A</v>
      </c>
      <c r="S1188" s="58"/>
      <c r="T1188" s="58"/>
      <c r="U1188" s="43"/>
      <c r="V1188" s="43"/>
      <c r="W1188" s="58"/>
      <c r="X1188" s="58"/>
      <c r="Y1188" s="59"/>
      <c r="Z1188" s="60"/>
      <c r="AA1188" s="25"/>
      <c r="AB1188" s="25"/>
    </row>
    <row r="1189" spans="2:28">
      <c r="B1189" s="40"/>
      <c r="C1189" s="40"/>
      <c r="D1189" s="41"/>
      <c r="E1189" s="42"/>
      <c r="F1189" s="42"/>
      <c r="G1189" s="43"/>
      <c r="H1189" s="42"/>
      <c r="I1189" s="43"/>
      <c r="J1189" s="43"/>
      <c r="K1189" s="25" t="e">
        <f>VLOOKUP(J1189,Key!$E$2:$F$9,2,FALSE)</f>
        <v>#N/A</v>
      </c>
      <c r="L1189" s="42"/>
      <c r="M1189" s="43"/>
      <c r="N1189" s="42"/>
      <c r="O1189" s="43"/>
      <c r="P1189" s="43"/>
      <c r="Q1189" s="25" t="e">
        <f>VLOOKUP(P1189,Key!$E$2:$F$9,2,FALSE)</f>
        <v>#N/A</v>
      </c>
      <c r="R1189" s="25" t="e">
        <f t="shared" si="18"/>
        <v>#N/A</v>
      </c>
      <c r="S1189" s="58"/>
      <c r="T1189" s="58"/>
      <c r="U1189" s="43"/>
      <c r="V1189" s="43"/>
      <c r="W1189" s="58"/>
      <c r="X1189" s="58"/>
      <c r="Y1189" s="59"/>
      <c r="Z1189" s="60"/>
      <c r="AA1189" s="25"/>
      <c r="AB1189" s="25"/>
    </row>
    <row r="1190" spans="2:28">
      <c r="B1190" s="40"/>
      <c r="C1190" s="40"/>
      <c r="D1190" s="41"/>
      <c r="E1190" s="42"/>
      <c r="F1190" s="42"/>
      <c r="G1190" s="43"/>
      <c r="H1190" s="42"/>
      <c r="I1190" s="43"/>
      <c r="J1190" s="43"/>
      <c r="K1190" s="25" t="e">
        <f>VLOOKUP(J1190,Key!$E$2:$F$9,2,FALSE)</f>
        <v>#N/A</v>
      </c>
      <c r="L1190" s="42"/>
      <c r="M1190" s="43"/>
      <c r="N1190" s="42"/>
      <c r="O1190" s="43"/>
      <c r="P1190" s="43"/>
      <c r="Q1190" s="25" t="e">
        <f>VLOOKUP(P1190,Key!$E$2:$F$9,2,FALSE)</f>
        <v>#N/A</v>
      </c>
      <c r="R1190" s="25" t="e">
        <f t="shared" ref="R1190:R1253" si="19">K1190&amp;"-"&amp;Q1190</f>
        <v>#N/A</v>
      </c>
      <c r="S1190" s="58"/>
      <c r="T1190" s="58"/>
      <c r="U1190" s="43"/>
      <c r="V1190" s="43"/>
      <c r="W1190" s="58"/>
      <c r="X1190" s="58"/>
      <c r="Y1190" s="59"/>
      <c r="Z1190" s="60"/>
      <c r="AA1190" s="25"/>
      <c r="AB1190" s="25"/>
    </row>
    <row r="1191" spans="2:28">
      <c r="B1191" s="40"/>
      <c r="C1191" s="40"/>
      <c r="D1191" s="41"/>
      <c r="E1191" s="42"/>
      <c r="F1191" s="42"/>
      <c r="G1191" s="43"/>
      <c r="H1191" s="42"/>
      <c r="I1191" s="43"/>
      <c r="J1191" s="43"/>
      <c r="K1191" s="25" t="e">
        <f>VLOOKUP(J1191,Key!$E$2:$F$9,2,FALSE)</f>
        <v>#N/A</v>
      </c>
      <c r="L1191" s="42"/>
      <c r="M1191" s="43"/>
      <c r="N1191" s="42"/>
      <c r="O1191" s="43"/>
      <c r="P1191" s="43"/>
      <c r="Q1191" s="25" t="e">
        <f>VLOOKUP(P1191,Key!$E$2:$F$9,2,FALSE)</f>
        <v>#N/A</v>
      </c>
      <c r="R1191" s="25" t="e">
        <f t="shared" si="19"/>
        <v>#N/A</v>
      </c>
      <c r="S1191" s="58"/>
      <c r="T1191" s="58"/>
      <c r="U1191" s="43"/>
      <c r="V1191" s="43"/>
      <c r="W1191" s="58"/>
      <c r="X1191" s="58"/>
      <c r="Y1191" s="59"/>
      <c r="Z1191" s="60"/>
      <c r="AA1191" s="25"/>
      <c r="AB1191" s="25"/>
    </row>
    <row r="1192" spans="2:28">
      <c r="B1192" s="40"/>
      <c r="C1192" s="40"/>
      <c r="D1192" s="41"/>
      <c r="E1192" s="42"/>
      <c r="F1192" s="42"/>
      <c r="G1192" s="43"/>
      <c r="H1192" s="42"/>
      <c r="I1192" s="43"/>
      <c r="J1192" s="43"/>
      <c r="K1192" s="25" t="e">
        <f>VLOOKUP(J1192,Key!$E$2:$F$9,2,FALSE)</f>
        <v>#N/A</v>
      </c>
      <c r="L1192" s="42"/>
      <c r="M1192" s="43"/>
      <c r="N1192" s="42"/>
      <c r="O1192" s="43"/>
      <c r="P1192" s="43"/>
      <c r="Q1192" s="25" t="e">
        <f>VLOOKUP(P1192,Key!$E$2:$F$9,2,FALSE)</f>
        <v>#N/A</v>
      </c>
      <c r="R1192" s="25" t="e">
        <f t="shared" si="19"/>
        <v>#N/A</v>
      </c>
      <c r="S1192" s="58"/>
      <c r="T1192" s="58"/>
      <c r="U1192" s="43"/>
      <c r="V1192" s="43"/>
      <c r="W1192" s="58"/>
      <c r="X1192" s="58"/>
      <c r="Y1192" s="59"/>
      <c r="Z1192" s="60"/>
      <c r="AA1192" s="25"/>
      <c r="AB1192" s="25"/>
    </row>
    <row r="1193" spans="2:28">
      <c r="B1193" s="40"/>
      <c r="C1193" s="40"/>
      <c r="D1193" s="41"/>
      <c r="E1193" s="42"/>
      <c r="F1193" s="42"/>
      <c r="G1193" s="43"/>
      <c r="H1193" s="42"/>
      <c r="I1193" s="43"/>
      <c r="J1193" s="43"/>
      <c r="K1193" s="25" t="e">
        <f>VLOOKUP(J1193,Key!$E$2:$F$9,2,FALSE)</f>
        <v>#N/A</v>
      </c>
      <c r="L1193" s="42"/>
      <c r="M1193" s="43"/>
      <c r="N1193" s="42"/>
      <c r="O1193" s="43"/>
      <c r="P1193" s="43"/>
      <c r="Q1193" s="25" t="e">
        <f>VLOOKUP(P1193,Key!$E$2:$F$9,2,FALSE)</f>
        <v>#N/A</v>
      </c>
      <c r="R1193" s="25" t="e">
        <f t="shared" si="19"/>
        <v>#N/A</v>
      </c>
      <c r="S1193" s="58"/>
      <c r="T1193" s="58"/>
      <c r="U1193" s="43"/>
      <c r="V1193" s="43"/>
      <c r="W1193" s="58"/>
      <c r="X1193" s="58"/>
      <c r="Y1193" s="59"/>
      <c r="Z1193" s="60"/>
      <c r="AA1193" s="25"/>
      <c r="AB1193" s="25"/>
    </row>
    <row r="1194" spans="2:28">
      <c r="B1194" s="40"/>
      <c r="C1194" s="40"/>
      <c r="D1194" s="41"/>
      <c r="E1194" s="42"/>
      <c r="F1194" s="42"/>
      <c r="G1194" s="43"/>
      <c r="H1194" s="42"/>
      <c r="I1194" s="43"/>
      <c r="J1194" s="43"/>
      <c r="K1194" s="25" t="e">
        <f>VLOOKUP(J1194,Key!$E$2:$F$9,2,FALSE)</f>
        <v>#N/A</v>
      </c>
      <c r="L1194" s="42"/>
      <c r="M1194" s="43"/>
      <c r="N1194" s="42"/>
      <c r="O1194" s="43"/>
      <c r="P1194" s="43"/>
      <c r="Q1194" s="25" t="e">
        <f>VLOOKUP(P1194,Key!$E$2:$F$9,2,FALSE)</f>
        <v>#N/A</v>
      </c>
      <c r="R1194" s="25" t="e">
        <f t="shared" si="19"/>
        <v>#N/A</v>
      </c>
      <c r="S1194" s="58"/>
      <c r="T1194" s="58"/>
      <c r="U1194" s="43"/>
      <c r="V1194" s="43"/>
      <c r="W1194" s="58"/>
      <c r="X1194" s="58"/>
      <c r="Y1194" s="59"/>
      <c r="Z1194" s="60"/>
      <c r="AA1194" s="25"/>
      <c r="AB1194" s="25"/>
    </row>
    <row r="1195" spans="2:28">
      <c r="B1195" s="40"/>
      <c r="C1195" s="40"/>
      <c r="D1195" s="41"/>
      <c r="E1195" s="42"/>
      <c r="F1195" s="42"/>
      <c r="G1195" s="43"/>
      <c r="H1195" s="42"/>
      <c r="I1195" s="43"/>
      <c r="J1195" s="43"/>
      <c r="K1195" s="25" t="e">
        <f>VLOOKUP(J1195,Key!$E$2:$F$9,2,FALSE)</f>
        <v>#N/A</v>
      </c>
      <c r="L1195" s="42"/>
      <c r="M1195" s="43"/>
      <c r="N1195" s="42"/>
      <c r="O1195" s="43"/>
      <c r="P1195" s="43"/>
      <c r="Q1195" s="25" t="e">
        <f>VLOOKUP(P1195,Key!$E$2:$F$9,2,FALSE)</f>
        <v>#N/A</v>
      </c>
      <c r="R1195" s="25" t="e">
        <f t="shared" si="19"/>
        <v>#N/A</v>
      </c>
      <c r="S1195" s="58"/>
      <c r="T1195" s="58"/>
      <c r="U1195" s="43"/>
      <c r="V1195" s="43"/>
      <c r="W1195" s="58"/>
      <c r="X1195" s="58"/>
      <c r="Y1195" s="59"/>
      <c r="Z1195" s="60"/>
      <c r="AA1195" s="25"/>
      <c r="AB1195" s="25"/>
    </row>
    <row r="1196" spans="2:28">
      <c r="B1196" s="40"/>
      <c r="C1196" s="40"/>
      <c r="D1196" s="41"/>
      <c r="E1196" s="42"/>
      <c r="F1196" s="42"/>
      <c r="G1196" s="43"/>
      <c r="H1196" s="42"/>
      <c r="I1196" s="43"/>
      <c r="J1196" s="43"/>
      <c r="K1196" s="25" t="e">
        <f>VLOOKUP(J1196,Key!$E$2:$F$9,2,FALSE)</f>
        <v>#N/A</v>
      </c>
      <c r="L1196" s="42"/>
      <c r="M1196" s="43"/>
      <c r="N1196" s="42"/>
      <c r="O1196" s="43"/>
      <c r="P1196" s="43"/>
      <c r="Q1196" s="25" t="e">
        <f>VLOOKUP(P1196,Key!$E$2:$F$9,2,FALSE)</f>
        <v>#N/A</v>
      </c>
      <c r="R1196" s="25" t="e">
        <f t="shared" si="19"/>
        <v>#N/A</v>
      </c>
      <c r="S1196" s="58"/>
      <c r="T1196" s="58"/>
      <c r="U1196" s="43"/>
      <c r="V1196" s="43"/>
      <c r="W1196" s="58"/>
      <c r="X1196" s="58"/>
      <c r="Y1196" s="59"/>
      <c r="Z1196" s="60"/>
      <c r="AA1196" s="25"/>
      <c r="AB1196" s="25"/>
    </row>
    <row r="1197" spans="2:28">
      <c r="B1197" s="40"/>
      <c r="C1197" s="40"/>
      <c r="D1197" s="41"/>
      <c r="E1197" s="42"/>
      <c r="F1197" s="42"/>
      <c r="G1197" s="43"/>
      <c r="H1197" s="42"/>
      <c r="I1197" s="43"/>
      <c r="J1197" s="43"/>
      <c r="K1197" s="25" t="e">
        <f>VLOOKUP(J1197,Key!$E$2:$F$9,2,FALSE)</f>
        <v>#N/A</v>
      </c>
      <c r="L1197" s="42"/>
      <c r="M1197" s="43"/>
      <c r="N1197" s="42"/>
      <c r="O1197" s="43"/>
      <c r="P1197" s="43"/>
      <c r="Q1197" s="25" t="e">
        <f>VLOOKUP(P1197,Key!$E$2:$F$9,2,FALSE)</f>
        <v>#N/A</v>
      </c>
      <c r="R1197" s="25" t="e">
        <f t="shared" si="19"/>
        <v>#N/A</v>
      </c>
      <c r="S1197" s="58"/>
      <c r="T1197" s="58"/>
      <c r="U1197" s="43"/>
      <c r="V1197" s="43"/>
      <c r="W1197" s="58"/>
      <c r="X1197" s="58"/>
      <c r="Y1197" s="59"/>
      <c r="Z1197" s="60"/>
      <c r="AA1197" s="25"/>
      <c r="AB1197" s="25"/>
    </row>
    <row r="1198" spans="2:28">
      <c r="B1198" s="40"/>
      <c r="C1198" s="40"/>
      <c r="D1198" s="41"/>
      <c r="E1198" s="42"/>
      <c r="F1198" s="42"/>
      <c r="G1198" s="43"/>
      <c r="H1198" s="42"/>
      <c r="I1198" s="43"/>
      <c r="J1198" s="43"/>
      <c r="K1198" s="25" t="e">
        <f>VLOOKUP(J1198,Key!$E$2:$F$9,2,FALSE)</f>
        <v>#N/A</v>
      </c>
      <c r="L1198" s="42"/>
      <c r="M1198" s="43"/>
      <c r="N1198" s="42"/>
      <c r="O1198" s="43"/>
      <c r="P1198" s="43"/>
      <c r="Q1198" s="25" t="e">
        <f>VLOOKUP(P1198,Key!$E$2:$F$9,2,FALSE)</f>
        <v>#N/A</v>
      </c>
      <c r="R1198" s="25" t="e">
        <f t="shared" si="19"/>
        <v>#N/A</v>
      </c>
      <c r="S1198" s="58"/>
      <c r="T1198" s="58"/>
      <c r="U1198" s="43"/>
      <c r="V1198" s="43"/>
      <c r="W1198" s="58"/>
      <c r="X1198" s="58"/>
      <c r="Y1198" s="59"/>
      <c r="Z1198" s="60"/>
      <c r="AA1198" s="25"/>
      <c r="AB1198" s="25"/>
    </row>
    <row r="1199" spans="2:28">
      <c r="B1199" s="40"/>
      <c r="C1199" s="40"/>
      <c r="D1199" s="41"/>
      <c r="E1199" s="42"/>
      <c r="F1199" s="42"/>
      <c r="G1199" s="43"/>
      <c r="H1199" s="42"/>
      <c r="I1199" s="43"/>
      <c r="J1199" s="43"/>
      <c r="K1199" s="25" t="e">
        <f>VLOOKUP(J1199,Key!$E$2:$F$9,2,FALSE)</f>
        <v>#N/A</v>
      </c>
      <c r="L1199" s="42"/>
      <c r="M1199" s="43"/>
      <c r="N1199" s="42"/>
      <c r="O1199" s="43"/>
      <c r="P1199" s="43"/>
      <c r="Q1199" s="25" t="e">
        <f>VLOOKUP(P1199,Key!$E$2:$F$9,2,FALSE)</f>
        <v>#N/A</v>
      </c>
      <c r="R1199" s="25" t="e">
        <f t="shared" si="19"/>
        <v>#N/A</v>
      </c>
      <c r="S1199" s="58"/>
      <c r="T1199" s="58"/>
      <c r="U1199" s="43"/>
      <c r="V1199" s="43"/>
      <c r="W1199" s="58"/>
      <c r="X1199" s="58"/>
      <c r="Y1199" s="59"/>
      <c r="Z1199" s="60"/>
      <c r="AA1199" s="25"/>
      <c r="AB1199" s="25"/>
    </row>
    <row r="1200" spans="2:28">
      <c r="B1200" s="40"/>
      <c r="C1200" s="40"/>
      <c r="D1200" s="41"/>
      <c r="E1200" s="42"/>
      <c r="F1200" s="42"/>
      <c r="G1200" s="43"/>
      <c r="H1200" s="42"/>
      <c r="I1200" s="43"/>
      <c r="J1200" s="43"/>
      <c r="K1200" s="25" t="e">
        <f>VLOOKUP(J1200,Key!$E$2:$F$9,2,FALSE)</f>
        <v>#N/A</v>
      </c>
      <c r="L1200" s="42"/>
      <c r="M1200" s="43"/>
      <c r="N1200" s="42"/>
      <c r="O1200" s="43"/>
      <c r="P1200" s="43"/>
      <c r="Q1200" s="25" t="e">
        <f>VLOOKUP(P1200,Key!$E$2:$F$9,2,FALSE)</f>
        <v>#N/A</v>
      </c>
      <c r="R1200" s="25" t="e">
        <f t="shared" si="19"/>
        <v>#N/A</v>
      </c>
      <c r="S1200" s="58"/>
      <c r="T1200" s="58"/>
      <c r="U1200" s="43"/>
      <c r="V1200" s="43"/>
      <c r="W1200" s="58"/>
      <c r="X1200" s="58"/>
      <c r="Y1200" s="59"/>
      <c r="Z1200" s="60"/>
      <c r="AA1200" s="25"/>
      <c r="AB1200" s="25"/>
    </row>
    <row r="1201" spans="2:28">
      <c r="B1201" s="40"/>
      <c r="C1201" s="40"/>
      <c r="D1201" s="41"/>
      <c r="E1201" s="42"/>
      <c r="F1201" s="42"/>
      <c r="G1201" s="43"/>
      <c r="H1201" s="42"/>
      <c r="I1201" s="43"/>
      <c r="J1201" s="43"/>
      <c r="K1201" s="25" t="e">
        <f>VLOOKUP(J1201,Key!$E$2:$F$9,2,FALSE)</f>
        <v>#N/A</v>
      </c>
      <c r="L1201" s="42"/>
      <c r="M1201" s="43"/>
      <c r="N1201" s="42"/>
      <c r="O1201" s="43"/>
      <c r="P1201" s="43"/>
      <c r="Q1201" s="25" t="e">
        <f>VLOOKUP(P1201,Key!$E$2:$F$9,2,FALSE)</f>
        <v>#N/A</v>
      </c>
      <c r="R1201" s="25" t="e">
        <f t="shared" si="19"/>
        <v>#N/A</v>
      </c>
      <c r="S1201" s="58"/>
      <c r="T1201" s="58"/>
      <c r="U1201" s="43"/>
      <c r="V1201" s="43"/>
      <c r="W1201" s="58"/>
      <c r="X1201" s="58"/>
      <c r="Y1201" s="59"/>
      <c r="Z1201" s="60"/>
      <c r="AA1201" s="25"/>
      <c r="AB1201" s="25"/>
    </row>
    <row r="1202" spans="2:28">
      <c r="B1202" s="40"/>
      <c r="C1202" s="40"/>
      <c r="D1202" s="41"/>
      <c r="E1202" s="42"/>
      <c r="F1202" s="42"/>
      <c r="G1202" s="43"/>
      <c r="H1202" s="42"/>
      <c r="I1202" s="43"/>
      <c r="J1202" s="43"/>
      <c r="K1202" s="25" t="e">
        <f>VLOOKUP(J1202,Key!$E$2:$F$9,2,FALSE)</f>
        <v>#N/A</v>
      </c>
      <c r="L1202" s="42"/>
      <c r="M1202" s="43"/>
      <c r="N1202" s="42"/>
      <c r="O1202" s="43"/>
      <c r="P1202" s="43"/>
      <c r="Q1202" s="25" t="e">
        <f>VLOOKUP(P1202,Key!$E$2:$F$9,2,FALSE)</f>
        <v>#N/A</v>
      </c>
      <c r="R1202" s="25" t="e">
        <f t="shared" si="19"/>
        <v>#N/A</v>
      </c>
      <c r="S1202" s="58"/>
      <c r="T1202" s="58"/>
      <c r="U1202" s="43"/>
      <c r="V1202" s="43"/>
      <c r="W1202" s="58"/>
      <c r="X1202" s="58"/>
      <c r="Y1202" s="59"/>
      <c r="Z1202" s="60"/>
      <c r="AA1202" s="25"/>
      <c r="AB1202" s="25"/>
    </row>
    <row r="1203" spans="2:28">
      <c r="B1203" s="40"/>
      <c r="C1203" s="40"/>
      <c r="D1203" s="41"/>
      <c r="E1203" s="42"/>
      <c r="F1203" s="42"/>
      <c r="G1203" s="43"/>
      <c r="H1203" s="42"/>
      <c r="I1203" s="43"/>
      <c r="J1203" s="43"/>
      <c r="K1203" s="25" t="e">
        <f>VLOOKUP(J1203,Key!$E$2:$F$9,2,FALSE)</f>
        <v>#N/A</v>
      </c>
      <c r="L1203" s="42"/>
      <c r="M1203" s="43"/>
      <c r="N1203" s="42"/>
      <c r="O1203" s="43"/>
      <c r="P1203" s="43"/>
      <c r="Q1203" s="25" t="e">
        <f>VLOOKUP(P1203,Key!$E$2:$F$9,2,FALSE)</f>
        <v>#N/A</v>
      </c>
      <c r="R1203" s="25" t="e">
        <f t="shared" si="19"/>
        <v>#N/A</v>
      </c>
      <c r="S1203" s="58"/>
      <c r="T1203" s="58"/>
      <c r="U1203" s="43"/>
      <c r="V1203" s="43"/>
      <c r="W1203" s="58"/>
      <c r="X1203" s="58"/>
      <c r="Y1203" s="59"/>
      <c r="Z1203" s="60"/>
      <c r="AA1203" s="25"/>
      <c r="AB1203" s="25"/>
    </row>
    <row r="1204" spans="2:28">
      <c r="B1204" s="40"/>
      <c r="C1204" s="40"/>
      <c r="D1204" s="41"/>
      <c r="E1204" s="42"/>
      <c r="F1204" s="42"/>
      <c r="G1204" s="43"/>
      <c r="H1204" s="42"/>
      <c r="I1204" s="43"/>
      <c r="J1204" s="43"/>
      <c r="K1204" s="25" t="e">
        <f>VLOOKUP(J1204,Key!$E$2:$F$9,2,FALSE)</f>
        <v>#N/A</v>
      </c>
      <c r="L1204" s="42"/>
      <c r="M1204" s="43"/>
      <c r="N1204" s="42"/>
      <c r="O1204" s="43"/>
      <c r="P1204" s="43"/>
      <c r="Q1204" s="25" t="e">
        <f>VLOOKUP(P1204,Key!$E$2:$F$9,2,FALSE)</f>
        <v>#N/A</v>
      </c>
      <c r="R1204" s="25" t="e">
        <f t="shared" si="19"/>
        <v>#N/A</v>
      </c>
      <c r="S1204" s="58"/>
      <c r="T1204" s="58"/>
      <c r="U1204" s="43"/>
      <c r="V1204" s="43"/>
      <c r="W1204" s="58"/>
      <c r="X1204" s="58"/>
      <c r="Y1204" s="59"/>
      <c r="Z1204" s="60"/>
      <c r="AA1204" s="25"/>
      <c r="AB1204" s="25"/>
    </row>
    <row r="1205" spans="2:28">
      <c r="B1205" s="40"/>
      <c r="C1205" s="40"/>
      <c r="D1205" s="41"/>
      <c r="E1205" s="42"/>
      <c r="F1205" s="42"/>
      <c r="G1205" s="43"/>
      <c r="H1205" s="42"/>
      <c r="I1205" s="43"/>
      <c r="J1205" s="43"/>
      <c r="K1205" s="25" t="e">
        <f>VLOOKUP(J1205,Key!$E$2:$F$9,2,FALSE)</f>
        <v>#N/A</v>
      </c>
      <c r="L1205" s="42"/>
      <c r="M1205" s="43"/>
      <c r="N1205" s="42"/>
      <c r="O1205" s="43"/>
      <c r="P1205" s="43"/>
      <c r="Q1205" s="25" t="e">
        <f>VLOOKUP(P1205,Key!$E$2:$F$9,2,FALSE)</f>
        <v>#N/A</v>
      </c>
      <c r="R1205" s="25" t="e">
        <f t="shared" si="19"/>
        <v>#N/A</v>
      </c>
      <c r="S1205" s="58"/>
      <c r="T1205" s="58"/>
      <c r="U1205" s="43"/>
      <c r="V1205" s="43"/>
      <c r="W1205" s="58"/>
      <c r="X1205" s="58"/>
      <c r="Y1205" s="59"/>
      <c r="Z1205" s="60"/>
      <c r="AA1205" s="25"/>
      <c r="AB1205" s="25"/>
    </row>
    <row r="1206" spans="2:28">
      <c r="B1206" s="40"/>
      <c r="C1206" s="40"/>
      <c r="D1206" s="41"/>
      <c r="E1206" s="42"/>
      <c r="F1206" s="42"/>
      <c r="G1206" s="43"/>
      <c r="H1206" s="42"/>
      <c r="I1206" s="43"/>
      <c r="J1206" s="43"/>
      <c r="K1206" s="25" t="e">
        <f>VLOOKUP(J1206,Key!$E$2:$F$9,2,FALSE)</f>
        <v>#N/A</v>
      </c>
      <c r="L1206" s="42"/>
      <c r="M1206" s="43"/>
      <c r="N1206" s="42"/>
      <c r="O1206" s="43"/>
      <c r="P1206" s="43"/>
      <c r="Q1206" s="25" t="e">
        <f>VLOOKUP(P1206,Key!$E$2:$F$9,2,FALSE)</f>
        <v>#N/A</v>
      </c>
      <c r="R1206" s="25" t="e">
        <f t="shared" si="19"/>
        <v>#N/A</v>
      </c>
      <c r="S1206" s="58"/>
      <c r="T1206" s="58"/>
      <c r="U1206" s="43"/>
      <c r="V1206" s="43"/>
      <c r="W1206" s="58"/>
      <c r="X1206" s="58"/>
      <c r="Y1206" s="59"/>
      <c r="Z1206" s="60"/>
      <c r="AA1206" s="25"/>
      <c r="AB1206" s="25"/>
    </row>
    <row r="1207" spans="2:28">
      <c r="B1207" s="40"/>
      <c r="C1207" s="40"/>
      <c r="D1207" s="41"/>
      <c r="E1207" s="42"/>
      <c r="F1207" s="42"/>
      <c r="G1207" s="43"/>
      <c r="H1207" s="42"/>
      <c r="I1207" s="43"/>
      <c r="J1207" s="43"/>
      <c r="K1207" s="25" t="e">
        <f>VLOOKUP(J1207,Key!$E$2:$F$9,2,FALSE)</f>
        <v>#N/A</v>
      </c>
      <c r="L1207" s="42"/>
      <c r="M1207" s="43"/>
      <c r="N1207" s="42"/>
      <c r="O1207" s="43"/>
      <c r="P1207" s="43"/>
      <c r="Q1207" s="25" t="e">
        <f>VLOOKUP(P1207,Key!$E$2:$F$9,2,FALSE)</f>
        <v>#N/A</v>
      </c>
      <c r="R1207" s="25" t="e">
        <f t="shared" si="19"/>
        <v>#N/A</v>
      </c>
      <c r="S1207" s="58"/>
      <c r="T1207" s="58"/>
      <c r="U1207" s="43"/>
      <c r="V1207" s="43"/>
      <c r="W1207" s="58"/>
      <c r="X1207" s="58"/>
      <c r="Y1207" s="59"/>
      <c r="Z1207" s="60"/>
      <c r="AA1207" s="25"/>
      <c r="AB1207" s="25"/>
    </row>
    <row r="1208" spans="2:28">
      <c r="B1208" s="40"/>
      <c r="C1208" s="40"/>
      <c r="D1208" s="41"/>
      <c r="E1208" s="42"/>
      <c r="F1208" s="42"/>
      <c r="G1208" s="43"/>
      <c r="H1208" s="42"/>
      <c r="I1208" s="43"/>
      <c r="J1208" s="43"/>
      <c r="K1208" s="25" t="e">
        <f>VLOOKUP(J1208,Key!$E$2:$F$9,2,FALSE)</f>
        <v>#N/A</v>
      </c>
      <c r="L1208" s="42"/>
      <c r="M1208" s="43"/>
      <c r="N1208" s="42"/>
      <c r="O1208" s="43"/>
      <c r="P1208" s="43"/>
      <c r="Q1208" s="25" t="e">
        <f>VLOOKUP(P1208,Key!$E$2:$F$9,2,FALSE)</f>
        <v>#N/A</v>
      </c>
      <c r="R1208" s="25" t="e">
        <f t="shared" si="19"/>
        <v>#N/A</v>
      </c>
      <c r="S1208" s="58"/>
      <c r="T1208" s="58"/>
      <c r="U1208" s="43"/>
      <c r="V1208" s="43"/>
      <c r="W1208" s="58"/>
      <c r="X1208" s="58"/>
      <c r="Y1208" s="59"/>
      <c r="Z1208" s="60"/>
      <c r="AA1208" s="25"/>
      <c r="AB1208" s="25"/>
    </row>
    <row r="1209" spans="2:28">
      <c r="B1209" s="40"/>
      <c r="C1209" s="40"/>
      <c r="D1209" s="41"/>
      <c r="E1209" s="42"/>
      <c r="F1209" s="42"/>
      <c r="G1209" s="43"/>
      <c r="H1209" s="42"/>
      <c r="I1209" s="43"/>
      <c r="J1209" s="43"/>
      <c r="K1209" s="25" t="e">
        <f>VLOOKUP(J1209,Key!$E$2:$F$9,2,FALSE)</f>
        <v>#N/A</v>
      </c>
      <c r="L1209" s="42"/>
      <c r="M1209" s="43"/>
      <c r="N1209" s="42"/>
      <c r="O1209" s="43"/>
      <c r="P1209" s="43"/>
      <c r="Q1209" s="25" t="e">
        <f>VLOOKUP(P1209,Key!$E$2:$F$9,2,FALSE)</f>
        <v>#N/A</v>
      </c>
      <c r="R1209" s="25" t="e">
        <f t="shared" si="19"/>
        <v>#N/A</v>
      </c>
      <c r="S1209" s="58"/>
      <c r="T1209" s="58"/>
      <c r="U1209" s="43"/>
      <c r="V1209" s="43"/>
      <c r="W1209" s="58"/>
      <c r="X1209" s="58"/>
      <c r="Y1209" s="59"/>
      <c r="Z1209" s="60"/>
      <c r="AA1209" s="25"/>
      <c r="AB1209" s="25"/>
    </row>
    <row r="1210" spans="2:28">
      <c r="B1210" s="40"/>
      <c r="C1210" s="40"/>
      <c r="D1210" s="41"/>
      <c r="E1210" s="42"/>
      <c r="F1210" s="42"/>
      <c r="G1210" s="43"/>
      <c r="H1210" s="42"/>
      <c r="I1210" s="43"/>
      <c r="J1210" s="43"/>
      <c r="K1210" s="25" t="e">
        <f>VLOOKUP(J1210,Key!$E$2:$F$9,2,FALSE)</f>
        <v>#N/A</v>
      </c>
      <c r="L1210" s="42"/>
      <c r="M1210" s="43"/>
      <c r="N1210" s="42"/>
      <c r="O1210" s="43"/>
      <c r="P1210" s="43"/>
      <c r="Q1210" s="25" t="e">
        <f>VLOOKUP(P1210,Key!$E$2:$F$9,2,FALSE)</f>
        <v>#N/A</v>
      </c>
      <c r="R1210" s="25" t="e">
        <f t="shared" si="19"/>
        <v>#N/A</v>
      </c>
      <c r="S1210" s="58"/>
      <c r="T1210" s="58"/>
      <c r="U1210" s="43"/>
      <c r="V1210" s="43"/>
      <c r="W1210" s="58"/>
      <c r="X1210" s="58"/>
      <c r="Y1210" s="59"/>
      <c r="Z1210" s="60"/>
      <c r="AA1210" s="25"/>
      <c r="AB1210" s="25"/>
    </row>
    <row r="1211" spans="2:28">
      <c r="B1211" s="40"/>
      <c r="C1211" s="40"/>
      <c r="D1211" s="41"/>
      <c r="E1211" s="42"/>
      <c r="F1211" s="42"/>
      <c r="G1211" s="43"/>
      <c r="H1211" s="42"/>
      <c r="I1211" s="43"/>
      <c r="J1211" s="43"/>
      <c r="K1211" s="25" t="e">
        <f>VLOOKUP(J1211,Key!$E$2:$F$9,2,FALSE)</f>
        <v>#N/A</v>
      </c>
      <c r="L1211" s="42"/>
      <c r="M1211" s="43"/>
      <c r="N1211" s="42"/>
      <c r="O1211" s="43"/>
      <c r="P1211" s="43"/>
      <c r="Q1211" s="25" t="e">
        <f>VLOOKUP(P1211,Key!$E$2:$F$9,2,FALSE)</f>
        <v>#N/A</v>
      </c>
      <c r="R1211" s="25" t="e">
        <f t="shared" si="19"/>
        <v>#N/A</v>
      </c>
      <c r="S1211" s="58"/>
      <c r="T1211" s="58"/>
      <c r="U1211" s="43"/>
      <c r="V1211" s="43"/>
      <c r="W1211" s="58"/>
      <c r="X1211" s="58"/>
      <c r="Y1211" s="59"/>
      <c r="Z1211" s="60"/>
      <c r="AA1211" s="25"/>
      <c r="AB1211" s="25"/>
    </row>
    <row r="1212" spans="2:28">
      <c r="B1212" s="40"/>
      <c r="C1212" s="40"/>
      <c r="D1212" s="41"/>
      <c r="E1212" s="42"/>
      <c r="F1212" s="42"/>
      <c r="G1212" s="43"/>
      <c r="H1212" s="42"/>
      <c r="I1212" s="43"/>
      <c r="J1212" s="43"/>
      <c r="K1212" s="25" t="e">
        <f>VLOOKUP(J1212,Key!$E$2:$F$9,2,FALSE)</f>
        <v>#N/A</v>
      </c>
      <c r="L1212" s="42"/>
      <c r="M1212" s="43"/>
      <c r="N1212" s="42"/>
      <c r="O1212" s="43"/>
      <c r="P1212" s="43"/>
      <c r="Q1212" s="25" t="e">
        <f>VLOOKUP(P1212,Key!$E$2:$F$9,2,FALSE)</f>
        <v>#N/A</v>
      </c>
      <c r="R1212" s="25" t="e">
        <f t="shared" si="19"/>
        <v>#N/A</v>
      </c>
      <c r="S1212" s="58"/>
      <c r="T1212" s="58"/>
      <c r="U1212" s="43"/>
      <c r="V1212" s="43"/>
      <c r="W1212" s="58"/>
      <c r="X1212" s="58"/>
      <c r="Y1212" s="59"/>
      <c r="Z1212" s="60"/>
      <c r="AA1212" s="25"/>
      <c r="AB1212" s="25"/>
    </row>
    <row r="1213" spans="2:28">
      <c r="B1213" s="40"/>
      <c r="C1213" s="40"/>
      <c r="D1213" s="41"/>
      <c r="E1213" s="42"/>
      <c r="F1213" s="42"/>
      <c r="G1213" s="43"/>
      <c r="H1213" s="42"/>
      <c r="I1213" s="43"/>
      <c r="J1213" s="43"/>
      <c r="K1213" s="25" t="e">
        <f>VLOOKUP(J1213,Key!$E$2:$F$9,2,FALSE)</f>
        <v>#N/A</v>
      </c>
      <c r="L1213" s="42"/>
      <c r="M1213" s="43"/>
      <c r="N1213" s="42"/>
      <c r="O1213" s="43"/>
      <c r="P1213" s="43"/>
      <c r="Q1213" s="25" t="e">
        <f>VLOOKUP(P1213,Key!$E$2:$F$9,2,FALSE)</f>
        <v>#N/A</v>
      </c>
      <c r="R1213" s="25" t="e">
        <f t="shared" si="19"/>
        <v>#N/A</v>
      </c>
      <c r="S1213" s="58"/>
      <c r="T1213" s="58"/>
      <c r="U1213" s="43"/>
      <c r="V1213" s="43"/>
      <c r="W1213" s="58"/>
      <c r="X1213" s="58"/>
      <c r="Y1213" s="59"/>
      <c r="Z1213" s="60"/>
      <c r="AA1213" s="25"/>
      <c r="AB1213" s="25"/>
    </row>
    <row r="1214" spans="2:28">
      <c r="B1214" s="40"/>
      <c r="C1214" s="40"/>
      <c r="D1214" s="41"/>
      <c r="E1214" s="42"/>
      <c r="F1214" s="42"/>
      <c r="G1214" s="43"/>
      <c r="H1214" s="42"/>
      <c r="I1214" s="43"/>
      <c r="J1214" s="43"/>
      <c r="K1214" s="25" t="e">
        <f>VLOOKUP(J1214,Key!$E$2:$F$9,2,FALSE)</f>
        <v>#N/A</v>
      </c>
      <c r="L1214" s="42"/>
      <c r="M1214" s="43"/>
      <c r="N1214" s="42"/>
      <c r="O1214" s="43"/>
      <c r="P1214" s="43"/>
      <c r="Q1214" s="25" t="e">
        <f>VLOOKUP(P1214,Key!$E$2:$F$9,2,FALSE)</f>
        <v>#N/A</v>
      </c>
      <c r="R1214" s="25" t="e">
        <f t="shared" si="19"/>
        <v>#N/A</v>
      </c>
      <c r="S1214" s="58"/>
      <c r="T1214" s="58"/>
      <c r="U1214" s="43"/>
      <c r="V1214" s="43"/>
      <c r="W1214" s="58"/>
      <c r="X1214" s="58"/>
      <c r="Y1214" s="59"/>
      <c r="Z1214" s="60"/>
      <c r="AA1214" s="25"/>
      <c r="AB1214" s="25"/>
    </row>
    <row r="1215" spans="2:28">
      <c r="B1215" s="40"/>
      <c r="C1215" s="40"/>
      <c r="D1215" s="41"/>
      <c r="E1215" s="42"/>
      <c r="F1215" s="42"/>
      <c r="G1215" s="43"/>
      <c r="H1215" s="42"/>
      <c r="I1215" s="43"/>
      <c r="J1215" s="43"/>
      <c r="K1215" s="25" t="e">
        <f>VLOOKUP(J1215,Key!$E$2:$F$9,2,FALSE)</f>
        <v>#N/A</v>
      </c>
      <c r="L1215" s="42"/>
      <c r="M1215" s="43"/>
      <c r="N1215" s="42"/>
      <c r="O1215" s="43"/>
      <c r="P1215" s="43"/>
      <c r="Q1215" s="25" t="e">
        <f>VLOOKUP(P1215,Key!$E$2:$F$9,2,FALSE)</f>
        <v>#N/A</v>
      </c>
      <c r="R1215" s="25" t="e">
        <f t="shared" si="19"/>
        <v>#N/A</v>
      </c>
      <c r="S1215" s="58"/>
      <c r="T1215" s="58"/>
      <c r="U1215" s="43"/>
      <c r="V1215" s="43"/>
      <c r="W1215" s="58"/>
      <c r="X1215" s="58"/>
      <c r="Y1215" s="59"/>
      <c r="Z1215" s="60"/>
      <c r="AA1215" s="25"/>
      <c r="AB1215" s="25"/>
    </row>
    <row r="1216" spans="2:28">
      <c r="B1216" s="40"/>
      <c r="C1216" s="40"/>
      <c r="D1216" s="41"/>
      <c r="E1216" s="42"/>
      <c r="F1216" s="42"/>
      <c r="G1216" s="43"/>
      <c r="H1216" s="42"/>
      <c r="I1216" s="43"/>
      <c r="J1216" s="43"/>
      <c r="K1216" s="25" t="e">
        <f>VLOOKUP(J1216,Key!$E$2:$F$9,2,FALSE)</f>
        <v>#N/A</v>
      </c>
      <c r="L1216" s="42"/>
      <c r="M1216" s="43"/>
      <c r="N1216" s="42"/>
      <c r="O1216" s="43"/>
      <c r="P1216" s="43"/>
      <c r="Q1216" s="25" t="e">
        <f>VLOOKUP(P1216,Key!$E$2:$F$9,2,FALSE)</f>
        <v>#N/A</v>
      </c>
      <c r="R1216" s="25" t="e">
        <f t="shared" si="19"/>
        <v>#N/A</v>
      </c>
      <c r="S1216" s="58"/>
      <c r="T1216" s="58"/>
      <c r="U1216" s="43"/>
      <c r="V1216" s="43"/>
      <c r="W1216" s="58"/>
      <c r="X1216" s="58"/>
      <c r="Y1216" s="59"/>
      <c r="Z1216" s="60"/>
      <c r="AA1216" s="25"/>
      <c r="AB1216" s="25"/>
    </row>
    <row r="1217" spans="2:28">
      <c r="B1217" s="40"/>
      <c r="C1217" s="40"/>
      <c r="D1217" s="41"/>
      <c r="E1217" s="42"/>
      <c r="F1217" s="42"/>
      <c r="G1217" s="43"/>
      <c r="H1217" s="42"/>
      <c r="I1217" s="43"/>
      <c r="J1217" s="43"/>
      <c r="K1217" s="25" t="e">
        <f>VLOOKUP(J1217,Key!$E$2:$F$9,2,FALSE)</f>
        <v>#N/A</v>
      </c>
      <c r="L1217" s="42"/>
      <c r="M1217" s="43"/>
      <c r="N1217" s="42"/>
      <c r="O1217" s="43"/>
      <c r="P1217" s="43"/>
      <c r="Q1217" s="25" t="e">
        <f>VLOOKUP(P1217,Key!$E$2:$F$9,2,FALSE)</f>
        <v>#N/A</v>
      </c>
      <c r="R1217" s="25" t="e">
        <f t="shared" si="19"/>
        <v>#N/A</v>
      </c>
      <c r="S1217" s="58"/>
      <c r="T1217" s="58"/>
      <c r="U1217" s="43"/>
      <c r="V1217" s="43"/>
      <c r="W1217" s="58"/>
      <c r="X1217" s="58"/>
      <c r="Y1217" s="59"/>
      <c r="Z1217" s="60"/>
      <c r="AA1217" s="25"/>
      <c r="AB1217" s="25"/>
    </row>
    <row r="1218" spans="2:28">
      <c r="B1218" s="40"/>
      <c r="C1218" s="40"/>
      <c r="D1218" s="41"/>
      <c r="E1218" s="42"/>
      <c r="F1218" s="42"/>
      <c r="G1218" s="43"/>
      <c r="H1218" s="42"/>
      <c r="I1218" s="43"/>
      <c r="J1218" s="43"/>
      <c r="K1218" s="25" t="e">
        <f>VLOOKUP(J1218,Key!$E$2:$F$9,2,FALSE)</f>
        <v>#N/A</v>
      </c>
      <c r="L1218" s="42"/>
      <c r="M1218" s="43"/>
      <c r="N1218" s="42"/>
      <c r="O1218" s="43"/>
      <c r="P1218" s="43"/>
      <c r="Q1218" s="25" t="e">
        <f>VLOOKUP(P1218,Key!$E$2:$F$9,2,FALSE)</f>
        <v>#N/A</v>
      </c>
      <c r="R1218" s="25" t="e">
        <f t="shared" si="19"/>
        <v>#N/A</v>
      </c>
      <c r="S1218" s="58"/>
      <c r="T1218" s="58"/>
      <c r="U1218" s="43"/>
      <c r="V1218" s="43"/>
      <c r="W1218" s="58"/>
      <c r="X1218" s="58"/>
      <c r="Y1218" s="59"/>
      <c r="Z1218" s="60"/>
      <c r="AA1218" s="25"/>
      <c r="AB1218" s="25"/>
    </row>
    <row r="1219" spans="2:28">
      <c r="B1219" s="40"/>
      <c r="C1219" s="40"/>
      <c r="D1219" s="41"/>
      <c r="E1219" s="42"/>
      <c r="F1219" s="42"/>
      <c r="G1219" s="43"/>
      <c r="H1219" s="42"/>
      <c r="I1219" s="43"/>
      <c r="J1219" s="43"/>
      <c r="K1219" s="25" t="e">
        <f>VLOOKUP(J1219,Key!$E$2:$F$9,2,FALSE)</f>
        <v>#N/A</v>
      </c>
      <c r="L1219" s="42"/>
      <c r="M1219" s="43"/>
      <c r="N1219" s="42"/>
      <c r="O1219" s="43"/>
      <c r="P1219" s="43"/>
      <c r="Q1219" s="25" t="e">
        <f>VLOOKUP(P1219,Key!$E$2:$F$9,2,FALSE)</f>
        <v>#N/A</v>
      </c>
      <c r="R1219" s="25" t="e">
        <f t="shared" si="19"/>
        <v>#N/A</v>
      </c>
      <c r="S1219" s="58"/>
      <c r="T1219" s="58"/>
      <c r="U1219" s="43"/>
      <c r="V1219" s="43"/>
      <c r="W1219" s="58"/>
      <c r="X1219" s="58"/>
      <c r="Y1219" s="59"/>
      <c r="Z1219" s="60"/>
      <c r="AA1219" s="25"/>
      <c r="AB1219" s="25"/>
    </row>
    <row r="1220" spans="2:28">
      <c r="B1220" s="40"/>
      <c r="C1220" s="40"/>
      <c r="D1220" s="41"/>
      <c r="E1220" s="42"/>
      <c r="F1220" s="42"/>
      <c r="G1220" s="43"/>
      <c r="H1220" s="42"/>
      <c r="I1220" s="43"/>
      <c r="J1220" s="43"/>
      <c r="K1220" s="25" t="e">
        <f>VLOOKUP(J1220,Key!$E$2:$F$9,2,FALSE)</f>
        <v>#N/A</v>
      </c>
      <c r="L1220" s="42"/>
      <c r="M1220" s="43"/>
      <c r="N1220" s="42"/>
      <c r="O1220" s="43"/>
      <c r="P1220" s="43"/>
      <c r="Q1220" s="25" t="e">
        <f>VLOOKUP(P1220,Key!$E$2:$F$9,2,FALSE)</f>
        <v>#N/A</v>
      </c>
      <c r="R1220" s="25" t="e">
        <f t="shared" si="19"/>
        <v>#N/A</v>
      </c>
      <c r="S1220" s="58"/>
      <c r="T1220" s="58"/>
      <c r="U1220" s="43"/>
      <c r="V1220" s="43"/>
      <c r="W1220" s="58"/>
      <c r="X1220" s="58"/>
      <c r="Y1220" s="59"/>
      <c r="Z1220" s="60"/>
      <c r="AA1220" s="25"/>
      <c r="AB1220" s="25"/>
    </row>
    <row r="1221" spans="2:28">
      <c r="B1221" s="40"/>
      <c r="C1221" s="40"/>
      <c r="D1221" s="41"/>
      <c r="E1221" s="42"/>
      <c r="F1221" s="42"/>
      <c r="G1221" s="43"/>
      <c r="H1221" s="42"/>
      <c r="I1221" s="43"/>
      <c r="J1221" s="43"/>
      <c r="K1221" s="25" t="e">
        <f>VLOOKUP(J1221,Key!$E$2:$F$9,2,FALSE)</f>
        <v>#N/A</v>
      </c>
      <c r="L1221" s="42"/>
      <c r="M1221" s="43"/>
      <c r="N1221" s="42"/>
      <c r="O1221" s="43"/>
      <c r="P1221" s="43"/>
      <c r="Q1221" s="25" t="e">
        <f>VLOOKUP(P1221,Key!$E$2:$F$9,2,FALSE)</f>
        <v>#N/A</v>
      </c>
      <c r="R1221" s="25" t="e">
        <f t="shared" si="19"/>
        <v>#N/A</v>
      </c>
      <c r="S1221" s="58"/>
      <c r="T1221" s="58"/>
      <c r="U1221" s="43"/>
      <c r="V1221" s="43"/>
      <c r="W1221" s="58"/>
      <c r="X1221" s="58"/>
      <c r="Y1221" s="59"/>
      <c r="Z1221" s="60"/>
      <c r="AA1221" s="25"/>
      <c r="AB1221" s="25"/>
    </row>
    <row r="1222" spans="2:28">
      <c r="B1222" s="40"/>
      <c r="C1222" s="40"/>
      <c r="D1222" s="41"/>
      <c r="E1222" s="42"/>
      <c r="F1222" s="42"/>
      <c r="G1222" s="43"/>
      <c r="H1222" s="42"/>
      <c r="I1222" s="43"/>
      <c r="J1222" s="43"/>
      <c r="K1222" s="25" t="e">
        <f>VLOOKUP(J1222,Key!$E$2:$F$9,2,FALSE)</f>
        <v>#N/A</v>
      </c>
      <c r="L1222" s="42"/>
      <c r="M1222" s="43"/>
      <c r="N1222" s="42"/>
      <c r="O1222" s="43"/>
      <c r="P1222" s="43"/>
      <c r="Q1222" s="25" t="e">
        <f>VLOOKUP(P1222,Key!$E$2:$F$9,2,FALSE)</f>
        <v>#N/A</v>
      </c>
      <c r="R1222" s="25" t="e">
        <f t="shared" si="19"/>
        <v>#N/A</v>
      </c>
      <c r="S1222" s="58"/>
      <c r="T1222" s="58"/>
      <c r="U1222" s="43"/>
      <c r="V1222" s="43"/>
      <c r="W1222" s="58"/>
      <c r="X1222" s="58"/>
      <c r="Y1222" s="59"/>
      <c r="Z1222" s="60"/>
      <c r="AA1222" s="25"/>
      <c r="AB1222" s="25"/>
    </row>
    <row r="1223" spans="2:28">
      <c r="B1223" s="40"/>
      <c r="C1223" s="40"/>
      <c r="D1223" s="41"/>
      <c r="E1223" s="42"/>
      <c r="F1223" s="42"/>
      <c r="G1223" s="43"/>
      <c r="H1223" s="42"/>
      <c r="I1223" s="43"/>
      <c r="J1223" s="43"/>
      <c r="K1223" s="25" t="e">
        <f>VLOOKUP(J1223,Key!$E$2:$F$9,2,FALSE)</f>
        <v>#N/A</v>
      </c>
      <c r="L1223" s="42"/>
      <c r="M1223" s="43"/>
      <c r="N1223" s="42"/>
      <c r="O1223" s="43"/>
      <c r="P1223" s="43"/>
      <c r="Q1223" s="25" t="e">
        <f>VLOOKUP(P1223,Key!$E$2:$F$9,2,FALSE)</f>
        <v>#N/A</v>
      </c>
      <c r="R1223" s="25" t="e">
        <f t="shared" si="19"/>
        <v>#N/A</v>
      </c>
      <c r="S1223" s="58"/>
      <c r="T1223" s="58"/>
      <c r="U1223" s="43"/>
      <c r="V1223" s="43"/>
      <c r="W1223" s="58"/>
      <c r="X1223" s="58"/>
      <c r="Y1223" s="59"/>
      <c r="Z1223" s="60"/>
      <c r="AA1223" s="25"/>
      <c r="AB1223" s="25"/>
    </row>
    <row r="1224" spans="2:28">
      <c r="B1224" s="40"/>
      <c r="C1224" s="40"/>
      <c r="D1224" s="41"/>
      <c r="E1224" s="42"/>
      <c r="F1224" s="42"/>
      <c r="G1224" s="43"/>
      <c r="H1224" s="42"/>
      <c r="I1224" s="43"/>
      <c r="J1224" s="43"/>
      <c r="K1224" s="25" t="e">
        <f>VLOOKUP(J1224,Key!$E$2:$F$9,2,FALSE)</f>
        <v>#N/A</v>
      </c>
      <c r="L1224" s="42"/>
      <c r="M1224" s="43"/>
      <c r="N1224" s="42"/>
      <c r="O1224" s="43"/>
      <c r="P1224" s="43"/>
      <c r="Q1224" s="25" t="e">
        <f>VLOOKUP(P1224,Key!$E$2:$F$9,2,FALSE)</f>
        <v>#N/A</v>
      </c>
      <c r="R1224" s="25" t="e">
        <f t="shared" si="19"/>
        <v>#N/A</v>
      </c>
      <c r="S1224" s="58"/>
      <c r="T1224" s="58"/>
      <c r="U1224" s="43"/>
      <c r="V1224" s="43"/>
      <c r="W1224" s="58"/>
      <c r="X1224" s="58"/>
      <c r="Y1224" s="59"/>
      <c r="Z1224" s="60"/>
      <c r="AA1224" s="25"/>
      <c r="AB1224" s="25"/>
    </row>
    <row r="1225" spans="2:28">
      <c r="B1225" s="40"/>
      <c r="C1225" s="40"/>
      <c r="D1225" s="41"/>
      <c r="E1225" s="42"/>
      <c r="F1225" s="42"/>
      <c r="G1225" s="43"/>
      <c r="H1225" s="42"/>
      <c r="I1225" s="43"/>
      <c r="J1225" s="43"/>
      <c r="K1225" s="25" t="e">
        <f>VLOOKUP(J1225,Key!$E$2:$F$9,2,FALSE)</f>
        <v>#N/A</v>
      </c>
      <c r="L1225" s="42"/>
      <c r="M1225" s="43"/>
      <c r="N1225" s="42"/>
      <c r="O1225" s="43"/>
      <c r="P1225" s="43"/>
      <c r="Q1225" s="25" t="e">
        <f>VLOOKUP(P1225,Key!$E$2:$F$9,2,FALSE)</f>
        <v>#N/A</v>
      </c>
      <c r="R1225" s="25" t="e">
        <f t="shared" si="19"/>
        <v>#N/A</v>
      </c>
      <c r="S1225" s="58"/>
      <c r="T1225" s="58"/>
      <c r="U1225" s="43"/>
      <c r="V1225" s="43"/>
      <c r="W1225" s="58"/>
      <c r="X1225" s="58"/>
      <c r="Y1225" s="59"/>
      <c r="Z1225" s="60"/>
      <c r="AA1225" s="25"/>
      <c r="AB1225" s="25"/>
    </row>
    <row r="1226" spans="2:28">
      <c r="B1226" s="40"/>
      <c r="C1226" s="40"/>
      <c r="D1226" s="41"/>
      <c r="E1226" s="42"/>
      <c r="F1226" s="42"/>
      <c r="G1226" s="43"/>
      <c r="H1226" s="42"/>
      <c r="I1226" s="43"/>
      <c r="J1226" s="43"/>
      <c r="K1226" s="25" t="e">
        <f>VLOOKUP(J1226,Key!$E$2:$F$9,2,FALSE)</f>
        <v>#N/A</v>
      </c>
      <c r="L1226" s="42"/>
      <c r="M1226" s="43"/>
      <c r="N1226" s="42"/>
      <c r="O1226" s="43"/>
      <c r="P1226" s="43"/>
      <c r="Q1226" s="25" t="e">
        <f>VLOOKUP(P1226,Key!$E$2:$F$9,2,FALSE)</f>
        <v>#N/A</v>
      </c>
      <c r="R1226" s="25" t="e">
        <f t="shared" si="19"/>
        <v>#N/A</v>
      </c>
      <c r="S1226" s="58"/>
      <c r="T1226" s="58"/>
      <c r="U1226" s="43"/>
      <c r="V1226" s="43"/>
      <c r="W1226" s="58"/>
      <c r="X1226" s="58"/>
      <c r="Y1226" s="59"/>
      <c r="Z1226" s="60"/>
      <c r="AA1226" s="25"/>
      <c r="AB1226" s="25"/>
    </row>
    <row r="1227" spans="2:28">
      <c r="B1227" s="40"/>
      <c r="C1227" s="40"/>
      <c r="D1227" s="41"/>
      <c r="E1227" s="42"/>
      <c r="F1227" s="42"/>
      <c r="G1227" s="43"/>
      <c r="H1227" s="42"/>
      <c r="I1227" s="43"/>
      <c r="J1227" s="43"/>
      <c r="K1227" s="25" t="e">
        <f>VLOOKUP(J1227,Key!$E$2:$F$9,2,FALSE)</f>
        <v>#N/A</v>
      </c>
      <c r="L1227" s="42"/>
      <c r="M1227" s="43"/>
      <c r="N1227" s="42"/>
      <c r="O1227" s="43"/>
      <c r="P1227" s="43"/>
      <c r="Q1227" s="25" t="e">
        <f>VLOOKUP(P1227,Key!$E$2:$F$9,2,FALSE)</f>
        <v>#N/A</v>
      </c>
      <c r="R1227" s="25" t="e">
        <f t="shared" si="19"/>
        <v>#N/A</v>
      </c>
      <c r="S1227" s="58"/>
      <c r="T1227" s="58"/>
      <c r="U1227" s="43"/>
      <c r="V1227" s="43"/>
      <c r="W1227" s="58"/>
      <c r="X1227" s="58"/>
      <c r="Y1227" s="59"/>
      <c r="Z1227" s="60"/>
      <c r="AA1227" s="25"/>
      <c r="AB1227" s="25"/>
    </row>
    <row r="1228" spans="2:28">
      <c r="B1228" s="40"/>
      <c r="C1228" s="40"/>
      <c r="D1228" s="41"/>
      <c r="E1228" s="42"/>
      <c r="F1228" s="42"/>
      <c r="G1228" s="43"/>
      <c r="H1228" s="42"/>
      <c r="I1228" s="43"/>
      <c r="J1228" s="43"/>
      <c r="K1228" s="25" t="e">
        <f>VLOOKUP(J1228,Key!$E$2:$F$9,2,FALSE)</f>
        <v>#N/A</v>
      </c>
      <c r="L1228" s="42"/>
      <c r="M1228" s="43"/>
      <c r="N1228" s="42"/>
      <c r="O1228" s="43"/>
      <c r="P1228" s="43"/>
      <c r="Q1228" s="25" t="e">
        <f>VLOOKUP(P1228,Key!$E$2:$F$9,2,FALSE)</f>
        <v>#N/A</v>
      </c>
      <c r="R1228" s="25" t="e">
        <f t="shared" si="19"/>
        <v>#N/A</v>
      </c>
      <c r="S1228" s="58"/>
      <c r="T1228" s="58"/>
      <c r="U1228" s="43"/>
      <c r="V1228" s="43"/>
      <c r="W1228" s="58"/>
      <c r="X1228" s="58"/>
      <c r="Y1228" s="59"/>
      <c r="Z1228" s="60"/>
      <c r="AA1228" s="25"/>
      <c r="AB1228" s="25"/>
    </row>
    <row r="1229" spans="2:28">
      <c r="B1229" s="40"/>
      <c r="C1229" s="40"/>
      <c r="D1229" s="41"/>
      <c r="E1229" s="42"/>
      <c r="F1229" s="42"/>
      <c r="G1229" s="43"/>
      <c r="H1229" s="42"/>
      <c r="I1229" s="43"/>
      <c r="J1229" s="43"/>
      <c r="K1229" s="25" t="e">
        <f>VLOOKUP(J1229,Key!$E$2:$F$9,2,FALSE)</f>
        <v>#N/A</v>
      </c>
      <c r="L1229" s="42"/>
      <c r="M1229" s="43"/>
      <c r="N1229" s="42"/>
      <c r="O1229" s="43"/>
      <c r="P1229" s="43"/>
      <c r="Q1229" s="25" t="e">
        <f>VLOOKUP(P1229,Key!$E$2:$F$9,2,FALSE)</f>
        <v>#N/A</v>
      </c>
      <c r="R1229" s="25" t="e">
        <f t="shared" si="19"/>
        <v>#N/A</v>
      </c>
      <c r="S1229" s="58"/>
      <c r="T1229" s="58"/>
      <c r="U1229" s="43"/>
      <c r="V1229" s="43"/>
      <c r="W1229" s="58"/>
      <c r="X1229" s="58"/>
      <c r="Y1229" s="59"/>
      <c r="Z1229" s="60"/>
      <c r="AA1229" s="25"/>
      <c r="AB1229" s="25"/>
    </row>
    <row r="1230" spans="2:28">
      <c r="B1230" s="40"/>
      <c r="C1230" s="40"/>
      <c r="D1230" s="41"/>
      <c r="E1230" s="42"/>
      <c r="F1230" s="42"/>
      <c r="G1230" s="43"/>
      <c r="H1230" s="42"/>
      <c r="I1230" s="43"/>
      <c r="J1230" s="43"/>
      <c r="K1230" s="25" t="e">
        <f>VLOOKUP(J1230,Key!$E$2:$F$9,2,FALSE)</f>
        <v>#N/A</v>
      </c>
      <c r="L1230" s="42"/>
      <c r="M1230" s="43"/>
      <c r="N1230" s="42"/>
      <c r="O1230" s="43"/>
      <c r="P1230" s="43"/>
      <c r="Q1230" s="25" t="e">
        <f>VLOOKUP(P1230,Key!$E$2:$F$9,2,FALSE)</f>
        <v>#N/A</v>
      </c>
      <c r="R1230" s="25" t="e">
        <f t="shared" si="19"/>
        <v>#N/A</v>
      </c>
      <c r="S1230" s="58"/>
      <c r="T1230" s="58"/>
      <c r="U1230" s="43"/>
      <c r="V1230" s="43"/>
      <c r="W1230" s="58"/>
      <c r="X1230" s="58"/>
      <c r="Y1230" s="59"/>
      <c r="Z1230" s="60"/>
      <c r="AA1230" s="25"/>
      <c r="AB1230" s="25"/>
    </row>
    <row r="1231" spans="2:28">
      <c r="B1231" s="40"/>
      <c r="C1231" s="40"/>
      <c r="D1231" s="41"/>
      <c r="E1231" s="42"/>
      <c r="F1231" s="42"/>
      <c r="G1231" s="43"/>
      <c r="H1231" s="42"/>
      <c r="I1231" s="43"/>
      <c r="J1231" s="43"/>
      <c r="K1231" s="25" t="e">
        <f>VLOOKUP(J1231,Key!$E$2:$F$9,2,FALSE)</f>
        <v>#N/A</v>
      </c>
      <c r="L1231" s="42"/>
      <c r="M1231" s="43"/>
      <c r="N1231" s="42"/>
      <c r="O1231" s="43"/>
      <c r="P1231" s="43"/>
      <c r="Q1231" s="25" t="e">
        <f>VLOOKUP(P1231,Key!$E$2:$F$9,2,FALSE)</f>
        <v>#N/A</v>
      </c>
      <c r="R1231" s="25" t="e">
        <f t="shared" si="19"/>
        <v>#N/A</v>
      </c>
      <c r="S1231" s="58"/>
      <c r="T1231" s="58"/>
      <c r="U1231" s="43"/>
      <c r="V1231" s="43"/>
      <c r="W1231" s="58"/>
      <c r="X1231" s="58"/>
      <c r="Y1231" s="59"/>
      <c r="Z1231" s="60"/>
      <c r="AA1231" s="25"/>
      <c r="AB1231" s="25"/>
    </row>
    <row r="1232" spans="2:28">
      <c r="B1232" s="40"/>
      <c r="C1232" s="40"/>
      <c r="D1232" s="41"/>
      <c r="E1232" s="42"/>
      <c r="F1232" s="42"/>
      <c r="G1232" s="43"/>
      <c r="H1232" s="42"/>
      <c r="I1232" s="43"/>
      <c r="J1232" s="43"/>
      <c r="K1232" s="25" t="e">
        <f>VLOOKUP(J1232,Key!$E$2:$F$9,2,FALSE)</f>
        <v>#N/A</v>
      </c>
      <c r="L1232" s="42"/>
      <c r="M1232" s="43"/>
      <c r="N1232" s="42"/>
      <c r="O1232" s="43"/>
      <c r="P1232" s="43"/>
      <c r="Q1232" s="25" t="e">
        <f>VLOOKUP(P1232,Key!$E$2:$F$9,2,FALSE)</f>
        <v>#N/A</v>
      </c>
      <c r="R1232" s="25" t="e">
        <f t="shared" si="19"/>
        <v>#N/A</v>
      </c>
      <c r="S1232" s="58"/>
      <c r="T1232" s="58"/>
      <c r="U1232" s="43"/>
      <c r="V1232" s="43"/>
      <c r="W1232" s="58"/>
      <c r="X1232" s="58"/>
      <c r="Y1232" s="59"/>
      <c r="Z1232" s="60"/>
      <c r="AA1232" s="25"/>
      <c r="AB1232" s="25"/>
    </row>
    <row r="1233" spans="2:28">
      <c r="B1233" s="40"/>
      <c r="C1233" s="40"/>
      <c r="D1233" s="41"/>
      <c r="E1233" s="42"/>
      <c r="F1233" s="42"/>
      <c r="G1233" s="43"/>
      <c r="H1233" s="42"/>
      <c r="I1233" s="43"/>
      <c r="J1233" s="43"/>
      <c r="K1233" s="25" t="e">
        <f>VLOOKUP(J1233,Key!$E$2:$F$9,2,FALSE)</f>
        <v>#N/A</v>
      </c>
      <c r="L1233" s="42"/>
      <c r="M1233" s="43"/>
      <c r="N1233" s="42"/>
      <c r="O1233" s="43"/>
      <c r="P1233" s="43"/>
      <c r="Q1233" s="25" t="e">
        <f>VLOOKUP(P1233,Key!$E$2:$F$9,2,FALSE)</f>
        <v>#N/A</v>
      </c>
      <c r="R1233" s="25" t="e">
        <f t="shared" si="19"/>
        <v>#N/A</v>
      </c>
      <c r="S1233" s="58"/>
      <c r="T1233" s="58"/>
      <c r="U1233" s="43"/>
      <c r="V1233" s="43"/>
      <c r="W1233" s="58"/>
      <c r="X1233" s="58"/>
      <c r="Y1233" s="59"/>
      <c r="Z1233" s="60"/>
      <c r="AA1233" s="25"/>
      <c r="AB1233" s="25"/>
    </row>
    <row r="1234" spans="2:28">
      <c r="B1234" s="40"/>
      <c r="C1234" s="40"/>
      <c r="D1234" s="41"/>
      <c r="E1234" s="42"/>
      <c r="F1234" s="42"/>
      <c r="G1234" s="43"/>
      <c r="H1234" s="42"/>
      <c r="I1234" s="43"/>
      <c r="J1234" s="43"/>
      <c r="K1234" s="25" t="e">
        <f>VLOOKUP(J1234,Key!$E$2:$F$9,2,FALSE)</f>
        <v>#N/A</v>
      </c>
      <c r="L1234" s="42"/>
      <c r="M1234" s="43"/>
      <c r="N1234" s="42"/>
      <c r="O1234" s="43"/>
      <c r="P1234" s="43"/>
      <c r="Q1234" s="25" t="e">
        <f>VLOOKUP(P1234,Key!$E$2:$F$9,2,FALSE)</f>
        <v>#N/A</v>
      </c>
      <c r="R1234" s="25" t="e">
        <f t="shared" si="19"/>
        <v>#N/A</v>
      </c>
      <c r="S1234" s="58"/>
      <c r="T1234" s="58"/>
      <c r="U1234" s="43"/>
      <c r="V1234" s="43"/>
      <c r="W1234" s="58"/>
      <c r="X1234" s="58"/>
      <c r="Y1234" s="59"/>
      <c r="Z1234" s="60"/>
      <c r="AA1234" s="25"/>
      <c r="AB1234" s="25"/>
    </row>
    <row r="1235" spans="2:28">
      <c r="B1235" s="40"/>
      <c r="C1235" s="40"/>
      <c r="D1235" s="41"/>
      <c r="E1235" s="42"/>
      <c r="F1235" s="42"/>
      <c r="G1235" s="43"/>
      <c r="H1235" s="42"/>
      <c r="I1235" s="43"/>
      <c r="J1235" s="43"/>
      <c r="K1235" s="25" t="e">
        <f>VLOOKUP(J1235,Key!$E$2:$F$9,2,FALSE)</f>
        <v>#N/A</v>
      </c>
      <c r="L1235" s="42"/>
      <c r="M1235" s="43"/>
      <c r="N1235" s="42"/>
      <c r="O1235" s="43"/>
      <c r="P1235" s="43"/>
      <c r="Q1235" s="25" t="e">
        <f>VLOOKUP(P1235,Key!$E$2:$F$9,2,FALSE)</f>
        <v>#N/A</v>
      </c>
      <c r="R1235" s="25" t="e">
        <f t="shared" si="19"/>
        <v>#N/A</v>
      </c>
      <c r="S1235" s="58"/>
      <c r="T1235" s="58"/>
      <c r="U1235" s="43"/>
      <c r="V1235" s="43"/>
      <c r="W1235" s="58"/>
      <c r="X1235" s="58"/>
      <c r="Y1235" s="59"/>
      <c r="Z1235" s="60"/>
      <c r="AA1235" s="25"/>
      <c r="AB1235" s="25"/>
    </row>
    <row r="1236" spans="2:28">
      <c r="B1236" s="40"/>
      <c r="C1236" s="40"/>
      <c r="D1236" s="41"/>
      <c r="E1236" s="42"/>
      <c r="F1236" s="42"/>
      <c r="G1236" s="43"/>
      <c r="H1236" s="42"/>
      <c r="I1236" s="43"/>
      <c r="J1236" s="43"/>
      <c r="K1236" s="25" t="e">
        <f>VLOOKUP(J1236,Key!$E$2:$F$9,2,FALSE)</f>
        <v>#N/A</v>
      </c>
      <c r="L1236" s="42"/>
      <c r="M1236" s="43"/>
      <c r="N1236" s="42"/>
      <c r="O1236" s="43"/>
      <c r="P1236" s="43"/>
      <c r="Q1236" s="25" t="e">
        <f>VLOOKUP(P1236,Key!$E$2:$F$9,2,FALSE)</f>
        <v>#N/A</v>
      </c>
      <c r="R1236" s="25" t="e">
        <f t="shared" si="19"/>
        <v>#N/A</v>
      </c>
      <c r="S1236" s="58"/>
      <c r="T1236" s="58"/>
      <c r="U1236" s="43"/>
      <c r="V1236" s="43"/>
      <c r="W1236" s="58"/>
      <c r="X1236" s="58"/>
      <c r="Y1236" s="59"/>
      <c r="Z1236" s="60"/>
      <c r="AA1236" s="25"/>
      <c r="AB1236" s="25"/>
    </row>
    <row r="1237" spans="2:28">
      <c r="B1237" s="40"/>
      <c r="C1237" s="40"/>
      <c r="D1237" s="41"/>
      <c r="E1237" s="42"/>
      <c r="F1237" s="42"/>
      <c r="G1237" s="43"/>
      <c r="H1237" s="42"/>
      <c r="I1237" s="43"/>
      <c r="J1237" s="43"/>
      <c r="K1237" s="25" t="e">
        <f>VLOOKUP(J1237,Key!$E$2:$F$9,2,FALSE)</f>
        <v>#N/A</v>
      </c>
      <c r="L1237" s="42"/>
      <c r="M1237" s="43"/>
      <c r="N1237" s="42"/>
      <c r="O1237" s="43"/>
      <c r="P1237" s="43"/>
      <c r="Q1237" s="25" t="e">
        <f>VLOOKUP(P1237,Key!$E$2:$F$9,2,FALSE)</f>
        <v>#N/A</v>
      </c>
      <c r="R1237" s="25" t="e">
        <f t="shared" si="19"/>
        <v>#N/A</v>
      </c>
      <c r="S1237" s="58"/>
      <c r="T1237" s="58"/>
      <c r="U1237" s="43"/>
      <c r="V1237" s="43"/>
      <c r="W1237" s="58"/>
      <c r="X1237" s="58"/>
      <c r="Y1237" s="59"/>
      <c r="Z1237" s="60"/>
      <c r="AA1237" s="25"/>
      <c r="AB1237" s="25"/>
    </row>
    <row r="1238" spans="2:28">
      <c r="B1238" s="40"/>
      <c r="C1238" s="40"/>
      <c r="D1238" s="41"/>
      <c r="E1238" s="42"/>
      <c r="F1238" s="42"/>
      <c r="G1238" s="43"/>
      <c r="H1238" s="42"/>
      <c r="I1238" s="43"/>
      <c r="J1238" s="43"/>
      <c r="K1238" s="25" t="e">
        <f>VLOOKUP(J1238,Key!$E$2:$F$9,2,FALSE)</f>
        <v>#N/A</v>
      </c>
      <c r="L1238" s="42"/>
      <c r="M1238" s="43"/>
      <c r="N1238" s="42"/>
      <c r="O1238" s="43"/>
      <c r="P1238" s="43"/>
      <c r="Q1238" s="25" t="e">
        <f>VLOOKUP(P1238,Key!$E$2:$F$9,2,FALSE)</f>
        <v>#N/A</v>
      </c>
      <c r="R1238" s="25" t="e">
        <f t="shared" si="19"/>
        <v>#N/A</v>
      </c>
      <c r="S1238" s="58"/>
      <c r="T1238" s="58"/>
      <c r="U1238" s="43"/>
      <c r="V1238" s="43"/>
      <c r="W1238" s="58"/>
      <c r="X1238" s="58"/>
      <c r="Y1238" s="59"/>
      <c r="Z1238" s="60"/>
      <c r="AA1238" s="25"/>
      <c r="AB1238" s="25"/>
    </row>
    <row r="1239" spans="2:28">
      <c r="B1239" s="40"/>
      <c r="C1239" s="40"/>
      <c r="D1239" s="41"/>
      <c r="E1239" s="42"/>
      <c r="F1239" s="42"/>
      <c r="G1239" s="43"/>
      <c r="H1239" s="42"/>
      <c r="I1239" s="43"/>
      <c r="J1239" s="43"/>
      <c r="K1239" s="25" t="e">
        <f>VLOOKUP(J1239,Key!$E$2:$F$9,2,FALSE)</f>
        <v>#N/A</v>
      </c>
      <c r="L1239" s="42"/>
      <c r="M1239" s="43"/>
      <c r="N1239" s="42"/>
      <c r="O1239" s="43"/>
      <c r="P1239" s="43"/>
      <c r="Q1239" s="25" t="e">
        <f>VLOOKUP(P1239,Key!$E$2:$F$9,2,FALSE)</f>
        <v>#N/A</v>
      </c>
      <c r="R1239" s="25" t="e">
        <f t="shared" si="19"/>
        <v>#N/A</v>
      </c>
      <c r="S1239" s="58"/>
      <c r="T1239" s="58"/>
      <c r="U1239" s="43"/>
      <c r="V1239" s="43"/>
      <c r="W1239" s="58"/>
      <c r="X1239" s="58"/>
      <c r="Y1239" s="59"/>
      <c r="Z1239" s="60"/>
      <c r="AA1239" s="25"/>
      <c r="AB1239" s="25"/>
    </row>
    <row r="1240" spans="2:28">
      <c r="B1240" s="40"/>
      <c r="C1240" s="40"/>
      <c r="D1240" s="41"/>
      <c r="E1240" s="42"/>
      <c r="F1240" s="42"/>
      <c r="G1240" s="43"/>
      <c r="H1240" s="42"/>
      <c r="I1240" s="43"/>
      <c r="J1240" s="43"/>
      <c r="K1240" s="25" t="e">
        <f>VLOOKUP(J1240,Key!$E$2:$F$9,2,FALSE)</f>
        <v>#N/A</v>
      </c>
      <c r="L1240" s="42"/>
      <c r="M1240" s="43"/>
      <c r="N1240" s="42"/>
      <c r="O1240" s="43"/>
      <c r="P1240" s="43"/>
      <c r="Q1240" s="25" t="e">
        <f>VLOOKUP(P1240,Key!$E$2:$F$9,2,FALSE)</f>
        <v>#N/A</v>
      </c>
      <c r="R1240" s="25" t="e">
        <f t="shared" si="19"/>
        <v>#N/A</v>
      </c>
      <c r="S1240" s="58"/>
      <c r="T1240" s="58"/>
      <c r="U1240" s="43"/>
      <c r="V1240" s="43"/>
      <c r="W1240" s="58"/>
      <c r="X1240" s="58"/>
      <c r="Y1240" s="59"/>
      <c r="Z1240" s="60"/>
      <c r="AA1240" s="25"/>
      <c r="AB1240" s="25"/>
    </row>
    <row r="1241" spans="2:28">
      <c r="B1241" s="40"/>
      <c r="C1241" s="40"/>
      <c r="D1241" s="41"/>
      <c r="E1241" s="42"/>
      <c r="F1241" s="42"/>
      <c r="G1241" s="43"/>
      <c r="H1241" s="42"/>
      <c r="I1241" s="43"/>
      <c r="J1241" s="43"/>
      <c r="K1241" s="25" t="e">
        <f>VLOOKUP(J1241,Key!$E$2:$F$9,2,FALSE)</f>
        <v>#N/A</v>
      </c>
      <c r="L1241" s="42"/>
      <c r="M1241" s="43"/>
      <c r="N1241" s="42"/>
      <c r="O1241" s="43"/>
      <c r="P1241" s="43"/>
      <c r="Q1241" s="25" t="e">
        <f>VLOOKUP(P1241,Key!$E$2:$F$9,2,FALSE)</f>
        <v>#N/A</v>
      </c>
      <c r="R1241" s="25" t="e">
        <f t="shared" si="19"/>
        <v>#N/A</v>
      </c>
      <c r="S1241" s="58"/>
      <c r="T1241" s="58"/>
      <c r="U1241" s="43"/>
      <c r="V1241" s="43"/>
      <c r="W1241" s="58"/>
      <c r="X1241" s="58"/>
      <c r="Y1241" s="59"/>
      <c r="Z1241" s="60"/>
      <c r="AA1241" s="25"/>
      <c r="AB1241" s="25"/>
    </row>
    <row r="1242" spans="2:28">
      <c r="B1242" s="40"/>
      <c r="C1242" s="40"/>
      <c r="D1242" s="41"/>
      <c r="E1242" s="42"/>
      <c r="F1242" s="42"/>
      <c r="G1242" s="43"/>
      <c r="H1242" s="42"/>
      <c r="I1242" s="43"/>
      <c r="J1242" s="43"/>
      <c r="K1242" s="25" t="e">
        <f>VLOOKUP(J1242,Key!$E$2:$F$9,2,FALSE)</f>
        <v>#N/A</v>
      </c>
      <c r="L1242" s="42"/>
      <c r="M1242" s="43"/>
      <c r="N1242" s="42"/>
      <c r="O1242" s="43"/>
      <c r="P1242" s="43"/>
      <c r="Q1242" s="25" t="e">
        <f>VLOOKUP(P1242,Key!$E$2:$F$9,2,FALSE)</f>
        <v>#N/A</v>
      </c>
      <c r="R1242" s="25" t="e">
        <f t="shared" si="19"/>
        <v>#N/A</v>
      </c>
      <c r="S1242" s="58"/>
      <c r="T1242" s="58"/>
      <c r="U1242" s="43"/>
      <c r="V1242" s="43"/>
      <c r="W1242" s="58"/>
      <c r="X1242" s="58"/>
      <c r="Y1242" s="59"/>
      <c r="Z1242" s="60"/>
      <c r="AA1242" s="25"/>
      <c r="AB1242" s="25"/>
    </row>
    <row r="1243" spans="2:28">
      <c r="B1243" s="40"/>
      <c r="C1243" s="40"/>
      <c r="D1243" s="41"/>
      <c r="E1243" s="42"/>
      <c r="F1243" s="42"/>
      <c r="G1243" s="43"/>
      <c r="H1243" s="42"/>
      <c r="I1243" s="43"/>
      <c r="J1243" s="43"/>
      <c r="K1243" s="25" t="e">
        <f>VLOOKUP(J1243,Key!$E$2:$F$9,2,FALSE)</f>
        <v>#N/A</v>
      </c>
      <c r="L1243" s="42"/>
      <c r="M1243" s="43"/>
      <c r="N1243" s="42"/>
      <c r="O1243" s="43"/>
      <c r="P1243" s="43"/>
      <c r="Q1243" s="25" t="e">
        <f>VLOOKUP(P1243,Key!$E$2:$F$9,2,FALSE)</f>
        <v>#N/A</v>
      </c>
      <c r="R1243" s="25" t="e">
        <f t="shared" si="19"/>
        <v>#N/A</v>
      </c>
      <c r="S1243" s="58"/>
      <c r="T1243" s="58"/>
      <c r="U1243" s="43"/>
      <c r="V1243" s="43"/>
      <c r="W1243" s="58"/>
      <c r="X1243" s="58"/>
      <c r="Y1243" s="59"/>
      <c r="Z1243" s="60"/>
      <c r="AA1243" s="25"/>
      <c r="AB1243" s="25"/>
    </row>
    <row r="1244" spans="2:28">
      <c r="B1244" s="40"/>
      <c r="C1244" s="40"/>
      <c r="D1244" s="41"/>
      <c r="E1244" s="42"/>
      <c r="F1244" s="42"/>
      <c r="G1244" s="43"/>
      <c r="H1244" s="42"/>
      <c r="I1244" s="43"/>
      <c r="J1244" s="43"/>
      <c r="K1244" s="25" t="e">
        <f>VLOOKUP(J1244,Key!$E$2:$F$9,2,FALSE)</f>
        <v>#N/A</v>
      </c>
      <c r="L1244" s="42"/>
      <c r="M1244" s="43"/>
      <c r="N1244" s="42"/>
      <c r="O1244" s="43"/>
      <c r="P1244" s="43"/>
      <c r="Q1244" s="25" t="e">
        <f>VLOOKUP(P1244,Key!$E$2:$F$9,2,FALSE)</f>
        <v>#N/A</v>
      </c>
      <c r="R1244" s="25" t="e">
        <f t="shared" si="19"/>
        <v>#N/A</v>
      </c>
      <c r="S1244" s="58"/>
      <c r="T1244" s="58"/>
      <c r="U1244" s="43"/>
      <c r="V1244" s="43"/>
      <c r="W1244" s="58"/>
      <c r="X1244" s="58"/>
      <c r="Y1244" s="59"/>
      <c r="Z1244" s="60"/>
      <c r="AA1244" s="25"/>
      <c r="AB1244" s="25"/>
    </row>
    <row r="1245" spans="2:28">
      <c r="B1245" s="40"/>
      <c r="C1245" s="40"/>
      <c r="D1245" s="41"/>
      <c r="E1245" s="42"/>
      <c r="F1245" s="42"/>
      <c r="G1245" s="43"/>
      <c r="H1245" s="42"/>
      <c r="I1245" s="43"/>
      <c r="J1245" s="43"/>
      <c r="K1245" s="25" t="e">
        <f>VLOOKUP(J1245,Key!$E$2:$F$9,2,FALSE)</f>
        <v>#N/A</v>
      </c>
      <c r="L1245" s="42"/>
      <c r="M1245" s="43"/>
      <c r="N1245" s="42"/>
      <c r="O1245" s="43"/>
      <c r="P1245" s="43"/>
      <c r="Q1245" s="25" t="e">
        <f>VLOOKUP(P1245,Key!$E$2:$F$9,2,FALSE)</f>
        <v>#N/A</v>
      </c>
      <c r="R1245" s="25" t="e">
        <f t="shared" si="19"/>
        <v>#N/A</v>
      </c>
      <c r="S1245" s="58"/>
      <c r="T1245" s="58"/>
      <c r="U1245" s="43"/>
      <c r="V1245" s="43"/>
      <c r="W1245" s="58"/>
      <c r="X1245" s="58"/>
      <c r="Y1245" s="59"/>
      <c r="Z1245" s="60"/>
      <c r="AA1245" s="25"/>
      <c r="AB1245" s="25"/>
    </row>
    <row r="1246" spans="2:28">
      <c r="B1246" s="40"/>
      <c r="C1246" s="40"/>
      <c r="D1246" s="41"/>
      <c r="E1246" s="42"/>
      <c r="F1246" s="42"/>
      <c r="G1246" s="43"/>
      <c r="H1246" s="42"/>
      <c r="I1246" s="43"/>
      <c r="J1246" s="43"/>
      <c r="K1246" s="25" t="e">
        <f>VLOOKUP(J1246,Key!$E$2:$F$9,2,FALSE)</f>
        <v>#N/A</v>
      </c>
      <c r="L1246" s="42"/>
      <c r="M1246" s="43"/>
      <c r="N1246" s="42"/>
      <c r="O1246" s="43"/>
      <c r="P1246" s="43"/>
      <c r="Q1246" s="25" t="e">
        <f>VLOOKUP(P1246,Key!$E$2:$F$9,2,FALSE)</f>
        <v>#N/A</v>
      </c>
      <c r="R1246" s="25" t="e">
        <f t="shared" si="19"/>
        <v>#N/A</v>
      </c>
      <c r="S1246" s="58"/>
      <c r="T1246" s="58"/>
      <c r="U1246" s="43"/>
      <c r="V1246" s="43"/>
      <c r="W1246" s="58"/>
      <c r="X1246" s="58"/>
      <c r="Y1246" s="59"/>
      <c r="Z1246" s="60"/>
      <c r="AA1246" s="25"/>
      <c r="AB1246" s="25"/>
    </row>
    <row r="1247" spans="2:28">
      <c r="B1247" s="40"/>
      <c r="C1247" s="40"/>
      <c r="D1247" s="41"/>
      <c r="E1247" s="42"/>
      <c r="F1247" s="42"/>
      <c r="G1247" s="43"/>
      <c r="H1247" s="42"/>
      <c r="I1247" s="43"/>
      <c r="J1247" s="43"/>
      <c r="K1247" s="25" t="e">
        <f>VLOOKUP(J1247,Key!$E$2:$F$9,2,FALSE)</f>
        <v>#N/A</v>
      </c>
      <c r="L1247" s="42"/>
      <c r="M1247" s="43"/>
      <c r="N1247" s="42"/>
      <c r="O1247" s="43"/>
      <c r="P1247" s="43"/>
      <c r="Q1247" s="25" t="e">
        <f>VLOOKUP(P1247,Key!$E$2:$F$9,2,FALSE)</f>
        <v>#N/A</v>
      </c>
      <c r="R1247" s="25" t="e">
        <f t="shared" si="19"/>
        <v>#N/A</v>
      </c>
      <c r="S1247" s="58"/>
      <c r="T1247" s="58"/>
      <c r="U1247" s="43"/>
      <c r="V1247" s="43"/>
      <c r="W1247" s="58"/>
      <c r="X1247" s="58"/>
      <c r="Y1247" s="59"/>
      <c r="Z1247" s="60"/>
      <c r="AA1247" s="25"/>
      <c r="AB1247" s="25"/>
    </row>
    <row r="1248" spans="2:28">
      <c r="B1248" s="40"/>
      <c r="C1248" s="40"/>
      <c r="D1248" s="41"/>
      <c r="E1248" s="42"/>
      <c r="F1248" s="42"/>
      <c r="G1248" s="43"/>
      <c r="H1248" s="42"/>
      <c r="I1248" s="43"/>
      <c r="J1248" s="43"/>
      <c r="K1248" s="25" t="e">
        <f>VLOOKUP(J1248,Key!$E$2:$F$9,2,FALSE)</f>
        <v>#N/A</v>
      </c>
      <c r="L1248" s="42"/>
      <c r="M1248" s="43"/>
      <c r="N1248" s="42"/>
      <c r="O1248" s="43"/>
      <c r="P1248" s="43"/>
      <c r="Q1248" s="25" t="e">
        <f>VLOOKUP(P1248,Key!$E$2:$F$9,2,FALSE)</f>
        <v>#N/A</v>
      </c>
      <c r="R1248" s="25" t="e">
        <f t="shared" si="19"/>
        <v>#N/A</v>
      </c>
      <c r="S1248" s="58"/>
      <c r="T1248" s="58"/>
      <c r="U1248" s="43"/>
      <c r="V1248" s="43"/>
      <c r="W1248" s="58"/>
      <c r="X1248" s="58"/>
      <c r="Y1248" s="59"/>
      <c r="Z1248" s="60"/>
      <c r="AA1248" s="25"/>
      <c r="AB1248" s="25"/>
    </row>
    <row r="1249" spans="2:28">
      <c r="B1249" s="40"/>
      <c r="C1249" s="40"/>
      <c r="D1249" s="41"/>
      <c r="E1249" s="42"/>
      <c r="F1249" s="42"/>
      <c r="G1249" s="43"/>
      <c r="H1249" s="42"/>
      <c r="I1249" s="43"/>
      <c r="J1249" s="43"/>
      <c r="K1249" s="25" t="e">
        <f>VLOOKUP(J1249,Key!$E$2:$F$9,2,FALSE)</f>
        <v>#N/A</v>
      </c>
      <c r="L1249" s="42"/>
      <c r="M1249" s="43"/>
      <c r="N1249" s="42"/>
      <c r="O1249" s="43"/>
      <c r="P1249" s="43"/>
      <c r="Q1249" s="25" t="e">
        <f>VLOOKUP(P1249,Key!$E$2:$F$9,2,FALSE)</f>
        <v>#N/A</v>
      </c>
      <c r="R1249" s="25" t="e">
        <f t="shared" si="19"/>
        <v>#N/A</v>
      </c>
      <c r="S1249" s="58"/>
      <c r="T1249" s="58"/>
      <c r="U1249" s="43"/>
      <c r="V1249" s="43"/>
      <c r="W1249" s="58"/>
      <c r="X1249" s="58"/>
      <c r="Y1249" s="59"/>
      <c r="Z1249" s="60"/>
      <c r="AA1249" s="25"/>
      <c r="AB1249" s="25"/>
    </row>
    <row r="1250" spans="2:28">
      <c r="B1250" s="40"/>
      <c r="C1250" s="40"/>
      <c r="D1250" s="41"/>
      <c r="E1250" s="42"/>
      <c r="F1250" s="42"/>
      <c r="G1250" s="43"/>
      <c r="H1250" s="42"/>
      <c r="I1250" s="43"/>
      <c r="J1250" s="43"/>
      <c r="K1250" s="25" t="e">
        <f>VLOOKUP(J1250,Key!$E$2:$F$9,2,FALSE)</f>
        <v>#N/A</v>
      </c>
      <c r="L1250" s="42"/>
      <c r="M1250" s="43"/>
      <c r="N1250" s="42"/>
      <c r="O1250" s="43"/>
      <c r="P1250" s="43"/>
      <c r="Q1250" s="25" t="e">
        <f>VLOOKUP(P1250,Key!$E$2:$F$9,2,FALSE)</f>
        <v>#N/A</v>
      </c>
      <c r="R1250" s="25" t="e">
        <f t="shared" si="19"/>
        <v>#N/A</v>
      </c>
      <c r="S1250" s="58"/>
      <c r="T1250" s="58"/>
      <c r="U1250" s="43"/>
      <c r="V1250" s="43"/>
      <c r="W1250" s="58"/>
      <c r="X1250" s="58"/>
      <c r="Y1250" s="59"/>
      <c r="Z1250" s="60"/>
      <c r="AA1250" s="25"/>
      <c r="AB1250" s="25"/>
    </row>
    <row r="1251" spans="2:28">
      <c r="B1251" s="40"/>
      <c r="C1251" s="40"/>
      <c r="D1251" s="41"/>
      <c r="E1251" s="42"/>
      <c r="F1251" s="42"/>
      <c r="G1251" s="43"/>
      <c r="H1251" s="42"/>
      <c r="I1251" s="43"/>
      <c r="J1251" s="43"/>
      <c r="K1251" s="25" t="e">
        <f>VLOOKUP(J1251,Key!$E$2:$F$9,2,FALSE)</f>
        <v>#N/A</v>
      </c>
      <c r="L1251" s="42"/>
      <c r="M1251" s="43"/>
      <c r="N1251" s="42"/>
      <c r="O1251" s="43"/>
      <c r="P1251" s="43"/>
      <c r="Q1251" s="25" t="e">
        <f>VLOOKUP(P1251,Key!$E$2:$F$9,2,FALSE)</f>
        <v>#N/A</v>
      </c>
      <c r="R1251" s="25" t="e">
        <f t="shared" si="19"/>
        <v>#N/A</v>
      </c>
      <c r="S1251" s="58"/>
      <c r="T1251" s="58"/>
      <c r="U1251" s="43"/>
      <c r="V1251" s="43"/>
      <c r="W1251" s="58"/>
      <c r="X1251" s="58"/>
      <c r="Y1251" s="59"/>
      <c r="Z1251" s="60"/>
      <c r="AA1251" s="25"/>
      <c r="AB1251" s="25"/>
    </row>
    <row r="1252" spans="2:28">
      <c r="B1252" s="40"/>
      <c r="C1252" s="40"/>
      <c r="D1252" s="41"/>
      <c r="E1252" s="42"/>
      <c r="F1252" s="42"/>
      <c r="G1252" s="43"/>
      <c r="H1252" s="42"/>
      <c r="I1252" s="43"/>
      <c r="J1252" s="43"/>
      <c r="K1252" s="25" t="e">
        <f>VLOOKUP(J1252,Key!$E$2:$F$9,2,FALSE)</f>
        <v>#N/A</v>
      </c>
      <c r="L1252" s="42"/>
      <c r="M1252" s="43"/>
      <c r="N1252" s="42"/>
      <c r="O1252" s="43"/>
      <c r="P1252" s="43"/>
      <c r="Q1252" s="25" t="e">
        <f>VLOOKUP(P1252,Key!$E$2:$F$9,2,FALSE)</f>
        <v>#N/A</v>
      </c>
      <c r="R1252" s="25" t="e">
        <f t="shared" si="19"/>
        <v>#N/A</v>
      </c>
      <c r="S1252" s="58"/>
      <c r="T1252" s="58"/>
      <c r="U1252" s="43"/>
      <c r="V1252" s="43"/>
      <c r="W1252" s="58"/>
      <c r="X1252" s="58"/>
      <c r="Y1252" s="59"/>
      <c r="Z1252" s="60"/>
      <c r="AA1252" s="25"/>
      <c r="AB1252" s="25"/>
    </row>
    <row r="1253" spans="2:28">
      <c r="B1253" s="40"/>
      <c r="C1253" s="40"/>
      <c r="D1253" s="41"/>
      <c r="E1253" s="42"/>
      <c r="F1253" s="42"/>
      <c r="G1253" s="43"/>
      <c r="H1253" s="42"/>
      <c r="I1253" s="43"/>
      <c r="J1253" s="43"/>
      <c r="K1253" s="25" t="e">
        <f>VLOOKUP(J1253,Key!$E$2:$F$9,2,FALSE)</f>
        <v>#N/A</v>
      </c>
      <c r="L1253" s="42"/>
      <c r="M1253" s="43"/>
      <c r="N1253" s="42"/>
      <c r="O1253" s="43"/>
      <c r="P1253" s="43"/>
      <c r="Q1253" s="25" t="e">
        <f>VLOOKUP(P1253,Key!$E$2:$F$9,2,FALSE)</f>
        <v>#N/A</v>
      </c>
      <c r="R1253" s="25" t="e">
        <f t="shared" si="19"/>
        <v>#N/A</v>
      </c>
      <c r="S1253" s="58"/>
      <c r="T1253" s="58"/>
      <c r="U1253" s="43"/>
      <c r="V1253" s="43"/>
      <c r="W1253" s="58"/>
      <c r="X1253" s="58"/>
      <c r="Y1253" s="59"/>
      <c r="Z1253" s="60"/>
      <c r="AA1253" s="25"/>
      <c r="AB1253" s="25"/>
    </row>
    <row r="1254" spans="2:28">
      <c r="B1254" s="40"/>
      <c r="C1254" s="40"/>
      <c r="D1254" s="41"/>
      <c r="E1254" s="42"/>
      <c r="F1254" s="42"/>
      <c r="G1254" s="43"/>
      <c r="H1254" s="42"/>
      <c r="I1254" s="43"/>
      <c r="J1254" s="43"/>
      <c r="K1254" s="25" t="e">
        <f>VLOOKUP(J1254,Key!$E$2:$F$9,2,FALSE)</f>
        <v>#N/A</v>
      </c>
      <c r="L1254" s="42"/>
      <c r="M1254" s="43"/>
      <c r="N1254" s="42"/>
      <c r="O1254" s="43"/>
      <c r="P1254" s="43"/>
      <c r="Q1254" s="25" t="e">
        <f>VLOOKUP(P1254,Key!$E$2:$F$9,2,FALSE)</f>
        <v>#N/A</v>
      </c>
      <c r="R1254" s="25" t="e">
        <f t="shared" ref="R1254:R1270" si="20">K1254&amp;"-"&amp;Q1254</f>
        <v>#N/A</v>
      </c>
      <c r="S1254" s="58"/>
      <c r="T1254" s="58"/>
      <c r="U1254" s="43"/>
      <c r="V1254" s="43"/>
      <c r="W1254" s="58"/>
      <c r="X1254" s="58"/>
      <c r="Y1254" s="59"/>
      <c r="Z1254" s="60"/>
      <c r="AA1254" s="25"/>
      <c r="AB1254" s="25"/>
    </row>
    <row r="1255" spans="2:28">
      <c r="B1255" s="40"/>
      <c r="C1255" s="40"/>
      <c r="D1255" s="41"/>
      <c r="E1255" s="42"/>
      <c r="F1255" s="42"/>
      <c r="G1255" s="43"/>
      <c r="H1255" s="42"/>
      <c r="I1255" s="43"/>
      <c r="J1255" s="43"/>
      <c r="K1255" s="25" t="e">
        <f>VLOOKUP(J1255,Key!$E$2:$F$9,2,FALSE)</f>
        <v>#N/A</v>
      </c>
      <c r="L1255" s="42"/>
      <c r="M1255" s="43"/>
      <c r="N1255" s="42"/>
      <c r="O1255" s="43"/>
      <c r="P1255" s="43"/>
      <c r="Q1255" s="25" t="e">
        <f>VLOOKUP(P1255,Key!$E$2:$F$9,2,FALSE)</f>
        <v>#N/A</v>
      </c>
      <c r="R1255" s="25" t="e">
        <f t="shared" si="20"/>
        <v>#N/A</v>
      </c>
      <c r="S1255" s="58"/>
      <c r="T1255" s="58"/>
      <c r="U1255" s="43"/>
      <c r="V1255" s="43"/>
      <c r="W1255" s="58"/>
      <c r="X1255" s="58"/>
      <c r="Y1255" s="59"/>
      <c r="Z1255" s="60"/>
      <c r="AA1255" s="25"/>
      <c r="AB1255" s="25"/>
    </row>
    <row r="1256" spans="2:28">
      <c r="B1256" s="40"/>
      <c r="C1256" s="40"/>
      <c r="D1256" s="41"/>
      <c r="E1256" s="42"/>
      <c r="F1256" s="42"/>
      <c r="G1256" s="43"/>
      <c r="H1256" s="42"/>
      <c r="I1256" s="43"/>
      <c r="J1256" s="43"/>
      <c r="K1256" s="25" t="e">
        <f>VLOOKUP(J1256,Key!$E$2:$F$9,2,FALSE)</f>
        <v>#N/A</v>
      </c>
      <c r="L1256" s="42"/>
      <c r="M1256" s="43"/>
      <c r="N1256" s="42"/>
      <c r="O1256" s="43"/>
      <c r="P1256" s="43"/>
      <c r="Q1256" s="25" t="e">
        <f>VLOOKUP(P1256,Key!$E$2:$F$9,2,FALSE)</f>
        <v>#N/A</v>
      </c>
      <c r="R1256" s="25" t="e">
        <f t="shared" si="20"/>
        <v>#N/A</v>
      </c>
      <c r="S1256" s="58"/>
      <c r="T1256" s="58"/>
      <c r="U1256" s="43"/>
      <c r="V1256" s="43"/>
      <c r="W1256" s="58"/>
      <c r="X1256" s="58"/>
      <c r="Y1256" s="59"/>
      <c r="Z1256" s="60"/>
      <c r="AA1256" s="25"/>
      <c r="AB1256" s="25"/>
    </row>
    <row r="1257" spans="2:28">
      <c r="B1257" s="40"/>
      <c r="C1257" s="40"/>
      <c r="D1257" s="41"/>
      <c r="E1257" s="42"/>
      <c r="F1257" s="42"/>
      <c r="G1257" s="43"/>
      <c r="H1257" s="42"/>
      <c r="I1257" s="43"/>
      <c r="J1257" s="43"/>
      <c r="K1257" s="25" t="e">
        <f>VLOOKUP(J1257,Key!$E$2:$F$9,2,FALSE)</f>
        <v>#N/A</v>
      </c>
      <c r="L1257" s="42"/>
      <c r="M1257" s="43"/>
      <c r="N1257" s="42"/>
      <c r="O1257" s="43"/>
      <c r="P1257" s="43"/>
      <c r="Q1257" s="25" t="e">
        <f>VLOOKUP(P1257,Key!$E$2:$F$9,2,FALSE)</f>
        <v>#N/A</v>
      </c>
      <c r="R1257" s="25" t="e">
        <f t="shared" si="20"/>
        <v>#N/A</v>
      </c>
      <c r="S1257" s="58"/>
      <c r="T1257" s="58"/>
      <c r="U1257" s="43"/>
      <c r="V1257" s="43"/>
      <c r="W1257" s="58"/>
      <c r="X1257" s="58"/>
      <c r="Y1257" s="59"/>
      <c r="Z1257" s="60"/>
      <c r="AA1257" s="25"/>
      <c r="AB1257" s="25"/>
    </row>
    <row r="1258" spans="2:28">
      <c r="B1258" s="40"/>
      <c r="C1258" s="40"/>
      <c r="D1258" s="41"/>
      <c r="E1258" s="42"/>
      <c r="F1258" s="42"/>
      <c r="G1258" s="43"/>
      <c r="H1258" s="42"/>
      <c r="I1258" s="43"/>
      <c r="J1258" s="43"/>
      <c r="K1258" s="25" t="e">
        <f>VLOOKUP(J1258,Key!$E$2:$F$9,2,FALSE)</f>
        <v>#N/A</v>
      </c>
      <c r="L1258" s="42"/>
      <c r="M1258" s="43"/>
      <c r="N1258" s="42"/>
      <c r="O1258" s="43"/>
      <c r="P1258" s="43"/>
      <c r="Q1258" s="25" t="e">
        <f>VLOOKUP(P1258,Key!$E$2:$F$9,2,FALSE)</f>
        <v>#N/A</v>
      </c>
      <c r="R1258" s="25" t="e">
        <f t="shared" si="20"/>
        <v>#N/A</v>
      </c>
      <c r="S1258" s="58"/>
      <c r="T1258" s="58"/>
      <c r="U1258" s="43"/>
      <c r="V1258" s="43"/>
      <c r="W1258" s="58"/>
      <c r="X1258" s="58"/>
      <c r="Y1258" s="59"/>
      <c r="Z1258" s="60"/>
      <c r="AA1258" s="25"/>
      <c r="AB1258" s="25"/>
    </row>
    <row r="1259" spans="2:28">
      <c r="B1259" s="40"/>
      <c r="C1259" s="40"/>
      <c r="D1259" s="41"/>
      <c r="E1259" s="42"/>
      <c r="F1259" s="42"/>
      <c r="G1259" s="43"/>
      <c r="H1259" s="42"/>
      <c r="I1259" s="43"/>
      <c r="J1259" s="43"/>
      <c r="K1259" s="25" t="e">
        <f>VLOOKUP(J1259,Key!$E$2:$F$9,2,FALSE)</f>
        <v>#N/A</v>
      </c>
      <c r="L1259" s="42"/>
      <c r="M1259" s="43"/>
      <c r="N1259" s="42"/>
      <c r="O1259" s="43"/>
      <c r="P1259" s="43"/>
      <c r="Q1259" s="25" t="e">
        <f>VLOOKUP(P1259,Key!$E$2:$F$9,2,FALSE)</f>
        <v>#N/A</v>
      </c>
      <c r="R1259" s="25" t="e">
        <f t="shared" si="20"/>
        <v>#N/A</v>
      </c>
      <c r="S1259" s="58"/>
      <c r="T1259" s="58"/>
      <c r="U1259" s="43"/>
      <c r="V1259" s="43"/>
      <c r="W1259" s="58"/>
      <c r="X1259" s="58"/>
      <c r="Y1259" s="59"/>
      <c r="Z1259" s="60"/>
      <c r="AA1259" s="25"/>
      <c r="AB1259" s="25"/>
    </row>
    <row r="1260" spans="2:28">
      <c r="B1260" s="40"/>
      <c r="C1260" s="40"/>
      <c r="D1260" s="41"/>
      <c r="E1260" s="42"/>
      <c r="F1260" s="42"/>
      <c r="G1260" s="43"/>
      <c r="H1260" s="42"/>
      <c r="I1260" s="43"/>
      <c r="J1260" s="43"/>
      <c r="K1260" s="25" t="e">
        <f>VLOOKUP(J1260,Key!$E$2:$F$9,2,FALSE)</f>
        <v>#N/A</v>
      </c>
      <c r="L1260" s="42"/>
      <c r="M1260" s="43"/>
      <c r="N1260" s="42"/>
      <c r="O1260" s="43"/>
      <c r="P1260" s="43"/>
      <c r="Q1260" s="25" t="e">
        <f>VLOOKUP(P1260,Key!$E$2:$F$9,2,FALSE)</f>
        <v>#N/A</v>
      </c>
      <c r="R1260" s="25" t="e">
        <f t="shared" si="20"/>
        <v>#N/A</v>
      </c>
      <c r="S1260" s="58"/>
      <c r="T1260" s="58"/>
      <c r="U1260" s="43"/>
      <c r="V1260" s="43"/>
      <c r="W1260" s="58"/>
      <c r="X1260" s="58"/>
      <c r="Y1260" s="59"/>
      <c r="Z1260" s="60"/>
      <c r="AA1260" s="25"/>
      <c r="AB1260" s="25"/>
    </row>
    <row r="1261" spans="2:28">
      <c r="B1261" s="40"/>
      <c r="C1261" s="40"/>
      <c r="D1261" s="41"/>
      <c r="E1261" s="42"/>
      <c r="F1261" s="42"/>
      <c r="G1261" s="43"/>
      <c r="H1261" s="42"/>
      <c r="I1261" s="43"/>
      <c r="J1261" s="43"/>
      <c r="K1261" s="25" t="e">
        <f>VLOOKUP(J1261,Key!$E$2:$F$9,2,FALSE)</f>
        <v>#N/A</v>
      </c>
      <c r="L1261" s="42"/>
      <c r="M1261" s="43"/>
      <c r="N1261" s="42"/>
      <c r="O1261" s="43"/>
      <c r="P1261" s="43"/>
      <c r="Q1261" s="25" t="e">
        <f>VLOOKUP(P1261,Key!$E$2:$F$9,2,FALSE)</f>
        <v>#N/A</v>
      </c>
      <c r="R1261" s="25" t="e">
        <f t="shared" si="20"/>
        <v>#N/A</v>
      </c>
      <c r="S1261" s="58"/>
      <c r="T1261" s="58"/>
      <c r="U1261" s="43"/>
      <c r="V1261" s="43"/>
      <c r="W1261" s="58"/>
      <c r="X1261" s="58"/>
      <c r="Y1261" s="59"/>
      <c r="Z1261" s="60"/>
      <c r="AA1261" s="25"/>
      <c r="AB1261" s="25"/>
    </row>
    <row r="1262" spans="2:28">
      <c r="B1262" s="40"/>
      <c r="C1262" s="40"/>
      <c r="D1262" s="41"/>
      <c r="E1262" s="42"/>
      <c r="F1262" s="42"/>
      <c r="G1262" s="43"/>
      <c r="H1262" s="42"/>
      <c r="I1262" s="43"/>
      <c r="J1262" s="43"/>
      <c r="K1262" s="25" t="e">
        <f>VLOOKUP(J1262,Key!$E$2:$F$9,2,FALSE)</f>
        <v>#N/A</v>
      </c>
      <c r="L1262" s="42"/>
      <c r="M1262" s="43"/>
      <c r="N1262" s="42"/>
      <c r="O1262" s="43"/>
      <c r="P1262" s="43"/>
      <c r="Q1262" s="25" t="e">
        <f>VLOOKUP(P1262,Key!$E$2:$F$9,2,FALSE)</f>
        <v>#N/A</v>
      </c>
      <c r="R1262" s="25" t="e">
        <f t="shared" si="20"/>
        <v>#N/A</v>
      </c>
      <c r="S1262" s="58"/>
      <c r="T1262" s="58"/>
      <c r="U1262" s="43"/>
      <c r="V1262" s="43"/>
      <c r="W1262" s="58"/>
      <c r="X1262" s="58"/>
      <c r="Y1262" s="59"/>
      <c r="Z1262" s="60"/>
      <c r="AA1262" s="25"/>
      <c r="AB1262" s="25"/>
    </row>
    <row r="1263" spans="2:28">
      <c r="B1263" s="40"/>
      <c r="C1263" s="40"/>
      <c r="D1263" s="41"/>
      <c r="E1263" s="42"/>
      <c r="F1263" s="42"/>
      <c r="G1263" s="43"/>
      <c r="H1263" s="42"/>
      <c r="I1263" s="43"/>
      <c r="J1263" s="43"/>
      <c r="K1263" s="25" t="e">
        <f>VLOOKUP(J1263,Key!$E$2:$F$9,2,FALSE)</f>
        <v>#N/A</v>
      </c>
      <c r="L1263" s="42"/>
      <c r="M1263" s="43"/>
      <c r="N1263" s="42"/>
      <c r="O1263" s="43"/>
      <c r="P1263" s="43"/>
      <c r="Q1263" s="25" t="e">
        <f>VLOOKUP(P1263,Key!$E$2:$F$9,2,FALSE)</f>
        <v>#N/A</v>
      </c>
      <c r="R1263" s="25" t="e">
        <f t="shared" si="20"/>
        <v>#N/A</v>
      </c>
      <c r="S1263" s="58"/>
      <c r="T1263" s="58"/>
      <c r="U1263" s="43"/>
      <c r="V1263" s="43"/>
      <c r="W1263" s="58"/>
      <c r="X1263" s="58"/>
      <c r="Y1263" s="59"/>
      <c r="Z1263" s="60"/>
      <c r="AA1263" s="25"/>
      <c r="AB1263" s="25"/>
    </row>
    <row r="1264" spans="2:28">
      <c r="B1264" s="40"/>
      <c r="C1264" s="40"/>
      <c r="D1264" s="41"/>
      <c r="E1264" s="42"/>
      <c r="F1264" s="42"/>
      <c r="G1264" s="43"/>
      <c r="H1264" s="42"/>
      <c r="I1264" s="43"/>
      <c r="J1264" s="43"/>
      <c r="K1264" s="25" t="e">
        <f>VLOOKUP(J1264,Key!$E$2:$F$9,2,FALSE)</f>
        <v>#N/A</v>
      </c>
      <c r="L1264" s="42"/>
      <c r="M1264" s="43"/>
      <c r="N1264" s="42"/>
      <c r="O1264" s="43"/>
      <c r="P1264" s="43"/>
      <c r="Q1264" s="25" t="e">
        <f>VLOOKUP(P1264,Key!$E$2:$F$9,2,FALSE)</f>
        <v>#N/A</v>
      </c>
      <c r="R1264" s="25" t="e">
        <f t="shared" si="20"/>
        <v>#N/A</v>
      </c>
      <c r="S1264" s="58"/>
      <c r="T1264" s="58"/>
      <c r="U1264" s="43"/>
      <c r="V1264" s="43"/>
      <c r="W1264" s="58"/>
      <c r="X1264" s="58"/>
      <c r="Y1264" s="59"/>
      <c r="Z1264" s="60"/>
      <c r="AA1264" s="25"/>
      <c r="AB1264" s="25"/>
    </row>
    <row r="1265" spans="2:28">
      <c r="B1265" s="40"/>
      <c r="C1265" s="40"/>
      <c r="D1265" s="41"/>
      <c r="E1265" s="42"/>
      <c r="F1265" s="42"/>
      <c r="G1265" s="43"/>
      <c r="H1265" s="42"/>
      <c r="I1265" s="43"/>
      <c r="J1265" s="43"/>
      <c r="K1265" s="25" t="e">
        <f>VLOOKUP(J1265,Key!$E$2:$F$9,2,FALSE)</f>
        <v>#N/A</v>
      </c>
      <c r="L1265" s="42"/>
      <c r="M1265" s="43"/>
      <c r="N1265" s="42"/>
      <c r="O1265" s="43"/>
      <c r="P1265" s="43"/>
      <c r="Q1265" s="25" t="e">
        <f>VLOOKUP(P1265,Key!$E$2:$F$9,2,FALSE)</f>
        <v>#N/A</v>
      </c>
      <c r="R1265" s="25" t="e">
        <f t="shared" si="20"/>
        <v>#N/A</v>
      </c>
      <c r="S1265" s="58"/>
      <c r="T1265" s="58"/>
      <c r="U1265" s="43"/>
      <c r="V1265" s="43"/>
      <c r="W1265" s="58"/>
      <c r="X1265" s="58"/>
      <c r="Y1265" s="59"/>
      <c r="Z1265" s="60"/>
      <c r="AA1265" s="25"/>
      <c r="AB1265" s="25"/>
    </row>
    <row r="1266" spans="2:28">
      <c r="B1266" s="40"/>
      <c r="C1266" s="40"/>
      <c r="D1266" s="41"/>
      <c r="E1266" s="42"/>
      <c r="F1266" s="42"/>
      <c r="G1266" s="43"/>
      <c r="H1266" s="42"/>
      <c r="I1266" s="43"/>
      <c r="J1266" s="43"/>
      <c r="K1266" s="25" t="e">
        <f>VLOOKUP(J1266,Key!$E$2:$F$9,2,FALSE)</f>
        <v>#N/A</v>
      </c>
      <c r="L1266" s="42"/>
      <c r="M1266" s="43"/>
      <c r="N1266" s="42"/>
      <c r="O1266" s="43"/>
      <c r="P1266" s="43"/>
      <c r="Q1266" s="25" t="e">
        <f>VLOOKUP(P1266,Key!$E$2:$F$9,2,FALSE)</f>
        <v>#N/A</v>
      </c>
      <c r="R1266" s="25" t="e">
        <f t="shared" si="20"/>
        <v>#N/A</v>
      </c>
      <c r="S1266" s="58"/>
      <c r="T1266" s="58"/>
      <c r="U1266" s="43"/>
      <c r="V1266" s="43"/>
      <c r="W1266" s="58"/>
      <c r="X1266" s="58"/>
      <c r="Y1266" s="59"/>
      <c r="Z1266" s="60"/>
      <c r="AA1266" s="25"/>
      <c r="AB1266" s="25"/>
    </row>
    <row r="1267" spans="2:28">
      <c r="B1267" s="40"/>
      <c r="C1267" s="40"/>
      <c r="D1267" s="41"/>
      <c r="E1267" s="42"/>
      <c r="F1267" s="42"/>
      <c r="G1267" s="43"/>
      <c r="H1267" s="42"/>
      <c r="I1267" s="43"/>
      <c r="J1267" s="43"/>
      <c r="K1267" s="25" t="e">
        <f>VLOOKUP(J1267,Key!$E$2:$F$9,2,FALSE)</f>
        <v>#N/A</v>
      </c>
      <c r="L1267" s="42"/>
      <c r="M1267" s="43"/>
      <c r="N1267" s="42"/>
      <c r="O1267" s="43"/>
      <c r="P1267" s="43"/>
      <c r="Q1267" s="25" t="e">
        <f>VLOOKUP(P1267,Key!$E$2:$F$9,2,FALSE)</f>
        <v>#N/A</v>
      </c>
      <c r="R1267" s="25" t="e">
        <f t="shared" si="20"/>
        <v>#N/A</v>
      </c>
      <c r="S1267" s="58"/>
      <c r="T1267" s="58"/>
      <c r="U1267" s="43"/>
      <c r="V1267" s="43"/>
      <c r="W1267" s="58"/>
      <c r="X1267" s="58"/>
      <c r="Y1267" s="59"/>
      <c r="Z1267" s="60"/>
      <c r="AA1267" s="25"/>
      <c r="AB1267" s="25"/>
    </row>
    <row r="1268" spans="2:28">
      <c r="B1268" s="40"/>
      <c r="C1268" s="40"/>
      <c r="D1268" s="41"/>
      <c r="E1268" s="42"/>
      <c r="F1268" s="42"/>
      <c r="G1268" s="43"/>
      <c r="H1268" s="42"/>
      <c r="I1268" s="43"/>
      <c r="J1268" s="43"/>
      <c r="K1268" s="25" t="e">
        <f>VLOOKUP(J1268,Key!$E$2:$F$9,2,FALSE)</f>
        <v>#N/A</v>
      </c>
      <c r="L1268" s="42"/>
      <c r="M1268" s="43"/>
      <c r="N1268" s="42"/>
      <c r="O1268" s="43"/>
      <c r="P1268" s="43"/>
      <c r="Q1268" s="25" t="e">
        <f>VLOOKUP(P1268,Key!$E$2:$F$9,2,FALSE)</f>
        <v>#N/A</v>
      </c>
      <c r="R1268" s="25" t="e">
        <f t="shared" si="20"/>
        <v>#N/A</v>
      </c>
      <c r="S1268" s="58"/>
      <c r="T1268" s="58"/>
      <c r="U1268" s="43"/>
      <c r="V1268" s="43"/>
      <c r="W1268" s="58"/>
      <c r="X1268" s="58"/>
      <c r="Y1268" s="59"/>
      <c r="Z1268" s="60"/>
      <c r="AA1268" s="25"/>
      <c r="AB1268" s="25"/>
    </row>
    <row r="1269" spans="2:28">
      <c r="B1269" s="40"/>
      <c r="C1269" s="40"/>
      <c r="D1269" s="41"/>
      <c r="E1269" s="42"/>
      <c r="F1269" s="42"/>
      <c r="G1269" s="43"/>
      <c r="H1269" s="42"/>
      <c r="I1269" s="43"/>
      <c r="J1269" s="43"/>
      <c r="K1269" s="25" t="e">
        <f>VLOOKUP(J1269,Key!$E$2:$F$9,2,FALSE)</f>
        <v>#N/A</v>
      </c>
      <c r="L1269" s="42"/>
      <c r="M1269" s="43"/>
      <c r="N1269" s="42"/>
      <c r="O1269" s="43"/>
      <c r="P1269" s="43"/>
      <c r="Q1269" s="25" t="e">
        <f>VLOOKUP(P1269,Key!$E$2:$F$9,2,FALSE)</f>
        <v>#N/A</v>
      </c>
      <c r="R1269" s="25" t="e">
        <f t="shared" si="20"/>
        <v>#N/A</v>
      </c>
      <c r="S1269" s="58"/>
      <c r="T1269" s="58"/>
      <c r="U1269" s="43"/>
      <c r="V1269" s="43"/>
      <c r="W1269" s="58"/>
      <c r="X1269" s="58"/>
      <c r="Y1269" s="59"/>
      <c r="Z1269" s="60"/>
      <c r="AA1269" s="25"/>
      <c r="AB1269" s="25"/>
    </row>
    <row r="1270" spans="2:28">
      <c r="B1270" s="40"/>
      <c r="C1270" s="40"/>
      <c r="D1270" s="41"/>
      <c r="E1270" s="42"/>
      <c r="F1270" s="42"/>
      <c r="G1270" s="43"/>
      <c r="H1270" s="42"/>
      <c r="I1270" s="43"/>
      <c r="J1270" s="43"/>
      <c r="K1270" s="25" t="e">
        <f>VLOOKUP(J1270,Key!$E$2:$F$9,2,FALSE)</f>
        <v>#N/A</v>
      </c>
      <c r="L1270" s="42"/>
      <c r="M1270" s="43"/>
      <c r="N1270" s="42"/>
      <c r="O1270" s="43"/>
      <c r="P1270" s="43"/>
      <c r="Q1270" s="25" t="e">
        <f>VLOOKUP(P1270,Key!$E$2:$F$9,2,FALSE)</f>
        <v>#N/A</v>
      </c>
      <c r="R1270" s="25" t="e">
        <f t="shared" si="20"/>
        <v>#N/A</v>
      </c>
      <c r="S1270" s="58"/>
      <c r="T1270" s="58"/>
      <c r="U1270" s="43"/>
      <c r="V1270" s="43"/>
      <c r="W1270" s="58"/>
      <c r="X1270" s="58"/>
      <c r="Y1270" s="59"/>
      <c r="Z1270" s="60"/>
      <c r="AA1270" s="25"/>
      <c r="AB1270" s="25"/>
    </row>
  </sheetData>
  <mergeCells count="25">
    <mergeCell ref="O4:T4"/>
    <mergeCell ref="F7:H7"/>
    <mergeCell ref="E7:E8"/>
    <mergeCell ref="S7:S8"/>
    <mergeCell ref="B7:B8"/>
    <mergeCell ref="D7:D8"/>
    <mergeCell ref="J7:J8"/>
    <mergeCell ref="L7:N7"/>
    <mergeCell ref="P7:P8"/>
    <mergeCell ref="B1:AB1"/>
    <mergeCell ref="B2:AB2"/>
    <mergeCell ref="I7:I8"/>
    <mergeCell ref="C7:C8"/>
    <mergeCell ref="AA7:AA8"/>
    <mergeCell ref="AB7:AB8"/>
    <mergeCell ref="O7:O8"/>
    <mergeCell ref="U7:U8"/>
    <mergeCell ref="Y7:Y8"/>
    <mergeCell ref="Z7:Z8"/>
    <mergeCell ref="V7:X7"/>
    <mergeCell ref="F4:G4"/>
    <mergeCell ref="T7:T8"/>
    <mergeCell ref="K7:K8"/>
    <mergeCell ref="Q7:Q8"/>
    <mergeCell ref="R7:R8"/>
  </mergeCells>
  <pageMargins left="0.2" right="0.2" top="0.15" bottom="0.15" header="0.05" footer="0.3"/>
  <pageSetup paperSize="9" scale="50" orientation="landscape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O17"/>
  <sheetViews>
    <sheetView workbookViewId="0">
      <selection activeCell="F7" sqref="F7"/>
    </sheetView>
  </sheetViews>
  <sheetFormatPr defaultRowHeight="12.75"/>
  <cols>
    <col min="1" max="1" width="4.28515625" customWidth="1"/>
    <col min="2" max="2" width="25.5703125" bestFit="1" customWidth="1"/>
    <col min="3" max="3" width="4.5703125" customWidth="1"/>
    <col min="4" max="4" width="23.28515625" bestFit="1" customWidth="1"/>
    <col min="5" max="5" width="4.5703125" customWidth="1"/>
    <col min="6" max="6" width="18.42578125" customWidth="1"/>
    <col min="7" max="7" width="4.85546875" customWidth="1"/>
    <col min="8" max="8" width="24.28515625" customWidth="1"/>
    <col min="9" max="9" width="5.140625" customWidth="1"/>
    <col min="10" max="10" width="47.85546875" customWidth="1"/>
  </cols>
  <sheetData>
    <row r="1" spans="1:15" ht="30.75" customHeight="1">
      <c r="A1" s="36"/>
      <c r="B1" s="34" t="s">
        <v>33</v>
      </c>
      <c r="C1" s="34"/>
      <c r="D1" s="34" t="s">
        <v>83</v>
      </c>
      <c r="E1" s="34"/>
      <c r="F1" s="35" t="s">
        <v>100</v>
      </c>
      <c r="G1" s="36"/>
      <c r="H1" s="36" t="s">
        <v>108</v>
      </c>
      <c r="I1" s="36"/>
      <c r="J1" s="36" t="s">
        <v>115</v>
      </c>
      <c r="K1" s="36"/>
      <c r="L1" s="36"/>
      <c r="M1" s="36"/>
      <c r="N1" s="36"/>
      <c r="O1" s="36"/>
    </row>
    <row r="2" spans="1:15">
      <c r="A2">
        <v>1</v>
      </c>
      <c r="B2" s="33" t="s">
        <v>71</v>
      </c>
      <c r="C2" s="10">
        <v>1</v>
      </c>
      <c r="D2" s="33" t="s">
        <v>84</v>
      </c>
      <c r="E2" s="10">
        <v>1</v>
      </c>
      <c r="F2" t="s">
        <v>101</v>
      </c>
      <c r="G2">
        <v>1</v>
      </c>
      <c r="H2" s="19" t="s">
        <v>109</v>
      </c>
      <c r="I2">
        <v>1</v>
      </c>
      <c r="J2" s="19" t="s">
        <v>116</v>
      </c>
    </row>
    <row r="3" spans="1:15">
      <c r="A3">
        <v>2</v>
      </c>
      <c r="B3" s="33" t="s">
        <v>72</v>
      </c>
      <c r="C3" s="10">
        <v>2</v>
      </c>
      <c r="D3" s="33" t="s">
        <v>85</v>
      </c>
      <c r="E3" s="10">
        <v>2</v>
      </c>
      <c r="F3" t="s">
        <v>102</v>
      </c>
      <c r="G3">
        <v>2</v>
      </c>
      <c r="H3" s="19" t="s">
        <v>110</v>
      </c>
      <c r="I3">
        <v>2</v>
      </c>
      <c r="J3" s="19" t="s">
        <v>117</v>
      </c>
    </row>
    <row r="4" spans="1:15">
      <c r="A4">
        <v>3</v>
      </c>
      <c r="B4" s="33" t="s">
        <v>73</v>
      </c>
      <c r="C4" s="10">
        <v>3</v>
      </c>
      <c r="D4" s="33" t="s">
        <v>86</v>
      </c>
      <c r="E4" s="10">
        <v>3</v>
      </c>
      <c r="F4" t="s">
        <v>103</v>
      </c>
      <c r="G4">
        <v>3</v>
      </c>
      <c r="H4" s="19" t="s">
        <v>111</v>
      </c>
      <c r="I4">
        <v>3</v>
      </c>
      <c r="J4" s="19" t="s">
        <v>118</v>
      </c>
    </row>
    <row r="5" spans="1:15">
      <c r="A5">
        <v>4</v>
      </c>
      <c r="B5" s="33" t="s">
        <v>74</v>
      </c>
      <c r="C5" s="10">
        <v>4</v>
      </c>
      <c r="D5" s="33" t="s">
        <v>87</v>
      </c>
      <c r="E5" s="10">
        <v>4</v>
      </c>
      <c r="F5" t="s">
        <v>104</v>
      </c>
      <c r="G5">
        <v>4</v>
      </c>
      <c r="H5" s="19" t="s">
        <v>112</v>
      </c>
      <c r="I5">
        <v>4</v>
      </c>
      <c r="J5" s="37" t="s">
        <v>119</v>
      </c>
    </row>
    <row r="6" spans="1:15">
      <c r="A6">
        <v>5</v>
      </c>
      <c r="B6" s="33" t="s">
        <v>75</v>
      </c>
      <c r="C6" s="10">
        <v>5</v>
      </c>
      <c r="D6" s="33" t="s">
        <v>88</v>
      </c>
      <c r="E6" s="10">
        <v>5</v>
      </c>
      <c r="F6" t="s">
        <v>105</v>
      </c>
      <c r="G6">
        <v>5</v>
      </c>
      <c r="H6" s="19" t="s">
        <v>113</v>
      </c>
      <c r="I6">
        <v>5</v>
      </c>
      <c r="J6" s="19" t="s">
        <v>120</v>
      </c>
    </row>
    <row r="7" spans="1:15">
      <c r="A7">
        <v>6</v>
      </c>
      <c r="B7" s="33" t="s">
        <v>76</v>
      </c>
      <c r="C7" s="10">
        <v>6</v>
      </c>
      <c r="D7" s="33" t="s">
        <v>89</v>
      </c>
      <c r="E7" s="10">
        <v>6</v>
      </c>
      <c r="F7" t="s">
        <v>106</v>
      </c>
      <c r="G7">
        <v>6</v>
      </c>
      <c r="H7" s="19" t="s">
        <v>114</v>
      </c>
      <c r="I7">
        <v>6</v>
      </c>
      <c r="J7" s="19" t="s">
        <v>121</v>
      </c>
    </row>
    <row r="8" spans="1:15">
      <c r="A8">
        <v>7</v>
      </c>
      <c r="B8" s="33" t="s">
        <v>77</v>
      </c>
      <c r="C8" s="10">
        <v>7</v>
      </c>
      <c r="D8" s="33" t="s">
        <v>90</v>
      </c>
      <c r="E8" s="10">
        <v>7</v>
      </c>
      <c r="F8" t="s">
        <v>88</v>
      </c>
      <c r="I8">
        <v>7</v>
      </c>
      <c r="J8" s="19" t="s">
        <v>122</v>
      </c>
    </row>
    <row r="9" spans="1:15">
      <c r="A9">
        <v>8</v>
      </c>
      <c r="B9" s="33" t="s">
        <v>78</v>
      </c>
      <c r="C9" s="10">
        <v>8</v>
      </c>
      <c r="D9" s="33" t="s">
        <v>91</v>
      </c>
      <c r="E9" s="10">
        <v>8</v>
      </c>
      <c r="F9" t="s">
        <v>107</v>
      </c>
      <c r="I9">
        <v>8</v>
      </c>
      <c r="J9" s="19" t="s">
        <v>123</v>
      </c>
    </row>
    <row r="10" spans="1:15">
      <c r="A10">
        <v>9</v>
      </c>
      <c r="B10" s="33" t="s">
        <v>79</v>
      </c>
      <c r="C10" s="10">
        <v>9</v>
      </c>
      <c r="D10" s="33" t="s">
        <v>92</v>
      </c>
      <c r="E10" s="10"/>
      <c r="I10">
        <v>9</v>
      </c>
      <c r="J10" s="19" t="s">
        <v>124</v>
      </c>
    </row>
    <row r="11" spans="1:15">
      <c r="A11">
        <v>10</v>
      </c>
      <c r="B11" s="33" t="s">
        <v>80</v>
      </c>
      <c r="C11" s="10">
        <v>10</v>
      </c>
      <c r="D11" s="33" t="s">
        <v>93</v>
      </c>
      <c r="E11" s="10"/>
      <c r="I11">
        <v>10</v>
      </c>
      <c r="J11" s="37" t="s">
        <v>125</v>
      </c>
    </row>
    <row r="12" spans="1:15">
      <c r="A12">
        <v>11</v>
      </c>
      <c r="B12" s="33" t="s">
        <v>82</v>
      </c>
      <c r="C12" s="10">
        <v>11</v>
      </c>
      <c r="D12" s="33" t="s">
        <v>94</v>
      </c>
      <c r="E12" s="10"/>
      <c r="I12">
        <v>11</v>
      </c>
      <c r="J12" s="19" t="s">
        <v>126</v>
      </c>
    </row>
    <row r="13" spans="1:15">
      <c r="A13">
        <v>12</v>
      </c>
      <c r="B13" s="33" t="s">
        <v>81</v>
      </c>
      <c r="C13" s="10">
        <v>12</v>
      </c>
      <c r="D13" s="33" t="s">
        <v>95</v>
      </c>
      <c r="E13" s="10"/>
      <c r="I13">
        <v>12</v>
      </c>
      <c r="J13" s="19" t="s">
        <v>127</v>
      </c>
    </row>
    <row r="14" spans="1:15">
      <c r="C14" s="10">
        <v>13</v>
      </c>
      <c r="D14" s="19" t="s">
        <v>96</v>
      </c>
    </row>
    <row r="15" spans="1:15">
      <c r="B15" s="1"/>
      <c r="C15" s="10">
        <v>14</v>
      </c>
      <c r="D15" s="19" t="s">
        <v>97</v>
      </c>
    </row>
    <row r="16" spans="1:15">
      <c r="C16" s="10">
        <v>15</v>
      </c>
      <c r="D16" s="19" t="s">
        <v>98</v>
      </c>
    </row>
    <row r="17" spans="3:4">
      <c r="C17" s="10">
        <v>16</v>
      </c>
      <c r="D17" s="19" t="s">
        <v>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10</vt:i4>
      </vt:variant>
      <vt:variant>
        <vt:lpstr>Named Ranges</vt:lpstr>
      </vt:variant>
      <vt:variant>
        <vt:i4>8</vt:i4>
      </vt:variant>
    </vt:vector>
  </HeadingPairs>
  <TitlesOfParts>
    <vt:vector size="18" baseType="lpstr">
      <vt:lpstr>RSI FORM</vt:lpstr>
      <vt:lpstr>Analysis</vt:lpstr>
      <vt:lpstr>ALL DATA</vt:lpstr>
      <vt:lpstr>Zones</vt:lpstr>
      <vt:lpstr>Zone analysis</vt:lpstr>
      <vt:lpstr>12.10 MATUGGA-KASANGATTI</vt:lpstr>
      <vt:lpstr>12.10 KASANGATTI-MATUGGA</vt:lpstr>
      <vt:lpstr>14.10 MATUGGA-KASANGATI</vt:lpstr>
      <vt:lpstr>14.10 KASANGATI-MATUGGA</vt:lpstr>
      <vt:lpstr>Key</vt:lpstr>
      <vt:lpstr>Dist</vt:lpstr>
      <vt:lpstr>Jtime</vt:lpstr>
      <vt:lpstr>Pay</vt:lpstr>
      <vt:lpstr>TripFreq</vt:lpstr>
      <vt:lpstr>Veh</vt:lpstr>
      <vt:lpstr>'12.10 KASANGATTI-MATUGGA'!Veh_Type</vt:lpstr>
      <vt:lpstr>'14.10 MATUGGA-KASANGATI'!Veh_Type</vt:lpstr>
      <vt:lpstr>Veh_Type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steward consultancy</dc:creator>
  <cp:lastModifiedBy>MR.O</cp:lastModifiedBy>
  <cp:lastPrinted>2019-07-30T09:53:06Z</cp:lastPrinted>
  <dcterms:created xsi:type="dcterms:W3CDTF">2010-10-20T14:55:17Z</dcterms:created>
  <dcterms:modified xsi:type="dcterms:W3CDTF">2020-04-09T23:22:50Z</dcterms:modified>
</cp:coreProperties>
</file>