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9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2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4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16.xml" ContentType="application/vnd.openxmlformats-officedocument.drawing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7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56-MUNYONYO SPUR\MCC\"/>
    </mc:Choice>
  </mc:AlternateContent>
  <xr:revisionPtr revIDLastSave="0" documentId="13_ncr:1_{3BA1CE36-A9A3-47D0-98FA-5B52C68DB04D}" xr6:coauthVersionLast="45" xr6:coauthVersionMax="45" xr10:uidLastSave="{00000000-0000-0000-0000-000000000000}"/>
  <bookViews>
    <workbookView xWindow="-120" yWindow="-120" windowWidth="20730" windowHeight="11160" tabRatio="850" firstSheet="13" activeTab="14" xr2:uid="{00000000-000D-0000-FFFF-FFFF00000000}"/>
  </bookViews>
  <sheets>
    <sheet name="23.09.19 Bweya- Kajansi" sheetId="93" r:id="rId1"/>
    <sheet name="23.09.19 Kajansi -Bweya" sheetId="94" r:id="rId2"/>
    <sheet name="24.09 Bweya-Kajansi" sheetId="95" r:id="rId3"/>
    <sheet name="24.09 Kajansi-Bweya" sheetId="96" r:id="rId4"/>
    <sheet name="25.09 Bweya-Kajansi" sheetId="97" r:id="rId5"/>
    <sheet name="25.09 Kajansi-Bweya" sheetId="98" r:id="rId6"/>
    <sheet name="26.09 Munyonyo-Kajansi-24h" sheetId="101" r:id="rId7"/>
    <sheet name="26.09 Kajansi-Bweya-24h" sheetId="109" r:id="rId8"/>
    <sheet name="27.09 Munyonyo-Kajansi" sheetId="99" r:id="rId9"/>
    <sheet name="27.09Kasjansi-Munyonyo" sheetId="100" r:id="rId10"/>
    <sheet name="28.09 Kajansi-Bweya-24h" sheetId="105" r:id="rId11"/>
    <sheet name="28.09 Bweya-Kajansi-24h" sheetId="110" r:id="rId12"/>
    <sheet name="29.09 Kajansi-Bweya" sheetId="103" r:id="rId13"/>
    <sheet name="29.09 Bweya-Kajansi" sheetId="104" r:id="rId14"/>
    <sheet name="Avg Week Bweya-Kajansi" sheetId="107" r:id="rId15"/>
    <sheet name="Avg Week Kajansi-Bweya" sheetId="108" r:id="rId16"/>
    <sheet name="Avg Week Bweya-Kajansi-2Dir" sheetId="111" r:id="rId17"/>
  </sheets>
  <externalReferences>
    <externalReference r:id="rId18"/>
    <externalReference r:id="rId19"/>
  </externalReferences>
  <definedNames>
    <definedName name="_xlnm.Print_Area" localSheetId="0">'23.09.19 Bweya- Kajansi'!$A$1:$AF$60</definedName>
    <definedName name="_xlnm.Print_Area" localSheetId="1">'23.09.19 Kajansi -Bweya'!$A$1:$AF$60</definedName>
    <definedName name="_xlnm.Print_Area" localSheetId="2">'24.09 Bweya-Kajansi'!$A$1:$AF$60</definedName>
    <definedName name="_xlnm.Print_Area" localSheetId="3">'24.09 Kajansi-Bweya'!$A$1:$AF$60</definedName>
    <definedName name="_xlnm.Print_Area" localSheetId="4">'25.09 Bweya-Kajansi'!$A$1:$AF$60</definedName>
    <definedName name="_xlnm.Print_Area" localSheetId="5">'25.09 Kajansi-Bweya'!$A$1:$AF$60</definedName>
    <definedName name="_xlnm.Print_Area" localSheetId="7">'26.09 Kajansi-Bweya-24h'!$A$1:$AF$108</definedName>
    <definedName name="_xlnm.Print_Area" localSheetId="6">'26.09 Munyonyo-Kajansi-24h'!$A$1:$AF$108</definedName>
    <definedName name="_xlnm.Print_Area" localSheetId="8">'27.09 Munyonyo-Kajansi'!$A$1:$AF$60</definedName>
    <definedName name="_xlnm.Print_Area" localSheetId="9">'27.09Kasjansi-Munyonyo'!$A$1:$AF$60</definedName>
    <definedName name="_xlnm.Print_Area" localSheetId="11">'28.09 Bweya-Kajansi-24h'!$A$1:$AF$108</definedName>
    <definedName name="_xlnm.Print_Area" localSheetId="10">'28.09 Kajansi-Bweya-24h'!$A$1:$AF$108</definedName>
    <definedName name="_xlnm.Print_Area" localSheetId="13">'29.09 Bweya-Kajansi'!$A$1:$AF$60</definedName>
    <definedName name="_xlnm.Print_Area" localSheetId="12">'29.09 Kajansi-Bweya'!$A$1:$AF$60</definedName>
    <definedName name="_xlnm.Print_Area" localSheetId="14">'Avg Week Bweya-Kajansi'!$A$1:$AF$108</definedName>
    <definedName name="_xlnm.Print_Area" localSheetId="16">'Avg Week Bweya-Kajansi-2Dir'!$A$1:$AF$108</definedName>
    <definedName name="_xlnm.Print_Area" localSheetId="15">'Avg Week Kajansi-Bweya'!$A$1:$AF$108</definedName>
    <definedName name="_xlnm.Print_Titles" localSheetId="0">'23.09.19 Bweya- Kajansi'!$1:$8</definedName>
    <definedName name="_xlnm.Print_Titles" localSheetId="1">'23.09.19 Kajansi -Bweya'!$1:$8</definedName>
    <definedName name="_xlnm.Print_Titles" localSheetId="2">'24.09 Bweya-Kajansi'!$1:$8</definedName>
    <definedName name="_xlnm.Print_Titles" localSheetId="3">'24.09 Kajansi-Bweya'!$1:$8</definedName>
    <definedName name="_xlnm.Print_Titles" localSheetId="4">'25.09 Bweya-Kajansi'!$1:$8</definedName>
    <definedName name="_xlnm.Print_Titles" localSheetId="5">'25.09 Kajansi-Bweya'!$1:$8</definedName>
    <definedName name="_xlnm.Print_Titles" localSheetId="7">'26.09 Kajansi-Bweya-24h'!$1:$8</definedName>
    <definedName name="_xlnm.Print_Titles" localSheetId="6">'26.09 Munyonyo-Kajansi-24h'!$1:$8</definedName>
    <definedName name="_xlnm.Print_Titles" localSheetId="8">'27.09 Munyonyo-Kajansi'!$1:$8</definedName>
    <definedName name="_xlnm.Print_Titles" localSheetId="9">'27.09Kasjansi-Munyonyo'!$1:$8</definedName>
    <definedName name="_xlnm.Print_Titles" localSheetId="11">'28.09 Bweya-Kajansi-24h'!$1:$8</definedName>
    <definedName name="_xlnm.Print_Titles" localSheetId="10">'28.09 Kajansi-Bweya-24h'!$1:$8</definedName>
    <definedName name="_xlnm.Print_Titles" localSheetId="13">'29.09 Bweya-Kajansi'!$1:$8</definedName>
    <definedName name="_xlnm.Print_Titles" localSheetId="12">'29.09 Kajansi-Bweya'!$1:$8</definedName>
    <definedName name="_xlnm.Print_Titles" localSheetId="14">'Avg Week Bweya-Kajansi'!$1:$8</definedName>
    <definedName name="_xlnm.Print_Titles" localSheetId="16">'Avg Week Bweya-Kajansi-2Dir'!$1:$8</definedName>
    <definedName name="_xlnm.Print_Titles" localSheetId="15">'Avg Week Kajansi-Bweya'!$1:$8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7" i="107" l="1"/>
  <c r="W37" i="107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T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S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X20" i="107"/>
  <c r="W20" i="107"/>
  <c r="V20" i="107"/>
  <c r="U20" i="107"/>
  <c r="U36" i="107" s="1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9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AA35" i="107" s="1"/>
  <c r="Z15" i="107"/>
  <c r="Y15" i="107"/>
  <c r="X15" i="107"/>
  <c r="W15" i="107"/>
  <c r="V15" i="107"/>
  <c r="U15" i="107"/>
  <c r="T15" i="107"/>
  <c r="S15" i="107"/>
  <c r="S35" i="107" s="1"/>
  <c r="AF14" i="107"/>
  <c r="AE14" i="107"/>
  <c r="AD14" i="107"/>
  <c r="AC14" i="107"/>
  <c r="AB14" i="107"/>
  <c r="AA14" i="107"/>
  <c r="Z14" i="107"/>
  <c r="Y14" i="107"/>
  <c r="Y38" i="107" s="1"/>
  <c r="X14" i="107"/>
  <c r="W14" i="107"/>
  <c r="V14" i="107"/>
  <c r="U14" i="107"/>
  <c r="T14" i="107"/>
  <c r="S14" i="107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C40" i="107" s="1"/>
  <c r="AB12" i="107"/>
  <c r="AA12" i="107"/>
  <c r="Z12" i="107"/>
  <c r="Y12" i="107"/>
  <c r="X12" i="107"/>
  <c r="W12" i="107"/>
  <c r="V12" i="107"/>
  <c r="U12" i="107"/>
  <c r="U40" i="107" s="1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D41" i="107" s="1"/>
  <c r="AC10" i="107"/>
  <c r="AC41" i="107" s="1"/>
  <c r="AC42" i="107" s="1"/>
  <c r="AB10" i="107"/>
  <c r="AB40" i="107" s="1"/>
  <c r="AA10" i="107"/>
  <c r="AA40" i="107" s="1"/>
  <c r="Z10" i="107"/>
  <c r="Z40" i="107" s="1"/>
  <c r="Y10" i="107"/>
  <c r="Y34" i="107" s="1"/>
  <c r="X10" i="107"/>
  <c r="X34" i="107" s="1"/>
  <c r="W10" i="107"/>
  <c r="W34" i="107" s="1"/>
  <c r="V10" i="107"/>
  <c r="V41" i="107" s="1"/>
  <c r="U10" i="107"/>
  <c r="U41" i="107" s="1"/>
  <c r="U42" i="107" s="1"/>
  <c r="T10" i="107"/>
  <c r="T40" i="107" s="1"/>
  <c r="S10" i="107"/>
  <c r="S40" i="107" s="1"/>
  <c r="AE37" i="108"/>
  <c r="W37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X20" i="108"/>
  <c r="W20" i="108"/>
  <c r="V20" i="108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9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AA35" i="108" s="1"/>
  <c r="Z15" i="108"/>
  <c r="Y15" i="108"/>
  <c r="X15" i="108"/>
  <c r="W15" i="108"/>
  <c r="V15" i="108"/>
  <c r="U15" i="108"/>
  <c r="T15" i="108"/>
  <c r="S15" i="108"/>
  <c r="S35" i="108" s="1"/>
  <c r="AF14" i="108"/>
  <c r="AE14" i="108"/>
  <c r="AD14" i="108"/>
  <c r="AC14" i="108"/>
  <c r="AB14" i="108"/>
  <c r="AA14" i="108"/>
  <c r="Z14" i="108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C40" i="108" s="1"/>
  <c r="AB12" i="108"/>
  <c r="AA12" i="108"/>
  <c r="Z12" i="108"/>
  <c r="Y12" i="108"/>
  <c r="X12" i="108"/>
  <c r="W12" i="108"/>
  <c r="V12" i="108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D41" i="108" s="1"/>
  <c r="AC10" i="108"/>
  <c r="AC41" i="108" s="1"/>
  <c r="AC42" i="108" s="1"/>
  <c r="AB10" i="108"/>
  <c r="AB40" i="108" s="1"/>
  <c r="AA10" i="108"/>
  <c r="AA40" i="108" s="1"/>
  <c r="Z10" i="108"/>
  <c r="Z40" i="108" s="1"/>
  <c r="Y10" i="108"/>
  <c r="Y40" i="108" s="1"/>
  <c r="X10" i="108"/>
  <c r="X34" i="108" s="1"/>
  <c r="W10" i="108"/>
  <c r="W34" i="108" s="1"/>
  <c r="V10" i="108"/>
  <c r="V41" i="108" s="1"/>
  <c r="U10" i="108"/>
  <c r="U41" i="108" s="1"/>
  <c r="U42" i="108" s="1"/>
  <c r="T10" i="108"/>
  <c r="T40" i="108" s="1"/>
  <c r="S10" i="108"/>
  <c r="S40" i="108" s="1"/>
  <c r="AE37" i="111"/>
  <c r="W37" i="111"/>
  <c r="AF33" i="111"/>
  <c r="AE33" i="111"/>
  <c r="AD33" i="111"/>
  <c r="AC33" i="111"/>
  <c r="AB33" i="111"/>
  <c r="AA33" i="111"/>
  <c r="Z33" i="111"/>
  <c r="Y33" i="111"/>
  <c r="X33" i="111"/>
  <c r="W33" i="111"/>
  <c r="V33" i="111"/>
  <c r="U33" i="111"/>
  <c r="T33" i="111"/>
  <c r="S33" i="111"/>
  <c r="AF32" i="111"/>
  <c r="AE32" i="111"/>
  <c r="AD32" i="111"/>
  <c r="AC32" i="111"/>
  <c r="AB32" i="111"/>
  <c r="AA32" i="111"/>
  <c r="Z32" i="111"/>
  <c r="Y32" i="111"/>
  <c r="X32" i="111"/>
  <c r="W32" i="111"/>
  <c r="V32" i="111"/>
  <c r="U32" i="111"/>
  <c r="T32" i="111"/>
  <c r="S32" i="111"/>
  <c r="AF31" i="111"/>
  <c r="AE31" i="111"/>
  <c r="AD31" i="111"/>
  <c r="AC31" i="111"/>
  <c r="AB31" i="111"/>
  <c r="AA31" i="111"/>
  <c r="Z31" i="111"/>
  <c r="Y31" i="111"/>
  <c r="X31" i="111"/>
  <c r="W31" i="111"/>
  <c r="V31" i="111"/>
  <c r="U31" i="111"/>
  <c r="T31" i="111"/>
  <c r="S31" i="111"/>
  <c r="AF30" i="111"/>
  <c r="AE30" i="111"/>
  <c r="AD30" i="111"/>
  <c r="AC30" i="111"/>
  <c r="AB30" i="111"/>
  <c r="AA30" i="111"/>
  <c r="Z30" i="111"/>
  <c r="Y30" i="111"/>
  <c r="X30" i="111"/>
  <c r="W30" i="111"/>
  <c r="V30" i="111"/>
  <c r="U30" i="111"/>
  <c r="T30" i="111"/>
  <c r="S30" i="111"/>
  <c r="AF29" i="111"/>
  <c r="AE29" i="111"/>
  <c r="AD29" i="111"/>
  <c r="AC29" i="111"/>
  <c r="AB29" i="111"/>
  <c r="AA29" i="111"/>
  <c r="Z29" i="111"/>
  <c r="Y29" i="111"/>
  <c r="X29" i="111"/>
  <c r="W29" i="111"/>
  <c r="V29" i="111"/>
  <c r="U29" i="111"/>
  <c r="T29" i="111"/>
  <c r="S29" i="111"/>
  <c r="AF28" i="111"/>
  <c r="AE28" i="111"/>
  <c r="AD28" i="111"/>
  <c r="AC28" i="111"/>
  <c r="AB28" i="111"/>
  <c r="AA28" i="111"/>
  <c r="Z28" i="111"/>
  <c r="Y28" i="111"/>
  <c r="X28" i="111"/>
  <c r="W28" i="111"/>
  <c r="V28" i="111"/>
  <c r="U28" i="111"/>
  <c r="T28" i="111"/>
  <c r="S28" i="111"/>
  <c r="AF27" i="111"/>
  <c r="AE27" i="111"/>
  <c r="AD27" i="111"/>
  <c r="AC27" i="111"/>
  <c r="AB27" i="111"/>
  <c r="AA27" i="111"/>
  <c r="Z27" i="111"/>
  <c r="Y27" i="111"/>
  <c r="X27" i="111"/>
  <c r="W27" i="111"/>
  <c r="V27" i="111"/>
  <c r="U27" i="111"/>
  <c r="T27" i="111"/>
  <c r="S27" i="111"/>
  <c r="AF26" i="111"/>
  <c r="AE26" i="111"/>
  <c r="AD26" i="111"/>
  <c r="AC26" i="111"/>
  <c r="AB26" i="111"/>
  <c r="AA26" i="111"/>
  <c r="Z26" i="111"/>
  <c r="Y26" i="111"/>
  <c r="X26" i="111"/>
  <c r="W26" i="111"/>
  <c r="V26" i="111"/>
  <c r="U26" i="111"/>
  <c r="T26" i="111"/>
  <c r="S26" i="111"/>
  <c r="AF25" i="111"/>
  <c r="AE25" i="111"/>
  <c r="AD25" i="111"/>
  <c r="AC25" i="111"/>
  <c r="AB25" i="111"/>
  <c r="AA25" i="111"/>
  <c r="Z25" i="111"/>
  <c r="Y25" i="111"/>
  <c r="X25" i="111"/>
  <c r="W25" i="111"/>
  <c r="V25" i="111"/>
  <c r="U25" i="111"/>
  <c r="T25" i="111"/>
  <c r="S25" i="111"/>
  <c r="AF24" i="111"/>
  <c r="AE24" i="111"/>
  <c r="AD24" i="111"/>
  <c r="AC24" i="111"/>
  <c r="AB24" i="111"/>
  <c r="AA24" i="111"/>
  <c r="Z24" i="111"/>
  <c r="Y24" i="111"/>
  <c r="X24" i="111"/>
  <c r="W24" i="111"/>
  <c r="V24" i="111"/>
  <c r="U24" i="111"/>
  <c r="T24" i="111"/>
  <c r="S24" i="111"/>
  <c r="AF23" i="111"/>
  <c r="AE23" i="111"/>
  <c r="AD23" i="111"/>
  <c r="AC23" i="111"/>
  <c r="AB23" i="111"/>
  <c r="AA23" i="111"/>
  <c r="Z23" i="111"/>
  <c r="Y23" i="111"/>
  <c r="X23" i="111"/>
  <c r="W23" i="111"/>
  <c r="V23" i="111"/>
  <c r="U23" i="111"/>
  <c r="T23" i="111"/>
  <c r="S23" i="111"/>
  <c r="AF22" i="111"/>
  <c r="AE22" i="111"/>
  <c r="AD22" i="111"/>
  <c r="AC22" i="111"/>
  <c r="AB22" i="111"/>
  <c r="AA22" i="111"/>
  <c r="Z22" i="111"/>
  <c r="Y22" i="111"/>
  <c r="X22" i="111"/>
  <c r="W22" i="111"/>
  <c r="V22" i="111"/>
  <c r="U22" i="111"/>
  <c r="T22" i="111"/>
  <c r="S22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D20" i="111"/>
  <c r="AC20" i="111"/>
  <c r="AC36" i="111" s="1"/>
  <c r="AB20" i="111"/>
  <c r="AA20" i="111"/>
  <c r="Z20" i="111"/>
  <c r="Y20" i="111"/>
  <c r="X20" i="111"/>
  <c r="W20" i="111"/>
  <c r="V20" i="111"/>
  <c r="U20" i="111"/>
  <c r="U36" i="111" s="1"/>
  <c r="T20" i="111"/>
  <c r="S20" i="111"/>
  <c r="AF19" i="111"/>
  <c r="AF39" i="111" s="1"/>
  <c r="AE19" i="111"/>
  <c r="AE39" i="111" s="1"/>
  <c r="AD19" i="111"/>
  <c r="AD39" i="111" s="1"/>
  <c r="AC19" i="111"/>
  <c r="AC39" i="111" s="1"/>
  <c r="AB19" i="111"/>
  <c r="AB36" i="111" s="1"/>
  <c r="AA19" i="111"/>
  <c r="AA36" i="111" s="1"/>
  <c r="Z19" i="111"/>
  <c r="Z39" i="111" s="1"/>
  <c r="Y19" i="111"/>
  <c r="Y39" i="111" s="1"/>
  <c r="X19" i="111"/>
  <c r="X39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AA35" i="111" s="1"/>
  <c r="Z15" i="111"/>
  <c r="Y15" i="111"/>
  <c r="X15" i="111"/>
  <c r="W15" i="111"/>
  <c r="V15" i="111"/>
  <c r="U15" i="111"/>
  <c r="T15" i="111"/>
  <c r="S15" i="111"/>
  <c r="S35" i="111" s="1"/>
  <c r="AF14" i="111"/>
  <c r="AE14" i="111"/>
  <c r="AD14" i="111"/>
  <c r="AC14" i="111"/>
  <c r="AB14" i="111"/>
  <c r="AA14" i="111"/>
  <c r="Z14" i="111"/>
  <c r="Y14" i="111"/>
  <c r="Y38" i="111" s="1"/>
  <c r="X14" i="111"/>
  <c r="W14" i="111"/>
  <c r="V14" i="111"/>
  <c r="U14" i="111"/>
  <c r="T14" i="111"/>
  <c r="S14" i="111"/>
  <c r="AF13" i="111"/>
  <c r="AF38" i="111" s="1"/>
  <c r="AE13" i="111"/>
  <c r="AE38" i="111" s="1"/>
  <c r="AD13" i="111"/>
  <c r="AD38" i="111" s="1"/>
  <c r="AC13" i="111"/>
  <c r="AC38" i="111" s="1"/>
  <c r="AB13" i="111"/>
  <c r="AB38" i="111" s="1"/>
  <c r="AA13" i="111"/>
  <c r="AA38" i="111" s="1"/>
  <c r="Z13" i="111"/>
  <c r="Z35" i="111" s="1"/>
  <c r="Y13" i="111"/>
  <c r="Y35" i="111" s="1"/>
  <c r="X13" i="111"/>
  <c r="X38" i="111" s="1"/>
  <c r="W13" i="111"/>
  <c r="W41" i="111" s="1"/>
  <c r="V13" i="111"/>
  <c r="V38" i="111" s="1"/>
  <c r="U13" i="111"/>
  <c r="U38" i="111" s="1"/>
  <c r="T13" i="111"/>
  <c r="T38" i="111" s="1"/>
  <c r="S13" i="111"/>
  <c r="S38" i="111" s="1"/>
  <c r="AF12" i="111"/>
  <c r="AE12" i="111"/>
  <c r="AD12" i="111"/>
  <c r="AC12" i="111"/>
  <c r="AC40" i="111" s="1"/>
  <c r="AB12" i="111"/>
  <c r="AA12" i="111"/>
  <c r="Z12" i="111"/>
  <c r="Y12" i="111"/>
  <c r="X12" i="111"/>
  <c r="W12" i="111"/>
  <c r="V12" i="111"/>
  <c r="U12" i="111"/>
  <c r="U40" i="111" s="1"/>
  <c r="T12" i="111"/>
  <c r="S12" i="111"/>
  <c r="AF11" i="111"/>
  <c r="AE11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F10" i="111"/>
  <c r="AF34" i="111" s="1"/>
  <c r="AE10" i="111"/>
  <c r="AE34" i="111" s="1"/>
  <c r="AD10" i="111"/>
  <c r="AD41" i="111" s="1"/>
  <c r="AC10" i="111"/>
  <c r="AC41" i="111" s="1"/>
  <c r="AC42" i="111" s="1"/>
  <c r="AB10" i="111"/>
  <c r="AB40" i="111" s="1"/>
  <c r="AA10" i="111"/>
  <c r="AA40" i="111" s="1"/>
  <c r="Z10" i="111"/>
  <c r="Z40" i="111" s="1"/>
  <c r="Y10" i="111"/>
  <c r="Y34" i="111" s="1"/>
  <c r="X10" i="111"/>
  <c r="X34" i="111" s="1"/>
  <c r="W10" i="111"/>
  <c r="W34" i="111" s="1"/>
  <c r="V10" i="111"/>
  <c r="V41" i="111" s="1"/>
  <c r="U10" i="111"/>
  <c r="U41" i="111" s="1"/>
  <c r="U42" i="111" s="1"/>
  <c r="T10" i="111"/>
  <c r="T40" i="111" s="1"/>
  <c r="S10" i="111"/>
  <c r="S40" i="111" s="1"/>
  <c r="P106" i="111"/>
  <c r="O106" i="111"/>
  <c r="N106" i="111"/>
  <c r="M106" i="111"/>
  <c r="L106" i="111"/>
  <c r="K106" i="111"/>
  <c r="J106" i="111"/>
  <c r="I106" i="111"/>
  <c r="H106" i="111"/>
  <c r="G106" i="111"/>
  <c r="F106" i="111"/>
  <c r="E106" i="111"/>
  <c r="D106" i="111"/>
  <c r="C106" i="111"/>
  <c r="P106" i="108"/>
  <c r="O106" i="108"/>
  <c r="N106" i="108"/>
  <c r="M106" i="108"/>
  <c r="L106" i="108"/>
  <c r="K106" i="108"/>
  <c r="J106" i="108"/>
  <c r="I106" i="108"/>
  <c r="H106" i="108"/>
  <c r="G106" i="108"/>
  <c r="F106" i="108"/>
  <c r="E106" i="108"/>
  <c r="D106" i="108"/>
  <c r="C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O105" i="107"/>
  <c r="O58" i="107"/>
  <c r="O59" i="107"/>
  <c r="O60" i="107"/>
  <c r="O61" i="107"/>
  <c r="O62" i="107"/>
  <c r="O63" i="107"/>
  <c r="O64" i="107"/>
  <c r="O65" i="107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F59" i="111" s="1"/>
  <c r="G59" i="107"/>
  <c r="H59" i="107"/>
  <c r="I59" i="107"/>
  <c r="J59" i="107"/>
  <c r="K59" i="107"/>
  <c r="L59" i="107"/>
  <c r="M59" i="107"/>
  <c r="N59" i="107"/>
  <c r="N59" i="111" s="1"/>
  <c r="D60" i="107"/>
  <c r="E60" i="107"/>
  <c r="F60" i="107"/>
  <c r="G60" i="107"/>
  <c r="H60" i="107"/>
  <c r="I60" i="107"/>
  <c r="J60" i="107"/>
  <c r="K60" i="107"/>
  <c r="K60" i="111" s="1"/>
  <c r="L60" i="107"/>
  <c r="M60" i="107"/>
  <c r="N60" i="107"/>
  <c r="D61" i="107"/>
  <c r="E61" i="107"/>
  <c r="F61" i="107"/>
  <c r="G61" i="107"/>
  <c r="H61" i="107"/>
  <c r="H61" i="111" s="1"/>
  <c r="I61" i="107"/>
  <c r="J61" i="107"/>
  <c r="K61" i="107"/>
  <c r="L61" i="107"/>
  <c r="M61" i="107"/>
  <c r="N61" i="107"/>
  <c r="D62" i="107"/>
  <c r="E62" i="107"/>
  <c r="E62" i="111" s="1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J63" i="111" s="1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D65" i="111" s="1"/>
  <c r="E65" i="107"/>
  <c r="F65" i="107"/>
  <c r="G65" i="107"/>
  <c r="H65" i="107"/>
  <c r="I65" i="107"/>
  <c r="J65" i="107"/>
  <c r="K65" i="107"/>
  <c r="L65" i="107"/>
  <c r="L65" i="111" s="1"/>
  <c r="M65" i="107"/>
  <c r="N65" i="107"/>
  <c r="D66" i="107"/>
  <c r="E66" i="107"/>
  <c r="F66" i="107"/>
  <c r="G66" i="107"/>
  <c r="H66" i="107"/>
  <c r="I66" i="107"/>
  <c r="I66" i="111" s="1"/>
  <c r="J66" i="107"/>
  <c r="K66" i="107"/>
  <c r="L66" i="107"/>
  <c r="M66" i="107"/>
  <c r="N66" i="107"/>
  <c r="D67" i="107"/>
  <c r="E67" i="107"/>
  <c r="F67" i="107"/>
  <c r="F67" i="111" s="1"/>
  <c r="G67" i="107"/>
  <c r="H67" i="107"/>
  <c r="I67" i="107"/>
  <c r="J67" i="107"/>
  <c r="K67" i="107"/>
  <c r="L67" i="107"/>
  <c r="M67" i="107"/>
  <c r="N67" i="107"/>
  <c r="N67" i="111" s="1"/>
  <c r="D68" i="107"/>
  <c r="E68" i="107"/>
  <c r="F68" i="107"/>
  <c r="G68" i="107"/>
  <c r="H68" i="107"/>
  <c r="I68" i="107"/>
  <c r="J68" i="107"/>
  <c r="J68" i="111" s="1"/>
  <c r="K68" i="107"/>
  <c r="L68" i="107"/>
  <c r="M68" i="107"/>
  <c r="N68" i="107"/>
  <c r="D69" i="107"/>
  <c r="E69" i="107"/>
  <c r="F69" i="107"/>
  <c r="G69" i="107"/>
  <c r="H69" i="107"/>
  <c r="H69" i="111" s="1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L70" i="111" s="1"/>
  <c r="M70" i="107"/>
  <c r="M70" i="111" s="1"/>
  <c r="N70" i="107"/>
  <c r="D71" i="107"/>
  <c r="E71" i="107"/>
  <c r="F71" i="107"/>
  <c r="G71" i="107"/>
  <c r="H71" i="107"/>
  <c r="I71" i="107"/>
  <c r="I71" i="111" s="1"/>
  <c r="J71" i="107"/>
  <c r="J71" i="111" s="1"/>
  <c r="K71" i="107"/>
  <c r="L71" i="107"/>
  <c r="M71" i="107"/>
  <c r="N71" i="107"/>
  <c r="D72" i="107"/>
  <c r="E72" i="107"/>
  <c r="F72" i="107"/>
  <c r="G72" i="107"/>
  <c r="G72" i="111" s="1"/>
  <c r="H72" i="107"/>
  <c r="I72" i="107"/>
  <c r="J72" i="107"/>
  <c r="K72" i="107"/>
  <c r="L72" i="107"/>
  <c r="M72" i="107"/>
  <c r="N72" i="107"/>
  <c r="N72" i="111" s="1"/>
  <c r="D73" i="107"/>
  <c r="D73" i="111" s="1"/>
  <c r="E73" i="107"/>
  <c r="F73" i="107"/>
  <c r="G73" i="107"/>
  <c r="H73" i="107"/>
  <c r="I73" i="107"/>
  <c r="J73" i="107"/>
  <c r="K73" i="107"/>
  <c r="L73" i="107"/>
  <c r="L73" i="111" s="1"/>
  <c r="M73" i="107"/>
  <c r="N73" i="107"/>
  <c r="D74" i="107"/>
  <c r="E74" i="107"/>
  <c r="F74" i="107"/>
  <c r="G74" i="107"/>
  <c r="H74" i="107"/>
  <c r="H74" i="111" s="1"/>
  <c r="I74" i="107"/>
  <c r="J74" i="107"/>
  <c r="K74" i="107"/>
  <c r="L74" i="107"/>
  <c r="M74" i="107"/>
  <c r="N74" i="107"/>
  <c r="D75" i="107"/>
  <c r="E75" i="107"/>
  <c r="F75" i="107"/>
  <c r="F75" i="111" s="1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J76" i="111" s="1"/>
  <c r="K76" i="107"/>
  <c r="K76" i="111" s="1"/>
  <c r="L76" i="107"/>
  <c r="M76" i="107"/>
  <c r="N76" i="107"/>
  <c r="D77" i="107"/>
  <c r="E77" i="107"/>
  <c r="F77" i="107"/>
  <c r="G77" i="107"/>
  <c r="G77" i="111" s="1"/>
  <c r="H77" i="107"/>
  <c r="H77" i="111" s="1"/>
  <c r="I77" i="107"/>
  <c r="J77" i="107"/>
  <c r="K77" i="107"/>
  <c r="L77" i="107"/>
  <c r="M77" i="107"/>
  <c r="N77" i="107"/>
  <c r="D78" i="107"/>
  <c r="D78" i="111" s="1"/>
  <c r="E78" i="107"/>
  <c r="E78" i="111" s="1"/>
  <c r="F78" i="107"/>
  <c r="G78" i="107"/>
  <c r="H78" i="107"/>
  <c r="I78" i="107"/>
  <c r="J78" i="107"/>
  <c r="K78" i="107"/>
  <c r="L78" i="107"/>
  <c r="L78" i="111" s="1"/>
  <c r="M78" i="107"/>
  <c r="M78" i="111" s="1"/>
  <c r="N78" i="107"/>
  <c r="D79" i="107"/>
  <c r="E79" i="107"/>
  <c r="F79" i="107"/>
  <c r="G79" i="107"/>
  <c r="H79" i="107"/>
  <c r="I79" i="107"/>
  <c r="J79" i="107"/>
  <c r="J79" i="111" s="1"/>
  <c r="K79" i="107"/>
  <c r="L79" i="107"/>
  <c r="M79" i="107"/>
  <c r="N79" i="107"/>
  <c r="D80" i="107"/>
  <c r="E80" i="107"/>
  <c r="F80" i="107"/>
  <c r="F80" i="111" s="1"/>
  <c r="G80" i="107"/>
  <c r="H80" i="107"/>
  <c r="I80" i="107"/>
  <c r="J80" i="107"/>
  <c r="K80" i="107"/>
  <c r="L80" i="107"/>
  <c r="M80" i="107"/>
  <c r="N80" i="107"/>
  <c r="D81" i="107"/>
  <c r="D81" i="111" s="1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H82" i="111" s="1"/>
  <c r="I82" i="107"/>
  <c r="I82" i="111" s="1"/>
  <c r="J82" i="107"/>
  <c r="K82" i="107"/>
  <c r="L82" i="107"/>
  <c r="M82" i="107"/>
  <c r="N82" i="107"/>
  <c r="D83" i="107"/>
  <c r="E83" i="107"/>
  <c r="E83" i="111" s="1"/>
  <c r="F83" i="107"/>
  <c r="F83" i="111" s="1"/>
  <c r="G83" i="107"/>
  <c r="H83" i="107"/>
  <c r="I83" i="107"/>
  <c r="J83" i="107"/>
  <c r="K83" i="107"/>
  <c r="L83" i="107"/>
  <c r="M83" i="107"/>
  <c r="M83" i="111" s="1"/>
  <c r="N83" i="107"/>
  <c r="N83" i="111" s="1"/>
  <c r="D84" i="107"/>
  <c r="E84" i="107"/>
  <c r="F84" i="107"/>
  <c r="G84" i="107"/>
  <c r="H84" i="107"/>
  <c r="I84" i="107"/>
  <c r="J84" i="107"/>
  <c r="J84" i="111" s="1"/>
  <c r="K84" i="107"/>
  <c r="K84" i="111" s="1"/>
  <c r="L84" i="107"/>
  <c r="M84" i="107"/>
  <c r="N84" i="107"/>
  <c r="D85" i="107"/>
  <c r="E85" i="107"/>
  <c r="F85" i="107"/>
  <c r="G85" i="107"/>
  <c r="H85" i="107"/>
  <c r="H85" i="111" s="1"/>
  <c r="I85" i="107"/>
  <c r="J85" i="107"/>
  <c r="K85" i="107"/>
  <c r="L85" i="107"/>
  <c r="M85" i="107"/>
  <c r="N85" i="107"/>
  <c r="D86" i="107"/>
  <c r="D86" i="111" s="1"/>
  <c r="E86" i="107"/>
  <c r="F86" i="107"/>
  <c r="G86" i="107"/>
  <c r="H86" i="107"/>
  <c r="I86" i="107"/>
  <c r="J86" i="107"/>
  <c r="K86" i="107"/>
  <c r="L86" i="107"/>
  <c r="M86" i="107"/>
  <c r="M86" i="111" s="1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F88" i="111" s="1"/>
  <c r="G88" i="107"/>
  <c r="G88" i="111" s="1"/>
  <c r="H88" i="107"/>
  <c r="I88" i="107"/>
  <c r="J88" i="107"/>
  <c r="K88" i="107"/>
  <c r="L88" i="107"/>
  <c r="M88" i="107"/>
  <c r="N88" i="107"/>
  <c r="N88" i="111" s="1"/>
  <c r="D89" i="107"/>
  <c r="D89" i="111" s="1"/>
  <c r="E89" i="107"/>
  <c r="F89" i="107"/>
  <c r="G89" i="107"/>
  <c r="H89" i="107"/>
  <c r="I89" i="107"/>
  <c r="J89" i="107"/>
  <c r="K89" i="107"/>
  <c r="K89" i="111" s="1"/>
  <c r="L89" i="107"/>
  <c r="L89" i="111" s="1"/>
  <c r="M89" i="107"/>
  <c r="N89" i="107"/>
  <c r="D90" i="107"/>
  <c r="E90" i="107"/>
  <c r="F90" i="107"/>
  <c r="G90" i="107"/>
  <c r="H90" i="107"/>
  <c r="H90" i="111" s="1"/>
  <c r="I90" i="107"/>
  <c r="I90" i="111" s="1"/>
  <c r="J90" i="107"/>
  <c r="K90" i="107"/>
  <c r="L90" i="107"/>
  <c r="M90" i="107"/>
  <c r="N90" i="107"/>
  <c r="D91" i="107"/>
  <c r="E91" i="107"/>
  <c r="F91" i="107"/>
  <c r="F91" i="111" s="1"/>
  <c r="G91" i="107"/>
  <c r="H91" i="107"/>
  <c r="I91" i="107"/>
  <c r="J91" i="107"/>
  <c r="K91" i="107"/>
  <c r="L91" i="107"/>
  <c r="M91" i="107"/>
  <c r="M91" i="111" s="1"/>
  <c r="N91" i="107"/>
  <c r="D92" i="107"/>
  <c r="E92" i="107"/>
  <c r="F92" i="107"/>
  <c r="G92" i="107"/>
  <c r="H92" i="107"/>
  <c r="I92" i="107"/>
  <c r="J92" i="107"/>
  <c r="K92" i="107"/>
  <c r="K92" i="111" s="1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D94" i="111" s="1"/>
  <c r="E94" i="107"/>
  <c r="E94" i="111" s="1"/>
  <c r="F94" i="107"/>
  <c r="G94" i="107"/>
  <c r="H94" i="107"/>
  <c r="I94" i="107"/>
  <c r="J94" i="107"/>
  <c r="K94" i="107"/>
  <c r="L94" i="107"/>
  <c r="L94" i="111" s="1"/>
  <c r="M94" i="107"/>
  <c r="M94" i="111" s="1"/>
  <c r="N94" i="107"/>
  <c r="D95" i="107"/>
  <c r="E95" i="107"/>
  <c r="F95" i="107"/>
  <c r="G95" i="107"/>
  <c r="H95" i="107"/>
  <c r="I95" i="107"/>
  <c r="I95" i="111" s="1"/>
  <c r="J95" i="107"/>
  <c r="J95" i="111" s="1"/>
  <c r="K95" i="107"/>
  <c r="L95" i="107"/>
  <c r="M95" i="107"/>
  <c r="N95" i="107"/>
  <c r="D96" i="107"/>
  <c r="E96" i="107"/>
  <c r="F96" i="107"/>
  <c r="F96" i="111" s="1"/>
  <c r="G96" i="107"/>
  <c r="G96" i="111" s="1"/>
  <c r="H96" i="107"/>
  <c r="I96" i="107"/>
  <c r="J96" i="107"/>
  <c r="K96" i="107"/>
  <c r="L96" i="107"/>
  <c r="M96" i="107"/>
  <c r="N96" i="107"/>
  <c r="D97" i="107"/>
  <c r="D97" i="111" s="1"/>
  <c r="P97" i="111" s="1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I98" i="111" s="1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M99" i="111" s="1"/>
  <c r="N99" i="107"/>
  <c r="N99" i="111" s="1"/>
  <c r="D100" i="107"/>
  <c r="E100" i="107"/>
  <c r="F100" i="107"/>
  <c r="G100" i="107"/>
  <c r="H100" i="107"/>
  <c r="I100" i="107"/>
  <c r="J100" i="107"/>
  <c r="J100" i="111" s="1"/>
  <c r="K100" i="107"/>
  <c r="K100" i="111" s="1"/>
  <c r="L100" i="107"/>
  <c r="M100" i="107"/>
  <c r="N100" i="107"/>
  <c r="D101" i="107"/>
  <c r="E101" i="107"/>
  <c r="F101" i="107"/>
  <c r="G101" i="107"/>
  <c r="G101" i="111" s="1"/>
  <c r="H101" i="107"/>
  <c r="H101" i="111" s="1"/>
  <c r="I101" i="107"/>
  <c r="J101" i="107"/>
  <c r="K101" i="107"/>
  <c r="L101" i="107"/>
  <c r="M101" i="107"/>
  <c r="N101" i="107"/>
  <c r="D102" i="107"/>
  <c r="D102" i="111" s="1"/>
  <c r="E102" i="107"/>
  <c r="E102" i="111" s="1"/>
  <c r="F102" i="107"/>
  <c r="G102" i="107"/>
  <c r="H102" i="107"/>
  <c r="I102" i="107"/>
  <c r="J102" i="107"/>
  <c r="K102" i="107"/>
  <c r="L102" i="107"/>
  <c r="M102" i="107"/>
  <c r="M102" i="111" s="1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G104" i="111" s="1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K105" i="111" s="1"/>
  <c r="L105" i="107"/>
  <c r="L105" i="111" s="1"/>
  <c r="M105" i="107"/>
  <c r="N105" i="107"/>
  <c r="C59" i="107"/>
  <c r="C60" i="107"/>
  <c r="C61" i="107"/>
  <c r="C62" i="107"/>
  <c r="C63" i="107"/>
  <c r="C63" i="111" s="1"/>
  <c r="C64" i="107"/>
  <c r="C65" i="107"/>
  <c r="C66" i="107"/>
  <c r="C66" i="111" s="1"/>
  <c r="C67" i="107"/>
  <c r="C68" i="107"/>
  <c r="C69" i="107"/>
  <c r="C70" i="107"/>
  <c r="C71" i="107"/>
  <c r="C71" i="111" s="1"/>
  <c r="C72" i="107"/>
  <c r="C73" i="107"/>
  <c r="C74" i="107"/>
  <c r="C74" i="111" s="1"/>
  <c r="C75" i="107"/>
  <c r="C75" i="111" s="1"/>
  <c r="C76" i="107"/>
  <c r="C77" i="107"/>
  <c r="C78" i="107"/>
  <c r="C79" i="107"/>
  <c r="C79" i="111" s="1"/>
  <c r="C80" i="107"/>
  <c r="C81" i="107"/>
  <c r="C82" i="107"/>
  <c r="C82" i="111" s="1"/>
  <c r="C83" i="107"/>
  <c r="C83" i="111" s="1"/>
  <c r="C84" i="107"/>
  <c r="C85" i="107"/>
  <c r="C86" i="107"/>
  <c r="C87" i="107"/>
  <c r="C87" i="111" s="1"/>
  <c r="C88" i="107"/>
  <c r="C89" i="107"/>
  <c r="C90" i="107"/>
  <c r="C90" i="111" s="1"/>
  <c r="C91" i="107"/>
  <c r="C91" i="111" s="1"/>
  <c r="C92" i="107"/>
  <c r="C93" i="107"/>
  <c r="C94" i="107"/>
  <c r="C95" i="107"/>
  <c r="C95" i="111" s="1"/>
  <c r="C96" i="107"/>
  <c r="C97" i="107"/>
  <c r="C98" i="107"/>
  <c r="C98" i="111" s="1"/>
  <c r="C99" i="107"/>
  <c r="C99" i="111" s="1"/>
  <c r="C100" i="107"/>
  <c r="C101" i="107"/>
  <c r="C102" i="107"/>
  <c r="C103" i="107"/>
  <c r="C103" i="111" s="1"/>
  <c r="C104" i="107"/>
  <c r="C105" i="107"/>
  <c r="C58" i="107"/>
  <c r="P58" i="108"/>
  <c r="P59" i="108"/>
  <c r="P60" i="108"/>
  <c r="P61" i="108"/>
  <c r="P62" i="108"/>
  <c r="P63" i="108"/>
  <c r="P64" i="108"/>
  <c r="P65" i="108"/>
  <c r="P66" i="108"/>
  <c r="P67" i="108"/>
  <c r="P68" i="108"/>
  <c r="P69" i="108"/>
  <c r="P70" i="108"/>
  <c r="P71" i="108"/>
  <c r="P72" i="108"/>
  <c r="P73" i="108"/>
  <c r="P74" i="108"/>
  <c r="P75" i="108"/>
  <c r="P76" i="108"/>
  <c r="P77" i="108"/>
  <c r="P78" i="108"/>
  <c r="P79" i="108"/>
  <c r="P80" i="108"/>
  <c r="P81" i="108"/>
  <c r="P82" i="108"/>
  <c r="P83" i="108"/>
  <c r="P84" i="108"/>
  <c r="P85" i="108"/>
  <c r="P86" i="108"/>
  <c r="P87" i="108"/>
  <c r="P88" i="108"/>
  <c r="P89" i="108"/>
  <c r="P90" i="108"/>
  <c r="P91" i="108"/>
  <c r="P92" i="108"/>
  <c r="P93" i="108"/>
  <c r="P94" i="108"/>
  <c r="P95" i="108"/>
  <c r="P96" i="108"/>
  <c r="P97" i="108"/>
  <c r="P98" i="108"/>
  <c r="P99" i="108"/>
  <c r="P100" i="108"/>
  <c r="P101" i="108"/>
  <c r="P102" i="108"/>
  <c r="P103" i="108"/>
  <c r="P104" i="108"/>
  <c r="P105" i="108"/>
  <c r="O58" i="108"/>
  <c r="O59" i="108"/>
  <c r="O60" i="108"/>
  <c r="O61" i="108"/>
  <c r="O62" i="108"/>
  <c r="O63" i="108"/>
  <c r="O64" i="108"/>
  <c r="O65" i="108"/>
  <c r="O66" i="108"/>
  <c r="O67" i="108"/>
  <c r="O68" i="108"/>
  <c r="O69" i="108"/>
  <c r="O70" i="108"/>
  <c r="O71" i="108"/>
  <c r="O72" i="108"/>
  <c r="O73" i="108"/>
  <c r="O74" i="108"/>
  <c r="O75" i="108"/>
  <c r="O76" i="108"/>
  <c r="O77" i="108"/>
  <c r="O78" i="108"/>
  <c r="O79" i="108"/>
  <c r="O80" i="108"/>
  <c r="O81" i="108"/>
  <c r="O82" i="108"/>
  <c r="O83" i="108"/>
  <c r="O84" i="108"/>
  <c r="O85" i="108"/>
  <c r="O86" i="108"/>
  <c r="O87" i="108"/>
  <c r="O88" i="108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O102" i="108"/>
  <c r="O103" i="108"/>
  <c r="O104" i="108"/>
  <c r="O105" i="108"/>
  <c r="D58" i="108"/>
  <c r="E58" i="108"/>
  <c r="F58" i="108"/>
  <c r="G58" i="108"/>
  <c r="H58" i="108"/>
  <c r="I58" i="108"/>
  <c r="J58" i="108"/>
  <c r="K58" i="108"/>
  <c r="K58" i="111" s="1"/>
  <c r="L58" i="108"/>
  <c r="M58" i="108"/>
  <c r="N58" i="108"/>
  <c r="D59" i="108"/>
  <c r="E59" i="108"/>
  <c r="F59" i="108"/>
  <c r="G59" i="108"/>
  <c r="H59" i="108"/>
  <c r="H59" i="111" s="1"/>
  <c r="I59" i="108"/>
  <c r="J59" i="108"/>
  <c r="K59" i="108"/>
  <c r="L59" i="108"/>
  <c r="M59" i="108"/>
  <c r="N59" i="108"/>
  <c r="D60" i="108"/>
  <c r="E60" i="108"/>
  <c r="E60" i="111" s="1"/>
  <c r="F60" i="108"/>
  <c r="G60" i="108"/>
  <c r="H60" i="108"/>
  <c r="I60" i="108"/>
  <c r="J60" i="108"/>
  <c r="K60" i="108"/>
  <c r="L60" i="108"/>
  <c r="M60" i="108"/>
  <c r="M60" i="111" s="1"/>
  <c r="N60" i="108"/>
  <c r="D61" i="108"/>
  <c r="E61" i="108"/>
  <c r="F61" i="108"/>
  <c r="G61" i="108"/>
  <c r="H61" i="108"/>
  <c r="I61" i="108"/>
  <c r="J61" i="108"/>
  <c r="J61" i="111" s="1"/>
  <c r="K61" i="108"/>
  <c r="L61" i="108"/>
  <c r="M61" i="108"/>
  <c r="N61" i="108"/>
  <c r="D62" i="108"/>
  <c r="E62" i="108"/>
  <c r="F62" i="108"/>
  <c r="G62" i="108"/>
  <c r="G62" i="111" s="1"/>
  <c r="H62" i="108"/>
  <c r="I62" i="108"/>
  <c r="J62" i="108"/>
  <c r="K62" i="108"/>
  <c r="L62" i="108"/>
  <c r="M62" i="108"/>
  <c r="N62" i="108"/>
  <c r="D63" i="108"/>
  <c r="D63" i="111" s="1"/>
  <c r="E63" i="108"/>
  <c r="F63" i="108"/>
  <c r="G63" i="108"/>
  <c r="H63" i="108"/>
  <c r="I63" i="108"/>
  <c r="J63" i="108"/>
  <c r="K63" i="108"/>
  <c r="L63" i="108"/>
  <c r="L63" i="111" s="1"/>
  <c r="M63" i="108"/>
  <c r="N63" i="108"/>
  <c r="D64" i="108"/>
  <c r="E64" i="108"/>
  <c r="F64" i="108"/>
  <c r="G64" i="108"/>
  <c r="H64" i="108"/>
  <c r="I64" i="108"/>
  <c r="I64" i="111" s="1"/>
  <c r="J64" i="108"/>
  <c r="K64" i="108"/>
  <c r="L64" i="108"/>
  <c r="M64" i="108"/>
  <c r="N64" i="108"/>
  <c r="D65" i="108"/>
  <c r="E65" i="108"/>
  <c r="F65" i="108"/>
  <c r="F65" i="111" s="1"/>
  <c r="G65" i="108"/>
  <c r="H65" i="108"/>
  <c r="I65" i="108"/>
  <c r="J65" i="108"/>
  <c r="K65" i="108"/>
  <c r="L65" i="108"/>
  <c r="M65" i="108"/>
  <c r="N65" i="108"/>
  <c r="N65" i="111" s="1"/>
  <c r="D66" i="108"/>
  <c r="E66" i="108"/>
  <c r="F66" i="108"/>
  <c r="G66" i="108"/>
  <c r="H66" i="108"/>
  <c r="I66" i="108"/>
  <c r="J66" i="108"/>
  <c r="K66" i="108"/>
  <c r="K66" i="111" s="1"/>
  <c r="L66" i="108"/>
  <c r="M66" i="108"/>
  <c r="N66" i="108"/>
  <c r="D67" i="108"/>
  <c r="E67" i="108"/>
  <c r="F67" i="108"/>
  <c r="G67" i="108"/>
  <c r="H67" i="108"/>
  <c r="H67" i="111" s="1"/>
  <c r="I67" i="108"/>
  <c r="J67" i="108"/>
  <c r="K67" i="108"/>
  <c r="L67" i="108"/>
  <c r="M67" i="108"/>
  <c r="N67" i="108"/>
  <c r="D68" i="108"/>
  <c r="E68" i="108"/>
  <c r="E68" i="111" s="1"/>
  <c r="F68" i="108"/>
  <c r="G68" i="108"/>
  <c r="H68" i="108"/>
  <c r="I68" i="108"/>
  <c r="J68" i="108"/>
  <c r="K68" i="108"/>
  <c r="L68" i="108"/>
  <c r="M68" i="108"/>
  <c r="M68" i="111" s="1"/>
  <c r="N68" i="108"/>
  <c r="D69" i="108"/>
  <c r="E69" i="108"/>
  <c r="F69" i="108"/>
  <c r="G69" i="108"/>
  <c r="H69" i="108"/>
  <c r="I69" i="108"/>
  <c r="J69" i="108"/>
  <c r="J69" i="111" s="1"/>
  <c r="K69" i="108"/>
  <c r="L69" i="108"/>
  <c r="M69" i="108"/>
  <c r="N69" i="108"/>
  <c r="D70" i="108"/>
  <c r="E70" i="108"/>
  <c r="F70" i="108"/>
  <c r="G70" i="108"/>
  <c r="G70" i="111" s="1"/>
  <c r="H70" i="108"/>
  <c r="I70" i="108"/>
  <c r="J70" i="108"/>
  <c r="K70" i="108"/>
  <c r="L70" i="108"/>
  <c r="M70" i="108"/>
  <c r="N70" i="108"/>
  <c r="D71" i="108"/>
  <c r="D71" i="111" s="1"/>
  <c r="E71" i="108"/>
  <c r="F71" i="108"/>
  <c r="G71" i="108"/>
  <c r="H71" i="108"/>
  <c r="I71" i="108"/>
  <c r="J71" i="108"/>
  <c r="K71" i="108"/>
  <c r="L71" i="108"/>
  <c r="L71" i="111" s="1"/>
  <c r="M71" i="108"/>
  <c r="N71" i="108"/>
  <c r="D72" i="108"/>
  <c r="E72" i="108"/>
  <c r="F72" i="108"/>
  <c r="G72" i="108"/>
  <c r="H72" i="108"/>
  <c r="I72" i="108"/>
  <c r="I72" i="111" s="1"/>
  <c r="J72" i="108"/>
  <c r="K72" i="108"/>
  <c r="L72" i="108"/>
  <c r="M72" i="108"/>
  <c r="N72" i="108"/>
  <c r="D73" i="108"/>
  <c r="E73" i="108"/>
  <c r="F73" i="108"/>
  <c r="F73" i="111" s="1"/>
  <c r="G73" i="108"/>
  <c r="H73" i="108"/>
  <c r="I73" i="108"/>
  <c r="J73" i="108"/>
  <c r="K73" i="108"/>
  <c r="L73" i="108"/>
  <c r="M73" i="108"/>
  <c r="N73" i="108"/>
  <c r="N73" i="111" s="1"/>
  <c r="D74" i="108"/>
  <c r="E74" i="108"/>
  <c r="F74" i="108"/>
  <c r="G74" i="108"/>
  <c r="H74" i="108"/>
  <c r="I74" i="108"/>
  <c r="J74" i="108"/>
  <c r="K74" i="108"/>
  <c r="K74" i="111" s="1"/>
  <c r="L74" i="108"/>
  <c r="M74" i="108"/>
  <c r="N74" i="108"/>
  <c r="D75" i="108"/>
  <c r="E75" i="108"/>
  <c r="F75" i="108"/>
  <c r="G75" i="108"/>
  <c r="H75" i="108"/>
  <c r="H75" i="111" s="1"/>
  <c r="I75" i="108"/>
  <c r="J75" i="108"/>
  <c r="K75" i="108"/>
  <c r="L75" i="108"/>
  <c r="M75" i="108"/>
  <c r="N75" i="108"/>
  <c r="D76" i="108"/>
  <c r="E76" i="108"/>
  <c r="E76" i="111" s="1"/>
  <c r="F76" i="108"/>
  <c r="G76" i="108"/>
  <c r="H76" i="108"/>
  <c r="I76" i="108"/>
  <c r="J76" i="108"/>
  <c r="K76" i="108"/>
  <c r="L76" i="108"/>
  <c r="M76" i="108"/>
  <c r="M76" i="111" s="1"/>
  <c r="N76" i="108"/>
  <c r="D77" i="108"/>
  <c r="E77" i="108"/>
  <c r="F77" i="108"/>
  <c r="G77" i="108"/>
  <c r="H77" i="108"/>
  <c r="I77" i="108"/>
  <c r="J77" i="108"/>
  <c r="J77" i="111" s="1"/>
  <c r="K77" i="108"/>
  <c r="L77" i="108"/>
  <c r="M77" i="108"/>
  <c r="N77" i="108"/>
  <c r="D78" i="108"/>
  <c r="E78" i="108"/>
  <c r="F78" i="108"/>
  <c r="G78" i="108"/>
  <c r="G78" i="111" s="1"/>
  <c r="H78" i="108"/>
  <c r="I78" i="108"/>
  <c r="J78" i="108"/>
  <c r="K78" i="108"/>
  <c r="L78" i="108"/>
  <c r="M78" i="108"/>
  <c r="N78" i="108"/>
  <c r="D79" i="108"/>
  <c r="D79" i="111" s="1"/>
  <c r="E79" i="108"/>
  <c r="F79" i="108"/>
  <c r="G79" i="108"/>
  <c r="H79" i="108"/>
  <c r="I79" i="108"/>
  <c r="J79" i="108"/>
  <c r="K79" i="108"/>
  <c r="L79" i="108"/>
  <c r="L79" i="111" s="1"/>
  <c r="M79" i="108"/>
  <c r="N79" i="108"/>
  <c r="D80" i="108"/>
  <c r="E80" i="108"/>
  <c r="F80" i="108"/>
  <c r="G80" i="108"/>
  <c r="H80" i="108"/>
  <c r="I80" i="108"/>
  <c r="I80" i="111" s="1"/>
  <c r="J80" i="108"/>
  <c r="K80" i="108"/>
  <c r="L80" i="108"/>
  <c r="M80" i="108"/>
  <c r="N80" i="108"/>
  <c r="D81" i="108"/>
  <c r="E81" i="108"/>
  <c r="F81" i="108"/>
  <c r="F81" i="111" s="1"/>
  <c r="G81" i="108"/>
  <c r="H81" i="108"/>
  <c r="I81" i="108"/>
  <c r="J81" i="108"/>
  <c r="K81" i="108"/>
  <c r="L81" i="108"/>
  <c r="M81" i="108"/>
  <c r="N81" i="108"/>
  <c r="N81" i="111" s="1"/>
  <c r="D82" i="108"/>
  <c r="E82" i="108"/>
  <c r="F82" i="108"/>
  <c r="G82" i="108"/>
  <c r="H82" i="108"/>
  <c r="I82" i="108"/>
  <c r="J82" i="108"/>
  <c r="K82" i="108"/>
  <c r="K82" i="111" s="1"/>
  <c r="L82" i="108"/>
  <c r="M82" i="108"/>
  <c r="N82" i="108"/>
  <c r="D83" i="108"/>
  <c r="E83" i="108"/>
  <c r="F83" i="108"/>
  <c r="G83" i="108"/>
  <c r="H83" i="108"/>
  <c r="H83" i="111" s="1"/>
  <c r="I83" i="108"/>
  <c r="J83" i="108"/>
  <c r="K83" i="108"/>
  <c r="L83" i="108"/>
  <c r="M83" i="108"/>
  <c r="N83" i="108"/>
  <c r="D84" i="108"/>
  <c r="E84" i="108"/>
  <c r="E84" i="111" s="1"/>
  <c r="F84" i="108"/>
  <c r="G84" i="108"/>
  <c r="H84" i="108"/>
  <c r="I84" i="108"/>
  <c r="J84" i="108"/>
  <c r="K84" i="108"/>
  <c r="L84" i="108"/>
  <c r="M84" i="108"/>
  <c r="M84" i="111" s="1"/>
  <c r="N84" i="108"/>
  <c r="D85" i="108"/>
  <c r="E85" i="108"/>
  <c r="F85" i="108"/>
  <c r="G85" i="108"/>
  <c r="H85" i="108"/>
  <c r="I85" i="108"/>
  <c r="J85" i="108"/>
  <c r="J85" i="111" s="1"/>
  <c r="K85" i="108"/>
  <c r="L85" i="108"/>
  <c r="M85" i="108"/>
  <c r="N85" i="108"/>
  <c r="D86" i="108"/>
  <c r="E86" i="108"/>
  <c r="F86" i="108"/>
  <c r="G86" i="108"/>
  <c r="G86" i="111" s="1"/>
  <c r="H86" i="108"/>
  <c r="I86" i="108"/>
  <c r="J86" i="108"/>
  <c r="K86" i="108"/>
  <c r="L86" i="108"/>
  <c r="M86" i="108"/>
  <c r="N86" i="108"/>
  <c r="D87" i="108"/>
  <c r="D87" i="111" s="1"/>
  <c r="E87" i="108"/>
  <c r="F87" i="108"/>
  <c r="G87" i="108"/>
  <c r="H87" i="108"/>
  <c r="I87" i="108"/>
  <c r="J87" i="108"/>
  <c r="K87" i="108"/>
  <c r="L87" i="108"/>
  <c r="L87" i="111" s="1"/>
  <c r="M87" i="108"/>
  <c r="N87" i="108"/>
  <c r="D88" i="108"/>
  <c r="E88" i="108"/>
  <c r="F88" i="108"/>
  <c r="G88" i="108"/>
  <c r="H88" i="108"/>
  <c r="I88" i="108"/>
  <c r="I88" i="111" s="1"/>
  <c r="J88" i="108"/>
  <c r="K88" i="108"/>
  <c r="L88" i="108"/>
  <c r="M88" i="108"/>
  <c r="N88" i="108"/>
  <c r="D89" i="108"/>
  <c r="E89" i="108"/>
  <c r="F89" i="108"/>
  <c r="F89" i="111" s="1"/>
  <c r="G89" i="108"/>
  <c r="H89" i="108"/>
  <c r="I89" i="108"/>
  <c r="J89" i="108"/>
  <c r="K89" i="108"/>
  <c r="L89" i="108"/>
  <c r="M89" i="108"/>
  <c r="N89" i="108"/>
  <c r="N89" i="111" s="1"/>
  <c r="D90" i="108"/>
  <c r="E90" i="108"/>
  <c r="F90" i="108"/>
  <c r="G90" i="108"/>
  <c r="H90" i="108"/>
  <c r="I90" i="108"/>
  <c r="J90" i="108"/>
  <c r="K90" i="108"/>
  <c r="K90" i="111" s="1"/>
  <c r="L90" i="108"/>
  <c r="M90" i="108"/>
  <c r="N90" i="108"/>
  <c r="D91" i="108"/>
  <c r="E91" i="108"/>
  <c r="F91" i="108"/>
  <c r="G91" i="108"/>
  <c r="H91" i="108"/>
  <c r="H91" i="111" s="1"/>
  <c r="I91" i="108"/>
  <c r="J91" i="108"/>
  <c r="K91" i="108"/>
  <c r="L91" i="108"/>
  <c r="M91" i="108"/>
  <c r="N91" i="108"/>
  <c r="D92" i="108"/>
  <c r="E92" i="108"/>
  <c r="E92" i="111" s="1"/>
  <c r="F92" i="108"/>
  <c r="G92" i="108"/>
  <c r="H92" i="108"/>
  <c r="I92" i="108"/>
  <c r="J92" i="108"/>
  <c r="K92" i="108"/>
  <c r="L92" i="108"/>
  <c r="M92" i="108"/>
  <c r="M92" i="111" s="1"/>
  <c r="N92" i="108"/>
  <c r="D93" i="108"/>
  <c r="E93" i="108"/>
  <c r="F93" i="108"/>
  <c r="G93" i="108"/>
  <c r="H93" i="108"/>
  <c r="I93" i="108"/>
  <c r="J93" i="108"/>
  <c r="J93" i="111" s="1"/>
  <c r="K93" i="108"/>
  <c r="L93" i="108"/>
  <c r="M93" i="108"/>
  <c r="N93" i="108"/>
  <c r="D94" i="108"/>
  <c r="E94" i="108"/>
  <c r="F94" i="108"/>
  <c r="G94" i="108"/>
  <c r="G94" i="111" s="1"/>
  <c r="H94" i="108"/>
  <c r="I94" i="108"/>
  <c r="J94" i="108"/>
  <c r="K94" i="108"/>
  <c r="L94" i="108"/>
  <c r="M94" i="108"/>
  <c r="N94" i="108"/>
  <c r="D95" i="108"/>
  <c r="D95" i="111" s="1"/>
  <c r="E95" i="108"/>
  <c r="F95" i="108"/>
  <c r="G95" i="108"/>
  <c r="H95" i="108"/>
  <c r="I95" i="108"/>
  <c r="J95" i="108"/>
  <c r="K95" i="108"/>
  <c r="L95" i="108"/>
  <c r="L95" i="111" s="1"/>
  <c r="M95" i="108"/>
  <c r="N95" i="108"/>
  <c r="D96" i="108"/>
  <c r="E96" i="108"/>
  <c r="F96" i="108"/>
  <c r="G96" i="108"/>
  <c r="H96" i="108"/>
  <c r="I96" i="108"/>
  <c r="I96" i="111" s="1"/>
  <c r="J96" i="108"/>
  <c r="K96" i="108"/>
  <c r="L96" i="108"/>
  <c r="M96" i="108"/>
  <c r="N96" i="108"/>
  <c r="D97" i="108"/>
  <c r="E97" i="108"/>
  <c r="F97" i="108"/>
  <c r="F97" i="111" s="1"/>
  <c r="G97" i="108"/>
  <c r="H97" i="108"/>
  <c r="I97" i="108"/>
  <c r="J97" i="108"/>
  <c r="K97" i="108"/>
  <c r="L97" i="108"/>
  <c r="M97" i="108"/>
  <c r="N97" i="108"/>
  <c r="N97" i="111" s="1"/>
  <c r="D98" i="108"/>
  <c r="E98" i="108"/>
  <c r="F98" i="108"/>
  <c r="G98" i="108"/>
  <c r="H98" i="108"/>
  <c r="I98" i="108"/>
  <c r="J98" i="108"/>
  <c r="K98" i="108"/>
  <c r="K98" i="111" s="1"/>
  <c r="L98" i="108"/>
  <c r="M98" i="108"/>
  <c r="N98" i="108"/>
  <c r="D99" i="108"/>
  <c r="E99" i="108"/>
  <c r="F99" i="108"/>
  <c r="G99" i="108"/>
  <c r="H99" i="108"/>
  <c r="H99" i="111" s="1"/>
  <c r="I99" i="108"/>
  <c r="J99" i="108"/>
  <c r="K99" i="108"/>
  <c r="L99" i="108"/>
  <c r="M99" i="108"/>
  <c r="N99" i="108"/>
  <c r="D100" i="108"/>
  <c r="E100" i="108"/>
  <c r="E100" i="111" s="1"/>
  <c r="F100" i="108"/>
  <c r="G100" i="108"/>
  <c r="H100" i="108"/>
  <c r="I100" i="108"/>
  <c r="J100" i="108"/>
  <c r="K100" i="108"/>
  <c r="L100" i="108"/>
  <c r="M100" i="108"/>
  <c r="M100" i="111" s="1"/>
  <c r="N100" i="108"/>
  <c r="D101" i="108"/>
  <c r="E101" i="108"/>
  <c r="F101" i="108"/>
  <c r="G101" i="108"/>
  <c r="H101" i="108"/>
  <c r="I101" i="108"/>
  <c r="J101" i="108"/>
  <c r="J101" i="111" s="1"/>
  <c r="K101" i="108"/>
  <c r="L101" i="108"/>
  <c r="M101" i="108"/>
  <c r="N101" i="108"/>
  <c r="D102" i="108"/>
  <c r="E102" i="108"/>
  <c r="F102" i="108"/>
  <c r="G102" i="108"/>
  <c r="G102" i="111" s="1"/>
  <c r="H102" i="108"/>
  <c r="I102" i="108"/>
  <c r="J102" i="108"/>
  <c r="K102" i="108"/>
  <c r="L102" i="108"/>
  <c r="M102" i="108"/>
  <c r="N102" i="108"/>
  <c r="D103" i="108"/>
  <c r="D103" i="111" s="1"/>
  <c r="E103" i="108"/>
  <c r="F103" i="108"/>
  <c r="G103" i="108"/>
  <c r="H103" i="108"/>
  <c r="I103" i="108"/>
  <c r="J103" i="108"/>
  <c r="K103" i="108"/>
  <c r="L103" i="108"/>
  <c r="L103" i="111" s="1"/>
  <c r="M103" i="108"/>
  <c r="N103" i="108"/>
  <c r="D104" i="108"/>
  <c r="E104" i="108"/>
  <c r="F104" i="108"/>
  <c r="G104" i="108"/>
  <c r="H104" i="108"/>
  <c r="I104" i="108"/>
  <c r="I104" i="111" s="1"/>
  <c r="J104" i="108"/>
  <c r="K104" i="108"/>
  <c r="L104" i="108"/>
  <c r="M104" i="108"/>
  <c r="N104" i="108"/>
  <c r="D105" i="108"/>
  <c r="E105" i="108"/>
  <c r="F105" i="108"/>
  <c r="F105" i="111" s="1"/>
  <c r="G105" i="108"/>
  <c r="H105" i="108"/>
  <c r="I105" i="108"/>
  <c r="J105" i="108"/>
  <c r="K105" i="108"/>
  <c r="L105" i="108"/>
  <c r="M105" i="108"/>
  <c r="N105" i="108"/>
  <c r="N105" i="111" s="1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D58" i="111"/>
  <c r="E58" i="111"/>
  <c r="F58" i="111"/>
  <c r="G58" i="111"/>
  <c r="H58" i="111"/>
  <c r="I58" i="111"/>
  <c r="J58" i="111"/>
  <c r="L58" i="111"/>
  <c r="M58" i="111"/>
  <c r="N58" i="111"/>
  <c r="D59" i="111"/>
  <c r="E59" i="111"/>
  <c r="G59" i="111"/>
  <c r="I59" i="111"/>
  <c r="J59" i="111"/>
  <c r="K59" i="111"/>
  <c r="L59" i="111"/>
  <c r="M59" i="111"/>
  <c r="D60" i="111"/>
  <c r="F60" i="111"/>
  <c r="G60" i="111"/>
  <c r="H60" i="111"/>
  <c r="I60" i="111"/>
  <c r="J60" i="111"/>
  <c r="L60" i="111"/>
  <c r="N60" i="111"/>
  <c r="D61" i="111"/>
  <c r="E61" i="111"/>
  <c r="F61" i="111"/>
  <c r="G61" i="111"/>
  <c r="I61" i="111"/>
  <c r="K61" i="111"/>
  <c r="L61" i="111"/>
  <c r="M61" i="111"/>
  <c r="N61" i="111"/>
  <c r="D62" i="111"/>
  <c r="F62" i="111"/>
  <c r="H62" i="111"/>
  <c r="I62" i="111"/>
  <c r="J62" i="111"/>
  <c r="K62" i="111"/>
  <c r="L62" i="111"/>
  <c r="M62" i="111"/>
  <c r="N62" i="111"/>
  <c r="E63" i="111"/>
  <c r="F63" i="111"/>
  <c r="G63" i="111"/>
  <c r="H63" i="111"/>
  <c r="I63" i="111"/>
  <c r="K63" i="111"/>
  <c r="M63" i="111"/>
  <c r="N63" i="111"/>
  <c r="D64" i="111"/>
  <c r="E64" i="111"/>
  <c r="F64" i="111"/>
  <c r="G64" i="111"/>
  <c r="H64" i="111"/>
  <c r="J64" i="111"/>
  <c r="K64" i="111"/>
  <c r="L64" i="111"/>
  <c r="M64" i="111"/>
  <c r="N64" i="111"/>
  <c r="E65" i="111"/>
  <c r="G65" i="111"/>
  <c r="H65" i="111"/>
  <c r="I65" i="111"/>
  <c r="J65" i="111"/>
  <c r="K65" i="111"/>
  <c r="M65" i="111"/>
  <c r="D66" i="111"/>
  <c r="E66" i="111"/>
  <c r="F66" i="111"/>
  <c r="G66" i="111"/>
  <c r="H66" i="111"/>
  <c r="J66" i="111"/>
  <c r="L66" i="111"/>
  <c r="M66" i="111"/>
  <c r="N66" i="111"/>
  <c r="D67" i="111"/>
  <c r="E67" i="111"/>
  <c r="G67" i="111"/>
  <c r="I67" i="111"/>
  <c r="J67" i="111"/>
  <c r="K67" i="111"/>
  <c r="L67" i="111"/>
  <c r="M67" i="111"/>
  <c r="D68" i="111"/>
  <c r="F68" i="111"/>
  <c r="G68" i="111"/>
  <c r="H68" i="111"/>
  <c r="I68" i="111"/>
  <c r="K68" i="111"/>
  <c r="L68" i="111"/>
  <c r="N68" i="111"/>
  <c r="D69" i="111"/>
  <c r="E69" i="111"/>
  <c r="F69" i="111"/>
  <c r="G69" i="111"/>
  <c r="I69" i="111"/>
  <c r="K69" i="111"/>
  <c r="L69" i="111"/>
  <c r="M69" i="111"/>
  <c r="N69" i="111"/>
  <c r="D70" i="111"/>
  <c r="E70" i="111"/>
  <c r="F70" i="111"/>
  <c r="H70" i="111"/>
  <c r="I70" i="111"/>
  <c r="J70" i="111"/>
  <c r="K70" i="111"/>
  <c r="N70" i="111"/>
  <c r="E71" i="111"/>
  <c r="F71" i="111"/>
  <c r="G71" i="111"/>
  <c r="H71" i="111"/>
  <c r="K71" i="111"/>
  <c r="M71" i="111"/>
  <c r="N71" i="111"/>
  <c r="D72" i="111"/>
  <c r="E72" i="111"/>
  <c r="F72" i="111"/>
  <c r="H72" i="111"/>
  <c r="J72" i="111"/>
  <c r="K72" i="111"/>
  <c r="L72" i="111"/>
  <c r="M72" i="111"/>
  <c r="E73" i="111"/>
  <c r="G73" i="111"/>
  <c r="H73" i="111"/>
  <c r="I73" i="111"/>
  <c r="J73" i="111"/>
  <c r="K73" i="111"/>
  <c r="M73" i="111"/>
  <c r="D74" i="111"/>
  <c r="E74" i="111"/>
  <c r="F74" i="111"/>
  <c r="G74" i="111"/>
  <c r="I74" i="111"/>
  <c r="J74" i="111"/>
  <c r="L74" i="111"/>
  <c r="M74" i="111"/>
  <c r="N74" i="111"/>
  <c r="D75" i="111"/>
  <c r="E75" i="111"/>
  <c r="G75" i="111"/>
  <c r="I75" i="111"/>
  <c r="J75" i="111"/>
  <c r="K75" i="111"/>
  <c r="L75" i="111"/>
  <c r="M75" i="111"/>
  <c r="N75" i="111"/>
  <c r="D76" i="111"/>
  <c r="F76" i="111"/>
  <c r="G76" i="111"/>
  <c r="H76" i="111"/>
  <c r="I76" i="111"/>
  <c r="L76" i="111"/>
  <c r="N76" i="111"/>
  <c r="D77" i="111"/>
  <c r="E77" i="111"/>
  <c r="F77" i="111"/>
  <c r="I77" i="111"/>
  <c r="K77" i="111"/>
  <c r="L77" i="111"/>
  <c r="M77" i="111"/>
  <c r="N77" i="111"/>
  <c r="F78" i="111"/>
  <c r="H78" i="111"/>
  <c r="I78" i="111"/>
  <c r="J78" i="111"/>
  <c r="K78" i="111"/>
  <c r="N78" i="111"/>
  <c r="E79" i="111"/>
  <c r="F79" i="111"/>
  <c r="G79" i="111"/>
  <c r="H79" i="111"/>
  <c r="I79" i="111"/>
  <c r="K79" i="111"/>
  <c r="M79" i="111"/>
  <c r="N79" i="111"/>
  <c r="D80" i="111"/>
  <c r="E80" i="111"/>
  <c r="G80" i="111"/>
  <c r="H80" i="111"/>
  <c r="J80" i="111"/>
  <c r="K80" i="111"/>
  <c r="L80" i="111"/>
  <c r="M80" i="111"/>
  <c r="N80" i="111"/>
  <c r="E81" i="111"/>
  <c r="G81" i="111"/>
  <c r="H81" i="111"/>
  <c r="I81" i="111"/>
  <c r="J81" i="111"/>
  <c r="K81" i="111"/>
  <c r="L81" i="111"/>
  <c r="M81" i="111"/>
  <c r="D82" i="111"/>
  <c r="E82" i="111"/>
  <c r="F82" i="111"/>
  <c r="G82" i="111"/>
  <c r="J82" i="111"/>
  <c r="L82" i="111"/>
  <c r="M82" i="111"/>
  <c r="N82" i="111"/>
  <c r="D83" i="111"/>
  <c r="G83" i="111"/>
  <c r="I83" i="111"/>
  <c r="J83" i="111"/>
  <c r="K83" i="111"/>
  <c r="L83" i="111"/>
  <c r="D84" i="111"/>
  <c r="F84" i="111"/>
  <c r="G84" i="111"/>
  <c r="H84" i="111"/>
  <c r="I84" i="111"/>
  <c r="L84" i="111"/>
  <c r="N84" i="111"/>
  <c r="D85" i="111"/>
  <c r="E85" i="111"/>
  <c r="F85" i="111"/>
  <c r="G85" i="111"/>
  <c r="I85" i="111"/>
  <c r="K85" i="111"/>
  <c r="L85" i="111"/>
  <c r="M85" i="111"/>
  <c r="N85" i="111"/>
  <c r="E86" i="111"/>
  <c r="F86" i="111"/>
  <c r="H86" i="111"/>
  <c r="I86" i="111"/>
  <c r="J86" i="111"/>
  <c r="K86" i="111"/>
  <c r="L86" i="111"/>
  <c r="N86" i="111"/>
  <c r="E87" i="111"/>
  <c r="F87" i="111"/>
  <c r="G87" i="111"/>
  <c r="H87" i="111"/>
  <c r="I87" i="111"/>
  <c r="J87" i="111"/>
  <c r="K87" i="111"/>
  <c r="M87" i="111"/>
  <c r="N87" i="111"/>
  <c r="D88" i="111"/>
  <c r="E88" i="111"/>
  <c r="H88" i="111"/>
  <c r="J88" i="111"/>
  <c r="K88" i="111"/>
  <c r="L88" i="111"/>
  <c r="M88" i="111"/>
  <c r="E89" i="111"/>
  <c r="G89" i="111"/>
  <c r="H89" i="111"/>
  <c r="I89" i="111"/>
  <c r="J89" i="111"/>
  <c r="M89" i="111"/>
  <c r="D90" i="111"/>
  <c r="E90" i="111"/>
  <c r="F90" i="111"/>
  <c r="G90" i="111"/>
  <c r="J90" i="111"/>
  <c r="L90" i="111"/>
  <c r="M90" i="111"/>
  <c r="N90" i="111"/>
  <c r="D91" i="111"/>
  <c r="E91" i="111"/>
  <c r="G91" i="111"/>
  <c r="I91" i="111"/>
  <c r="J91" i="111"/>
  <c r="K91" i="111"/>
  <c r="L91" i="111"/>
  <c r="N91" i="111"/>
  <c r="D92" i="111"/>
  <c r="F92" i="111"/>
  <c r="G92" i="111"/>
  <c r="H92" i="111"/>
  <c r="I92" i="111"/>
  <c r="J92" i="111"/>
  <c r="L92" i="111"/>
  <c r="N92" i="111"/>
  <c r="D93" i="111"/>
  <c r="E93" i="111"/>
  <c r="F93" i="111"/>
  <c r="G93" i="111"/>
  <c r="H93" i="111"/>
  <c r="I93" i="111"/>
  <c r="K93" i="111"/>
  <c r="L93" i="111"/>
  <c r="M93" i="111"/>
  <c r="N93" i="111"/>
  <c r="F94" i="111"/>
  <c r="H94" i="111"/>
  <c r="I94" i="111"/>
  <c r="J94" i="111"/>
  <c r="K94" i="111"/>
  <c r="N94" i="111"/>
  <c r="E95" i="111"/>
  <c r="F95" i="111"/>
  <c r="G95" i="111"/>
  <c r="H95" i="111"/>
  <c r="K95" i="111"/>
  <c r="M95" i="111"/>
  <c r="N95" i="111"/>
  <c r="D96" i="111"/>
  <c r="E96" i="111"/>
  <c r="H96" i="111"/>
  <c r="J96" i="111"/>
  <c r="K96" i="111"/>
  <c r="L96" i="111"/>
  <c r="M96" i="111"/>
  <c r="N96" i="111"/>
  <c r="E97" i="111"/>
  <c r="G97" i="111"/>
  <c r="H97" i="111"/>
  <c r="I97" i="111"/>
  <c r="J97" i="111"/>
  <c r="K97" i="111"/>
  <c r="L97" i="111"/>
  <c r="M97" i="111"/>
  <c r="D98" i="111"/>
  <c r="E98" i="111"/>
  <c r="F98" i="111"/>
  <c r="G98" i="111"/>
  <c r="H98" i="111"/>
  <c r="J98" i="111"/>
  <c r="L98" i="111"/>
  <c r="M98" i="111"/>
  <c r="N98" i="111"/>
  <c r="D99" i="111"/>
  <c r="E99" i="111"/>
  <c r="F99" i="111"/>
  <c r="G99" i="111"/>
  <c r="I99" i="111"/>
  <c r="J99" i="111"/>
  <c r="K99" i="111"/>
  <c r="L99" i="111"/>
  <c r="D100" i="111"/>
  <c r="F100" i="111"/>
  <c r="G100" i="111"/>
  <c r="H100" i="111"/>
  <c r="I100" i="111"/>
  <c r="L100" i="111"/>
  <c r="N100" i="111"/>
  <c r="D101" i="111"/>
  <c r="E101" i="111"/>
  <c r="F101" i="111"/>
  <c r="I101" i="111"/>
  <c r="K101" i="111"/>
  <c r="L101" i="111"/>
  <c r="M101" i="111"/>
  <c r="N101" i="111"/>
  <c r="F102" i="111"/>
  <c r="H102" i="111"/>
  <c r="I102" i="111"/>
  <c r="J102" i="111"/>
  <c r="K102" i="111"/>
  <c r="L102" i="111"/>
  <c r="N102" i="111"/>
  <c r="E103" i="111"/>
  <c r="F103" i="111"/>
  <c r="G103" i="111"/>
  <c r="H103" i="111"/>
  <c r="I103" i="111"/>
  <c r="J103" i="111"/>
  <c r="K103" i="111"/>
  <c r="M103" i="111"/>
  <c r="N103" i="111"/>
  <c r="D104" i="111"/>
  <c r="E104" i="111"/>
  <c r="F104" i="111"/>
  <c r="H104" i="111"/>
  <c r="J104" i="111"/>
  <c r="K104" i="111"/>
  <c r="L104" i="111"/>
  <c r="M104" i="111"/>
  <c r="N104" i="111"/>
  <c r="D105" i="111"/>
  <c r="E105" i="111"/>
  <c r="G105" i="111"/>
  <c r="H105" i="111"/>
  <c r="I105" i="111"/>
  <c r="J105" i="111"/>
  <c r="M105" i="111"/>
  <c r="C59" i="111"/>
  <c r="C60" i="111"/>
  <c r="C61" i="111"/>
  <c r="C62" i="111"/>
  <c r="C64" i="111"/>
  <c r="C65" i="111"/>
  <c r="C67" i="111"/>
  <c r="C68" i="111"/>
  <c r="C69" i="111"/>
  <c r="C70" i="111"/>
  <c r="C72" i="111"/>
  <c r="C73" i="111"/>
  <c r="C76" i="111"/>
  <c r="C77" i="111"/>
  <c r="C78" i="111"/>
  <c r="C80" i="111"/>
  <c r="C81" i="111"/>
  <c r="C84" i="111"/>
  <c r="C85" i="111"/>
  <c r="C86" i="111"/>
  <c r="C88" i="111"/>
  <c r="C89" i="111"/>
  <c r="C92" i="111"/>
  <c r="C93" i="111"/>
  <c r="C94" i="111"/>
  <c r="C96" i="111"/>
  <c r="C97" i="111"/>
  <c r="C100" i="111"/>
  <c r="C101" i="111"/>
  <c r="C102" i="111"/>
  <c r="C104" i="111"/>
  <c r="C105" i="111"/>
  <c r="C58" i="111"/>
  <c r="AD42" i="107" l="1"/>
  <c r="Z34" i="107"/>
  <c r="T35" i="107"/>
  <c r="AB35" i="107"/>
  <c r="V36" i="107"/>
  <c r="AD36" i="107"/>
  <c r="X37" i="107"/>
  <c r="AF37" i="107"/>
  <c r="Z38" i="107"/>
  <c r="T39" i="107"/>
  <c r="AB39" i="107"/>
  <c r="V40" i="107"/>
  <c r="V42" i="107" s="1"/>
  <c r="AD40" i="107"/>
  <c r="X41" i="107"/>
  <c r="X42" i="107" s="1"/>
  <c r="AF41" i="107"/>
  <c r="AF42" i="107" s="1"/>
  <c r="AE41" i="107"/>
  <c r="S34" i="107"/>
  <c r="AA34" i="107"/>
  <c r="U35" i="107"/>
  <c r="AC35" i="107"/>
  <c r="W36" i="107"/>
  <c r="AE36" i="107"/>
  <c r="Y37" i="107"/>
  <c r="W40" i="107"/>
  <c r="AE40" i="107"/>
  <c r="Y41" i="107"/>
  <c r="Y42" i="107" s="1"/>
  <c r="W41" i="107"/>
  <c r="T34" i="107"/>
  <c r="AB34" i="107"/>
  <c r="V35" i="107"/>
  <c r="AD35" i="107"/>
  <c r="X36" i="107"/>
  <c r="AF36" i="107"/>
  <c r="Z37" i="107"/>
  <c r="X40" i="107"/>
  <c r="AF40" i="107"/>
  <c r="Z41" i="107"/>
  <c r="Z42" i="107" s="1"/>
  <c r="U34" i="107"/>
  <c r="AC34" i="107"/>
  <c r="W35" i="107"/>
  <c r="AE35" i="107"/>
  <c r="Y36" i="107"/>
  <c r="S37" i="107"/>
  <c r="AA37" i="107"/>
  <c r="Y40" i="107"/>
  <c r="S41" i="107"/>
  <c r="S42" i="107" s="1"/>
  <c r="AA41" i="107"/>
  <c r="AA42" i="107" s="1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AA39" i="107"/>
  <c r="S36" i="107"/>
  <c r="U37" i="107"/>
  <c r="AC37" i="107"/>
  <c r="V37" i="107"/>
  <c r="AD37" i="107"/>
  <c r="AD42" i="108"/>
  <c r="Y34" i="108"/>
  <c r="Z34" i="108"/>
  <c r="T35" i="108"/>
  <c r="AB35" i="108"/>
  <c r="V36" i="108"/>
  <c r="AD36" i="108"/>
  <c r="X37" i="108"/>
  <c r="AF37" i="108"/>
  <c r="Z38" i="108"/>
  <c r="T39" i="108"/>
  <c r="AB39" i="108"/>
  <c r="V40" i="108"/>
  <c r="V42" i="108" s="1"/>
  <c r="AD40" i="108"/>
  <c r="X41" i="108"/>
  <c r="X42" i="108" s="1"/>
  <c r="AF41" i="108"/>
  <c r="AE41" i="108"/>
  <c r="AE42" i="108" s="1"/>
  <c r="S34" i="108"/>
  <c r="AA34" i="108"/>
  <c r="U35" i="108"/>
  <c r="AC35" i="108"/>
  <c r="W36" i="108"/>
  <c r="AE36" i="108"/>
  <c r="Y37" i="108"/>
  <c r="W40" i="108"/>
  <c r="AE40" i="108"/>
  <c r="Y41" i="108"/>
  <c r="Y42" i="108" s="1"/>
  <c r="W41" i="108"/>
  <c r="T34" i="108"/>
  <c r="AB34" i="108"/>
  <c r="V35" i="108"/>
  <c r="AD35" i="108"/>
  <c r="X36" i="108"/>
  <c r="AF36" i="108"/>
  <c r="Z37" i="108"/>
  <c r="X40" i="108"/>
  <c r="AF40" i="108"/>
  <c r="Z41" i="108"/>
  <c r="Z42" i="108" s="1"/>
  <c r="U34" i="108"/>
  <c r="AC34" i="108"/>
  <c r="W35" i="108"/>
  <c r="AE35" i="108"/>
  <c r="Y36" i="108"/>
  <c r="S37" i="108"/>
  <c r="AA37" i="108"/>
  <c r="S41" i="108"/>
  <c r="S42" i="108" s="1"/>
  <c r="AA41" i="108"/>
  <c r="AA42" i="108" s="1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S39" i="108"/>
  <c r="AA36" i="108"/>
  <c r="U37" i="108"/>
  <c r="AC37" i="108"/>
  <c r="V37" i="108"/>
  <c r="AD37" i="108"/>
  <c r="Z34" i="111"/>
  <c r="T35" i="111"/>
  <c r="AB35" i="111"/>
  <c r="V36" i="111"/>
  <c r="AD36" i="111"/>
  <c r="X37" i="111"/>
  <c r="AF37" i="111"/>
  <c r="Z38" i="111"/>
  <c r="T39" i="111"/>
  <c r="AB39" i="111"/>
  <c r="V40" i="111"/>
  <c r="V42" i="111" s="1"/>
  <c r="AD40" i="111"/>
  <c r="AD42" i="111" s="1"/>
  <c r="X41" i="111"/>
  <c r="X42" i="111" s="1"/>
  <c r="AF41" i="111"/>
  <c r="AE41" i="111"/>
  <c r="S34" i="111"/>
  <c r="AA34" i="111"/>
  <c r="U35" i="111"/>
  <c r="AC35" i="111"/>
  <c r="W36" i="111"/>
  <c r="AE36" i="111"/>
  <c r="Y37" i="111"/>
  <c r="W40" i="111"/>
  <c r="W42" i="111" s="1"/>
  <c r="AE40" i="111"/>
  <c r="Y41" i="111"/>
  <c r="S39" i="111"/>
  <c r="T34" i="111"/>
  <c r="AB34" i="111"/>
  <c r="V35" i="111"/>
  <c r="AD35" i="111"/>
  <c r="X36" i="111"/>
  <c r="AF36" i="111"/>
  <c r="Z37" i="111"/>
  <c r="X40" i="111"/>
  <c r="AF40" i="111"/>
  <c r="Z41" i="111"/>
  <c r="Z42" i="111" s="1"/>
  <c r="U34" i="111"/>
  <c r="AC34" i="111"/>
  <c r="W35" i="111"/>
  <c r="AE35" i="111"/>
  <c r="Y36" i="111"/>
  <c r="S37" i="111"/>
  <c r="AA37" i="111"/>
  <c r="Y40" i="111"/>
  <c r="S41" i="111"/>
  <c r="S42" i="111" s="1"/>
  <c r="AA41" i="111"/>
  <c r="AA42" i="111" s="1"/>
  <c r="AA39" i="111"/>
  <c r="V34" i="111"/>
  <c r="AD34" i="111"/>
  <c r="X35" i="111"/>
  <c r="AF35" i="111"/>
  <c r="Z36" i="111"/>
  <c r="T37" i="111"/>
  <c r="AB37" i="111"/>
  <c r="T41" i="111"/>
  <c r="T42" i="111" s="1"/>
  <c r="AB41" i="111"/>
  <c r="AB42" i="111" s="1"/>
  <c r="U37" i="111"/>
  <c r="AC37" i="111"/>
  <c r="W38" i="111"/>
  <c r="V37" i="111"/>
  <c r="AD37" i="111"/>
  <c r="O67" i="111"/>
  <c r="O105" i="111"/>
  <c r="O75" i="111"/>
  <c r="P65" i="111"/>
  <c r="O99" i="111"/>
  <c r="P89" i="111"/>
  <c r="P83" i="111"/>
  <c r="P59" i="111"/>
  <c r="O83" i="111"/>
  <c r="O73" i="111"/>
  <c r="P58" i="111"/>
  <c r="P91" i="111"/>
  <c r="O81" i="111"/>
  <c r="P88" i="111"/>
  <c r="P103" i="111"/>
  <c r="P95" i="111"/>
  <c r="P87" i="111"/>
  <c r="P79" i="111"/>
  <c r="P71" i="111"/>
  <c r="P63" i="111"/>
  <c r="O91" i="111"/>
  <c r="O59" i="111"/>
  <c r="P81" i="111"/>
  <c r="P96" i="111"/>
  <c r="O65" i="111"/>
  <c r="P94" i="111"/>
  <c r="P86" i="111"/>
  <c r="P78" i="111"/>
  <c r="P70" i="111"/>
  <c r="P62" i="111"/>
  <c r="O89" i="111"/>
  <c r="O58" i="111"/>
  <c r="P75" i="111"/>
  <c r="P80" i="111"/>
  <c r="O97" i="111"/>
  <c r="P93" i="111"/>
  <c r="P77" i="111"/>
  <c r="P69" i="111"/>
  <c r="P61" i="111"/>
  <c r="P105" i="111"/>
  <c r="P73" i="111"/>
  <c r="P64" i="111"/>
  <c r="P101" i="111"/>
  <c r="P100" i="111"/>
  <c r="P84" i="111"/>
  <c r="P68" i="111"/>
  <c r="P60" i="111"/>
  <c r="P99" i="111"/>
  <c r="P67" i="111"/>
  <c r="P102" i="111"/>
  <c r="P85" i="111"/>
  <c r="P92" i="111"/>
  <c r="P76" i="111"/>
  <c r="P72" i="111"/>
  <c r="P98" i="111"/>
  <c r="P82" i="111"/>
  <c r="P66" i="111"/>
  <c r="P104" i="111"/>
  <c r="P90" i="111"/>
  <c r="P74" i="111"/>
  <c r="O104" i="111"/>
  <c r="O96" i="111"/>
  <c r="O88" i="111"/>
  <c r="O80" i="111"/>
  <c r="O72" i="111"/>
  <c r="O64" i="111"/>
  <c r="O103" i="111"/>
  <c r="O95" i="111"/>
  <c r="O87" i="111"/>
  <c r="O79" i="111"/>
  <c r="O71" i="111"/>
  <c r="O63" i="111"/>
  <c r="O102" i="111"/>
  <c r="O94" i="111"/>
  <c r="O86" i="111"/>
  <c r="O78" i="111"/>
  <c r="O70" i="111"/>
  <c r="O62" i="111"/>
  <c r="O101" i="111"/>
  <c r="O93" i="111"/>
  <c r="O85" i="111"/>
  <c r="O77" i="111"/>
  <c r="O69" i="111"/>
  <c r="O61" i="111"/>
  <c r="O100" i="111"/>
  <c r="O92" i="111"/>
  <c r="O84" i="111"/>
  <c r="O76" i="111"/>
  <c r="O68" i="111"/>
  <c r="O60" i="111"/>
  <c r="O98" i="111"/>
  <c r="O90" i="111"/>
  <c r="O82" i="111"/>
  <c r="O74" i="111"/>
  <c r="O66" i="111"/>
  <c r="N58" i="104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O54" i="104"/>
  <c r="P53" i="104"/>
  <c r="O53" i="104"/>
  <c r="P52" i="104"/>
  <c r="AF20" i="104" s="1"/>
  <c r="O52" i="104"/>
  <c r="P51" i="104"/>
  <c r="O51" i="104"/>
  <c r="P50" i="104"/>
  <c r="O50" i="104"/>
  <c r="P49" i="104"/>
  <c r="O49" i="104"/>
  <c r="P48" i="104"/>
  <c r="O48" i="104"/>
  <c r="P47" i="104"/>
  <c r="O47" i="104"/>
  <c r="P46" i="104"/>
  <c r="O46" i="104"/>
  <c r="P45" i="104"/>
  <c r="O45" i="104"/>
  <c r="P44" i="104"/>
  <c r="O44" i="104"/>
  <c r="P43" i="104"/>
  <c r="O43" i="104"/>
  <c r="P42" i="104"/>
  <c r="O42" i="104"/>
  <c r="P41" i="104"/>
  <c r="O41" i="104"/>
  <c r="P40" i="104"/>
  <c r="O40" i="104"/>
  <c r="P39" i="104"/>
  <c r="O39" i="104"/>
  <c r="P38" i="104"/>
  <c r="O38" i="104"/>
  <c r="P37" i="104"/>
  <c r="O37" i="104"/>
  <c r="P36" i="104"/>
  <c r="O36" i="104"/>
  <c r="P35" i="104"/>
  <c r="O35" i="104"/>
  <c r="P34" i="104"/>
  <c r="O34" i="104"/>
  <c r="P33" i="104"/>
  <c r="O33" i="104"/>
  <c r="P32" i="104"/>
  <c r="AF15" i="104" s="1"/>
  <c r="O32" i="104"/>
  <c r="P31" i="104"/>
  <c r="O31" i="104"/>
  <c r="P30" i="104"/>
  <c r="O30" i="104"/>
  <c r="P29" i="104"/>
  <c r="O29" i="104"/>
  <c r="P28" i="104"/>
  <c r="O28" i="104"/>
  <c r="P27" i="104"/>
  <c r="O27" i="104"/>
  <c r="P26" i="104"/>
  <c r="O26" i="104"/>
  <c r="P25" i="104"/>
  <c r="O25" i="104"/>
  <c r="P24" i="104"/>
  <c r="O24" i="104"/>
  <c r="P23" i="104"/>
  <c r="O23" i="104"/>
  <c r="P22" i="104"/>
  <c r="O22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O20" i="104"/>
  <c r="AD19" i="104"/>
  <c r="AC19" i="104"/>
  <c r="AB19" i="104"/>
  <c r="AA19" i="104"/>
  <c r="Z19" i="104"/>
  <c r="Y19" i="104"/>
  <c r="X19" i="104"/>
  <c r="W19" i="104"/>
  <c r="V19" i="104"/>
  <c r="U19" i="104"/>
  <c r="T19" i="104"/>
  <c r="S19" i="104"/>
  <c r="P19" i="104"/>
  <c r="O19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O18" i="104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O15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O14" i="104"/>
  <c r="AE11" i="104" s="1"/>
  <c r="AD13" i="104"/>
  <c r="AC13" i="104"/>
  <c r="AB13" i="104"/>
  <c r="AA13" i="104"/>
  <c r="Z13" i="104"/>
  <c r="Y13" i="104"/>
  <c r="X13" i="104"/>
  <c r="W13" i="104"/>
  <c r="V13" i="104"/>
  <c r="U13" i="104"/>
  <c r="T13" i="104"/>
  <c r="S13" i="104"/>
  <c r="P13" i="104"/>
  <c r="O13" i="104"/>
  <c r="AF12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C10" i="104"/>
  <c r="AB10" i="104"/>
  <c r="AA10" i="104"/>
  <c r="Z10" i="104"/>
  <c r="Y10" i="104"/>
  <c r="X10" i="104"/>
  <c r="W10" i="104"/>
  <c r="V10" i="104"/>
  <c r="U10" i="104"/>
  <c r="T10" i="104"/>
  <c r="S10" i="104"/>
  <c r="P10" i="104"/>
  <c r="O10" i="104"/>
  <c r="K6" i="104"/>
  <c r="G6" i="104"/>
  <c r="D6" i="104"/>
  <c r="K5" i="104"/>
  <c r="G5" i="104"/>
  <c r="C3" i="104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AE21" i="103" s="1"/>
  <c r="P54" i="103"/>
  <c r="AF21" i="103" s="1"/>
  <c r="O54" i="103"/>
  <c r="P53" i="103"/>
  <c r="O53" i="103"/>
  <c r="P52" i="103"/>
  <c r="O52" i="103"/>
  <c r="P51" i="103"/>
  <c r="O51" i="103"/>
  <c r="AE20" i="103" s="1"/>
  <c r="P50" i="103"/>
  <c r="O50" i="103"/>
  <c r="P49" i="103"/>
  <c r="O49" i="103"/>
  <c r="P48" i="103"/>
  <c r="O48" i="103"/>
  <c r="P47" i="103"/>
  <c r="O47" i="103"/>
  <c r="AE19" i="103" s="1"/>
  <c r="P46" i="103"/>
  <c r="O46" i="103"/>
  <c r="P45" i="103"/>
  <c r="O45" i="103"/>
  <c r="P44" i="103"/>
  <c r="O44" i="103"/>
  <c r="P43" i="103"/>
  <c r="O43" i="103"/>
  <c r="AE18" i="103" s="1"/>
  <c r="P42" i="103"/>
  <c r="O42" i="103"/>
  <c r="P41" i="103"/>
  <c r="O41" i="103"/>
  <c r="P40" i="103"/>
  <c r="O40" i="103"/>
  <c r="P39" i="103"/>
  <c r="O39" i="103"/>
  <c r="AE17" i="103" s="1"/>
  <c r="P38" i="103"/>
  <c r="AF17" i="103" s="1"/>
  <c r="O38" i="103"/>
  <c r="P37" i="103"/>
  <c r="O37" i="103"/>
  <c r="P36" i="103"/>
  <c r="O36" i="103"/>
  <c r="P35" i="103"/>
  <c r="O35" i="103"/>
  <c r="AE16" i="103" s="1"/>
  <c r="P34" i="103"/>
  <c r="O34" i="103"/>
  <c r="P33" i="103"/>
  <c r="O33" i="103"/>
  <c r="P32" i="103"/>
  <c r="O32" i="103"/>
  <c r="P31" i="103"/>
  <c r="O31" i="103"/>
  <c r="AE15" i="103" s="1"/>
  <c r="P30" i="103"/>
  <c r="O30" i="103"/>
  <c r="P29" i="103"/>
  <c r="O29" i="103"/>
  <c r="P28" i="103"/>
  <c r="O28" i="103"/>
  <c r="P27" i="103"/>
  <c r="O27" i="103"/>
  <c r="P26" i="103"/>
  <c r="O26" i="103"/>
  <c r="P25" i="103"/>
  <c r="O25" i="103"/>
  <c r="P24" i="103"/>
  <c r="O24" i="103"/>
  <c r="P23" i="103"/>
  <c r="O23" i="103"/>
  <c r="P22" i="103"/>
  <c r="AF13" i="103" s="1"/>
  <c r="O22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O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D19" i="103"/>
  <c r="AC19" i="103"/>
  <c r="AC24" i="103" s="1"/>
  <c r="AB19" i="103"/>
  <c r="AA19" i="103"/>
  <c r="Z19" i="103"/>
  <c r="Y19" i="103"/>
  <c r="X19" i="103"/>
  <c r="W19" i="103"/>
  <c r="V19" i="103"/>
  <c r="U19" i="103"/>
  <c r="U24" i="103" s="1"/>
  <c r="T19" i="103"/>
  <c r="S19" i="103"/>
  <c r="P19" i="103"/>
  <c r="O19" i="103"/>
  <c r="AF18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O18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O17" i="103"/>
  <c r="AD16" i="103"/>
  <c r="AC16" i="103"/>
  <c r="AB16" i="103"/>
  <c r="AA16" i="103"/>
  <c r="Z16" i="103"/>
  <c r="Y16" i="103"/>
  <c r="X16" i="103"/>
  <c r="W16" i="103"/>
  <c r="V16" i="103"/>
  <c r="U16" i="103"/>
  <c r="T16" i="103"/>
  <c r="S16" i="103"/>
  <c r="P16" i="103"/>
  <c r="O16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P15" i="103"/>
  <c r="O15" i="103"/>
  <c r="AF14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O14" i="103"/>
  <c r="AD13" i="103"/>
  <c r="AC13" i="103"/>
  <c r="AB13" i="103"/>
  <c r="AA13" i="103"/>
  <c r="Z13" i="103"/>
  <c r="Y13" i="103"/>
  <c r="X13" i="103"/>
  <c r="W13" i="103"/>
  <c r="V13" i="103"/>
  <c r="U13" i="103"/>
  <c r="T13" i="103"/>
  <c r="S13" i="103"/>
  <c r="P13" i="103"/>
  <c r="O13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C10" i="103"/>
  <c r="AB10" i="103"/>
  <c r="AA10" i="103"/>
  <c r="AA28" i="103" s="1"/>
  <c r="Z10" i="103"/>
  <c r="Y10" i="103"/>
  <c r="X10" i="103"/>
  <c r="W10" i="103"/>
  <c r="V10" i="103"/>
  <c r="U10" i="103"/>
  <c r="T10" i="103"/>
  <c r="S10" i="103"/>
  <c r="S28" i="103" s="1"/>
  <c r="P10" i="103"/>
  <c r="AF10" i="103" s="1"/>
  <c r="O10" i="103"/>
  <c r="K6" i="103"/>
  <c r="G6" i="103"/>
  <c r="D6" i="103"/>
  <c r="K5" i="103"/>
  <c r="G5" i="103"/>
  <c r="D5" i="103"/>
  <c r="C3" i="103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O103" i="105"/>
  <c r="AE33" i="105" s="1"/>
  <c r="P102" i="105"/>
  <c r="O102" i="105"/>
  <c r="P101" i="105"/>
  <c r="O101" i="105"/>
  <c r="P100" i="105"/>
  <c r="O100" i="105"/>
  <c r="P99" i="105"/>
  <c r="O99" i="105"/>
  <c r="AE32" i="105" s="1"/>
  <c r="P98" i="105"/>
  <c r="O98" i="105"/>
  <c r="P97" i="105"/>
  <c r="O97" i="105"/>
  <c r="P96" i="105"/>
  <c r="O96" i="105"/>
  <c r="P95" i="105"/>
  <c r="O95" i="105"/>
  <c r="P94" i="105"/>
  <c r="O94" i="105"/>
  <c r="P93" i="105"/>
  <c r="O93" i="105"/>
  <c r="P92" i="105"/>
  <c r="O92" i="105"/>
  <c r="P91" i="105"/>
  <c r="O91" i="105"/>
  <c r="P90" i="105"/>
  <c r="O90" i="105"/>
  <c r="P89" i="105"/>
  <c r="O89" i="105"/>
  <c r="P88" i="105"/>
  <c r="O88" i="105"/>
  <c r="P87" i="105"/>
  <c r="O87" i="105"/>
  <c r="AE29" i="105" s="1"/>
  <c r="P86" i="105"/>
  <c r="O86" i="105"/>
  <c r="P85" i="105"/>
  <c r="O85" i="105"/>
  <c r="P84" i="105"/>
  <c r="O84" i="105"/>
  <c r="P83" i="105"/>
  <c r="O83" i="105"/>
  <c r="AE28" i="105" s="1"/>
  <c r="P82" i="105"/>
  <c r="O82" i="105"/>
  <c r="P81" i="105"/>
  <c r="O81" i="105"/>
  <c r="P80" i="105"/>
  <c r="O80" i="105"/>
  <c r="P79" i="105"/>
  <c r="O79" i="105"/>
  <c r="P78" i="105"/>
  <c r="O78" i="105"/>
  <c r="P77" i="105"/>
  <c r="O77" i="105"/>
  <c r="P76" i="105"/>
  <c r="O76" i="105"/>
  <c r="P75" i="105"/>
  <c r="O75" i="105"/>
  <c r="P74" i="105"/>
  <c r="O74" i="105"/>
  <c r="P73" i="105"/>
  <c r="O73" i="105"/>
  <c r="P72" i="105"/>
  <c r="O72" i="105"/>
  <c r="P71" i="105"/>
  <c r="O71" i="105"/>
  <c r="AE25" i="105" s="1"/>
  <c r="P70" i="105"/>
  <c r="O70" i="105"/>
  <c r="P69" i="105"/>
  <c r="O69" i="105"/>
  <c r="P68" i="105"/>
  <c r="O68" i="105"/>
  <c r="P67" i="105"/>
  <c r="O67" i="105"/>
  <c r="AE24" i="105" s="1"/>
  <c r="P66" i="105"/>
  <c r="O66" i="105"/>
  <c r="P65" i="105"/>
  <c r="O65" i="105"/>
  <c r="P64" i="105"/>
  <c r="O64" i="105"/>
  <c r="P63" i="105"/>
  <c r="O63" i="105"/>
  <c r="P62" i="105"/>
  <c r="O62" i="105"/>
  <c r="P61" i="105"/>
  <c r="O61" i="105"/>
  <c r="P60" i="105"/>
  <c r="O60" i="105"/>
  <c r="P59" i="105"/>
  <c r="O59" i="105"/>
  <c r="P58" i="105"/>
  <c r="O58" i="105"/>
  <c r="P57" i="105"/>
  <c r="O57" i="105"/>
  <c r="P56" i="105"/>
  <c r="O56" i="105"/>
  <c r="P55" i="105"/>
  <c r="O55" i="105"/>
  <c r="AE21" i="105" s="1"/>
  <c r="P54" i="105"/>
  <c r="O54" i="105"/>
  <c r="P53" i="105"/>
  <c r="O53" i="105"/>
  <c r="P52" i="105"/>
  <c r="O52" i="105"/>
  <c r="P51" i="105"/>
  <c r="O51" i="105"/>
  <c r="AE20" i="105" s="1"/>
  <c r="P50" i="105"/>
  <c r="O50" i="105"/>
  <c r="P49" i="105"/>
  <c r="O49" i="105"/>
  <c r="P48" i="105"/>
  <c r="O48" i="105"/>
  <c r="P47" i="105"/>
  <c r="O47" i="105"/>
  <c r="P46" i="105"/>
  <c r="O46" i="105"/>
  <c r="P45" i="105"/>
  <c r="O45" i="105"/>
  <c r="P44" i="105"/>
  <c r="O44" i="105"/>
  <c r="P43" i="105"/>
  <c r="O43" i="105"/>
  <c r="P42" i="105"/>
  <c r="O42" i="105"/>
  <c r="P41" i="105"/>
  <c r="O41" i="105"/>
  <c r="P40" i="105"/>
  <c r="O40" i="105"/>
  <c r="P39" i="105"/>
  <c r="O39" i="105"/>
  <c r="AE17" i="105" s="1"/>
  <c r="P38" i="105"/>
  <c r="O38" i="105"/>
  <c r="P37" i="105"/>
  <c r="O37" i="105"/>
  <c r="P36" i="105"/>
  <c r="O36" i="105"/>
  <c r="P35" i="105"/>
  <c r="O35" i="105"/>
  <c r="AE16" i="105" s="1"/>
  <c r="P34" i="105"/>
  <c r="O34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O33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E31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O31" i="105"/>
  <c r="AE30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O30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O29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E27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O27" i="105"/>
  <c r="AE14" i="105" s="1"/>
  <c r="AE26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O26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E23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O23" i="105"/>
  <c r="AE22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AF13" i="105" s="1"/>
  <c r="O22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O21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E19" i="105"/>
  <c r="AD19" i="105"/>
  <c r="AC19" i="105"/>
  <c r="AC36" i="105" s="1"/>
  <c r="AB19" i="105"/>
  <c r="AB39" i="105" s="1"/>
  <c r="AA19" i="105"/>
  <c r="AA39" i="105" s="1"/>
  <c r="Z19" i="105"/>
  <c r="Y19" i="105"/>
  <c r="X19" i="105"/>
  <c r="W19" i="105"/>
  <c r="W39" i="105" s="1"/>
  <c r="V19" i="105"/>
  <c r="U19" i="105"/>
  <c r="U39" i="105" s="1"/>
  <c r="T19" i="105"/>
  <c r="T39" i="105" s="1"/>
  <c r="S19" i="105"/>
  <c r="S39" i="105" s="1"/>
  <c r="P19" i="105"/>
  <c r="O19" i="105"/>
  <c r="AE18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O18" i="105"/>
  <c r="AE12" i="105" s="1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E15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O15" i="105"/>
  <c r="AE11" i="105" s="1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O14" i="105"/>
  <c r="AE13" i="105"/>
  <c r="AD13" i="105"/>
  <c r="AC13" i="105"/>
  <c r="AC38" i="105" s="1"/>
  <c r="AB13" i="105"/>
  <c r="AA13" i="105"/>
  <c r="Z13" i="105"/>
  <c r="Y13" i="105"/>
  <c r="X13" i="105"/>
  <c r="W13" i="105"/>
  <c r="V13" i="105"/>
  <c r="U13" i="105"/>
  <c r="U38" i="105" s="1"/>
  <c r="T13" i="105"/>
  <c r="S13" i="105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D10" i="105"/>
  <c r="AC10" i="105"/>
  <c r="AB10" i="105"/>
  <c r="AA10" i="105"/>
  <c r="Z10" i="105"/>
  <c r="Z41" i="105" s="1"/>
  <c r="Y10" i="105"/>
  <c r="X10" i="105"/>
  <c r="X37" i="105" s="1"/>
  <c r="W10" i="105"/>
  <c r="V10" i="105"/>
  <c r="U10" i="105"/>
  <c r="T10" i="105"/>
  <c r="S10" i="105"/>
  <c r="P10" i="105"/>
  <c r="AF10" i="105" s="1"/>
  <c r="O10" i="105"/>
  <c r="AE10" i="105" s="1"/>
  <c r="K6" i="105"/>
  <c r="G6" i="105"/>
  <c r="D6" i="105"/>
  <c r="K5" i="105"/>
  <c r="G5" i="105"/>
  <c r="D5" i="105"/>
  <c r="C3" i="105"/>
  <c r="N106" i="110"/>
  <c r="M106" i="110"/>
  <c r="L106" i="110"/>
  <c r="K106" i="110"/>
  <c r="J106" i="110"/>
  <c r="I106" i="110"/>
  <c r="H106" i="110"/>
  <c r="G106" i="110"/>
  <c r="F106" i="110"/>
  <c r="E106" i="110"/>
  <c r="D106" i="110"/>
  <c r="C106" i="110"/>
  <c r="P105" i="110"/>
  <c r="O105" i="110"/>
  <c r="P104" i="110"/>
  <c r="O104" i="110"/>
  <c r="P103" i="110"/>
  <c r="O103" i="110"/>
  <c r="P102" i="110"/>
  <c r="O102" i="110"/>
  <c r="P101" i="110"/>
  <c r="O101" i="110"/>
  <c r="P100" i="110"/>
  <c r="O100" i="110"/>
  <c r="P99" i="110"/>
  <c r="O99" i="110"/>
  <c r="P98" i="110"/>
  <c r="O98" i="110"/>
  <c r="P97" i="110"/>
  <c r="O97" i="110"/>
  <c r="P96" i="110"/>
  <c r="O96" i="110"/>
  <c r="P95" i="110"/>
  <c r="O95" i="110"/>
  <c r="P94" i="110"/>
  <c r="O94" i="110"/>
  <c r="P93" i="110"/>
  <c r="O93" i="110"/>
  <c r="P92" i="110"/>
  <c r="O92" i="110"/>
  <c r="P91" i="110"/>
  <c r="O91" i="110"/>
  <c r="P90" i="110"/>
  <c r="O90" i="110"/>
  <c r="P89" i="110"/>
  <c r="O89" i="110"/>
  <c r="P88" i="110"/>
  <c r="O88" i="110"/>
  <c r="P87" i="110"/>
  <c r="O87" i="110"/>
  <c r="P86" i="110"/>
  <c r="O86" i="110"/>
  <c r="P85" i="110"/>
  <c r="O85" i="110"/>
  <c r="P84" i="110"/>
  <c r="O84" i="110"/>
  <c r="P83" i="110"/>
  <c r="O83" i="110"/>
  <c r="P82" i="110"/>
  <c r="O82" i="110"/>
  <c r="P81" i="110"/>
  <c r="O81" i="110"/>
  <c r="P80" i="110"/>
  <c r="O80" i="110"/>
  <c r="P79" i="110"/>
  <c r="O79" i="110"/>
  <c r="P78" i="110"/>
  <c r="O78" i="110"/>
  <c r="P77" i="110"/>
  <c r="O77" i="110"/>
  <c r="P76" i="110"/>
  <c r="O76" i="110"/>
  <c r="P75" i="110"/>
  <c r="O75" i="110"/>
  <c r="P74" i="110"/>
  <c r="O74" i="110"/>
  <c r="P73" i="110"/>
  <c r="O73" i="110"/>
  <c r="P72" i="110"/>
  <c r="O72" i="110"/>
  <c r="P71" i="110"/>
  <c r="O71" i="110"/>
  <c r="P70" i="110"/>
  <c r="O70" i="110"/>
  <c r="P69" i="110"/>
  <c r="O69" i="110"/>
  <c r="P68" i="110"/>
  <c r="O68" i="110"/>
  <c r="P67" i="110"/>
  <c r="O67" i="110"/>
  <c r="P66" i="110"/>
  <c r="O66" i="110"/>
  <c r="P65" i="110"/>
  <c r="O65" i="110"/>
  <c r="P64" i="110"/>
  <c r="O64" i="110"/>
  <c r="P63" i="110"/>
  <c r="O63" i="110"/>
  <c r="P62" i="110"/>
  <c r="O62" i="110"/>
  <c r="P61" i="110"/>
  <c r="O61" i="110"/>
  <c r="P60" i="110"/>
  <c r="O60" i="110"/>
  <c r="P59" i="110"/>
  <c r="O59" i="110"/>
  <c r="P58" i="110"/>
  <c r="AF22" i="110" s="1"/>
  <c r="O58" i="110"/>
  <c r="P57" i="110"/>
  <c r="O57" i="110"/>
  <c r="P56" i="110"/>
  <c r="O56" i="110"/>
  <c r="P55" i="110"/>
  <c r="O55" i="110"/>
  <c r="P54" i="110"/>
  <c r="AF21" i="110" s="1"/>
  <c r="O54" i="110"/>
  <c r="P53" i="110"/>
  <c r="O53" i="110"/>
  <c r="P52" i="110"/>
  <c r="O52" i="110"/>
  <c r="P51" i="110"/>
  <c r="O51" i="110"/>
  <c r="P50" i="110"/>
  <c r="AF20" i="110" s="1"/>
  <c r="O50" i="110"/>
  <c r="P49" i="110"/>
  <c r="O49" i="110"/>
  <c r="P48" i="110"/>
  <c r="O48" i="110"/>
  <c r="P47" i="110"/>
  <c r="O47" i="110"/>
  <c r="P46" i="110"/>
  <c r="AF19" i="110" s="1"/>
  <c r="AF39" i="110" s="1"/>
  <c r="O46" i="110"/>
  <c r="P45" i="110"/>
  <c r="O45" i="110"/>
  <c r="P44" i="110"/>
  <c r="O44" i="110"/>
  <c r="P43" i="110"/>
  <c r="O43" i="110"/>
  <c r="P42" i="110"/>
  <c r="AF18" i="110" s="1"/>
  <c r="O42" i="110"/>
  <c r="P41" i="110"/>
  <c r="O41" i="110"/>
  <c r="P40" i="110"/>
  <c r="O40" i="110"/>
  <c r="P39" i="110"/>
  <c r="O39" i="110"/>
  <c r="P38" i="110"/>
  <c r="AF17" i="110" s="1"/>
  <c r="O38" i="110"/>
  <c r="P37" i="110"/>
  <c r="O37" i="110"/>
  <c r="P36" i="110"/>
  <c r="O36" i="110"/>
  <c r="P35" i="110"/>
  <c r="O35" i="110"/>
  <c r="P34" i="110"/>
  <c r="AF16" i="110" s="1"/>
  <c r="O34" i="110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O32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O31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AF15" i="110" s="1"/>
  <c r="O30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AF14" i="110" s="1"/>
  <c r="O26" i="110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AF13" i="110" s="1"/>
  <c r="AF35" i="110" s="1"/>
  <c r="O22" i="110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D19" i="110"/>
  <c r="AC19" i="110"/>
  <c r="AB19" i="110"/>
  <c r="AB39" i="110" s="1"/>
  <c r="AA19" i="110"/>
  <c r="Z19" i="110"/>
  <c r="Y19" i="110"/>
  <c r="X19" i="110"/>
  <c r="W19" i="110"/>
  <c r="W39" i="110" s="1"/>
  <c r="V19" i="110"/>
  <c r="U19" i="110"/>
  <c r="T19" i="110"/>
  <c r="T39" i="110" s="1"/>
  <c r="S19" i="110"/>
  <c r="P19" i="110"/>
  <c r="O19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AF12" i="110" s="1"/>
  <c r="O18" i="110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O15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AF11" i="110" s="1"/>
  <c r="O14" i="110"/>
  <c r="AD13" i="110"/>
  <c r="AC13" i="110"/>
  <c r="AB13" i="110"/>
  <c r="AA13" i="110"/>
  <c r="AA38" i="110" s="1"/>
  <c r="Z13" i="110"/>
  <c r="Y13" i="110"/>
  <c r="X13" i="110"/>
  <c r="X38" i="110" s="1"/>
  <c r="W13" i="110"/>
  <c r="V13" i="110"/>
  <c r="U13" i="110"/>
  <c r="T13" i="110"/>
  <c r="S13" i="110"/>
  <c r="S38" i="110" s="1"/>
  <c r="P13" i="110"/>
  <c r="O13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C10" i="110"/>
  <c r="AB10" i="110"/>
  <c r="AA10" i="110"/>
  <c r="Z10" i="110"/>
  <c r="Y10" i="110"/>
  <c r="X10" i="110"/>
  <c r="W10" i="110"/>
  <c r="V10" i="110"/>
  <c r="U10" i="110"/>
  <c r="T10" i="110"/>
  <c r="S10" i="110"/>
  <c r="P10" i="110"/>
  <c r="AF10" i="110" s="1"/>
  <c r="AF37" i="110" s="1"/>
  <c r="O10" i="110"/>
  <c r="K6" i="110"/>
  <c r="G6" i="110"/>
  <c r="D6" i="110"/>
  <c r="K5" i="110"/>
  <c r="G5" i="110"/>
  <c r="C3" i="110"/>
  <c r="W42" i="107" l="1"/>
  <c r="AE42" i="107"/>
  <c r="W42" i="108"/>
  <c r="AF42" i="108"/>
  <c r="Y42" i="111"/>
  <c r="AE42" i="111"/>
  <c r="AF42" i="111"/>
  <c r="S41" i="110"/>
  <c r="Y41" i="105"/>
  <c r="T35" i="105"/>
  <c r="AB35" i="105"/>
  <c r="W41" i="110"/>
  <c r="T35" i="110"/>
  <c r="AB38" i="110"/>
  <c r="X39" i="110"/>
  <c r="AF15" i="103"/>
  <c r="AF16" i="103"/>
  <c r="AF19" i="103"/>
  <c r="AF20" i="103"/>
  <c r="Z27" i="104"/>
  <c r="T41" i="105"/>
  <c r="AB41" i="105"/>
  <c r="AB42" i="105" s="1"/>
  <c r="AF14" i="105"/>
  <c r="AF11" i="103"/>
  <c r="AF28" i="103" s="1"/>
  <c r="X27" i="103"/>
  <c r="AF12" i="103"/>
  <c r="AF11" i="104"/>
  <c r="AE12" i="104"/>
  <c r="U37" i="105"/>
  <c r="AC40" i="105"/>
  <c r="X38" i="105"/>
  <c r="X39" i="105"/>
  <c r="Y27" i="103"/>
  <c r="AE13" i="104"/>
  <c r="AE14" i="104"/>
  <c r="AE11" i="110"/>
  <c r="AE12" i="110"/>
  <c r="S39" i="110"/>
  <c r="AA39" i="110"/>
  <c r="AE13" i="110"/>
  <c r="AE14" i="110"/>
  <c r="AE15" i="110"/>
  <c r="AE16" i="110"/>
  <c r="AE17" i="110"/>
  <c r="AE18" i="110"/>
  <c r="AE35" i="110" s="1"/>
  <c r="AE19" i="110"/>
  <c r="AE39" i="110" s="1"/>
  <c r="AE20" i="110"/>
  <c r="AE21" i="110"/>
  <c r="AE22" i="110"/>
  <c r="AE23" i="110"/>
  <c r="AE24" i="110"/>
  <c r="AE25" i="110"/>
  <c r="AE26" i="110"/>
  <c r="AE27" i="110"/>
  <c r="AE28" i="110"/>
  <c r="AE29" i="110"/>
  <c r="AE30" i="110"/>
  <c r="AE31" i="110"/>
  <c r="AE32" i="110"/>
  <c r="AE33" i="110"/>
  <c r="V41" i="105"/>
  <c r="AD41" i="105"/>
  <c r="Y38" i="105"/>
  <c r="AF11" i="105"/>
  <c r="Y39" i="105"/>
  <c r="AF15" i="105"/>
  <c r="AF13" i="104"/>
  <c r="AF14" i="104"/>
  <c r="AF16" i="104"/>
  <c r="AF23" i="104" s="1"/>
  <c r="AF17" i="104"/>
  <c r="AF18" i="104"/>
  <c r="AF19" i="104"/>
  <c r="AF27" i="104" s="1"/>
  <c r="AF21" i="104"/>
  <c r="W38" i="110"/>
  <c r="AA41" i="110"/>
  <c r="AF23" i="110"/>
  <c r="AF24" i="110"/>
  <c r="AF25" i="110"/>
  <c r="AF26" i="110"/>
  <c r="AF27" i="110"/>
  <c r="AF28" i="110"/>
  <c r="AF29" i="110"/>
  <c r="AF30" i="110"/>
  <c r="AF31" i="110"/>
  <c r="AF32" i="110"/>
  <c r="AF33" i="110"/>
  <c r="V27" i="104"/>
  <c r="AD27" i="104"/>
  <c r="AF12" i="105"/>
  <c r="AF37" i="105" s="1"/>
  <c r="AF16" i="105"/>
  <c r="AF35" i="105" s="1"/>
  <c r="AF17" i="105"/>
  <c r="AF38" i="105" s="1"/>
  <c r="AF18" i="105"/>
  <c r="AF19" i="105"/>
  <c r="AF20" i="105"/>
  <c r="AF21" i="105"/>
  <c r="AF22" i="105"/>
  <c r="AF23" i="105"/>
  <c r="AF24" i="105"/>
  <c r="AF25" i="105"/>
  <c r="AF26" i="105"/>
  <c r="AF27" i="105"/>
  <c r="AF28" i="105"/>
  <c r="AF29" i="105"/>
  <c r="AF30" i="105"/>
  <c r="AF31" i="105"/>
  <c r="AF32" i="105"/>
  <c r="AF33" i="105"/>
  <c r="W28" i="103"/>
  <c r="T24" i="103"/>
  <c r="AB24" i="103"/>
  <c r="S41" i="105"/>
  <c r="AE41" i="105"/>
  <c r="V38" i="105"/>
  <c r="Z38" i="105"/>
  <c r="T28" i="103"/>
  <c r="X25" i="103"/>
  <c r="T26" i="104"/>
  <c r="AB26" i="104"/>
  <c r="P58" i="104"/>
  <c r="G59" i="104" s="1"/>
  <c r="T37" i="110"/>
  <c r="X40" i="110"/>
  <c r="AB41" i="110"/>
  <c r="U38" i="110"/>
  <c r="Y38" i="110"/>
  <c r="AC38" i="110"/>
  <c r="U39" i="110"/>
  <c r="Y39" i="110"/>
  <c r="AC39" i="110"/>
  <c r="S38" i="105"/>
  <c r="W38" i="105"/>
  <c r="AA38" i="105"/>
  <c r="AE38" i="105"/>
  <c r="V26" i="103"/>
  <c r="Z26" i="103"/>
  <c r="AD26" i="103"/>
  <c r="O58" i="104"/>
  <c r="K60" i="104" s="1"/>
  <c r="U28" i="104"/>
  <c r="Y28" i="104"/>
  <c r="AC28" i="104"/>
  <c r="U26" i="104"/>
  <c r="Y26" i="104"/>
  <c r="AC26" i="104"/>
  <c r="S27" i="104"/>
  <c r="W27" i="104"/>
  <c r="AA27" i="104"/>
  <c r="AE39" i="105"/>
  <c r="P106" i="105"/>
  <c r="C107" i="105" s="1"/>
  <c r="P106" i="110"/>
  <c r="W41" i="105"/>
  <c r="AA41" i="105"/>
  <c r="AD38" i="105"/>
  <c r="AB22" i="103"/>
  <c r="X26" i="104"/>
  <c r="AF26" i="104"/>
  <c r="O106" i="110"/>
  <c r="K108" i="110" s="1"/>
  <c r="V38" i="110"/>
  <c r="Z38" i="110"/>
  <c r="AD38" i="110"/>
  <c r="V39" i="110"/>
  <c r="Z39" i="110"/>
  <c r="AD39" i="110"/>
  <c r="V39" i="105"/>
  <c r="Z39" i="105"/>
  <c r="AD39" i="105"/>
  <c r="S26" i="103"/>
  <c r="W26" i="103"/>
  <c r="AA26" i="103"/>
  <c r="AF26" i="103"/>
  <c r="AF24" i="103"/>
  <c r="AF10" i="104"/>
  <c r="AF28" i="104" s="1"/>
  <c r="V28" i="104"/>
  <c r="Z28" i="104"/>
  <c r="AD28" i="104"/>
  <c r="U41" i="110"/>
  <c r="Y41" i="110"/>
  <c r="AC41" i="110"/>
  <c r="O58" i="103"/>
  <c r="D60" i="103" s="1"/>
  <c r="U22" i="103"/>
  <c r="Y22" i="103"/>
  <c r="AC22" i="103"/>
  <c r="T26" i="103"/>
  <c r="X23" i="103"/>
  <c r="AB26" i="103"/>
  <c r="AE11" i="103"/>
  <c r="AE12" i="103"/>
  <c r="V27" i="103"/>
  <c r="Z27" i="103"/>
  <c r="AD27" i="103"/>
  <c r="AE13" i="103"/>
  <c r="AE26" i="103" s="1"/>
  <c r="AE14" i="103"/>
  <c r="S28" i="104"/>
  <c r="W28" i="104"/>
  <c r="AA28" i="104"/>
  <c r="V26" i="104"/>
  <c r="Z26" i="104"/>
  <c r="AD26" i="104"/>
  <c r="T27" i="104"/>
  <c r="X27" i="104"/>
  <c r="AB24" i="104"/>
  <c r="AE15" i="104"/>
  <c r="AE16" i="104"/>
  <c r="AE17" i="104"/>
  <c r="AE18" i="104"/>
  <c r="AE19" i="104"/>
  <c r="AE20" i="104"/>
  <c r="AE21" i="104"/>
  <c r="V41" i="110"/>
  <c r="Z41" i="110"/>
  <c r="AD41" i="110"/>
  <c r="AD42" i="110" s="1"/>
  <c r="O106" i="105"/>
  <c r="C108" i="105" s="1"/>
  <c r="V28" i="103"/>
  <c r="Z28" i="103"/>
  <c r="AD28" i="103"/>
  <c r="U23" i="103"/>
  <c r="Y23" i="103"/>
  <c r="AC23" i="103"/>
  <c r="S27" i="103"/>
  <c r="W27" i="103"/>
  <c r="AA27" i="103"/>
  <c r="P58" i="103"/>
  <c r="G59" i="103" s="1"/>
  <c r="T28" i="104"/>
  <c r="X25" i="104"/>
  <c r="AB22" i="104"/>
  <c r="S26" i="104"/>
  <c r="W26" i="104"/>
  <c r="AA26" i="104"/>
  <c r="U27" i="104"/>
  <c r="Y27" i="104"/>
  <c r="AC24" i="104"/>
  <c r="J60" i="104"/>
  <c r="AE27" i="104"/>
  <c r="M59" i="104"/>
  <c r="N59" i="104"/>
  <c r="K59" i="104"/>
  <c r="F59" i="104"/>
  <c r="J59" i="104"/>
  <c r="T22" i="104"/>
  <c r="X23" i="104"/>
  <c r="X24" i="104"/>
  <c r="T25" i="104"/>
  <c r="AB27" i="104"/>
  <c r="X28" i="104"/>
  <c r="AC22" i="104"/>
  <c r="U23" i="104"/>
  <c r="AC23" i="104"/>
  <c r="Y24" i="104"/>
  <c r="Y25" i="104"/>
  <c r="AC25" i="104"/>
  <c r="AC27" i="104"/>
  <c r="X22" i="104"/>
  <c r="T23" i="104"/>
  <c r="AB23" i="104"/>
  <c r="T24" i="104"/>
  <c r="AF24" i="104"/>
  <c r="AB25" i="104"/>
  <c r="AB28" i="104"/>
  <c r="U22" i="104"/>
  <c r="Y22" i="104"/>
  <c r="Y23" i="104"/>
  <c r="U24" i="104"/>
  <c r="U25" i="104"/>
  <c r="V22" i="104"/>
  <c r="Z22" i="104"/>
  <c r="AD22" i="104"/>
  <c r="V23" i="104"/>
  <c r="Z23" i="104"/>
  <c r="AD23" i="104"/>
  <c r="V24" i="104"/>
  <c r="Z24" i="104"/>
  <c r="AD24" i="104"/>
  <c r="V25" i="104"/>
  <c r="Z25" i="104"/>
  <c r="AD25" i="104"/>
  <c r="D59" i="104"/>
  <c r="H59" i="104"/>
  <c r="AE10" i="104"/>
  <c r="S22" i="104"/>
  <c r="W22" i="104"/>
  <c r="AA22" i="104"/>
  <c r="S23" i="104"/>
  <c r="W23" i="104"/>
  <c r="AA23" i="104"/>
  <c r="S24" i="104"/>
  <c r="W24" i="104"/>
  <c r="AA24" i="104"/>
  <c r="S25" i="104"/>
  <c r="W25" i="104"/>
  <c r="AA25" i="104"/>
  <c r="E59" i="104"/>
  <c r="I59" i="104"/>
  <c r="AE27" i="103"/>
  <c r="AE24" i="103"/>
  <c r="M59" i="103"/>
  <c r="F60" i="103"/>
  <c r="J60" i="103"/>
  <c r="J59" i="103"/>
  <c r="K59" i="103"/>
  <c r="N59" i="103"/>
  <c r="F59" i="103"/>
  <c r="X22" i="103"/>
  <c r="T23" i="103"/>
  <c r="AF23" i="103"/>
  <c r="X24" i="103"/>
  <c r="T25" i="103"/>
  <c r="AF25" i="103"/>
  <c r="X26" i="103"/>
  <c r="T27" i="103"/>
  <c r="AF27" i="103"/>
  <c r="X28" i="103"/>
  <c r="Y24" i="103"/>
  <c r="U25" i="103"/>
  <c r="Y25" i="103"/>
  <c r="AC25" i="103"/>
  <c r="U26" i="103"/>
  <c r="Y26" i="103"/>
  <c r="AC26" i="103"/>
  <c r="U27" i="103"/>
  <c r="AC27" i="103"/>
  <c r="Y28" i="103"/>
  <c r="T22" i="103"/>
  <c r="AF22" i="103"/>
  <c r="AB23" i="103"/>
  <c r="AB25" i="103"/>
  <c r="AB27" i="103"/>
  <c r="AB28" i="103"/>
  <c r="U28" i="103"/>
  <c r="AC28" i="103"/>
  <c r="V22" i="103"/>
  <c r="Z22" i="103"/>
  <c r="AD22" i="103"/>
  <c r="V23" i="103"/>
  <c r="Z23" i="103"/>
  <c r="AD23" i="103"/>
  <c r="V24" i="103"/>
  <c r="Z24" i="103"/>
  <c r="AD24" i="103"/>
  <c r="V25" i="103"/>
  <c r="Z25" i="103"/>
  <c r="AD25" i="103"/>
  <c r="D59" i="103"/>
  <c r="H59" i="103"/>
  <c r="AE10" i="103"/>
  <c r="S22" i="103"/>
  <c r="W22" i="103"/>
  <c r="AA22" i="103"/>
  <c r="S23" i="103"/>
  <c r="W23" i="103"/>
  <c r="AA23" i="103"/>
  <c r="S24" i="103"/>
  <c r="W24" i="103"/>
  <c r="AA24" i="103"/>
  <c r="S25" i="103"/>
  <c r="W25" i="103"/>
  <c r="AA25" i="103"/>
  <c r="E59" i="103"/>
  <c r="I59" i="103"/>
  <c r="F108" i="105"/>
  <c r="L108" i="105"/>
  <c r="X34" i="105"/>
  <c r="AF34" i="105"/>
  <c r="X35" i="105"/>
  <c r="T36" i="105"/>
  <c r="AB36" i="105"/>
  <c r="T37" i="105"/>
  <c r="AB37" i="105"/>
  <c r="T38" i="105"/>
  <c r="AB38" i="105"/>
  <c r="X40" i="105"/>
  <c r="AF40" i="105"/>
  <c r="X41" i="105"/>
  <c r="Y34" i="105"/>
  <c r="AC34" i="105"/>
  <c r="U35" i="105"/>
  <c r="Y36" i="105"/>
  <c r="Y37" i="105"/>
  <c r="AC37" i="105"/>
  <c r="AC39" i="105"/>
  <c r="U40" i="105"/>
  <c r="U41" i="105"/>
  <c r="U42" i="105" s="1"/>
  <c r="AC41" i="105"/>
  <c r="T34" i="105"/>
  <c r="AB34" i="105"/>
  <c r="X36" i="105"/>
  <c r="AF36" i="105"/>
  <c r="T40" i="105"/>
  <c r="AB40" i="105"/>
  <c r="U34" i="105"/>
  <c r="Y35" i="105"/>
  <c r="AC35" i="105"/>
  <c r="U36" i="105"/>
  <c r="Y40" i="105"/>
  <c r="Y42" i="105" s="1"/>
  <c r="V34" i="105"/>
  <c r="Z34" i="105"/>
  <c r="AD34" i="105"/>
  <c r="V35" i="105"/>
  <c r="Z35" i="105"/>
  <c r="AD35" i="105"/>
  <c r="V36" i="105"/>
  <c r="Z36" i="105"/>
  <c r="AD36" i="105"/>
  <c r="V37" i="105"/>
  <c r="Z37" i="105"/>
  <c r="AD37" i="105"/>
  <c r="V40" i="105"/>
  <c r="V42" i="105" s="1"/>
  <c r="Z40" i="105"/>
  <c r="Z42" i="105" s="1"/>
  <c r="AD40" i="105"/>
  <c r="S34" i="105"/>
  <c r="W34" i="105"/>
  <c r="AA34" i="105"/>
  <c r="AE34" i="105"/>
  <c r="S35" i="105"/>
  <c r="W35" i="105"/>
  <c r="AA35" i="105"/>
  <c r="AE35" i="105"/>
  <c r="S36" i="105"/>
  <c r="W36" i="105"/>
  <c r="AA36" i="105"/>
  <c r="AE36" i="105"/>
  <c r="S37" i="105"/>
  <c r="W37" i="105"/>
  <c r="AA37" i="105"/>
  <c r="AE37" i="105"/>
  <c r="S40" i="105"/>
  <c r="W40" i="105"/>
  <c r="AA40" i="105"/>
  <c r="AA42" i="105" s="1"/>
  <c r="AE40" i="105"/>
  <c r="N107" i="110"/>
  <c r="F107" i="110"/>
  <c r="J107" i="110"/>
  <c r="L108" i="110"/>
  <c r="I108" i="110"/>
  <c r="J108" i="110"/>
  <c r="F108" i="110"/>
  <c r="E108" i="110"/>
  <c r="M107" i="110"/>
  <c r="N108" i="110"/>
  <c r="X34" i="110"/>
  <c r="X35" i="110"/>
  <c r="T36" i="110"/>
  <c r="AB36" i="110"/>
  <c r="X37" i="110"/>
  <c r="T38" i="110"/>
  <c r="AF38" i="110"/>
  <c r="T40" i="110"/>
  <c r="AF40" i="110"/>
  <c r="X41" i="110"/>
  <c r="X42" i="110" s="1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U42" i="110" s="1"/>
  <c r="Y40" i="110"/>
  <c r="Y42" i="110" s="1"/>
  <c r="AC40" i="110"/>
  <c r="C107" i="110"/>
  <c r="G107" i="110"/>
  <c r="K107" i="110"/>
  <c r="T34" i="110"/>
  <c r="AF34" i="110"/>
  <c r="AF36" i="110"/>
  <c r="AB37" i="110"/>
  <c r="T41" i="110"/>
  <c r="AF41" i="110"/>
  <c r="AF42" i="110" s="1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V42" i="110" s="1"/>
  <c r="Z40" i="110"/>
  <c r="AD40" i="110"/>
  <c r="D107" i="110"/>
  <c r="H107" i="110"/>
  <c r="L107" i="110"/>
  <c r="AB34" i="110"/>
  <c r="AB35" i="110"/>
  <c r="X36" i="110"/>
  <c r="AB40" i="110"/>
  <c r="AB42" i="110" s="1"/>
  <c r="AE10" i="110"/>
  <c r="S34" i="110"/>
  <c r="W34" i="110"/>
  <c r="AA34" i="110"/>
  <c r="S35" i="110"/>
  <c r="W35" i="110"/>
  <c r="AA35" i="110"/>
  <c r="S36" i="110"/>
  <c r="W36" i="110"/>
  <c r="AA36" i="110"/>
  <c r="S37" i="110"/>
  <c r="W37" i="110"/>
  <c r="AA37" i="110"/>
  <c r="S40" i="110"/>
  <c r="S42" i="110" s="1"/>
  <c r="W40" i="110"/>
  <c r="W42" i="110" s="1"/>
  <c r="AA40" i="110"/>
  <c r="AA42" i="110" s="1"/>
  <c r="E107" i="110"/>
  <c r="I107" i="110"/>
  <c r="D108" i="105" l="1"/>
  <c r="G108" i="105"/>
  <c r="AE26" i="104"/>
  <c r="G108" i="110"/>
  <c r="H108" i="105"/>
  <c r="L107" i="105"/>
  <c r="N108" i="105"/>
  <c r="F107" i="105"/>
  <c r="H107" i="105"/>
  <c r="AC42" i="105"/>
  <c r="J107" i="105"/>
  <c r="AF22" i="104"/>
  <c r="AE42" i="105"/>
  <c r="I107" i="105"/>
  <c r="D107" i="105"/>
  <c r="K107" i="105"/>
  <c r="M107" i="105"/>
  <c r="N107" i="105"/>
  <c r="S42" i="105"/>
  <c r="AE36" i="110"/>
  <c r="E107" i="105"/>
  <c r="AD42" i="105"/>
  <c r="G107" i="105"/>
  <c r="T42" i="105"/>
  <c r="AF41" i="105"/>
  <c r="I108" i="105"/>
  <c r="K108" i="105"/>
  <c r="AE24" i="104"/>
  <c r="D108" i="110"/>
  <c r="AE38" i="110"/>
  <c r="J108" i="105"/>
  <c r="E108" i="105"/>
  <c r="AF25" i="104"/>
  <c r="AF39" i="105"/>
  <c r="I60" i="104"/>
  <c r="C60" i="104"/>
  <c r="AC42" i="110"/>
  <c r="W42" i="105"/>
  <c r="N60" i="103"/>
  <c r="C59" i="103"/>
  <c r="AE23" i="103"/>
  <c r="G60" i="103"/>
  <c r="I60" i="103"/>
  <c r="L60" i="103"/>
  <c r="N60" i="104"/>
  <c r="C59" i="104"/>
  <c r="AE23" i="104"/>
  <c r="E60" i="104"/>
  <c r="D60" i="104"/>
  <c r="G60" i="104"/>
  <c r="C108" i="110"/>
  <c r="H108" i="110"/>
  <c r="C60" i="103"/>
  <c r="H60" i="104"/>
  <c r="Z42" i="110"/>
  <c r="L59" i="103"/>
  <c r="H60" i="103"/>
  <c r="K60" i="103"/>
  <c r="E60" i="103"/>
  <c r="L59" i="104"/>
  <c r="L60" i="104"/>
  <c r="F60" i="104"/>
  <c r="AE28" i="104"/>
  <c r="AE25" i="104"/>
  <c r="AE22" i="104"/>
  <c r="AE28" i="103"/>
  <c r="AE25" i="103"/>
  <c r="AE22" i="103"/>
  <c r="AF42" i="105"/>
  <c r="X42" i="105"/>
  <c r="AE41" i="110"/>
  <c r="AE40" i="110"/>
  <c r="AE37" i="110"/>
  <c r="AE34" i="110"/>
  <c r="T42" i="110"/>
  <c r="AE42" i="110" l="1"/>
  <c r="N58" i="95" l="1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O54" i="95"/>
  <c r="P53" i="95"/>
  <c r="O53" i="95"/>
  <c r="P52" i="95"/>
  <c r="O52" i="95"/>
  <c r="P51" i="95"/>
  <c r="O51" i="95"/>
  <c r="P50" i="95"/>
  <c r="O50" i="95"/>
  <c r="P49" i="95"/>
  <c r="O49" i="95"/>
  <c r="P48" i="95"/>
  <c r="O48" i="95"/>
  <c r="P47" i="95"/>
  <c r="O47" i="95"/>
  <c r="P46" i="95"/>
  <c r="O46" i="95"/>
  <c r="P45" i="95"/>
  <c r="O45" i="95"/>
  <c r="P44" i="95"/>
  <c r="O44" i="95"/>
  <c r="P43" i="95"/>
  <c r="O43" i="95"/>
  <c r="P42" i="95"/>
  <c r="O42" i="95"/>
  <c r="P41" i="95"/>
  <c r="O41" i="95"/>
  <c r="P40" i="95"/>
  <c r="O40" i="95"/>
  <c r="P39" i="95"/>
  <c r="O39" i="95"/>
  <c r="P38" i="95"/>
  <c r="O38" i="95"/>
  <c r="P37" i="95"/>
  <c r="O37" i="95"/>
  <c r="P36" i="95"/>
  <c r="O36" i="95"/>
  <c r="P35" i="95"/>
  <c r="O35" i="95"/>
  <c r="P34" i="95"/>
  <c r="O34" i="95"/>
  <c r="P33" i="95"/>
  <c r="O33" i="95"/>
  <c r="P32" i="95"/>
  <c r="O32" i="95"/>
  <c r="P31" i="95"/>
  <c r="O31" i="95"/>
  <c r="P30" i="95"/>
  <c r="O30" i="95"/>
  <c r="P29" i="95"/>
  <c r="O29" i="95"/>
  <c r="P28" i="95"/>
  <c r="O28" i="95"/>
  <c r="P27" i="95"/>
  <c r="O27" i="95"/>
  <c r="P26" i="95"/>
  <c r="O26" i="95"/>
  <c r="P25" i="95"/>
  <c r="O25" i="95"/>
  <c r="P24" i="95"/>
  <c r="O24" i="95"/>
  <c r="P23" i="95"/>
  <c r="O23" i="95"/>
  <c r="P22" i="95"/>
  <c r="O22" i="95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D19" i="95"/>
  <c r="AD27" i="95" s="1"/>
  <c r="AC19" i="95"/>
  <c r="AC27" i="95" s="1"/>
  <c r="AB19" i="95"/>
  <c r="AA19" i="95"/>
  <c r="Z19" i="95"/>
  <c r="Y19" i="95"/>
  <c r="X19" i="95"/>
  <c r="W19" i="95"/>
  <c r="W27" i="95" s="1"/>
  <c r="V19" i="95"/>
  <c r="V27" i="95" s="1"/>
  <c r="U19" i="95"/>
  <c r="U27" i="95" s="1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O18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D13" i="95"/>
  <c r="AC13" i="95"/>
  <c r="AB13" i="95"/>
  <c r="AA13" i="95"/>
  <c r="AA26" i="95" s="1"/>
  <c r="Z13" i="95"/>
  <c r="Z26" i="95" s="1"/>
  <c r="Y13" i="95"/>
  <c r="X13" i="95"/>
  <c r="W13" i="95"/>
  <c r="V13" i="95"/>
  <c r="U13" i="95"/>
  <c r="T13" i="95"/>
  <c r="S13" i="95"/>
  <c r="S26" i="95" s="1"/>
  <c r="P13" i="95"/>
  <c r="O13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B10" i="95"/>
  <c r="AB25" i="95" s="1"/>
  <c r="AA10" i="95"/>
  <c r="Z10" i="95"/>
  <c r="Y10" i="95"/>
  <c r="X10" i="95"/>
  <c r="W10" i="95"/>
  <c r="V10" i="95"/>
  <c r="U10" i="95"/>
  <c r="T10" i="95"/>
  <c r="T28" i="95" s="1"/>
  <c r="S10" i="95"/>
  <c r="P10" i="95"/>
  <c r="O10" i="95"/>
  <c r="N58" i="96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O54" i="96"/>
  <c r="AE21" i="96" s="1"/>
  <c r="P53" i="96"/>
  <c r="O53" i="96"/>
  <c r="P52" i="96"/>
  <c r="O52" i="96"/>
  <c r="P51" i="96"/>
  <c r="O51" i="96"/>
  <c r="P50" i="96"/>
  <c r="O50" i="96"/>
  <c r="AE20" i="96" s="1"/>
  <c r="P49" i="96"/>
  <c r="AF19" i="96" s="1"/>
  <c r="AF27" i="96" s="1"/>
  <c r="O49" i="96"/>
  <c r="P48" i="96"/>
  <c r="O48" i="96"/>
  <c r="P47" i="96"/>
  <c r="O47" i="96"/>
  <c r="P46" i="96"/>
  <c r="O46" i="96"/>
  <c r="AE19" i="96" s="1"/>
  <c r="AE27" i="96" s="1"/>
  <c r="P45" i="96"/>
  <c r="O45" i="96"/>
  <c r="P44" i="96"/>
  <c r="O44" i="96"/>
  <c r="P43" i="96"/>
  <c r="O43" i="96"/>
  <c r="P42" i="96"/>
  <c r="AF18" i="96" s="1"/>
  <c r="O42" i="96"/>
  <c r="AE18" i="96" s="1"/>
  <c r="P41" i="96"/>
  <c r="O41" i="96"/>
  <c r="P40" i="96"/>
  <c r="O40" i="96"/>
  <c r="P39" i="96"/>
  <c r="O39" i="96"/>
  <c r="P38" i="96"/>
  <c r="AF17" i="96" s="1"/>
  <c r="O38" i="96"/>
  <c r="AE17" i="96" s="1"/>
  <c r="P37" i="96"/>
  <c r="O37" i="96"/>
  <c r="P36" i="96"/>
  <c r="O36" i="96"/>
  <c r="P35" i="96"/>
  <c r="O35" i="96"/>
  <c r="P34" i="96"/>
  <c r="AF16" i="96" s="1"/>
  <c r="O34" i="96"/>
  <c r="AE16" i="96" s="1"/>
  <c r="P33" i="96"/>
  <c r="O33" i="96"/>
  <c r="P32" i="96"/>
  <c r="O32" i="96"/>
  <c r="P31" i="96"/>
  <c r="O31" i="96"/>
  <c r="P30" i="96"/>
  <c r="AF15" i="96" s="1"/>
  <c r="O30" i="96"/>
  <c r="AE15" i="96" s="1"/>
  <c r="P29" i="96"/>
  <c r="O29" i="96"/>
  <c r="P28" i="96"/>
  <c r="O28" i="96"/>
  <c r="P27" i="96"/>
  <c r="O27" i="96"/>
  <c r="P26" i="96"/>
  <c r="O26" i="96"/>
  <c r="AE14" i="96" s="1"/>
  <c r="P25" i="96"/>
  <c r="O25" i="96"/>
  <c r="P24" i="96"/>
  <c r="O24" i="96"/>
  <c r="P23" i="96"/>
  <c r="O23" i="96"/>
  <c r="P22" i="96"/>
  <c r="O22" i="96"/>
  <c r="AE13" i="96" s="1"/>
  <c r="AE26" i="96" s="1"/>
  <c r="AF21" i="96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F20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O20" i="96"/>
  <c r="AD19" i="96"/>
  <c r="AD27" i="96" s="1"/>
  <c r="AC19" i="96"/>
  <c r="AB19" i="96"/>
  <c r="AB24" i="96" s="1"/>
  <c r="AA19" i="96"/>
  <c r="AA27" i="96" s="1"/>
  <c r="Z19" i="96"/>
  <c r="Z27" i="96" s="1"/>
  <c r="Y19" i="96"/>
  <c r="X19" i="96"/>
  <c r="W19" i="96"/>
  <c r="V19" i="96"/>
  <c r="V27" i="96" s="1"/>
  <c r="U19" i="96"/>
  <c r="T19" i="96"/>
  <c r="T27" i="96" s="1"/>
  <c r="S19" i="96"/>
  <c r="S27" i="96" s="1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O18" i="96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AF11" i="96" s="1"/>
  <c r="O15" i="96"/>
  <c r="AF14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E11" i="96" s="1"/>
  <c r="AF13" i="96"/>
  <c r="AD13" i="96"/>
  <c r="AD26" i="96" s="1"/>
  <c r="AC13" i="96"/>
  <c r="AB13" i="96"/>
  <c r="AA13" i="96"/>
  <c r="Z13" i="96"/>
  <c r="Y13" i="96"/>
  <c r="X13" i="96"/>
  <c r="X23" i="96" s="1"/>
  <c r="W13" i="96"/>
  <c r="W26" i="96" s="1"/>
  <c r="V13" i="96"/>
  <c r="V26" i="96" s="1"/>
  <c r="U13" i="96"/>
  <c r="T13" i="96"/>
  <c r="S13" i="96"/>
  <c r="P13" i="96"/>
  <c r="O13" i="96"/>
  <c r="AF12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AA28" i="96" s="1"/>
  <c r="Z10" i="96"/>
  <c r="Y10" i="96"/>
  <c r="X10" i="96"/>
  <c r="W10" i="96"/>
  <c r="V10" i="96"/>
  <c r="U10" i="96"/>
  <c r="T10" i="96"/>
  <c r="S10" i="96"/>
  <c r="S28" i="96" s="1"/>
  <c r="P10" i="96"/>
  <c r="AF10" i="96" s="1"/>
  <c r="O10" i="96"/>
  <c r="K6" i="96"/>
  <c r="K5" i="96"/>
  <c r="G5" i="96"/>
  <c r="D5" i="96"/>
  <c r="C3" i="96"/>
  <c r="AF28" i="96" l="1"/>
  <c r="W27" i="96"/>
  <c r="X24" i="95"/>
  <c r="W28" i="96"/>
  <c r="Z26" i="96"/>
  <c r="X27" i="96"/>
  <c r="W28" i="95"/>
  <c r="U26" i="95"/>
  <c r="AC26" i="95"/>
  <c r="Y27" i="95"/>
  <c r="V28" i="96"/>
  <c r="Y26" i="96"/>
  <c r="S26" i="96"/>
  <c r="AA26" i="96"/>
  <c r="Y27" i="96"/>
  <c r="X22" i="95"/>
  <c r="V26" i="95"/>
  <c r="AD26" i="95"/>
  <c r="Z27" i="95"/>
  <c r="T23" i="95"/>
  <c r="T26" i="96"/>
  <c r="AB26" i="96"/>
  <c r="AE12" i="96"/>
  <c r="W26" i="95"/>
  <c r="AE11" i="95"/>
  <c r="AE12" i="95"/>
  <c r="S27" i="95"/>
  <c r="AA27" i="95"/>
  <c r="AE13" i="95"/>
  <c r="AE14" i="95"/>
  <c r="AE15" i="95"/>
  <c r="AE16" i="95"/>
  <c r="AE23" i="95" s="1"/>
  <c r="AE17" i="95"/>
  <c r="AE18" i="95"/>
  <c r="AE19" i="95"/>
  <c r="AE20" i="95"/>
  <c r="AE21" i="95"/>
  <c r="AD28" i="96"/>
  <c r="AB26" i="95"/>
  <c r="Z28" i="96"/>
  <c r="U26" i="96"/>
  <c r="AC26" i="96"/>
  <c r="AF10" i="95"/>
  <c r="X26" i="95"/>
  <c r="AF11" i="95"/>
  <c r="AF12" i="95"/>
  <c r="T27" i="95"/>
  <c r="AB27" i="95"/>
  <c r="AF13" i="95"/>
  <c r="AF14" i="95"/>
  <c r="AF16" i="95"/>
  <c r="AF17" i="95"/>
  <c r="AF18" i="95"/>
  <c r="AF19" i="95"/>
  <c r="AF20" i="95"/>
  <c r="AF21" i="95"/>
  <c r="AF27" i="95" s="1"/>
  <c r="S28" i="95"/>
  <c r="AA28" i="95"/>
  <c r="Y26" i="95"/>
  <c r="AF23" i="96"/>
  <c r="U27" i="96"/>
  <c r="AC27" i="96"/>
  <c r="K60" i="95"/>
  <c r="AB22" i="96"/>
  <c r="O58" i="95"/>
  <c r="H60" i="95" s="1"/>
  <c r="AC28" i="95"/>
  <c r="O58" i="96"/>
  <c r="G60" i="96" s="1"/>
  <c r="U28" i="96"/>
  <c r="Y28" i="96"/>
  <c r="AC28" i="96"/>
  <c r="P58" i="96"/>
  <c r="F59" i="96" s="1"/>
  <c r="V28" i="95"/>
  <c r="Z28" i="95"/>
  <c r="AD28" i="95"/>
  <c r="G60" i="95"/>
  <c r="T28" i="96"/>
  <c r="X28" i="96"/>
  <c r="K60" i="96"/>
  <c r="U28" i="95"/>
  <c r="Y28" i="95"/>
  <c r="P58" i="95"/>
  <c r="F59" i="95" s="1"/>
  <c r="AF15" i="95"/>
  <c r="AF26" i="95" s="1"/>
  <c r="E60" i="95"/>
  <c r="I60" i="95"/>
  <c r="M59" i="95"/>
  <c r="F60" i="95"/>
  <c r="J60" i="95"/>
  <c r="N59" i="95"/>
  <c r="D60" i="95"/>
  <c r="L60" i="95"/>
  <c r="N60" i="95"/>
  <c r="T22" i="95"/>
  <c r="AF22" i="95"/>
  <c r="X23" i="95"/>
  <c r="T24" i="95"/>
  <c r="AB24" i="95"/>
  <c r="X25" i="95"/>
  <c r="T26" i="95"/>
  <c r="X28" i="95"/>
  <c r="U22" i="95"/>
  <c r="Y22" i="95"/>
  <c r="AC22" i="95"/>
  <c r="U23" i="95"/>
  <c r="Y23" i="95"/>
  <c r="AC23" i="95"/>
  <c r="U24" i="95"/>
  <c r="Y24" i="95"/>
  <c r="AC24" i="95"/>
  <c r="U25" i="95"/>
  <c r="Y25" i="95"/>
  <c r="AC25" i="95"/>
  <c r="C59" i="95"/>
  <c r="G59" i="95"/>
  <c r="AB22" i="95"/>
  <c r="AB23" i="95"/>
  <c r="X27" i="95"/>
  <c r="AB28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H59" i="95"/>
  <c r="L59" i="95"/>
  <c r="T25" i="95"/>
  <c r="AE10" i="95"/>
  <c r="S22" i="95"/>
  <c r="W22" i="95"/>
  <c r="AA22" i="95"/>
  <c r="S23" i="95"/>
  <c r="W23" i="95"/>
  <c r="AA23" i="95"/>
  <c r="S24" i="95"/>
  <c r="W24" i="95"/>
  <c r="AA24" i="95"/>
  <c r="AE24" i="95"/>
  <c r="S25" i="95"/>
  <c r="W25" i="95"/>
  <c r="AA25" i="95"/>
  <c r="I59" i="95"/>
  <c r="F60" i="96"/>
  <c r="E60" i="96"/>
  <c r="N59" i="96"/>
  <c r="T22" i="96"/>
  <c r="AF22" i="96"/>
  <c r="AB23" i="96"/>
  <c r="T24" i="96"/>
  <c r="X24" i="96"/>
  <c r="T25" i="96"/>
  <c r="AF25" i="96"/>
  <c r="AF26" i="96"/>
  <c r="AB27" i="96"/>
  <c r="AB28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K59" i="96"/>
  <c r="X22" i="96"/>
  <c r="T23" i="96"/>
  <c r="AF24" i="96"/>
  <c r="AB25" i="96"/>
  <c r="X26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L59" i="96"/>
  <c r="X25" i="96"/>
  <c r="AE10" i="96"/>
  <c r="S22" i="96"/>
  <c r="W22" i="96"/>
  <c r="AA22" i="96"/>
  <c r="S23" i="96"/>
  <c r="W23" i="96"/>
  <c r="AA23" i="96"/>
  <c r="AE23" i="96"/>
  <c r="S24" i="96"/>
  <c r="W24" i="96"/>
  <c r="AA24" i="96"/>
  <c r="AE24" i="96"/>
  <c r="S25" i="96"/>
  <c r="W25" i="96"/>
  <c r="AA25" i="96"/>
  <c r="C3" i="94"/>
  <c r="AF24" i="95" l="1"/>
  <c r="AE26" i="95"/>
  <c r="AF25" i="95"/>
  <c r="AE27" i="95"/>
  <c r="H59" i="96"/>
  <c r="G59" i="96"/>
  <c r="N60" i="96"/>
  <c r="J59" i="96"/>
  <c r="I59" i="96"/>
  <c r="D59" i="96"/>
  <c r="C59" i="96"/>
  <c r="H60" i="96"/>
  <c r="M59" i="96"/>
  <c r="D60" i="96"/>
  <c r="E59" i="95"/>
  <c r="D59" i="95"/>
  <c r="AF28" i="95"/>
  <c r="C60" i="95"/>
  <c r="L60" i="96"/>
  <c r="J59" i="95"/>
  <c r="C60" i="96"/>
  <c r="E59" i="96"/>
  <c r="I60" i="96"/>
  <c r="J60" i="96"/>
  <c r="AF23" i="95"/>
  <c r="K59" i="95"/>
  <c r="AE28" i="95"/>
  <c r="AE25" i="95"/>
  <c r="AE22" i="95"/>
  <c r="AE28" i="96"/>
  <c r="AE25" i="96"/>
  <c r="AE22" i="96"/>
  <c r="K6" i="98"/>
  <c r="K6" i="99" s="1"/>
  <c r="K6" i="100" s="1"/>
  <c r="K6" i="101" s="1"/>
  <c r="K6" i="109" s="1"/>
  <c r="K5" i="99"/>
  <c r="K5" i="100" s="1"/>
  <c r="K5" i="101" s="1"/>
  <c r="K5" i="109" s="1"/>
  <c r="G5" i="98"/>
  <c r="G5" i="99" s="1"/>
  <c r="G5" i="100" s="1"/>
  <c r="G5" i="101" s="1"/>
  <c r="G5" i="109" s="1"/>
  <c r="K6" i="97"/>
  <c r="K5" i="97"/>
  <c r="G5" i="97"/>
  <c r="K6" i="94"/>
  <c r="G5" i="94"/>
  <c r="G6" i="108"/>
  <c r="G6" i="98"/>
  <c r="G6" i="109"/>
  <c r="G6" i="107"/>
  <c r="G6" i="101"/>
  <c r="G6" i="99"/>
  <c r="G6" i="97"/>
  <c r="D6" i="108"/>
  <c r="D6" i="109"/>
  <c r="D6" i="100"/>
  <c r="D6" i="98"/>
  <c r="D6" i="107"/>
  <c r="D6" i="97"/>
  <c r="D5" i="109"/>
  <c r="D5" i="100"/>
  <c r="D5" i="98"/>
  <c r="D5" i="94"/>
  <c r="K5" i="108" l="1"/>
  <c r="K5" i="111" s="1"/>
  <c r="K5" i="107"/>
  <c r="K6" i="107"/>
  <c r="K6" i="108"/>
  <c r="K6" i="111" s="1"/>
  <c r="G5" i="107"/>
  <c r="G5" i="108"/>
  <c r="G5" i="111" s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1"/>
  <c r="C3" i="100"/>
  <c r="C3" i="99"/>
  <c r="C3" i="98"/>
  <c r="C3" i="97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Z19" i="99"/>
  <c r="Y19" i="99"/>
  <c r="X19" i="99"/>
  <c r="W19" i="99"/>
  <c r="W27" i="99" s="1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W19" i="97"/>
  <c r="V19" i="97"/>
  <c r="U19" i="97"/>
  <c r="T19" i="97"/>
  <c r="T27" i="97" s="1"/>
  <c r="S19" i="97"/>
  <c r="AD18" i="97"/>
  <c r="W17" i="97"/>
  <c r="AC11" i="97"/>
  <c r="X27" i="97" l="1"/>
  <c r="V27" i="99"/>
  <c r="AD27" i="99"/>
  <c r="V39" i="101"/>
  <c r="AC39" i="109"/>
  <c r="AD38" i="101"/>
  <c r="Y39" i="109"/>
  <c r="V27" i="97"/>
  <c r="X26" i="98"/>
  <c r="AA27" i="99"/>
  <c r="AA39" i="101"/>
  <c r="Z39" i="101"/>
  <c r="AB39" i="101"/>
  <c r="AD39" i="101"/>
  <c r="C3" i="108"/>
  <c r="C3" i="111"/>
  <c r="C3" i="107"/>
  <c r="AD16" i="97"/>
  <c r="AD23" i="97" s="1"/>
  <c r="U20" i="100"/>
  <c r="T18" i="98"/>
  <c r="T26" i="98" s="1"/>
  <c r="Z21" i="98"/>
  <c r="AB20" i="99"/>
  <c r="AB27" i="99" s="1"/>
  <c r="X21" i="101"/>
  <c r="X39" i="101" s="1"/>
  <c r="U22" i="109"/>
  <c r="V14" i="101"/>
  <c r="V38" i="101" s="1"/>
  <c r="V14" i="97"/>
  <c r="S17" i="101"/>
  <c r="Z27" i="99"/>
  <c r="AC32" i="109"/>
  <c r="AB17" i="98"/>
  <c r="AB23" i="98" s="1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X12" i="10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X16" i="97"/>
  <c r="X26" i="97" s="1"/>
  <c r="S11" i="109"/>
  <c r="AC17" i="109"/>
  <c r="V14" i="109"/>
  <c r="L10" i="108"/>
  <c r="H10" i="108"/>
  <c r="D10" i="108"/>
  <c r="V13" i="109"/>
  <c r="AD13" i="109"/>
  <c r="V15" i="109"/>
  <c r="AD15" i="109"/>
  <c r="C10" i="108"/>
  <c r="AA11" i="109"/>
  <c r="Z12" i="109"/>
  <c r="Z14" i="109"/>
  <c r="AD13" i="99"/>
  <c r="AD26" i="99" s="1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V18" i="98"/>
  <c r="U18" i="94"/>
  <c r="AB18" i="97"/>
  <c r="AB26" i="97" s="1"/>
  <c r="AC20" i="99"/>
  <c r="AC24" i="99" s="1"/>
  <c r="AD20" i="98"/>
  <c r="AD27" i="98" s="1"/>
  <c r="T39" i="101"/>
  <c r="W16" i="99"/>
  <c r="Y20" i="99"/>
  <c r="Y27" i="99" s="1"/>
  <c r="AC16" i="98"/>
  <c r="AC23" i="98" s="1"/>
  <c r="AD13" i="98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S22" i="101"/>
  <c r="S23" i="101"/>
  <c r="V14" i="98"/>
  <c r="AA16" i="100"/>
  <c r="AA26" i="100" s="1"/>
  <c r="V14" i="99"/>
  <c r="V26" i="99" s="1"/>
  <c r="T21" i="98"/>
  <c r="T27" i="98" s="1"/>
  <c r="U15" i="101"/>
  <c r="P105" i="101"/>
  <c r="Y17" i="94"/>
  <c r="P77" i="101"/>
  <c r="P69" i="101"/>
  <c r="P91" i="101"/>
  <c r="U15" i="94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AC14" i="94"/>
  <c r="Y13" i="100"/>
  <c r="Y15" i="97"/>
  <c r="Y23" i="97" s="1"/>
  <c r="W20" i="98"/>
  <c r="W24" i="98" s="1"/>
  <c r="Y14" i="94"/>
  <c r="Y15" i="101"/>
  <c r="AA17" i="94"/>
  <c r="W16" i="94"/>
  <c r="AC20" i="94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B26" i="98" l="1"/>
  <c r="AF25" i="101"/>
  <c r="AF28" i="101"/>
  <c r="U38" i="109"/>
  <c r="AF32" i="101"/>
  <c r="AF33" i="101"/>
  <c r="T23" i="98"/>
  <c r="Z24" i="98"/>
  <c r="V35" i="101"/>
  <c r="AB24" i="99"/>
  <c r="V26" i="97"/>
  <c r="U27" i="94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35" i="109"/>
  <c r="K10" i="111"/>
  <c r="G10" i="111"/>
  <c r="U26" i="99"/>
  <c r="X24" i="99"/>
  <c r="U23" i="99"/>
  <c r="T38" i="109"/>
  <c r="AD38" i="109"/>
  <c r="Z38" i="109"/>
  <c r="AA35" i="109"/>
  <c r="V35" i="109"/>
  <c r="S35" i="109"/>
  <c r="V24" i="98"/>
  <c r="X23" i="97"/>
  <c r="AD23" i="99"/>
  <c r="AB38" i="109"/>
  <c r="AD36" i="109"/>
  <c r="Z39" i="109"/>
  <c r="S26" i="97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AC27" i="99"/>
  <c r="W38" i="101"/>
  <c r="U35" i="101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V23" i="97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O57" i="107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P10" i="107"/>
  <c r="O10" i="107"/>
  <c r="AD26" i="98"/>
  <c r="AD24" i="98"/>
  <c r="AC26" i="98"/>
  <c r="AA23" i="100"/>
  <c r="O106" i="101"/>
  <c r="C108" i="101" s="1"/>
  <c r="Y24" i="99"/>
  <c r="P106" i="101"/>
  <c r="AB23" i="97"/>
  <c r="W26" i="99"/>
  <c r="U26" i="94"/>
  <c r="V26" i="98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Y24" i="100"/>
  <c r="V23" i="99"/>
  <c r="V23" i="98"/>
  <c r="Z27" i="98"/>
  <c r="T24" i="98"/>
  <c r="Y27" i="94"/>
  <c r="Y26" i="94"/>
  <c r="Y26" i="97"/>
  <c r="AC23" i="94"/>
  <c r="W27" i="98"/>
  <c r="AC27" i="94"/>
  <c r="AA23" i="94"/>
  <c r="X38" i="101"/>
  <c r="Y23" i="94"/>
  <c r="Y38" i="101"/>
  <c r="W26" i="94"/>
  <c r="X35" i="101"/>
  <c r="AB38" i="101"/>
  <c r="T38" i="101"/>
  <c r="AB35" i="101"/>
  <c r="T35" i="101"/>
  <c r="U23" i="94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T25" i="94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X42" i="109" l="1"/>
  <c r="V22" i="93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H107" i="108"/>
  <c r="H108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24" i="100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<sst xmlns="http://schemas.openxmlformats.org/spreadsheetml/2006/main" count="2338" uniqueCount="186">
  <si>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</si>
  <si>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</si>
  <si>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</si>
  <si>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</si>
  <si>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</si>
  <si>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</si>
  <si>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</si>
  <si>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</si>
  <si>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</si>
  <si>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</si>
  <si>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</si>
  <si>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</si>
  <si>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</si>
  <si>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</si>
  <si>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</si>
  <si>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</si>
  <si>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</si>
  <si>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</si>
  <si>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</si>
  <si>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</si>
  <si>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</si>
  <si>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</si>
  <si>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</si>
  <si>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</si>
  <si>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</si>
  <si>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</si>
  <si>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</si>
  <si>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</si>
  <si>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</si>
  <si>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</si>
  <si>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</si>
  <si>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</si>
  <si>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</si>
  <si>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</si>
  <si>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</si>
  <si>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</si>
  <si>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</si>
  <si>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</si>
  <si>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</si>
  <si>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</si>
  <si>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</si>
  <si>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</si>
  <si>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</si>
  <si>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</si>
  <si>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</si>
  <si>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</si>
  <si>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</si>
  <si>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</si>
  <si>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</si>
  <si>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</si>
  <si>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</si>
  <si>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</si>
  <si>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</si>
  <si>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</si>
  <si>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</si>
  <si>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</si>
  <si>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</si>
  <si>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</si>
  <si>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</si>
  <si>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</si>
  <si>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</si>
  <si>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</si>
  <si>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</si>
  <si>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</si>
  <si>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</si>
  <si>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</si>
  <si>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</si>
  <si>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</si>
  <si>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</si>
  <si>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</si>
  <si>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</si>
  <si>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</si>
  <si>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</si>
  <si>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</si>
  <si>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</si>
  <si>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</si>
  <si>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</si>
  <si>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</si>
  <si>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</si>
  <si>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</si>
  <si>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</si>
  <si>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</si>
  <si>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</si>
  <si>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</si>
  <si>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</si>
  <si>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</si>
  <si>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</si>
  <si>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</si>
  <si>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</si>
  <si>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</si>
  <si>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</si>
  <si>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</si>
  <si>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</si>
  <si>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</si>
  <si>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</si>
  <si>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</si>
  <si>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</si>
  <si>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</si>
  <si>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</si>
  <si>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</si>
  <si>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</si>
  <si>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</si>
  <si>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</si>
  <si>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</si>
  <si>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</si>
  <si>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</si>
  <si>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</si>
  <si>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</si>
  <si>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</si>
  <si>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</si>
  <si>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</si>
  <si>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</si>
  <si>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</si>
  <si>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</si>
  <si>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</si>
  <si>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</si>
  <si>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</si>
  <si>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</si>
  <si>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</si>
  <si>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</si>
  <si>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</si>
  <si>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</si>
  <si>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</si>
  <si>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</si>
  <si>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</si>
  <si>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</si>
  <si>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</si>
  <si>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</si>
  <si>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</si>
  <si>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</si>
  <si>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</si>
  <si>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</si>
  <si>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</si>
  <si>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</si>
  <si>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</si>
  <si>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</si>
  <si>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</si>
  <si>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</si>
  <si>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</si>
  <si>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</si>
  <si>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</si>
  <si>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</si>
  <si>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</si>
  <si>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</si>
  <si>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</si>
  <si>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</si>
  <si>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</si>
  <si>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</si>
  <si>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</si>
  <si>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</si>
  <si>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</si>
  <si>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</si>
  <si>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</si>
  <si>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</si>
  <si>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</si>
  <si>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</si>
  <si>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</si>
  <si>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</si>
  <si>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</si>
  <si>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</si>
  <si>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</si>
  <si>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</si>
  <si>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</si>
  <si>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23.09.19</t>
  </si>
  <si>
    <t>BWEYA</t>
  </si>
  <si>
    <t>KAJANSI</t>
  </si>
  <si>
    <t>Kasoma John Paul</t>
  </si>
  <si>
    <t>Beatrice</t>
  </si>
  <si>
    <t>Munyonyo Spur RD</t>
  </si>
  <si>
    <t>Kasajja Laston</t>
  </si>
  <si>
    <t>MCC-C2-STNO 56 -Munyonyo spur</t>
  </si>
  <si>
    <t>KAJJANSI</t>
  </si>
  <si>
    <t>MUNYONYO</t>
  </si>
  <si>
    <t>MCC - C2- STN56- MUNYONYO SPUR</t>
  </si>
  <si>
    <t>24.09.19</t>
  </si>
  <si>
    <t>KAWALI (56)</t>
  </si>
  <si>
    <t>KASOMA JOHN</t>
  </si>
  <si>
    <t>BEATRICE</t>
  </si>
  <si>
    <t>25.09.19</t>
  </si>
  <si>
    <t>Akello Rosette</t>
  </si>
  <si>
    <t>28.09.19</t>
  </si>
  <si>
    <t>29.09.19</t>
  </si>
  <si>
    <t>26.09.19</t>
  </si>
  <si>
    <t>27.09.19</t>
  </si>
  <si>
    <t xml:space="preserve"> 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</si>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</sst>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0" fontId="0" fillId="2" borderId="4" xfId="0" applyFill="1" applyBorder="1"/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Bweya- Kajansi'!$AE$9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'23.09.19 Bweya- 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Bweya- Kajansi'!$AE$10:$AE$21</c:f>
              <c:numCache>
                <c:formatCode>0</c:formatCode>
                <c:ptCount val="12"/>
                <c:pt idx="0">
                  <c:v>61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47</c:v>
                </c:pt>
                <c:pt idx="5">
                  <c:v>49</c:v>
                </c:pt>
                <c:pt idx="6">
                  <c:v>52</c:v>
                </c:pt>
                <c:pt idx="7">
                  <c:v>35</c:v>
                </c:pt>
                <c:pt idx="8">
                  <c:v>35</c:v>
                </c:pt>
                <c:pt idx="9">
                  <c:v>49</c:v>
                </c:pt>
                <c:pt idx="10">
                  <c:v>32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'23.09.19 Bweya- Kajansi'!$AF$9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'23.09.19 Bweya- 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Bweya- Kajansi'!$AF$10:$AF$21</c:f>
              <c:numCache>
                <c:formatCode>0</c:formatCode>
                <c:ptCount val="12"/>
                <c:pt idx="0">
                  <c:v>158</c:v>
                </c:pt>
                <c:pt idx="1">
                  <c:v>240</c:v>
                </c:pt>
                <c:pt idx="2">
                  <c:v>206</c:v>
                </c:pt>
                <c:pt idx="3">
                  <c:v>216</c:v>
                </c:pt>
                <c:pt idx="4">
                  <c:v>176</c:v>
                </c:pt>
                <c:pt idx="5">
                  <c:v>169</c:v>
                </c:pt>
                <c:pt idx="6">
                  <c:v>134</c:v>
                </c:pt>
                <c:pt idx="7">
                  <c:v>104</c:v>
                </c:pt>
                <c:pt idx="8">
                  <c:v>133</c:v>
                </c:pt>
                <c:pt idx="9">
                  <c:v>105</c:v>
                </c:pt>
                <c:pt idx="10">
                  <c:v>130</c:v>
                </c:pt>
                <c:pt idx="11">
                  <c:v>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23712"/>
        <c:axId val="133853184"/>
      </c:lineChart>
      <c:catAx>
        <c:axId val="133523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853184"/>
        <c:crosses val="autoZero"/>
        <c:auto val="1"/>
        <c:lblAlgn val="ctr"/>
        <c:lblOffset val="100"/>
        <c:noMultiLvlLbl val="0"/>
      </c:catAx>
      <c:valAx>
        <c:axId val="133853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52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Bweya- 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Bweya- Kajansi'!$C$59:$N$59</c:f>
              <c:numCache>
                <c:formatCode>0.0%</c:formatCode>
                <c:ptCount val="12"/>
                <c:pt idx="0">
                  <c:v>0.13422818791946309</c:v>
                </c:pt>
                <c:pt idx="1">
                  <c:v>4.3366029943211148E-2</c:v>
                </c:pt>
                <c:pt idx="2">
                  <c:v>1.4455343314403717E-2</c:v>
                </c:pt>
                <c:pt idx="3">
                  <c:v>2.1166752710376872E-2</c:v>
                </c:pt>
                <c:pt idx="4">
                  <c:v>2.0650490449148169E-3</c:v>
                </c:pt>
                <c:pt idx="5">
                  <c:v>5.1626226122870422E-4</c:v>
                </c:pt>
                <c:pt idx="6">
                  <c:v>6.2467733608673207E-2</c:v>
                </c:pt>
                <c:pt idx="7">
                  <c:v>6.7114093959731542E-3</c:v>
                </c:pt>
                <c:pt idx="8">
                  <c:v>5.1626226122870422E-4</c:v>
                </c:pt>
                <c:pt idx="9">
                  <c:v>5.1626226122870422E-4</c:v>
                </c:pt>
                <c:pt idx="10">
                  <c:v>0.71399070727929792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Bweya- 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Bweya- Kajansi'!$C$60:$N$60</c:f>
              <c:numCache>
                <c:formatCode>0.00%</c:formatCode>
                <c:ptCount val="12"/>
                <c:pt idx="0">
                  <c:v>0.46931407942238268</c:v>
                </c:pt>
                <c:pt idx="1">
                  <c:v>0.15162454873646208</c:v>
                </c:pt>
                <c:pt idx="2">
                  <c:v>5.0541516245487361E-2</c:v>
                </c:pt>
                <c:pt idx="3">
                  <c:v>7.4007220216606495E-2</c:v>
                </c:pt>
                <c:pt idx="4">
                  <c:v>7.2202166064981952E-3</c:v>
                </c:pt>
                <c:pt idx="5">
                  <c:v>1.8050541516245488E-3</c:v>
                </c:pt>
                <c:pt idx="6">
                  <c:v>0.21841155234657039</c:v>
                </c:pt>
                <c:pt idx="7">
                  <c:v>2.3465703971119134E-2</c:v>
                </c:pt>
                <c:pt idx="8">
                  <c:v>1.8050541516245488E-3</c:v>
                </c:pt>
                <c:pt idx="9">
                  <c:v>1.8050541516245488E-3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Kajansi -Bweya'!$AE$9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'23.09.19 Kajansi 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Kajansi -Bweya'!$AE$10:$AE$21</c:f>
              <c:numCache>
                <c:formatCode>0</c:formatCode>
                <c:ptCount val="12"/>
                <c:pt idx="0">
                  <c:v>25</c:v>
                </c:pt>
                <c:pt idx="1">
                  <c:v>28</c:v>
                </c:pt>
                <c:pt idx="2">
                  <c:v>21</c:v>
                </c:pt>
                <c:pt idx="3">
                  <c:v>26</c:v>
                </c:pt>
                <c:pt idx="4">
                  <c:v>42</c:v>
                </c:pt>
                <c:pt idx="5">
                  <c:v>36</c:v>
                </c:pt>
                <c:pt idx="6">
                  <c:v>39</c:v>
                </c:pt>
                <c:pt idx="7">
                  <c:v>42</c:v>
                </c:pt>
                <c:pt idx="8">
                  <c:v>26</c:v>
                </c:pt>
                <c:pt idx="9">
                  <c:v>39</c:v>
                </c:pt>
                <c:pt idx="10">
                  <c:v>25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'23.09.19 Kajansi -Bweya'!$AF$9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'23.09.19 Kajansi 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Kajansi -Bweya'!$AF$10:$AF$21</c:f>
              <c:numCache>
                <c:formatCode>0</c:formatCode>
                <c:ptCount val="12"/>
                <c:pt idx="0">
                  <c:v>93</c:v>
                </c:pt>
                <c:pt idx="1">
                  <c:v>180</c:v>
                </c:pt>
                <c:pt idx="2">
                  <c:v>150</c:v>
                </c:pt>
                <c:pt idx="3">
                  <c:v>148</c:v>
                </c:pt>
                <c:pt idx="4">
                  <c:v>182</c:v>
                </c:pt>
                <c:pt idx="5">
                  <c:v>153</c:v>
                </c:pt>
                <c:pt idx="6">
                  <c:v>139</c:v>
                </c:pt>
                <c:pt idx="7">
                  <c:v>176</c:v>
                </c:pt>
                <c:pt idx="8">
                  <c:v>154</c:v>
                </c:pt>
                <c:pt idx="9">
                  <c:v>126</c:v>
                </c:pt>
                <c:pt idx="10">
                  <c:v>98</c:v>
                </c:pt>
                <c:pt idx="11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30400"/>
        <c:axId val="134231936"/>
      </c:lineChart>
      <c:catAx>
        <c:axId val="1342304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231936"/>
        <c:crosses val="autoZero"/>
        <c:auto val="1"/>
        <c:lblAlgn val="ctr"/>
        <c:lblOffset val="100"/>
        <c:noMultiLvlLbl val="0"/>
      </c:catAx>
      <c:valAx>
        <c:axId val="134231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23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Kajansi 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Kajansi -Bweya'!$C$59:$N$59</c:f>
              <c:numCache>
                <c:formatCode>0.0%</c:formatCode>
                <c:ptCount val="12"/>
                <c:pt idx="0">
                  <c:v>0.11882893226176808</c:v>
                </c:pt>
                <c:pt idx="1">
                  <c:v>1.7221584385763489E-2</c:v>
                </c:pt>
                <c:pt idx="2">
                  <c:v>9.1848450057405284E-3</c:v>
                </c:pt>
                <c:pt idx="3">
                  <c:v>6.3145809414466127E-3</c:v>
                </c:pt>
                <c:pt idx="4">
                  <c:v>1.148105625717566E-3</c:v>
                </c:pt>
                <c:pt idx="5">
                  <c:v>0</c:v>
                </c:pt>
                <c:pt idx="6">
                  <c:v>5.2238805970149252E-2</c:v>
                </c:pt>
                <c:pt idx="7">
                  <c:v>1.0332950631458095E-2</c:v>
                </c:pt>
                <c:pt idx="8">
                  <c:v>1.722158438576349E-3</c:v>
                </c:pt>
                <c:pt idx="9">
                  <c:v>5.7405281285878302E-4</c:v>
                </c:pt>
                <c:pt idx="10">
                  <c:v>0.78243398392652119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'23.09.19 Kajansi -Bweya'!$S$9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'23.09.19 Kajansi 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Kajansi -Bweya'!$S$10:$S$21</c:f>
              <c:numCache>
                <c:formatCode>0</c:formatCode>
                <c:ptCount val="12"/>
                <c:pt idx="0">
                  <c:v>18</c:v>
                </c:pt>
                <c:pt idx="1">
                  <c:v>10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23</c:v>
                </c:pt>
                <c:pt idx="7">
                  <c:v>23</c:v>
                </c:pt>
                <c:pt idx="8">
                  <c:v>15</c:v>
                </c:pt>
                <c:pt idx="9">
                  <c:v>30</c:v>
                </c:pt>
                <c:pt idx="10">
                  <c:v>20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'23.09.19 Kajansi -Bweya'!$T$9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'23.09.19 Kajansi 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'23.09.19 Kajansi -Bweya'!$T$10:$T$21</c:f>
              <c:numCache>
                <c:formatCode>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'23.09.19 Kajansi -Bweya'!$U$9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-Bweya'!$U$10:$U$21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'23.09.19 Kajansi -Bweya'!$V$9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-Bweya'!$V$10:$V$21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'23.09.19 Kajansi -Bweya'!$W$9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'23.09.19 Kajansi -Bweya'!$X$9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'23.09.19 Kajansi -Bweya'!$Y$9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-Bweya'!$Y$10:$Y$21</c:f>
              <c:numCache>
                <c:formatCode>0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4</c:v>
                </c:pt>
                <c:pt idx="3">
                  <c:v>8</c:v>
                </c:pt>
                <c:pt idx="4">
                  <c:v>18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'23.09.19 Kajansi -Bweya'!$Z$9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'23.09.19 Kajansi -Bweya'!$AA$9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'23.09.19 Kajansi -Bweya'!$AB$9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'23.09.19 Kajansi -Bweya'!$AC$9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-Bweya'!$AC$10:$AC$21</c:f>
              <c:numCache>
                <c:formatCode>0</c:formatCode>
                <c:ptCount val="12"/>
                <c:pt idx="0">
                  <c:v>68</c:v>
                </c:pt>
                <c:pt idx="1">
                  <c:v>152</c:v>
                </c:pt>
                <c:pt idx="2">
                  <c:v>129</c:v>
                </c:pt>
                <c:pt idx="3">
                  <c:v>122</c:v>
                </c:pt>
                <c:pt idx="4">
                  <c:v>140</c:v>
                </c:pt>
                <c:pt idx="5">
                  <c:v>117</c:v>
                </c:pt>
                <c:pt idx="6">
                  <c:v>100</c:v>
                </c:pt>
                <c:pt idx="7">
                  <c:v>134</c:v>
                </c:pt>
                <c:pt idx="8">
                  <c:v>128</c:v>
                </c:pt>
                <c:pt idx="9">
                  <c:v>87</c:v>
                </c:pt>
                <c:pt idx="10">
                  <c:v>73</c:v>
                </c:pt>
                <c:pt idx="1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'23.09.19 Kajansi -Bweya'!$AD$9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'23.09.19 Kajansi -Bweya'!$AD$10:$AD$21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27936"/>
        <c:axId val="134881280"/>
      </c:lineChart>
      <c:catAx>
        <c:axId val="13472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881280"/>
        <c:crosses val="autoZero"/>
        <c:auto val="1"/>
        <c:lblAlgn val="ctr"/>
        <c:lblOffset val="100"/>
        <c:noMultiLvlLbl val="0"/>
      </c:catAx>
      <c:valAx>
        <c:axId val="13488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72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'23.09.19 Kajansi 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'23.09.19 Kajansi -Bweya'!$C$60:$N$60</c:f>
              <c:numCache>
                <c:formatCode>0.00%</c:formatCode>
                <c:ptCount val="12"/>
                <c:pt idx="0">
                  <c:v>0.54617414248021112</c:v>
                </c:pt>
                <c:pt idx="1">
                  <c:v>7.9155672823219003E-2</c:v>
                </c:pt>
                <c:pt idx="2">
                  <c:v>4.221635883905013E-2</c:v>
                </c:pt>
                <c:pt idx="3">
                  <c:v>2.9023746701846966E-2</c:v>
                </c:pt>
                <c:pt idx="4">
                  <c:v>5.2770448548812663E-3</c:v>
                </c:pt>
                <c:pt idx="5">
                  <c:v>0</c:v>
                </c:pt>
                <c:pt idx="6">
                  <c:v>0.24010554089709762</c:v>
                </c:pt>
                <c:pt idx="7">
                  <c:v>4.7493403693931395E-2</c:v>
                </c:pt>
                <c:pt idx="8">
                  <c:v>7.9155672823219003E-3</c:v>
                </c:pt>
                <c:pt idx="9">
                  <c:v>2.6385224274406332E-3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Bweya-Kajansi'!$AE$9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Bweya-Kajansi'!$AE$10:$AE$21</c:f>
              <c:numCache>
                <c:formatCode>0</c:formatCode>
                <c:ptCount val="12"/>
                <c:pt idx="0">
                  <c:v>205</c:v>
                </c:pt>
                <c:pt idx="1">
                  <c:v>184</c:v>
                </c:pt>
                <c:pt idx="2">
                  <c:v>188</c:v>
                </c:pt>
                <c:pt idx="3">
                  <c:v>182</c:v>
                </c:pt>
                <c:pt idx="4">
                  <c:v>155</c:v>
                </c:pt>
                <c:pt idx="5">
                  <c:v>157</c:v>
                </c:pt>
                <c:pt idx="6">
                  <c:v>194</c:v>
                </c:pt>
                <c:pt idx="7">
                  <c:v>129</c:v>
                </c:pt>
                <c:pt idx="8">
                  <c:v>148</c:v>
                </c:pt>
                <c:pt idx="9">
                  <c:v>175</c:v>
                </c:pt>
                <c:pt idx="10">
                  <c:v>285</c:v>
                </c:pt>
                <c:pt idx="11">
                  <c:v>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Bweya-Kajansi'!$AF$9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Bweya-Kajansi'!$AF$10:$AF$21</c:f>
              <c:numCache>
                <c:formatCode>0</c:formatCode>
                <c:ptCount val="12"/>
                <c:pt idx="0">
                  <c:v>382</c:v>
                </c:pt>
                <c:pt idx="1">
                  <c:v>367</c:v>
                </c:pt>
                <c:pt idx="2">
                  <c:v>318</c:v>
                </c:pt>
                <c:pt idx="3">
                  <c:v>305</c:v>
                </c:pt>
                <c:pt idx="4">
                  <c:v>265</c:v>
                </c:pt>
                <c:pt idx="5">
                  <c:v>269</c:v>
                </c:pt>
                <c:pt idx="6">
                  <c:v>323</c:v>
                </c:pt>
                <c:pt idx="7">
                  <c:v>246</c:v>
                </c:pt>
                <c:pt idx="8">
                  <c:v>283</c:v>
                </c:pt>
                <c:pt idx="9">
                  <c:v>294</c:v>
                </c:pt>
                <c:pt idx="10">
                  <c:v>491</c:v>
                </c:pt>
                <c:pt idx="11">
                  <c:v>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76736"/>
        <c:axId val="135478272"/>
      </c:lineChart>
      <c:catAx>
        <c:axId val="135476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5478272"/>
        <c:crosses val="autoZero"/>
        <c:auto val="1"/>
        <c:lblAlgn val="ctr"/>
        <c:lblOffset val="100"/>
        <c:noMultiLvlLbl val="0"/>
      </c:catAx>
      <c:valAx>
        <c:axId val="135478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547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Bweya-Kajansi'!$C$59:$N$59</c:f>
              <c:numCache>
                <c:formatCode>0.0%</c:formatCode>
                <c:ptCount val="12"/>
                <c:pt idx="0">
                  <c:v>0.33846153846153848</c:v>
                </c:pt>
                <c:pt idx="1">
                  <c:v>9.0221642764015647E-2</c:v>
                </c:pt>
                <c:pt idx="2">
                  <c:v>4.8761408083441982E-2</c:v>
                </c:pt>
                <c:pt idx="3">
                  <c:v>2.5032594524119947E-2</c:v>
                </c:pt>
                <c:pt idx="4">
                  <c:v>6.2581486310299868E-3</c:v>
                </c:pt>
                <c:pt idx="5">
                  <c:v>3.1290743155149934E-3</c:v>
                </c:pt>
                <c:pt idx="6">
                  <c:v>4.9804432855280314E-2</c:v>
                </c:pt>
                <c:pt idx="7">
                  <c:v>9.9087353324641466E-3</c:v>
                </c:pt>
                <c:pt idx="8">
                  <c:v>7.8226857887874835E-4</c:v>
                </c:pt>
                <c:pt idx="9">
                  <c:v>2.6075619295958278E-4</c:v>
                </c:pt>
                <c:pt idx="10">
                  <c:v>0.42737940026075621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Bweya-Kajansi'!$S$9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Bweya-Kajansi'!$S$10:$S$21</c:f>
              <c:numCache>
                <c:formatCode>0</c:formatCode>
                <c:ptCount val="12"/>
                <c:pt idx="0">
                  <c:v>138</c:v>
                </c:pt>
                <c:pt idx="1">
                  <c:v>124</c:v>
                </c:pt>
                <c:pt idx="2">
                  <c:v>95</c:v>
                </c:pt>
                <c:pt idx="3">
                  <c:v>91</c:v>
                </c:pt>
                <c:pt idx="4">
                  <c:v>92</c:v>
                </c:pt>
                <c:pt idx="5">
                  <c:v>104</c:v>
                </c:pt>
                <c:pt idx="6">
                  <c:v>102</c:v>
                </c:pt>
                <c:pt idx="7">
                  <c:v>67</c:v>
                </c:pt>
                <c:pt idx="8">
                  <c:v>75</c:v>
                </c:pt>
                <c:pt idx="9">
                  <c:v>93</c:v>
                </c:pt>
                <c:pt idx="10">
                  <c:v>194</c:v>
                </c:pt>
                <c:pt idx="11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Bweya-Kajansi'!$T$9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Bweya-Kajansi'!$T$10:$T$21</c:f>
              <c:numCache>
                <c:formatCode>0</c:formatCode>
                <c:ptCount val="12"/>
                <c:pt idx="0">
                  <c:v>37</c:v>
                </c:pt>
                <c:pt idx="1">
                  <c:v>29</c:v>
                </c:pt>
                <c:pt idx="2">
                  <c:v>44</c:v>
                </c:pt>
                <c:pt idx="3">
                  <c:v>39</c:v>
                </c:pt>
                <c:pt idx="4">
                  <c:v>22</c:v>
                </c:pt>
                <c:pt idx="5">
                  <c:v>16</c:v>
                </c:pt>
                <c:pt idx="6">
                  <c:v>38</c:v>
                </c:pt>
                <c:pt idx="7">
                  <c:v>22</c:v>
                </c:pt>
                <c:pt idx="8">
                  <c:v>22</c:v>
                </c:pt>
                <c:pt idx="9">
                  <c:v>33</c:v>
                </c:pt>
                <c:pt idx="10">
                  <c:v>20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Bweya-Kajansi'!$U$9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Bweya-Kajansi'!$U$10:$U$21</c:f>
              <c:numCache>
                <c:formatCode>0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25</c:v>
                </c:pt>
                <c:pt idx="3">
                  <c:v>21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16</c:v>
                </c:pt>
                <c:pt idx="8">
                  <c:v>9</c:v>
                </c:pt>
                <c:pt idx="9">
                  <c:v>8</c:v>
                </c:pt>
                <c:pt idx="10">
                  <c:v>20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Bweya-Kajansi'!$V$9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Bweya-Kajansi'!$V$10:$V$21</c:f>
              <c:numCache>
                <c:formatCode>0</c:formatCode>
                <c:ptCount val="12"/>
                <c:pt idx="0">
                  <c:v>13</c:v>
                </c:pt>
                <c:pt idx="1">
                  <c:v>6</c:v>
                </c:pt>
                <c:pt idx="2">
                  <c:v>6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15</c:v>
                </c:pt>
                <c:pt idx="9">
                  <c:v>10</c:v>
                </c:pt>
                <c:pt idx="10">
                  <c:v>8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Bweya-Kajansi'!$W$9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8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Bweya-Kajansi'!$X$9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Bweya-Kajansi'!$Y$9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Bweya-Kajansi'!$Y$10:$Y$21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13</c:v>
                </c:pt>
                <c:pt idx="3">
                  <c:v>19</c:v>
                </c:pt>
                <c:pt idx="4">
                  <c:v>17</c:v>
                </c:pt>
                <c:pt idx="5">
                  <c:v>8</c:v>
                </c:pt>
                <c:pt idx="6">
                  <c:v>33</c:v>
                </c:pt>
                <c:pt idx="7">
                  <c:v>19</c:v>
                </c:pt>
                <c:pt idx="8">
                  <c:v>24</c:v>
                </c:pt>
                <c:pt idx="9">
                  <c:v>21</c:v>
                </c:pt>
                <c:pt idx="10">
                  <c:v>17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Bweya-Kajansi'!$Z$9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10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Bweya-Kajansi'!$AA$9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Bweya-Kajansi'!$AB$9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Bweya-Kajansi'!$AC$9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Bweya-Kajansi'!$AC$10:$AC$21</c:f>
              <c:numCache>
                <c:formatCode>0</c:formatCode>
                <c:ptCount val="12"/>
                <c:pt idx="0">
                  <c:v>177</c:v>
                </c:pt>
                <c:pt idx="1">
                  <c:v>183</c:v>
                </c:pt>
                <c:pt idx="2">
                  <c:v>130</c:v>
                </c:pt>
                <c:pt idx="3">
                  <c:v>123</c:v>
                </c:pt>
                <c:pt idx="4">
                  <c:v>110</c:v>
                </c:pt>
                <c:pt idx="5">
                  <c:v>112</c:v>
                </c:pt>
                <c:pt idx="6">
                  <c:v>129</c:v>
                </c:pt>
                <c:pt idx="7">
                  <c:v>117</c:v>
                </c:pt>
                <c:pt idx="8">
                  <c:v>135</c:v>
                </c:pt>
                <c:pt idx="9">
                  <c:v>119</c:v>
                </c:pt>
                <c:pt idx="10">
                  <c:v>206</c:v>
                </c:pt>
                <c:pt idx="1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Bweya-Kajansi'!$AD$9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Bweya-Kajansi'!$AD$10:$AD$21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06048"/>
        <c:axId val="136324224"/>
      </c:lineChart>
      <c:catAx>
        <c:axId val="13630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24224"/>
        <c:crosses val="autoZero"/>
        <c:auto val="1"/>
        <c:lblAlgn val="ctr"/>
        <c:lblOffset val="100"/>
        <c:noMultiLvlLbl val="0"/>
      </c:catAx>
      <c:valAx>
        <c:axId val="1363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30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Bweya-Kajansi'!$C$60:$N$60</c:f>
              <c:numCache>
                <c:formatCode>0.00%</c:formatCode>
                <c:ptCount val="12"/>
                <c:pt idx="0">
                  <c:v>0.59107468123861562</c:v>
                </c:pt>
                <c:pt idx="1">
                  <c:v>0.15755919854280509</c:v>
                </c:pt>
                <c:pt idx="2">
                  <c:v>8.5154826958105653E-2</c:v>
                </c:pt>
                <c:pt idx="3">
                  <c:v>4.3715846994535519E-2</c:v>
                </c:pt>
                <c:pt idx="4">
                  <c:v>1.092896174863388E-2</c:v>
                </c:pt>
                <c:pt idx="5">
                  <c:v>5.4644808743169399E-3</c:v>
                </c:pt>
                <c:pt idx="6">
                  <c:v>8.6976320582877964E-2</c:v>
                </c:pt>
                <c:pt idx="7">
                  <c:v>1.7304189435336976E-2</c:v>
                </c:pt>
                <c:pt idx="8">
                  <c:v>1.366120218579235E-3</c:v>
                </c:pt>
                <c:pt idx="9">
                  <c:v>4.5537340619307832E-4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MUNYONYO-KAJJANSI'!$AE$9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MUNYONYO-KAJJANSI'!$R$10:$R$21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MUNYONYO-KAJJANSI'!$AE$10:$AE$21</c:f>
              <c:numCache>
                <c:formatCode>General</c:formatCode>
                <c:ptCount val="12"/>
                <c:pt idx="0">
                  <c:v>205</c:v>
                </c:pt>
                <c:pt idx="1">
                  <c:v>184</c:v>
                </c:pt>
                <c:pt idx="2">
                  <c:v>188</c:v>
                </c:pt>
                <c:pt idx="3">
                  <c:v>182</c:v>
                </c:pt>
                <c:pt idx="4">
                  <c:v>155</c:v>
                </c:pt>
                <c:pt idx="5">
                  <c:v>157</c:v>
                </c:pt>
                <c:pt idx="6">
                  <c:v>194</c:v>
                </c:pt>
                <c:pt idx="7">
                  <c:v>129</c:v>
                </c:pt>
                <c:pt idx="8">
                  <c:v>148</c:v>
                </c:pt>
                <c:pt idx="9">
                  <c:v>175</c:v>
                </c:pt>
                <c:pt idx="10">
                  <c:v>285</c:v>
                </c:pt>
                <c:pt idx="11">
                  <c:v>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24-48A8-86A3-54C79196B372}"/>
            </c:ext>
          </c:extLst>
        </c:ser>
        <c:ser>
          <c:idx val="1"/>
          <c:order val="1"/>
          <c:tx>
            <c:strRef>
              <c:f>'[1]24.09.2019 MUNYONYO-KAJJANSI'!$AF$9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MUNYONYO-KAJJANSI'!$R$10:$R$21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MUNYONYO-KAJJANSI'!$AF$10:$AF$21</c:f>
              <c:numCache>
                <c:formatCode>General</c:formatCode>
                <c:ptCount val="12"/>
                <c:pt idx="0">
                  <c:v>382</c:v>
                </c:pt>
                <c:pt idx="1">
                  <c:v>367</c:v>
                </c:pt>
                <c:pt idx="2">
                  <c:v>318</c:v>
                </c:pt>
                <c:pt idx="3">
                  <c:v>305</c:v>
                </c:pt>
                <c:pt idx="4">
                  <c:v>265</c:v>
                </c:pt>
                <c:pt idx="5">
                  <c:v>269</c:v>
                </c:pt>
                <c:pt idx="6">
                  <c:v>323</c:v>
                </c:pt>
                <c:pt idx="7">
                  <c:v>246</c:v>
                </c:pt>
                <c:pt idx="8">
                  <c:v>283</c:v>
                </c:pt>
                <c:pt idx="9">
                  <c:v>294</c:v>
                </c:pt>
                <c:pt idx="10">
                  <c:v>491</c:v>
                </c:pt>
                <c:pt idx="11">
                  <c:v>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24-48A8-86A3-54C79196B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04832"/>
        <c:axId val="136506368"/>
      </c:lineChart>
      <c:catAx>
        <c:axId val="136504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506368"/>
        <c:crosses val="autoZero"/>
        <c:auto val="1"/>
        <c:lblAlgn val="ctr"/>
        <c:lblOffset val="100"/>
        <c:noMultiLvlLbl val="0"/>
      </c:catAx>
      <c:valAx>
        <c:axId val="136506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650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26-49FE-B0EE-BF0694D8E6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26-49FE-B0EE-BF0694D8E6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726-49FE-B0EE-BF0694D8E6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726-49FE-B0EE-BF0694D8E6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726-49FE-B0EE-BF0694D8E6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726-49FE-B0EE-BF0694D8E6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726-49FE-B0EE-BF0694D8E6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726-49FE-B0EE-BF0694D8E61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726-49FE-B0EE-BF0694D8E6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726-49FE-B0EE-BF0694D8E61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726-49FE-B0EE-BF0694D8E61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726-49FE-B0EE-BF0694D8E61D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26-49FE-B0EE-BF0694D8E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MUNYONYO-KAJJANSI'!$C$9:$N$9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MUNYONYO-KAJJANSI'!$C$59:$N$59</c:f>
              <c:numCache>
                <c:formatCode>General</c:formatCode>
                <c:ptCount val="12"/>
                <c:pt idx="0">
                  <c:v>0.33846153846153848</c:v>
                </c:pt>
                <c:pt idx="1">
                  <c:v>9.0221642764015647E-2</c:v>
                </c:pt>
                <c:pt idx="2">
                  <c:v>4.8761408083441982E-2</c:v>
                </c:pt>
                <c:pt idx="3">
                  <c:v>2.5032594524119947E-2</c:v>
                </c:pt>
                <c:pt idx="4">
                  <c:v>6.2581486310299868E-3</c:v>
                </c:pt>
                <c:pt idx="5">
                  <c:v>3.1290743155149934E-3</c:v>
                </c:pt>
                <c:pt idx="6">
                  <c:v>4.9804432855280314E-2</c:v>
                </c:pt>
                <c:pt idx="7">
                  <c:v>9.9087353324641466E-3</c:v>
                </c:pt>
                <c:pt idx="8">
                  <c:v>7.8226857887874835E-4</c:v>
                </c:pt>
                <c:pt idx="9">
                  <c:v>2.6075619295958278E-4</c:v>
                </c:pt>
                <c:pt idx="10">
                  <c:v>0.42737940026075621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726-49FE-B0EE-BF0694D8E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6E-4521-97A2-244833E099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6E-4521-97A2-244833E099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6E-4521-97A2-244833E099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6E-4521-97A2-244833E099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6E-4521-97A2-244833E0995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F6E-4521-97A2-244833E0995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F6E-4521-97A2-244833E0995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F6E-4521-97A2-244833E0995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F6E-4521-97A2-244833E099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F6E-4521-97A2-244833E0995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F6E-4521-97A2-244833E0995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F6E-4521-97A2-244833E0995D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F6E-4521-97A2-244833E099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MUNYONYO-KAJJANSI'!$C$9:$N$9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MUNYONYO-KAJJANSI'!$C$60:$N$60</c:f>
              <c:numCache>
                <c:formatCode>General</c:formatCode>
                <c:ptCount val="12"/>
                <c:pt idx="0">
                  <c:v>0.59107468123861562</c:v>
                </c:pt>
                <c:pt idx="1">
                  <c:v>0.15755919854280509</c:v>
                </c:pt>
                <c:pt idx="2">
                  <c:v>8.5154826958105653E-2</c:v>
                </c:pt>
                <c:pt idx="3">
                  <c:v>4.3715846994535519E-2</c:v>
                </c:pt>
                <c:pt idx="4">
                  <c:v>1.092896174863388E-2</c:v>
                </c:pt>
                <c:pt idx="5">
                  <c:v>5.4644808743169399E-3</c:v>
                </c:pt>
                <c:pt idx="6">
                  <c:v>8.6976320582877964E-2</c:v>
                </c:pt>
                <c:pt idx="7">
                  <c:v>1.7304189435336976E-2</c:v>
                </c:pt>
                <c:pt idx="8">
                  <c:v>1.366120218579235E-3</c:v>
                </c:pt>
                <c:pt idx="9">
                  <c:v>4.5537340619307832E-4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F6E-4521-97A2-244833E09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Kajansi-Bweya'!$AE$9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Kajansi-Bweya'!$AE$10:$AE$21</c:f>
              <c:numCache>
                <c:formatCode>0</c:formatCode>
                <c:ptCount val="12"/>
                <c:pt idx="0">
                  <c:v>275</c:v>
                </c:pt>
                <c:pt idx="1">
                  <c:v>177</c:v>
                </c:pt>
                <c:pt idx="2">
                  <c:v>132</c:v>
                </c:pt>
                <c:pt idx="3">
                  <c:v>166</c:v>
                </c:pt>
                <c:pt idx="4">
                  <c:v>160</c:v>
                </c:pt>
                <c:pt idx="5">
                  <c:v>117</c:v>
                </c:pt>
                <c:pt idx="6">
                  <c:v>169</c:v>
                </c:pt>
                <c:pt idx="7">
                  <c:v>146</c:v>
                </c:pt>
                <c:pt idx="8">
                  <c:v>260</c:v>
                </c:pt>
                <c:pt idx="9">
                  <c:v>225</c:v>
                </c:pt>
                <c:pt idx="10">
                  <c:v>245</c:v>
                </c:pt>
                <c:pt idx="11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Kajansi-Bweya'!$AF$9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Kajansi-Bweya'!$AF$10:$AF$21</c:f>
              <c:numCache>
                <c:formatCode>0</c:formatCode>
                <c:ptCount val="12"/>
                <c:pt idx="0">
                  <c:v>414</c:v>
                </c:pt>
                <c:pt idx="1">
                  <c:v>283</c:v>
                </c:pt>
                <c:pt idx="2">
                  <c:v>245</c:v>
                </c:pt>
                <c:pt idx="3">
                  <c:v>259</c:v>
                </c:pt>
                <c:pt idx="4">
                  <c:v>278</c:v>
                </c:pt>
                <c:pt idx="5">
                  <c:v>190</c:v>
                </c:pt>
                <c:pt idx="6">
                  <c:v>268</c:v>
                </c:pt>
                <c:pt idx="7">
                  <c:v>236</c:v>
                </c:pt>
                <c:pt idx="8">
                  <c:v>447</c:v>
                </c:pt>
                <c:pt idx="9">
                  <c:v>357</c:v>
                </c:pt>
                <c:pt idx="10">
                  <c:v>398</c:v>
                </c:pt>
                <c:pt idx="11">
                  <c:v>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59744"/>
        <c:axId val="137361280"/>
      </c:lineChart>
      <c:catAx>
        <c:axId val="1373597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361280"/>
        <c:crosses val="autoZero"/>
        <c:auto val="1"/>
        <c:lblAlgn val="ctr"/>
        <c:lblOffset val="100"/>
        <c:noMultiLvlLbl val="0"/>
      </c:catAx>
      <c:valAx>
        <c:axId val="137361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35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Kajansi-Bweya'!$C$59:$N$59</c:f>
              <c:numCache>
                <c:formatCode>0.0%</c:formatCode>
                <c:ptCount val="12"/>
                <c:pt idx="0">
                  <c:v>0.43741440701177758</c:v>
                </c:pt>
                <c:pt idx="1">
                  <c:v>4.5740892906053134E-2</c:v>
                </c:pt>
                <c:pt idx="2">
                  <c:v>5.6149000273897562E-2</c:v>
                </c:pt>
                <c:pt idx="3">
                  <c:v>9.8603122432210349E-3</c:v>
                </c:pt>
                <c:pt idx="4">
                  <c:v>4.3823609969871266E-3</c:v>
                </c:pt>
                <c:pt idx="5">
                  <c:v>0</c:v>
                </c:pt>
                <c:pt idx="6">
                  <c:v>4.1084634346754315E-2</c:v>
                </c:pt>
                <c:pt idx="7">
                  <c:v>2.2185702547247329E-2</c:v>
                </c:pt>
                <c:pt idx="8">
                  <c:v>3.0128731854286495E-3</c:v>
                </c:pt>
                <c:pt idx="9">
                  <c:v>5.4779512462339083E-4</c:v>
                </c:pt>
                <c:pt idx="10">
                  <c:v>0.37962202136400985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Kajansi-Bweya'!$S$9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Kajansi-Bweya'!$S$10:$S$21</c:f>
              <c:numCache>
                <c:formatCode>0</c:formatCode>
                <c:ptCount val="12"/>
                <c:pt idx="0">
                  <c:v>179</c:v>
                </c:pt>
                <c:pt idx="1">
                  <c:v>116</c:v>
                </c:pt>
                <c:pt idx="2">
                  <c:v>93</c:v>
                </c:pt>
                <c:pt idx="3">
                  <c:v>117</c:v>
                </c:pt>
                <c:pt idx="4">
                  <c:v>110</c:v>
                </c:pt>
                <c:pt idx="5">
                  <c:v>79</c:v>
                </c:pt>
                <c:pt idx="6">
                  <c:v>119</c:v>
                </c:pt>
                <c:pt idx="7">
                  <c:v>79</c:v>
                </c:pt>
                <c:pt idx="8">
                  <c:v>179</c:v>
                </c:pt>
                <c:pt idx="9">
                  <c:v>169</c:v>
                </c:pt>
                <c:pt idx="10">
                  <c:v>193</c:v>
                </c:pt>
                <c:pt idx="11">
                  <c:v>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Kajansi-Bweya'!$T$9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Kajansi-Bweya'!$T$10:$T$21</c:f>
              <c:numCache>
                <c:formatCode>0</c:formatCode>
                <c:ptCount val="12"/>
                <c:pt idx="0">
                  <c:v>47</c:v>
                </c:pt>
                <c:pt idx="1">
                  <c:v>17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24</c:v>
                </c:pt>
                <c:pt idx="8">
                  <c:v>18</c:v>
                </c:pt>
                <c:pt idx="9">
                  <c:v>4</c:v>
                </c:pt>
                <c:pt idx="10">
                  <c:v>13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Kajansi-Bweya'!$U$9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Kajansi-Bweya'!$U$10:$U$21</c:f>
              <c:numCache>
                <c:formatCode>0</c:formatCode>
                <c:ptCount val="12"/>
                <c:pt idx="0">
                  <c:v>23</c:v>
                </c:pt>
                <c:pt idx="1">
                  <c:v>23</c:v>
                </c:pt>
                <c:pt idx="2">
                  <c:v>12</c:v>
                </c:pt>
                <c:pt idx="3">
                  <c:v>19</c:v>
                </c:pt>
                <c:pt idx="4">
                  <c:v>13</c:v>
                </c:pt>
                <c:pt idx="5">
                  <c:v>9</c:v>
                </c:pt>
                <c:pt idx="6">
                  <c:v>14</c:v>
                </c:pt>
                <c:pt idx="7">
                  <c:v>15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Kajansi-Bweya'!$V$9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Kajansi-Bweya'!$V$10:$V$21</c:f>
              <c:numCache>
                <c:formatCode>0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Kajansi-Bweya'!$W$9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Kajansi-Bweya'!$X$9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Kajansi-Bweya'!$Y$9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Kajansi-Bweya'!$Y$10:$Y$21</c:f>
              <c:numCache>
                <c:formatCode>0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11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13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Kajansi-Bweya'!$Z$9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13</c:v>
                </c:pt>
                <c:pt idx="5">
                  <c:v>9</c:v>
                </c:pt>
                <c:pt idx="6">
                  <c:v>4</c:v>
                </c:pt>
                <c:pt idx="7">
                  <c:v>5</c:v>
                </c:pt>
                <c:pt idx="8">
                  <c:v>20</c:v>
                </c:pt>
                <c:pt idx="9">
                  <c:v>8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Kajansi-Bweya'!$AA$9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Kajansi-Bweya'!$AB$9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Kajansi-Bweya'!$AC$9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Kajansi-Bweya'!$AC$10:$AC$21</c:f>
              <c:numCache>
                <c:formatCode>0</c:formatCode>
                <c:ptCount val="12"/>
                <c:pt idx="0">
                  <c:v>139</c:v>
                </c:pt>
                <c:pt idx="1">
                  <c:v>106</c:v>
                </c:pt>
                <c:pt idx="2">
                  <c:v>113</c:v>
                </c:pt>
                <c:pt idx="3">
                  <c:v>93</c:v>
                </c:pt>
                <c:pt idx="4">
                  <c:v>118</c:v>
                </c:pt>
                <c:pt idx="5">
                  <c:v>73</c:v>
                </c:pt>
                <c:pt idx="6">
                  <c:v>99</c:v>
                </c:pt>
                <c:pt idx="7">
                  <c:v>90</c:v>
                </c:pt>
                <c:pt idx="8">
                  <c:v>187</c:v>
                </c:pt>
                <c:pt idx="9">
                  <c:v>132</c:v>
                </c:pt>
                <c:pt idx="10">
                  <c:v>153</c:v>
                </c:pt>
                <c:pt idx="11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Kajansi-Bweya'!$AD$9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Kajansi-Bweya'!$AD$10:$AD$21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27616"/>
        <c:axId val="138416128"/>
      </c:lineChart>
      <c:catAx>
        <c:axId val="13812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416128"/>
        <c:crosses val="autoZero"/>
        <c:auto val="1"/>
        <c:lblAlgn val="ctr"/>
        <c:lblOffset val="100"/>
        <c:noMultiLvlLbl val="0"/>
      </c:catAx>
      <c:valAx>
        <c:axId val="1384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1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Kajansi-Bweya'!$C$60:$N$60</c:f>
              <c:numCache>
                <c:formatCode>0.00%</c:formatCode>
                <c:ptCount val="12"/>
                <c:pt idx="0">
                  <c:v>0.70507726269315674</c:v>
                </c:pt>
                <c:pt idx="1">
                  <c:v>7.3730684326710816E-2</c:v>
                </c:pt>
                <c:pt idx="2">
                  <c:v>9.0507726269315678E-2</c:v>
                </c:pt>
                <c:pt idx="3">
                  <c:v>1.5894039735099338E-2</c:v>
                </c:pt>
                <c:pt idx="4">
                  <c:v>7.0640176600441501E-3</c:v>
                </c:pt>
                <c:pt idx="5">
                  <c:v>0</c:v>
                </c:pt>
                <c:pt idx="6">
                  <c:v>6.6225165562913912E-2</c:v>
                </c:pt>
                <c:pt idx="7">
                  <c:v>3.5761589403973511E-2</c:v>
                </c:pt>
                <c:pt idx="8">
                  <c:v>4.8565121412803532E-3</c:v>
                </c:pt>
                <c:pt idx="9">
                  <c:v>8.8300220750551876E-4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KAJJANSI-MUNYONYO'!$AE$9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KAJJANSI-MUNYONYO'!$R$10:$R$21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KAJJANSI-MUNYONYO'!$AE$10:$AE$21</c:f>
              <c:numCache>
                <c:formatCode>General</c:formatCode>
                <c:ptCount val="12"/>
                <c:pt idx="0">
                  <c:v>275</c:v>
                </c:pt>
                <c:pt idx="1">
                  <c:v>177</c:v>
                </c:pt>
                <c:pt idx="2">
                  <c:v>132</c:v>
                </c:pt>
                <c:pt idx="3">
                  <c:v>166</c:v>
                </c:pt>
                <c:pt idx="4">
                  <c:v>160</c:v>
                </c:pt>
                <c:pt idx="5">
                  <c:v>117</c:v>
                </c:pt>
                <c:pt idx="6">
                  <c:v>169</c:v>
                </c:pt>
                <c:pt idx="7">
                  <c:v>146</c:v>
                </c:pt>
                <c:pt idx="8">
                  <c:v>260</c:v>
                </c:pt>
                <c:pt idx="9">
                  <c:v>225</c:v>
                </c:pt>
                <c:pt idx="10">
                  <c:v>245</c:v>
                </c:pt>
                <c:pt idx="11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5A-4DE2-BC49-0E25E1531FA1}"/>
            </c:ext>
          </c:extLst>
        </c:ser>
        <c:ser>
          <c:idx val="1"/>
          <c:order val="1"/>
          <c:tx>
            <c:strRef>
              <c:f>'[1]24.09.2019 KAJJANSI-MUNYONYO'!$AF$9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KAJJANSI-MUNYONYO'!$R$10:$R$21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KAJJANSI-MUNYONYO'!$AF$10:$AF$21</c:f>
              <c:numCache>
                <c:formatCode>General</c:formatCode>
                <c:ptCount val="12"/>
                <c:pt idx="0">
                  <c:v>414</c:v>
                </c:pt>
                <c:pt idx="1">
                  <c:v>283</c:v>
                </c:pt>
                <c:pt idx="2">
                  <c:v>245</c:v>
                </c:pt>
                <c:pt idx="3">
                  <c:v>259</c:v>
                </c:pt>
                <c:pt idx="4">
                  <c:v>278</c:v>
                </c:pt>
                <c:pt idx="5">
                  <c:v>190</c:v>
                </c:pt>
                <c:pt idx="6">
                  <c:v>268</c:v>
                </c:pt>
                <c:pt idx="7">
                  <c:v>236</c:v>
                </c:pt>
                <c:pt idx="8">
                  <c:v>447</c:v>
                </c:pt>
                <c:pt idx="9">
                  <c:v>357</c:v>
                </c:pt>
                <c:pt idx="10">
                  <c:v>398</c:v>
                </c:pt>
                <c:pt idx="11">
                  <c:v>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5A-4DE2-BC49-0E25E1531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31904"/>
        <c:axId val="138733440"/>
      </c:lineChart>
      <c:catAx>
        <c:axId val="138731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733440"/>
        <c:crosses val="autoZero"/>
        <c:auto val="1"/>
        <c:lblAlgn val="ctr"/>
        <c:lblOffset val="100"/>
        <c:noMultiLvlLbl val="0"/>
      </c:catAx>
      <c:valAx>
        <c:axId val="138733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87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62-4CEA-8858-C81BE8B26F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C62-4CEA-8858-C81BE8B26F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C62-4CEA-8858-C81BE8B26F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C62-4CEA-8858-C81BE8B26F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C62-4CEA-8858-C81BE8B26F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C62-4CEA-8858-C81BE8B26F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C62-4CEA-8858-C81BE8B26F5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C62-4CEA-8858-C81BE8B26F5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C62-4CEA-8858-C81BE8B26F5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C62-4CEA-8858-C81BE8B26F5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C62-4CEA-8858-C81BE8B26F5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C62-4CEA-8858-C81BE8B26F5A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62-4CEA-8858-C81BE8B26F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KAJJANSI-MUNYONYO'!$C$9:$N$9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KAJJANSI-MUNYONYO'!$C$59:$N$59</c:f>
              <c:numCache>
                <c:formatCode>General</c:formatCode>
                <c:ptCount val="12"/>
                <c:pt idx="0">
                  <c:v>0.43741440701177758</c:v>
                </c:pt>
                <c:pt idx="1">
                  <c:v>4.5740892906053134E-2</c:v>
                </c:pt>
                <c:pt idx="2">
                  <c:v>5.6149000273897562E-2</c:v>
                </c:pt>
                <c:pt idx="3">
                  <c:v>9.8603122432210349E-3</c:v>
                </c:pt>
                <c:pt idx="4">
                  <c:v>4.3823609969871266E-3</c:v>
                </c:pt>
                <c:pt idx="5">
                  <c:v>0</c:v>
                </c:pt>
                <c:pt idx="6">
                  <c:v>4.1084634346754315E-2</c:v>
                </c:pt>
                <c:pt idx="7">
                  <c:v>2.2185702547247329E-2</c:v>
                </c:pt>
                <c:pt idx="8">
                  <c:v>3.0128731854286495E-3</c:v>
                </c:pt>
                <c:pt idx="9">
                  <c:v>5.4779512462339083E-4</c:v>
                </c:pt>
                <c:pt idx="10">
                  <c:v>0.37962202136400985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C62-4CEA-8858-C81BE8B26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B6-43F9-9B19-C993F90BC1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B6-43F9-9B19-C993F90BC1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B6-43F9-9B19-C993F90BC1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B6-43F9-9B19-C993F90BC1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B6-43F9-9B19-C993F90BC1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B6-43F9-9B19-C993F90BC1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4B6-43F9-9B19-C993F90BC1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4B6-43F9-9B19-C993F90BC1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4B6-43F9-9B19-C993F90BC1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4B6-43F9-9B19-C993F90BC15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4B6-43F9-9B19-C993F90BC15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4B6-43F9-9B19-C993F90BC15B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B6-43F9-9B19-C993F90BC1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KAJJANSI-MUNYONYO'!$C$9:$N$9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KAJJANSI-MUNYONYO'!$C$60:$N$60</c:f>
              <c:numCache>
                <c:formatCode>General</c:formatCode>
                <c:ptCount val="12"/>
                <c:pt idx="0">
                  <c:v>0.70507726269315674</c:v>
                </c:pt>
                <c:pt idx="1">
                  <c:v>7.3730684326710816E-2</c:v>
                </c:pt>
                <c:pt idx="2">
                  <c:v>9.0507726269315678E-2</c:v>
                </c:pt>
                <c:pt idx="3">
                  <c:v>1.5894039735099338E-2</c:v>
                </c:pt>
                <c:pt idx="4">
                  <c:v>7.0640176600441501E-3</c:v>
                </c:pt>
                <c:pt idx="5">
                  <c:v>0</c:v>
                </c:pt>
                <c:pt idx="6">
                  <c:v>6.6225165562913912E-2</c:v>
                </c:pt>
                <c:pt idx="7">
                  <c:v>3.5761589403973511E-2</c:v>
                </c:pt>
                <c:pt idx="8">
                  <c:v>4.8565121412803532E-3</c:v>
                </c:pt>
                <c:pt idx="9">
                  <c:v>8.8300220750551876E-4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B6-43F9-9B19-C993F90BC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Bweya-Kajansi'!$AE$9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Bweya-Kajansi'!$AE$10:$AE$21</c:f>
              <c:numCache>
                <c:formatCode>0</c:formatCode>
                <c:ptCount val="12"/>
                <c:pt idx="0">
                  <c:v>203</c:v>
                </c:pt>
                <c:pt idx="1">
                  <c:v>191</c:v>
                </c:pt>
                <c:pt idx="2">
                  <c:v>158</c:v>
                </c:pt>
                <c:pt idx="3">
                  <c:v>152</c:v>
                </c:pt>
                <c:pt idx="4">
                  <c:v>150</c:v>
                </c:pt>
                <c:pt idx="5">
                  <c:v>168</c:v>
                </c:pt>
                <c:pt idx="6">
                  <c:v>201</c:v>
                </c:pt>
                <c:pt idx="7">
                  <c:v>170</c:v>
                </c:pt>
                <c:pt idx="8">
                  <c:v>164</c:v>
                </c:pt>
                <c:pt idx="9">
                  <c:v>202</c:v>
                </c:pt>
                <c:pt idx="10">
                  <c:v>224</c:v>
                </c:pt>
                <c:pt idx="11">
                  <c:v>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Bweya-Kajansi'!$AF$9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Bweya-Kajansi'!$AF$10:$AF$21</c:f>
              <c:numCache>
                <c:formatCode>0</c:formatCode>
                <c:ptCount val="12"/>
                <c:pt idx="0">
                  <c:v>384</c:v>
                </c:pt>
                <c:pt idx="1">
                  <c:v>393</c:v>
                </c:pt>
                <c:pt idx="2">
                  <c:v>278</c:v>
                </c:pt>
                <c:pt idx="3">
                  <c:v>292</c:v>
                </c:pt>
                <c:pt idx="4">
                  <c:v>280</c:v>
                </c:pt>
                <c:pt idx="5">
                  <c:v>284</c:v>
                </c:pt>
                <c:pt idx="6">
                  <c:v>308</c:v>
                </c:pt>
                <c:pt idx="7">
                  <c:v>280</c:v>
                </c:pt>
                <c:pt idx="8">
                  <c:v>272</c:v>
                </c:pt>
                <c:pt idx="9">
                  <c:v>340</c:v>
                </c:pt>
                <c:pt idx="10">
                  <c:v>375</c:v>
                </c:pt>
                <c:pt idx="11">
                  <c:v>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36416"/>
        <c:axId val="139846400"/>
      </c:lineChart>
      <c:catAx>
        <c:axId val="1398364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846400"/>
        <c:crosses val="autoZero"/>
        <c:auto val="1"/>
        <c:lblAlgn val="ctr"/>
        <c:lblOffset val="100"/>
        <c:noMultiLvlLbl val="0"/>
      </c:catAx>
      <c:valAx>
        <c:axId val="139846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83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Bweya-Kajansi'!$C$59:$N$59</c:f>
              <c:numCache>
                <c:formatCode>0.0%</c:formatCode>
                <c:ptCount val="12"/>
                <c:pt idx="0">
                  <c:v>0.33114422834049001</c:v>
                </c:pt>
                <c:pt idx="1">
                  <c:v>0.10431927254357161</c:v>
                </c:pt>
                <c:pt idx="2">
                  <c:v>4.6981561000252588E-2</c:v>
                </c:pt>
                <c:pt idx="3">
                  <c:v>2.3743369537762061E-2</c:v>
                </c:pt>
                <c:pt idx="4">
                  <c:v>3.2836574892649659E-3</c:v>
                </c:pt>
                <c:pt idx="5">
                  <c:v>1.2629451881788331E-3</c:v>
                </c:pt>
                <c:pt idx="6">
                  <c:v>5.3043697903510989E-2</c:v>
                </c:pt>
                <c:pt idx="7">
                  <c:v>6.3147259408941649E-3</c:v>
                </c:pt>
                <c:pt idx="8">
                  <c:v>2.5258903763576663E-4</c:v>
                </c:pt>
                <c:pt idx="9">
                  <c:v>5.0517807527153326E-4</c:v>
                </c:pt>
                <c:pt idx="10">
                  <c:v>0.42914877494316744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Bweya-Kajansi'!$S$9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Bweya-Kajansi'!$S$10:$S$21</c:f>
              <c:numCache>
                <c:formatCode>0</c:formatCode>
                <c:ptCount val="12"/>
                <c:pt idx="0">
                  <c:v>133</c:v>
                </c:pt>
                <c:pt idx="1">
                  <c:v>114</c:v>
                </c:pt>
                <c:pt idx="2">
                  <c:v>94</c:v>
                </c:pt>
                <c:pt idx="3">
                  <c:v>82</c:v>
                </c:pt>
                <c:pt idx="4">
                  <c:v>89</c:v>
                </c:pt>
                <c:pt idx="5">
                  <c:v>86</c:v>
                </c:pt>
                <c:pt idx="6">
                  <c:v>95</c:v>
                </c:pt>
                <c:pt idx="7">
                  <c:v>105</c:v>
                </c:pt>
                <c:pt idx="8">
                  <c:v>96</c:v>
                </c:pt>
                <c:pt idx="9">
                  <c:v>116</c:v>
                </c:pt>
                <c:pt idx="10">
                  <c:v>123</c:v>
                </c:pt>
                <c:pt idx="11">
                  <c:v>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Bweya-Kajansi'!$T$9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Bweya-Kajansi'!$T$10:$T$21</c:f>
              <c:numCache>
                <c:formatCode>0</c:formatCode>
                <c:ptCount val="12"/>
                <c:pt idx="0">
                  <c:v>39</c:v>
                </c:pt>
                <c:pt idx="1">
                  <c:v>35</c:v>
                </c:pt>
                <c:pt idx="2">
                  <c:v>27</c:v>
                </c:pt>
                <c:pt idx="3">
                  <c:v>29</c:v>
                </c:pt>
                <c:pt idx="4">
                  <c:v>16</c:v>
                </c:pt>
                <c:pt idx="5">
                  <c:v>33</c:v>
                </c:pt>
                <c:pt idx="6">
                  <c:v>46</c:v>
                </c:pt>
                <c:pt idx="7">
                  <c:v>29</c:v>
                </c:pt>
                <c:pt idx="8">
                  <c:v>30</c:v>
                </c:pt>
                <c:pt idx="9">
                  <c:v>35</c:v>
                </c:pt>
                <c:pt idx="10">
                  <c:v>52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Bweya-Kajansi'!$U$9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Bweya-Kajansi'!$U$10:$U$21</c:f>
              <c:numCache>
                <c:formatCode>0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17</c:v>
                </c:pt>
                <c:pt idx="3">
                  <c:v>17</c:v>
                </c:pt>
                <c:pt idx="4">
                  <c:v>19</c:v>
                </c:pt>
                <c:pt idx="5">
                  <c:v>15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Bweya-Kajansi'!$V$9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Bweya-Kajansi'!$V$10:$V$21</c:f>
              <c:numCache>
                <c:formatCode>0</c:formatCode>
                <c:ptCount val="12"/>
                <c:pt idx="0">
                  <c:v>14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7</c:v>
                </c:pt>
                <c:pt idx="7">
                  <c:v>2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Bweya-Kajansi'!$W$9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Bweya-Kajansi'!$X$9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Bweya-Kajansi'!$Y$9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Bweya-Kajansi'!$Y$10:$Y$21</c:f>
              <c:numCache>
                <c:formatCode>0</c:formatCode>
                <c:ptCount val="12"/>
                <c:pt idx="0">
                  <c:v>9</c:v>
                </c:pt>
                <c:pt idx="1">
                  <c:v>14</c:v>
                </c:pt>
                <c:pt idx="2">
                  <c:v>14</c:v>
                </c:pt>
                <c:pt idx="3">
                  <c:v>15</c:v>
                </c:pt>
                <c:pt idx="4">
                  <c:v>15</c:v>
                </c:pt>
                <c:pt idx="5">
                  <c:v>28</c:v>
                </c:pt>
                <c:pt idx="6">
                  <c:v>28</c:v>
                </c:pt>
                <c:pt idx="7">
                  <c:v>21</c:v>
                </c:pt>
                <c:pt idx="8">
                  <c:v>13</c:v>
                </c:pt>
                <c:pt idx="9">
                  <c:v>18</c:v>
                </c:pt>
                <c:pt idx="10">
                  <c:v>17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Bweya-Kajansi'!$Z$9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Bweya-Kajansi'!$AA$9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Bweya-Kajansi'!$AB$9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Bweya-Kajansi'!$AC$9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Bweya-Kajansi'!$AC$10:$AC$21</c:f>
              <c:numCache>
                <c:formatCode>0</c:formatCode>
                <c:ptCount val="12"/>
                <c:pt idx="0">
                  <c:v>181</c:v>
                </c:pt>
                <c:pt idx="1">
                  <c:v>202</c:v>
                </c:pt>
                <c:pt idx="2">
                  <c:v>120</c:v>
                </c:pt>
                <c:pt idx="3">
                  <c:v>140</c:v>
                </c:pt>
                <c:pt idx="4">
                  <c:v>130</c:v>
                </c:pt>
                <c:pt idx="5">
                  <c:v>116</c:v>
                </c:pt>
                <c:pt idx="6">
                  <c:v>107</c:v>
                </c:pt>
                <c:pt idx="7">
                  <c:v>110</c:v>
                </c:pt>
                <c:pt idx="8">
                  <c:v>108</c:v>
                </c:pt>
                <c:pt idx="9">
                  <c:v>138</c:v>
                </c:pt>
                <c:pt idx="10">
                  <c:v>151</c:v>
                </c:pt>
                <c:pt idx="11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Bweya-Kajansi'!$AD$9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Bweya-Kajansi'!$AD$10:$AD$21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612736"/>
        <c:axId val="140614272"/>
      </c:lineChart>
      <c:catAx>
        <c:axId val="1406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614272"/>
        <c:crosses val="autoZero"/>
        <c:auto val="1"/>
        <c:lblAlgn val="ctr"/>
        <c:lblOffset val="100"/>
        <c:noMultiLvlLbl val="0"/>
      </c:catAx>
      <c:valAx>
        <c:axId val="1406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61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Bweya-Kajansi'!$C$60:$N$60</c:f>
              <c:numCache>
                <c:formatCode>0.00%</c:formatCode>
                <c:ptCount val="12"/>
                <c:pt idx="0">
                  <c:v>0.58008849557522124</c:v>
                </c:pt>
                <c:pt idx="1">
                  <c:v>0.18274336283185841</c:v>
                </c:pt>
                <c:pt idx="2">
                  <c:v>8.2300884955752218E-2</c:v>
                </c:pt>
                <c:pt idx="3">
                  <c:v>4.15929203539823E-2</c:v>
                </c:pt>
                <c:pt idx="4">
                  <c:v>5.7522123893805309E-3</c:v>
                </c:pt>
                <c:pt idx="5">
                  <c:v>2.2123893805309734E-3</c:v>
                </c:pt>
                <c:pt idx="6">
                  <c:v>9.2920353982300891E-2</c:v>
                </c:pt>
                <c:pt idx="7">
                  <c:v>1.1061946902654867E-2</c:v>
                </c:pt>
                <c:pt idx="8">
                  <c:v>4.4247787610619468E-4</c:v>
                </c:pt>
                <c:pt idx="9">
                  <c:v>8.8495575221238937E-4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Kajansi-Bweya'!$AE$9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Kajansi-Bweya'!$AE$10:$AE$21</c:f>
              <c:numCache>
                <c:formatCode>0</c:formatCode>
                <c:ptCount val="12"/>
                <c:pt idx="0">
                  <c:v>222</c:v>
                </c:pt>
                <c:pt idx="1">
                  <c:v>193</c:v>
                </c:pt>
                <c:pt idx="2">
                  <c:v>164</c:v>
                </c:pt>
                <c:pt idx="3">
                  <c:v>132</c:v>
                </c:pt>
                <c:pt idx="4">
                  <c:v>132</c:v>
                </c:pt>
                <c:pt idx="5">
                  <c:v>105</c:v>
                </c:pt>
                <c:pt idx="6">
                  <c:v>122</c:v>
                </c:pt>
                <c:pt idx="7">
                  <c:v>135</c:v>
                </c:pt>
                <c:pt idx="8">
                  <c:v>207</c:v>
                </c:pt>
                <c:pt idx="9">
                  <c:v>246</c:v>
                </c:pt>
                <c:pt idx="10">
                  <c:v>205</c:v>
                </c:pt>
                <c:pt idx="11">
                  <c:v>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Kajansi-Bweya'!$AF$9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Kajansi-Bweya'!$AF$10:$AF$21</c:f>
              <c:numCache>
                <c:formatCode>0</c:formatCode>
                <c:ptCount val="12"/>
                <c:pt idx="0">
                  <c:v>340</c:v>
                </c:pt>
                <c:pt idx="1">
                  <c:v>335</c:v>
                </c:pt>
                <c:pt idx="2">
                  <c:v>287</c:v>
                </c:pt>
                <c:pt idx="3">
                  <c:v>249</c:v>
                </c:pt>
                <c:pt idx="4">
                  <c:v>238</c:v>
                </c:pt>
                <c:pt idx="5">
                  <c:v>204</c:v>
                </c:pt>
                <c:pt idx="6">
                  <c:v>219</c:v>
                </c:pt>
                <c:pt idx="7">
                  <c:v>236</c:v>
                </c:pt>
                <c:pt idx="8">
                  <c:v>294</c:v>
                </c:pt>
                <c:pt idx="9">
                  <c:v>379</c:v>
                </c:pt>
                <c:pt idx="10">
                  <c:v>326</c:v>
                </c:pt>
                <c:pt idx="11">
                  <c:v>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63936"/>
        <c:axId val="141465472"/>
      </c:lineChart>
      <c:catAx>
        <c:axId val="141463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465472"/>
        <c:crosses val="autoZero"/>
        <c:auto val="1"/>
        <c:lblAlgn val="ctr"/>
        <c:lblOffset val="100"/>
        <c:noMultiLvlLbl val="0"/>
      </c:catAx>
      <c:valAx>
        <c:axId val="141465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46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Kajansi-Bweya'!$C$59:$N$59</c:f>
              <c:numCache>
                <c:formatCode>0.0%</c:formatCode>
                <c:ptCount val="12"/>
                <c:pt idx="0">
                  <c:v>0.4246135899679207</c:v>
                </c:pt>
                <c:pt idx="1">
                  <c:v>6.1533974919801691E-2</c:v>
                </c:pt>
                <c:pt idx="2">
                  <c:v>4.4619422572178477E-2</c:v>
                </c:pt>
                <c:pt idx="3">
                  <c:v>7.2907553222513856E-3</c:v>
                </c:pt>
                <c:pt idx="4">
                  <c:v>2.0414114902303879E-3</c:v>
                </c:pt>
                <c:pt idx="5">
                  <c:v>0</c:v>
                </c:pt>
                <c:pt idx="6">
                  <c:v>3.4412365121026536E-2</c:v>
                </c:pt>
                <c:pt idx="7">
                  <c:v>2.4205307669874599E-2</c:v>
                </c:pt>
                <c:pt idx="8">
                  <c:v>2.9163021289005542E-3</c:v>
                </c:pt>
                <c:pt idx="9">
                  <c:v>2.9163021289005544E-4</c:v>
                </c:pt>
                <c:pt idx="10">
                  <c:v>0.39807524059492566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Kajansi-Bweya'!$C$60:$N$60</c:f>
              <c:numCache>
                <c:formatCode>0.00%</c:formatCode>
                <c:ptCount val="12"/>
                <c:pt idx="0">
                  <c:v>0.70542635658914732</c:v>
                </c:pt>
                <c:pt idx="1">
                  <c:v>0.10222868217054264</c:v>
                </c:pt>
                <c:pt idx="2">
                  <c:v>7.4127906976744193E-2</c:v>
                </c:pt>
                <c:pt idx="3">
                  <c:v>1.2112403100775194E-2</c:v>
                </c:pt>
                <c:pt idx="4">
                  <c:v>3.3914728682170542E-3</c:v>
                </c:pt>
                <c:pt idx="5">
                  <c:v>0</c:v>
                </c:pt>
                <c:pt idx="6">
                  <c:v>5.7170542635658912E-2</c:v>
                </c:pt>
                <c:pt idx="7">
                  <c:v>4.0213178294573645E-2</c:v>
                </c:pt>
                <c:pt idx="8">
                  <c:v>4.8449612403100775E-3</c:v>
                </c:pt>
                <c:pt idx="9">
                  <c:v>4.8449612403100775E-4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Munyonyo-Kajansi-24h'!$AE$9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Munyonyo-Kajansi-24h'!$R$10:$R$33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Munyonyo-Kajansi-24h'!$AE$10:$AE$33</c:f>
              <c:numCache>
                <c:formatCode>0</c:formatCode>
                <c:ptCount val="24"/>
                <c:pt idx="0">
                  <c:v>182</c:v>
                </c:pt>
                <c:pt idx="1">
                  <c:v>214</c:v>
                </c:pt>
                <c:pt idx="2">
                  <c:v>145</c:v>
                </c:pt>
                <c:pt idx="3">
                  <c:v>183</c:v>
                </c:pt>
                <c:pt idx="4">
                  <c:v>177</c:v>
                </c:pt>
                <c:pt idx="5">
                  <c:v>199</c:v>
                </c:pt>
                <c:pt idx="6">
                  <c:v>177</c:v>
                </c:pt>
                <c:pt idx="7">
                  <c:v>158</c:v>
                </c:pt>
                <c:pt idx="8">
                  <c:v>170</c:v>
                </c:pt>
                <c:pt idx="9">
                  <c:v>207</c:v>
                </c:pt>
                <c:pt idx="10">
                  <c:v>228</c:v>
                </c:pt>
                <c:pt idx="11">
                  <c:v>235</c:v>
                </c:pt>
                <c:pt idx="12">
                  <c:v>232</c:v>
                </c:pt>
                <c:pt idx="13">
                  <c:v>187</c:v>
                </c:pt>
                <c:pt idx="14">
                  <c:v>183</c:v>
                </c:pt>
                <c:pt idx="15">
                  <c:v>136</c:v>
                </c:pt>
                <c:pt idx="16">
                  <c:v>62</c:v>
                </c:pt>
                <c:pt idx="17">
                  <c:v>26</c:v>
                </c:pt>
                <c:pt idx="18">
                  <c:v>20</c:v>
                </c:pt>
                <c:pt idx="19">
                  <c:v>18</c:v>
                </c:pt>
                <c:pt idx="20">
                  <c:v>11</c:v>
                </c:pt>
                <c:pt idx="21">
                  <c:v>17</c:v>
                </c:pt>
                <c:pt idx="22">
                  <c:v>33</c:v>
                </c:pt>
                <c:pt idx="23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 Munyonyo-Kajansi-24h'!$AF$9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Munyonyo-Kajansi-24h'!$R$10:$R$33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Munyonyo-Kajansi-24h'!$AF$10:$AF$33</c:f>
              <c:numCache>
                <c:formatCode>0</c:formatCode>
                <c:ptCount val="24"/>
                <c:pt idx="0">
                  <c:v>377</c:v>
                </c:pt>
                <c:pt idx="1">
                  <c:v>340</c:v>
                </c:pt>
                <c:pt idx="2">
                  <c:v>271</c:v>
                </c:pt>
                <c:pt idx="3">
                  <c:v>319</c:v>
                </c:pt>
                <c:pt idx="4">
                  <c:v>289</c:v>
                </c:pt>
                <c:pt idx="5">
                  <c:v>302</c:v>
                </c:pt>
                <c:pt idx="6">
                  <c:v>289</c:v>
                </c:pt>
                <c:pt idx="7">
                  <c:v>280</c:v>
                </c:pt>
                <c:pt idx="8">
                  <c:v>294</c:v>
                </c:pt>
                <c:pt idx="9">
                  <c:v>349</c:v>
                </c:pt>
                <c:pt idx="10">
                  <c:v>380</c:v>
                </c:pt>
                <c:pt idx="11">
                  <c:v>434</c:v>
                </c:pt>
                <c:pt idx="12">
                  <c:v>388</c:v>
                </c:pt>
                <c:pt idx="13">
                  <c:v>329</c:v>
                </c:pt>
                <c:pt idx="14">
                  <c:v>260</c:v>
                </c:pt>
                <c:pt idx="15">
                  <c:v>182</c:v>
                </c:pt>
                <c:pt idx="16">
                  <c:v>89</c:v>
                </c:pt>
                <c:pt idx="17">
                  <c:v>38</c:v>
                </c:pt>
                <c:pt idx="18">
                  <c:v>29</c:v>
                </c:pt>
                <c:pt idx="19">
                  <c:v>25</c:v>
                </c:pt>
                <c:pt idx="20">
                  <c:v>15</c:v>
                </c:pt>
                <c:pt idx="21">
                  <c:v>20</c:v>
                </c:pt>
                <c:pt idx="22">
                  <c:v>40</c:v>
                </c:pt>
                <c:pt idx="23">
                  <c:v>202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94304"/>
        <c:axId val="141853440"/>
      </c:lineChart>
      <c:catAx>
        <c:axId val="141794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853440"/>
        <c:crosses val="autoZero"/>
        <c:auto val="1"/>
        <c:lblAlgn val="ctr"/>
        <c:lblOffset val="100"/>
        <c:noMultiLvlLbl val="0"/>
      </c:catAx>
      <c:valAx>
        <c:axId val="141853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7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Munyonyo-Kajansi-24h'!$C$9:$N$9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Munyonyo-Kajansi-24h'!$C$107:$N$107</c:f>
              <c:numCache>
                <c:formatCode>0.0%</c:formatCode>
                <c:ptCount val="12"/>
                <c:pt idx="0">
                  <c:v>0.36238946038621189</c:v>
                </c:pt>
                <c:pt idx="1">
                  <c:v>0.11423930698429886</c:v>
                </c:pt>
                <c:pt idx="2">
                  <c:v>4.8186247969680567E-2</c:v>
                </c:pt>
                <c:pt idx="3">
                  <c:v>2.6349034470312217E-2</c:v>
                </c:pt>
                <c:pt idx="4">
                  <c:v>3.4289839379173436E-3</c:v>
                </c:pt>
                <c:pt idx="5">
                  <c:v>1.4437827107020393E-3</c:v>
                </c:pt>
                <c:pt idx="6">
                  <c:v>3.7538350478253026E-2</c:v>
                </c:pt>
                <c:pt idx="7">
                  <c:v>5.7751308428081573E-3</c:v>
                </c:pt>
                <c:pt idx="8">
                  <c:v>1.0828370330265296E-3</c:v>
                </c:pt>
                <c:pt idx="9">
                  <c:v>7.2189135535101966E-4</c:v>
                </c:pt>
                <c:pt idx="10">
                  <c:v>0.39884497383143835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Munyonyo-Kajansi-24h'!$C$9:$N$9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Munyonyo-Kajansi-24h'!$C$108:$N$108</c:f>
              <c:numCache>
                <c:formatCode>0.00%</c:formatCode>
                <c:ptCount val="12"/>
                <c:pt idx="0">
                  <c:v>0.60282197538276794</c:v>
                </c:pt>
                <c:pt idx="1">
                  <c:v>0.19003302311618134</c:v>
                </c:pt>
                <c:pt idx="2">
                  <c:v>8.015610927649354E-2</c:v>
                </c:pt>
                <c:pt idx="3">
                  <c:v>4.3830681477033923E-2</c:v>
                </c:pt>
                <c:pt idx="4">
                  <c:v>5.7039927949564693E-3</c:v>
                </c:pt>
                <c:pt idx="5">
                  <c:v>2.4016811768237767E-3</c:v>
                </c:pt>
                <c:pt idx="6">
                  <c:v>6.2443710597418191E-2</c:v>
                </c:pt>
                <c:pt idx="7">
                  <c:v>9.6067247072951067E-3</c:v>
                </c:pt>
                <c:pt idx="8">
                  <c:v>1.8012608826178324E-3</c:v>
                </c:pt>
                <c:pt idx="9">
                  <c:v>1.2008405884118883E-3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Kajansi-Bweya-24h'!$AE$9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Kajansi-Bweya-24h'!$R$10:$R$33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Kajansi-Bweya-24h'!$AE$10:$AE$33</c:f>
              <c:numCache>
                <c:formatCode>0</c:formatCode>
                <c:ptCount val="24"/>
                <c:pt idx="0">
                  <c:v>237</c:v>
                </c:pt>
                <c:pt idx="1">
                  <c:v>184</c:v>
                </c:pt>
                <c:pt idx="2">
                  <c:v>139</c:v>
                </c:pt>
                <c:pt idx="3">
                  <c:v>136</c:v>
                </c:pt>
                <c:pt idx="4">
                  <c:v>110</c:v>
                </c:pt>
                <c:pt idx="5">
                  <c:v>137</c:v>
                </c:pt>
                <c:pt idx="6">
                  <c:v>131</c:v>
                </c:pt>
                <c:pt idx="7">
                  <c:v>175</c:v>
                </c:pt>
                <c:pt idx="8">
                  <c:v>211</c:v>
                </c:pt>
                <c:pt idx="9">
                  <c:v>275</c:v>
                </c:pt>
                <c:pt idx="10">
                  <c:v>275</c:v>
                </c:pt>
                <c:pt idx="11">
                  <c:v>205</c:v>
                </c:pt>
                <c:pt idx="12">
                  <c:v>195</c:v>
                </c:pt>
                <c:pt idx="13">
                  <c:v>140</c:v>
                </c:pt>
                <c:pt idx="14">
                  <c:v>128</c:v>
                </c:pt>
                <c:pt idx="15">
                  <c:v>86</c:v>
                </c:pt>
                <c:pt idx="16">
                  <c:v>41</c:v>
                </c:pt>
                <c:pt idx="17">
                  <c:v>27</c:v>
                </c:pt>
                <c:pt idx="18">
                  <c:v>17</c:v>
                </c:pt>
                <c:pt idx="19">
                  <c:v>31</c:v>
                </c:pt>
                <c:pt idx="20">
                  <c:v>21</c:v>
                </c:pt>
                <c:pt idx="21">
                  <c:v>21</c:v>
                </c:pt>
                <c:pt idx="22">
                  <c:v>29</c:v>
                </c:pt>
                <c:pt idx="23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 Kajansi-Bweya-24h'!$AF$9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Kajansi-Bweya-24h'!$R$10:$R$33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Kajansi-Bweya-24h'!$AF$10:$AF$33</c:f>
              <c:numCache>
                <c:formatCode>0</c:formatCode>
                <c:ptCount val="24"/>
                <c:pt idx="0">
                  <c:v>378</c:v>
                </c:pt>
                <c:pt idx="1">
                  <c:v>295</c:v>
                </c:pt>
                <c:pt idx="2">
                  <c:v>238</c:v>
                </c:pt>
                <c:pt idx="3">
                  <c:v>271</c:v>
                </c:pt>
                <c:pt idx="4">
                  <c:v>176</c:v>
                </c:pt>
                <c:pt idx="5">
                  <c:v>216</c:v>
                </c:pt>
                <c:pt idx="6">
                  <c:v>222</c:v>
                </c:pt>
                <c:pt idx="7">
                  <c:v>280</c:v>
                </c:pt>
                <c:pt idx="8">
                  <c:v>274</c:v>
                </c:pt>
                <c:pt idx="9">
                  <c:v>388</c:v>
                </c:pt>
                <c:pt idx="10">
                  <c:v>409</c:v>
                </c:pt>
                <c:pt idx="11">
                  <c:v>366</c:v>
                </c:pt>
                <c:pt idx="12">
                  <c:v>281</c:v>
                </c:pt>
                <c:pt idx="13">
                  <c:v>213</c:v>
                </c:pt>
                <c:pt idx="14">
                  <c:v>164</c:v>
                </c:pt>
                <c:pt idx="15">
                  <c:v>116</c:v>
                </c:pt>
                <c:pt idx="16">
                  <c:v>52</c:v>
                </c:pt>
                <c:pt idx="17">
                  <c:v>39</c:v>
                </c:pt>
                <c:pt idx="18">
                  <c:v>29</c:v>
                </c:pt>
                <c:pt idx="19">
                  <c:v>41</c:v>
                </c:pt>
                <c:pt idx="20">
                  <c:v>27</c:v>
                </c:pt>
                <c:pt idx="21">
                  <c:v>29</c:v>
                </c:pt>
                <c:pt idx="22">
                  <c:v>41</c:v>
                </c:pt>
                <c:pt idx="23">
                  <c:v>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50688"/>
        <c:axId val="144452224"/>
      </c:lineChart>
      <c:catAx>
        <c:axId val="144450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452224"/>
        <c:crosses val="autoZero"/>
        <c:auto val="1"/>
        <c:lblAlgn val="ctr"/>
        <c:lblOffset val="100"/>
        <c:noMultiLvlLbl val="0"/>
      </c:catAx>
      <c:valAx>
        <c:axId val="144452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45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Kajansi-Bweya-24h'!$C$9:$N$9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Kajansi-Bweya-24h'!$C$107:$N$107</c:f>
              <c:numCache>
                <c:formatCode>0.0%</c:formatCode>
                <c:ptCount val="12"/>
                <c:pt idx="0">
                  <c:v>0.44546621043627033</c:v>
                </c:pt>
                <c:pt idx="1">
                  <c:v>7.6347305389221562E-2</c:v>
                </c:pt>
                <c:pt idx="2">
                  <c:v>6.0521813515825494E-2</c:v>
                </c:pt>
                <c:pt idx="3">
                  <c:v>1.6253207869974338E-2</c:v>
                </c:pt>
                <c:pt idx="4">
                  <c:v>4.2771599657827203E-3</c:v>
                </c:pt>
                <c:pt idx="5">
                  <c:v>4.2771599657827201E-4</c:v>
                </c:pt>
                <c:pt idx="6">
                  <c:v>3.0153977758768179E-2</c:v>
                </c:pt>
                <c:pt idx="7">
                  <c:v>2.0102651839178785E-2</c:v>
                </c:pt>
                <c:pt idx="8">
                  <c:v>1.9247219846022241E-3</c:v>
                </c:pt>
                <c:pt idx="9">
                  <c:v>0</c:v>
                </c:pt>
                <c:pt idx="10">
                  <c:v>0.34452523524379813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Kajansi-Bweya-24h'!$C$9:$N$9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Kajansi-Bweya-24h'!$C$108:$N$108</c:f>
              <c:numCache>
                <c:formatCode>0.00%</c:formatCode>
                <c:ptCount val="12"/>
                <c:pt idx="0">
                  <c:v>0.67960848287112563</c:v>
                </c:pt>
                <c:pt idx="1">
                  <c:v>0.1164763458401305</c:v>
                </c:pt>
                <c:pt idx="2">
                  <c:v>9.233278955954323E-2</c:v>
                </c:pt>
                <c:pt idx="3">
                  <c:v>2.4796084828711255E-2</c:v>
                </c:pt>
                <c:pt idx="4">
                  <c:v>6.5252854812398045E-3</c:v>
                </c:pt>
                <c:pt idx="5">
                  <c:v>6.5252854812398043E-4</c:v>
                </c:pt>
                <c:pt idx="6">
                  <c:v>4.6003262642740621E-2</c:v>
                </c:pt>
                <c:pt idx="7">
                  <c:v>3.0668841761827079E-2</c:v>
                </c:pt>
                <c:pt idx="8">
                  <c:v>2.936378466557912E-3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Munyonyo-Kajansi'!$AE$9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Munyonyo-Kajansi'!$R$10:$R$21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Munyonyo-Kajansi'!$AE$10:$AE$21</c:f>
              <c:numCache>
                <c:formatCode>0</c:formatCode>
                <c:ptCount val="12"/>
                <c:pt idx="0">
                  <c:v>188</c:v>
                </c:pt>
                <c:pt idx="1">
                  <c:v>216</c:v>
                </c:pt>
                <c:pt idx="2">
                  <c:v>181</c:v>
                </c:pt>
                <c:pt idx="3">
                  <c:v>177</c:v>
                </c:pt>
                <c:pt idx="4">
                  <c:v>180</c:v>
                </c:pt>
                <c:pt idx="5">
                  <c:v>217</c:v>
                </c:pt>
                <c:pt idx="6">
                  <c:v>226</c:v>
                </c:pt>
                <c:pt idx="7">
                  <c:v>633</c:v>
                </c:pt>
                <c:pt idx="8">
                  <c:v>177</c:v>
                </c:pt>
                <c:pt idx="9">
                  <c:v>226</c:v>
                </c:pt>
                <c:pt idx="10">
                  <c:v>308</c:v>
                </c:pt>
                <c:pt idx="11">
                  <c:v>303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Munyonyo-Kajansi'!$AF$9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Munyonyo-Kajansi'!$R$10:$R$21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Munyonyo-Kajansi'!$AF$10:$AF$21</c:f>
              <c:numCache>
                <c:formatCode>0</c:formatCode>
                <c:ptCount val="12"/>
                <c:pt idx="0">
                  <c:v>343</c:v>
                </c:pt>
                <c:pt idx="1">
                  <c:v>375</c:v>
                </c:pt>
                <c:pt idx="2">
                  <c:v>326</c:v>
                </c:pt>
                <c:pt idx="3">
                  <c:v>331</c:v>
                </c:pt>
                <c:pt idx="4">
                  <c:v>328</c:v>
                </c:pt>
                <c:pt idx="5">
                  <c:v>355</c:v>
                </c:pt>
                <c:pt idx="6">
                  <c:v>328</c:v>
                </c:pt>
                <c:pt idx="7">
                  <c:v>753</c:v>
                </c:pt>
                <c:pt idx="8">
                  <c:v>274</c:v>
                </c:pt>
                <c:pt idx="9">
                  <c:v>346</c:v>
                </c:pt>
                <c:pt idx="10">
                  <c:v>456</c:v>
                </c:pt>
                <c:pt idx="11">
                  <c:v>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5440"/>
        <c:axId val="151011328"/>
      </c:lineChart>
      <c:catAx>
        <c:axId val="151005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1011328"/>
        <c:crosses val="autoZero"/>
        <c:auto val="1"/>
        <c:lblAlgn val="ctr"/>
        <c:lblOffset val="100"/>
        <c:noMultiLvlLbl val="0"/>
      </c:catAx>
      <c:valAx>
        <c:axId val="151011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100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Munyonyo-Kajansi'!$C$9:$N$9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Munyonyo-Kajansi'!$C$59:$N$59</c:f>
              <c:numCache>
                <c:formatCode>0.0%</c:formatCode>
                <c:ptCount val="12"/>
                <c:pt idx="0">
                  <c:v>0.32258064516129031</c:v>
                </c:pt>
                <c:pt idx="1">
                  <c:v>0.18820764793847469</c:v>
                </c:pt>
                <c:pt idx="2">
                  <c:v>4.9989318521683403E-2</c:v>
                </c:pt>
                <c:pt idx="3">
                  <c:v>2.7344584490493484E-2</c:v>
                </c:pt>
                <c:pt idx="4">
                  <c:v>3.4180730613116855E-3</c:v>
                </c:pt>
                <c:pt idx="5">
                  <c:v>2.3499252296517838E-3</c:v>
                </c:pt>
                <c:pt idx="6">
                  <c:v>4.5075838496047856E-2</c:v>
                </c:pt>
                <c:pt idx="7">
                  <c:v>5.3407391582995086E-3</c:v>
                </c:pt>
                <c:pt idx="8">
                  <c:v>1.9226660969878231E-3</c:v>
                </c:pt>
                <c:pt idx="9">
                  <c:v>1.4954069643238624E-3</c:v>
                </c:pt>
                <c:pt idx="10">
                  <c:v>0.35227515488143557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Munyonyo-Kajansi'!$S$9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Munyonyo-Kajansi'!$R$10:$R$21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Munyonyo-Kajansi'!$S$10:$S$21</c:f>
              <c:numCache>
                <c:formatCode>0</c:formatCode>
                <c:ptCount val="12"/>
                <c:pt idx="0">
                  <c:v>131</c:v>
                </c:pt>
                <c:pt idx="1">
                  <c:v>124</c:v>
                </c:pt>
                <c:pt idx="2">
                  <c:v>87</c:v>
                </c:pt>
                <c:pt idx="3">
                  <c:v>95</c:v>
                </c:pt>
                <c:pt idx="4">
                  <c:v>107</c:v>
                </c:pt>
                <c:pt idx="5">
                  <c:v>126</c:v>
                </c:pt>
                <c:pt idx="6">
                  <c:v>136</c:v>
                </c:pt>
                <c:pt idx="7">
                  <c:v>141</c:v>
                </c:pt>
                <c:pt idx="8">
                  <c:v>101</c:v>
                </c:pt>
                <c:pt idx="9">
                  <c:v>140</c:v>
                </c:pt>
                <c:pt idx="10">
                  <c:v>155</c:v>
                </c:pt>
                <c:pt idx="11">
                  <c:v>167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Munyonyo-Kajansi'!$T$9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Munyonyo-Kajansi'!$R$10:$R$21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Munyonyo-Kajansi'!$T$10:$T$21</c:f>
              <c:numCache>
                <c:formatCode>0</c:formatCode>
                <c:ptCount val="12"/>
                <c:pt idx="0">
                  <c:v>28</c:v>
                </c:pt>
                <c:pt idx="1">
                  <c:v>48</c:v>
                </c:pt>
                <c:pt idx="2">
                  <c:v>36</c:v>
                </c:pt>
                <c:pt idx="3">
                  <c:v>32</c:v>
                </c:pt>
                <c:pt idx="4">
                  <c:v>24</c:v>
                </c:pt>
                <c:pt idx="5">
                  <c:v>36</c:v>
                </c:pt>
                <c:pt idx="6">
                  <c:v>34</c:v>
                </c:pt>
                <c:pt idx="7">
                  <c:v>431</c:v>
                </c:pt>
                <c:pt idx="8">
                  <c:v>33</c:v>
                </c:pt>
                <c:pt idx="9">
                  <c:v>41</c:v>
                </c:pt>
                <c:pt idx="10">
                  <c:v>70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Munyonyo-Kajansi'!$U$9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Munyonyo-Kajansi'!$U$10:$U$21</c:f>
              <c:numCache>
                <c:formatCode>0</c:formatCode>
                <c:ptCount val="12"/>
                <c:pt idx="0">
                  <c:v>6</c:v>
                </c:pt>
                <c:pt idx="1">
                  <c:v>21</c:v>
                </c:pt>
                <c:pt idx="2">
                  <c:v>25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27</c:v>
                </c:pt>
                <c:pt idx="7">
                  <c:v>16</c:v>
                </c:pt>
                <c:pt idx="8">
                  <c:v>17</c:v>
                </c:pt>
                <c:pt idx="9">
                  <c:v>16</c:v>
                </c:pt>
                <c:pt idx="10">
                  <c:v>29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Munyonyo-Kajansi'!$V$9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Munyonyo-Kajansi'!$V$10:$V$21</c:f>
              <c:numCache>
                <c:formatCode>0</c:formatCode>
                <c:ptCount val="12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9</c:v>
                </c:pt>
                <c:pt idx="4">
                  <c:v>9</c:v>
                </c:pt>
                <c:pt idx="5">
                  <c:v>13</c:v>
                </c:pt>
                <c:pt idx="6">
                  <c:v>5</c:v>
                </c:pt>
                <c:pt idx="7">
                  <c:v>19</c:v>
                </c:pt>
                <c:pt idx="8">
                  <c:v>8</c:v>
                </c:pt>
                <c:pt idx="9">
                  <c:v>11</c:v>
                </c:pt>
                <c:pt idx="10">
                  <c:v>18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Munyonyo-Kajansi'!$W$9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Munyonyo-Kajansi'!$X$9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Munyonyo-Kajansi'!$Y$9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Munyonyo-Kajansi'!$Y$10:$Y$21</c:f>
              <c:numCache>
                <c:formatCode>0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26</c:v>
                </c:pt>
                <c:pt idx="3">
                  <c:v>19</c:v>
                </c:pt>
                <c:pt idx="4">
                  <c:v>20</c:v>
                </c:pt>
                <c:pt idx="5">
                  <c:v>13</c:v>
                </c:pt>
                <c:pt idx="6">
                  <c:v>17</c:v>
                </c:pt>
                <c:pt idx="7">
                  <c:v>22</c:v>
                </c:pt>
                <c:pt idx="8">
                  <c:v>16</c:v>
                </c:pt>
                <c:pt idx="9">
                  <c:v>12</c:v>
                </c:pt>
                <c:pt idx="10">
                  <c:v>29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Munyonyo-Kajansi'!$Z$9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Munyonyo-Kajansi'!$Z$10:$Z$21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Munyonyo-Kajansi'!$AA$9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Munyonyo-Kajansi'!$AB$9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Munyonyo-Kajansi'!$AC$9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Munyonyo-Kajansi'!$AC$10:$AC$21</c:f>
              <c:numCache>
                <c:formatCode>0</c:formatCode>
                <c:ptCount val="12"/>
                <c:pt idx="0">
                  <c:v>155</c:v>
                </c:pt>
                <c:pt idx="1">
                  <c:v>159</c:v>
                </c:pt>
                <c:pt idx="2">
                  <c:v>145</c:v>
                </c:pt>
                <c:pt idx="3">
                  <c:v>154</c:v>
                </c:pt>
                <c:pt idx="4">
                  <c:v>148</c:v>
                </c:pt>
                <c:pt idx="5">
                  <c:v>138</c:v>
                </c:pt>
                <c:pt idx="6">
                  <c:v>102</c:v>
                </c:pt>
                <c:pt idx="7">
                  <c:v>120</c:v>
                </c:pt>
                <c:pt idx="8">
                  <c:v>97</c:v>
                </c:pt>
                <c:pt idx="9">
                  <c:v>120</c:v>
                </c:pt>
                <c:pt idx="10">
                  <c:v>148</c:v>
                </c:pt>
                <c:pt idx="11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Munyonyo-Kajansi'!$AD$9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Munyonyo-Kajansi'!$AD$10:$AD$21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84672"/>
        <c:axId val="156686208"/>
      </c:lineChart>
      <c:catAx>
        <c:axId val="15668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686208"/>
        <c:crosses val="autoZero"/>
        <c:auto val="1"/>
        <c:lblAlgn val="ctr"/>
        <c:lblOffset val="100"/>
        <c:noMultiLvlLbl val="0"/>
      </c:catAx>
      <c:valAx>
        <c:axId val="15668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68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Munyonyo-Kajansi'!$C$9:$N$9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Munyonyo-Kajansi'!$C$60:$N$60</c:f>
              <c:numCache>
                <c:formatCode>0.00%</c:formatCode>
                <c:ptCount val="12"/>
                <c:pt idx="0">
                  <c:v>0.49802110817941952</c:v>
                </c:pt>
                <c:pt idx="1">
                  <c:v>0.29056728232189971</c:v>
                </c:pt>
                <c:pt idx="2">
                  <c:v>7.7176781002638528E-2</c:v>
                </c:pt>
                <c:pt idx="3">
                  <c:v>4.221635883905013E-2</c:v>
                </c:pt>
                <c:pt idx="4">
                  <c:v>5.2770448548812663E-3</c:v>
                </c:pt>
                <c:pt idx="5">
                  <c:v>3.6279683377308707E-3</c:v>
                </c:pt>
                <c:pt idx="6">
                  <c:v>6.9591029023746698E-2</c:v>
                </c:pt>
                <c:pt idx="7">
                  <c:v>8.2453825857519789E-3</c:v>
                </c:pt>
                <c:pt idx="8">
                  <c:v>2.9683377308707122E-3</c:v>
                </c:pt>
                <c:pt idx="9">
                  <c:v>2.3087071240105541E-3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'27.09Kasjansi-Munyonyo'!$AE$9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'27.09Kasjansi-Munyonyo'!$R$10:$R$21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'27.09Kasjansi-Munyonyo'!$AE$10:$AE$21</c:f>
              <c:numCache>
                <c:formatCode>0</c:formatCode>
                <c:ptCount val="12"/>
                <c:pt idx="0">
                  <c:v>282</c:v>
                </c:pt>
                <c:pt idx="1">
                  <c:v>209</c:v>
                </c:pt>
                <c:pt idx="2">
                  <c:v>146</c:v>
                </c:pt>
                <c:pt idx="3">
                  <c:v>145</c:v>
                </c:pt>
                <c:pt idx="4">
                  <c:v>178</c:v>
                </c:pt>
                <c:pt idx="5">
                  <c:v>148</c:v>
                </c:pt>
                <c:pt idx="6">
                  <c:v>173</c:v>
                </c:pt>
                <c:pt idx="7">
                  <c:v>220</c:v>
                </c:pt>
                <c:pt idx="8">
                  <c:v>229</c:v>
                </c:pt>
                <c:pt idx="9">
                  <c:v>269</c:v>
                </c:pt>
                <c:pt idx="10">
                  <c:v>248</c:v>
                </c:pt>
                <c:pt idx="11">
                  <c:v>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'27.09Kasjansi-Munyonyo'!$AF$9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'27.09Kasjansi-Munyonyo'!$R$10:$R$21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'27.09Kasjansi-Munyonyo'!$AF$10:$AF$21</c:f>
              <c:numCache>
                <c:formatCode>0</c:formatCode>
                <c:ptCount val="12"/>
                <c:pt idx="0">
                  <c:v>406</c:v>
                </c:pt>
                <c:pt idx="1">
                  <c:v>369</c:v>
                </c:pt>
                <c:pt idx="2">
                  <c:v>256</c:v>
                </c:pt>
                <c:pt idx="3">
                  <c:v>253</c:v>
                </c:pt>
                <c:pt idx="4">
                  <c:v>309</c:v>
                </c:pt>
                <c:pt idx="5">
                  <c:v>256</c:v>
                </c:pt>
                <c:pt idx="6">
                  <c:v>279</c:v>
                </c:pt>
                <c:pt idx="7">
                  <c:v>318</c:v>
                </c:pt>
                <c:pt idx="8">
                  <c:v>305</c:v>
                </c:pt>
                <c:pt idx="9">
                  <c:v>368</c:v>
                </c:pt>
                <c:pt idx="10">
                  <c:v>356</c:v>
                </c:pt>
                <c:pt idx="11">
                  <c:v>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52992"/>
        <c:axId val="157267072"/>
      </c:lineChart>
      <c:catAx>
        <c:axId val="157252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267072"/>
        <c:crosses val="autoZero"/>
        <c:auto val="1"/>
        <c:lblAlgn val="ctr"/>
        <c:lblOffset val="100"/>
        <c:noMultiLvlLbl val="0"/>
      </c:catAx>
      <c:valAx>
        <c:axId val="157267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25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'27.09Kasjansi-Munyonyo'!$C$9:$N$9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'27.09Kasjansi-Munyonyo'!$C$59:$N$59</c:f>
              <c:numCache>
                <c:formatCode>0.0%</c:formatCode>
                <c:ptCount val="12"/>
                <c:pt idx="0">
                  <c:v>0.46826625386996906</c:v>
                </c:pt>
                <c:pt idx="1">
                  <c:v>3.9215686274509803E-2</c:v>
                </c:pt>
                <c:pt idx="2">
                  <c:v>5.8307533539731685E-2</c:v>
                </c:pt>
                <c:pt idx="3">
                  <c:v>1.0577915376676987E-2</c:v>
                </c:pt>
                <c:pt idx="4">
                  <c:v>2.5799793601651187E-3</c:v>
                </c:pt>
                <c:pt idx="5">
                  <c:v>1.0319917440660474E-3</c:v>
                </c:pt>
                <c:pt idx="6">
                  <c:v>3.1991744066047469E-2</c:v>
                </c:pt>
                <c:pt idx="7">
                  <c:v>2.9669762641898866E-2</c:v>
                </c:pt>
                <c:pt idx="8">
                  <c:v>5.6759545923632613E-3</c:v>
                </c:pt>
                <c:pt idx="9">
                  <c:v>2.5799793601651185E-4</c:v>
                </c:pt>
                <c:pt idx="10">
                  <c:v>0.35242518059855521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'27.09Kasjansi-Munyonyo'!$S$9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'27.09Kasjansi-Munyonyo'!$R$10:$R$21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'27.09Kasjansi-Munyonyo'!$S$10:$S$21</c:f>
              <c:numCache>
                <c:formatCode>0</c:formatCode>
                <c:ptCount val="12"/>
                <c:pt idx="0">
                  <c:v>217</c:v>
                </c:pt>
                <c:pt idx="1">
                  <c:v>145</c:v>
                </c:pt>
                <c:pt idx="2">
                  <c:v>97</c:v>
                </c:pt>
                <c:pt idx="3">
                  <c:v>98</c:v>
                </c:pt>
                <c:pt idx="4">
                  <c:v>126</c:v>
                </c:pt>
                <c:pt idx="5">
                  <c:v>106</c:v>
                </c:pt>
                <c:pt idx="6">
                  <c:v>117</c:v>
                </c:pt>
                <c:pt idx="7">
                  <c:v>156</c:v>
                </c:pt>
                <c:pt idx="8">
                  <c:v>168</c:v>
                </c:pt>
                <c:pt idx="9">
                  <c:v>195</c:v>
                </c:pt>
                <c:pt idx="10">
                  <c:v>190</c:v>
                </c:pt>
                <c:pt idx="11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'27.09Kasjansi-Munyonyo'!$T$9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'27.09Kasjansi-Munyonyo'!$R$10:$R$21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'27.09Kasjansi-Munyonyo'!$T$10:$T$21</c:f>
              <c:numCache>
                <c:formatCode>0</c:formatCode>
                <c:ptCount val="12"/>
                <c:pt idx="0">
                  <c:v>16</c:v>
                </c:pt>
                <c:pt idx="1">
                  <c:v>23</c:v>
                </c:pt>
                <c:pt idx="2">
                  <c:v>12</c:v>
                </c:pt>
                <c:pt idx="3">
                  <c:v>15</c:v>
                </c:pt>
                <c:pt idx="4">
                  <c:v>8</c:v>
                </c:pt>
                <c:pt idx="5">
                  <c:v>5</c:v>
                </c:pt>
                <c:pt idx="6">
                  <c:v>9</c:v>
                </c:pt>
                <c:pt idx="7">
                  <c:v>25</c:v>
                </c:pt>
                <c:pt idx="8">
                  <c:v>6</c:v>
                </c:pt>
                <c:pt idx="9">
                  <c:v>14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'27.09Kasjansi-Munyonyo'!$U$9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'27.09Kasjansi-Munyonyo'!$U$10:$U$21</c:f>
              <c:numCache>
                <c:formatCode>0</c:formatCode>
                <c:ptCount val="12"/>
                <c:pt idx="0">
                  <c:v>20</c:v>
                </c:pt>
                <c:pt idx="1">
                  <c:v>23</c:v>
                </c:pt>
                <c:pt idx="2">
                  <c:v>16</c:v>
                </c:pt>
                <c:pt idx="3">
                  <c:v>15</c:v>
                </c:pt>
                <c:pt idx="4">
                  <c:v>21</c:v>
                </c:pt>
                <c:pt idx="5">
                  <c:v>11</c:v>
                </c:pt>
                <c:pt idx="6">
                  <c:v>16</c:v>
                </c:pt>
                <c:pt idx="7">
                  <c:v>15</c:v>
                </c:pt>
                <c:pt idx="8">
                  <c:v>19</c:v>
                </c:pt>
                <c:pt idx="9">
                  <c:v>25</c:v>
                </c:pt>
                <c:pt idx="10">
                  <c:v>15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'27.09Kasjansi-Munyonyo'!$V$9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'27.09Kasjansi-Munyonyo'!$V$10:$V$21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'27.09Kasjansi-Munyonyo'!$W$9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'27.09Kasjansi-Munyonyo'!$X$9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'27.09Kasjansi-Munyonyo'!$Y$9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'27.09Kasjansi-Munyonyo'!$Y$10:$Y$21</c:f>
              <c:numCache>
                <c:formatCode>0</c:formatCode>
                <c:ptCount val="12"/>
                <c:pt idx="0">
                  <c:v>15</c:v>
                </c:pt>
                <c:pt idx="1">
                  <c:v>7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  <c:pt idx="6">
                  <c:v>13</c:v>
                </c:pt>
                <c:pt idx="7">
                  <c:v>8</c:v>
                </c:pt>
                <c:pt idx="8">
                  <c:v>13</c:v>
                </c:pt>
                <c:pt idx="9">
                  <c:v>15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'27.09Kasjansi-Munyonyo'!$Z$9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'27.09Kasjansi-Munyonyo'!$Z$10:$Z$21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18</c:v>
                </c:pt>
                <c:pt idx="6">
                  <c:v>13</c:v>
                </c:pt>
                <c:pt idx="7">
                  <c:v>5</c:v>
                </c:pt>
                <c:pt idx="8">
                  <c:v>17</c:v>
                </c:pt>
                <c:pt idx="9">
                  <c:v>13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'27.09Kasjansi-Munyonyo'!$AA$9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'27.09Kasjansi-Munyonyo'!$AA$10:$AA$21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'27.09Kasjansi-Munyonyo'!$AB$9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'27.09Kasjansi-Munyonyo'!$AC$9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'27.09Kasjansi-Munyonyo'!$AC$10:$AC$21</c:f>
              <c:numCache>
                <c:formatCode>0</c:formatCode>
                <c:ptCount val="12"/>
                <c:pt idx="0">
                  <c:v>124</c:v>
                </c:pt>
                <c:pt idx="1">
                  <c:v>160</c:v>
                </c:pt>
                <c:pt idx="2">
                  <c:v>110</c:v>
                </c:pt>
                <c:pt idx="3">
                  <c:v>108</c:v>
                </c:pt>
                <c:pt idx="4">
                  <c:v>131</c:v>
                </c:pt>
                <c:pt idx="5">
                  <c:v>108</c:v>
                </c:pt>
                <c:pt idx="6">
                  <c:v>106</c:v>
                </c:pt>
                <c:pt idx="7">
                  <c:v>98</c:v>
                </c:pt>
                <c:pt idx="8">
                  <c:v>76</c:v>
                </c:pt>
                <c:pt idx="9">
                  <c:v>99</c:v>
                </c:pt>
                <c:pt idx="10">
                  <c:v>108</c:v>
                </c:pt>
                <c:pt idx="11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'27.09Kasjansi-Munyonyo'!$AD$9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'27.09Kasjansi-Munyonyo'!$AD$10:$AD$21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77440"/>
        <c:axId val="71678976"/>
      </c:lineChart>
      <c:catAx>
        <c:axId val="7167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678976"/>
        <c:crosses val="autoZero"/>
        <c:auto val="1"/>
        <c:lblAlgn val="ctr"/>
        <c:lblOffset val="100"/>
        <c:noMultiLvlLbl val="0"/>
      </c:catAx>
      <c:valAx>
        <c:axId val="716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6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'27.09Kasjansi-Munyonyo'!$C$9:$N$9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'27.09Kasjansi-Munyonyo'!$C$60:$N$60</c:f>
              <c:numCache>
                <c:formatCode>0.00%</c:formatCode>
                <c:ptCount val="12"/>
                <c:pt idx="0">
                  <c:v>0.72310756972111556</c:v>
                </c:pt>
                <c:pt idx="1">
                  <c:v>6.0557768924302792E-2</c:v>
                </c:pt>
                <c:pt idx="2">
                  <c:v>9.00398406374502E-2</c:v>
                </c:pt>
                <c:pt idx="3">
                  <c:v>1.6334661354581673E-2</c:v>
                </c:pt>
                <c:pt idx="4">
                  <c:v>3.9840637450199202E-3</c:v>
                </c:pt>
                <c:pt idx="5">
                  <c:v>1.5936254980079682E-3</c:v>
                </c:pt>
                <c:pt idx="6">
                  <c:v>4.9402390438247012E-2</c:v>
                </c:pt>
                <c:pt idx="7">
                  <c:v>4.5816733067729085E-2</c:v>
                </c:pt>
                <c:pt idx="8">
                  <c:v>8.7649402390438252E-3</c:v>
                </c:pt>
                <c:pt idx="9">
                  <c:v>3.9840637450199205E-4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Kajansi-Bweya-24h'!$AE$9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Kajansi-Bweya-24h'!$R$10:$R$33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Kajansi-Bweya-24h'!$AE$10:$AE$33</c:f>
              <c:numCache>
                <c:formatCode>0</c:formatCode>
                <c:ptCount val="24"/>
                <c:pt idx="0">
                  <c:v>123</c:v>
                </c:pt>
                <c:pt idx="1">
                  <c:v>176</c:v>
                </c:pt>
                <c:pt idx="2">
                  <c:v>209</c:v>
                </c:pt>
                <c:pt idx="3">
                  <c:v>187</c:v>
                </c:pt>
                <c:pt idx="4">
                  <c:v>240</c:v>
                </c:pt>
                <c:pt idx="5">
                  <c:v>243</c:v>
                </c:pt>
                <c:pt idx="6">
                  <c:v>296</c:v>
                </c:pt>
                <c:pt idx="7">
                  <c:v>336</c:v>
                </c:pt>
                <c:pt idx="8">
                  <c:v>332</c:v>
                </c:pt>
                <c:pt idx="9">
                  <c:v>354</c:v>
                </c:pt>
                <c:pt idx="10">
                  <c:v>354</c:v>
                </c:pt>
                <c:pt idx="11">
                  <c:v>329</c:v>
                </c:pt>
                <c:pt idx="12">
                  <c:v>263</c:v>
                </c:pt>
                <c:pt idx="13">
                  <c:v>248</c:v>
                </c:pt>
                <c:pt idx="14">
                  <c:v>159</c:v>
                </c:pt>
                <c:pt idx="15">
                  <c:v>150</c:v>
                </c:pt>
                <c:pt idx="16">
                  <c:v>97</c:v>
                </c:pt>
                <c:pt idx="17">
                  <c:v>63</c:v>
                </c:pt>
                <c:pt idx="18">
                  <c:v>28</c:v>
                </c:pt>
                <c:pt idx="19">
                  <c:v>35</c:v>
                </c:pt>
                <c:pt idx="20">
                  <c:v>15</c:v>
                </c:pt>
                <c:pt idx="21">
                  <c:v>17</c:v>
                </c:pt>
                <c:pt idx="22">
                  <c:v>7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Kajansi-Bweya-24h'!$AF$9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Kajansi-Bweya-24h'!$R$10:$R$33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Kajansi-Bweya-24h'!$AF$10:$AF$33</c:f>
              <c:numCache>
                <c:formatCode>0</c:formatCode>
                <c:ptCount val="24"/>
                <c:pt idx="0">
                  <c:v>235</c:v>
                </c:pt>
                <c:pt idx="1">
                  <c:v>344</c:v>
                </c:pt>
                <c:pt idx="2">
                  <c:v>367</c:v>
                </c:pt>
                <c:pt idx="3">
                  <c:v>309</c:v>
                </c:pt>
                <c:pt idx="4">
                  <c:v>359</c:v>
                </c:pt>
                <c:pt idx="5">
                  <c:v>350</c:v>
                </c:pt>
                <c:pt idx="6">
                  <c:v>418</c:v>
                </c:pt>
                <c:pt idx="7">
                  <c:v>495</c:v>
                </c:pt>
                <c:pt idx="8">
                  <c:v>423</c:v>
                </c:pt>
                <c:pt idx="9">
                  <c:v>467</c:v>
                </c:pt>
                <c:pt idx="10">
                  <c:v>470</c:v>
                </c:pt>
                <c:pt idx="11">
                  <c:v>493</c:v>
                </c:pt>
                <c:pt idx="12">
                  <c:v>376</c:v>
                </c:pt>
                <c:pt idx="13">
                  <c:v>378</c:v>
                </c:pt>
                <c:pt idx="14">
                  <c:v>211</c:v>
                </c:pt>
                <c:pt idx="15">
                  <c:v>210</c:v>
                </c:pt>
                <c:pt idx="16">
                  <c:v>138</c:v>
                </c:pt>
                <c:pt idx="17">
                  <c:v>91</c:v>
                </c:pt>
                <c:pt idx="18">
                  <c:v>41</c:v>
                </c:pt>
                <c:pt idx="19">
                  <c:v>46</c:v>
                </c:pt>
                <c:pt idx="20">
                  <c:v>24</c:v>
                </c:pt>
                <c:pt idx="21">
                  <c:v>22</c:v>
                </c:pt>
                <c:pt idx="22">
                  <c:v>12</c:v>
                </c:pt>
                <c:pt idx="23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19840"/>
        <c:axId val="72821376"/>
      </c:lineChart>
      <c:catAx>
        <c:axId val="72819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21376"/>
        <c:crosses val="autoZero"/>
        <c:auto val="1"/>
        <c:lblAlgn val="ctr"/>
        <c:lblOffset val="100"/>
        <c:noMultiLvlLbl val="0"/>
      </c:catAx>
      <c:valAx>
        <c:axId val="72821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Kajansi-Bweya-24h'!$C$9:$N$9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Kajansi-Bweya-24h'!$C$107:$N$107</c:f>
              <c:numCache>
                <c:formatCode>0.0%</c:formatCode>
                <c:ptCount val="12"/>
                <c:pt idx="0">
                  <c:v>0.50937450764140535</c:v>
                </c:pt>
                <c:pt idx="1">
                  <c:v>5.6562155348983775E-2</c:v>
                </c:pt>
                <c:pt idx="2">
                  <c:v>4.7423979832991965E-2</c:v>
                </c:pt>
                <c:pt idx="3">
                  <c:v>1.4652591775642036E-2</c:v>
                </c:pt>
                <c:pt idx="4">
                  <c:v>4.4115330077201826E-3</c:v>
                </c:pt>
                <c:pt idx="5">
                  <c:v>9.453285016543249E-4</c:v>
                </c:pt>
                <c:pt idx="6">
                  <c:v>2.8044745549078303E-2</c:v>
                </c:pt>
                <c:pt idx="7">
                  <c:v>1.2919489522609106E-2</c:v>
                </c:pt>
                <c:pt idx="8">
                  <c:v>3.9388687568930204E-3</c:v>
                </c:pt>
                <c:pt idx="9">
                  <c:v>0</c:v>
                </c:pt>
                <c:pt idx="10">
                  <c:v>0.32156924531274617</c:v>
                </c:pt>
                <c:pt idx="11">
                  <c:v>1.5755475027572083E-4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Kajansi-Bweya-24h'!$C$9:$N$9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Kajansi-Bweya-24h'!$C$108:$N$108</c:f>
              <c:numCache>
                <c:formatCode>0.00%</c:formatCode>
                <c:ptCount val="12"/>
                <c:pt idx="0">
                  <c:v>0.75081281932187649</c:v>
                </c:pt>
                <c:pt idx="1">
                  <c:v>8.3372039015327457E-2</c:v>
                </c:pt>
                <c:pt idx="2">
                  <c:v>6.9902461681374831E-2</c:v>
                </c:pt>
                <c:pt idx="3">
                  <c:v>2.1597770552717138E-2</c:v>
                </c:pt>
                <c:pt idx="4">
                  <c:v>6.5025545750116119E-3</c:v>
                </c:pt>
                <c:pt idx="5">
                  <c:v>1.3934045517882026E-3</c:v>
                </c:pt>
                <c:pt idx="6">
                  <c:v>4.1337668369716675E-2</c:v>
                </c:pt>
                <c:pt idx="7">
                  <c:v>1.9043195541105434E-2</c:v>
                </c:pt>
                <c:pt idx="8">
                  <c:v>5.8058522991175105E-3</c:v>
                </c:pt>
                <c:pt idx="9">
                  <c:v>0</c:v>
                </c:pt>
                <c:pt idx="11">
                  <c:v>2.3223409196470042E-4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Kajansi-Bweya-24h'!$AE$9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Kajansi-Bweya-24h'!$R$10:$R$33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Kajansi-Bweya-24h'!$AE$10:$AE$33</c:f>
              <c:numCache>
                <c:formatCode>General</c:formatCode>
                <c:ptCount val="24"/>
                <c:pt idx="0">
                  <c:v>123</c:v>
                </c:pt>
                <c:pt idx="1">
                  <c:v>176</c:v>
                </c:pt>
                <c:pt idx="2">
                  <c:v>209</c:v>
                </c:pt>
                <c:pt idx="3">
                  <c:v>187</c:v>
                </c:pt>
                <c:pt idx="4">
                  <c:v>240</c:v>
                </c:pt>
                <c:pt idx="5">
                  <c:v>243</c:v>
                </c:pt>
                <c:pt idx="6">
                  <c:v>296</c:v>
                </c:pt>
                <c:pt idx="7">
                  <c:v>336</c:v>
                </c:pt>
                <c:pt idx="8">
                  <c:v>332</c:v>
                </c:pt>
                <c:pt idx="9">
                  <c:v>354</c:v>
                </c:pt>
                <c:pt idx="10">
                  <c:v>354</c:v>
                </c:pt>
                <c:pt idx="11">
                  <c:v>329</c:v>
                </c:pt>
                <c:pt idx="12">
                  <c:v>263</c:v>
                </c:pt>
                <c:pt idx="13">
                  <c:v>248</c:v>
                </c:pt>
                <c:pt idx="14">
                  <c:v>159</c:v>
                </c:pt>
                <c:pt idx="15">
                  <c:v>150</c:v>
                </c:pt>
                <c:pt idx="16">
                  <c:v>97</c:v>
                </c:pt>
                <c:pt idx="17">
                  <c:v>63</c:v>
                </c:pt>
                <c:pt idx="18">
                  <c:v>28</c:v>
                </c:pt>
                <c:pt idx="19">
                  <c:v>35</c:v>
                </c:pt>
                <c:pt idx="20">
                  <c:v>15</c:v>
                </c:pt>
                <c:pt idx="21">
                  <c:v>17</c:v>
                </c:pt>
                <c:pt idx="22">
                  <c:v>7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9E-4579-BB98-E74AAFD02A50}"/>
            </c:ext>
          </c:extLst>
        </c:ser>
        <c:ser>
          <c:idx val="1"/>
          <c:order val="1"/>
          <c:tx>
            <c:strRef>
              <c:f>'[2]28.09 Kajansi-Bweya-24h'!$AF$9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Kajansi-Bweya-24h'!$R$10:$R$33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Kajansi-Bweya-24h'!$AF$10:$AF$33</c:f>
              <c:numCache>
                <c:formatCode>General</c:formatCode>
                <c:ptCount val="24"/>
                <c:pt idx="0">
                  <c:v>235</c:v>
                </c:pt>
                <c:pt idx="1">
                  <c:v>344</c:v>
                </c:pt>
                <c:pt idx="2">
                  <c:v>367</c:v>
                </c:pt>
                <c:pt idx="3">
                  <c:v>309</c:v>
                </c:pt>
                <c:pt idx="4">
                  <c:v>359</c:v>
                </c:pt>
                <c:pt idx="5">
                  <c:v>350</c:v>
                </c:pt>
                <c:pt idx="6">
                  <c:v>418</c:v>
                </c:pt>
                <c:pt idx="7">
                  <c:v>495</c:v>
                </c:pt>
                <c:pt idx="8">
                  <c:v>423</c:v>
                </c:pt>
                <c:pt idx="9">
                  <c:v>467</c:v>
                </c:pt>
                <c:pt idx="10">
                  <c:v>470</c:v>
                </c:pt>
                <c:pt idx="11">
                  <c:v>493</c:v>
                </c:pt>
                <c:pt idx="12">
                  <c:v>376</c:v>
                </c:pt>
                <c:pt idx="13">
                  <c:v>378</c:v>
                </c:pt>
                <c:pt idx="14">
                  <c:v>211</c:v>
                </c:pt>
                <c:pt idx="15">
                  <c:v>210</c:v>
                </c:pt>
                <c:pt idx="16">
                  <c:v>138</c:v>
                </c:pt>
                <c:pt idx="17">
                  <c:v>91</c:v>
                </c:pt>
                <c:pt idx="18">
                  <c:v>41</c:v>
                </c:pt>
                <c:pt idx="19">
                  <c:v>46</c:v>
                </c:pt>
                <c:pt idx="20">
                  <c:v>24</c:v>
                </c:pt>
                <c:pt idx="21">
                  <c:v>22</c:v>
                </c:pt>
                <c:pt idx="22">
                  <c:v>12</c:v>
                </c:pt>
                <c:pt idx="23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9E-4579-BB98-E74AAFD02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32736"/>
        <c:axId val="74534272"/>
      </c:lineChart>
      <c:catAx>
        <c:axId val="74532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534272"/>
        <c:crosses val="autoZero"/>
        <c:auto val="1"/>
        <c:lblAlgn val="ctr"/>
        <c:lblOffset val="100"/>
        <c:noMultiLvlLbl val="0"/>
      </c:catAx>
      <c:valAx>
        <c:axId val="74534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5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3C-4112-B57D-825F0BAC5D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3C-4112-B57D-825F0BAC5D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3C-4112-B57D-825F0BAC5D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3C-4112-B57D-825F0BAC5D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3C-4112-B57D-825F0BAC5D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3C-4112-B57D-825F0BAC5D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A3C-4112-B57D-825F0BAC5D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A3C-4112-B57D-825F0BAC5D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A3C-4112-B57D-825F0BAC5DB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A3C-4112-B57D-825F0BAC5DB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A3C-4112-B57D-825F0BAC5DB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A3C-4112-B57D-825F0BAC5DB6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A3C-4112-B57D-825F0BAC5D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Kajansi-Bweya-24h'!$C$9:$N$9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Kajansi-Bweya-24h'!$C$107:$N$107</c:f>
              <c:numCache>
                <c:formatCode>General</c:formatCode>
                <c:ptCount val="12"/>
                <c:pt idx="0">
                  <c:v>0.50937450764140535</c:v>
                </c:pt>
                <c:pt idx="1">
                  <c:v>5.6562155348983775E-2</c:v>
                </c:pt>
                <c:pt idx="2">
                  <c:v>4.7423979832991965E-2</c:v>
                </c:pt>
                <c:pt idx="3">
                  <c:v>1.4652591775642036E-2</c:v>
                </c:pt>
                <c:pt idx="4">
                  <c:v>4.4115330077201826E-3</c:v>
                </c:pt>
                <c:pt idx="5">
                  <c:v>9.453285016543249E-4</c:v>
                </c:pt>
                <c:pt idx="6">
                  <c:v>2.8044745549078303E-2</c:v>
                </c:pt>
                <c:pt idx="7">
                  <c:v>1.2919489522609106E-2</c:v>
                </c:pt>
                <c:pt idx="8">
                  <c:v>3.9388687568930204E-3</c:v>
                </c:pt>
                <c:pt idx="9">
                  <c:v>0</c:v>
                </c:pt>
                <c:pt idx="10">
                  <c:v>0.32156924531274617</c:v>
                </c:pt>
                <c:pt idx="11">
                  <c:v>1.5755475027572083E-4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3C-4112-B57D-825F0BAC5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4-4415-9214-738D084E35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4-4415-9214-738D084E35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4-4415-9214-738D084E35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4-4415-9214-738D084E35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4-4415-9214-738D084E35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4-4415-9214-738D084E35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4-4415-9214-738D084E35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4-4415-9214-738D084E35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4-4415-9214-738D084E35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4-4415-9214-738D084E35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4-4415-9214-738D084E356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4-4415-9214-738D084E3561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4-4415-9214-738D084E35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Kajansi-Bweya-24h'!$C$9:$N$9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Kajansi-Bweya-24h'!$C$108:$N$108</c:f>
              <c:numCache>
                <c:formatCode>General</c:formatCode>
                <c:ptCount val="12"/>
                <c:pt idx="0">
                  <c:v>0.75081281932187649</c:v>
                </c:pt>
                <c:pt idx="1">
                  <c:v>8.3372039015327457E-2</c:v>
                </c:pt>
                <c:pt idx="2">
                  <c:v>6.9902461681374831E-2</c:v>
                </c:pt>
                <c:pt idx="3">
                  <c:v>2.1597770552717138E-2</c:v>
                </c:pt>
                <c:pt idx="4">
                  <c:v>6.5025545750116119E-3</c:v>
                </c:pt>
                <c:pt idx="5">
                  <c:v>1.3934045517882026E-3</c:v>
                </c:pt>
                <c:pt idx="6">
                  <c:v>4.1337668369716675E-2</c:v>
                </c:pt>
                <c:pt idx="7">
                  <c:v>1.9043195541105434E-2</c:v>
                </c:pt>
                <c:pt idx="8">
                  <c:v>5.8058522991175105E-3</c:v>
                </c:pt>
                <c:pt idx="9">
                  <c:v>0</c:v>
                </c:pt>
                <c:pt idx="11">
                  <c:v>2.3223409196470042E-4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4-4415-9214-738D084E3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Bweya-Kajansi-24h'!$AE$9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Bweya-Kajansi-24h'!$R$10:$R$33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Bweya-Kajansi-24h'!$AE$10:$AE$33</c:f>
              <c:numCache>
                <c:formatCode>0</c:formatCode>
                <c:ptCount val="24"/>
                <c:pt idx="0">
                  <c:v>125</c:v>
                </c:pt>
                <c:pt idx="1">
                  <c:v>178</c:v>
                </c:pt>
                <c:pt idx="2">
                  <c:v>182</c:v>
                </c:pt>
                <c:pt idx="3">
                  <c:v>235</c:v>
                </c:pt>
                <c:pt idx="4">
                  <c:v>285</c:v>
                </c:pt>
                <c:pt idx="5">
                  <c:v>248</c:v>
                </c:pt>
                <c:pt idx="6">
                  <c:v>278</c:v>
                </c:pt>
                <c:pt idx="7">
                  <c:v>260</c:v>
                </c:pt>
                <c:pt idx="8">
                  <c:v>240</c:v>
                </c:pt>
                <c:pt idx="9">
                  <c:v>247</c:v>
                </c:pt>
                <c:pt idx="10">
                  <c:v>238</c:v>
                </c:pt>
                <c:pt idx="11">
                  <c:v>262</c:v>
                </c:pt>
                <c:pt idx="12">
                  <c:v>268</c:v>
                </c:pt>
                <c:pt idx="13">
                  <c:v>239</c:v>
                </c:pt>
                <c:pt idx="14">
                  <c:v>271</c:v>
                </c:pt>
                <c:pt idx="15">
                  <c:v>210</c:v>
                </c:pt>
                <c:pt idx="16">
                  <c:v>182</c:v>
                </c:pt>
                <c:pt idx="17">
                  <c:v>94</c:v>
                </c:pt>
                <c:pt idx="18">
                  <c:v>51</c:v>
                </c:pt>
                <c:pt idx="19">
                  <c:v>30</c:v>
                </c:pt>
                <c:pt idx="20">
                  <c:v>11</c:v>
                </c:pt>
                <c:pt idx="21">
                  <c:v>27</c:v>
                </c:pt>
                <c:pt idx="22">
                  <c:v>16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Bweya-Kajansi-24h'!$AF$9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Bweya-Kajansi-24h'!$R$10:$R$33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Bweya-Kajansi-24h'!$AF$10:$AF$33</c:f>
              <c:numCache>
                <c:formatCode>0</c:formatCode>
                <c:ptCount val="24"/>
                <c:pt idx="0">
                  <c:v>249</c:v>
                </c:pt>
                <c:pt idx="1">
                  <c:v>370</c:v>
                </c:pt>
                <c:pt idx="2">
                  <c:v>351</c:v>
                </c:pt>
                <c:pt idx="3">
                  <c:v>392</c:v>
                </c:pt>
                <c:pt idx="4">
                  <c:v>431</c:v>
                </c:pt>
                <c:pt idx="5">
                  <c:v>389</c:v>
                </c:pt>
                <c:pt idx="6">
                  <c:v>415</c:v>
                </c:pt>
                <c:pt idx="7">
                  <c:v>397</c:v>
                </c:pt>
                <c:pt idx="8">
                  <c:v>357</c:v>
                </c:pt>
                <c:pt idx="9">
                  <c:v>412</c:v>
                </c:pt>
                <c:pt idx="10">
                  <c:v>364</c:v>
                </c:pt>
                <c:pt idx="11">
                  <c:v>417</c:v>
                </c:pt>
                <c:pt idx="12">
                  <c:v>403</c:v>
                </c:pt>
                <c:pt idx="13">
                  <c:v>383</c:v>
                </c:pt>
                <c:pt idx="14">
                  <c:v>352</c:v>
                </c:pt>
                <c:pt idx="15">
                  <c:v>261</c:v>
                </c:pt>
                <c:pt idx="16">
                  <c:v>225</c:v>
                </c:pt>
                <c:pt idx="17">
                  <c:v>117</c:v>
                </c:pt>
                <c:pt idx="18">
                  <c:v>65</c:v>
                </c:pt>
                <c:pt idx="19">
                  <c:v>42</c:v>
                </c:pt>
                <c:pt idx="20">
                  <c:v>16</c:v>
                </c:pt>
                <c:pt idx="21">
                  <c:v>34</c:v>
                </c:pt>
                <c:pt idx="22">
                  <c:v>28</c:v>
                </c:pt>
                <c:pt idx="23">
                  <c:v>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04320"/>
        <c:axId val="74905856"/>
      </c:lineChart>
      <c:catAx>
        <c:axId val="74904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905856"/>
        <c:crosses val="autoZero"/>
        <c:auto val="1"/>
        <c:lblAlgn val="ctr"/>
        <c:lblOffset val="100"/>
        <c:noMultiLvlLbl val="0"/>
      </c:catAx>
      <c:valAx>
        <c:axId val="749058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490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Bweya-Kajansi-24h'!$C$9:$N$9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Bweya-Kajansi-24h'!$C$107:$N$107</c:f>
              <c:numCache>
                <c:formatCode>0.0%</c:formatCode>
                <c:ptCount val="12"/>
                <c:pt idx="0">
                  <c:v>0.40475102786660577</c:v>
                </c:pt>
                <c:pt idx="1">
                  <c:v>0.12319171615654027</c:v>
                </c:pt>
                <c:pt idx="2">
                  <c:v>4.2637429572102939E-2</c:v>
                </c:pt>
                <c:pt idx="3">
                  <c:v>2.1166438251865389E-2</c:v>
                </c:pt>
                <c:pt idx="4">
                  <c:v>2.7409776153494748E-3</c:v>
                </c:pt>
                <c:pt idx="5">
                  <c:v>2.4364245469773106E-3</c:v>
                </c:pt>
                <c:pt idx="6">
                  <c:v>3.8678239683264809E-2</c:v>
                </c:pt>
                <c:pt idx="7">
                  <c:v>3.6546368204659662E-3</c:v>
                </c:pt>
                <c:pt idx="8">
                  <c:v>2.4364245469773106E-3</c:v>
                </c:pt>
                <c:pt idx="9">
                  <c:v>3.0455306837216383E-4</c:v>
                </c:pt>
                <c:pt idx="10">
                  <c:v>0.35800213187147861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Bweya-Kajansi-24h'!$C$9:$N$9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Bweya-Kajansi-24h'!$C$108:$N$108</c:f>
              <c:numCache>
                <c:formatCode>0.00%</c:formatCode>
                <c:ptCount val="12"/>
                <c:pt idx="0">
                  <c:v>0.6304554079696395</c:v>
                </c:pt>
                <c:pt idx="1">
                  <c:v>0.19188804554079697</c:v>
                </c:pt>
                <c:pt idx="2">
                  <c:v>6.6413662239089177E-2</c:v>
                </c:pt>
                <c:pt idx="3">
                  <c:v>3.2969639468690699E-2</c:v>
                </c:pt>
                <c:pt idx="4">
                  <c:v>4.2694497153700191E-3</c:v>
                </c:pt>
                <c:pt idx="5">
                  <c:v>3.7950664136622392E-3</c:v>
                </c:pt>
                <c:pt idx="6">
                  <c:v>6.0246679316888048E-2</c:v>
                </c:pt>
                <c:pt idx="7">
                  <c:v>5.6925996204933585E-3</c:v>
                </c:pt>
                <c:pt idx="8">
                  <c:v>3.7950664136622392E-3</c:v>
                </c:pt>
                <c:pt idx="9">
                  <c:v>4.743833017077799E-4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Bweya-Kajansi-24h'!$AE$9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Bweya-Kajansi-24h'!$R$10:$R$33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Bweya-Kajansi-24h'!$AE$10:$AE$33</c:f>
              <c:numCache>
                <c:formatCode>General</c:formatCode>
                <c:ptCount val="24"/>
                <c:pt idx="0">
                  <c:v>125</c:v>
                </c:pt>
                <c:pt idx="1">
                  <c:v>178</c:v>
                </c:pt>
                <c:pt idx="2">
                  <c:v>182</c:v>
                </c:pt>
                <c:pt idx="3">
                  <c:v>235</c:v>
                </c:pt>
                <c:pt idx="4">
                  <c:v>285</c:v>
                </c:pt>
                <c:pt idx="5">
                  <c:v>248</c:v>
                </c:pt>
                <c:pt idx="6">
                  <c:v>278</c:v>
                </c:pt>
                <c:pt idx="7">
                  <c:v>260</c:v>
                </c:pt>
                <c:pt idx="8">
                  <c:v>240</c:v>
                </c:pt>
                <c:pt idx="9">
                  <c:v>247</c:v>
                </c:pt>
                <c:pt idx="10">
                  <c:v>238</c:v>
                </c:pt>
                <c:pt idx="11">
                  <c:v>262</c:v>
                </c:pt>
                <c:pt idx="12">
                  <c:v>268</c:v>
                </c:pt>
                <c:pt idx="13">
                  <c:v>239</c:v>
                </c:pt>
                <c:pt idx="14">
                  <c:v>271</c:v>
                </c:pt>
                <c:pt idx="15">
                  <c:v>210</c:v>
                </c:pt>
                <c:pt idx="16">
                  <c:v>182</c:v>
                </c:pt>
                <c:pt idx="17">
                  <c:v>94</c:v>
                </c:pt>
                <c:pt idx="18">
                  <c:v>51</c:v>
                </c:pt>
                <c:pt idx="19">
                  <c:v>30</c:v>
                </c:pt>
                <c:pt idx="20">
                  <c:v>11</c:v>
                </c:pt>
                <c:pt idx="21">
                  <c:v>27</c:v>
                </c:pt>
                <c:pt idx="22">
                  <c:v>16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35-4E1F-B714-5EC50E9A7671}"/>
            </c:ext>
          </c:extLst>
        </c:ser>
        <c:ser>
          <c:idx val="1"/>
          <c:order val="1"/>
          <c:tx>
            <c:strRef>
              <c:f>'[2]28.09 Bweya-Kajansi-24h'!$AF$9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Bweya-Kajansi-24h'!$R$10:$R$33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Bweya-Kajansi-24h'!$AF$10:$AF$33</c:f>
              <c:numCache>
                <c:formatCode>General</c:formatCode>
                <c:ptCount val="24"/>
                <c:pt idx="0">
                  <c:v>249</c:v>
                </c:pt>
                <c:pt idx="1">
                  <c:v>370</c:v>
                </c:pt>
                <c:pt idx="2">
                  <c:v>351</c:v>
                </c:pt>
                <c:pt idx="3">
                  <c:v>392</c:v>
                </c:pt>
                <c:pt idx="4">
                  <c:v>431</c:v>
                </c:pt>
                <c:pt idx="5">
                  <c:v>389</c:v>
                </c:pt>
                <c:pt idx="6">
                  <c:v>415</c:v>
                </c:pt>
                <c:pt idx="7">
                  <c:v>397</c:v>
                </c:pt>
                <c:pt idx="8">
                  <c:v>357</c:v>
                </c:pt>
                <c:pt idx="9">
                  <c:v>412</c:v>
                </c:pt>
                <c:pt idx="10">
                  <c:v>364</c:v>
                </c:pt>
                <c:pt idx="11">
                  <c:v>417</c:v>
                </c:pt>
                <c:pt idx="12">
                  <c:v>403</c:v>
                </c:pt>
                <c:pt idx="13">
                  <c:v>383</c:v>
                </c:pt>
                <c:pt idx="14">
                  <c:v>352</c:v>
                </c:pt>
                <c:pt idx="15">
                  <c:v>261</c:v>
                </c:pt>
                <c:pt idx="16">
                  <c:v>225</c:v>
                </c:pt>
                <c:pt idx="17">
                  <c:v>117</c:v>
                </c:pt>
                <c:pt idx="18">
                  <c:v>65</c:v>
                </c:pt>
                <c:pt idx="19">
                  <c:v>42</c:v>
                </c:pt>
                <c:pt idx="20">
                  <c:v>16</c:v>
                </c:pt>
                <c:pt idx="21">
                  <c:v>34</c:v>
                </c:pt>
                <c:pt idx="22">
                  <c:v>28</c:v>
                </c:pt>
                <c:pt idx="23">
                  <c:v>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35-4E1F-B714-5EC50E9A7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03104"/>
        <c:axId val="75504640"/>
      </c:lineChart>
      <c:catAx>
        <c:axId val="75503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4640"/>
        <c:crosses val="autoZero"/>
        <c:auto val="1"/>
        <c:lblAlgn val="ctr"/>
        <c:lblOffset val="100"/>
        <c:noMultiLvlLbl val="0"/>
      </c:catAx>
      <c:valAx>
        <c:axId val="75504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7F-4843-BA9F-0F2F49822A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E7F-4843-BA9F-0F2F49822A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E7F-4843-BA9F-0F2F49822A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E7F-4843-BA9F-0F2F49822A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E7F-4843-BA9F-0F2F49822A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E7F-4843-BA9F-0F2F49822A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E7F-4843-BA9F-0F2F49822A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E7F-4843-BA9F-0F2F49822A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E7F-4843-BA9F-0F2F49822AB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E7F-4843-BA9F-0F2F49822AB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E7F-4843-BA9F-0F2F49822AB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E7F-4843-BA9F-0F2F49822AB6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7F-4843-BA9F-0F2F49822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Bweya-Kajansi-24h'!$C$9:$N$9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Bweya-Kajansi-24h'!$C$107:$N$107</c:f>
              <c:numCache>
                <c:formatCode>General</c:formatCode>
                <c:ptCount val="12"/>
                <c:pt idx="0">
                  <c:v>0.40475102786660577</c:v>
                </c:pt>
                <c:pt idx="1">
                  <c:v>0.12319171615654027</c:v>
                </c:pt>
                <c:pt idx="2">
                  <c:v>4.2637429572102939E-2</c:v>
                </c:pt>
                <c:pt idx="3">
                  <c:v>2.1166438251865389E-2</c:v>
                </c:pt>
                <c:pt idx="4">
                  <c:v>2.7409776153494748E-3</c:v>
                </c:pt>
                <c:pt idx="5">
                  <c:v>2.4364245469773106E-3</c:v>
                </c:pt>
                <c:pt idx="6">
                  <c:v>3.8678239683264809E-2</c:v>
                </c:pt>
                <c:pt idx="7">
                  <c:v>3.6546368204659662E-3</c:v>
                </c:pt>
                <c:pt idx="8">
                  <c:v>2.4364245469773106E-3</c:v>
                </c:pt>
                <c:pt idx="9">
                  <c:v>3.0455306837216383E-4</c:v>
                </c:pt>
                <c:pt idx="10">
                  <c:v>0.35800213187147861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E7F-4843-BA9F-0F2F49822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733-436B-9619-76DE59D763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733-436B-9619-76DE59D763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733-436B-9619-76DE59D763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733-436B-9619-76DE59D763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733-436B-9619-76DE59D763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733-436B-9619-76DE59D763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733-436B-9619-76DE59D763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733-436B-9619-76DE59D763E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733-436B-9619-76DE59D763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733-436B-9619-76DE59D763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733-436B-9619-76DE59D763E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733-436B-9619-76DE59D763E9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733-436B-9619-76DE59D763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Bweya-Kajansi-24h'!$C$9:$N$9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Bweya-Kajansi-24h'!$C$108:$N$108</c:f>
              <c:numCache>
                <c:formatCode>General</c:formatCode>
                <c:ptCount val="12"/>
                <c:pt idx="0">
                  <c:v>0.6304554079696395</c:v>
                </c:pt>
                <c:pt idx="1">
                  <c:v>0.19188804554079697</c:v>
                </c:pt>
                <c:pt idx="2">
                  <c:v>6.6413662239089177E-2</c:v>
                </c:pt>
                <c:pt idx="3">
                  <c:v>3.2969639468690699E-2</c:v>
                </c:pt>
                <c:pt idx="4">
                  <c:v>4.2694497153700191E-3</c:v>
                </c:pt>
                <c:pt idx="5">
                  <c:v>3.7950664136622392E-3</c:v>
                </c:pt>
                <c:pt idx="6">
                  <c:v>6.0246679316888048E-2</c:v>
                </c:pt>
                <c:pt idx="7">
                  <c:v>5.6925996204933585E-3</c:v>
                </c:pt>
                <c:pt idx="8">
                  <c:v>3.7950664136622392E-3</c:v>
                </c:pt>
                <c:pt idx="9">
                  <c:v>4.743833017077799E-4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733-436B-9619-76DE59D76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Kajansi-Bweya'!$AE$9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Kajansi-Bweya'!$AE$10:$AE$21</c:f>
              <c:numCache>
                <c:formatCode>0</c:formatCode>
                <c:ptCount val="12"/>
                <c:pt idx="0">
                  <c:v>70</c:v>
                </c:pt>
                <c:pt idx="1">
                  <c:v>80</c:v>
                </c:pt>
                <c:pt idx="2">
                  <c:v>127</c:v>
                </c:pt>
                <c:pt idx="3">
                  <c:v>140</c:v>
                </c:pt>
                <c:pt idx="4">
                  <c:v>148</c:v>
                </c:pt>
                <c:pt idx="5">
                  <c:v>187</c:v>
                </c:pt>
                <c:pt idx="6">
                  <c:v>241</c:v>
                </c:pt>
                <c:pt idx="7">
                  <c:v>293</c:v>
                </c:pt>
                <c:pt idx="8">
                  <c:v>334</c:v>
                </c:pt>
                <c:pt idx="9">
                  <c:v>337</c:v>
                </c:pt>
                <c:pt idx="10">
                  <c:v>374</c:v>
                </c:pt>
                <c:pt idx="11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Kajansi-Bweya'!$AF$9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Kajansi-Bweya'!$AF$10:$AF$21</c:f>
              <c:numCache>
                <c:formatCode>0</c:formatCode>
                <c:ptCount val="12"/>
                <c:pt idx="0">
                  <c:v>162</c:v>
                </c:pt>
                <c:pt idx="1">
                  <c:v>174</c:v>
                </c:pt>
                <c:pt idx="2">
                  <c:v>257</c:v>
                </c:pt>
                <c:pt idx="3">
                  <c:v>217</c:v>
                </c:pt>
                <c:pt idx="4">
                  <c:v>277</c:v>
                </c:pt>
                <c:pt idx="5">
                  <c:v>248</c:v>
                </c:pt>
                <c:pt idx="6">
                  <c:v>325</c:v>
                </c:pt>
                <c:pt idx="7">
                  <c:v>423</c:v>
                </c:pt>
                <c:pt idx="8">
                  <c:v>482</c:v>
                </c:pt>
                <c:pt idx="9">
                  <c:v>472</c:v>
                </c:pt>
                <c:pt idx="10">
                  <c:v>552</c:v>
                </c:pt>
                <c:pt idx="11">
                  <c:v>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82208"/>
        <c:axId val="76383744"/>
      </c:lineChart>
      <c:catAx>
        <c:axId val="76382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83744"/>
        <c:crosses val="autoZero"/>
        <c:auto val="1"/>
        <c:lblAlgn val="ctr"/>
        <c:lblOffset val="100"/>
        <c:noMultiLvlLbl val="0"/>
      </c:catAx>
      <c:valAx>
        <c:axId val="76383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8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Kajansi-Bweya'!$C$59:$N$59</c:f>
              <c:numCache>
                <c:formatCode>0.0%</c:formatCode>
                <c:ptCount val="12"/>
                <c:pt idx="0">
                  <c:v>0.49868891537544696</c:v>
                </c:pt>
                <c:pt idx="1">
                  <c:v>5.1251489868891539E-2</c:v>
                </c:pt>
                <c:pt idx="2">
                  <c:v>4.3146603098927296E-2</c:v>
                </c:pt>
                <c:pt idx="3">
                  <c:v>1.6686531585220502E-2</c:v>
                </c:pt>
                <c:pt idx="4">
                  <c:v>4.2908224076281289E-3</c:v>
                </c:pt>
                <c:pt idx="5">
                  <c:v>4.7675804529201431E-4</c:v>
                </c:pt>
                <c:pt idx="6">
                  <c:v>2.836710369487485E-2</c:v>
                </c:pt>
                <c:pt idx="7">
                  <c:v>1.5494636471990465E-2</c:v>
                </c:pt>
                <c:pt idx="8">
                  <c:v>4.0524433849821219E-3</c:v>
                </c:pt>
                <c:pt idx="9">
                  <c:v>0</c:v>
                </c:pt>
                <c:pt idx="10">
                  <c:v>0.33754469606674614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Kajansi-Bweya'!$S$9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Kajansi-Bweya'!$S$10:$S$21</c:f>
              <c:numCache>
                <c:formatCode>0</c:formatCode>
                <c:ptCount val="12"/>
                <c:pt idx="0">
                  <c:v>50</c:v>
                </c:pt>
                <c:pt idx="1">
                  <c:v>49</c:v>
                </c:pt>
                <c:pt idx="2">
                  <c:v>73</c:v>
                </c:pt>
                <c:pt idx="3">
                  <c:v>91</c:v>
                </c:pt>
                <c:pt idx="4">
                  <c:v>112</c:v>
                </c:pt>
                <c:pt idx="5">
                  <c:v>153</c:v>
                </c:pt>
                <c:pt idx="6">
                  <c:v>175</c:v>
                </c:pt>
                <c:pt idx="7">
                  <c:v>224</c:v>
                </c:pt>
                <c:pt idx="8">
                  <c:v>260</c:v>
                </c:pt>
                <c:pt idx="9">
                  <c:v>239</c:v>
                </c:pt>
                <c:pt idx="10">
                  <c:v>293</c:v>
                </c:pt>
                <c:pt idx="11">
                  <c:v>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Kajansi-Bweya'!$T$9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Kajansi-Bweya'!$T$10:$T$21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17</c:v>
                </c:pt>
                <c:pt idx="3">
                  <c:v>20</c:v>
                </c:pt>
                <c:pt idx="4">
                  <c:v>10</c:v>
                </c:pt>
                <c:pt idx="5">
                  <c:v>10</c:v>
                </c:pt>
                <c:pt idx="6">
                  <c:v>21</c:v>
                </c:pt>
                <c:pt idx="7">
                  <c:v>28</c:v>
                </c:pt>
                <c:pt idx="8">
                  <c:v>21</c:v>
                </c:pt>
                <c:pt idx="9">
                  <c:v>35</c:v>
                </c:pt>
                <c:pt idx="10">
                  <c:v>25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Kajansi-Bweya'!$U$9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Kajansi-Bweya'!$U$10:$U$21</c:f>
              <c:numCache>
                <c:formatCode>0</c:formatCode>
                <c:ptCount val="12"/>
                <c:pt idx="0">
                  <c:v>5</c:v>
                </c:pt>
                <c:pt idx="1">
                  <c:v>11</c:v>
                </c:pt>
                <c:pt idx="2">
                  <c:v>13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18</c:v>
                </c:pt>
                <c:pt idx="7">
                  <c:v>16</c:v>
                </c:pt>
                <c:pt idx="8">
                  <c:v>27</c:v>
                </c:pt>
                <c:pt idx="9">
                  <c:v>26</c:v>
                </c:pt>
                <c:pt idx="10">
                  <c:v>21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Kajansi-Bweya'!$V$9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Kajansi-Bweya'!$V$10:$V$21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9</c:v>
                </c:pt>
                <c:pt idx="8">
                  <c:v>4</c:v>
                </c:pt>
                <c:pt idx="9">
                  <c:v>12</c:v>
                </c:pt>
                <c:pt idx="10">
                  <c:v>13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Kajansi-Bweya'!$W$9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Kajansi-Bweya'!$X$9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Kajansi-Bweya'!$Y$9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Kajansi-Bweya'!$Y$10:$Y$21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15</c:v>
                </c:pt>
                <c:pt idx="7">
                  <c:v>7</c:v>
                </c:pt>
                <c:pt idx="8">
                  <c:v>8</c:v>
                </c:pt>
                <c:pt idx="9">
                  <c:v>11</c:v>
                </c:pt>
                <c:pt idx="10">
                  <c:v>14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Kajansi-Bweya'!$Z$9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12</c:v>
                </c:pt>
                <c:pt idx="9">
                  <c:v>13</c:v>
                </c:pt>
                <c:pt idx="10">
                  <c:v>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Kajansi-Bweya'!$AA$9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Kajansi-Bweya'!$AB$9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Kajansi-Bweya'!$AC$9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Kajansi-Bweya'!$AC$10:$AC$21</c:f>
              <c:numCache>
                <c:formatCode>0</c:formatCode>
                <c:ptCount val="12"/>
                <c:pt idx="0">
                  <c:v>92</c:v>
                </c:pt>
                <c:pt idx="1">
                  <c:v>94</c:v>
                </c:pt>
                <c:pt idx="2">
                  <c:v>130</c:v>
                </c:pt>
                <c:pt idx="3">
                  <c:v>77</c:v>
                </c:pt>
                <c:pt idx="4">
                  <c:v>129</c:v>
                </c:pt>
                <c:pt idx="5">
                  <c:v>61</c:v>
                </c:pt>
                <c:pt idx="6">
                  <c:v>84</c:v>
                </c:pt>
                <c:pt idx="7">
                  <c:v>130</c:v>
                </c:pt>
                <c:pt idx="8">
                  <c:v>148</c:v>
                </c:pt>
                <c:pt idx="9">
                  <c:v>135</c:v>
                </c:pt>
                <c:pt idx="10">
                  <c:v>178</c:v>
                </c:pt>
                <c:pt idx="11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Kajansi-Bweya'!$AD$9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Kajansi-Bweya'!$AD$10:$AD$21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93024"/>
        <c:axId val="76594560"/>
      </c:lineChart>
      <c:catAx>
        <c:axId val="7659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94560"/>
        <c:crosses val="autoZero"/>
        <c:auto val="1"/>
        <c:lblAlgn val="ctr"/>
        <c:lblOffset val="100"/>
        <c:noMultiLvlLbl val="0"/>
      </c:catAx>
      <c:valAx>
        <c:axId val="765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59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Kajansi-Bweya'!$C$60:$N$60</c:f>
              <c:numCache>
                <c:formatCode>0.00%</c:formatCode>
                <c:ptCount val="12"/>
                <c:pt idx="0">
                  <c:v>0.75278877293990643</c:v>
                </c:pt>
                <c:pt idx="1">
                  <c:v>7.7365958978049654E-2</c:v>
                </c:pt>
                <c:pt idx="2">
                  <c:v>6.5131342209427845E-2</c:v>
                </c:pt>
                <c:pt idx="3">
                  <c:v>2.5188916876574308E-2</c:v>
                </c:pt>
                <c:pt idx="4">
                  <c:v>6.4771500539762506E-3</c:v>
                </c:pt>
                <c:pt idx="5">
                  <c:v>7.1968333933069444E-4</c:v>
                </c:pt>
                <c:pt idx="6">
                  <c:v>4.2821158690176324E-2</c:v>
                </c:pt>
                <c:pt idx="7">
                  <c:v>2.3389708528247573E-2</c:v>
                </c:pt>
                <c:pt idx="8">
                  <c:v>6.1173083843109035E-3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Kajansi-Bweya'!$AE$9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Kajansi-Bweya'!$AE$10:$AE$21</c:f>
              <c:numCache>
                <c:formatCode>General</c:formatCode>
                <c:ptCount val="12"/>
                <c:pt idx="0">
                  <c:v>70</c:v>
                </c:pt>
                <c:pt idx="1">
                  <c:v>80</c:v>
                </c:pt>
                <c:pt idx="2">
                  <c:v>127</c:v>
                </c:pt>
                <c:pt idx="3">
                  <c:v>140</c:v>
                </c:pt>
                <c:pt idx="4">
                  <c:v>148</c:v>
                </c:pt>
                <c:pt idx="5">
                  <c:v>187</c:v>
                </c:pt>
                <c:pt idx="6">
                  <c:v>241</c:v>
                </c:pt>
                <c:pt idx="7">
                  <c:v>293</c:v>
                </c:pt>
                <c:pt idx="8">
                  <c:v>334</c:v>
                </c:pt>
                <c:pt idx="9">
                  <c:v>337</c:v>
                </c:pt>
                <c:pt idx="10">
                  <c:v>374</c:v>
                </c:pt>
                <c:pt idx="11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AA-490C-A2DB-5B7832A2DCE1}"/>
            </c:ext>
          </c:extLst>
        </c:ser>
        <c:ser>
          <c:idx val="1"/>
          <c:order val="1"/>
          <c:tx>
            <c:strRef>
              <c:f>'[2]29.09 Kajansi-Bweya'!$AF$9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Kajansi-Bweya'!$R$10:$R$21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Kajansi-Bweya'!$AF$10:$AF$21</c:f>
              <c:numCache>
                <c:formatCode>General</c:formatCode>
                <c:ptCount val="12"/>
                <c:pt idx="0">
                  <c:v>162</c:v>
                </c:pt>
                <c:pt idx="1">
                  <c:v>174</c:v>
                </c:pt>
                <c:pt idx="2">
                  <c:v>257</c:v>
                </c:pt>
                <c:pt idx="3">
                  <c:v>217</c:v>
                </c:pt>
                <c:pt idx="4">
                  <c:v>277</c:v>
                </c:pt>
                <c:pt idx="5">
                  <c:v>248</c:v>
                </c:pt>
                <c:pt idx="6">
                  <c:v>325</c:v>
                </c:pt>
                <c:pt idx="7">
                  <c:v>423</c:v>
                </c:pt>
                <c:pt idx="8">
                  <c:v>482</c:v>
                </c:pt>
                <c:pt idx="9">
                  <c:v>472</c:v>
                </c:pt>
                <c:pt idx="10">
                  <c:v>552</c:v>
                </c:pt>
                <c:pt idx="11">
                  <c:v>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AA-490C-A2DB-5B7832A2D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34464"/>
        <c:axId val="76736000"/>
      </c:lineChart>
      <c:catAx>
        <c:axId val="76734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736000"/>
        <c:crosses val="autoZero"/>
        <c:auto val="1"/>
        <c:lblAlgn val="ctr"/>
        <c:lblOffset val="100"/>
        <c:noMultiLvlLbl val="0"/>
      </c:catAx>
      <c:valAx>
        <c:axId val="76736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73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AF-42F8-BDDD-076497A5D2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AF-42F8-BDDD-076497A5D2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AF-42F8-BDDD-076497A5D2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AF-42F8-BDDD-076497A5D2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AF-42F8-BDDD-076497A5D2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2AF-42F8-BDDD-076497A5D2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2AF-42F8-BDDD-076497A5D2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2AF-42F8-BDDD-076497A5D2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2AF-42F8-BDDD-076497A5D2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2AF-42F8-BDDD-076497A5D2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2AF-42F8-BDDD-076497A5D2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2AF-42F8-BDDD-076497A5D29B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AF-42F8-BDDD-076497A5D2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Kajansi-Bweya'!$C$59:$N$59</c:f>
              <c:numCache>
                <c:formatCode>General</c:formatCode>
                <c:ptCount val="12"/>
                <c:pt idx="0">
                  <c:v>0.49868891537544696</c:v>
                </c:pt>
                <c:pt idx="1">
                  <c:v>5.1251489868891539E-2</c:v>
                </c:pt>
                <c:pt idx="2">
                  <c:v>4.3146603098927296E-2</c:v>
                </c:pt>
                <c:pt idx="3">
                  <c:v>1.6686531585220502E-2</c:v>
                </c:pt>
                <c:pt idx="4">
                  <c:v>4.2908224076281289E-3</c:v>
                </c:pt>
                <c:pt idx="5">
                  <c:v>4.7675804529201431E-4</c:v>
                </c:pt>
                <c:pt idx="6">
                  <c:v>2.836710369487485E-2</c:v>
                </c:pt>
                <c:pt idx="7">
                  <c:v>1.5494636471990465E-2</c:v>
                </c:pt>
                <c:pt idx="8">
                  <c:v>4.0524433849821219E-3</c:v>
                </c:pt>
                <c:pt idx="9">
                  <c:v>0</c:v>
                </c:pt>
                <c:pt idx="10">
                  <c:v>0.33754469606674614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AF-42F8-BDDD-076497A5D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D7-48E2-AF47-C327C82E43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D7-48E2-AF47-C327C82E43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D7-48E2-AF47-C327C82E43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D7-48E2-AF47-C327C82E43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D7-48E2-AF47-C327C82E43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D7-48E2-AF47-C327C82E43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BD7-48E2-AF47-C327C82E43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BD7-48E2-AF47-C327C82E43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BD7-48E2-AF47-C327C82E43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BD7-48E2-AF47-C327C82E43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BD7-48E2-AF47-C327C82E43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BD7-48E2-AF47-C327C82E433E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BD7-48E2-AF47-C327C82E43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Kajansi-Bweya'!$C$60:$N$60</c:f>
              <c:numCache>
                <c:formatCode>General</c:formatCode>
                <c:ptCount val="12"/>
                <c:pt idx="0">
                  <c:v>0.75278877293990643</c:v>
                </c:pt>
                <c:pt idx="1">
                  <c:v>7.7365958978049654E-2</c:v>
                </c:pt>
                <c:pt idx="2">
                  <c:v>6.5131342209427845E-2</c:v>
                </c:pt>
                <c:pt idx="3">
                  <c:v>2.5188916876574308E-2</c:v>
                </c:pt>
                <c:pt idx="4">
                  <c:v>6.4771500539762506E-3</c:v>
                </c:pt>
                <c:pt idx="5">
                  <c:v>7.1968333933069444E-4</c:v>
                </c:pt>
                <c:pt idx="6">
                  <c:v>4.2821158690176324E-2</c:v>
                </c:pt>
                <c:pt idx="7">
                  <c:v>2.3389708528247573E-2</c:v>
                </c:pt>
                <c:pt idx="8">
                  <c:v>6.1173083843109035E-3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BD7-48E2-AF47-C327C82E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Bweya-Kajansi'!$AE$9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Bweya-Kajansi'!$AE$10:$AE$21</c:f>
              <c:numCache>
                <c:formatCode>0</c:formatCode>
                <c:ptCount val="12"/>
                <c:pt idx="0">
                  <c:v>109</c:v>
                </c:pt>
                <c:pt idx="1">
                  <c:v>152</c:v>
                </c:pt>
                <c:pt idx="2">
                  <c:v>218</c:v>
                </c:pt>
                <c:pt idx="3">
                  <c:v>233</c:v>
                </c:pt>
                <c:pt idx="4">
                  <c:v>233</c:v>
                </c:pt>
                <c:pt idx="5">
                  <c:v>267</c:v>
                </c:pt>
                <c:pt idx="6">
                  <c:v>279</c:v>
                </c:pt>
                <c:pt idx="7">
                  <c:v>268</c:v>
                </c:pt>
                <c:pt idx="8">
                  <c:v>273</c:v>
                </c:pt>
                <c:pt idx="9">
                  <c:v>252</c:v>
                </c:pt>
                <c:pt idx="10">
                  <c:v>262</c:v>
                </c:pt>
                <c:pt idx="11">
                  <c:v>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Bweya-Kajansi'!$AF$9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Bweya-Kajansi'!$AF$10:$AF$21</c:f>
              <c:numCache>
                <c:formatCode>0</c:formatCode>
                <c:ptCount val="12"/>
                <c:pt idx="0">
                  <c:v>204</c:v>
                </c:pt>
                <c:pt idx="1">
                  <c:v>269</c:v>
                </c:pt>
                <c:pt idx="2">
                  <c:v>356</c:v>
                </c:pt>
                <c:pt idx="3">
                  <c:v>367</c:v>
                </c:pt>
                <c:pt idx="4">
                  <c:v>378</c:v>
                </c:pt>
                <c:pt idx="5">
                  <c:v>345</c:v>
                </c:pt>
                <c:pt idx="6">
                  <c:v>398</c:v>
                </c:pt>
                <c:pt idx="7">
                  <c:v>402</c:v>
                </c:pt>
                <c:pt idx="8">
                  <c:v>449</c:v>
                </c:pt>
                <c:pt idx="9">
                  <c:v>427</c:v>
                </c:pt>
                <c:pt idx="10">
                  <c:v>398</c:v>
                </c:pt>
                <c:pt idx="11">
                  <c:v>480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3952"/>
        <c:axId val="80118144"/>
      </c:lineChart>
      <c:catAx>
        <c:axId val="80013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118144"/>
        <c:crosses val="autoZero"/>
        <c:auto val="1"/>
        <c:lblAlgn val="ctr"/>
        <c:lblOffset val="100"/>
        <c:noMultiLvlLbl val="0"/>
      </c:catAx>
      <c:valAx>
        <c:axId val="80118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01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Bweya-Kajansi'!$C$59:$N$59</c:f>
              <c:numCache>
                <c:formatCode>0.0%</c:formatCode>
                <c:ptCount val="12"/>
                <c:pt idx="0">
                  <c:v>0.39280125195618154</c:v>
                </c:pt>
                <c:pt idx="1">
                  <c:v>0.12519561815336464</c:v>
                </c:pt>
                <c:pt idx="2">
                  <c:v>4.4489157165213504E-2</c:v>
                </c:pt>
                <c:pt idx="3">
                  <c:v>2.6827632461435279E-2</c:v>
                </c:pt>
                <c:pt idx="4">
                  <c:v>2.2356360384529397E-3</c:v>
                </c:pt>
                <c:pt idx="5">
                  <c:v>2.9063268499888218E-3</c:v>
                </c:pt>
                <c:pt idx="6">
                  <c:v>3.3087413369103508E-2</c:v>
                </c:pt>
                <c:pt idx="7">
                  <c:v>6.0362173038229373E-3</c:v>
                </c:pt>
                <c:pt idx="8">
                  <c:v>2.6827632461435278E-3</c:v>
                </c:pt>
                <c:pt idx="9">
                  <c:v>4.47127207690588E-4</c:v>
                </c:pt>
                <c:pt idx="10">
                  <c:v>0.36329085624860274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54"/>
          <c:y val="2.296022663732373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Bweya-Kajansi'!$S$9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Bweya-Kajansi'!$S$10:$S$21</c:f>
              <c:numCache>
                <c:formatCode>0</c:formatCode>
                <c:ptCount val="12"/>
                <c:pt idx="0">
                  <c:v>70</c:v>
                </c:pt>
                <c:pt idx="1">
                  <c:v>99</c:v>
                </c:pt>
                <c:pt idx="2">
                  <c:v>118</c:v>
                </c:pt>
                <c:pt idx="3">
                  <c:v>125</c:v>
                </c:pt>
                <c:pt idx="4">
                  <c:v>149</c:v>
                </c:pt>
                <c:pt idx="5">
                  <c:v>176</c:v>
                </c:pt>
                <c:pt idx="6">
                  <c:v>138</c:v>
                </c:pt>
                <c:pt idx="7">
                  <c:v>177</c:v>
                </c:pt>
                <c:pt idx="8">
                  <c:v>202</c:v>
                </c:pt>
                <c:pt idx="9">
                  <c:v>142</c:v>
                </c:pt>
                <c:pt idx="10">
                  <c:v>165</c:v>
                </c:pt>
                <c:pt idx="11">
                  <c:v>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Bweya-Kajansi'!$T$9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Bweya-Kajansi'!$T$10:$T$21</c:f>
              <c:numCache>
                <c:formatCode>0</c:formatCode>
                <c:ptCount val="12"/>
                <c:pt idx="0">
                  <c:v>6</c:v>
                </c:pt>
                <c:pt idx="1">
                  <c:v>19</c:v>
                </c:pt>
                <c:pt idx="2">
                  <c:v>46</c:v>
                </c:pt>
                <c:pt idx="3">
                  <c:v>65</c:v>
                </c:pt>
                <c:pt idx="4">
                  <c:v>49</c:v>
                </c:pt>
                <c:pt idx="5">
                  <c:v>47</c:v>
                </c:pt>
                <c:pt idx="6">
                  <c:v>84</c:v>
                </c:pt>
                <c:pt idx="7">
                  <c:v>50</c:v>
                </c:pt>
                <c:pt idx="8">
                  <c:v>33</c:v>
                </c:pt>
                <c:pt idx="9">
                  <c:v>63</c:v>
                </c:pt>
                <c:pt idx="10">
                  <c:v>47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Bweya-Kajansi'!$U$9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Bweya-Kajansi'!$U$10:$U$21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20</c:v>
                </c:pt>
                <c:pt idx="3">
                  <c:v>18</c:v>
                </c:pt>
                <c:pt idx="4">
                  <c:v>15</c:v>
                </c:pt>
                <c:pt idx="5">
                  <c:v>10</c:v>
                </c:pt>
                <c:pt idx="6">
                  <c:v>29</c:v>
                </c:pt>
                <c:pt idx="7">
                  <c:v>19</c:v>
                </c:pt>
                <c:pt idx="8">
                  <c:v>14</c:v>
                </c:pt>
                <c:pt idx="9">
                  <c:v>21</c:v>
                </c:pt>
                <c:pt idx="10">
                  <c:v>13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Bweya-Kajansi'!$V$9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Bweya-Kajansi'!$V$10:$V$21</c:f>
              <c:numCache>
                <c:formatCode>0</c:formatCode>
                <c:ptCount val="12"/>
                <c:pt idx="0">
                  <c:v>9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10</c:v>
                </c:pt>
                <c:pt idx="5">
                  <c:v>11</c:v>
                </c:pt>
                <c:pt idx="6">
                  <c:v>11</c:v>
                </c:pt>
                <c:pt idx="7">
                  <c:v>4</c:v>
                </c:pt>
                <c:pt idx="8">
                  <c:v>4</c:v>
                </c:pt>
                <c:pt idx="9">
                  <c:v>11</c:v>
                </c:pt>
                <c:pt idx="10">
                  <c:v>13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Bweya-Kajansi'!$W$9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Bweya-Kajansi'!$X$9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Bweya-Kajansi'!$Y$9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Bweya-Kajansi'!$Y$10:$Y$21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18</c:v>
                </c:pt>
                <c:pt idx="3">
                  <c:v>10</c:v>
                </c:pt>
                <c:pt idx="4">
                  <c:v>5</c:v>
                </c:pt>
                <c:pt idx="5">
                  <c:v>15</c:v>
                </c:pt>
                <c:pt idx="6">
                  <c:v>13</c:v>
                </c:pt>
                <c:pt idx="7">
                  <c:v>14</c:v>
                </c:pt>
                <c:pt idx="8">
                  <c:v>13</c:v>
                </c:pt>
                <c:pt idx="9">
                  <c:v>13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Bweya-Kajansi'!$Z$9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Bweya-Kajansi'!$Z$10:$Z$21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6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Bweya-Kajansi'!$AA$9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Bweya-Kajansi'!$AB$9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Bweya-Kajansi'!$AC$9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Bweya-Kajansi'!$AC$10:$AC$21</c:f>
              <c:numCache>
                <c:formatCode>0</c:formatCode>
                <c:ptCount val="12"/>
                <c:pt idx="0">
                  <c:v>95</c:v>
                </c:pt>
                <c:pt idx="1">
                  <c:v>117</c:v>
                </c:pt>
                <c:pt idx="2">
                  <c:v>138</c:v>
                </c:pt>
                <c:pt idx="3">
                  <c:v>134</c:v>
                </c:pt>
                <c:pt idx="4">
                  <c:v>145</c:v>
                </c:pt>
                <c:pt idx="5">
                  <c:v>78</c:v>
                </c:pt>
                <c:pt idx="6">
                  <c:v>119</c:v>
                </c:pt>
                <c:pt idx="7">
                  <c:v>134</c:v>
                </c:pt>
                <c:pt idx="8">
                  <c:v>176</c:v>
                </c:pt>
                <c:pt idx="9">
                  <c:v>175</c:v>
                </c:pt>
                <c:pt idx="10">
                  <c:v>136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Bweya-Kajansi'!$AD$9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Bweya-Kajansi'!$AD$10:$AD$21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40704"/>
        <c:axId val="80042240"/>
      </c:lineChart>
      <c:catAx>
        <c:axId val="8004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042240"/>
        <c:crosses val="autoZero"/>
        <c:auto val="1"/>
        <c:lblAlgn val="ctr"/>
        <c:lblOffset val="100"/>
        <c:noMultiLvlLbl val="0"/>
      </c:catAx>
      <c:valAx>
        <c:axId val="800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0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Bweya-Kajansi'!$C$60:$N$60</c:f>
              <c:numCache>
                <c:formatCode>0.00%</c:formatCode>
                <c:ptCount val="12"/>
                <c:pt idx="0">
                  <c:v>0.6169241573033708</c:v>
                </c:pt>
                <c:pt idx="1">
                  <c:v>0.19662921348314608</c:v>
                </c:pt>
                <c:pt idx="2">
                  <c:v>6.9873595505617975E-2</c:v>
                </c:pt>
                <c:pt idx="3">
                  <c:v>4.2134831460674156E-2</c:v>
                </c:pt>
                <c:pt idx="4">
                  <c:v>3.5112359550561797E-3</c:v>
                </c:pt>
                <c:pt idx="5">
                  <c:v>4.5646067415730336E-3</c:v>
                </c:pt>
                <c:pt idx="6">
                  <c:v>5.1966292134831463E-2</c:v>
                </c:pt>
                <c:pt idx="7">
                  <c:v>9.480337078651686E-3</c:v>
                </c:pt>
                <c:pt idx="8">
                  <c:v>4.2134831460674156E-3</c:v>
                </c:pt>
                <c:pt idx="9">
                  <c:v>7.0224719101123594E-4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Bweya-Kajansi'!$AE$9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Bweya-Kajansi'!$AE$10:$AE$21</c:f>
              <c:numCache>
                <c:formatCode>General</c:formatCode>
                <c:ptCount val="12"/>
                <c:pt idx="0">
                  <c:v>109</c:v>
                </c:pt>
                <c:pt idx="1">
                  <c:v>152</c:v>
                </c:pt>
                <c:pt idx="2">
                  <c:v>218</c:v>
                </c:pt>
                <c:pt idx="3">
                  <c:v>233</c:v>
                </c:pt>
                <c:pt idx="4">
                  <c:v>233</c:v>
                </c:pt>
                <c:pt idx="5">
                  <c:v>267</c:v>
                </c:pt>
                <c:pt idx="6">
                  <c:v>279</c:v>
                </c:pt>
                <c:pt idx="7">
                  <c:v>268</c:v>
                </c:pt>
                <c:pt idx="8">
                  <c:v>273</c:v>
                </c:pt>
                <c:pt idx="9">
                  <c:v>252</c:v>
                </c:pt>
                <c:pt idx="10">
                  <c:v>262</c:v>
                </c:pt>
                <c:pt idx="11">
                  <c:v>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F8-451B-9568-BE21BF88C128}"/>
            </c:ext>
          </c:extLst>
        </c:ser>
        <c:ser>
          <c:idx val="1"/>
          <c:order val="1"/>
          <c:tx>
            <c:strRef>
              <c:f>'[2]29.09 Bweya-Kajansi'!$AF$9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Bweya-Kajansi'!$R$10:$R$21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Bweya-Kajansi'!$AF$10:$AF$21</c:f>
              <c:numCache>
                <c:formatCode>General</c:formatCode>
                <c:ptCount val="12"/>
                <c:pt idx="0">
                  <c:v>204</c:v>
                </c:pt>
                <c:pt idx="1">
                  <c:v>269</c:v>
                </c:pt>
                <c:pt idx="2">
                  <c:v>356</c:v>
                </c:pt>
                <c:pt idx="3">
                  <c:v>367</c:v>
                </c:pt>
                <c:pt idx="4">
                  <c:v>378</c:v>
                </c:pt>
                <c:pt idx="5">
                  <c:v>345</c:v>
                </c:pt>
                <c:pt idx="6">
                  <c:v>398</c:v>
                </c:pt>
                <c:pt idx="7">
                  <c:v>402</c:v>
                </c:pt>
                <c:pt idx="8">
                  <c:v>449</c:v>
                </c:pt>
                <c:pt idx="9">
                  <c:v>427</c:v>
                </c:pt>
                <c:pt idx="10">
                  <c:v>398</c:v>
                </c:pt>
                <c:pt idx="11">
                  <c:v>480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F8-451B-9568-BE21BF88C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31552"/>
        <c:axId val="85057920"/>
      </c:lineChart>
      <c:catAx>
        <c:axId val="850315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057920"/>
        <c:crosses val="autoZero"/>
        <c:auto val="1"/>
        <c:lblAlgn val="ctr"/>
        <c:lblOffset val="100"/>
        <c:noMultiLvlLbl val="0"/>
      </c:catAx>
      <c:valAx>
        <c:axId val="85057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0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D65-4F5A-9FC7-F411CF9A77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D65-4F5A-9FC7-F411CF9A77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D65-4F5A-9FC7-F411CF9A77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D65-4F5A-9FC7-F411CF9A77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D65-4F5A-9FC7-F411CF9A77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D65-4F5A-9FC7-F411CF9A77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D65-4F5A-9FC7-F411CF9A77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D65-4F5A-9FC7-F411CF9A77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D65-4F5A-9FC7-F411CF9A77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D65-4F5A-9FC7-F411CF9A77D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D65-4F5A-9FC7-F411CF9A77D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D65-4F5A-9FC7-F411CF9A77D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D65-4F5A-9FC7-F411CF9A77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Bweya-Kajansi'!$C$59:$N$59</c:f>
              <c:numCache>
                <c:formatCode>General</c:formatCode>
                <c:ptCount val="12"/>
                <c:pt idx="0">
                  <c:v>0.39280125195618154</c:v>
                </c:pt>
                <c:pt idx="1">
                  <c:v>0.12519561815336464</c:v>
                </c:pt>
                <c:pt idx="2">
                  <c:v>4.4489157165213504E-2</c:v>
                </c:pt>
                <c:pt idx="3">
                  <c:v>2.6827632461435279E-2</c:v>
                </c:pt>
                <c:pt idx="4">
                  <c:v>2.2356360384529397E-3</c:v>
                </c:pt>
                <c:pt idx="5">
                  <c:v>2.9063268499888218E-3</c:v>
                </c:pt>
                <c:pt idx="6">
                  <c:v>3.3087413369103508E-2</c:v>
                </c:pt>
                <c:pt idx="7">
                  <c:v>6.0362173038229373E-3</c:v>
                </c:pt>
                <c:pt idx="8">
                  <c:v>2.6827632461435278E-3</c:v>
                </c:pt>
                <c:pt idx="9">
                  <c:v>4.47127207690588E-4</c:v>
                </c:pt>
                <c:pt idx="10">
                  <c:v>0.36329085624860274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D65-4F5A-9FC7-F411CF9A7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4F-44CD-B1F4-80AFD585CB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4F-44CD-B1F4-80AFD585CB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4F-44CD-B1F4-80AFD585CB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4F-44CD-B1F4-80AFD585CB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4F-44CD-B1F4-80AFD585CB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4F-44CD-B1F4-80AFD585CB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4F-44CD-B1F4-80AFD585CB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94F-44CD-B1F4-80AFD585CB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94F-44CD-B1F4-80AFD585CB8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94F-44CD-B1F4-80AFD585CB8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94F-44CD-B1F4-80AFD585CB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94F-44CD-B1F4-80AFD585CB87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4F-44CD-B1F4-80AFD585CB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Bweya-Kajansi'!$C$60:$N$60</c:f>
              <c:numCache>
                <c:formatCode>General</c:formatCode>
                <c:ptCount val="12"/>
                <c:pt idx="0">
                  <c:v>0.6169241573033708</c:v>
                </c:pt>
                <c:pt idx="1">
                  <c:v>0.19662921348314608</c:v>
                </c:pt>
                <c:pt idx="2">
                  <c:v>6.9873595505617975E-2</c:v>
                </c:pt>
                <c:pt idx="3">
                  <c:v>4.2134831460674156E-2</c:v>
                </c:pt>
                <c:pt idx="4">
                  <c:v>3.5112359550561797E-3</c:v>
                </c:pt>
                <c:pt idx="5">
                  <c:v>4.5646067415730336E-3</c:v>
                </c:pt>
                <c:pt idx="6">
                  <c:v>5.1966292134831463E-2</c:v>
                </c:pt>
                <c:pt idx="7">
                  <c:v>9.480337078651686E-3</c:v>
                </c:pt>
                <c:pt idx="8">
                  <c:v>4.2134831460674156E-3</c:v>
                </c:pt>
                <c:pt idx="9">
                  <c:v>7.0224719101123594E-4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94F-44CD-B1F4-80AFD585C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Bweya-Kajansi'!$AE$9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Bweya-Kajansi'!$R$10:$R$33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Bweya-Kajansi'!$AE$10:$AE$33</c:f>
              <c:numCache>
                <c:formatCode>0</c:formatCode>
                <c:ptCount val="24"/>
                <c:pt idx="0">
                  <c:v>147.42857142857144</c:v>
                </c:pt>
                <c:pt idx="1">
                  <c:v>158.85714285714289</c:v>
                </c:pt>
                <c:pt idx="2">
                  <c:v>151.28571428571431</c:v>
                </c:pt>
                <c:pt idx="3">
                  <c:v>153.14285714285717</c:v>
                </c:pt>
                <c:pt idx="4">
                  <c:v>156.71428571428572</c:v>
                </c:pt>
                <c:pt idx="5">
                  <c:v>174.28571428571431</c:v>
                </c:pt>
                <c:pt idx="6">
                  <c:v>198.14285714285717</c:v>
                </c:pt>
                <c:pt idx="7">
                  <c:v>250.57142857142858</c:v>
                </c:pt>
                <c:pt idx="8">
                  <c:v>194.28571428571431</c:v>
                </c:pt>
                <c:pt idx="9">
                  <c:v>221.42857142857147</c:v>
                </c:pt>
                <c:pt idx="10">
                  <c:v>257.85714285714283</c:v>
                </c:pt>
                <c:pt idx="11">
                  <c:v>260.99999999999994</c:v>
                </c:pt>
                <c:pt idx="12">
                  <c:v>250</c:v>
                </c:pt>
                <c:pt idx="13">
                  <c:v>213</c:v>
                </c:pt>
                <c:pt idx="14">
                  <c:v>227</c:v>
                </c:pt>
                <c:pt idx="15">
                  <c:v>173</c:v>
                </c:pt>
                <c:pt idx="16">
                  <c:v>122</c:v>
                </c:pt>
                <c:pt idx="17">
                  <c:v>60</c:v>
                </c:pt>
                <c:pt idx="18">
                  <c:v>35.5</c:v>
                </c:pt>
                <c:pt idx="19">
                  <c:v>24</c:v>
                </c:pt>
                <c:pt idx="20">
                  <c:v>11</c:v>
                </c:pt>
                <c:pt idx="21">
                  <c:v>22</c:v>
                </c:pt>
                <c:pt idx="22">
                  <c:v>24.5</c:v>
                </c:pt>
                <c:pt idx="23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Bweya-Kajansi'!$AF$9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Bweya-Kajansi'!$R$10:$R$33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Bweya-Kajansi'!$AF$10:$AF$33</c:f>
              <c:numCache>
                <c:formatCode>0</c:formatCode>
                <c:ptCount val="24"/>
                <c:pt idx="0">
                  <c:v>291.57142857142861</c:v>
                </c:pt>
                <c:pt idx="1">
                  <c:v>319</c:v>
                </c:pt>
                <c:pt idx="2">
                  <c:v>289</c:v>
                </c:pt>
                <c:pt idx="3">
                  <c:v>284.14285714285717</c:v>
                </c:pt>
                <c:pt idx="4">
                  <c:v>282</c:v>
                </c:pt>
                <c:pt idx="5">
                  <c:v>282.42857142857144</c:v>
                </c:pt>
                <c:pt idx="6">
                  <c:v>303.57142857142861</c:v>
                </c:pt>
                <c:pt idx="7">
                  <c:v>368.71428571428578</c:v>
                </c:pt>
                <c:pt idx="8">
                  <c:v>308.71428571428572</c:v>
                </c:pt>
                <c:pt idx="9">
                  <c:v>339</c:v>
                </c:pt>
                <c:pt idx="10">
                  <c:v>407.71428571428567</c:v>
                </c:pt>
                <c:pt idx="11">
                  <c:v>418.57142857142856</c:v>
                </c:pt>
                <c:pt idx="12">
                  <c:v>395.5</c:v>
                </c:pt>
                <c:pt idx="13">
                  <c:v>356</c:v>
                </c:pt>
                <c:pt idx="14">
                  <c:v>306</c:v>
                </c:pt>
                <c:pt idx="15">
                  <c:v>221.5</c:v>
                </c:pt>
                <c:pt idx="16">
                  <c:v>157</c:v>
                </c:pt>
                <c:pt idx="17">
                  <c:v>77.5</c:v>
                </c:pt>
                <c:pt idx="18">
                  <c:v>47</c:v>
                </c:pt>
                <c:pt idx="19">
                  <c:v>33.5</c:v>
                </c:pt>
                <c:pt idx="20">
                  <c:v>15.5</c:v>
                </c:pt>
                <c:pt idx="21">
                  <c:v>27</c:v>
                </c:pt>
                <c:pt idx="22">
                  <c:v>34</c:v>
                </c:pt>
                <c:pt idx="23">
                  <c:v>149.5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33376"/>
        <c:axId val="71334912"/>
      </c:lineChart>
      <c:catAx>
        <c:axId val="71333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334912"/>
        <c:crosses val="autoZero"/>
        <c:auto val="1"/>
        <c:lblAlgn val="ctr"/>
        <c:lblOffset val="100"/>
        <c:noMultiLvlLbl val="0"/>
      </c:catAx>
      <c:valAx>
        <c:axId val="71334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3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Bweya-Kajansi'!$C$107:$N$107</c:f>
              <c:numCache>
                <c:formatCode>0.0%</c:formatCode>
                <c:ptCount val="12"/>
                <c:pt idx="0">
                  <c:v>0.39617759556011095</c:v>
                </c:pt>
                <c:pt idx="1">
                  <c:v>0.1053723656908577</c:v>
                </c:pt>
                <c:pt idx="2">
                  <c:v>4.6248843778905507E-2</c:v>
                </c:pt>
                <c:pt idx="3">
                  <c:v>2.3186920326991822E-2</c:v>
                </c:pt>
                <c:pt idx="4">
                  <c:v>3.8124046898827522E-3</c:v>
                </c:pt>
                <c:pt idx="5">
                  <c:v>1.8499537511562211E-3</c:v>
                </c:pt>
                <c:pt idx="6">
                  <c:v>3.8424039399015016E-2</c:v>
                </c:pt>
                <c:pt idx="7">
                  <c:v>7.7748056298592534E-3</c:v>
                </c:pt>
                <c:pt idx="8">
                  <c:v>1.7749556261093468E-3</c:v>
                </c:pt>
                <c:pt idx="9">
                  <c:v>4.374890627734305E-4</c:v>
                </c:pt>
                <c:pt idx="10">
                  <c:v>0.37491562710932225</c:v>
                </c:pt>
                <c:pt idx="11">
                  <c:v>2.4999375015624605E-5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Bweya-Kajansi'!$C$9:$N$9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Bweya-Kajansi'!$C$108:$N$108</c:f>
              <c:numCache>
                <c:formatCode>0.00%</c:formatCode>
                <c:ptCount val="12"/>
                <c:pt idx="0">
                  <c:v>0.63379859222524393</c:v>
                </c:pt>
                <c:pt idx="1">
                  <c:v>0.1685730283154695</c:v>
                </c:pt>
                <c:pt idx="2">
                  <c:v>7.3988161894096918E-2</c:v>
                </c:pt>
                <c:pt idx="3">
                  <c:v>3.7094064949608055E-2</c:v>
                </c:pt>
                <c:pt idx="4">
                  <c:v>6.099024156135017E-3</c:v>
                </c:pt>
                <c:pt idx="5">
                  <c:v>2.959526475763878E-3</c:v>
                </c:pt>
                <c:pt idx="6">
                  <c:v>6.1470164773636204E-2</c:v>
                </c:pt>
                <c:pt idx="7">
                  <c:v>1.2438009918413056E-2</c:v>
                </c:pt>
                <c:pt idx="8">
                  <c:v>2.8395456726923686E-3</c:v>
                </c:pt>
                <c:pt idx="9">
                  <c:v>6.9988801791713302E-4</c:v>
                </c:pt>
                <c:pt idx="11">
                  <c:v>3.9993601023836177E-5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8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Kajansi-Bweya'!$AE$9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Kajansi-Bweya'!$R$10:$R$33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Kajansi-Bweya'!$AE$10:$AE$33</c:f>
              <c:numCache>
                <c:formatCode>0</c:formatCode>
                <c:ptCount val="24"/>
                <c:pt idx="0">
                  <c:v>182.14285714285714</c:v>
                </c:pt>
                <c:pt idx="1">
                  <c:v>160.14285714285714</c:v>
                </c:pt>
                <c:pt idx="2">
                  <c:v>143.14285714285714</c:v>
                </c:pt>
                <c:pt idx="3">
                  <c:v>153.28571428571428</c:v>
                </c:pt>
                <c:pt idx="4">
                  <c:v>162.85714285714286</c:v>
                </c:pt>
                <c:pt idx="5">
                  <c:v>151.14285714285714</c:v>
                </c:pt>
                <c:pt idx="6">
                  <c:v>170.14285714285714</c:v>
                </c:pt>
                <c:pt idx="7">
                  <c:v>178</c:v>
                </c:pt>
                <c:pt idx="8">
                  <c:v>206.57142857142856</c:v>
                </c:pt>
                <c:pt idx="9">
                  <c:v>221.85714285714289</c:v>
                </c:pt>
                <c:pt idx="10">
                  <c:v>214</c:v>
                </c:pt>
                <c:pt idx="11">
                  <c:v>208</c:v>
                </c:pt>
                <c:pt idx="12">
                  <c:v>229</c:v>
                </c:pt>
                <c:pt idx="13">
                  <c:v>194</c:v>
                </c:pt>
                <c:pt idx="14">
                  <c:v>143.5</c:v>
                </c:pt>
                <c:pt idx="15">
                  <c:v>118</c:v>
                </c:pt>
                <c:pt idx="16">
                  <c:v>69</c:v>
                </c:pt>
                <c:pt idx="17">
                  <c:v>45</c:v>
                </c:pt>
                <c:pt idx="18">
                  <c:v>22.5</c:v>
                </c:pt>
                <c:pt idx="19">
                  <c:v>33</c:v>
                </c:pt>
                <c:pt idx="20">
                  <c:v>18</c:v>
                </c:pt>
                <c:pt idx="21">
                  <c:v>19</c:v>
                </c:pt>
                <c:pt idx="22">
                  <c:v>18</c:v>
                </c:pt>
                <c:pt idx="23">
                  <c:v>79.5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Kajansi-Bweya'!$AF$9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Kajansi-Bweya'!$R$10:$R$33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Kajansi-Bweya'!$AF$10:$AF$33</c:f>
              <c:numCache>
                <c:formatCode>0</c:formatCode>
                <c:ptCount val="24"/>
                <c:pt idx="0">
                  <c:v>297.71428571428572</c:v>
                </c:pt>
                <c:pt idx="1">
                  <c:v>300.14285714285711</c:v>
                </c:pt>
                <c:pt idx="2">
                  <c:v>269</c:v>
                </c:pt>
                <c:pt idx="3">
                  <c:v>277</c:v>
                </c:pt>
                <c:pt idx="4">
                  <c:v>284.57142857142856</c:v>
                </c:pt>
                <c:pt idx="5">
                  <c:v>250.42857142857144</c:v>
                </c:pt>
                <c:pt idx="6">
                  <c:v>277.14285714285711</c:v>
                </c:pt>
                <c:pt idx="7">
                  <c:v>292.14285714285717</c:v>
                </c:pt>
                <c:pt idx="8">
                  <c:v>325.71428571428567</c:v>
                </c:pt>
                <c:pt idx="9">
                  <c:v>351</c:v>
                </c:pt>
                <c:pt idx="10">
                  <c:v>335.57142857142861</c:v>
                </c:pt>
                <c:pt idx="11">
                  <c:v>348.59523809523807</c:v>
                </c:pt>
                <c:pt idx="12">
                  <c:v>328.5</c:v>
                </c:pt>
                <c:pt idx="13">
                  <c:v>295.5</c:v>
                </c:pt>
                <c:pt idx="14">
                  <c:v>187.5</c:v>
                </c:pt>
                <c:pt idx="15">
                  <c:v>163</c:v>
                </c:pt>
                <c:pt idx="16">
                  <c:v>95</c:v>
                </c:pt>
                <c:pt idx="17">
                  <c:v>65</c:v>
                </c:pt>
                <c:pt idx="18">
                  <c:v>35</c:v>
                </c:pt>
                <c:pt idx="19">
                  <c:v>43.5</c:v>
                </c:pt>
                <c:pt idx="20">
                  <c:v>25.5</c:v>
                </c:pt>
                <c:pt idx="21">
                  <c:v>25.5</c:v>
                </c:pt>
                <c:pt idx="22">
                  <c:v>26.5</c:v>
                </c:pt>
                <c:pt idx="23">
                  <c:v>99.5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31680"/>
        <c:axId val="86393216"/>
      </c:lineChart>
      <c:catAx>
        <c:axId val="86231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393216"/>
        <c:crosses val="autoZero"/>
        <c:auto val="1"/>
        <c:lblAlgn val="ctr"/>
        <c:lblOffset val="100"/>
        <c:noMultiLvlLbl val="0"/>
      </c:catAx>
      <c:valAx>
        <c:axId val="86393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23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Kajansi-Bweya'!$C$107:$N$107</c:f>
              <c:numCache>
                <c:formatCode>0.0%</c:formatCode>
                <c:ptCount val="12"/>
                <c:pt idx="0">
                  <c:v>0.41801018294047892</c:v>
                </c:pt>
                <c:pt idx="1">
                  <c:v>8.6431160369405458E-2</c:v>
                </c:pt>
                <c:pt idx="2">
                  <c:v>4.8180835305940695E-2</c:v>
                </c:pt>
                <c:pt idx="3">
                  <c:v>1.7889206940402649E-2</c:v>
                </c:pt>
                <c:pt idx="4">
                  <c:v>3.929338585152339E-3</c:v>
                </c:pt>
                <c:pt idx="5">
                  <c:v>1.24309984330274E-3</c:v>
                </c:pt>
                <c:pt idx="6">
                  <c:v>3.3849465848094153E-2</c:v>
                </c:pt>
                <c:pt idx="7">
                  <c:v>1.4888621111740863E-2</c:v>
                </c:pt>
                <c:pt idx="8">
                  <c:v>3.4006639391500246E-3</c:v>
                </c:pt>
                <c:pt idx="9">
                  <c:v>2.571930710281531E-4</c:v>
                </c:pt>
                <c:pt idx="10">
                  <c:v>0.37192023204530417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Kajansi-Bweya'!$C$9:$N$9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Kajansi-Bweya'!$C$108:$N$108</c:f>
              <c:numCache>
                <c:formatCode>0.00%</c:formatCode>
                <c:ptCount val="12"/>
                <c:pt idx="0">
                  <c:v>0.66553677457515303</c:v>
                </c:pt>
                <c:pt idx="1">
                  <c:v>0.13761175694428646</c:v>
                </c:pt>
                <c:pt idx="2">
                  <c:v>7.6711331528539262E-2</c:v>
                </c:pt>
                <c:pt idx="3">
                  <c:v>2.8482380508223944E-2</c:v>
                </c:pt>
                <c:pt idx="4">
                  <c:v>6.2561139295220329E-3</c:v>
                </c:pt>
                <c:pt idx="5">
                  <c:v>1.9792069522487883E-3</c:v>
                </c:pt>
                <c:pt idx="6">
                  <c:v>5.3893577814682528E-2</c:v>
                </c:pt>
                <c:pt idx="7">
                  <c:v>2.3704984416588935E-2</c:v>
                </c:pt>
                <c:pt idx="8">
                  <c:v>5.4143822371863414E-3</c:v>
                </c:pt>
                <c:pt idx="9">
                  <c:v>4.0949109356871484E-4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Bweya-Kajansi-2Dir'!$C$9:$N$9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Bweya-Kajansi-2Dir'!$C$107:$N$107</c:f>
              <c:numCache>
                <c:formatCode>0.0%</c:formatCode>
                <c:ptCount val="12"/>
                <c:pt idx="0">
                  <c:v>0.40636493949529412</c:v>
                </c:pt>
                <c:pt idx="1">
                  <c:v>9.653417488026847E-2</c:v>
                </c:pt>
                <c:pt idx="2">
                  <c:v>4.7150333914860051E-2</c:v>
                </c:pt>
                <c:pt idx="3">
                  <c:v>2.0714944495682997E-2</c:v>
                </c:pt>
                <c:pt idx="4">
                  <c:v>3.8669674308001731E-3</c:v>
                </c:pt>
                <c:pt idx="5">
                  <c:v>1.5667885279966221E-3</c:v>
                </c:pt>
                <c:pt idx="6">
                  <c:v>3.6289489182491974E-2</c:v>
                </c:pt>
                <c:pt idx="7">
                  <c:v>1.1094196215261186E-2</c:v>
                </c:pt>
                <c:pt idx="8">
                  <c:v>2.5335303856966651E-3</c:v>
                </c:pt>
                <c:pt idx="9">
                  <c:v>3.5336081695242952E-4</c:v>
                </c:pt>
                <c:pt idx="10">
                  <c:v>0.37351794028424429</c:v>
                </c:pt>
                <c:pt idx="11">
                  <c:v>1.3334370451035078E-5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Bweya-Kajansi-2Dir'!$C$9:$N$9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Bweya-Kajansi-2Dir'!$C$108:$N$108</c:f>
              <c:numCache>
                <c:formatCode>0.00%</c:formatCode>
                <c:ptCount val="12"/>
                <c:pt idx="0">
                  <c:v>0.64864577236204979</c:v>
                </c:pt>
                <c:pt idx="1">
                  <c:v>0.15408928856489118</c:v>
                </c:pt>
                <c:pt idx="2">
                  <c:v>7.5262065662746777E-2</c:v>
                </c:pt>
                <c:pt idx="3">
                  <c:v>3.3065503112861175E-2</c:v>
                </c:pt>
                <c:pt idx="4">
                  <c:v>6.1725110413451819E-3</c:v>
                </c:pt>
                <c:pt idx="5">
                  <c:v>2.5009311977864102E-3</c:v>
                </c:pt>
                <c:pt idx="6">
                  <c:v>5.7925823444899702E-2</c:v>
                </c:pt>
                <c:pt idx="7">
                  <c:v>1.7708721332411005E-2</c:v>
                </c:pt>
                <c:pt idx="8">
                  <c:v>4.044058958122705E-3</c:v>
                </c:pt>
                <c:pt idx="9">
                  <c:v>5.6403980205395603E-4</c:v>
                </c:pt>
                <c:pt idx="11">
                  <c:v>2.1284520832224762E-5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Bweya-Kajansi-2Dir'!$S$9:$AF$9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Bweya-Kajansi-2Dir'!$S$41:$AF$41</c:f>
              <c:numCache>
                <c:formatCode>_-* #,##0_-;\-* #,##0_-;_-* "-"_-;_-@_-</c:formatCode>
                <c:ptCount val="14"/>
                <c:pt idx="0">
                  <c:v>4353.5714285714284</c:v>
                </c:pt>
                <c:pt idx="1">
                  <c:v>1034.2142857142858</c:v>
                </c:pt>
                <c:pt idx="2">
                  <c:v>505.14285714285711</c:v>
                </c:pt>
                <c:pt idx="3">
                  <c:v>221.92857142857142</c:v>
                </c:pt>
                <c:pt idx="4">
                  <c:v>41.428571428571431</c:v>
                </c:pt>
                <c:pt idx="5">
                  <c:v>16.785714285714285</c:v>
                </c:pt>
                <c:pt idx="6">
                  <c:v>388.78571428571428</c:v>
                </c:pt>
                <c:pt idx="7">
                  <c:v>118.85714285714286</c:v>
                </c:pt>
                <c:pt idx="8">
                  <c:v>27.142857142857146</c:v>
                </c:pt>
                <c:pt idx="9">
                  <c:v>3.7857142857142851</c:v>
                </c:pt>
                <c:pt idx="10">
                  <c:v>4001.6666666666665</c:v>
                </c:pt>
                <c:pt idx="11">
                  <c:v>0.14285714285714285</c:v>
                </c:pt>
                <c:pt idx="12">
                  <c:v>6711.7857142857138</c:v>
                </c:pt>
                <c:pt idx="13">
                  <c:v>10713.452380952382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2-4D6E-A813-202C6E926F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Bweya-Kajansi-2Dir'!$S$9:$AF$9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Bweya-Kajansi-2Dir'!$S$42:$AF$42</c:f>
              <c:numCache>
                <c:formatCode>0.000</c:formatCode>
                <c:ptCount val="14"/>
                <c:pt idx="0">
                  <c:v>1.4932137782350925</c:v>
                </c:pt>
                <c:pt idx="1">
                  <c:v>1.6423548094373865</c:v>
                </c:pt>
                <c:pt idx="2">
                  <c:v>1.4551440329218108</c:v>
                </c:pt>
                <c:pt idx="3">
                  <c:v>1.650903294367694</c:v>
                </c:pt>
                <c:pt idx="4">
                  <c:v>1.695906432748538</c:v>
                </c:pt>
                <c:pt idx="5">
                  <c:v>1.8076923076923075</c:v>
                </c:pt>
                <c:pt idx="6">
                  <c:v>1.3077847188851515</c:v>
                </c:pt>
                <c:pt idx="7">
                  <c:v>1.2271386430678466</c:v>
                </c:pt>
                <c:pt idx="8">
                  <c:v>1.4960629921259843</c:v>
                </c:pt>
                <c:pt idx="9">
                  <c:v>1.1521739130434783</c:v>
                </c:pt>
                <c:pt idx="10">
                  <c:v>1.321918185321808</c:v>
                </c:pt>
                <c:pt idx="11">
                  <c:v>1</c:v>
                </c:pt>
                <c:pt idx="12">
                  <c:v>1.4994095870300632</c:v>
                </c:pt>
                <c:pt idx="13">
                  <c:v>1.4278030747751034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E-4F52-B541-17A1DE1031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Bweya-Kajansi-2Dir'!$AE$9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Bweya-Kajansi-2Dir'!$R$10:$R$33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Bweya-Kajansi-2Dir'!$AE$10:$AE$33</c:f>
              <c:numCache>
                <c:formatCode>0</c:formatCode>
                <c:ptCount val="24"/>
                <c:pt idx="0">
                  <c:v>329.57142857142856</c:v>
                </c:pt>
                <c:pt idx="1">
                  <c:v>319</c:v>
                </c:pt>
                <c:pt idx="2">
                  <c:v>294.42857142857139</c:v>
                </c:pt>
                <c:pt idx="3">
                  <c:v>306.42857142857144</c:v>
                </c:pt>
                <c:pt idx="4">
                  <c:v>319.57142857142856</c:v>
                </c:pt>
                <c:pt idx="5">
                  <c:v>325.42857142857144</c:v>
                </c:pt>
                <c:pt idx="6">
                  <c:v>368.28571428571428</c:v>
                </c:pt>
                <c:pt idx="7">
                  <c:v>428.57142857142856</c:v>
                </c:pt>
                <c:pt idx="8">
                  <c:v>400.85714285714289</c:v>
                </c:pt>
                <c:pt idx="9">
                  <c:v>443.28571428571422</c:v>
                </c:pt>
                <c:pt idx="10">
                  <c:v>471.85714285714289</c:v>
                </c:pt>
                <c:pt idx="11">
                  <c:v>469</c:v>
                </c:pt>
                <c:pt idx="12">
                  <c:v>479</c:v>
                </c:pt>
                <c:pt idx="13">
                  <c:v>407</c:v>
                </c:pt>
                <c:pt idx="14">
                  <c:v>370.5</c:v>
                </c:pt>
                <c:pt idx="15">
                  <c:v>291</c:v>
                </c:pt>
                <c:pt idx="16">
                  <c:v>191</c:v>
                </c:pt>
                <c:pt idx="17">
                  <c:v>105</c:v>
                </c:pt>
                <c:pt idx="18">
                  <c:v>58</c:v>
                </c:pt>
                <c:pt idx="19">
                  <c:v>57</c:v>
                </c:pt>
                <c:pt idx="20">
                  <c:v>29</c:v>
                </c:pt>
                <c:pt idx="21">
                  <c:v>41</c:v>
                </c:pt>
                <c:pt idx="22">
                  <c:v>42.5</c:v>
                </c:pt>
                <c:pt idx="23">
                  <c:v>164.5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36-4D0A-94F3-CA06C3BBDBA3}"/>
            </c:ext>
          </c:extLst>
        </c:ser>
        <c:ser>
          <c:idx val="1"/>
          <c:order val="1"/>
          <c:tx>
            <c:strRef>
              <c:f>'Avg Week Bweya-Kajansi-2Dir'!$AF$9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Bweya-Kajansi-2Dir'!$R$10:$R$33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Bweya-Kajansi-2Dir'!$AF$10:$AF$33</c:f>
              <c:numCache>
                <c:formatCode>0</c:formatCode>
                <c:ptCount val="24"/>
                <c:pt idx="0">
                  <c:v>589.28571428571422</c:v>
                </c:pt>
                <c:pt idx="1">
                  <c:v>619.14285714285722</c:v>
                </c:pt>
                <c:pt idx="2">
                  <c:v>558</c:v>
                </c:pt>
                <c:pt idx="3">
                  <c:v>561.14285714285711</c:v>
                </c:pt>
                <c:pt idx="4">
                  <c:v>566.57142857142856</c:v>
                </c:pt>
                <c:pt idx="5">
                  <c:v>532.85714285714289</c:v>
                </c:pt>
                <c:pt idx="6">
                  <c:v>580.71428571428578</c:v>
                </c:pt>
                <c:pt idx="7">
                  <c:v>660.85714285714278</c:v>
                </c:pt>
                <c:pt idx="8">
                  <c:v>634.42857142857144</c:v>
                </c:pt>
                <c:pt idx="9">
                  <c:v>689.99999999999989</c:v>
                </c:pt>
                <c:pt idx="10">
                  <c:v>743.28571428571433</c:v>
                </c:pt>
                <c:pt idx="11">
                  <c:v>767.16666666666663</c:v>
                </c:pt>
                <c:pt idx="12">
                  <c:v>724</c:v>
                </c:pt>
                <c:pt idx="13">
                  <c:v>651.5</c:v>
                </c:pt>
                <c:pt idx="14">
                  <c:v>493.5</c:v>
                </c:pt>
                <c:pt idx="15">
                  <c:v>384.5</c:v>
                </c:pt>
                <c:pt idx="16">
                  <c:v>252</c:v>
                </c:pt>
                <c:pt idx="17">
                  <c:v>142.5</c:v>
                </c:pt>
                <c:pt idx="18">
                  <c:v>82</c:v>
                </c:pt>
                <c:pt idx="19">
                  <c:v>77</c:v>
                </c:pt>
                <c:pt idx="20">
                  <c:v>41</c:v>
                </c:pt>
                <c:pt idx="21">
                  <c:v>52.5</c:v>
                </c:pt>
                <c:pt idx="22">
                  <c:v>60.5</c:v>
                </c:pt>
                <c:pt idx="23">
                  <c:v>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36-4D0A-94F3-CA06C3BBDBA3}"/>
            </c:ext>
          </c:extLst>
        </c:ser>
        <c:ser>
          <c:idx val="5"/>
          <c:order val="2"/>
          <c:tx>
            <c:strRef>
              <c:f>'Avg Week Bweya-Kajansi-2Dir'!$AC$9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Bweya-Kajansi-2Dir'!$R$10:$R$33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Bweya-Kajansi-2Dir'!$AC$10:$AC$33</c:f>
              <c:numCache>
                <c:formatCode>0</c:formatCode>
                <c:ptCount val="24"/>
                <c:pt idx="0">
                  <c:v>259.71428571428567</c:v>
                </c:pt>
                <c:pt idx="1">
                  <c:v>300.14285714285717</c:v>
                </c:pt>
                <c:pt idx="2">
                  <c:v>263.57142857142856</c:v>
                </c:pt>
                <c:pt idx="3">
                  <c:v>254.71428571428572</c:v>
                </c:pt>
                <c:pt idx="4">
                  <c:v>247</c:v>
                </c:pt>
                <c:pt idx="5">
                  <c:v>207.42857142857144</c:v>
                </c:pt>
                <c:pt idx="6">
                  <c:v>212.42857142857144</c:v>
                </c:pt>
                <c:pt idx="7">
                  <c:v>232.28571428571428</c:v>
                </c:pt>
                <c:pt idx="8">
                  <c:v>233.57142857142858</c:v>
                </c:pt>
                <c:pt idx="9">
                  <c:v>246.71428571428572</c:v>
                </c:pt>
                <c:pt idx="10">
                  <c:v>271.42857142857144</c:v>
                </c:pt>
                <c:pt idx="11">
                  <c:v>298.16666666666663</c:v>
                </c:pt>
                <c:pt idx="12">
                  <c:v>245</c:v>
                </c:pt>
                <c:pt idx="13">
                  <c:v>244.5</c:v>
                </c:pt>
                <c:pt idx="14">
                  <c:v>123</c:v>
                </c:pt>
                <c:pt idx="15">
                  <c:v>93.5</c:v>
                </c:pt>
                <c:pt idx="16">
                  <c:v>61</c:v>
                </c:pt>
                <c:pt idx="17">
                  <c:v>37.5</c:v>
                </c:pt>
                <c:pt idx="18">
                  <c:v>24</c:v>
                </c:pt>
                <c:pt idx="19">
                  <c:v>20</c:v>
                </c:pt>
                <c:pt idx="20">
                  <c:v>12</c:v>
                </c:pt>
                <c:pt idx="21">
                  <c:v>11.5</c:v>
                </c:pt>
                <c:pt idx="22">
                  <c:v>18</c:v>
                </c:pt>
                <c:pt idx="23">
                  <c:v>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6-4D0A-94F3-CA06C3BBD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2.xml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20" Type="http://schemas.openxmlformats.org/officeDocument/2006/relationships/chart" Target="../charts/chart14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19" Type="http://schemas.openxmlformats.org/officeDocument/2006/relationships/chart" Target="../charts/chart13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chart" Target="../charts/chart20.xml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9.xml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20" Type="http://schemas.openxmlformats.org/officeDocument/2006/relationships/image" Target="../media/image12.jpeg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Relationship Id="rId22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4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19" Type="http://schemas.openxmlformats.org/officeDocument/2006/relationships/chart" Target="../charts/chart4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3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image" Target="../media/image17.jpeg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19" Type="http://schemas.openxmlformats.org/officeDocument/2006/relationships/chart" Target="../charts/chart54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59.xml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19" Type="http://schemas.openxmlformats.org/officeDocument/2006/relationships/chart" Target="../charts/chart61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66.xml"/><Relationship Id="rId2" Type="http://schemas.openxmlformats.org/officeDocument/2006/relationships/image" Target="../media/image1.emf"/><Relationship Id="rId16" Type="http://schemas.openxmlformats.org/officeDocument/2006/relationships/chart" Target="../charts/chart65.xml"/><Relationship Id="rId1" Type="http://schemas.openxmlformats.org/officeDocument/2006/relationships/chart" Target="../charts/chart6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4.xml"/><Relationship Id="rId10" Type="http://schemas.openxmlformats.org/officeDocument/2006/relationships/image" Target="../media/image9.jpeg"/><Relationship Id="rId19" Type="http://schemas.openxmlformats.org/officeDocument/2006/relationships/chart" Target="../charts/chart6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3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6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7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3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5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8.jpeg"/><Relationship Id="rId17" Type="http://schemas.openxmlformats.org/officeDocument/2006/relationships/chart" Target="../charts/chart79.xml"/><Relationship Id="rId2" Type="http://schemas.openxmlformats.org/officeDocument/2006/relationships/image" Target="../media/image2.emf"/><Relationship Id="rId16" Type="http://schemas.openxmlformats.org/officeDocument/2006/relationships/chart" Target="../charts/chart78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77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48D0010E-A386-4789-A2EF-64EEA7EC3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D29E009-0CCA-4E27-8F85-9A94EF41A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6958968-E8DD-4FB9-A25C-8728AD54C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E2AE41F-0FA0-45C8-9C1E-048CA26F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B3DA8F6-33EC-445E-9E3F-0F15C3482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FDFECBD-4441-4B78-AF5C-76E4D8B0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5790434-5625-4287-94C9-EC4091F7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7FAA744-A2E8-4031-890E-9FFC24AB8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3A75746-92A9-4B3D-987F-8BC1AA65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D83B223-C2FD-47CD-AC7C-10EAEB844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43" name="Picture 4">
          <a:extLst>
            <a:ext uri="{FF2B5EF4-FFF2-40B4-BE49-F238E27FC236}">
              <a16:creationId xmlns:a16="http://schemas.microsoft.com/office/drawing/2014/main" id="{94A6FCB9-F878-4B30-BA0D-1C6EE844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7952321-CF61-46EA-AD8F-1004563FF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32FA8A9-8305-46FD-96F9-5DBBDCF70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71B306D-0101-43BB-A55C-658EDEC35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8A1D309-3502-4674-8053-C6C485B30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BDF34A4-1F74-4991-8BE1-A1E2EED78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AC116B-1EFE-478C-95EC-134AAF91C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8597B4-03EF-491E-B519-EF335C791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0F335C5-7405-4EE0-8DF3-638E1E41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28B16E3-3F49-424F-804C-38498D7C1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2AE574A-17D4-40CB-8A89-468BC657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14BAF4B-E2FD-4413-BB00-71A21A71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7B29B4E-FB7B-4000-B0E1-A9B4503CF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1FEEE65-5B9C-4370-89AB-A53F0353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33075E3-6FB5-4800-A625-844AF5ABC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FC45A940-942C-4B55-883C-FC41BC35E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D57FBF4-1ECA-4437-AB6F-1D4070017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5342C54-A6FC-4CCC-87E3-9EDF25049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BE12FC2-0393-4AB2-AA61-FD99EE557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EF9133F-B642-4632-AE90-84EA9A3A4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3B6EDA1-F808-4923-A638-CF051B763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AAC42CA-2C8C-4435-8683-6C683023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EDC2877-6796-4846-8537-82AA741D7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AC0108A-7C72-48B7-A183-F29118CCF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0C57FAF-77A9-46B8-87A6-625129A8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53B4ADE-B732-4689-BC6D-E2FDAEC63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D57FF05-F26C-49B8-9725-B7990E753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D36537-C445-4225-B86D-259918A0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5489252-7972-4E4C-837C-DAEB9F4FF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14C42D0-59C5-4C39-9AA1-6DB0E5928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A5D3FC59-6CDD-4E66-BBCF-D00B67715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742C7CF-CD87-462D-AE42-9D2AA2477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044BE2A-05EA-4B50-A0D2-23BB0DB92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211FE36-822E-4388-ADCE-0A34F159D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6497B8C-B9BA-40F2-B168-2AE6FDAF5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4D5F271-C059-4602-A14F-1FA835750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4CC40FE-40A8-45B6-B67A-BFD04DCC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40D9D17-C478-4A88-9222-E0117551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10D8859-FFFE-4FB2-B94A-DEFEAACD5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7A77F58-8911-4110-97DD-A2A8B5A10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BB34038-FBAB-4516-8D13-B0D3CBF86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51BA532-C81F-4E94-9258-1F31FAAEE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ECC868B-25FE-4903-B64D-0B86AC95C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11A81D9-F4BC-49BE-833A-89B18A440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F225E09-2E01-4A05-95AF-85AF5248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C17AA827-1C32-49A8-B5AA-69E63CC5A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D58A9BD-6EE8-4373-9AE0-7FFEF7685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53DE8DC-F3C7-4F34-9775-1FF0E2EB6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5CAA5D8-CA4A-4944-A735-7E010CE38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58D7194-5982-4771-A205-FD061D40E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1BBFDBF-A715-409D-A2AA-93B95EDAF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665CB53-3713-4863-B1AD-1FD7DD427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30D9682-8B89-49EE-9D96-E2530C983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364FBA6-FDDE-4F10-8EE1-CDE7C68FD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792208E-B8BB-40B4-BBC8-6910AF0D8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DADA4AE-0279-4748-9EAE-CF80153E1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1513D1-7257-4964-9696-B93A0793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4679589-682B-451F-85C4-A339695B5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7CA7C83-68CE-418F-B611-82EFDDF3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551BFA8-CA8B-4569-A099-5AD5483A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C7355B2B-D488-4E32-96FA-FEF4647B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4EE3C51-2D24-4C38-A3E2-AEFD1C89D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7C8F3E8-5075-45EB-A7C8-3286720E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2C9164F-E4C1-4812-AE52-CB9DF362E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3A8067D-1236-4EAC-BC80-A738A50FC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A7CA269-1767-4488-B259-D8A3BD444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C9695BA-0332-4CAC-A35E-27204919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16FBAD-F05D-479D-85B5-497B07372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BD23304-7190-4119-BE96-089A5266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A5B0E32-1A17-4996-979F-12CC01119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5BF104E-8B29-4CEE-885A-1233F4D3E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905BBE8-87FB-494A-B7FD-65FFBF81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EA75317-9F12-42B6-A0E9-38E429553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708147F-953B-44E6-9455-940F97AF6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220044C-F1F4-46E2-9007-C25962D8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C3267DC7-1C01-4612-BBA3-5D040AA5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FA82BEF-9388-43AE-ADF8-D6A1E4130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611B469-766E-4E89-B9C9-CF93763C5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D78C78E-5C1B-451E-8D5E-E4DED2C82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13CE1D8-D7A7-449D-A440-3DA80EFA3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45</xdr:row>
      <xdr:rowOff>0</xdr:rowOff>
    </xdr:from>
    <xdr:to>
      <xdr:col>28</xdr:col>
      <xdr:colOff>31749</xdr:colOff>
      <xdr:row>59</xdr:row>
      <xdr:rowOff>285749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60</xdr:row>
      <xdr:rowOff>279400</xdr:rowOff>
    </xdr:from>
    <xdr:to>
      <xdr:col>23</xdr:col>
      <xdr:colOff>0</xdr:colOff>
      <xdr:row>75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15876</xdr:colOff>
      <xdr:row>60</xdr:row>
      <xdr:rowOff>269877</xdr:rowOff>
    </xdr:from>
    <xdr:to>
      <xdr:col>31</xdr:col>
      <xdr:colOff>15875</xdr:colOff>
      <xdr:row>76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6350</xdr:rowOff>
    </xdr:from>
    <xdr:to>
      <xdr:col>27</xdr:col>
      <xdr:colOff>698499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59</xdr:row>
      <xdr:rowOff>9525</xdr:rowOff>
    </xdr:from>
    <xdr:to>
      <xdr:col>23</xdr:col>
      <xdr:colOff>15875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59</xdr:row>
      <xdr:rowOff>1</xdr:rowOff>
    </xdr:from>
    <xdr:to>
      <xdr:col>30</xdr:col>
      <xdr:colOff>698501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279400</xdr:rowOff>
    </xdr:from>
    <xdr:to>
      <xdr:col>23</xdr:col>
      <xdr:colOff>698500</xdr:colOff>
      <xdr:row>73</xdr:row>
      <xdr:rowOff>222250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698501</xdr:colOff>
      <xdr:row>73</xdr:row>
      <xdr:rowOff>222252</xdr:rowOff>
    </xdr:from>
    <xdr:to>
      <xdr:col>31</xdr:col>
      <xdr:colOff>1</xdr:colOff>
      <xdr:row>89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698500</xdr:colOff>
      <xdr:row>58</xdr:row>
      <xdr:rowOff>271463</xdr:rowOff>
    </xdr:from>
    <xdr:to>
      <xdr:col>31</xdr:col>
      <xdr:colOff>15875</xdr:colOff>
      <xdr:row>73</xdr:row>
      <xdr:rowOff>222250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10F25B9-0815-4644-93D0-29EE769D3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15875</xdr:colOff>
      <xdr:row>73</xdr:row>
      <xdr:rowOff>223837</xdr:rowOff>
    </xdr:from>
    <xdr:to>
      <xdr:col>23</xdr:col>
      <xdr:colOff>698500</xdr:colOff>
      <xdr:row>89</xdr:row>
      <xdr:rowOff>269875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E3D91D2-5491-448C-8B9E-DD0C01EDB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15876</xdr:colOff>
      <xdr:row>43</xdr:row>
      <xdr:rowOff>15876</xdr:rowOff>
    </xdr:from>
    <xdr:to>
      <xdr:col>28</xdr:col>
      <xdr:colOff>0</xdr:colOff>
      <xdr:row>59</xdr:row>
      <xdr:rowOff>15876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0FD6881-CD6F-4C12-8812-57A806503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MDP%20-%20Allan\MUNYONYO%20SPUR\MCC-C2-STN56-MUNYONYO%20SPU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Preliminary%20Data%20For%20Review\EDMP-Data%20Martha\MCC-C2-STNO%2056-Munyonyo%20spu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2019 MUNYONYO-KAJJANSI"/>
      <sheetName val="24.09.2019 KAJJANSI-MUNYONYO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C2- STN56- MUNYONYO SPUR</v>
          </cell>
        </row>
        <row r="5">
          <cell r="D5" t="str">
            <v>24.09.19</v>
          </cell>
          <cell r="G5" t="str">
            <v>KAWALI (56)</v>
          </cell>
          <cell r="K5" t="str">
            <v>KASOMA JOHN</v>
          </cell>
        </row>
        <row r="6">
          <cell r="K6" t="str">
            <v>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205</v>
          </cell>
          <cell r="AF10">
            <v>382</v>
          </cell>
        </row>
        <row r="11">
          <cell r="R11" t="str">
            <v>0800-0900</v>
          </cell>
          <cell r="AE11">
            <v>184</v>
          </cell>
          <cell r="AF11">
            <v>367</v>
          </cell>
        </row>
        <row r="12">
          <cell r="R12" t="str">
            <v>0900-1000</v>
          </cell>
          <cell r="AE12">
            <v>188</v>
          </cell>
          <cell r="AF12">
            <v>318</v>
          </cell>
        </row>
        <row r="13">
          <cell r="R13" t="str">
            <v>1000-1100</v>
          </cell>
          <cell r="AE13">
            <v>182</v>
          </cell>
          <cell r="AF13">
            <v>305</v>
          </cell>
        </row>
        <row r="14">
          <cell r="R14" t="str">
            <v>1100-1200</v>
          </cell>
          <cell r="AE14">
            <v>155</v>
          </cell>
          <cell r="AF14">
            <v>265</v>
          </cell>
        </row>
        <row r="15">
          <cell r="R15" t="str">
            <v>1200-1300</v>
          </cell>
          <cell r="AE15">
            <v>157</v>
          </cell>
          <cell r="AF15">
            <v>269</v>
          </cell>
        </row>
        <row r="16">
          <cell r="R16" t="str">
            <v>1300-1400</v>
          </cell>
          <cell r="AE16">
            <v>194</v>
          </cell>
          <cell r="AF16">
            <v>323</v>
          </cell>
        </row>
        <row r="17">
          <cell r="R17" t="str">
            <v>1400-1500</v>
          </cell>
          <cell r="AE17">
            <v>129</v>
          </cell>
          <cell r="AF17">
            <v>246</v>
          </cell>
        </row>
        <row r="18">
          <cell r="R18" t="str">
            <v>1500-1600</v>
          </cell>
          <cell r="AE18">
            <v>148</v>
          </cell>
          <cell r="AF18">
            <v>283</v>
          </cell>
        </row>
        <row r="19">
          <cell r="R19" t="str">
            <v>1600-1700</v>
          </cell>
          <cell r="AE19">
            <v>175</v>
          </cell>
          <cell r="AF19">
            <v>294</v>
          </cell>
        </row>
        <row r="20">
          <cell r="R20" t="str">
            <v>1700-1800</v>
          </cell>
          <cell r="AE20">
            <v>285</v>
          </cell>
          <cell r="AF20">
            <v>491</v>
          </cell>
        </row>
        <row r="21">
          <cell r="R21" t="str">
            <v>1800-1900</v>
          </cell>
          <cell r="AE21">
            <v>194</v>
          </cell>
          <cell r="AF21">
            <v>292</v>
          </cell>
        </row>
        <row r="59">
          <cell r="C59">
            <v>0.33846153846153848</v>
          </cell>
          <cell r="D59">
            <v>9.0221642764015647E-2</v>
          </cell>
          <cell r="E59">
            <v>4.8761408083441982E-2</v>
          </cell>
          <cell r="F59">
            <v>2.5032594524119947E-2</v>
          </cell>
          <cell r="G59">
            <v>6.2581486310299868E-3</v>
          </cell>
          <cell r="H59">
            <v>3.1290743155149934E-3</v>
          </cell>
          <cell r="I59">
            <v>4.9804432855280314E-2</v>
          </cell>
          <cell r="J59">
            <v>9.9087353324641466E-3</v>
          </cell>
          <cell r="K59">
            <v>7.8226857887874835E-4</v>
          </cell>
          <cell r="L59">
            <v>2.6075619295958278E-4</v>
          </cell>
          <cell r="M59">
            <v>0.42737940026075621</v>
          </cell>
          <cell r="N59">
            <v>0</v>
          </cell>
        </row>
        <row r="60">
          <cell r="C60">
            <v>0.59107468123861562</v>
          </cell>
          <cell r="D60">
            <v>0.15755919854280509</v>
          </cell>
          <cell r="E60">
            <v>8.5154826958105653E-2</v>
          </cell>
          <cell r="F60">
            <v>4.3715846994535519E-2</v>
          </cell>
          <cell r="G60">
            <v>1.092896174863388E-2</v>
          </cell>
          <cell r="H60">
            <v>5.4644808743169399E-3</v>
          </cell>
          <cell r="I60">
            <v>8.6976320582877964E-2</v>
          </cell>
          <cell r="J60">
            <v>1.7304189435336976E-2</v>
          </cell>
          <cell r="K60">
            <v>1.366120218579235E-3</v>
          </cell>
          <cell r="L60">
            <v>4.5537340619307832E-4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275</v>
          </cell>
          <cell r="AF10">
            <v>414</v>
          </cell>
        </row>
        <row r="11">
          <cell r="R11" t="str">
            <v>0800-0900</v>
          </cell>
          <cell r="AE11">
            <v>177</v>
          </cell>
          <cell r="AF11">
            <v>283</v>
          </cell>
        </row>
        <row r="12">
          <cell r="R12" t="str">
            <v>0900-1000</v>
          </cell>
          <cell r="AE12">
            <v>132</v>
          </cell>
          <cell r="AF12">
            <v>245</v>
          </cell>
        </row>
        <row r="13">
          <cell r="R13" t="str">
            <v>1000-1100</v>
          </cell>
          <cell r="AE13">
            <v>166</v>
          </cell>
          <cell r="AF13">
            <v>259</v>
          </cell>
        </row>
        <row r="14">
          <cell r="R14" t="str">
            <v>1100-1200</v>
          </cell>
          <cell r="AE14">
            <v>160</v>
          </cell>
          <cell r="AF14">
            <v>278</v>
          </cell>
        </row>
        <row r="15">
          <cell r="R15" t="str">
            <v>1200-1300</v>
          </cell>
          <cell r="AE15">
            <v>117</v>
          </cell>
          <cell r="AF15">
            <v>190</v>
          </cell>
        </row>
        <row r="16">
          <cell r="R16" t="str">
            <v>1300-1400</v>
          </cell>
          <cell r="AE16">
            <v>169</v>
          </cell>
          <cell r="AF16">
            <v>268</v>
          </cell>
        </row>
        <row r="17">
          <cell r="R17" t="str">
            <v>1400-1500</v>
          </cell>
          <cell r="AE17">
            <v>146</v>
          </cell>
          <cell r="AF17">
            <v>236</v>
          </cell>
        </row>
        <row r="18">
          <cell r="R18" t="str">
            <v>1500-1600</v>
          </cell>
          <cell r="AE18">
            <v>260</v>
          </cell>
          <cell r="AF18">
            <v>447</v>
          </cell>
        </row>
        <row r="19">
          <cell r="R19" t="str">
            <v>1600-1700</v>
          </cell>
          <cell r="AE19">
            <v>225</v>
          </cell>
          <cell r="AF19">
            <v>357</v>
          </cell>
        </row>
        <row r="20">
          <cell r="R20" t="str">
            <v>1700-1800</v>
          </cell>
          <cell r="AE20">
            <v>245</v>
          </cell>
          <cell r="AF20">
            <v>398</v>
          </cell>
        </row>
        <row r="21">
          <cell r="R21" t="str">
            <v>1800-1900</v>
          </cell>
          <cell r="AE21">
            <v>193</v>
          </cell>
          <cell r="AF21">
            <v>276</v>
          </cell>
        </row>
        <row r="59">
          <cell r="C59">
            <v>0.43741440701177758</v>
          </cell>
          <cell r="D59">
            <v>4.5740892906053134E-2</v>
          </cell>
          <cell r="E59">
            <v>5.6149000273897562E-2</v>
          </cell>
          <cell r="F59">
            <v>9.8603122432210349E-3</v>
          </cell>
          <cell r="G59">
            <v>4.3823609969871266E-3</v>
          </cell>
          <cell r="H59">
            <v>0</v>
          </cell>
          <cell r="I59">
            <v>4.1084634346754315E-2</v>
          </cell>
          <cell r="J59">
            <v>2.2185702547247329E-2</v>
          </cell>
          <cell r="K59">
            <v>3.0128731854286495E-3</v>
          </cell>
          <cell r="L59">
            <v>5.4779512462339083E-4</v>
          </cell>
          <cell r="M59">
            <v>0.37962202136400985</v>
          </cell>
          <cell r="N59">
            <v>0</v>
          </cell>
        </row>
        <row r="60">
          <cell r="C60">
            <v>0.70507726269315674</v>
          </cell>
          <cell r="D60">
            <v>7.3730684326710816E-2</v>
          </cell>
          <cell r="E60">
            <v>9.0507726269315678E-2</v>
          </cell>
          <cell r="F60">
            <v>1.5894039735099338E-2</v>
          </cell>
          <cell r="G60">
            <v>7.0640176600441501E-3</v>
          </cell>
          <cell r="H60">
            <v>0</v>
          </cell>
          <cell r="I60">
            <v>6.6225165562913912E-2</v>
          </cell>
          <cell r="J60">
            <v>3.5761589403973511E-2</v>
          </cell>
          <cell r="K60">
            <v>4.8565121412803532E-3</v>
          </cell>
          <cell r="L60">
            <v>8.8300220750551876E-4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Bweya- Kajansi"/>
      <sheetName val="23.09.19 Kajansi -Bweya"/>
      <sheetName val="24.09 Bweya-Kajansi"/>
      <sheetName val="24.09 Kajansi-Bweya"/>
      <sheetName val="25.09 Bweya-Kajansi"/>
      <sheetName val="25.09 Kajansi-Bweya"/>
      <sheetName val="26.09 Bweya-Kajansi"/>
      <sheetName val="26.09 Kajansi-Bweya"/>
      <sheetName val="27.09 Bweya-Kajansi-24h"/>
      <sheetName val="27.09 Kajansi-Bweya-24h"/>
      <sheetName val="28.09 Bweya-Kajansi-24h"/>
      <sheetName val="28.09 Kajansi-Bweya-24h"/>
      <sheetName val="29.09 Bweya-Kajansi"/>
      <sheetName val="29.09 Kajansi-Bwey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MCC-C2-STNO 56 -Munyonyo spur</v>
          </cell>
        </row>
        <row r="6">
          <cell r="D6" t="str">
            <v>BWEYA</v>
          </cell>
          <cell r="G6" t="str">
            <v>KAJANSI</v>
          </cell>
        </row>
      </sheetData>
      <sheetData sheetId="1">
        <row r="3">
          <cell r="C3" t="str">
            <v>MCC-C2-STNO 56 -Munyonyo spur</v>
          </cell>
        </row>
        <row r="6">
          <cell r="D6" t="str">
            <v>KAJANSI</v>
          </cell>
          <cell r="G6" t="str">
            <v>BWEYA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Munyonyo Spur RD</v>
          </cell>
          <cell r="K5" t="str">
            <v>Akello Rosette / Kasoma John Paul</v>
          </cell>
        </row>
        <row r="6">
          <cell r="K6" t="str">
            <v>Beatrice</v>
          </cell>
        </row>
      </sheetData>
      <sheetData sheetId="10">
        <row r="5">
          <cell r="D5" t="str">
            <v>28.09.19</v>
          </cell>
          <cell r="G5" t="str">
            <v>Munyonyo Spur RD</v>
          </cell>
          <cell r="K5" t="str">
            <v>Akello Rosette / Kasoma John Paul</v>
          </cell>
        </row>
        <row r="6">
          <cell r="K6" t="str">
            <v>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125</v>
          </cell>
          <cell r="AF10">
            <v>249</v>
          </cell>
        </row>
        <row r="11">
          <cell r="R11" t="str">
            <v>0800-0900</v>
          </cell>
          <cell r="AE11">
            <v>178</v>
          </cell>
          <cell r="AF11">
            <v>370</v>
          </cell>
        </row>
        <row r="12">
          <cell r="R12" t="str">
            <v>0900-1000</v>
          </cell>
          <cell r="AE12">
            <v>182</v>
          </cell>
          <cell r="AF12">
            <v>351</v>
          </cell>
        </row>
        <row r="13">
          <cell r="R13" t="str">
            <v>1000-1100</v>
          </cell>
          <cell r="AE13">
            <v>235</v>
          </cell>
          <cell r="AF13">
            <v>392</v>
          </cell>
        </row>
        <row r="14">
          <cell r="R14" t="str">
            <v>1100-1200</v>
          </cell>
          <cell r="AE14">
            <v>285</v>
          </cell>
          <cell r="AF14">
            <v>431</v>
          </cell>
        </row>
        <row r="15">
          <cell r="R15" t="str">
            <v>1200-1300</v>
          </cell>
          <cell r="AE15">
            <v>248</v>
          </cell>
          <cell r="AF15">
            <v>389</v>
          </cell>
        </row>
        <row r="16">
          <cell r="R16" t="str">
            <v>1300-1400</v>
          </cell>
          <cell r="AE16">
            <v>278</v>
          </cell>
          <cell r="AF16">
            <v>415</v>
          </cell>
        </row>
        <row r="17">
          <cell r="R17" t="str">
            <v>1400-1500</v>
          </cell>
          <cell r="AE17">
            <v>260</v>
          </cell>
          <cell r="AF17">
            <v>397</v>
          </cell>
        </row>
        <row r="18">
          <cell r="R18" t="str">
            <v>1500-1600</v>
          </cell>
          <cell r="AE18">
            <v>240</v>
          </cell>
          <cell r="AF18">
            <v>357</v>
          </cell>
        </row>
        <row r="19">
          <cell r="R19" t="str">
            <v>1600-1700</v>
          </cell>
          <cell r="AE19">
            <v>247</v>
          </cell>
          <cell r="AF19">
            <v>412</v>
          </cell>
        </row>
        <row r="20">
          <cell r="R20" t="str">
            <v>1700-1800</v>
          </cell>
          <cell r="AE20">
            <v>238</v>
          </cell>
          <cell r="AF20">
            <v>364</v>
          </cell>
        </row>
        <row r="21">
          <cell r="R21" t="str">
            <v>1800-1900</v>
          </cell>
          <cell r="AE21">
            <v>262</v>
          </cell>
          <cell r="AF21">
            <v>417</v>
          </cell>
        </row>
        <row r="22">
          <cell r="R22" t="str">
            <v>1900-2000</v>
          </cell>
          <cell r="AE22">
            <v>268</v>
          </cell>
          <cell r="AF22">
            <v>403</v>
          </cell>
        </row>
        <row r="23">
          <cell r="R23" t="str">
            <v>2000-2100</v>
          </cell>
          <cell r="AE23">
            <v>239</v>
          </cell>
          <cell r="AF23">
            <v>383</v>
          </cell>
        </row>
        <row r="24">
          <cell r="R24" t="str">
            <v>2100-2200</v>
          </cell>
          <cell r="AE24">
            <v>271</v>
          </cell>
          <cell r="AF24">
            <v>352</v>
          </cell>
        </row>
        <row r="25">
          <cell r="R25" t="str">
            <v>2200-2300</v>
          </cell>
          <cell r="AE25">
            <v>210</v>
          </cell>
          <cell r="AF25">
            <v>261</v>
          </cell>
        </row>
        <row r="26">
          <cell r="R26" t="str">
            <v>2300-0000</v>
          </cell>
          <cell r="AE26">
            <v>182</v>
          </cell>
          <cell r="AF26">
            <v>225</v>
          </cell>
        </row>
        <row r="27">
          <cell r="R27" t="str">
            <v>0000-0100</v>
          </cell>
          <cell r="AE27">
            <v>94</v>
          </cell>
          <cell r="AF27">
            <v>117</v>
          </cell>
        </row>
        <row r="28">
          <cell r="R28" t="str">
            <v>0100-0200</v>
          </cell>
          <cell r="AE28">
            <v>51</v>
          </cell>
          <cell r="AF28">
            <v>65</v>
          </cell>
        </row>
        <row r="29">
          <cell r="R29" t="str">
            <v>0200-0300</v>
          </cell>
          <cell r="AE29">
            <v>30</v>
          </cell>
          <cell r="AF29">
            <v>42</v>
          </cell>
        </row>
        <row r="30">
          <cell r="R30" t="str">
            <v>0300-0400</v>
          </cell>
          <cell r="AE30">
            <v>11</v>
          </cell>
          <cell r="AF30">
            <v>16</v>
          </cell>
        </row>
        <row r="31">
          <cell r="R31" t="str">
            <v>0400-0500</v>
          </cell>
          <cell r="AE31">
            <v>27</v>
          </cell>
          <cell r="AF31">
            <v>34</v>
          </cell>
        </row>
        <row r="32">
          <cell r="R32" t="str">
            <v>0500-0600</v>
          </cell>
          <cell r="AE32">
            <v>16</v>
          </cell>
          <cell r="AF32">
            <v>28</v>
          </cell>
        </row>
        <row r="33">
          <cell r="R33" t="str">
            <v>0600-0700</v>
          </cell>
          <cell r="AE33">
            <v>39</v>
          </cell>
          <cell r="AF33">
            <v>97</v>
          </cell>
        </row>
        <row r="107">
          <cell r="C107">
            <v>0.40475102786660577</v>
          </cell>
          <cell r="D107">
            <v>0.12319171615654027</v>
          </cell>
          <cell r="E107">
            <v>4.2637429572102939E-2</v>
          </cell>
          <cell r="F107">
            <v>2.1166438251865389E-2</v>
          </cell>
          <cell r="G107">
            <v>2.7409776153494748E-3</v>
          </cell>
          <cell r="H107">
            <v>2.4364245469773106E-3</v>
          </cell>
          <cell r="I107">
            <v>3.8678239683264809E-2</v>
          </cell>
          <cell r="J107">
            <v>3.6546368204659662E-3</v>
          </cell>
          <cell r="K107">
            <v>2.4364245469773106E-3</v>
          </cell>
          <cell r="L107">
            <v>3.0455306837216383E-4</v>
          </cell>
          <cell r="M107">
            <v>0.35800213187147861</v>
          </cell>
          <cell r="N107">
            <v>0</v>
          </cell>
        </row>
        <row r="108">
          <cell r="C108">
            <v>0.6304554079696395</v>
          </cell>
          <cell r="D108">
            <v>0.19188804554079697</v>
          </cell>
          <cell r="E108">
            <v>6.6413662239089177E-2</v>
          </cell>
          <cell r="F108">
            <v>3.2969639468690699E-2</v>
          </cell>
          <cell r="G108">
            <v>4.2694497153700191E-3</v>
          </cell>
          <cell r="H108">
            <v>3.7950664136622392E-3</v>
          </cell>
          <cell r="I108">
            <v>6.0246679316888048E-2</v>
          </cell>
          <cell r="J108">
            <v>5.6925996204933585E-3</v>
          </cell>
          <cell r="K108">
            <v>3.7950664136622392E-3</v>
          </cell>
          <cell r="L108">
            <v>4.743833017077799E-4</v>
          </cell>
          <cell r="N108">
            <v>0</v>
          </cell>
        </row>
      </sheetData>
      <sheetData sheetId="11">
        <row r="5">
          <cell r="G5" t="str">
            <v>Munyonyo Spur RD</v>
          </cell>
          <cell r="K5" t="str">
            <v>Akello Rosette / Kasoma John Paul</v>
          </cell>
        </row>
        <row r="6">
          <cell r="K6" t="str">
            <v>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123</v>
          </cell>
          <cell r="AF10">
            <v>235</v>
          </cell>
        </row>
        <row r="11">
          <cell r="R11" t="str">
            <v>0800-0900</v>
          </cell>
          <cell r="AE11">
            <v>176</v>
          </cell>
          <cell r="AF11">
            <v>344</v>
          </cell>
        </row>
        <row r="12">
          <cell r="R12" t="str">
            <v>0900-1000</v>
          </cell>
          <cell r="AE12">
            <v>209</v>
          </cell>
          <cell r="AF12">
            <v>367</v>
          </cell>
        </row>
        <row r="13">
          <cell r="R13" t="str">
            <v>1000-1100</v>
          </cell>
          <cell r="AE13">
            <v>187</v>
          </cell>
          <cell r="AF13">
            <v>309</v>
          </cell>
        </row>
        <row r="14">
          <cell r="R14" t="str">
            <v>1100-1200</v>
          </cell>
          <cell r="AE14">
            <v>240</v>
          </cell>
          <cell r="AF14">
            <v>359</v>
          </cell>
        </row>
        <row r="15">
          <cell r="R15" t="str">
            <v>1200-1300</v>
          </cell>
          <cell r="AE15">
            <v>243</v>
          </cell>
          <cell r="AF15">
            <v>350</v>
          </cell>
        </row>
        <row r="16">
          <cell r="R16" t="str">
            <v>1300-1400</v>
          </cell>
          <cell r="AE16">
            <v>296</v>
          </cell>
          <cell r="AF16">
            <v>418</v>
          </cell>
        </row>
        <row r="17">
          <cell r="R17" t="str">
            <v>1400-1500</v>
          </cell>
          <cell r="AE17">
            <v>336</v>
          </cell>
          <cell r="AF17">
            <v>495</v>
          </cell>
        </row>
        <row r="18">
          <cell r="R18" t="str">
            <v>1500-1600</v>
          </cell>
          <cell r="AE18">
            <v>332</v>
          </cell>
          <cell r="AF18">
            <v>423</v>
          </cell>
        </row>
        <row r="19">
          <cell r="R19" t="str">
            <v>1600-1700</v>
          </cell>
          <cell r="AE19">
            <v>354</v>
          </cell>
          <cell r="AF19">
            <v>467</v>
          </cell>
        </row>
        <row r="20">
          <cell r="R20" t="str">
            <v>1700-1800</v>
          </cell>
          <cell r="AE20">
            <v>354</v>
          </cell>
          <cell r="AF20">
            <v>470</v>
          </cell>
        </row>
        <row r="21">
          <cell r="R21" t="str">
            <v>1800-1900</v>
          </cell>
          <cell r="AE21">
            <v>329</v>
          </cell>
          <cell r="AF21">
            <v>493</v>
          </cell>
        </row>
        <row r="22">
          <cell r="R22" t="str">
            <v>1900-2000</v>
          </cell>
          <cell r="AE22">
            <v>263</v>
          </cell>
          <cell r="AF22">
            <v>376</v>
          </cell>
        </row>
        <row r="23">
          <cell r="R23" t="str">
            <v>2000-2100</v>
          </cell>
          <cell r="AE23">
            <v>248</v>
          </cell>
          <cell r="AF23">
            <v>378</v>
          </cell>
        </row>
        <row r="24">
          <cell r="R24" t="str">
            <v>2100-2200</v>
          </cell>
          <cell r="AE24">
            <v>159</v>
          </cell>
          <cell r="AF24">
            <v>211</v>
          </cell>
        </row>
        <row r="25">
          <cell r="R25" t="str">
            <v>2200-2300</v>
          </cell>
          <cell r="AE25">
            <v>150</v>
          </cell>
          <cell r="AF25">
            <v>210</v>
          </cell>
        </row>
        <row r="26">
          <cell r="R26" t="str">
            <v>2300-0000</v>
          </cell>
          <cell r="AE26">
            <v>97</v>
          </cell>
          <cell r="AF26">
            <v>138</v>
          </cell>
        </row>
        <row r="27">
          <cell r="R27" t="str">
            <v>0000-0100</v>
          </cell>
          <cell r="AE27">
            <v>63</v>
          </cell>
          <cell r="AF27">
            <v>91</v>
          </cell>
        </row>
        <row r="28">
          <cell r="R28" t="str">
            <v>0100-0200</v>
          </cell>
          <cell r="AE28">
            <v>28</v>
          </cell>
          <cell r="AF28">
            <v>41</v>
          </cell>
        </row>
        <row r="29">
          <cell r="R29" t="str">
            <v>0200-0300</v>
          </cell>
          <cell r="AE29">
            <v>35</v>
          </cell>
          <cell r="AF29">
            <v>46</v>
          </cell>
        </row>
        <row r="30">
          <cell r="R30" t="str">
            <v>0300-0400</v>
          </cell>
          <cell r="AE30">
            <v>15</v>
          </cell>
          <cell r="AF30">
            <v>24</v>
          </cell>
        </row>
        <row r="31">
          <cell r="R31" t="str">
            <v>0400-0500</v>
          </cell>
          <cell r="AE31">
            <v>17</v>
          </cell>
          <cell r="AF31">
            <v>22</v>
          </cell>
        </row>
        <row r="32">
          <cell r="R32" t="str">
            <v>0500-0600</v>
          </cell>
          <cell r="AE32">
            <v>7</v>
          </cell>
          <cell r="AF32">
            <v>12</v>
          </cell>
        </row>
        <row r="33">
          <cell r="R33" t="str">
            <v>0600-0700</v>
          </cell>
          <cell r="AE33">
            <v>45</v>
          </cell>
          <cell r="AF33">
            <v>68</v>
          </cell>
        </row>
        <row r="107">
          <cell r="C107">
            <v>0.50937450764140535</v>
          </cell>
          <cell r="D107">
            <v>5.6562155348983775E-2</v>
          </cell>
          <cell r="E107">
            <v>4.7423979832991965E-2</v>
          </cell>
          <cell r="F107">
            <v>1.4652591775642036E-2</v>
          </cell>
          <cell r="G107">
            <v>4.4115330077201826E-3</v>
          </cell>
          <cell r="H107">
            <v>9.453285016543249E-4</v>
          </cell>
          <cell r="I107">
            <v>2.8044745549078303E-2</v>
          </cell>
          <cell r="J107">
            <v>1.2919489522609106E-2</v>
          </cell>
          <cell r="K107">
            <v>3.9388687568930204E-3</v>
          </cell>
          <cell r="L107">
            <v>0</v>
          </cell>
          <cell r="M107">
            <v>0.32156924531274617</v>
          </cell>
          <cell r="N107">
            <v>1.5755475027572083E-4</v>
          </cell>
        </row>
        <row r="108">
          <cell r="C108">
            <v>0.75081281932187649</v>
          </cell>
          <cell r="D108">
            <v>8.3372039015327457E-2</v>
          </cell>
          <cell r="E108">
            <v>6.9902461681374831E-2</v>
          </cell>
          <cell r="F108">
            <v>2.1597770552717138E-2</v>
          </cell>
          <cell r="G108">
            <v>6.5025545750116119E-3</v>
          </cell>
          <cell r="H108">
            <v>1.3934045517882026E-3</v>
          </cell>
          <cell r="I108">
            <v>4.1337668369716675E-2</v>
          </cell>
          <cell r="J108">
            <v>1.9043195541105434E-2</v>
          </cell>
          <cell r="K108">
            <v>5.8058522991175105E-3</v>
          </cell>
          <cell r="L108">
            <v>0</v>
          </cell>
          <cell r="N108">
            <v>2.3223409196470042E-4</v>
          </cell>
        </row>
      </sheetData>
      <sheetData sheetId="12">
        <row r="5">
          <cell r="D5" t="str">
            <v>29.09.19</v>
          </cell>
          <cell r="G5" t="str">
            <v>Munyonyo Spur RD</v>
          </cell>
          <cell r="K5" t="str">
            <v>Akello Rosette / Kasoma John Paul</v>
          </cell>
        </row>
        <row r="6">
          <cell r="K6" t="str">
            <v>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109</v>
          </cell>
          <cell r="AF10">
            <v>204</v>
          </cell>
        </row>
        <row r="11">
          <cell r="R11" t="str">
            <v>0800-0900</v>
          </cell>
          <cell r="AE11">
            <v>152</v>
          </cell>
          <cell r="AF11">
            <v>269</v>
          </cell>
        </row>
        <row r="12">
          <cell r="R12" t="str">
            <v>0900-1000</v>
          </cell>
          <cell r="AE12">
            <v>218</v>
          </cell>
          <cell r="AF12">
            <v>356</v>
          </cell>
        </row>
        <row r="13">
          <cell r="R13" t="str">
            <v>1000-1100</v>
          </cell>
          <cell r="AE13">
            <v>233</v>
          </cell>
          <cell r="AF13">
            <v>367</v>
          </cell>
        </row>
        <row r="14">
          <cell r="R14" t="str">
            <v>1100-1200</v>
          </cell>
          <cell r="AE14">
            <v>233</v>
          </cell>
          <cell r="AF14">
            <v>378</v>
          </cell>
        </row>
        <row r="15">
          <cell r="R15" t="str">
            <v>1200-1300</v>
          </cell>
          <cell r="AE15">
            <v>267</v>
          </cell>
          <cell r="AF15">
            <v>345</v>
          </cell>
        </row>
        <row r="16">
          <cell r="R16" t="str">
            <v>1300-1400</v>
          </cell>
          <cell r="AE16">
            <v>279</v>
          </cell>
          <cell r="AF16">
            <v>398</v>
          </cell>
        </row>
        <row r="17">
          <cell r="R17" t="str">
            <v>1400-1500</v>
          </cell>
          <cell r="AE17">
            <v>268</v>
          </cell>
          <cell r="AF17">
            <v>402</v>
          </cell>
        </row>
        <row r="18">
          <cell r="R18" t="str">
            <v>1500-1600</v>
          </cell>
          <cell r="AE18">
            <v>273</v>
          </cell>
          <cell r="AF18">
            <v>449</v>
          </cell>
        </row>
        <row r="19">
          <cell r="R19" t="str">
            <v>1600-1700</v>
          </cell>
          <cell r="AE19">
            <v>252</v>
          </cell>
          <cell r="AF19">
            <v>427</v>
          </cell>
        </row>
        <row r="20">
          <cell r="R20" t="str">
            <v>1700-1800</v>
          </cell>
          <cell r="AE20">
            <v>262</v>
          </cell>
          <cell r="AF20">
            <v>398</v>
          </cell>
        </row>
        <row r="21">
          <cell r="R21" t="str">
            <v>1800-1900</v>
          </cell>
          <cell r="AE21">
            <v>302</v>
          </cell>
          <cell r="AF21">
            <v>480</v>
          </cell>
        </row>
        <row r="59">
          <cell r="C59">
            <v>0.39280125195618154</v>
          </cell>
          <cell r="D59">
            <v>0.12519561815336464</v>
          </cell>
          <cell r="E59">
            <v>4.4489157165213504E-2</v>
          </cell>
          <cell r="F59">
            <v>2.6827632461435279E-2</v>
          </cell>
          <cell r="G59">
            <v>2.2356360384529397E-3</v>
          </cell>
          <cell r="H59">
            <v>2.9063268499888218E-3</v>
          </cell>
          <cell r="I59">
            <v>3.3087413369103508E-2</v>
          </cell>
          <cell r="J59">
            <v>6.0362173038229373E-3</v>
          </cell>
          <cell r="K59">
            <v>2.6827632461435278E-3</v>
          </cell>
          <cell r="L59">
            <v>4.47127207690588E-4</v>
          </cell>
          <cell r="M59">
            <v>0.36329085624860274</v>
          </cell>
          <cell r="N59">
            <v>0</v>
          </cell>
        </row>
        <row r="60">
          <cell r="C60">
            <v>0.6169241573033708</v>
          </cell>
          <cell r="D60">
            <v>0.19662921348314608</v>
          </cell>
          <cell r="E60">
            <v>6.9873595505617975E-2</v>
          </cell>
          <cell r="F60">
            <v>4.2134831460674156E-2</v>
          </cell>
          <cell r="G60">
            <v>3.5112359550561797E-3</v>
          </cell>
          <cell r="H60">
            <v>4.5646067415730336E-3</v>
          </cell>
          <cell r="I60">
            <v>5.1966292134831463E-2</v>
          </cell>
          <cell r="J60">
            <v>9.480337078651686E-3</v>
          </cell>
          <cell r="K60">
            <v>4.2134831460674156E-3</v>
          </cell>
          <cell r="L60">
            <v>7.0224719101123594E-4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70</v>
          </cell>
          <cell r="AF10">
            <v>162</v>
          </cell>
        </row>
        <row r="11">
          <cell r="R11" t="str">
            <v>0800-0900</v>
          </cell>
          <cell r="AE11">
            <v>80</v>
          </cell>
          <cell r="AF11">
            <v>174</v>
          </cell>
        </row>
        <row r="12">
          <cell r="R12" t="str">
            <v>0900-1000</v>
          </cell>
          <cell r="AE12">
            <v>127</v>
          </cell>
          <cell r="AF12">
            <v>257</v>
          </cell>
        </row>
        <row r="13">
          <cell r="R13" t="str">
            <v>1000-1100</v>
          </cell>
          <cell r="AE13">
            <v>140</v>
          </cell>
          <cell r="AF13">
            <v>217</v>
          </cell>
        </row>
        <row r="14">
          <cell r="R14" t="str">
            <v>1100-1200</v>
          </cell>
          <cell r="AE14">
            <v>148</v>
          </cell>
          <cell r="AF14">
            <v>277</v>
          </cell>
        </row>
        <row r="15">
          <cell r="R15" t="str">
            <v>1200-1300</v>
          </cell>
          <cell r="AE15">
            <v>187</v>
          </cell>
          <cell r="AF15">
            <v>248</v>
          </cell>
        </row>
        <row r="16">
          <cell r="R16" t="str">
            <v>1300-1400</v>
          </cell>
          <cell r="AE16">
            <v>241</v>
          </cell>
          <cell r="AF16">
            <v>325</v>
          </cell>
        </row>
        <row r="17">
          <cell r="R17" t="str">
            <v>1400-1500</v>
          </cell>
          <cell r="AE17">
            <v>293</v>
          </cell>
          <cell r="AF17">
            <v>423</v>
          </cell>
        </row>
        <row r="18">
          <cell r="R18" t="str">
            <v>1500-1600</v>
          </cell>
          <cell r="AE18">
            <v>334</v>
          </cell>
          <cell r="AF18">
            <v>482</v>
          </cell>
        </row>
        <row r="19">
          <cell r="R19" t="str">
            <v>1600-1700</v>
          </cell>
          <cell r="AE19">
            <v>337</v>
          </cell>
          <cell r="AF19">
            <v>472</v>
          </cell>
        </row>
        <row r="20">
          <cell r="R20" t="str">
            <v>1700-1800</v>
          </cell>
          <cell r="AE20">
            <v>374</v>
          </cell>
          <cell r="AF20">
            <v>552</v>
          </cell>
        </row>
        <row r="21">
          <cell r="R21" t="str">
            <v>1800-1900</v>
          </cell>
          <cell r="AE21">
            <v>448</v>
          </cell>
          <cell r="AF21">
            <v>606</v>
          </cell>
        </row>
        <row r="59">
          <cell r="C59">
            <v>0.49868891537544696</v>
          </cell>
          <cell r="D59">
            <v>5.1251489868891539E-2</v>
          </cell>
          <cell r="E59">
            <v>4.3146603098927296E-2</v>
          </cell>
          <cell r="F59">
            <v>1.6686531585220502E-2</v>
          </cell>
          <cell r="G59">
            <v>4.2908224076281289E-3</v>
          </cell>
          <cell r="H59">
            <v>4.7675804529201431E-4</v>
          </cell>
          <cell r="I59">
            <v>2.836710369487485E-2</v>
          </cell>
          <cell r="J59">
            <v>1.5494636471990465E-2</v>
          </cell>
          <cell r="K59">
            <v>4.0524433849821219E-3</v>
          </cell>
          <cell r="L59">
            <v>0</v>
          </cell>
          <cell r="M59">
            <v>0.33754469606674614</v>
          </cell>
          <cell r="N59">
            <v>0</v>
          </cell>
        </row>
        <row r="60">
          <cell r="C60">
            <v>0.75278877293990643</v>
          </cell>
          <cell r="D60">
            <v>7.7365958978049654E-2</v>
          </cell>
          <cell r="E60">
            <v>6.5131342209427845E-2</v>
          </cell>
          <cell r="F60">
            <v>2.5188916876574308E-2</v>
          </cell>
          <cell r="G60">
            <v>6.4771500539762506E-3</v>
          </cell>
          <cell r="H60">
            <v>7.1968333933069444E-4</v>
          </cell>
          <cell r="I60">
            <v>4.2821158690176324E-2</v>
          </cell>
          <cell r="J60">
            <v>2.3389708528247573E-2</v>
          </cell>
          <cell r="K60">
            <v>6.1173083843109035E-3</v>
          </cell>
          <cell r="L60">
            <v>0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A40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1" t="s">
        <v>96</v>
      </c>
      <c r="C3" s="66" t="s">
        <v>170</v>
      </c>
      <c r="D3" s="66"/>
      <c r="E3" s="66"/>
      <c r="F3" s="66"/>
      <c r="G3" s="66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1" t="s">
        <v>168</v>
      </c>
      <c r="H5" s="62"/>
      <c r="I5" s="14"/>
      <c r="J5" s="2" t="s">
        <v>5</v>
      </c>
      <c r="K5" s="61" t="s">
        <v>166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164</v>
      </c>
      <c r="E6" s="62"/>
      <c r="F6" s="2" t="s">
        <v>2</v>
      </c>
      <c r="G6" s="61" t="s">
        <v>165</v>
      </c>
      <c r="H6" s="62"/>
      <c r="J6" s="2" t="s">
        <v>21</v>
      </c>
      <c r="K6" s="61" t="s">
        <v>167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3</v>
      </c>
      <c r="E10" s="50">
        <v>0</v>
      </c>
      <c r="F10" s="50">
        <v>2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57" si="0">SUM(C10:L10,N10)</f>
        <v>19</v>
      </c>
      <c r="P10" s="15">
        <f t="shared" ref="P10:P57" si="1">SUM(C10:N10)</f>
        <v>41</v>
      </c>
      <c r="R10" s="1" t="s">
        <v>6</v>
      </c>
      <c r="S10" s="17">
        <f t="shared" ref="S10:AF10" si="2">SUM(C10:C13)</f>
        <v>34</v>
      </c>
      <c r="T10" s="17">
        <f t="shared" si="2"/>
        <v>7</v>
      </c>
      <c r="U10" s="17">
        <f t="shared" si="2"/>
        <v>3</v>
      </c>
      <c r="V10" s="17">
        <f t="shared" si="2"/>
        <v>5</v>
      </c>
      <c r="W10" s="17">
        <f t="shared" si="2"/>
        <v>1</v>
      </c>
      <c r="X10" s="17">
        <f t="shared" si="2"/>
        <v>0</v>
      </c>
      <c r="Y10" s="17">
        <f t="shared" si="2"/>
        <v>11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97</v>
      </c>
      <c r="AD10" s="17">
        <f t="shared" si="2"/>
        <v>0</v>
      </c>
      <c r="AE10" s="31">
        <f t="shared" si="2"/>
        <v>61</v>
      </c>
      <c r="AF10" s="31">
        <f t="shared" si="2"/>
        <v>158</v>
      </c>
    </row>
    <row r="11" spans="2:32" s="6" customFormat="1" ht="23.1" customHeight="1" x14ac:dyDescent="0.25">
      <c r="B11" s="23" t="s">
        <v>38</v>
      </c>
      <c r="C11" s="50">
        <v>9</v>
      </c>
      <c r="D11" s="50">
        <v>1</v>
      </c>
      <c r="E11" s="50">
        <v>2</v>
      </c>
      <c r="F11" s="50">
        <v>3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29</v>
      </c>
      <c r="N11" s="50">
        <v>0</v>
      </c>
      <c r="O11" s="15">
        <f t="shared" si="0"/>
        <v>17</v>
      </c>
      <c r="P11" s="15">
        <f t="shared" si="1"/>
        <v>46</v>
      </c>
      <c r="R11" s="1" t="s">
        <v>7</v>
      </c>
      <c r="S11" s="17">
        <f t="shared" ref="S11:AF11" si="3">SUM(C14:C17)</f>
        <v>29</v>
      </c>
      <c r="T11" s="17">
        <f t="shared" si="3"/>
        <v>4</v>
      </c>
      <c r="U11" s="17">
        <f t="shared" si="3"/>
        <v>3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189</v>
      </c>
      <c r="AD11" s="17">
        <f t="shared" si="3"/>
        <v>0</v>
      </c>
      <c r="AE11" s="31">
        <f t="shared" si="3"/>
        <v>51</v>
      </c>
      <c r="AF11" s="31">
        <f t="shared" si="3"/>
        <v>240</v>
      </c>
    </row>
    <row r="12" spans="2:32" ht="23.1" customHeight="1" x14ac:dyDescent="0.25">
      <c r="B12" s="23" t="s">
        <v>39</v>
      </c>
      <c r="C12" s="50">
        <v>8</v>
      </c>
      <c r="D12" s="50">
        <v>2</v>
      </c>
      <c r="E12" s="50">
        <v>0</v>
      </c>
      <c r="F12" s="50">
        <v>0</v>
      </c>
      <c r="G12" s="50">
        <v>1</v>
      </c>
      <c r="H12" s="50">
        <v>0</v>
      </c>
      <c r="I12" s="50">
        <v>5</v>
      </c>
      <c r="J12" s="50">
        <v>0</v>
      </c>
      <c r="K12" s="50">
        <v>0</v>
      </c>
      <c r="L12" s="50">
        <v>0</v>
      </c>
      <c r="M12" s="50">
        <v>22</v>
      </c>
      <c r="N12" s="50">
        <v>0</v>
      </c>
      <c r="O12" s="15">
        <f t="shared" si="0"/>
        <v>16</v>
      </c>
      <c r="P12" s="15">
        <f t="shared" si="1"/>
        <v>38</v>
      </c>
      <c r="R12" s="1" t="s">
        <v>8</v>
      </c>
      <c r="S12" s="17">
        <f t="shared" ref="S12:AF12" si="4">SUM(C18:C21)</f>
        <v>23</v>
      </c>
      <c r="T12" s="17">
        <f t="shared" si="4"/>
        <v>7</v>
      </c>
      <c r="U12" s="17">
        <f t="shared" si="4"/>
        <v>3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11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155</v>
      </c>
      <c r="AD12" s="17">
        <f t="shared" si="4"/>
        <v>0</v>
      </c>
      <c r="AE12" s="31">
        <f t="shared" si="4"/>
        <v>51</v>
      </c>
      <c r="AF12" s="31">
        <f t="shared" si="4"/>
        <v>206</v>
      </c>
    </row>
    <row r="13" spans="2:32" ht="23.1" customHeight="1" x14ac:dyDescent="0.25">
      <c r="B13" s="23" t="s">
        <v>40</v>
      </c>
      <c r="C13" s="50">
        <v>6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24</v>
      </c>
      <c r="N13" s="50">
        <v>0</v>
      </c>
      <c r="O13" s="15">
        <f t="shared" si="0"/>
        <v>9</v>
      </c>
      <c r="P13" s="15">
        <f t="shared" si="1"/>
        <v>33</v>
      </c>
      <c r="R13" s="1" t="s">
        <v>9</v>
      </c>
      <c r="S13" s="17">
        <f t="shared" ref="S13:AF13" si="5">SUM(C22:C25)</f>
        <v>21</v>
      </c>
      <c r="T13" s="17">
        <f t="shared" si="5"/>
        <v>10</v>
      </c>
      <c r="U13" s="17">
        <f t="shared" si="5"/>
        <v>4</v>
      </c>
      <c r="V13" s="17">
        <f t="shared" si="5"/>
        <v>4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165</v>
      </c>
      <c r="AD13" s="17">
        <f t="shared" si="5"/>
        <v>0</v>
      </c>
      <c r="AE13" s="31">
        <f t="shared" si="5"/>
        <v>51</v>
      </c>
      <c r="AF13" s="31">
        <f t="shared" si="5"/>
        <v>216</v>
      </c>
    </row>
    <row r="14" spans="2:32" ht="23.1" customHeight="1" x14ac:dyDescent="0.25">
      <c r="B14" s="23" t="s">
        <v>41</v>
      </c>
      <c r="C14" s="50">
        <v>7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5</v>
      </c>
      <c r="J14" s="50">
        <v>2</v>
      </c>
      <c r="K14" s="50">
        <v>0</v>
      </c>
      <c r="L14" s="50">
        <v>0</v>
      </c>
      <c r="M14" s="50">
        <v>50</v>
      </c>
      <c r="N14" s="50">
        <v>0</v>
      </c>
      <c r="O14" s="15">
        <f t="shared" si="0"/>
        <v>15</v>
      </c>
      <c r="P14" s="15">
        <f t="shared" si="1"/>
        <v>65</v>
      </c>
      <c r="R14" s="1" t="s">
        <v>10</v>
      </c>
      <c r="S14" s="17">
        <f t="shared" ref="S14:AF14" si="6">SUM(C26:C29)</f>
        <v>23</v>
      </c>
      <c r="T14" s="17">
        <f t="shared" si="6"/>
        <v>5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129</v>
      </c>
      <c r="AD14" s="17">
        <f t="shared" si="6"/>
        <v>0</v>
      </c>
      <c r="AE14" s="31">
        <f t="shared" si="6"/>
        <v>47</v>
      </c>
      <c r="AF14" s="31">
        <f t="shared" si="6"/>
        <v>176</v>
      </c>
    </row>
    <row r="15" spans="2:32" ht="23.1" customHeight="1" x14ac:dyDescent="0.25">
      <c r="B15" s="23" t="s">
        <v>42</v>
      </c>
      <c r="C15" s="50">
        <v>14</v>
      </c>
      <c r="D15" s="50">
        <v>2</v>
      </c>
      <c r="E15" s="50">
        <v>1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42</v>
      </c>
      <c r="N15" s="50">
        <v>0</v>
      </c>
      <c r="O15" s="15">
        <f t="shared" si="0"/>
        <v>20</v>
      </c>
      <c r="P15" s="15">
        <f t="shared" si="1"/>
        <v>62</v>
      </c>
      <c r="R15" s="1" t="s">
        <v>11</v>
      </c>
      <c r="S15" s="17">
        <f t="shared" ref="S15:AF15" si="7">SUM(C30:C33)</f>
        <v>24</v>
      </c>
      <c r="T15" s="17">
        <f t="shared" si="7"/>
        <v>9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120</v>
      </c>
      <c r="AD15" s="17">
        <f t="shared" si="7"/>
        <v>0</v>
      </c>
      <c r="AE15" s="31">
        <f t="shared" si="7"/>
        <v>49</v>
      </c>
      <c r="AF15" s="31">
        <f t="shared" si="7"/>
        <v>169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1</v>
      </c>
      <c r="G16" s="50">
        <v>0</v>
      </c>
      <c r="H16" s="50">
        <v>0</v>
      </c>
      <c r="I16" s="50">
        <v>2</v>
      </c>
      <c r="J16" s="50">
        <v>2</v>
      </c>
      <c r="K16" s="50">
        <v>0</v>
      </c>
      <c r="L16" s="50">
        <v>0</v>
      </c>
      <c r="M16" s="50">
        <v>59</v>
      </c>
      <c r="N16" s="50">
        <v>0</v>
      </c>
      <c r="O16" s="15">
        <f t="shared" si="0"/>
        <v>6</v>
      </c>
      <c r="P16" s="15">
        <f t="shared" si="1"/>
        <v>65</v>
      </c>
      <c r="R16" s="1" t="s">
        <v>12</v>
      </c>
      <c r="S16" s="17">
        <f t="shared" ref="S16:AF16" si="8">SUM(C34:C37)</f>
        <v>19</v>
      </c>
      <c r="T16" s="17">
        <f t="shared" si="8"/>
        <v>14</v>
      </c>
      <c r="U16" s="17">
        <f t="shared" si="8"/>
        <v>3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82</v>
      </c>
      <c r="AD16" s="17">
        <f t="shared" si="8"/>
        <v>0</v>
      </c>
      <c r="AE16" s="31">
        <f t="shared" si="8"/>
        <v>52</v>
      </c>
      <c r="AF16" s="31">
        <f t="shared" si="8"/>
        <v>134</v>
      </c>
    </row>
    <row r="17" spans="2:32" ht="23.1" customHeight="1" x14ac:dyDescent="0.25">
      <c r="B17" s="23" t="s">
        <v>44</v>
      </c>
      <c r="C17" s="50">
        <v>8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38</v>
      </c>
      <c r="N17" s="50">
        <v>0</v>
      </c>
      <c r="O17" s="15">
        <f t="shared" si="0"/>
        <v>10</v>
      </c>
      <c r="P17" s="15">
        <f t="shared" si="1"/>
        <v>48</v>
      </c>
      <c r="R17" s="1" t="s">
        <v>13</v>
      </c>
      <c r="S17" s="17">
        <f t="shared" ref="S17:AF17" si="9">SUM(C38:C41)</f>
        <v>17</v>
      </c>
      <c r="T17" s="17">
        <f t="shared" si="9"/>
        <v>6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69</v>
      </c>
      <c r="AD17" s="17">
        <f t="shared" si="9"/>
        <v>0</v>
      </c>
      <c r="AE17" s="31">
        <f t="shared" si="9"/>
        <v>35</v>
      </c>
      <c r="AF17" s="31">
        <f t="shared" si="9"/>
        <v>104</v>
      </c>
    </row>
    <row r="18" spans="2:32" ht="23.1" customHeight="1" x14ac:dyDescent="0.25">
      <c r="B18" s="23" t="s">
        <v>45</v>
      </c>
      <c r="C18" s="50">
        <v>9</v>
      </c>
      <c r="D18" s="50">
        <v>3</v>
      </c>
      <c r="E18" s="50">
        <v>1</v>
      </c>
      <c r="F18" s="50">
        <v>1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36</v>
      </c>
      <c r="N18" s="50">
        <v>0</v>
      </c>
      <c r="O18" s="15">
        <f t="shared" si="0"/>
        <v>19</v>
      </c>
      <c r="P18" s="15">
        <f t="shared" si="1"/>
        <v>55</v>
      </c>
      <c r="R18" s="1" t="s">
        <v>14</v>
      </c>
      <c r="S18" s="17">
        <f t="shared" ref="S18:AF18" si="10">SUM(C42:C45)</f>
        <v>18</v>
      </c>
      <c r="T18" s="17">
        <f t="shared" si="10"/>
        <v>5</v>
      </c>
      <c r="U18" s="17">
        <f t="shared" si="10"/>
        <v>3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98</v>
      </c>
      <c r="AD18" s="17">
        <f t="shared" si="10"/>
        <v>0</v>
      </c>
      <c r="AE18" s="31">
        <f t="shared" si="10"/>
        <v>35</v>
      </c>
      <c r="AF18" s="31">
        <f t="shared" si="10"/>
        <v>133</v>
      </c>
    </row>
    <row r="19" spans="2:32" ht="23.1" customHeight="1" x14ac:dyDescent="0.25">
      <c r="B19" s="23" t="s">
        <v>46</v>
      </c>
      <c r="C19" s="50">
        <v>4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42</v>
      </c>
      <c r="N19" s="50">
        <v>0</v>
      </c>
      <c r="O19" s="15">
        <f t="shared" si="0"/>
        <v>9</v>
      </c>
      <c r="P19" s="15">
        <f t="shared" si="1"/>
        <v>51</v>
      </c>
      <c r="R19" s="1" t="s">
        <v>15</v>
      </c>
      <c r="S19" s="17">
        <f t="shared" ref="S19:AF19" si="11">SUM(C46:C49)</f>
        <v>19</v>
      </c>
      <c r="T19" s="17">
        <f t="shared" si="11"/>
        <v>5</v>
      </c>
      <c r="U19" s="17">
        <f t="shared" si="11"/>
        <v>1</v>
      </c>
      <c r="V19" s="17">
        <f t="shared" si="11"/>
        <v>10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56</v>
      </c>
      <c r="AD19" s="17">
        <f t="shared" si="11"/>
        <v>0</v>
      </c>
      <c r="AE19" s="31">
        <f t="shared" si="11"/>
        <v>49</v>
      </c>
      <c r="AF19" s="31">
        <f t="shared" si="11"/>
        <v>105</v>
      </c>
    </row>
    <row r="20" spans="2:32" ht="23.1" customHeight="1" x14ac:dyDescent="0.25">
      <c r="B20" s="23" t="s">
        <v>47</v>
      </c>
      <c r="C20" s="50">
        <v>5</v>
      </c>
      <c r="D20" s="50">
        <v>0</v>
      </c>
      <c r="E20" s="50">
        <v>2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42</v>
      </c>
      <c r="N20" s="50">
        <v>0</v>
      </c>
      <c r="O20" s="15">
        <f t="shared" si="0"/>
        <v>10</v>
      </c>
      <c r="P20" s="15">
        <f t="shared" si="1"/>
        <v>52</v>
      </c>
      <c r="R20" s="1" t="s">
        <v>16</v>
      </c>
      <c r="S20" s="17">
        <f t="shared" ref="S20:AF20" si="12">SUM(C50:C53)</f>
        <v>8</v>
      </c>
      <c r="T20" s="17">
        <f t="shared" si="12"/>
        <v>9</v>
      </c>
      <c r="U20" s="17">
        <f t="shared" si="12"/>
        <v>1</v>
      </c>
      <c r="V20" s="17">
        <f t="shared" si="12"/>
        <v>4</v>
      </c>
      <c r="W20" s="17">
        <f t="shared" si="12"/>
        <v>1</v>
      </c>
      <c r="X20" s="17">
        <f t="shared" si="12"/>
        <v>0</v>
      </c>
      <c r="Y20" s="17">
        <f t="shared" si="12"/>
        <v>7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98</v>
      </c>
      <c r="AD20" s="17">
        <f t="shared" si="12"/>
        <v>0</v>
      </c>
      <c r="AE20" s="31">
        <f t="shared" si="12"/>
        <v>32</v>
      </c>
      <c r="AF20" s="31">
        <f t="shared" si="12"/>
        <v>130</v>
      </c>
    </row>
    <row r="21" spans="2:32" ht="23.1" customHeight="1" x14ac:dyDescent="0.25">
      <c r="B21" s="23" t="s">
        <v>48</v>
      </c>
      <c r="C21" s="50">
        <v>5</v>
      </c>
      <c r="D21" s="50">
        <v>2</v>
      </c>
      <c r="E21" s="50">
        <v>0</v>
      </c>
      <c r="F21" s="50">
        <v>2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0</v>
      </c>
      <c r="M21" s="50">
        <v>35</v>
      </c>
      <c r="N21" s="50">
        <v>0</v>
      </c>
      <c r="O21" s="15">
        <f t="shared" si="0"/>
        <v>13</v>
      </c>
      <c r="P21" s="15">
        <f t="shared" si="1"/>
        <v>48</v>
      </c>
      <c r="R21" s="36" t="s">
        <v>20</v>
      </c>
      <c r="S21" s="34">
        <f t="shared" ref="S21:AF21" si="13">SUM(C54:C57)</f>
        <v>25</v>
      </c>
      <c r="T21" s="17">
        <f t="shared" si="13"/>
        <v>3</v>
      </c>
      <c r="U21" s="17">
        <f t="shared" si="13"/>
        <v>0</v>
      </c>
      <c r="V21" s="17">
        <f t="shared" si="13"/>
        <v>2</v>
      </c>
      <c r="W21" s="17">
        <f t="shared" si="13"/>
        <v>1</v>
      </c>
      <c r="X21" s="17">
        <f t="shared" si="13"/>
        <v>1</v>
      </c>
      <c r="Y21" s="17">
        <f t="shared" si="13"/>
        <v>8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125</v>
      </c>
      <c r="AD21" s="17">
        <f t="shared" si="13"/>
        <v>0</v>
      </c>
      <c r="AE21" s="31">
        <f t="shared" si="13"/>
        <v>41</v>
      </c>
      <c r="AF21" s="31">
        <f t="shared" si="13"/>
        <v>166</v>
      </c>
    </row>
    <row r="22" spans="2:32" ht="23.1" customHeight="1" x14ac:dyDescent="0.25">
      <c r="B22" s="23" t="s">
        <v>49</v>
      </c>
      <c r="C22" s="50">
        <v>5</v>
      </c>
      <c r="D22" s="50">
        <v>2</v>
      </c>
      <c r="E22" s="50">
        <v>0</v>
      </c>
      <c r="F22" s="50">
        <v>1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36</v>
      </c>
      <c r="N22" s="50">
        <v>0</v>
      </c>
      <c r="O22" s="15">
        <f t="shared" si="0"/>
        <v>11</v>
      </c>
      <c r="P22" s="15">
        <f t="shared" si="1"/>
        <v>47</v>
      </c>
      <c r="R22" s="38" t="s">
        <v>90</v>
      </c>
      <c r="S22" s="39">
        <f>MAX(S10:S12)</f>
        <v>34</v>
      </c>
      <c r="T22" s="39">
        <f t="shared" ref="T22:AF22" si="14">MAX(T10:T12)</f>
        <v>7</v>
      </c>
      <c r="U22" s="39">
        <f t="shared" si="14"/>
        <v>3</v>
      </c>
      <c r="V22" s="39">
        <f t="shared" si="14"/>
        <v>5</v>
      </c>
      <c r="W22" s="39">
        <f t="shared" si="14"/>
        <v>1</v>
      </c>
      <c r="X22" s="39">
        <f t="shared" si="14"/>
        <v>0</v>
      </c>
      <c r="Y22" s="39">
        <f t="shared" si="14"/>
        <v>11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189</v>
      </c>
      <c r="AD22" s="39">
        <f t="shared" si="14"/>
        <v>0</v>
      </c>
      <c r="AE22" s="40">
        <f t="shared" si="14"/>
        <v>61</v>
      </c>
      <c r="AF22" s="40">
        <f t="shared" si="14"/>
        <v>240</v>
      </c>
    </row>
    <row r="23" spans="2:32" ht="23.1" customHeight="1" x14ac:dyDescent="0.25">
      <c r="B23" s="23" t="s">
        <v>50</v>
      </c>
      <c r="C23" s="50">
        <v>6</v>
      </c>
      <c r="D23" s="50">
        <v>3</v>
      </c>
      <c r="E23" s="50">
        <v>2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33</v>
      </c>
      <c r="N23" s="50">
        <v>0</v>
      </c>
      <c r="O23" s="15">
        <f t="shared" si="0"/>
        <v>13</v>
      </c>
      <c r="P23" s="15">
        <f t="shared" si="1"/>
        <v>46</v>
      </c>
      <c r="R23" s="38" t="s">
        <v>91</v>
      </c>
      <c r="S23" s="39">
        <f>MAX(S13:S18)</f>
        <v>24</v>
      </c>
      <c r="T23" s="39">
        <f t="shared" ref="T23:AF23" si="15">MAX(T13:T18)</f>
        <v>14</v>
      </c>
      <c r="U23" s="39">
        <f t="shared" si="15"/>
        <v>4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14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165</v>
      </c>
      <c r="AD23" s="39">
        <f t="shared" si="15"/>
        <v>0</v>
      </c>
      <c r="AE23" s="40">
        <f t="shared" si="15"/>
        <v>52</v>
      </c>
      <c r="AF23" s="40">
        <f t="shared" si="15"/>
        <v>216</v>
      </c>
    </row>
    <row r="24" spans="2:32" ht="23.1" customHeight="1" x14ac:dyDescent="0.25">
      <c r="B24" s="23" t="s">
        <v>51</v>
      </c>
      <c r="C24" s="50">
        <v>4</v>
      </c>
      <c r="D24" s="50">
        <v>5</v>
      </c>
      <c r="E24" s="50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41</v>
      </c>
      <c r="N24" s="50">
        <v>0</v>
      </c>
      <c r="O24" s="15">
        <f t="shared" si="0"/>
        <v>12</v>
      </c>
      <c r="P24" s="15">
        <f t="shared" si="1"/>
        <v>53</v>
      </c>
      <c r="R24" s="38" t="s">
        <v>92</v>
      </c>
      <c r="S24" s="39">
        <f>MAX(S19:S21)</f>
        <v>25</v>
      </c>
      <c r="T24" s="39">
        <f t="shared" ref="T24:AF24" si="16">MAX(T19:T21)</f>
        <v>9</v>
      </c>
      <c r="U24" s="39">
        <f t="shared" si="16"/>
        <v>1</v>
      </c>
      <c r="V24" s="39">
        <f t="shared" si="16"/>
        <v>10</v>
      </c>
      <c r="W24" s="39">
        <f t="shared" si="16"/>
        <v>1</v>
      </c>
      <c r="X24" s="39">
        <f t="shared" si="16"/>
        <v>1</v>
      </c>
      <c r="Y24" s="39">
        <f t="shared" si="16"/>
        <v>12</v>
      </c>
      <c r="Z24" s="39">
        <f t="shared" si="16"/>
        <v>2</v>
      </c>
      <c r="AA24" s="39">
        <f t="shared" si="16"/>
        <v>0</v>
      </c>
      <c r="AB24" s="39">
        <f t="shared" si="16"/>
        <v>1</v>
      </c>
      <c r="AC24" s="39">
        <f t="shared" si="16"/>
        <v>125</v>
      </c>
      <c r="AD24" s="39">
        <f t="shared" si="16"/>
        <v>0</v>
      </c>
      <c r="AE24" s="40">
        <f t="shared" si="16"/>
        <v>49</v>
      </c>
      <c r="AF24" s="40">
        <f t="shared" si="16"/>
        <v>166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55</v>
      </c>
      <c r="N25" s="50">
        <v>0</v>
      </c>
      <c r="O25" s="15">
        <f t="shared" si="0"/>
        <v>15</v>
      </c>
      <c r="P25" s="15">
        <f t="shared" si="1"/>
        <v>70</v>
      </c>
      <c r="R25" s="37" t="s">
        <v>85</v>
      </c>
      <c r="S25" s="35">
        <f t="shared" ref="S25:AF25" si="17">SUM(S10:S12)</f>
        <v>86</v>
      </c>
      <c r="T25" s="16">
        <f t="shared" si="17"/>
        <v>18</v>
      </c>
      <c r="U25" s="16">
        <f t="shared" si="17"/>
        <v>9</v>
      </c>
      <c r="V25" s="16">
        <f t="shared" si="17"/>
        <v>12</v>
      </c>
      <c r="W25" s="16">
        <f t="shared" si="17"/>
        <v>1</v>
      </c>
      <c r="X25" s="16">
        <f t="shared" si="17"/>
        <v>0</v>
      </c>
      <c r="Y25" s="16">
        <f t="shared" si="17"/>
        <v>31</v>
      </c>
      <c r="Z25" s="16">
        <f t="shared" si="17"/>
        <v>6</v>
      </c>
      <c r="AA25" s="16">
        <f t="shared" si="17"/>
        <v>0</v>
      </c>
      <c r="AB25" s="16">
        <f t="shared" si="17"/>
        <v>0</v>
      </c>
      <c r="AC25" s="16">
        <f t="shared" si="17"/>
        <v>441</v>
      </c>
      <c r="AD25" s="16">
        <f t="shared" si="17"/>
        <v>0</v>
      </c>
      <c r="AE25" s="32">
        <f t="shared" si="17"/>
        <v>163</v>
      </c>
      <c r="AF25" s="32">
        <f t="shared" si="17"/>
        <v>604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1</v>
      </c>
      <c r="L26" s="50">
        <v>0</v>
      </c>
      <c r="M26" s="50">
        <v>35</v>
      </c>
      <c r="N26" s="50">
        <v>0</v>
      </c>
      <c r="O26" s="15">
        <f t="shared" si="0"/>
        <v>9</v>
      </c>
      <c r="P26" s="15">
        <f t="shared" si="1"/>
        <v>44</v>
      </c>
      <c r="R26" s="28" t="s">
        <v>86</v>
      </c>
      <c r="S26" s="16">
        <f t="shared" ref="S26:AF26" si="18">SUM(S13:S18)</f>
        <v>122</v>
      </c>
      <c r="T26" s="16">
        <f t="shared" si="18"/>
        <v>49</v>
      </c>
      <c r="U26" s="16">
        <f t="shared" si="18"/>
        <v>17</v>
      </c>
      <c r="V26" s="16">
        <f t="shared" si="18"/>
        <v>13</v>
      </c>
      <c r="W26" s="16">
        <f t="shared" si="18"/>
        <v>0</v>
      </c>
      <c r="X26" s="16">
        <f t="shared" si="18"/>
        <v>0</v>
      </c>
      <c r="Y26" s="16">
        <f t="shared" si="18"/>
        <v>63</v>
      </c>
      <c r="Z26" s="16">
        <f t="shared" si="18"/>
        <v>4</v>
      </c>
      <c r="AA26" s="16">
        <f t="shared" si="18"/>
        <v>1</v>
      </c>
      <c r="AB26" s="16">
        <f t="shared" si="18"/>
        <v>0</v>
      </c>
      <c r="AC26" s="16">
        <f t="shared" si="18"/>
        <v>663</v>
      </c>
      <c r="AD26" s="16">
        <f t="shared" si="18"/>
        <v>0</v>
      </c>
      <c r="AE26" s="32">
        <f t="shared" si="18"/>
        <v>269</v>
      </c>
      <c r="AF26" s="32">
        <f t="shared" si="18"/>
        <v>932</v>
      </c>
    </row>
    <row r="27" spans="2:32" ht="23.1" customHeight="1" x14ac:dyDescent="0.25">
      <c r="B27" s="23" t="s">
        <v>54</v>
      </c>
      <c r="C27" s="50">
        <v>8</v>
      </c>
      <c r="D27" s="50">
        <v>2</v>
      </c>
      <c r="E27" s="50">
        <v>0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24</v>
      </c>
      <c r="N27" s="50">
        <v>0</v>
      </c>
      <c r="O27" s="15">
        <f t="shared" si="0"/>
        <v>12</v>
      </c>
      <c r="P27" s="15">
        <f t="shared" si="1"/>
        <v>36</v>
      </c>
      <c r="R27" s="29" t="s">
        <v>87</v>
      </c>
      <c r="S27" s="16">
        <f t="shared" ref="S27:AF27" si="19">SUM(S19:S21)</f>
        <v>52</v>
      </c>
      <c r="T27" s="16">
        <f t="shared" si="19"/>
        <v>17</v>
      </c>
      <c r="U27" s="16">
        <f t="shared" si="19"/>
        <v>2</v>
      </c>
      <c r="V27" s="16">
        <f t="shared" si="19"/>
        <v>16</v>
      </c>
      <c r="W27" s="16">
        <f t="shared" si="19"/>
        <v>3</v>
      </c>
      <c r="X27" s="16">
        <f t="shared" si="19"/>
        <v>1</v>
      </c>
      <c r="Y27" s="16">
        <f t="shared" si="19"/>
        <v>27</v>
      </c>
      <c r="Z27" s="16">
        <f t="shared" si="19"/>
        <v>3</v>
      </c>
      <c r="AA27" s="16">
        <f t="shared" si="19"/>
        <v>0</v>
      </c>
      <c r="AB27" s="16">
        <f t="shared" si="19"/>
        <v>1</v>
      </c>
      <c r="AC27" s="16">
        <f t="shared" si="19"/>
        <v>279</v>
      </c>
      <c r="AD27" s="16">
        <f t="shared" si="19"/>
        <v>0</v>
      </c>
      <c r="AE27" s="32">
        <f t="shared" si="19"/>
        <v>122</v>
      </c>
      <c r="AF27" s="32">
        <f t="shared" si="19"/>
        <v>401</v>
      </c>
    </row>
    <row r="28" spans="2:32" ht="23.1" customHeight="1" x14ac:dyDescent="0.25">
      <c r="B28" s="23" t="s">
        <v>55</v>
      </c>
      <c r="C28" s="50">
        <v>6</v>
      </c>
      <c r="D28" s="50">
        <v>2</v>
      </c>
      <c r="E28" s="50">
        <v>1</v>
      </c>
      <c r="F28" s="50">
        <v>1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42</v>
      </c>
      <c r="N28" s="50">
        <v>0</v>
      </c>
      <c r="O28" s="15">
        <f t="shared" si="0"/>
        <v>15</v>
      </c>
      <c r="P28" s="15">
        <f t="shared" si="1"/>
        <v>57</v>
      </c>
      <c r="R28" s="5" t="s">
        <v>17</v>
      </c>
      <c r="S28" s="16">
        <f t="shared" ref="S28:AF28" si="20">SUM(S10:S21)</f>
        <v>260</v>
      </c>
      <c r="T28" s="16">
        <f t="shared" si="20"/>
        <v>84</v>
      </c>
      <c r="U28" s="16">
        <f t="shared" si="20"/>
        <v>28</v>
      </c>
      <c r="V28" s="16">
        <f t="shared" si="20"/>
        <v>41</v>
      </c>
      <c r="W28" s="16">
        <f t="shared" si="20"/>
        <v>4</v>
      </c>
      <c r="X28" s="16">
        <f t="shared" si="20"/>
        <v>1</v>
      </c>
      <c r="Y28" s="16">
        <f t="shared" si="20"/>
        <v>121</v>
      </c>
      <c r="Z28" s="16">
        <f t="shared" si="20"/>
        <v>13</v>
      </c>
      <c r="AA28" s="16">
        <f t="shared" si="20"/>
        <v>1</v>
      </c>
      <c r="AB28" s="16">
        <f t="shared" si="20"/>
        <v>1</v>
      </c>
      <c r="AC28" s="16">
        <f t="shared" si="20"/>
        <v>1383</v>
      </c>
      <c r="AD28" s="16">
        <f t="shared" si="20"/>
        <v>0</v>
      </c>
      <c r="AE28" s="32">
        <f t="shared" si="20"/>
        <v>554</v>
      </c>
      <c r="AF28" s="32">
        <f t="shared" si="20"/>
        <v>1937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28</v>
      </c>
      <c r="N29" s="50">
        <v>0</v>
      </c>
      <c r="O29" s="15">
        <f t="shared" si="0"/>
        <v>11</v>
      </c>
      <c r="P29" s="15">
        <f t="shared" si="1"/>
        <v>39</v>
      </c>
      <c r="R29"/>
      <c r="S29" s="20"/>
      <c r="T29" s="19"/>
    </row>
    <row r="30" spans="2:32" ht="23.1" customHeight="1" x14ac:dyDescent="0.25">
      <c r="B30" s="23" t="s">
        <v>57</v>
      </c>
      <c r="C30" s="50">
        <v>8</v>
      </c>
      <c r="D30" s="50">
        <v>1</v>
      </c>
      <c r="E30" s="50">
        <v>0</v>
      </c>
      <c r="F30" s="50">
        <v>1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25</v>
      </c>
      <c r="N30" s="50">
        <v>0</v>
      </c>
      <c r="O30" s="15">
        <f t="shared" si="0"/>
        <v>13</v>
      </c>
      <c r="P30" s="15">
        <f t="shared" si="1"/>
        <v>38</v>
      </c>
    </row>
    <row r="31" spans="2:32" ht="23.1" customHeight="1" x14ac:dyDescent="0.25">
      <c r="B31" s="24" t="s">
        <v>58</v>
      </c>
      <c r="C31" s="50">
        <v>5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37</v>
      </c>
      <c r="N31" s="50">
        <v>0</v>
      </c>
      <c r="O31" s="15">
        <f t="shared" si="0"/>
        <v>8</v>
      </c>
      <c r="P31" s="15">
        <f t="shared" si="1"/>
        <v>45</v>
      </c>
    </row>
    <row r="32" spans="2:32" ht="23.1" customHeight="1" x14ac:dyDescent="0.25">
      <c r="B32" s="24" t="s">
        <v>59</v>
      </c>
      <c r="C32" s="50">
        <v>5</v>
      </c>
      <c r="D32" s="50">
        <v>4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27</v>
      </c>
      <c r="N32" s="50">
        <v>0</v>
      </c>
      <c r="O32" s="15">
        <f t="shared" si="0"/>
        <v>12</v>
      </c>
      <c r="P32" s="15">
        <f t="shared" si="1"/>
        <v>39</v>
      </c>
    </row>
    <row r="33" spans="2:20" ht="23.1" customHeight="1" x14ac:dyDescent="0.25">
      <c r="B33" s="23" t="s">
        <v>60</v>
      </c>
      <c r="C33" s="50">
        <v>6</v>
      </c>
      <c r="D33" s="50">
        <v>2</v>
      </c>
      <c r="E33" s="50">
        <v>2</v>
      </c>
      <c r="F33" s="50">
        <v>1</v>
      </c>
      <c r="G33" s="50">
        <v>0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31</v>
      </c>
      <c r="N33" s="50">
        <v>0</v>
      </c>
      <c r="O33" s="15">
        <f t="shared" si="0"/>
        <v>16</v>
      </c>
      <c r="P33" s="15">
        <f t="shared" si="1"/>
        <v>47</v>
      </c>
    </row>
    <row r="34" spans="2:20" ht="23.1" customHeight="1" x14ac:dyDescent="0.25">
      <c r="B34" s="24" t="s">
        <v>61</v>
      </c>
      <c r="C34" s="50">
        <v>8</v>
      </c>
      <c r="D34" s="50">
        <v>8</v>
      </c>
      <c r="E34" s="50">
        <v>0</v>
      </c>
      <c r="F34" s="50">
        <v>0</v>
      </c>
      <c r="G34" s="50">
        <v>0</v>
      </c>
      <c r="H34" s="50">
        <v>0</v>
      </c>
      <c r="I34" s="50">
        <v>8</v>
      </c>
      <c r="J34" s="50">
        <v>0</v>
      </c>
      <c r="K34" s="50">
        <v>0</v>
      </c>
      <c r="L34" s="50">
        <v>0</v>
      </c>
      <c r="M34" s="50">
        <v>21</v>
      </c>
      <c r="N34" s="50">
        <v>0</v>
      </c>
      <c r="O34" s="15">
        <f t="shared" si="0"/>
        <v>24</v>
      </c>
      <c r="P34" s="15">
        <f t="shared" si="1"/>
        <v>45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5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2</v>
      </c>
      <c r="F36" s="50">
        <v>2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33</v>
      </c>
      <c r="N36" s="50">
        <v>0</v>
      </c>
      <c r="O36" s="15">
        <f t="shared" si="0"/>
        <v>9</v>
      </c>
      <c r="P36" s="15">
        <f t="shared" si="1"/>
        <v>42</v>
      </c>
    </row>
    <row r="37" spans="2:20" ht="23.1" customHeight="1" x14ac:dyDescent="0.25">
      <c r="B37" s="23" t="s">
        <v>64</v>
      </c>
      <c r="C37" s="50">
        <v>5</v>
      </c>
      <c r="D37" s="50">
        <v>5</v>
      </c>
      <c r="E37" s="50">
        <v>1</v>
      </c>
      <c r="F37" s="50">
        <v>0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14</v>
      </c>
      <c r="P37" s="15">
        <f t="shared" si="1"/>
        <v>28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5</v>
      </c>
      <c r="P38" s="15">
        <f t="shared" si="1"/>
        <v>21</v>
      </c>
    </row>
    <row r="39" spans="2:20" ht="23.1" customHeight="1" x14ac:dyDescent="0.25">
      <c r="B39" s="24" t="s">
        <v>66</v>
      </c>
      <c r="C39" s="50">
        <v>2</v>
      </c>
      <c r="D39" s="50">
        <v>5</v>
      </c>
      <c r="E39" s="50">
        <v>1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10</v>
      </c>
      <c r="P39" s="15">
        <f t="shared" si="1"/>
        <v>25</v>
      </c>
    </row>
    <row r="40" spans="2:20" ht="23.1" customHeight="1" x14ac:dyDescent="0.25">
      <c r="B40" s="24" t="s">
        <v>67</v>
      </c>
      <c r="C40" s="50">
        <v>8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10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6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22</v>
      </c>
      <c r="N41" s="50">
        <v>0</v>
      </c>
      <c r="O41" s="15">
        <f t="shared" si="0"/>
        <v>10</v>
      </c>
      <c r="P41" s="15">
        <f t="shared" si="1"/>
        <v>32</v>
      </c>
    </row>
    <row r="42" spans="2:20" ht="23.1" customHeight="1" x14ac:dyDescent="0.25">
      <c r="B42" s="24" t="s">
        <v>69</v>
      </c>
      <c r="C42" s="50">
        <v>3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21</v>
      </c>
      <c r="N42" s="50">
        <v>0</v>
      </c>
      <c r="O42" s="15">
        <f t="shared" si="0"/>
        <v>6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9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23</v>
      </c>
      <c r="N43" s="50">
        <v>0</v>
      </c>
      <c r="O43" s="15">
        <f t="shared" si="0"/>
        <v>11</v>
      </c>
      <c r="P43" s="15">
        <f t="shared" si="1"/>
        <v>34</v>
      </c>
    </row>
    <row r="44" spans="2:20" ht="23.1" customHeight="1" x14ac:dyDescent="0.25">
      <c r="B44" s="25" t="s">
        <v>71</v>
      </c>
      <c r="C44" s="50">
        <v>2</v>
      </c>
      <c r="D44" s="50">
        <v>1</v>
      </c>
      <c r="E44" s="50">
        <v>0</v>
      </c>
      <c r="F44" s="50">
        <v>2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31</v>
      </c>
      <c r="N44" s="50">
        <v>0</v>
      </c>
      <c r="O44" s="15">
        <f t="shared" si="0"/>
        <v>9</v>
      </c>
      <c r="P44" s="15">
        <f t="shared" si="1"/>
        <v>40</v>
      </c>
    </row>
    <row r="45" spans="2:20" ht="23.1" customHeight="1" x14ac:dyDescent="0.25">
      <c r="B45" s="23" t="s">
        <v>72</v>
      </c>
      <c r="C45" s="50">
        <v>4</v>
      </c>
      <c r="D45" s="50">
        <v>3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23</v>
      </c>
      <c r="N45" s="50">
        <v>0</v>
      </c>
      <c r="O45" s="15">
        <f t="shared" si="0"/>
        <v>9</v>
      </c>
      <c r="P45" s="15">
        <f t="shared" si="1"/>
        <v>32</v>
      </c>
    </row>
    <row r="46" spans="2:20" ht="23.1" customHeight="1" x14ac:dyDescent="0.25">
      <c r="B46" s="24" t="s">
        <v>73</v>
      </c>
      <c r="C46" s="50">
        <v>6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7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0</v>
      </c>
      <c r="F47" s="50">
        <v>3</v>
      </c>
      <c r="G47" s="50">
        <v>1</v>
      </c>
      <c r="H47" s="50">
        <v>0</v>
      </c>
      <c r="I47" s="50">
        <v>1</v>
      </c>
      <c r="J47" s="50">
        <v>0</v>
      </c>
      <c r="K47" s="50">
        <v>0</v>
      </c>
      <c r="L47" s="50">
        <v>1</v>
      </c>
      <c r="M47" s="50">
        <v>19</v>
      </c>
      <c r="N47" s="50">
        <v>0</v>
      </c>
      <c r="O47" s="15">
        <f t="shared" si="0"/>
        <v>13</v>
      </c>
      <c r="P47" s="15">
        <f t="shared" si="1"/>
        <v>32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2</v>
      </c>
      <c r="E48" s="50">
        <v>0</v>
      </c>
      <c r="F48" s="50">
        <v>2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8</v>
      </c>
      <c r="P48" s="15">
        <f t="shared" si="1"/>
        <v>21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3</v>
      </c>
      <c r="E49" s="50">
        <v>1</v>
      </c>
      <c r="F49" s="50">
        <v>5</v>
      </c>
      <c r="G49" s="50">
        <v>0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12</v>
      </c>
      <c r="N49" s="50">
        <v>0</v>
      </c>
      <c r="O49" s="15">
        <f t="shared" si="0"/>
        <v>21</v>
      </c>
      <c r="P49" s="15">
        <f t="shared" si="1"/>
        <v>33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2</v>
      </c>
      <c r="E50" s="50">
        <v>1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21</v>
      </c>
      <c r="N50" s="50">
        <v>0</v>
      </c>
      <c r="O50" s="15">
        <f t="shared" si="0"/>
        <v>7</v>
      </c>
      <c r="P50" s="15">
        <f t="shared" si="1"/>
        <v>28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2</v>
      </c>
      <c r="E51" s="50">
        <v>0</v>
      </c>
      <c r="F51" s="50">
        <v>2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28</v>
      </c>
      <c r="N51" s="50">
        <v>0</v>
      </c>
      <c r="O51" s="15">
        <f t="shared" si="0"/>
        <v>10</v>
      </c>
      <c r="P51" s="15">
        <f t="shared" si="1"/>
        <v>38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4</v>
      </c>
      <c r="E52" s="50">
        <v>0</v>
      </c>
      <c r="F52" s="50">
        <v>1</v>
      </c>
      <c r="G52" s="50">
        <v>0</v>
      </c>
      <c r="H52" s="50">
        <v>0</v>
      </c>
      <c r="I52" s="50">
        <v>2</v>
      </c>
      <c r="J52" s="50">
        <v>2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10</v>
      </c>
      <c r="P52" s="15">
        <f t="shared" si="1"/>
        <v>34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0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25</v>
      </c>
      <c r="N53" s="50">
        <v>0</v>
      </c>
      <c r="O53" s="15">
        <f t="shared" si="0"/>
        <v>5</v>
      </c>
      <c r="P53" s="15">
        <f t="shared" si="1"/>
        <v>30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1</v>
      </c>
      <c r="E54" s="50">
        <v>0</v>
      </c>
      <c r="F54" s="50">
        <v>1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27</v>
      </c>
      <c r="N54" s="50">
        <v>0</v>
      </c>
      <c r="O54" s="15">
        <f t="shared" si="0"/>
        <v>10</v>
      </c>
      <c r="P54" s="15">
        <f t="shared" si="1"/>
        <v>37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41</v>
      </c>
      <c r="N55" s="50">
        <v>0</v>
      </c>
      <c r="O55" s="15">
        <f t="shared" si="0"/>
        <v>13</v>
      </c>
      <c r="P55" s="15">
        <f t="shared" si="1"/>
        <v>54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2</v>
      </c>
      <c r="E56" s="50">
        <v>0</v>
      </c>
      <c r="F56" s="50">
        <v>0</v>
      </c>
      <c r="G56" s="50">
        <v>0</v>
      </c>
      <c r="H56" s="50">
        <v>1</v>
      </c>
      <c r="I56" s="50">
        <v>1</v>
      </c>
      <c r="J56" s="50">
        <v>1</v>
      </c>
      <c r="K56" s="50">
        <v>0</v>
      </c>
      <c r="L56" s="50">
        <v>0</v>
      </c>
      <c r="M56" s="50">
        <v>40</v>
      </c>
      <c r="N56" s="50">
        <v>0</v>
      </c>
      <c r="O56" s="15">
        <f t="shared" si="0"/>
        <v>11</v>
      </c>
      <c r="P56" s="15">
        <f t="shared" si="1"/>
        <v>51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7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260</v>
      </c>
      <c r="D58" s="16">
        <f t="shared" si="21"/>
        <v>84</v>
      </c>
      <c r="E58" s="16">
        <f t="shared" si="21"/>
        <v>28</v>
      </c>
      <c r="F58" s="16">
        <f t="shared" si="21"/>
        <v>41</v>
      </c>
      <c r="G58" s="16">
        <f t="shared" si="21"/>
        <v>4</v>
      </c>
      <c r="H58" s="16">
        <f t="shared" si="21"/>
        <v>1</v>
      </c>
      <c r="I58" s="16">
        <f t="shared" si="21"/>
        <v>121</v>
      </c>
      <c r="J58" s="16">
        <f t="shared" si="21"/>
        <v>13</v>
      </c>
      <c r="K58" s="16">
        <f t="shared" si="21"/>
        <v>1</v>
      </c>
      <c r="L58" s="16">
        <f t="shared" si="21"/>
        <v>1</v>
      </c>
      <c r="M58" s="16">
        <f t="shared" si="21"/>
        <v>1383</v>
      </c>
      <c r="N58" s="16">
        <f t="shared" si="21"/>
        <v>0</v>
      </c>
      <c r="O58" s="16">
        <f t="shared" si="21"/>
        <v>554</v>
      </c>
      <c r="P58" s="16">
        <f t="shared" si="21"/>
        <v>1937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0.13422818791946309</v>
      </c>
      <c r="D59" s="43">
        <f t="shared" si="22"/>
        <v>4.3366029943211148E-2</v>
      </c>
      <c r="E59" s="43">
        <f t="shared" si="22"/>
        <v>1.4455343314403717E-2</v>
      </c>
      <c r="F59" s="43">
        <f t="shared" si="22"/>
        <v>2.1166752710376872E-2</v>
      </c>
      <c r="G59" s="43">
        <f t="shared" si="22"/>
        <v>2.0650490449148169E-3</v>
      </c>
      <c r="H59" s="43">
        <f t="shared" si="22"/>
        <v>5.1626226122870422E-4</v>
      </c>
      <c r="I59" s="43">
        <f t="shared" si="22"/>
        <v>6.2467733608673207E-2</v>
      </c>
      <c r="J59" s="43">
        <f t="shared" si="22"/>
        <v>6.7114093959731542E-3</v>
      </c>
      <c r="K59" s="43">
        <f t="shared" si="22"/>
        <v>5.1626226122870422E-4</v>
      </c>
      <c r="L59" s="43">
        <f t="shared" si="22"/>
        <v>5.1626226122870422E-4</v>
      </c>
      <c r="M59" s="43">
        <f t="shared" si="22"/>
        <v>0.71399070727929792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0.46931407942238268</v>
      </c>
      <c r="D60" s="44">
        <f t="shared" ref="D60:N60" si="23">D58/$O$58</f>
        <v>0.15162454873646208</v>
      </c>
      <c r="E60" s="44">
        <f t="shared" si="23"/>
        <v>5.0541516245487361E-2</v>
      </c>
      <c r="F60" s="44">
        <f t="shared" si="23"/>
        <v>7.4007220216606495E-2</v>
      </c>
      <c r="G60" s="44">
        <f t="shared" si="23"/>
        <v>7.2202166064981952E-3</v>
      </c>
      <c r="H60" s="44">
        <f t="shared" si="23"/>
        <v>1.8050541516245488E-3</v>
      </c>
      <c r="I60" s="44">
        <f t="shared" si="23"/>
        <v>0.21841155234657039</v>
      </c>
      <c r="J60" s="44">
        <f t="shared" si="23"/>
        <v>2.3465703971119134E-2</v>
      </c>
      <c r="K60" s="44">
        <f t="shared" si="23"/>
        <v>1.8050541516245488E-3</v>
      </c>
      <c r="L60" s="44">
        <f t="shared" si="23"/>
        <v>1.8050541516245488E-3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31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9" t="str">
        <f>'23.09.19 Bweya- Kajansi'!C3:G3</f>
        <v>MCC-C2-STNO 56 -Munyonyo spur</v>
      </c>
      <c r="D3" s="69"/>
      <c r="E3" s="69"/>
      <c r="F3" s="69"/>
      <c r="G3" s="6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'23.09.19 Bweya- Kajansi'!D5</f>
        <v>23.09.19</v>
      </c>
      <c r="E5" s="3"/>
      <c r="F5" s="41" t="s">
        <v>1</v>
      </c>
      <c r="G5" s="67" t="str">
        <f>'23.09.19 Bweya- Kajansi'!G5:H5</f>
        <v>Munyonyo Spur RD</v>
      </c>
      <c r="H5" s="68"/>
      <c r="I5" s="14"/>
      <c r="J5" s="2" t="s">
        <v>5</v>
      </c>
      <c r="K5" s="67" t="s">
        <v>169</v>
      </c>
      <c r="L5" s="68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165</v>
      </c>
      <c r="E6" s="62"/>
      <c r="F6" s="2" t="s">
        <v>2</v>
      </c>
      <c r="G6" s="61" t="s">
        <v>164</v>
      </c>
      <c r="H6" s="62"/>
      <c r="J6" s="2" t="s">
        <v>21</v>
      </c>
      <c r="K6" s="67" t="str">
        <f>'23.09.19 Bweya- Kajansi'!K6:L6</f>
        <v>Beatrice</v>
      </c>
      <c r="L6" s="6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17</v>
      </c>
      <c r="R10" s="1" t="s">
        <v>6</v>
      </c>
      <c r="S10" s="17">
        <f t="shared" ref="S10:AF10" si="2">SUM(C10:C13)</f>
        <v>18</v>
      </c>
      <c r="T10" s="17">
        <f t="shared" si="2"/>
        <v>5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68</v>
      </c>
      <c r="AD10" s="17">
        <f t="shared" si="2"/>
        <v>0</v>
      </c>
      <c r="AE10" s="31">
        <f t="shared" si="2"/>
        <v>25</v>
      </c>
      <c r="AF10" s="31">
        <f t="shared" si="2"/>
        <v>93</v>
      </c>
    </row>
    <row r="11" spans="2:32" s="6" customFormat="1" ht="23.1" customHeight="1" x14ac:dyDescent="0.25">
      <c r="B11" s="23" t="s">
        <v>38</v>
      </c>
      <c r="C11" s="50">
        <v>3</v>
      </c>
      <c r="D11" s="50">
        <v>2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16</v>
      </c>
      <c r="N11" s="50">
        <v>0</v>
      </c>
      <c r="O11" s="15">
        <f t="shared" si="0"/>
        <v>5</v>
      </c>
      <c r="P11" s="15">
        <f t="shared" si="1"/>
        <v>21</v>
      </c>
      <c r="R11" s="1" t="s">
        <v>7</v>
      </c>
      <c r="S11" s="17">
        <f t="shared" ref="S11:AF11" si="3">SUM(C14:C17)</f>
        <v>10</v>
      </c>
      <c r="T11" s="17">
        <f t="shared" si="3"/>
        <v>3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152</v>
      </c>
      <c r="AD11" s="17">
        <f t="shared" si="3"/>
        <v>0</v>
      </c>
      <c r="AE11" s="31">
        <f t="shared" si="3"/>
        <v>28</v>
      </c>
      <c r="AF11" s="31">
        <f t="shared" si="3"/>
        <v>180</v>
      </c>
    </row>
    <row r="12" spans="2:32" ht="23.1" customHeight="1" x14ac:dyDescent="0.25">
      <c r="B12" s="23" t="s">
        <v>39</v>
      </c>
      <c r="C12" s="50">
        <v>6</v>
      </c>
      <c r="D12" s="50">
        <v>1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5">
        <f t="shared" si="0"/>
        <v>8</v>
      </c>
      <c r="P12" s="15">
        <f t="shared" si="1"/>
        <v>22</v>
      </c>
      <c r="R12" s="1" t="s">
        <v>8</v>
      </c>
      <c r="S12" s="17">
        <f t="shared" ref="S12:AF12" si="4">SUM(C18:C21)</f>
        <v>8</v>
      </c>
      <c r="T12" s="17">
        <f t="shared" si="4"/>
        <v>5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129</v>
      </c>
      <c r="AD12" s="17">
        <f t="shared" si="4"/>
        <v>0</v>
      </c>
      <c r="AE12" s="31">
        <f t="shared" si="4"/>
        <v>21</v>
      </c>
      <c r="AF12" s="31">
        <f t="shared" si="4"/>
        <v>150</v>
      </c>
    </row>
    <row r="13" spans="2:32" ht="23.1" customHeight="1" x14ac:dyDescent="0.25">
      <c r="B13" s="23" t="s">
        <v>40</v>
      </c>
      <c r="C13" s="50">
        <v>5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27</v>
      </c>
      <c r="N13" s="50">
        <v>0</v>
      </c>
      <c r="O13" s="15">
        <f t="shared" si="0"/>
        <v>6</v>
      </c>
      <c r="P13" s="15">
        <f t="shared" si="1"/>
        <v>33</v>
      </c>
      <c r="R13" s="1" t="s">
        <v>9</v>
      </c>
      <c r="S13" s="17">
        <f t="shared" ref="S13:AF13" si="5">SUM(C22:C25)</f>
        <v>11</v>
      </c>
      <c r="T13" s="17">
        <f t="shared" si="5"/>
        <v>2</v>
      </c>
      <c r="U13" s="17">
        <f t="shared" si="5"/>
        <v>2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122</v>
      </c>
      <c r="AD13" s="17">
        <f t="shared" si="5"/>
        <v>0</v>
      </c>
      <c r="AE13" s="31">
        <f t="shared" si="5"/>
        <v>26</v>
      </c>
      <c r="AF13" s="31">
        <f t="shared" si="5"/>
        <v>148</v>
      </c>
    </row>
    <row r="14" spans="2:32" ht="23.1" customHeight="1" x14ac:dyDescent="0.25">
      <c r="B14" s="23" t="s">
        <v>41</v>
      </c>
      <c r="C14" s="50">
        <v>2</v>
      </c>
      <c r="D14" s="50">
        <v>1</v>
      </c>
      <c r="E14" s="50">
        <v>2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38</v>
      </c>
      <c r="N14" s="50">
        <v>0</v>
      </c>
      <c r="O14" s="15">
        <f t="shared" si="0"/>
        <v>8</v>
      </c>
      <c r="P14" s="15">
        <f t="shared" si="1"/>
        <v>46</v>
      </c>
      <c r="R14" s="1" t="s">
        <v>10</v>
      </c>
      <c r="S14" s="17">
        <f t="shared" ref="S14:AF14" si="6">SUM(C26:C29)</f>
        <v>14</v>
      </c>
      <c r="T14" s="17">
        <f t="shared" si="6"/>
        <v>6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18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140</v>
      </c>
      <c r="AD14" s="17">
        <f t="shared" si="6"/>
        <v>0</v>
      </c>
      <c r="AE14" s="31">
        <f t="shared" si="6"/>
        <v>42</v>
      </c>
      <c r="AF14" s="31">
        <f t="shared" si="6"/>
        <v>182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36</v>
      </c>
      <c r="N15" s="50">
        <v>0</v>
      </c>
      <c r="O15" s="15">
        <f t="shared" si="0"/>
        <v>7</v>
      </c>
      <c r="P15" s="15">
        <f t="shared" si="1"/>
        <v>43</v>
      </c>
      <c r="R15" s="1" t="s">
        <v>11</v>
      </c>
      <c r="S15" s="17">
        <f t="shared" ref="S15:AF15" si="7">SUM(C30:C33)</f>
        <v>16</v>
      </c>
      <c r="T15" s="17">
        <f t="shared" si="7"/>
        <v>3</v>
      </c>
      <c r="U15" s="17">
        <f t="shared" si="7"/>
        <v>1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3</v>
      </c>
      <c r="AA15" s="17">
        <f t="shared" si="7"/>
        <v>1</v>
      </c>
      <c r="AB15" s="17">
        <f t="shared" si="7"/>
        <v>1</v>
      </c>
      <c r="AC15" s="17">
        <f t="shared" si="7"/>
        <v>117</v>
      </c>
      <c r="AD15" s="17">
        <f t="shared" si="7"/>
        <v>0</v>
      </c>
      <c r="AE15" s="31">
        <f t="shared" si="7"/>
        <v>36</v>
      </c>
      <c r="AF15" s="31">
        <f t="shared" si="7"/>
        <v>153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53</v>
      </c>
      <c r="N16" s="50">
        <v>0</v>
      </c>
      <c r="O16" s="15">
        <f t="shared" si="0"/>
        <v>8</v>
      </c>
      <c r="P16" s="15">
        <f t="shared" si="1"/>
        <v>61</v>
      </c>
      <c r="R16" s="1" t="s">
        <v>12</v>
      </c>
      <c r="S16" s="17">
        <f t="shared" ref="S16:AF16" si="8">SUM(C34:C37)</f>
        <v>23</v>
      </c>
      <c r="T16" s="17">
        <f t="shared" si="8"/>
        <v>2</v>
      </c>
      <c r="U16" s="17">
        <f t="shared" si="8"/>
        <v>1</v>
      </c>
      <c r="V16" s="17">
        <f t="shared" si="8"/>
        <v>1</v>
      </c>
      <c r="W16" s="17">
        <f t="shared" si="8"/>
        <v>1</v>
      </c>
      <c r="X16" s="17">
        <f t="shared" si="8"/>
        <v>0</v>
      </c>
      <c r="Y16" s="17">
        <f t="shared" si="8"/>
        <v>10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100</v>
      </c>
      <c r="AD16" s="17">
        <f t="shared" si="8"/>
        <v>0</v>
      </c>
      <c r="AE16" s="31">
        <f t="shared" si="8"/>
        <v>39</v>
      </c>
      <c r="AF16" s="31">
        <f t="shared" si="8"/>
        <v>139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5</v>
      </c>
      <c r="P17" s="15">
        <f t="shared" si="1"/>
        <v>30</v>
      </c>
      <c r="R17" s="1" t="s">
        <v>13</v>
      </c>
      <c r="S17" s="17">
        <f t="shared" ref="S17:AF17" si="9">SUM(C38:C41)</f>
        <v>23</v>
      </c>
      <c r="T17" s="17">
        <f t="shared" si="9"/>
        <v>2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134</v>
      </c>
      <c r="AD17" s="17">
        <f t="shared" si="9"/>
        <v>0</v>
      </c>
      <c r="AE17" s="31">
        <f t="shared" si="9"/>
        <v>42</v>
      </c>
      <c r="AF17" s="31">
        <f t="shared" si="9"/>
        <v>176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42</v>
      </c>
      <c r="N18" s="50">
        <v>0</v>
      </c>
      <c r="O18" s="15">
        <f t="shared" si="0"/>
        <v>4</v>
      </c>
      <c r="P18" s="15">
        <f t="shared" si="1"/>
        <v>46</v>
      </c>
      <c r="R18" s="1" t="s">
        <v>14</v>
      </c>
      <c r="S18" s="17">
        <f t="shared" ref="S18:AF18" si="10">SUM(C42:C45)</f>
        <v>15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128</v>
      </c>
      <c r="AD18" s="17">
        <f t="shared" si="10"/>
        <v>0</v>
      </c>
      <c r="AE18" s="31">
        <f t="shared" si="10"/>
        <v>26</v>
      </c>
      <c r="AF18" s="31">
        <f t="shared" si="10"/>
        <v>154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34</v>
      </c>
      <c r="N19" s="50">
        <v>0</v>
      </c>
      <c r="O19" s="15">
        <f t="shared" si="0"/>
        <v>7</v>
      </c>
      <c r="P19" s="15">
        <f t="shared" si="1"/>
        <v>41</v>
      </c>
      <c r="R19" s="1" t="s">
        <v>15</v>
      </c>
      <c r="S19" s="17">
        <f t="shared" ref="S19:AF19" si="11">SUM(C46:C49)</f>
        <v>30</v>
      </c>
      <c r="T19" s="17">
        <f t="shared" si="11"/>
        <v>1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87</v>
      </c>
      <c r="AD19" s="17">
        <f t="shared" si="11"/>
        <v>0</v>
      </c>
      <c r="AE19" s="31">
        <f t="shared" si="11"/>
        <v>39</v>
      </c>
      <c r="AF19" s="31">
        <f t="shared" si="11"/>
        <v>126</v>
      </c>
    </row>
    <row r="20" spans="2:32" ht="23.1" customHeight="1" x14ac:dyDescent="0.25">
      <c r="B20" s="23" t="s">
        <v>47</v>
      </c>
      <c r="C20" s="50">
        <v>1</v>
      </c>
      <c r="D20" s="50">
        <v>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44</v>
      </c>
      <c r="N20" s="50">
        <v>0</v>
      </c>
      <c r="O20" s="15">
        <f t="shared" si="0"/>
        <v>5</v>
      </c>
      <c r="P20" s="15">
        <f t="shared" si="1"/>
        <v>49</v>
      </c>
      <c r="R20" s="1" t="s">
        <v>16</v>
      </c>
      <c r="S20" s="17">
        <f t="shared" ref="S20:AF20" si="12">SUM(C50:C53)</f>
        <v>20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73</v>
      </c>
      <c r="AD20" s="17">
        <f t="shared" si="12"/>
        <v>0</v>
      </c>
      <c r="AE20" s="31">
        <f t="shared" si="12"/>
        <v>25</v>
      </c>
      <c r="AF20" s="31">
        <f t="shared" si="12"/>
        <v>98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5</v>
      </c>
      <c r="P21" s="15">
        <f t="shared" si="1"/>
        <v>14</v>
      </c>
      <c r="R21" s="36" t="s">
        <v>20</v>
      </c>
      <c r="S21" s="34">
        <f t="shared" ref="S21:AF21" si="13">SUM(C54:C57)</f>
        <v>19</v>
      </c>
      <c r="T21" s="17">
        <f t="shared" si="13"/>
        <v>0</v>
      </c>
      <c r="U21" s="17">
        <f t="shared" si="13"/>
        <v>1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113</v>
      </c>
      <c r="AD21" s="17">
        <f t="shared" si="13"/>
        <v>0</v>
      </c>
      <c r="AE21" s="31">
        <f t="shared" si="13"/>
        <v>30</v>
      </c>
      <c r="AF21" s="31">
        <f t="shared" si="13"/>
        <v>143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1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40</v>
      </c>
      <c r="N22" s="50">
        <v>0</v>
      </c>
      <c r="O22" s="15">
        <f t="shared" si="0"/>
        <v>9</v>
      </c>
      <c r="P22" s="15">
        <f t="shared" si="1"/>
        <v>49</v>
      </c>
      <c r="R22" s="38" t="s">
        <v>90</v>
      </c>
      <c r="S22" s="39">
        <f>MAX(S10:S12)</f>
        <v>18</v>
      </c>
      <c r="T22" s="39">
        <f t="shared" ref="T22:AF22" si="14">MAX(T10:T12)</f>
        <v>5</v>
      </c>
      <c r="U22" s="39">
        <f t="shared" si="14"/>
        <v>3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10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152</v>
      </c>
      <c r="AD22" s="39">
        <f t="shared" si="14"/>
        <v>0</v>
      </c>
      <c r="AE22" s="40">
        <f t="shared" si="14"/>
        <v>28</v>
      </c>
      <c r="AF22" s="40">
        <f t="shared" si="14"/>
        <v>180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1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7</v>
      </c>
      <c r="P23" s="15">
        <f t="shared" si="1"/>
        <v>23</v>
      </c>
      <c r="R23" s="38" t="s">
        <v>91</v>
      </c>
      <c r="S23" s="39">
        <f>MAX(S13:S18)</f>
        <v>23</v>
      </c>
      <c r="T23" s="39">
        <f t="shared" ref="T23:AF23" si="15">MAX(T13:T18)</f>
        <v>6</v>
      </c>
      <c r="U23" s="39">
        <f t="shared" si="15"/>
        <v>2</v>
      </c>
      <c r="V23" s="39">
        <f t="shared" si="15"/>
        <v>3</v>
      </c>
      <c r="W23" s="39">
        <f t="shared" si="15"/>
        <v>1</v>
      </c>
      <c r="X23" s="39">
        <f t="shared" si="15"/>
        <v>0</v>
      </c>
      <c r="Y23" s="39">
        <f t="shared" si="15"/>
        <v>18</v>
      </c>
      <c r="Z23" s="39">
        <f t="shared" si="15"/>
        <v>3</v>
      </c>
      <c r="AA23" s="39">
        <f t="shared" si="15"/>
        <v>1</v>
      </c>
      <c r="AB23" s="39">
        <f t="shared" si="15"/>
        <v>1</v>
      </c>
      <c r="AC23" s="39">
        <f t="shared" si="15"/>
        <v>140</v>
      </c>
      <c r="AD23" s="39">
        <f t="shared" si="15"/>
        <v>0</v>
      </c>
      <c r="AE23" s="40">
        <f t="shared" si="15"/>
        <v>42</v>
      </c>
      <c r="AF23" s="40">
        <f t="shared" si="15"/>
        <v>182</v>
      </c>
    </row>
    <row r="24" spans="2:32" ht="23.1" customHeight="1" x14ac:dyDescent="0.25">
      <c r="B24" s="23" t="s">
        <v>51</v>
      </c>
      <c r="C24" s="50">
        <v>3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27</v>
      </c>
      <c r="N24" s="50">
        <v>0</v>
      </c>
      <c r="O24" s="15">
        <f t="shared" si="0"/>
        <v>7</v>
      </c>
      <c r="P24" s="15">
        <f t="shared" si="1"/>
        <v>34</v>
      </c>
      <c r="R24" s="38" t="s">
        <v>92</v>
      </c>
      <c r="S24" s="39">
        <f>MAX(S19:S21)</f>
        <v>30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1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3</v>
      </c>
      <c r="AA24" s="39">
        <f t="shared" si="16"/>
        <v>1</v>
      </c>
      <c r="AB24" s="39">
        <f t="shared" si="16"/>
        <v>0</v>
      </c>
      <c r="AC24" s="39">
        <f t="shared" si="16"/>
        <v>113</v>
      </c>
      <c r="AD24" s="39">
        <f t="shared" si="16"/>
        <v>0</v>
      </c>
      <c r="AE24" s="40">
        <f t="shared" si="16"/>
        <v>39</v>
      </c>
      <c r="AF24" s="40">
        <f t="shared" si="16"/>
        <v>143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39</v>
      </c>
      <c r="N25" s="50">
        <v>0</v>
      </c>
      <c r="O25" s="15">
        <f t="shared" si="0"/>
        <v>3</v>
      </c>
      <c r="P25" s="15">
        <f t="shared" si="1"/>
        <v>42</v>
      </c>
      <c r="R25" s="37" t="s">
        <v>85</v>
      </c>
      <c r="S25" s="35">
        <f t="shared" ref="S25:AF25" si="17">SUM(S10:S12)</f>
        <v>36</v>
      </c>
      <c r="T25" s="16">
        <f t="shared" si="17"/>
        <v>13</v>
      </c>
      <c r="U25" s="16">
        <f t="shared" si="17"/>
        <v>7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14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349</v>
      </c>
      <c r="AD25" s="16">
        <f t="shared" si="17"/>
        <v>0</v>
      </c>
      <c r="AE25" s="32">
        <f t="shared" si="17"/>
        <v>74</v>
      </c>
      <c r="AF25" s="32">
        <f t="shared" si="17"/>
        <v>423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4</v>
      </c>
      <c r="P26" s="15">
        <f t="shared" si="1"/>
        <v>31</v>
      </c>
      <c r="R26" s="28" t="s">
        <v>86</v>
      </c>
      <c r="S26" s="16">
        <f t="shared" ref="S26:AF26" si="18">SUM(S13:S18)</f>
        <v>102</v>
      </c>
      <c r="T26" s="16">
        <f t="shared" si="18"/>
        <v>16</v>
      </c>
      <c r="U26" s="16">
        <f t="shared" si="18"/>
        <v>8</v>
      </c>
      <c r="V26" s="16">
        <f t="shared" si="18"/>
        <v>8</v>
      </c>
      <c r="W26" s="16">
        <f t="shared" si="18"/>
        <v>1</v>
      </c>
      <c r="X26" s="16">
        <f t="shared" si="18"/>
        <v>0</v>
      </c>
      <c r="Y26" s="16">
        <f t="shared" si="18"/>
        <v>64</v>
      </c>
      <c r="Z26" s="16">
        <f t="shared" si="18"/>
        <v>10</v>
      </c>
      <c r="AA26" s="16">
        <f t="shared" si="18"/>
        <v>1</v>
      </c>
      <c r="AB26" s="16">
        <f t="shared" si="18"/>
        <v>1</v>
      </c>
      <c r="AC26" s="16">
        <f t="shared" si="18"/>
        <v>741</v>
      </c>
      <c r="AD26" s="16">
        <f t="shared" si="18"/>
        <v>0</v>
      </c>
      <c r="AE26" s="32">
        <f t="shared" si="18"/>
        <v>211</v>
      </c>
      <c r="AF26" s="32">
        <f t="shared" si="18"/>
        <v>952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0</v>
      </c>
      <c r="F27" s="50">
        <v>2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0</v>
      </c>
      <c r="M27" s="50">
        <v>40</v>
      </c>
      <c r="N27" s="50">
        <v>0</v>
      </c>
      <c r="O27" s="15">
        <f t="shared" si="0"/>
        <v>15</v>
      </c>
      <c r="P27" s="15">
        <f t="shared" si="1"/>
        <v>55</v>
      </c>
      <c r="R27" s="29" t="s">
        <v>87</v>
      </c>
      <c r="S27" s="16">
        <f t="shared" ref="S27:AF27" si="19">SUM(S19:S21)</f>
        <v>69</v>
      </c>
      <c r="T27" s="16">
        <f t="shared" si="19"/>
        <v>1</v>
      </c>
      <c r="U27" s="16">
        <f t="shared" si="19"/>
        <v>1</v>
      </c>
      <c r="V27" s="16">
        <f t="shared" si="19"/>
        <v>2</v>
      </c>
      <c r="W27" s="16">
        <f t="shared" si="19"/>
        <v>1</v>
      </c>
      <c r="X27" s="16">
        <f t="shared" si="19"/>
        <v>0</v>
      </c>
      <c r="Y27" s="16">
        <f t="shared" si="19"/>
        <v>13</v>
      </c>
      <c r="Z27" s="16">
        <f t="shared" si="19"/>
        <v>5</v>
      </c>
      <c r="AA27" s="16">
        <f t="shared" si="19"/>
        <v>2</v>
      </c>
      <c r="AB27" s="16">
        <f t="shared" si="19"/>
        <v>0</v>
      </c>
      <c r="AC27" s="16">
        <f t="shared" si="19"/>
        <v>273</v>
      </c>
      <c r="AD27" s="16">
        <f t="shared" si="19"/>
        <v>0</v>
      </c>
      <c r="AE27" s="32">
        <f t="shared" si="19"/>
        <v>94</v>
      </c>
      <c r="AF27" s="32">
        <f t="shared" si="19"/>
        <v>367</v>
      </c>
    </row>
    <row r="28" spans="2:32" ht="23.1" customHeight="1" x14ac:dyDescent="0.25">
      <c r="B28" s="23" t="s">
        <v>55</v>
      </c>
      <c r="C28" s="50">
        <v>5</v>
      </c>
      <c r="D28" s="50">
        <v>2</v>
      </c>
      <c r="E28" s="50">
        <v>0</v>
      </c>
      <c r="F28" s="50">
        <v>0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37</v>
      </c>
      <c r="N28" s="50">
        <v>0</v>
      </c>
      <c r="O28" s="15">
        <f t="shared" si="0"/>
        <v>11</v>
      </c>
      <c r="P28" s="15">
        <f t="shared" si="1"/>
        <v>48</v>
      </c>
      <c r="R28" s="5" t="s">
        <v>17</v>
      </c>
      <c r="S28" s="16">
        <f t="shared" ref="S28:AF28" si="20">SUM(S10:S21)</f>
        <v>207</v>
      </c>
      <c r="T28" s="16">
        <f t="shared" si="20"/>
        <v>30</v>
      </c>
      <c r="U28" s="16">
        <f t="shared" si="20"/>
        <v>16</v>
      </c>
      <c r="V28" s="16">
        <f t="shared" si="20"/>
        <v>11</v>
      </c>
      <c r="W28" s="16">
        <f t="shared" si="20"/>
        <v>2</v>
      </c>
      <c r="X28" s="16">
        <f t="shared" si="20"/>
        <v>0</v>
      </c>
      <c r="Y28" s="16">
        <f t="shared" si="20"/>
        <v>91</v>
      </c>
      <c r="Z28" s="16">
        <f t="shared" si="20"/>
        <v>18</v>
      </c>
      <c r="AA28" s="16">
        <f t="shared" si="20"/>
        <v>3</v>
      </c>
      <c r="AB28" s="16">
        <f t="shared" si="20"/>
        <v>1</v>
      </c>
      <c r="AC28" s="16">
        <f t="shared" si="20"/>
        <v>1363</v>
      </c>
      <c r="AD28" s="16">
        <f t="shared" si="20"/>
        <v>0</v>
      </c>
      <c r="AE28" s="32">
        <f t="shared" si="20"/>
        <v>379</v>
      </c>
      <c r="AF28" s="32">
        <f t="shared" si="20"/>
        <v>1742</v>
      </c>
    </row>
    <row r="29" spans="2:32" ht="23.1" customHeight="1" x14ac:dyDescent="0.25">
      <c r="B29" s="23" t="s">
        <v>56</v>
      </c>
      <c r="C29" s="50">
        <v>2</v>
      </c>
      <c r="D29" s="50">
        <v>3</v>
      </c>
      <c r="E29" s="50">
        <v>2</v>
      </c>
      <c r="F29" s="50">
        <v>0</v>
      </c>
      <c r="G29" s="50">
        <v>0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36</v>
      </c>
      <c r="N29" s="50">
        <v>0</v>
      </c>
      <c r="O29" s="15">
        <f t="shared" si="0"/>
        <v>12</v>
      </c>
      <c r="P29" s="15">
        <f t="shared" si="1"/>
        <v>48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25</v>
      </c>
      <c r="N30" s="50">
        <v>0</v>
      </c>
      <c r="O30" s="15">
        <f t="shared" si="0"/>
        <v>8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1</v>
      </c>
      <c r="L31" s="50">
        <v>1</v>
      </c>
      <c r="M31" s="50">
        <v>37</v>
      </c>
      <c r="N31" s="50">
        <v>0</v>
      </c>
      <c r="O31" s="15">
        <f t="shared" si="0"/>
        <v>8</v>
      </c>
      <c r="P31" s="15">
        <f t="shared" si="1"/>
        <v>45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3</v>
      </c>
      <c r="K32" s="50">
        <v>0</v>
      </c>
      <c r="L32" s="50">
        <v>0</v>
      </c>
      <c r="M32" s="50">
        <v>25</v>
      </c>
      <c r="N32" s="50">
        <v>0</v>
      </c>
      <c r="O32" s="15">
        <f t="shared" si="0"/>
        <v>8</v>
      </c>
      <c r="P32" s="15">
        <f t="shared" si="1"/>
        <v>33</v>
      </c>
    </row>
    <row r="33" spans="2:20" ht="23.1" customHeight="1" x14ac:dyDescent="0.25">
      <c r="B33" s="23" t="s">
        <v>60</v>
      </c>
      <c r="C33" s="50">
        <v>4</v>
      </c>
      <c r="D33" s="50">
        <v>2</v>
      </c>
      <c r="E33" s="50">
        <v>0</v>
      </c>
      <c r="F33" s="50">
        <v>1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12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9</v>
      </c>
      <c r="P34" s="15">
        <f t="shared" si="1"/>
        <v>33</v>
      </c>
    </row>
    <row r="35" spans="2:20" ht="23.1" customHeight="1" x14ac:dyDescent="0.25">
      <c r="B35" s="24" t="s">
        <v>62</v>
      </c>
      <c r="C35" s="50">
        <v>9</v>
      </c>
      <c r="D35" s="50">
        <v>0</v>
      </c>
      <c r="E35" s="50">
        <v>1</v>
      </c>
      <c r="F35" s="50">
        <v>0</v>
      </c>
      <c r="G35" s="50">
        <v>1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13</v>
      </c>
      <c r="P35" s="15">
        <f t="shared" si="1"/>
        <v>27</v>
      </c>
    </row>
    <row r="36" spans="2:20" ht="23.1" customHeight="1" x14ac:dyDescent="0.25">
      <c r="B36" s="24" t="s">
        <v>63</v>
      </c>
      <c r="C36" s="50">
        <v>6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29</v>
      </c>
      <c r="N36" s="50">
        <v>0</v>
      </c>
      <c r="O36" s="15">
        <f t="shared" si="0"/>
        <v>9</v>
      </c>
      <c r="P36" s="15">
        <f t="shared" si="1"/>
        <v>38</v>
      </c>
    </row>
    <row r="37" spans="2:20" ht="23.1" customHeight="1" x14ac:dyDescent="0.25">
      <c r="B37" s="23" t="s">
        <v>64</v>
      </c>
      <c r="C37" s="50">
        <v>5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33</v>
      </c>
      <c r="N37" s="50">
        <v>0</v>
      </c>
      <c r="O37" s="15">
        <f t="shared" si="0"/>
        <v>8</v>
      </c>
      <c r="P37" s="15">
        <f t="shared" si="1"/>
        <v>41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30</v>
      </c>
      <c r="N38" s="50">
        <v>0</v>
      </c>
      <c r="O38" s="15">
        <f t="shared" si="0"/>
        <v>8</v>
      </c>
      <c r="P38" s="15">
        <f t="shared" si="1"/>
        <v>38</v>
      </c>
    </row>
    <row r="39" spans="2:20" ht="23.1" customHeight="1" x14ac:dyDescent="0.25">
      <c r="B39" s="24" t="s">
        <v>66</v>
      </c>
      <c r="C39" s="50">
        <v>7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37</v>
      </c>
      <c r="N39" s="50">
        <v>0</v>
      </c>
      <c r="O39" s="15">
        <f t="shared" si="0"/>
        <v>10</v>
      </c>
      <c r="P39" s="15">
        <f t="shared" si="1"/>
        <v>47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40</v>
      </c>
      <c r="N40" s="50">
        <v>0</v>
      </c>
      <c r="O40" s="15">
        <f t="shared" si="0"/>
        <v>10</v>
      </c>
      <c r="P40" s="15">
        <f t="shared" si="1"/>
        <v>50</v>
      </c>
    </row>
    <row r="41" spans="2:20" ht="23.1" customHeight="1" x14ac:dyDescent="0.25">
      <c r="B41" s="23" t="s">
        <v>68</v>
      </c>
      <c r="C41" s="50">
        <v>8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4</v>
      </c>
      <c r="J41" s="50">
        <v>1</v>
      </c>
      <c r="K41" s="50">
        <v>0</v>
      </c>
      <c r="L41" s="50">
        <v>0</v>
      </c>
      <c r="M41" s="50">
        <v>27</v>
      </c>
      <c r="N41" s="50">
        <v>0</v>
      </c>
      <c r="O41" s="15">
        <f t="shared" si="0"/>
        <v>14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5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29</v>
      </c>
      <c r="N42" s="50">
        <v>0</v>
      </c>
      <c r="O42" s="15">
        <f t="shared" si="0"/>
        <v>8</v>
      </c>
      <c r="P42" s="15">
        <f t="shared" si="1"/>
        <v>37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34</v>
      </c>
      <c r="N43" s="50">
        <v>0</v>
      </c>
      <c r="O43" s="15">
        <f t="shared" si="0"/>
        <v>5</v>
      </c>
      <c r="P43" s="15">
        <f t="shared" si="1"/>
        <v>39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36</v>
      </c>
      <c r="N44" s="50">
        <v>0</v>
      </c>
      <c r="O44" s="15">
        <f t="shared" si="0"/>
        <v>8</v>
      </c>
      <c r="P44" s="15">
        <f t="shared" si="1"/>
        <v>44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29</v>
      </c>
      <c r="N45" s="50">
        <v>0</v>
      </c>
      <c r="O45" s="15">
        <f t="shared" si="0"/>
        <v>5</v>
      </c>
      <c r="P45" s="15">
        <f t="shared" si="1"/>
        <v>34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10</v>
      </c>
      <c r="P46" s="15">
        <f t="shared" si="1"/>
        <v>30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15</v>
      </c>
      <c r="N47" s="50">
        <v>0</v>
      </c>
      <c r="O47" s="15">
        <f t="shared" si="0"/>
        <v>6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29</v>
      </c>
      <c r="N48" s="50">
        <v>0</v>
      </c>
      <c r="O48" s="15">
        <f t="shared" si="0"/>
        <v>10</v>
      </c>
      <c r="P48" s="15">
        <f t="shared" si="1"/>
        <v>39</v>
      </c>
      <c r="R48" s="8"/>
      <c r="T48"/>
    </row>
    <row r="49" spans="2:20" ht="23.1" customHeight="1" x14ac:dyDescent="0.25">
      <c r="B49" s="23" t="s">
        <v>76</v>
      </c>
      <c r="C49" s="50">
        <v>11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23</v>
      </c>
      <c r="N49" s="50">
        <v>0</v>
      </c>
      <c r="O49" s="15">
        <f t="shared" si="0"/>
        <v>13</v>
      </c>
      <c r="P49" s="15">
        <f t="shared" si="1"/>
        <v>36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16</v>
      </c>
      <c r="N50" s="50">
        <v>0</v>
      </c>
      <c r="O50" s="15">
        <f t="shared" si="0"/>
        <v>4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5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17</v>
      </c>
      <c r="N52" s="50">
        <v>0</v>
      </c>
      <c r="O52" s="15">
        <f t="shared" si="0"/>
        <v>6</v>
      </c>
      <c r="P52" s="15">
        <f t="shared" si="1"/>
        <v>23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24</v>
      </c>
      <c r="N53" s="50">
        <v>0</v>
      </c>
      <c r="O53" s="15">
        <f t="shared" si="0"/>
        <v>10</v>
      </c>
      <c r="P53" s="15">
        <f t="shared" si="1"/>
        <v>34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10</v>
      </c>
      <c r="P54" s="15">
        <f t="shared" si="1"/>
        <v>30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29</v>
      </c>
      <c r="N55" s="50">
        <v>0</v>
      </c>
      <c r="O55" s="15">
        <f t="shared" si="0"/>
        <v>6</v>
      </c>
      <c r="P55" s="15">
        <f t="shared" si="1"/>
        <v>35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0</v>
      </c>
      <c r="E56" s="50">
        <v>0</v>
      </c>
      <c r="F56" s="50">
        <v>0</v>
      </c>
      <c r="G56" s="50">
        <v>1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24</v>
      </c>
      <c r="N56" s="50">
        <v>0</v>
      </c>
      <c r="O56" s="15">
        <f t="shared" si="0"/>
        <v>9</v>
      </c>
      <c r="P56" s="15">
        <f t="shared" si="1"/>
        <v>33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1</v>
      </c>
      <c r="L57" s="50">
        <v>0</v>
      </c>
      <c r="M57" s="50">
        <v>40</v>
      </c>
      <c r="N57" s="50">
        <v>0</v>
      </c>
      <c r="O57" s="15">
        <f t="shared" si="0"/>
        <v>5</v>
      </c>
      <c r="P57" s="15">
        <f t="shared" si="1"/>
        <v>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207</v>
      </c>
      <c r="D58" s="16">
        <f t="shared" si="21"/>
        <v>30</v>
      </c>
      <c r="E58" s="16">
        <f t="shared" si="21"/>
        <v>16</v>
      </c>
      <c r="F58" s="16">
        <f t="shared" si="21"/>
        <v>11</v>
      </c>
      <c r="G58" s="16">
        <f t="shared" si="21"/>
        <v>2</v>
      </c>
      <c r="H58" s="16">
        <f t="shared" si="21"/>
        <v>0</v>
      </c>
      <c r="I58" s="16">
        <f t="shared" si="21"/>
        <v>91</v>
      </c>
      <c r="J58" s="16">
        <f t="shared" si="21"/>
        <v>18</v>
      </c>
      <c r="K58" s="16">
        <f t="shared" si="21"/>
        <v>3</v>
      </c>
      <c r="L58" s="16">
        <f t="shared" si="21"/>
        <v>1</v>
      </c>
      <c r="M58" s="16">
        <f t="shared" si="21"/>
        <v>1363</v>
      </c>
      <c r="N58" s="16">
        <f t="shared" si="21"/>
        <v>0</v>
      </c>
      <c r="O58" s="16">
        <f t="shared" si="21"/>
        <v>379</v>
      </c>
      <c r="P58" s="16">
        <f t="shared" si="21"/>
        <v>1742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0.11882893226176808</v>
      </c>
      <c r="D59" s="43">
        <f t="shared" si="22"/>
        <v>1.7221584385763489E-2</v>
      </c>
      <c r="E59" s="43">
        <f t="shared" si="22"/>
        <v>9.1848450057405284E-3</v>
      </c>
      <c r="F59" s="43">
        <f t="shared" si="22"/>
        <v>6.3145809414466127E-3</v>
      </c>
      <c r="G59" s="43">
        <f t="shared" si="22"/>
        <v>1.148105625717566E-3</v>
      </c>
      <c r="H59" s="43">
        <f t="shared" si="22"/>
        <v>0</v>
      </c>
      <c r="I59" s="43">
        <f t="shared" si="22"/>
        <v>5.2238805970149252E-2</v>
      </c>
      <c r="J59" s="43">
        <f t="shared" si="22"/>
        <v>1.0332950631458095E-2</v>
      </c>
      <c r="K59" s="43">
        <f t="shared" si="22"/>
        <v>1.722158438576349E-3</v>
      </c>
      <c r="L59" s="43">
        <f t="shared" si="22"/>
        <v>5.7405281285878302E-4</v>
      </c>
      <c r="M59" s="43">
        <f t="shared" si="22"/>
        <v>0.78243398392652119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0.54617414248021112</v>
      </c>
      <c r="D60" s="44">
        <f t="shared" ref="D60:N60" si="23">D58/$O$58</f>
        <v>7.9155672823219003E-2</v>
      </c>
      <c r="E60" s="44">
        <f t="shared" si="23"/>
        <v>4.221635883905013E-2</v>
      </c>
      <c r="F60" s="44">
        <f t="shared" si="23"/>
        <v>2.9023746701846966E-2</v>
      </c>
      <c r="G60" s="44">
        <f t="shared" si="23"/>
        <v>5.2770448548812663E-3</v>
      </c>
      <c r="H60" s="44">
        <f t="shared" si="23"/>
        <v>0</v>
      </c>
      <c r="I60" s="44">
        <f t="shared" si="23"/>
        <v>0.24010554089709762</v>
      </c>
      <c r="J60" s="44">
        <f t="shared" si="23"/>
        <v>4.7493403693931395E-2</v>
      </c>
      <c r="K60" s="44">
        <f t="shared" si="23"/>
        <v>7.9155672823219003E-3</v>
      </c>
      <c r="L60" s="44">
        <f t="shared" si="23"/>
        <v>2.6385224274406332E-3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6"/>
  <sheetViews>
    <sheetView view="pageBreakPreview" topLeftCell="A4" zoomScale="60" workbookViewId="0">
      <selection activeCell="R56" sqref="R5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6" t="s">
        <v>173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174</v>
      </c>
      <c r="F5" s="41" t="s">
        <v>1</v>
      </c>
      <c r="G5" s="61" t="s">
        <v>175</v>
      </c>
      <c r="H5" s="62"/>
      <c r="I5" s="14"/>
      <c r="J5" s="2" t="s">
        <v>5</v>
      </c>
      <c r="K5" s="61" t="s">
        <v>176</v>
      </c>
      <c r="L5" s="62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1" t="s">
        <v>172</v>
      </c>
      <c r="E6" s="62"/>
      <c r="F6" s="2" t="s">
        <v>2</v>
      </c>
      <c r="G6" s="61" t="s">
        <v>171</v>
      </c>
      <c r="H6" s="62"/>
      <c r="J6" s="2" t="s">
        <v>21</v>
      </c>
      <c r="K6" s="61" t="s">
        <v>177</v>
      </c>
      <c r="L6" s="62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36</v>
      </c>
      <c r="D10" s="50">
        <v>7</v>
      </c>
      <c r="E10" s="50">
        <v>4</v>
      </c>
      <c r="F10" s="50">
        <v>3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41</v>
      </c>
      <c r="N10" s="50">
        <v>0</v>
      </c>
      <c r="O10" s="17">
        <f t="shared" ref="O10:O57" si="0">SUM(C10:L10,N10)</f>
        <v>52</v>
      </c>
      <c r="P10" s="17">
        <f t="shared" ref="P10:P57" si="1">SUM(C10:N10)</f>
        <v>93</v>
      </c>
      <c r="R10" s="1" t="s">
        <v>6</v>
      </c>
      <c r="S10" s="17">
        <f t="shared" ref="S10:AF10" si="2">SUM(C10:C13)</f>
        <v>138</v>
      </c>
      <c r="T10" s="17">
        <f t="shared" si="2"/>
        <v>37</v>
      </c>
      <c r="U10" s="17">
        <f t="shared" si="2"/>
        <v>10</v>
      </c>
      <c r="V10" s="17">
        <f t="shared" si="2"/>
        <v>13</v>
      </c>
      <c r="W10" s="17">
        <f t="shared" si="2"/>
        <v>0</v>
      </c>
      <c r="X10" s="17">
        <f t="shared" si="2"/>
        <v>1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177</v>
      </c>
      <c r="AD10" s="17">
        <f t="shared" si="2"/>
        <v>0</v>
      </c>
      <c r="AE10" s="31">
        <f t="shared" si="2"/>
        <v>205</v>
      </c>
      <c r="AF10" s="31">
        <f t="shared" si="2"/>
        <v>382</v>
      </c>
    </row>
    <row r="11" spans="2:32" s="6" customFormat="1" ht="23.1" customHeight="1" x14ac:dyDescent="0.25">
      <c r="B11" s="23" t="s">
        <v>38</v>
      </c>
      <c r="C11" s="50">
        <v>36</v>
      </c>
      <c r="D11" s="50">
        <v>11</v>
      </c>
      <c r="E11" s="50">
        <v>1</v>
      </c>
      <c r="F11" s="50">
        <v>4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44</v>
      </c>
      <c r="N11" s="50">
        <v>0</v>
      </c>
      <c r="O11" s="17">
        <f t="shared" si="0"/>
        <v>54</v>
      </c>
      <c r="P11" s="17">
        <f t="shared" si="1"/>
        <v>98</v>
      </c>
      <c r="R11" s="1" t="s">
        <v>7</v>
      </c>
      <c r="S11" s="17">
        <f t="shared" ref="S11:AF11" si="3">SUM(C14:C17)</f>
        <v>124</v>
      </c>
      <c r="T11" s="17">
        <f t="shared" si="3"/>
        <v>29</v>
      </c>
      <c r="U11" s="17">
        <f t="shared" si="3"/>
        <v>17</v>
      </c>
      <c r="V11" s="17">
        <f t="shared" si="3"/>
        <v>6</v>
      </c>
      <c r="W11" s="17">
        <f t="shared" si="3"/>
        <v>1</v>
      </c>
      <c r="X11" s="17">
        <f t="shared" si="3"/>
        <v>2</v>
      </c>
      <c r="Y11" s="17">
        <f t="shared" si="3"/>
        <v>4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183</v>
      </c>
      <c r="AD11" s="17">
        <f t="shared" si="3"/>
        <v>0</v>
      </c>
      <c r="AE11" s="31">
        <f t="shared" si="3"/>
        <v>184</v>
      </c>
      <c r="AF11" s="31">
        <f t="shared" si="3"/>
        <v>367</v>
      </c>
    </row>
    <row r="12" spans="2:32" ht="23.1" customHeight="1" x14ac:dyDescent="0.25">
      <c r="B12" s="23" t="s">
        <v>39</v>
      </c>
      <c r="C12" s="50">
        <v>26</v>
      </c>
      <c r="D12" s="50">
        <v>11</v>
      </c>
      <c r="E12" s="50">
        <v>2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40</v>
      </c>
      <c r="N12" s="50">
        <v>0</v>
      </c>
      <c r="O12" s="17">
        <f t="shared" si="0"/>
        <v>40</v>
      </c>
      <c r="P12" s="17">
        <f t="shared" si="1"/>
        <v>80</v>
      </c>
      <c r="R12" s="1" t="s">
        <v>8</v>
      </c>
      <c r="S12" s="17">
        <f t="shared" ref="S12:AF12" si="4">SUM(C18:C21)</f>
        <v>95</v>
      </c>
      <c r="T12" s="17">
        <f t="shared" si="4"/>
        <v>44</v>
      </c>
      <c r="U12" s="17">
        <f t="shared" si="4"/>
        <v>25</v>
      </c>
      <c r="V12" s="17">
        <f t="shared" si="4"/>
        <v>6</v>
      </c>
      <c r="W12" s="17">
        <f t="shared" si="4"/>
        <v>3</v>
      </c>
      <c r="X12" s="17">
        <f t="shared" si="4"/>
        <v>1</v>
      </c>
      <c r="Y12" s="17">
        <f t="shared" si="4"/>
        <v>13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130</v>
      </c>
      <c r="AD12" s="17">
        <f t="shared" si="4"/>
        <v>0</v>
      </c>
      <c r="AE12" s="31">
        <f t="shared" si="4"/>
        <v>188</v>
      </c>
      <c r="AF12" s="31">
        <f t="shared" si="4"/>
        <v>318</v>
      </c>
    </row>
    <row r="13" spans="2:32" ht="23.1" customHeight="1" x14ac:dyDescent="0.25">
      <c r="B13" s="23" t="s">
        <v>40</v>
      </c>
      <c r="C13" s="50">
        <v>40</v>
      </c>
      <c r="D13" s="50">
        <v>8</v>
      </c>
      <c r="E13" s="50">
        <v>3</v>
      </c>
      <c r="F13" s="50">
        <v>5</v>
      </c>
      <c r="G13" s="50">
        <v>0</v>
      </c>
      <c r="H13" s="50">
        <v>1</v>
      </c>
      <c r="I13" s="50">
        <v>2</v>
      </c>
      <c r="J13" s="50">
        <v>0</v>
      </c>
      <c r="K13" s="50">
        <v>0</v>
      </c>
      <c r="L13" s="50">
        <v>0</v>
      </c>
      <c r="M13" s="50">
        <v>52</v>
      </c>
      <c r="N13" s="50">
        <v>0</v>
      </c>
      <c r="O13" s="17">
        <f t="shared" si="0"/>
        <v>59</v>
      </c>
      <c r="P13" s="17">
        <f t="shared" si="1"/>
        <v>111</v>
      </c>
      <c r="R13" s="1" t="s">
        <v>9</v>
      </c>
      <c r="S13" s="17">
        <f t="shared" ref="S13:AF13" si="5">SUM(C22:C25)</f>
        <v>91</v>
      </c>
      <c r="T13" s="17">
        <f t="shared" si="5"/>
        <v>39</v>
      </c>
      <c r="U13" s="17">
        <f t="shared" si="5"/>
        <v>21</v>
      </c>
      <c r="V13" s="17">
        <f t="shared" si="5"/>
        <v>10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123</v>
      </c>
      <c r="AD13" s="17">
        <f t="shared" si="5"/>
        <v>0</v>
      </c>
      <c r="AE13" s="31">
        <f t="shared" si="5"/>
        <v>182</v>
      </c>
      <c r="AF13" s="31">
        <f t="shared" si="5"/>
        <v>305</v>
      </c>
    </row>
    <row r="14" spans="2:32" ht="23.1" customHeight="1" x14ac:dyDescent="0.25">
      <c r="B14" s="23" t="s">
        <v>41</v>
      </c>
      <c r="C14" s="50">
        <v>33</v>
      </c>
      <c r="D14" s="50">
        <v>5</v>
      </c>
      <c r="E14" s="50">
        <v>3</v>
      </c>
      <c r="F14" s="50">
        <v>1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52</v>
      </c>
      <c r="N14" s="50">
        <v>0</v>
      </c>
      <c r="O14" s="17">
        <f t="shared" si="0"/>
        <v>43</v>
      </c>
      <c r="P14" s="17">
        <f t="shared" si="1"/>
        <v>95</v>
      </c>
      <c r="R14" s="1" t="s">
        <v>10</v>
      </c>
      <c r="S14" s="17">
        <f t="shared" ref="S14:AF14" si="6">SUM(C26:C29)</f>
        <v>92</v>
      </c>
      <c r="T14" s="17">
        <f t="shared" si="6"/>
        <v>22</v>
      </c>
      <c r="U14" s="17">
        <f t="shared" si="6"/>
        <v>13</v>
      </c>
      <c r="V14" s="17">
        <f t="shared" si="6"/>
        <v>5</v>
      </c>
      <c r="W14" s="17">
        <f t="shared" si="6"/>
        <v>2</v>
      </c>
      <c r="X14" s="17">
        <f t="shared" si="6"/>
        <v>0</v>
      </c>
      <c r="Y14" s="17">
        <f t="shared" si="6"/>
        <v>17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110</v>
      </c>
      <c r="AD14" s="17">
        <f t="shared" si="6"/>
        <v>0</v>
      </c>
      <c r="AE14" s="31">
        <f t="shared" si="6"/>
        <v>155</v>
      </c>
      <c r="AF14" s="31">
        <f t="shared" si="6"/>
        <v>265</v>
      </c>
    </row>
    <row r="15" spans="2:32" ht="23.1" customHeight="1" x14ac:dyDescent="0.25">
      <c r="B15" s="23" t="s">
        <v>42</v>
      </c>
      <c r="C15" s="50">
        <v>38</v>
      </c>
      <c r="D15" s="50">
        <v>6</v>
      </c>
      <c r="E15" s="50">
        <v>6</v>
      </c>
      <c r="F15" s="50">
        <v>3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41</v>
      </c>
      <c r="N15" s="50">
        <v>0</v>
      </c>
      <c r="O15" s="17">
        <f t="shared" si="0"/>
        <v>54</v>
      </c>
      <c r="P15" s="17">
        <f t="shared" si="1"/>
        <v>95</v>
      </c>
      <c r="R15" s="1" t="s">
        <v>11</v>
      </c>
      <c r="S15" s="17">
        <f t="shared" ref="S15:AF15" si="7">SUM(C30:C33)</f>
        <v>104</v>
      </c>
      <c r="T15" s="17">
        <f t="shared" si="7"/>
        <v>16</v>
      </c>
      <c r="U15" s="17">
        <f t="shared" si="7"/>
        <v>15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10</v>
      </c>
      <c r="AA15" s="17">
        <f t="shared" si="7"/>
        <v>1</v>
      </c>
      <c r="AB15" s="17">
        <f t="shared" si="7"/>
        <v>1</v>
      </c>
      <c r="AC15" s="17">
        <f t="shared" si="7"/>
        <v>112</v>
      </c>
      <c r="AD15" s="17">
        <f t="shared" si="7"/>
        <v>0</v>
      </c>
      <c r="AE15" s="31">
        <f t="shared" si="7"/>
        <v>157</v>
      </c>
      <c r="AF15" s="31">
        <f t="shared" si="7"/>
        <v>269</v>
      </c>
    </row>
    <row r="16" spans="2:32" ht="23.1" customHeight="1" x14ac:dyDescent="0.25">
      <c r="B16" s="23" t="s">
        <v>43</v>
      </c>
      <c r="C16" s="50">
        <v>20</v>
      </c>
      <c r="D16" s="50">
        <v>12</v>
      </c>
      <c r="E16" s="50">
        <v>3</v>
      </c>
      <c r="F16" s="50">
        <v>1</v>
      </c>
      <c r="G16" s="50">
        <v>0</v>
      </c>
      <c r="H16" s="50">
        <v>1</v>
      </c>
      <c r="I16" s="50">
        <v>2</v>
      </c>
      <c r="J16" s="50">
        <v>1</v>
      </c>
      <c r="K16" s="50">
        <v>0</v>
      </c>
      <c r="L16" s="50">
        <v>0</v>
      </c>
      <c r="M16" s="50">
        <v>51</v>
      </c>
      <c r="N16" s="50">
        <v>0</v>
      </c>
      <c r="O16" s="17">
        <f t="shared" si="0"/>
        <v>40</v>
      </c>
      <c r="P16" s="17">
        <f t="shared" si="1"/>
        <v>91</v>
      </c>
      <c r="R16" s="1" t="s">
        <v>12</v>
      </c>
      <c r="S16" s="17">
        <f t="shared" ref="S16:AF16" si="8">SUM(C34:C37)</f>
        <v>102</v>
      </c>
      <c r="T16" s="17">
        <f t="shared" si="8"/>
        <v>38</v>
      </c>
      <c r="U16" s="17">
        <f t="shared" si="8"/>
        <v>11</v>
      </c>
      <c r="V16" s="17">
        <f t="shared" si="8"/>
        <v>5</v>
      </c>
      <c r="W16" s="17">
        <f t="shared" si="8"/>
        <v>3</v>
      </c>
      <c r="X16" s="17">
        <f t="shared" si="8"/>
        <v>0</v>
      </c>
      <c r="Y16" s="17">
        <f t="shared" si="8"/>
        <v>33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129</v>
      </c>
      <c r="AD16" s="17">
        <f t="shared" si="8"/>
        <v>0</v>
      </c>
      <c r="AE16" s="31">
        <f t="shared" si="8"/>
        <v>194</v>
      </c>
      <c r="AF16" s="31">
        <f t="shared" si="8"/>
        <v>323</v>
      </c>
    </row>
    <row r="17" spans="2:32" ht="23.1" customHeight="1" x14ac:dyDescent="0.25">
      <c r="B17" s="23" t="s">
        <v>44</v>
      </c>
      <c r="C17" s="50">
        <v>33</v>
      </c>
      <c r="D17" s="50">
        <v>6</v>
      </c>
      <c r="E17" s="50">
        <v>5</v>
      </c>
      <c r="F17" s="50">
        <v>1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39</v>
      </c>
      <c r="N17" s="50">
        <v>0</v>
      </c>
      <c r="O17" s="17">
        <f t="shared" si="0"/>
        <v>47</v>
      </c>
      <c r="P17" s="17">
        <f t="shared" si="1"/>
        <v>86</v>
      </c>
      <c r="R17" s="1" t="s">
        <v>13</v>
      </c>
      <c r="S17" s="17">
        <f t="shared" ref="S17:AF17" si="9">SUM(C38:C41)</f>
        <v>67</v>
      </c>
      <c r="T17" s="17">
        <f t="shared" si="9"/>
        <v>22</v>
      </c>
      <c r="U17" s="17">
        <f t="shared" si="9"/>
        <v>16</v>
      </c>
      <c r="V17" s="17">
        <f t="shared" si="9"/>
        <v>3</v>
      </c>
      <c r="W17" s="17">
        <f t="shared" si="9"/>
        <v>1</v>
      </c>
      <c r="X17" s="17">
        <f t="shared" si="9"/>
        <v>1</v>
      </c>
      <c r="Y17" s="17">
        <f t="shared" si="9"/>
        <v>19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117</v>
      </c>
      <c r="AD17" s="17">
        <f t="shared" si="9"/>
        <v>0</v>
      </c>
      <c r="AE17" s="31">
        <f t="shared" si="9"/>
        <v>129</v>
      </c>
      <c r="AF17" s="31">
        <f t="shared" si="9"/>
        <v>246</v>
      </c>
    </row>
    <row r="18" spans="2:32" ht="23.1" customHeight="1" x14ac:dyDescent="0.25">
      <c r="B18" s="23" t="s">
        <v>45</v>
      </c>
      <c r="C18" s="50">
        <v>20</v>
      </c>
      <c r="D18" s="50">
        <v>15</v>
      </c>
      <c r="E18" s="50">
        <v>9</v>
      </c>
      <c r="F18" s="50">
        <v>3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36</v>
      </c>
      <c r="N18" s="50">
        <v>0</v>
      </c>
      <c r="O18" s="17">
        <f t="shared" si="0"/>
        <v>51</v>
      </c>
      <c r="P18" s="17">
        <f t="shared" si="1"/>
        <v>87</v>
      </c>
      <c r="R18" s="1" t="s">
        <v>14</v>
      </c>
      <c r="S18" s="17">
        <f t="shared" ref="S18:AF18" si="10">SUM(C42:C45)</f>
        <v>75</v>
      </c>
      <c r="T18" s="17">
        <f t="shared" si="10"/>
        <v>22</v>
      </c>
      <c r="U18" s="17">
        <f t="shared" si="10"/>
        <v>9</v>
      </c>
      <c r="V18" s="17">
        <f t="shared" si="10"/>
        <v>15</v>
      </c>
      <c r="W18" s="17">
        <f t="shared" si="10"/>
        <v>1</v>
      </c>
      <c r="X18" s="17">
        <f t="shared" si="10"/>
        <v>0</v>
      </c>
      <c r="Y18" s="17">
        <f t="shared" si="10"/>
        <v>24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135</v>
      </c>
      <c r="AD18" s="17">
        <f t="shared" si="10"/>
        <v>0</v>
      </c>
      <c r="AE18" s="31">
        <f t="shared" si="10"/>
        <v>148</v>
      </c>
      <c r="AF18" s="31">
        <f t="shared" si="10"/>
        <v>283</v>
      </c>
    </row>
    <row r="19" spans="2:32" ht="23.1" customHeight="1" x14ac:dyDescent="0.25">
      <c r="B19" s="23" t="s">
        <v>46</v>
      </c>
      <c r="C19" s="50">
        <v>24</v>
      </c>
      <c r="D19" s="50">
        <v>10</v>
      </c>
      <c r="E19" s="50">
        <v>10</v>
      </c>
      <c r="F19" s="50">
        <v>1</v>
      </c>
      <c r="G19" s="50">
        <v>2</v>
      </c>
      <c r="H19" s="50">
        <v>0</v>
      </c>
      <c r="I19" s="50">
        <v>2</v>
      </c>
      <c r="J19" s="50">
        <v>1</v>
      </c>
      <c r="K19" s="50">
        <v>0</v>
      </c>
      <c r="L19" s="50">
        <v>0</v>
      </c>
      <c r="M19" s="50">
        <v>32</v>
      </c>
      <c r="N19" s="50">
        <v>0</v>
      </c>
      <c r="O19" s="17">
        <f t="shared" si="0"/>
        <v>50</v>
      </c>
      <c r="P19" s="17">
        <f t="shared" si="1"/>
        <v>82</v>
      </c>
      <c r="R19" s="1" t="s">
        <v>15</v>
      </c>
      <c r="S19" s="17">
        <f t="shared" ref="S19:AF19" si="11">SUM(C46:C49)</f>
        <v>93</v>
      </c>
      <c r="T19" s="17">
        <f t="shared" si="11"/>
        <v>33</v>
      </c>
      <c r="U19" s="17">
        <f t="shared" si="11"/>
        <v>8</v>
      </c>
      <c r="V19" s="17">
        <f t="shared" si="11"/>
        <v>10</v>
      </c>
      <c r="W19" s="17">
        <f t="shared" si="11"/>
        <v>3</v>
      </c>
      <c r="X19" s="17">
        <f t="shared" si="11"/>
        <v>0</v>
      </c>
      <c r="Y19" s="17">
        <f t="shared" si="11"/>
        <v>21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119</v>
      </c>
      <c r="AD19" s="17">
        <f t="shared" si="11"/>
        <v>0</v>
      </c>
      <c r="AE19" s="31">
        <f t="shared" si="11"/>
        <v>175</v>
      </c>
      <c r="AF19" s="31">
        <f t="shared" si="11"/>
        <v>294</v>
      </c>
    </row>
    <row r="20" spans="2:32" ht="23.1" customHeight="1" x14ac:dyDescent="0.25">
      <c r="B20" s="23" t="s">
        <v>47</v>
      </c>
      <c r="C20" s="50">
        <v>30</v>
      </c>
      <c r="D20" s="50">
        <v>11</v>
      </c>
      <c r="E20" s="50">
        <v>4</v>
      </c>
      <c r="F20" s="50">
        <v>1</v>
      </c>
      <c r="G20" s="50">
        <v>1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30</v>
      </c>
      <c r="N20" s="50">
        <v>0</v>
      </c>
      <c r="O20" s="17">
        <f t="shared" si="0"/>
        <v>51</v>
      </c>
      <c r="P20" s="17">
        <f t="shared" si="1"/>
        <v>81</v>
      </c>
      <c r="R20" s="1" t="s">
        <v>16</v>
      </c>
      <c r="S20" s="17">
        <f t="shared" ref="S20:AF20" si="12">SUM(C50:C53)</f>
        <v>194</v>
      </c>
      <c r="T20" s="17">
        <f t="shared" si="12"/>
        <v>20</v>
      </c>
      <c r="U20" s="17">
        <f t="shared" si="12"/>
        <v>20</v>
      </c>
      <c r="V20" s="17">
        <f t="shared" si="12"/>
        <v>8</v>
      </c>
      <c r="W20" s="17">
        <f t="shared" si="12"/>
        <v>8</v>
      </c>
      <c r="X20" s="17">
        <f t="shared" si="12"/>
        <v>7</v>
      </c>
      <c r="Y20" s="17">
        <f t="shared" si="12"/>
        <v>17</v>
      </c>
      <c r="Z20" s="17">
        <f t="shared" si="12"/>
        <v>10</v>
      </c>
      <c r="AA20" s="17">
        <f t="shared" si="12"/>
        <v>1</v>
      </c>
      <c r="AB20" s="17">
        <f t="shared" si="12"/>
        <v>0</v>
      </c>
      <c r="AC20" s="17">
        <f t="shared" si="12"/>
        <v>206</v>
      </c>
      <c r="AD20" s="17">
        <f t="shared" si="12"/>
        <v>0</v>
      </c>
      <c r="AE20" s="31">
        <f t="shared" si="12"/>
        <v>285</v>
      </c>
      <c r="AF20" s="31">
        <f t="shared" si="12"/>
        <v>491</v>
      </c>
    </row>
    <row r="21" spans="2:32" ht="23.1" customHeight="1" x14ac:dyDescent="0.25">
      <c r="B21" s="23" t="s">
        <v>48</v>
      </c>
      <c r="C21" s="50">
        <v>21</v>
      </c>
      <c r="D21" s="50">
        <v>8</v>
      </c>
      <c r="E21" s="50">
        <v>2</v>
      </c>
      <c r="F21" s="50">
        <v>1</v>
      </c>
      <c r="G21" s="50">
        <v>0</v>
      </c>
      <c r="H21" s="50">
        <v>1</v>
      </c>
      <c r="I21" s="50">
        <v>3</v>
      </c>
      <c r="J21" s="50">
        <v>0</v>
      </c>
      <c r="K21" s="50">
        <v>0</v>
      </c>
      <c r="L21" s="50">
        <v>0</v>
      </c>
      <c r="M21" s="50">
        <v>32</v>
      </c>
      <c r="N21" s="50">
        <v>0</v>
      </c>
      <c r="O21" s="17">
        <f t="shared" si="0"/>
        <v>36</v>
      </c>
      <c r="P21" s="17">
        <f t="shared" si="1"/>
        <v>68</v>
      </c>
      <c r="R21" s="36" t="s">
        <v>20</v>
      </c>
      <c r="S21" s="34">
        <f t="shared" ref="S21:AF21" si="13">SUM(C54:C57)</f>
        <v>123</v>
      </c>
      <c r="T21" s="17">
        <f t="shared" si="13"/>
        <v>24</v>
      </c>
      <c r="U21" s="17">
        <f t="shared" si="13"/>
        <v>22</v>
      </c>
      <c r="V21" s="17">
        <f t="shared" si="13"/>
        <v>13</v>
      </c>
      <c r="W21" s="17">
        <f t="shared" si="13"/>
        <v>1</v>
      </c>
      <c r="X21" s="17">
        <f t="shared" si="13"/>
        <v>0</v>
      </c>
      <c r="Y21" s="17">
        <f t="shared" si="13"/>
        <v>10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98</v>
      </c>
      <c r="AD21" s="17">
        <f t="shared" si="13"/>
        <v>0</v>
      </c>
      <c r="AE21" s="31">
        <f t="shared" si="13"/>
        <v>194</v>
      </c>
      <c r="AF21" s="31">
        <f t="shared" si="13"/>
        <v>292</v>
      </c>
    </row>
    <row r="22" spans="2:32" ht="23.1" customHeight="1" x14ac:dyDescent="0.25">
      <c r="B22" s="23" t="s">
        <v>49</v>
      </c>
      <c r="C22" s="50">
        <v>22</v>
      </c>
      <c r="D22" s="50">
        <v>12</v>
      </c>
      <c r="E22" s="50">
        <v>3</v>
      </c>
      <c r="F22" s="50">
        <v>2</v>
      </c>
      <c r="G22" s="50">
        <v>1</v>
      </c>
      <c r="H22" s="50">
        <v>0</v>
      </c>
      <c r="I22" s="50">
        <v>6</v>
      </c>
      <c r="J22" s="50">
        <v>0</v>
      </c>
      <c r="K22" s="50">
        <v>0</v>
      </c>
      <c r="L22" s="50">
        <v>0</v>
      </c>
      <c r="M22" s="50">
        <v>40</v>
      </c>
      <c r="N22" s="50">
        <v>0</v>
      </c>
      <c r="O22" s="17">
        <f t="shared" si="0"/>
        <v>46</v>
      </c>
      <c r="P22" s="17">
        <f t="shared" si="1"/>
        <v>86</v>
      </c>
      <c r="R22" s="51" t="s">
        <v>90</v>
      </c>
      <c r="S22" s="52">
        <f>MAX(S10:S12)</f>
        <v>138</v>
      </c>
      <c r="T22" s="52">
        <f t="shared" ref="T22:AF22" si="14">MAX(T10:T12)</f>
        <v>44</v>
      </c>
      <c r="U22" s="52">
        <f t="shared" si="14"/>
        <v>25</v>
      </c>
      <c r="V22" s="52">
        <f t="shared" si="14"/>
        <v>13</v>
      </c>
      <c r="W22" s="52">
        <f t="shared" si="14"/>
        <v>3</v>
      </c>
      <c r="X22" s="52">
        <f t="shared" si="14"/>
        <v>2</v>
      </c>
      <c r="Y22" s="52">
        <f t="shared" si="14"/>
        <v>13</v>
      </c>
      <c r="Z22" s="52">
        <f t="shared" si="14"/>
        <v>1</v>
      </c>
      <c r="AA22" s="52">
        <f t="shared" si="14"/>
        <v>0</v>
      </c>
      <c r="AB22" s="52">
        <f t="shared" si="14"/>
        <v>0</v>
      </c>
      <c r="AC22" s="52">
        <f t="shared" si="14"/>
        <v>183</v>
      </c>
      <c r="AD22" s="52">
        <f t="shared" si="14"/>
        <v>0</v>
      </c>
      <c r="AE22" s="40">
        <f t="shared" si="14"/>
        <v>205</v>
      </c>
      <c r="AF22" s="40">
        <f t="shared" si="14"/>
        <v>382</v>
      </c>
    </row>
    <row r="23" spans="2:32" ht="23.1" customHeight="1" x14ac:dyDescent="0.25">
      <c r="B23" s="23" t="s">
        <v>50</v>
      </c>
      <c r="C23" s="50">
        <v>27</v>
      </c>
      <c r="D23" s="50">
        <v>14</v>
      </c>
      <c r="E23" s="50">
        <v>5</v>
      </c>
      <c r="F23" s="50">
        <v>3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37</v>
      </c>
      <c r="N23" s="50">
        <v>0</v>
      </c>
      <c r="O23" s="17">
        <f t="shared" si="0"/>
        <v>51</v>
      </c>
      <c r="P23" s="17">
        <f t="shared" si="1"/>
        <v>88</v>
      </c>
      <c r="R23" s="51" t="s">
        <v>91</v>
      </c>
      <c r="S23" s="52">
        <f>MAX(S13:S18)</f>
        <v>104</v>
      </c>
      <c r="T23" s="52">
        <f t="shared" ref="T23:AF23" si="15">MAX(T13:T18)</f>
        <v>39</v>
      </c>
      <c r="U23" s="52">
        <f t="shared" si="15"/>
        <v>21</v>
      </c>
      <c r="V23" s="52">
        <f t="shared" si="15"/>
        <v>15</v>
      </c>
      <c r="W23" s="52">
        <f t="shared" si="15"/>
        <v>3</v>
      </c>
      <c r="X23" s="52">
        <f t="shared" si="15"/>
        <v>1</v>
      </c>
      <c r="Y23" s="52">
        <f t="shared" si="15"/>
        <v>33</v>
      </c>
      <c r="Z23" s="52">
        <f t="shared" si="15"/>
        <v>10</v>
      </c>
      <c r="AA23" s="52">
        <f t="shared" si="15"/>
        <v>1</v>
      </c>
      <c r="AB23" s="52">
        <f t="shared" si="15"/>
        <v>1</v>
      </c>
      <c r="AC23" s="52">
        <f t="shared" si="15"/>
        <v>135</v>
      </c>
      <c r="AD23" s="52">
        <f t="shared" si="15"/>
        <v>0</v>
      </c>
      <c r="AE23" s="40">
        <f t="shared" si="15"/>
        <v>194</v>
      </c>
      <c r="AF23" s="40">
        <f t="shared" si="15"/>
        <v>323</v>
      </c>
    </row>
    <row r="24" spans="2:32" ht="23.1" customHeight="1" x14ac:dyDescent="0.25">
      <c r="B24" s="23" t="s">
        <v>51</v>
      </c>
      <c r="C24" s="50">
        <v>13</v>
      </c>
      <c r="D24" s="50">
        <v>7</v>
      </c>
      <c r="E24" s="50">
        <v>8</v>
      </c>
      <c r="F24" s="50">
        <v>0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28</v>
      </c>
      <c r="N24" s="50">
        <v>0</v>
      </c>
      <c r="O24" s="17">
        <f t="shared" si="0"/>
        <v>33</v>
      </c>
      <c r="P24" s="17">
        <f t="shared" si="1"/>
        <v>61</v>
      </c>
      <c r="R24" s="51" t="s">
        <v>92</v>
      </c>
      <c r="S24" s="52">
        <f>MAX(S19:S21)</f>
        <v>194</v>
      </c>
      <c r="T24" s="52">
        <f t="shared" ref="T24:AF24" si="16">MAX(T19:T21)</f>
        <v>33</v>
      </c>
      <c r="U24" s="52">
        <f t="shared" si="16"/>
        <v>22</v>
      </c>
      <c r="V24" s="52">
        <f t="shared" si="16"/>
        <v>13</v>
      </c>
      <c r="W24" s="52">
        <f t="shared" si="16"/>
        <v>8</v>
      </c>
      <c r="X24" s="52">
        <f t="shared" si="16"/>
        <v>7</v>
      </c>
      <c r="Y24" s="52">
        <f t="shared" si="16"/>
        <v>21</v>
      </c>
      <c r="Z24" s="52">
        <f t="shared" si="16"/>
        <v>10</v>
      </c>
      <c r="AA24" s="52">
        <f t="shared" si="16"/>
        <v>1</v>
      </c>
      <c r="AB24" s="52">
        <f t="shared" si="16"/>
        <v>0</v>
      </c>
      <c r="AC24" s="52">
        <f t="shared" si="16"/>
        <v>206</v>
      </c>
      <c r="AD24" s="52">
        <f t="shared" si="16"/>
        <v>0</v>
      </c>
      <c r="AE24" s="40">
        <f t="shared" si="16"/>
        <v>285</v>
      </c>
      <c r="AF24" s="40">
        <f t="shared" si="16"/>
        <v>491</v>
      </c>
    </row>
    <row r="25" spans="2:32" ht="23.1" customHeight="1" x14ac:dyDescent="0.25">
      <c r="B25" s="23" t="s">
        <v>52</v>
      </c>
      <c r="C25" s="50">
        <v>29</v>
      </c>
      <c r="D25" s="50">
        <v>6</v>
      </c>
      <c r="E25" s="50">
        <v>5</v>
      </c>
      <c r="F25" s="50">
        <v>5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7">
        <f t="shared" si="0"/>
        <v>52</v>
      </c>
      <c r="P25" s="17">
        <f t="shared" si="1"/>
        <v>70</v>
      </c>
      <c r="R25" s="37" t="s">
        <v>85</v>
      </c>
      <c r="S25" s="35">
        <f t="shared" ref="S25:AF25" si="17">SUM(S10:S12)</f>
        <v>357</v>
      </c>
      <c r="T25" s="16">
        <f t="shared" si="17"/>
        <v>110</v>
      </c>
      <c r="U25" s="16">
        <f t="shared" si="17"/>
        <v>52</v>
      </c>
      <c r="V25" s="16">
        <f t="shared" si="17"/>
        <v>25</v>
      </c>
      <c r="W25" s="16">
        <f t="shared" si="17"/>
        <v>4</v>
      </c>
      <c r="X25" s="16">
        <f t="shared" si="17"/>
        <v>4</v>
      </c>
      <c r="Y25" s="16">
        <f t="shared" si="17"/>
        <v>23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490</v>
      </c>
      <c r="AD25" s="16">
        <f t="shared" si="17"/>
        <v>0</v>
      </c>
      <c r="AE25" s="32">
        <f t="shared" si="17"/>
        <v>577</v>
      </c>
      <c r="AF25" s="32">
        <f t="shared" si="17"/>
        <v>1067</v>
      </c>
    </row>
    <row r="26" spans="2:32" ht="23.1" customHeight="1" x14ac:dyDescent="0.25">
      <c r="B26" s="23" t="s">
        <v>53</v>
      </c>
      <c r="C26" s="50">
        <v>14</v>
      </c>
      <c r="D26" s="50">
        <v>4</v>
      </c>
      <c r="E26" s="50">
        <v>4</v>
      </c>
      <c r="F26" s="50">
        <v>1</v>
      </c>
      <c r="G26" s="50">
        <v>0</v>
      </c>
      <c r="H26" s="50">
        <v>0</v>
      </c>
      <c r="I26" s="50">
        <v>6</v>
      </c>
      <c r="J26" s="50">
        <v>1</v>
      </c>
      <c r="K26" s="50">
        <v>0</v>
      </c>
      <c r="L26" s="50">
        <v>0</v>
      </c>
      <c r="M26" s="50">
        <v>28</v>
      </c>
      <c r="N26" s="50">
        <v>0</v>
      </c>
      <c r="O26" s="17">
        <f t="shared" si="0"/>
        <v>30</v>
      </c>
      <c r="P26" s="17">
        <f t="shared" si="1"/>
        <v>58</v>
      </c>
      <c r="R26" s="28" t="s">
        <v>86</v>
      </c>
      <c r="S26" s="16">
        <f t="shared" ref="S26:AF26" si="18">SUM(S13:S18)</f>
        <v>531</v>
      </c>
      <c r="T26" s="16">
        <f t="shared" si="18"/>
        <v>159</v>
      </c>
      <c r="U26" s="16">
        <f t="shared" si="18"/>
        <v>85</v>
      </c>
      <c r="V26" s="16">
        <f t="shared" si="18"/>
        <v>40</v>
      </c>
      <c r="W26" s="16">
        <f t="shared" si="18"/>
        <v>8</v>
      </c>
      <c r="X26" s="16">
        <f t="shared" si="18"/>
        <v>1</v>
      </c>
      <c r="Y26" s="16">
        <f t="shared" si="18"/>
        <v>120</v>
      </c>
      <c r="Z26" s="16">
        <f t="shared" si="18"/>
        <v>19</v>
      </c>
      <c r="AA26" s="16">
        <f t="shared" si="18"/>
        <v>1</v>
      </c>
      <c r="AB26" s="16">
        <f t="shared" si="18"/>
        <v>1</v>
      </c>
      <c r="AC26" s="16">
        <f t="shared" si="18"/>
        <v>726</v>
      </c>
      <c r="AD26" s="16">
        <f t="shared" si="18"/>
        <v>0</v>
      </c>
      <c r="AE26" s="32">
        <f t="shared" si="18"/>
        <v>965</v>
      </c>
      <c r="AF26" s="32">
        <f t="shared" si="18"/>
        <v>1691</v>
      </c>
    </row>
    <row r="27" spans="2:32" ht="23.1" customHeight="1" x14ac:dyDescent="0.25">
      <c r="B27" s="23" t="s">
        <v>54</v>
      </c>
      <c r="C27" s="50">
        <v>32</v>
      </c>
      <c r="D27" s="50">
        <v>2</v>
      </c>
      <c r="E27" s="50">
        <v>1</v>
      </c>
      <c r="F27" s="50">
        <v>2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0</v>
      </c>
      <c r="M27" s="50">
        <v>30</v>
      </c>
      <c r="N27" s="50">
        <v>0</v>
      </c>
      <c r="O27" s="17">
        <f t="shared" si="0"/>
        <v>43</v>
      </c>
      <c r="P27" s="17">
        <f t="shared" si="1"/>
        <v>73</v>
      </c>
      <c r="R27" s="29" t="s">
        <v>87</v>
      </c>
      <c r="S27" s="16">
        <f t="shared" ref="S27:AF27" si="19">SUM(S19:S21)</f>
        <v>410</v>
      </c>
      <c r="T27" s="16">
        <f t="shared" si="19"/>
        <v>77</v>
      </c>
      <c r="U27" s="16">
        <f t="shared" si="19"/>
        <v>50</v>
      </c>
      <c r="V27" s="16">
        <f t="shared" si="19"/>
        <v>31</v>
      </c>
      <c r="W27" s="16">
        <f t="shared" si="19"/>
        <v>12</v>
      </c>
      <c r="X27" s="16">
        <f t="shared" si="19"/>
        <v>7</v>
      </c>
      <c r="Y27" s="16">
        <f t="shared" si="19"/>
        <v>48</v>
      </c>
      <c r="Z27" s="16">
        <f t="shared" si="19"/>
        <v>17</v>
      </c>
      <c r="AA27" s="16">
        <f t="shared" si="19"/>
        <v>2</v>
      </c>
      <c r="AB27" s="16">
        <f t="shared" si="19"/>
        <v>0</v>
      </c>
      <c r="AC27" s="16">
        <f t="shared" si="19"/>
        <v>423</v>
      </c>
      <c r="AD27" s="16">
        <f t="shared" si="19"/>
        <v>0</v>
      </c>
      <c r="AE27" s="32">
        <f t="shared" si="19"/>
        <v>654</v>
      </c>
      <c r="AF27" s="32">
        <f t="shared" si="19"/>
        <v>1077</v>
      </c>
    </row>
    <row r="28" spans="2:32" ht="23.1" customHeight="1" x14ac:dyDescent="0.25">
      <c r="B28" s="23" t="s">
        <v>55</v>
      </c>
      <c r="C28" s="50">
        <v>25</v>
      </c>
      <c r="D28" s="50">
        <v>13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31</v>
      </c>
      <c r="N28" s="50">
        <v>0</v>
      </c>
      <c r="O28" s="17">
        <f t="shared" si="0"/>
        <v>42</v>
      </c>
      <c r="P28" s="17">
        <f t="shared" si="1"/>
        <v>73</v>
      </c>
      <c r="R28" s="5" t="s">
        <v>17</v>
      </c>
      <c r="S28" s="16">
        <f t="shared" ref="S28:AF28" si="20">SUM(S10:S21)</f>
        <v>1298</v>
      </c>
      <c r="T28" s="16">
        <f t="shared" si="20"/>
        <v>346</v>
      </c>
      <c r="U28" s="16">
        <f t="shared" si="20"/>
        <v>187</v>
      </c>
      <c r="V28" s="16">
        <f t="shared" si="20"/>
        <v>96</v>
      </c>
      <c r="W28" s="16">
        <f t="shared" si="20"/>
        <v>24</v>
      </c>
      <c r="X28" s="16">
        <f t="shared" si="20"/>
        <v>12</v>
      </c>
      <c r="Y28" s="16">
        <f t="shared" si="20"/>
        <v>191</v>
      </c>
      <c r="Z28" s="16">
        <f t="shared" si="20"/>
        <v>38</v>
      </c>
      <c r="AA28" s="16">
        <f t="shared" si="20"/>
        <v>3</v>
      </c>
      <c r="AB28" s="16">
        <f t="shared" si="20"/>
        <v>1</v>
      </c>
      <c r="AC28" s="16">
        <f t="shared" si="20"/>
        <v>1639</v>
      </c>
      <c r="AD28" s="16">
        <f t="shared" si="20"/>
        <v>0</v>
      </c>
      <c r="AE28" s="32">
        <f t="shared" si="20"/>
        <v>2196</v>
      </c>
      <c r="AF28" s="32">
        <f t="shared" si="20"/>
        <v>3835</v>
      </c>
    </row>
    <row r="29" spans="2:32" ht="23.1" customHeight="1" x14ac:dyDescent="0.25">
      <c r="B29" s="23" t="s">
        <v>56</v>
      </c>
      <c r="C29" s="50">
        <v>21</v>
      </c>
      <c r="D29" s="50">
        <v>3</v>
      </c>
      <c r="E29" s="50">
        <v>7</v>
      </c>
      <c r="F29" s="50">
        <v>2</v>
      </c>
      <c r="G29" s="50">
        <v>2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21</v>
      </c>
      <c r="N29" s="50">
        <v>0</v>
      </c>
      <c r="O29" s="17">
        <f t="shared" si="0"/>
        <v>40</v>
      </c>
      <c r="P29" s="17">
        <f t="shared" si="1"/>
        <v>61</v>
      </c>
      <c r="R29"/>
      <c r="S29" s="20"/>
      <c r="T29" s="19"/>
    </row>
    <row r="30" spans="2:32" ht="23.1" customHeight="1" x14ac:dyDescent="0.25">
      <c r="B30" s="23" t="s">
        <v>57</v>
      </c>
      <c r="C30" s="50">
        <v>29</v>
      </c>
      <c r="D30" s="50">
        <v>2</v>
      </c>
      <c r="E30" s="50">
        <v>6</v>
      </c>
      <c r="F30" s="50">
        <v>0</v>
      </c>
      <c r="G30" s="50">
        <v>0</v>
      </c>
      <c r="H30" s="50">
        <v>0</v>
      </c>
      <c r="I30" s="50">
        <v>2</v>
      </c>
      <c r="J30" s="50">
        <v>4</v>
      </c>
      <c r="K30" s="50">
        <v>1</v>
      </c>
      <c r="L30" s="50">
        <v>1</v>
      </c>
      <c r="M30" s="50">
        <v>33</v>
      </c>
      <c r="N30" s="50">
        <v>0</v>
      </c>
      <c r="O30" s="17">
        <f t="shared" si="0"/>
        <v>45</v>
      </c>
      <c r="P30" s="17">
        <f t="shared" si="1"/>
        <v>78</v>
      </c>
      <c r="R30"/>
      <c r="S30" s="19"/>
      <c r="T30" s="19"/>
    </row>
    <row r="31" spans="2:32" ht="23.1" customHeight="1" x14ac:dyDescent="0.25">
      <c r="B31" s="24" t="s">
        <v>58</v>
      </c>
      <c r="C31" s="50">
        <v>33</v>
      </c>
      <c r="D31" s="50">
        <v>2</v>
      </c>
      <c r="E31" s="50">
        <v>2</v>
      </c>
      <c r="F31" s="50">
        <v>0</v>
      </c>
      <c r="G31" s="50">
        <v>0</v>
      </c>
      <c r="H31" s="50">
        <v>0</v>
      </c>
      <c r="I31" s="50">
        <v>3</v>
      </c>
      <c r="J31" s="50">
        <v>3</v>
      </c>
      <c r="K31" s="50">
        <v>0</v>
      </c>
      <c r="L31" s="50">
        <v>0</v>
      </c>
      <c r="M31" s="50">
        <v>27</v>
      </c>
      <c r="N31" s="50">
        <v>0</v>
      </c>
      <c r="O31" s="17">
        <f t="shared" si="0"/>
        <v>43</v>
      </c>
      <c r="P31" s="17">
        <f t="shared" si="1"/>
        <v>70</v>
      </c>
      <c r="R31"/>
      <c r="S31" s="19"/>
      <c r="T31" s="19"/>
    </row>
    <row r="32" spans="2:32" ht="23.1" customHeight="1" x14ac:dyDescent="0.25">
      <c r="B32" s="24" t="s">
        <v>59</v>
      </c>
      <c r="C32" s="50">
        <v>13</v>
      </c>
      <c r="D32" s="50">
        <v>1</v>
      </c>
      <c r="E32" s="50">
        <v>6</v>
      </c>
      <c r="F32" s="50">
        <v>0</v>
      </c>
      <c r="G32" s="50">
        <v>0</v>
      </c>
      <c r="H32" s="50">
        <v>0</v>
      </c>
      <c r="I32" s="50">
        <v>1</v>
      </c>
      <c r="J32" s="50">
        <v>2</v>
      </c>
      <c r="K32" s="50">
        <v>0</v>
      </c>
      <c r="L32" s="50">
        <v>0</v>
      </c>
      <c r="M32" s="50">
        <v>22</v>
      </c>
      <c r="N32" s="50">
        <v>0</v>
      </c>
      <c r="O32" s="17">
        <f t="shared" si="0"/>
        <v>23</v>
      </c>
      <c r="P32" s="17">
        <f t="shared" si="1"/>
        <v>45</v>
      </c>
      <c r="R32"/>
      <c r="S32" s="19"/>
      <c r="T32" s="19"/>
    </row>
    <row r="33" spans="2:20" ht="23.1" customHeight="1" x14ac:dyDescent="0.25">
      <c r="B33" s="23" t="s">
        <v>60</v>
      </c>
      <c r="C33" s="50">
        <v>29</v>
      </c>
      <c r="D33" s="50">
        <v>11</v>
      </c>
      <c r="E33" s="50">
        <v>1</v>
      </c>
      <c r="F33" s="50">
        <v>2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30</v>
      </c>
      <c r="N33" s="50">
        <v>0</v>
      </c>
      <c r="O33" s="17">
        <f t="shared" si="0"/>
        <v>46</v>
      </c>
      <c r="P33" s="17">
        <f t="shared" si="1"/>
        <v>76</v>
      </c>
      <c r="R33"/>
      <c r="S33" s="19"/>
      <c r="T33" s="19"/>
    </row>
    <row r="34" spans="2:20" ht="23.1" customHeight="1" x14ac:dyDescent="0.25">
      <c r="B34" s="24" t="s">
        <v>61</v>
      </c>
      <c r="C34" s="50">
        <v>31</v>
      </c>
      <c r="D34" s="50">
        <v>12</v>
      </c>
      <c r="E34" s="50">
        <v>4</v>
      </c>
      <c r="F34" s="50">
        <v>1</v>
      </c>
      <c r="G34" s="50">
        <v>2</v>
      </c>
      <c r="H34" s="50">
        <v>0</v>
      </c>
      <c r="I34" s="50">
        <v>6</v>
      </c>
      <c r="J34" s="50">
        <v>1</v>
      </c>
      <c r="K34" s="50">
        <v>0</v>
      </c>
      <c r="L34" s="50">
        <v>0</v>
      </c>
      <c r="M34" s="50">
        <v>34</v>
      </c>
      <c r="N34" s="50">
        <v>0</v>
      </c>
      <c r="O34" s="17">
        <f t="shared" si="0"/>
        <v>57</v>
      </c>
      <c r="P34" s="17">
        <f t="shared" si="1"/>
        <v>91</v>
      </c>
      <c r="R34"/>
      <c r="S34" s="19"/>
      <c r="T34" s="19"/>
    </row>
    <row r="35" spans="2:20" ht="23.1" customHeight="1" x14ac:dyDescent="0.25">
      <c r="B35" s="24" t="s">
        <v>62</v>
      </c>
      <c r="C35" s="50">
        <v>25</v>
      </c>
      <c r="D35" s="50">
        <v>10</v>
      </c>
      <c r="E35" s="50">
        <v>3</v>
      </c>
      <c r="F35" s="50">
        <v>1</v>
      </c>
      <c r="G35" s="50">
        <v>0</v>
      </c>
      <c r="H35" s="50">
        <v>0</v>
      </c>
      <c r="I35" s="50">
        <v>7</v>
      </c>
      <c r="J35" s="50">
        <v>1</v>
      </c>
      <c r="K35" s="50">
        <v>0</v>
      </c>
      <c r="L35" s="50">
        <v>0</v>
      </c>
      <c r="M35" s="50">
        <v>35</v>
      </c>
      <c r="N35" s="50">
        <v>0</v>
      </c>
      <c r="O35" s="17">
        <f t="shared" si="0"/>
        <v>47</v>
      </c>
      <c r="P35" s="17">
        <f t="shared" si="1"/>
        <v>82</v>
      </c>
      <c r="R35"/>
      <c r="S35" s="19"/>
      <c r="T35" s="19"/>
    </row>
    <row r="36" spans="2:20" ht="23.1" customHeight="1" x14ac:dyDescent="0.25">
      <c r="B36" s="24" t="s">
        <v>63</v>
      </c>
      <c r="C36" s="50">
        <v>22</v>
      </c>
      <c r="D36" s="50">
        <v>6</v>
      </c>
      <c r="E36" s="50">
        <v>2</v>
      </c>
      <c r="F36" s="50">
        <v>3</v>
      </c>
      <c r="G36" s="50">
        <v>1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21</v>
      </c>
      <c r="N36" s="50">
        <v>0</v>
      </c>
      <c r="O36" s="17">
        <f t="shared" si="0"/>
        <v>39</v>
      </c>
      <c r="P36" s="17">
        <f t="shared" si="1"/>
        <v>60</v>
      </c>
      <c r="R36"/>
      <c r="S36" s="19"/>
      <c r="T36" s="19"/>
    </row>
    <row r="37" spans="2:20" ht="23.1" customHeight="1" x14ac:dyDescent="0.25">
      <c r="B37" s="23" t="s">
        <v>64</v>
      </c>
      <c r="C37" s="50">
        <v>24</v>
      </c>
      <c r="D37" s="50">
        <v>10</v>
      </c>
      <c r="E37" s="50">
        <v>2</v>
      </c>
      <c r="F37" s="50">
        <v>0</v>
      </c>
      <c r="G37" s="50">
        <v>0</v>
      </c>
      <c r="H37" s="50">
        <v>0</v>
      </c>
      <c r="I37" s="50">
        <v>15</v>
      </c>
      <c r="J37" s="50">
        <v>0</v>
      </c>
      <c r="K37" s="50">
        <v>0</v>
      </c>
      <c r="L37" s="50">
        <v>0</v>
      </c>
      <c r="M37" s="50">
        <v>39</v>
      </c>
      <c r="N37" s="50">
        <v>0</v>
      </c>
      <c r="O37" s="17">
        <f t="shared" si="0"/>
        <v>51</v>
      </c>
      <c r="P37" s="17">
        <f t="shared" si="1"/>
        <v>90</v>
      </c>
      <c r="R37"/>
      <c r="S37" s="19"/>
      <c r="T37" s="19"/>
    </row>
    <row r="38" spans="2:20" ht="23.1" customHeight="1" x14ac:dyDescent="0.25">
      <c r="B38" s="24" t="s">
        <v>65</v>
      </c>
      <c r="C38" s="50">
        <v>24</v>
      </c>
      <c r="D38" s="50">
        <v>8</v>
      </c>
      <c r="E38" s="50">
        <v>4</v>
      </c>
      <c r="F38" s="50">
        <v>0</v>
      </c>
      <c r="G38" s="50">
        <v>1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23</v>
      </c>
      <c r="N38" s="50">
        <v>0</v>
      </c>
      <c r="O38" s="17">
        <f t="shared" si="0"/>
        <v>41</v>
      </c>
      <c r="P38" s="17">
        <f t="shared" si="1"/>
        <v>64</v>
      </c>
      <c r="R38"/>
      <c r="S38" s="19"/>
      <c r="T38" s="19"/>
    </row>
    <row r="39" spans="2:20" ht="23.1" customHeight="1" x14ac:dyDescent="0.25">
      <c r="B39" s="24" t="s">
        <v>66</v>
      </c>
      <c r="C39" s="50">
        <v>11</v>
      </c>
      <c r="D39" s="50">
        <v>1</v>
      </c>
      <c r="E39" s="50">
        <v>1</v>
      </c>
      <c r="F39" s="50">
        <v>1</v>
      </c>
      <c r="G39" s="50">
        <v>0</v>
      </c>
      <c r="H39" s="50">
        <v>1</v>
      </c>
      <c r="I39" s="50">
        <v>5</v>
      </c>
      <c r="J39" s="50">
        <v>0</v>
      </c>
      <c r="K39" s="50">
        <v>0</v>
      </c>
      <c r="L39" s="50">
        <v>0</v>
      </c>
      <c r="M39" s="50">
        <v>31</v>
      </c>
      <c r="N39" s="50">
        <v>0</v>
      </c>
      <c r="O39" s="17">
        <f t="shared" si="0"/>
        <v>20</v>
      </c>
      <c r="P39" s="17">
        <f t="shared" si="1"/>
        <v>51</v>
      </c>
      <c r="R39"/>
      <c r="S39" s="19"/>
      <c r="T39" s="19"/>
    </row>
    <row r="40" spans="2:20" ht="23.1" customHeight="1" x14ac:dyDescent="0.25">
      <c r="B40" s="24" t="s">
        <v>67</v>
      </c>
      <c r="C40" s="50">
        <v>17</v>
      </c>
      <c r="D40" s="50">
        <v>5</v>
      </c>
      <c r="E40" s="50">
        <v>7</v>
      </c>
      <c r="F40" s="50">
        <v>0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31</v>
      </c>
      <c r="N40" s="50">
        <v>0</v>
      </c>
      <c r="O40" s="17">
        <f t="shared" si="0"/>
        <v>34</v>
      </c>
      <c r="P40" s="17">
        <f t="shared" si="1"/>
        <v>65</v>
      </c>
      <c r="R40"/>
      <c r="S40" s="19"/>
      <c r="T40" s="19"/>
    </row>
    <row r="41" spans="2:20" ht="23.1" customHeight="1" x14ac:dyDescent="0.25">
      <c r="B41" s="23" t="s">
        <v>68</v>
      </c>
      <c r="C41" s="50">
        <v>15</v>
      </c>
      <c r="D41" s="50">
        <v>8</v>
      </c>
      <c r="E41" s="50">
        <v>4</v>
      </c>
      <c r="F41" s="50">
        <v>2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32</v>
      </c>
      <c r="N41" s="50">
        <v>0</v>
      </c>
      <c r="O41" s="17">
        <f t="shared" si="0"/>
        <v>34</v>
      </c>
      <c r="P41" s="17">
        <f t="shared" si="1"/>
        <v>66</v>
      </c>
      <c r="R41"/>
      <c r="S41" s="19"/>
      <c r="T41" s="19"/>
    </row>
    <row r="42" spans="2:20" ht="23.1" customHeight="1" x14ac:dyDescent="0.25">
      <c r="B42" s="24" t="s">
        <v>69</v>
      </c>
      <c r="C42" s="50">
        <v>31</v>
      </c>
      <c r="D42" s="50">
        <v>5</v>
      </c>
      <c r="E42" s="50">
        <v>3</v>
      </c>
      <c r="F42" s="50">
        <v>4</v>
      </c>
      <c r="G42" s="50">
        <v>0</v>
      </c>
      <c r="H42" s="50">
        <v>0</v>
      </c>
      <c r="I42" s="50">
        <v>5</v>
      </c>
      <c r="J42" s="50">
        <v>1</v>
      </c>
      <c r="K42" s="50">
        <v>0</v>
      </c>
      <c r="L42" s="50">
        <v>0</v>
      </c>
      <c r="M42" s="50">
        <v>38</v>
      </c>
      <c r="N42" s="50">
        <v>0</v>
      </c>
      <c r="O42" s="17">
        <f t="shared" si="0"/>
        <v>49</v>
      </c>
      <c r="P42" s="17">
        <f t="shared" si="1"/>
        <v>87</v>
      </c>
      <c r="R42"/>
      <c r="S42" s="19"/>
      <c r="T42" s="19"/>
    </row>
    <row r="43" spans="2:20" ht="23.1" customHeight="1" x14ac:dyDescent="0.25">
      <c r="B43" s="23" t="s">
        <v>70</v>
      </c>
      <c r="C43" s="50">
        <v>16</v>
      </c>
      <c r="D43" s="50">
        <v>5</v>
      </c>
      <c r="E43" s="50">
        <v>4</v>
      </c>
      <c r="F43" s="50">
        <v>5</v>
      </c>
      <c r="G43" s="50">
        <v>0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30</v>
      </c>
      <c r="N43" s="50">
        <v>0</v>
      </c>
      <c r="O43" s="17">
        <f t="shared" si="0"/>
        <v>36</v>
      </c>
      <c r="P43" s="17">
        <f t="shared" si="1"/>
        <v>66</v>
      </c>
      <c r="R43"/>
      <c r="S43" s="19"/>
      <c r="T43" s="19"/>
    </row>
    <row r="44" spans="2:20" ht="23.1" customHeight="1" x14ac:dyDescent="0.25">
      <c r="B44" s="25" t="s">
        <v>71</v>
      </c>
      <c r="C44" s="50">
        <v>13</v>
      </c>
      <c r="D44" s="50">
        <v>6</v>
      </c>
      <c r="E44" s="50">
        <v>1</v>
      </c>
      <c r="F44" s="50">
        <v>4</v>
      </c>
      <c r="G44" s="50">
        <v>1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29</v>
      </c>
      <c r="N44" s="50">
        <v>0</v>
      </c>
      <c r="O44" s="17">
        <f t="shared" si="0"/>
        <v>31</v>
      </c>
      <c r="P44" s="17">
        <f t="shared" si="1"/>
        <v>60</v>
      </c>
      <c r="R44"/>
      <c r="S44" s="19"/>
      <c r="T44" s="19"/>
    </row>
    <row r="45" spans="2:20" ht="23.1" customHeight="1" x14ac:dyDescent="0.25">
      <c r="B45" s="23" t="s">
        <v>72</v>
      </c>
      <c r="C45" s="50">
        <v>15</v>
      </c>
      <c r="D45" s="50">
        <v>6</v>
      </c>
      <c r="E45" s="50">
        <v>1</v>
      </c>
      <c r="F45" s="50">
        <v>2</v>
      </c>
      <c r="G45" s="50">
        <v>0</v>
      </c>
      <c r="H45" s="50">
        <v>0</v>
      </c>
      <c r="I45" s="50">
        <v>8</v>
      </c>
      <c r="J45" s="50">
        <v>0</v>
      </c>
      <c r="K45" s="50">
        <v>0</v>
      </c>
      <c r="L45" s="50">
        <v>0</v>
      </c>
      <c r="M45" s="50">
        <v>38</v>
      </c>
      <c r="N45" s="50">
        <v>0</v>
      </c>
      <c r="O45" s="17">
        <f t="shared" si="0"/>
        <v>32</v>
      </c>
      <c r="P45" s="17">
        <f t="shared" si="1"/>
        <v>70</v>
      </c>
      <c r="R45"/>
      <c r="S45" s="19"/>
      <c r="T45" s="19"/>
    </row>
    <row r="46" spans="2:20" ht="23.1" customHeight="1" x14ac:dyDescent="0.25">
      <c r="B46" s="24" t="s">
        <v>73</v>
      </c>
      <c r="C46" s="50">
        <v>24</v>
      </c>
      <c r="D46" s="50">
        <v>5</v>
      </c>
      <c r="E46" s="50">
        <v>1</v>
      </c>
      <c r="F46" s="50">
        <v>2</v>
      </c>
      <c r="G46" s="50">
        <v>1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31</v>
      </c>
      <c r="N46" s="50">
        <v>0</v>
      </c>
      <c r="O46" s="17">
        <f t="shared" si="0"/>
        <v>37</v>
      </c>
      <c r="P46" s="17">
        <f t="shared" si="1"/>
        <v>68</v>
      </c>
      <c r="R46" s="19"/>
      <c r="S46" s="19"/>
      <c r="T46"/>
    </row>
    <row r="47" spans="2:20" ht="23.1" customHeight="1" x14ac:dyDescent="0.25">
      <c r="B47" s="24" t="s">
        <v>74</v>
      </c>
      <c r="C47" s="50">
        <v>20</v>
      </c>
      <c r="D47" s="50">
        <v>5</v>
      </c>
      <c r="E47" s="50">
        <v>4</v>
      </c>
      <c r="F47" s="50">
        <v>2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33</v>
      </c>
      <c r="N47" s="50">
        <v>0</v>
      </c>
      <c r="O47" s="17">
        <f t="shared" si="0"/>
        <v>32</v>
      </c>
      <c r="P47" s="17">
        <f t="shared" si="1"/>
        <v>65</v>
      </c>
      <c r="R47" s="19"/>
      <c r="S47" s="19"/>
      <c r="T47"/>
    </row>
    <row r="48" spans="2:20" ht="23.1" customHeight="1" x14ac:dyDescent="0.25">
      <c r="B48" s="24" t="s">
        <v>75</v>
      </c>
      <c r="C48" s="50">
        <v>17</v>
      </c>
      <c r="D48" s="50">
        <v>12</v>
      </c>
      <c r="E48" s="50">
        <v>2</v>
      </c>
      <c r="F48" s="50">
        <v>2</v>
      </c>
      <c r="G48" s="50">
        <v>1</v>
      </c>
      <c r="H48" s="50">
        <v>0</v>
      </c>
      <c r="I48" s="50">
        <v>5</v>
      </c>
      <c r="J48" s="50">
        <v>2</v>
      </c>
      <c r="K48" s="50">
        <v>0</v>
      </c>
      <c r="L48" s="50">
        <v>0</v>
      </c>
      <c r="M48" s="50">
        <v>25</v>
      </c>
      <c r="N48" s="50">
        <v>0</v>
      </c>
      <c r="O48" s="17">
        <f t="shared" si="0"/>
        <v>41</v>
      </c>
      <c r="P48" s="17">
        <f t="shared" si="1"/>
        <v>66</v>
      </c>
      <c r="R48" s="19"/>
      <c r="S48" s="19"/>
      <c r="T48"/>
    </row>
    <row r="49" spans="2:20" ht="23.1" customHeight="1" x14ac:dyDescent="0.25">
      <c r="B49" s="23" t="s">
        <v>76</v>
      </c>
      <c r="C49" s="50">
        <v>32</v>
      </c>
      <c r="D49" s="50">
        <v>11</v>
      </c>
      <c r="E49" s="50">
        <v>1</v>
      </c>
      <c r="F49" s="50">
        <v>4</v>
      </c>
      <c r="G49" s="50">
        <v>1</v>
      </c>
      <c r="H49" s="50">
        <v>0</v>
      </c>
      <c r="I49" s="50">
        <v>11</v>
      </c>
      <c r="J49" s="50">
        <v>4</v>
      </c>
      <c r="K49" s="50">
        <v>1</v>
      </c>
      <c r="L49" s="50">
        <v>0</v>
      </c>
      <c r="M49" s="50">
        <v>30</v>
      </c>
      <c r="N49" s="50">
        <v>0</v>
      </c>
      <c r="O49" s="17">
        <f t="shared" si="0"/>
        <v>65</v>
      </c>
      <c r="P49" s="17">
        <f t="shared" si="1"/>
        <v>95</v>
      </c>
      <c r="R49" s="19"/>
      <c r="S49" s="19"/>
      <c r="T49"/>
    </row>
    <row r="50" spans="2:20" ht="23.1" customHeight="1" x14ac:dyDescent="0.25">
      <c r="B50" s="24" t="s">
        <v>77</v>
      </c>
      <c r="C50" s="50">
        <v>25</v>
      </c>
      <c r="D50" s="50">
        <v>11</v>
      </c>
      <c r="E50" s="50">
        <v>10</v>
      </c>
      <c r="F50" s="50">
        <v>4</v>
      </c>
      <c r="G50" s="50">
        <v>1</v>
      </c>
      <c r="H50" s="50">
        <v>0</v>
      </c>
      <c r="I50" s="50">
        <v>4</v>
      </c>
      <c r="J50" s="50">
        <v>2</v>
      </c>
      <c r="K50" s="50">
        <v>0</v>
      </c>
      <c r="L50" s="50">
        <v>0</v>
      </c>
      <c r="M50" s="50">
        <v>35</v>
      </c>
      <c r="N50" s="50">
        <v>0</v>
      </c>
      <c r="O50" s="17">
        <f t="shared" si="0"/>
        <v>57</v>
      </c>
      <c r="P50" s="17">
        <f t="shared" si="1"/>
        <v>92</v>
      </c>
      <c r="R50" s="19"/>
      <c r="S50" s="19"/>
      <c r="T50"/>
    </row>
    <row r="51" spans="2:20" ht="23.1" customHeight="1" x14ac:dyDescent="0.25">
      <c r="B51" s="24" t="s">
        <v>78</v>
      </c>
      <c r="C51" s="50">
        <v>57</v>
      </c>
      <c r="D51" s="50">
        <v>8</v>
      </c>
      <c r="E51" s="50">
        <v>1</v>
      </c>
      <c r="F51" s="50">
        <v>2</v>
      </c>
      <c r="G51" s="50">
        <v>1</v>
      </c>
      <c r="H51" s="50">
        <v>0</v>
      </c>
      <c r="I51" s="50">
        <v>5</v>
      </c>
      <c r="J51" s="50">
        <v>4</v>
      </c>
      <c r="K51" s="50">
        <v>1</v>
      </c>
      <c r="L51" s="50">
        <v>0</v>
      </c>
      <c r="M51" s="50">
        <v>59</v>
      </c>
      <c r="N51" s="50">
        <v>0</v>
      </c>
      <c r="O51" s="17">
        <f t="shared" si="0"/>
        <v>79</v>
      </c>
      <c r="P51" s="17">
        <f t="shared" si="1"/>
        <v>138</v>
      </c>
      <c r="R51" s="19"/>
      <c r="S51" s="19"/>
      <c r="T51"/>
    </row>
    <row r="52" spans="2:20" ht="23.1" customHeight="1" x14ac:dyDescent="0.25">
      <c r="B52" s="24" t="s">
        <v>79</v>
      </c>
      <c r="C52" s="50">
        <v>62</v>
      </c>
      <c r="D52" s="50">
        <v>1</v>
      </c>
      <c r="E52" s="50">
        <v>2</v>
      </c>
      <c r="F52" s="50">
        <v>1</v>
      </c>
      <c r="G52" s="50">
        <v>3</v>
      </c>
      <c r="H52" s="50">
        <v>7</v>
      </c>
      <c r="I52" s="50">
        <v>5</v>
      </c>
      <c r="J52" s="50">
        <v>2</v>
      </c>
      <c r="K52" s="50">
        <v>0</v>
      </c>
      <c r="L52" s="50">
        <v>0</v>
      </c>
      <c r="M52" s="50">
        <v>64</v>
      </c>
      <c r="N52" s="50">
        <v>0</v>
      </c>
      <c r="O52" s="17">
        <f t="shared" si="0"/>
        <v>83</v>
      </c>
      <c r="P52" s="17">
        <f t="shared" si="1"/>
        <v>147</v>
      </c>
      <c r="R52" s="19"/>
      <c r="S52" s="19"/>
      <c r="T52"/>
    </row>
    <row r="53" spans="2:20" ht="23.1" customHeight="1" x14ac:dyDescent="0.25">
      <c r="B53" s="23" t="s">
        <v>80</v>
      </c>
      <c r="C53" s="50">
        <v>50</v>
      </c>
      <c r="D53" s="50">
        <v>0</v>
      </c>
      <c r="E53" s="50">
        <v>7</v>
      </c>
      <c r="F53" s="50">
        <v>1</v>
      </c>
      <c r="G53" s="50">
        <v>3</v>
      </c>
      <c r="H53" s="50">
        <v>0</v>
      </c>
      <c r="I53" s="50">
        <v>3</v>
      </c>
      <c r="J53" s="50">
        <v>2</v>
      </c>
      <c r="K53" s="50">
        <v>0</v>
      </c>
      <c r="L53" s="50">
        <v>0</v>
      </c>
      <c r="M53" s="50">
        <v>48</v>
      </c>
      <c r="N53" s="50">
        <v>0</v>
      </c>
      <c r="O53" s="17">
        <f t="shared" si="0"/>
        <v>66</v>
      </c>
      <c r="P53" s="17">
        <f t="shared" si="1"/>
        <v>114</v>
      </c>
      <c r="R53" s="19"/>
      <c r="S53" s="19"/>
      <c r="T53"/>
    </row>
    <row r="54" spans="2:20" ht="23.1" customHeight="1" x14ac:dyDescent="0.25">
      <c r="B54" s="23" t="s">
        <v>81</v>
      </c>
      <c r="C54" s="50">
        <v>14</v>
      </c>
      <c r="D54" s="50">
        <v>3</v>
      </c>
      <c r="E54" s="50">
        <v>6</v>
      </c>
      <c r="F54" s="50">
        <v>4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10</v>
      </c>
      <c r="N54" s="50">
        <v>0</v>
      </c>
      <c r="O54" s="17">
        <f t="shared" si="0"/>
        <v>29</v>
      </c>
      <c r="P54" s="17">
        <f t="shared" si="1"/>
        <v>39</v>
      </c>
      <c r="R54" s="19"/>
      <c r="S54" s="19"/>
      <c r="T54"/>
    </row>
    <row r="55" spans="2:20" ht="23.1" customHeight="1" x14ac:dyDescent="0.25">
      <c r="B55" s="23" t="s">
        <v>82</v>
      </c>
      <c r="C55" s="50">
        <v>36</v>
      </c>
      <c r="D55" s="50">
        <v>6</v>
      </c>
      <c r="E55" s="50">
        <v>4</v>
      </c>
      <c r="F55" s="50">
        <v>4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27</v>
      </c>
      <c r="N55" s="50">
        <v>0</v>
      </c>
      <c r="O55" s="17">
        <f t="shared" si="0"/>
        <v>52</v>
      </c>
      <c r="P55" s="17">
        <f t="shared" si="1"/>
        <v>79</v>
      </c>
      <c r="R55" s="19"/>
      <c r="S55" s="19"/>
      <c r="T55"/>
    </row>
    <row r="56" spans="2:20" ht="23.1" customHeight="1" x14ac:dyDescent="0.25">
      <c r="B56" s="23" t="s">
        <v>83</v>
      </c>
      <c r="C56" s="50">
        <v>31</v>
      </c>
      <c r="D56" s="50">
        <v>5</v>
      </c>
      <c r="E56" s="50">
        <v>7</v>
      </c>
      <c r="F56" s="50">
        <v>3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30</v>
      </c>
      <c r="N56" s="50">
        <v>0</v>
      </c>
      <c r="O56" s="17">
        <f t="shared" si="0"/>
        <v>49</v>
      </c>
      <c r="P56" s="17">
        <f t="shared" si="1"/>
        <v>79</v>
      </c>
      <c r="R56" s="19"/>
      <c r="S56" s="19"/>
      <c r="T56"/>
    </row>
    <row r="57" spans="2:20" ht="23.1" customHeight="1" x14ac:dyDescent="0.25">
      <c r="B57" s="23" t="s">
        <v>84</v>
      </c>
      <c r="C57" s="50">
        <v>42</v>
      </c>
      <c r="D57" s="50">
        <v>10</v>
      </c>
      <c r="E57" s="50">
        <v>5</v>
      </c>
      <c r="F57" s="50">
        <v>2</v>
      </c>
      <c r="G57" s="50">
        <v>1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31</v>
      </c>
      <c r="N57" s="50">
        <v>0</v>
      </c>
      <c r="O57" s="17">
        <f t="shared" si="0"/>
        <v>64</v>
      </c>
      <c r="P57" s="17">
        <f t="shared" si="1"/>
        <v>95</v>
      </c>
      <c r="R57" s="19"/>
      <c r="S57" s="19"/>
      <c r="T57"/>
    </row>
    <row r="58" spans="2:20" ht="23.1" customHeight="1" x14ac:dyDescent="0.25">
      <c r="B58" s="53" t="s">
        <v>18</v>
      </c>
      <c r="C58" s="16">
        <f t="shared" ref="C58:P58" si="21">SUM(C10:C57)</f>
        <v>1298</v>
      </c>
      <c r="D58" s="16">
        <f t="shared" si="21"/>
        <v>346</v>
      </c>
      <c r="E58" s="16">
        <f t="shared" si="21"/>
        <v>187</v>
      </c>
      <c r="F58" s="16">
        <f t="shared" si="21"/>
        <v>96</v>
      </c>
      <c r="G58" s="16">
        <f t="shared" si="21"/>
        <v>24</v>
      </c>
      <c r="H58" s="16">
        <f t="shared" si="21"/>
        <v>12</v>
      </c>
      <c r="I58" s="16">
        <f t="shared" si="21"/>
        <v>191</v>
      </c>
      <c r="J58" s="16">
        <f t="shared" si="21"/>
        <v>38</v>
      </c>
      <c r="K58" s="16">
        <f t="shared" si="21"/>
        <v>3</v>
      </c>
      <c r="L58" s="16">
        <f t="shared" si="21"/>
        <v>1</v>
      </c>
      <c r="M58" s="16">
        <f t="shared" si="21"/>
        <v>1639</v>
      </c>
      <c r="N58" s="16">
        <f t="shared" si="21"/>
        <v>0</v>
      </c>
      <c r="O58" s="16">
        <f t="shared" si="21"/>
        <v>2196</v>
      </c>
      <c r="P58" s="16">
        <f t="shared" si="21"/>
        <v>3835</v>
      </c>
      <c r="R58" s="19"/>
      <c r="S58" s="19"/>
      <c r="T58"/>
    </row>
    <row r="59" spans="2:20" ht="23.1" customHeight="1" x14ac:dyDescent="0.25">
      <c r="B59" s="53" t="s">
        <v>93</v>
      </c>
      <c r="C59" s="43">
        <f t="shared" ref="C59:N59" si="22">C58/$P$58</f>
        <v>0.33846153846153848</v>
      </c>
      <c r="D59" s="43">
        <f t="shared" si="22"/>
        <v>9.0221642764015647E-2</v>
      </c>
      <c r="E59" s="43">
        <f t="shared" si="22"/>
        <v>4.8761408083441982E-2</v>
      </c>
      <c r="F59" s="43">
        <f t="shared" si="22"/>
        <v>2.5032594524119947E-2</v>
      </c>
      <c r="G59" s="43">
        <f t="shared" si="22"/>
        <v>6.2581486310299868E-3</v>
      </c>
      <c r="H59" s="43">
        <f t="shared" si="22"/>
        <v>3.1290743155149934E-3</v>
      </c>
      <c r="I59" s="43">
        <f t="shared" si="22"/>
        <v>4.9804432855280314E-2</v>
      </c>
      <c r="J59" s="43">
        <f t="shared" si="22"/>
        <v>9.9087353324641466E-3</v>
      </c>
      <c r="K59" s="43">
        <f t="shared" si="22"/>
        <v>7.8226857887874835E-4</v>
      </c>
      <c r="L59" s="43">
        <f t="shared" si="22"/>
        <v>2.6075619295958278E-4</v>
      </c>
      <c r="M59" s="43">
        <f t="shared" si="22"/>
        <v>0.42737940026075621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54" t="s">
        <v>94</v>
      </c>
      <c r="C60" s="44">
        <f>C58/$O$58</f>
        <v>0.59107468123861562</v>
      </c>
      <c r="D60" s="44">
        <f t="shared" ref="D60:N60" si="23">D58/$O$58</f>
        <v>0.15755919854280509</v>
      </c>
      <c r="E60" s="44">
        <f t="shared" si="23"/>
        <v>8.5154826958105653E-2</v>
      </c>
      <c r="F60" s="44">
        <f t="shared" si="23"/>
        <v>4.3715846994535519E-2</v>
      </c>
      <c r="G60" s="44">
        <f t="shared" si="23"/>
        <v>1.092896174863388E-2</v>
      </c>
      <c r="H60" s="44">
        <f t="shared" si="23"/>
        <v>5.4644808743169399E-3</v>
      </c>
      <c r="I60" s="44">
        <f t="shared" si="23"/>
        <v>8.6976320582877964E-2</v>
      </c>
      <c r="J60" s="44">
        <f t="shared" si="23"/>
        <v>1.7304189435336976E-2</v>
      </c>
      <c r="K60" s="44">
        <f t="shared" si="23"/>
        <v>1.366120218579235E-3</v>
      </c>
      <c r="L60" s="44">
        <f t="shared" si="23"/>
        <v>4.5537340619307832E-4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R82"/>
      <c r="S82" s="19"/>
      <c r="T82" s="19"/>
    </row>
    <row r="83" spans="2:20" ht="20.100000000000001" customHeight="1" x14ac:dyDescent="0.25">
      <c r="R83"/>
      <c r="S83" s="19"/>
      <c r="T83" s="19"/>
    </row>
    <row r="84" spans="2:20" ht="20.100000000000001" customHeight="1" x14ac:dyDescent="0.25">
      <c r="R84"/>
      <c r="S84" s="19"/>
      <c r="T84" s="19"/>
    </row>
    <row r="85" spans="2:20" ht="20.100000000000001" customHeight="1" x14ac:dyDescent="0.25">
      <c r="R85"/>
      <c r="S85" s="19"/>
      <c r="T85" s="19"/>
    </row>
    <row r="86" spans="2:20" ht="20.100000000000001" customHeight="1" x14ac:dyDescent="0.25">
      <c r="R86"/>
      <c r="S86" s="19"/>
      <c r="T86" s="19"/>
    </row>
    <row r="87" spans="2:20" ht="20.100000000000001" customHeight="1" x14ac:dyDescent="0.25">
      <c r="R87"/>
      <c r="S87" s="19"/>
      <c r="T87" s="19"/>
    </row>
    <row r="88" spans="2:20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20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20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20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20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20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20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6"/>
  <sheetViews>
    <sheetView view="pageBreakPreview" topLeftCell="A34" zoomScale="60" workbookViewId="0">
      <selection activeCell="O63" sqref="O6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3" t="str">
        <f>'[1]24.09.2019 MUNYONYO-KAJJANSI'!C3:G3</f>
        <v>MCC - C2- STN56- MUNYONYO SPUR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'[1]24.09.2019 MUNYONYO-KAJJANSI'!D5</f>
        <v>24.09.19</v>
      </c>
      <c r="F5" s="41" t="s">
        <v>1</v>
      </c>
      <c r="G5" s="71" t="str">
        <f>'[1]24.09.2019 MUNYONYO-KAJJANSI'!G5:H5</f>
        <v>KAWALI (56)</v>
      </c>
      <c r="H5" s="72"/>
      <c r="I5" s="14"/>
      <c r="J5" s="2" t="s">
        <v>5</v>
      </c>
      <c r="K5" s="71" t="str">
        <f>'[1]24.09.2019 MUNYONYO-KAJJANSI'!K5:L5</f>
        <v>KASOMA JOHN</v>
      </c>
      <c r="L5" s="72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61" t="s">
        <v>171</v>
      </c>
      <c r="E6" s="62"/>
      <c r="F6" s="2" t="s">
        <v>2</v>
      </c>
      <c r="G6" s="61" t="s">
        <v>172</v>
      </c>
      <c r="H6" s="62"/>
      <c r="J6" s="2" t="s">
        <v>21</v>
      </c>
      <c r="K6" s="71" t="str">
        <f>'[1]24.09.2019 MUNYONYO-KAJJANSI'!K6:L6</f>
        <v>BEATRICE</v>
      </c>
      <c r="L6" s="72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9</v>
      </c>
      <c r="E10" s="50">
        <v>4</v>
      </c>
      <c r="F10" s="50">
        <v>1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25</v>
      </c>
      <c r="N10" s="50">
        <v>0</v>
      </c>
      <c r="O10" s="17">
        <f t="shared" ref="O10:O57" si="0">SUM(C10:L10,N10)</f>
        <v>53</v>
      </c>
      <c r="P10" s="17">
        <f t="shared" ref="P10:P57" si="1">SUM(C10:N10)</f>
        <v>78</v>
      </c>
      <c r="R10" s="1" t="s">
        <v>6</v>
      </c>
      <c r="S10" s="17">
        <f t="shared" ref="S10:AF10" si="2">SUM(C10:C13)</f>
        <v>179</v>
      </c>
      <c r="T10" s="17">
        <f t="shared" si="2"/>
        <v>47</v>
      </c>
      <c r="U10" s="17">
        <f t="shared" si="2"/>
        <v>23</v>
      </c>
      <c r="V10" s="17">
        <f t="shared" si="2"/>
        <v>11</v>
      </c>
      <c r="W10" s="17">
        <f t="shared" si="2"/>
        <v>1</v>
      </c>
      <c r="X10" s="17">
        <f t="shared" si="2"/>
        <v>0</v>
      </c>
      <c r="Y10" s="17">
        <f t="shared" si="2"/>
        <v>14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139</v>
      </c>
      <c r="AD10" s="17">
        <f t="shared" si="2"/>
        <v>0</v>
      </c>
      <c r="AE10" s="31">
        <f t="shared" si="2"/>
        <v>275</v>
      </c>
      <c r="AF10" s="31">
        <f t="shared" si="2"/>
        <v>414</v>
      </c>
    </row>
    <row r="11" spans="2:32" s="6" customFormat="1" ht="23.1" customHeight="1" x14ac:dyDescent="0.25">
      <c r="B11" s="23" t="s">
        <v>38</v>
      </c>
      <c r="C11" s="50">
        <v>47</v>
      </c>
      <c r="D11" s="50">
        <v>14</v>
      </c>
      <c r="E11" s="50">
        <v>9</v>
      </c>
      <c r="F11" s="50">
        <v>4</v>
      </c>
      <c r="G11" s="50">
        <v>0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38</v>
      </c>
      <c r="N11" s="50">
        <v>0</v>
      </c>
      <c r="O11" s="17">
        <f t="shared" si="0"/>
        <v>79</v>
      </c>
      <c r="P11" s="17">
        <f t="shared" si="1"/>
        <v>117</v>
      </c>
      <c r="R11" s="1" t="s">
        <v>7</v>
      </c>
      <c r="S11" s="17">
        <f t="shared" ref="S11:AF11" si="3">SUM(C14:C17)</f>
        <v>116</v>
      </c>
      <c r="T11" s="17">
        <f t="shared" si="3"/>
        <v>17</v>
      </c>
      <c r="U11" s="17">
        <f t="shared" si="3"/>
        <v>23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13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106</v>
      </c>
      <c r="AD11" s="17">
        <f t="shared" si="3"/>
        <v>0</v>
      </c>
      <c r="AE11" s="31">
        <f t="shared" si="3"/>
        <v>177</v>
      </c>
      <c r="AF11" s="31">
        <f t="shared" si="3"/>
        <v>283</v>
      </c>
    </row>
    <row r="12" spans="2:32" ht="23.1" customHeight="1" x14ac:dyDescent="0.25">
      <c r="B12" s="23" t="s">
        <v>39</v>
      </c>
      <c r="C12" s="50">
        <v>53</v>
      </c>
      <c r="D12" s="50">
        <v>14</v>
      </c>
      <c r="E12" s="50">
        <v>3</v>
      </c>
      <c r="F12" s="50">
        <v>5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39</v>
      </c>
      <c r="N12" s="50">
        <v>0</v>
      </c>
      <c r="O12" s="17">
        <f t="shared" si="0"/>
        <v>77</v>
      </c>
      <c r="P12" s="17">
        <f t="shared" si="1"/>
        <v>116</v>
      </c>
      <c r="R12" s="1" t="s">
        <v>8</v>
      </c>
      <c r="S12" s="17">
        <f t="shared" ref="S12:AF12" si="4">SUM(C18:C21)</f>
        <v>93</v>
      </c>
      <c r="T12" s="17">
        <f t="shared" si="4"/>
        <v>8</v>
      </c>
      <c r="U12" s="17">
        <f t="shared" si="4"/>
        <v>12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113</v>
      </c>
      <c r="AD12" s="17">
        <f t="shared" si="4"/>
        <v>0</v>
      </c>
      <c r="AE12" s="31">
        <f t="shared" si="4"/>
        <v>132</v>
      </c>
      <c r="AF12" s="31">
        <f t="shared" si="4"/>
        <v>245</v>
      </c>
    </row>
    <row r="13" spans="2:32" ht="23.1" customHeight="1" x14ac:dyDescent="0.25">
      <c r="B13" s="23" t="s">
        <v>40</v>
      </c>
      <c r="C13" s="50">
        <v>44</v>
      </c>
      <c r="D13" s="50">
        <v>10</v>
      </c>
      <c r="E13" s="50">
        <v>7</v>
      </c>
      <c r="F13" s="50">
        <v>1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37</v>
      </c>
      <c r="N13" s="50">
        <v>0</v>
      </c>
      <c r="O13" s="17">
        <f t="shared" si="0"/>
        <v>66</v>
      </c>
      <c r="P13" s="17">
        <f t="shared" si="1"/>
        <v>103</v>
      </c>
      <c r="R13" s="1" t="s">
        <v>9</v>
      </c>
      <c r="S13" s="17">
        <f t="shared" ref="S13:AF13" si="5">SUM(C22:C25)</f>
        <v>117</v>
      </c>
      <c r="T13" s="17">
        <f t="shared" si="5"/>
        <v>7</v>
      </c>
      <c r="U13" s="17">
        <f t="shared" si="5"/>
        <v>19</v>
      </c>
      <c r="V13" s="17">
        <f t="shared" si="5"/>
        <v>1</v>
      </c>
      <c r="W13" s="17">
        <f t="shared" si="5"/>
        <v>1</v>
      </c>
      <c r="X13" s="17">
        <f t="shared" si="5"/>
        <v>0</v>
      </c>
      <c r="Y13" s="17">
        <f t="shared" si="5"/>
        <v>13</v>
      </c>
      <c r="Z13" s="17">
        <f t="shared" si="5"/>
        <v>8</v>
      </c>
      <c r="AA13" s="17">
        <f t="shared" si="5"/>
        <v>0</v>
      </c>
      <c r="AB13" s="17">
        <f t="shared" si="5"/>
        <v>0</v>
      </c>
      <c r="AC13" s="17">
        <f t="shared" si="5"/>
        <v>93</v>
      </c>
      <c r="AD13" s="17">
        <f t="shared" si="5"/>
        <v>0</v>
      </c>
      <c r="AE13" s="31">
        <f t="shared" si="5"/>
        <v>166</v>
      </c>
      <c r="AF13" s="31">
        <f t="shared" si="5"/>
        <v>259</v>
      </c>
    </row>
    <row r="14" spans="2:32" ht="23.1" customHeight="1" x14ac:dyDescent="0.25">
      <c r="B14" s="23" t="s">
        <v>41</v>
      </c>
      <c r="C14" s="50">
        <v>41</v>
      </c>
      <c r="D14" s="50">
        <v>13</v>
      </c>
      <c r="E14" s="50">
        <v>9</v>
      </c>
      <c r="F14" s="50">
        <v>2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47</v>
      </c>
      <c r="N14" s="50">
        <v>0</v>
      </c>
      <c r="O14" s="17">
        <f t="shared" si="0"/>
        <v>69</v>
      </c>
      <c r="P14" s="17">
        <f t="shared" si="1"/>
        <v>116</v>
      </c>
      <c r="R14" s="1" t="s">
        <v>10</v>
      </c>
      <c r="S14" s="17">
        <f t="shared" ref="S14:AF14" si="6">SUM(C26:C29)</f>
        <v>110</v>
      </c>
      <c r="T14" s="17">
        <f t="shared" si="6"/>
        <v>8</v>
      </c>
      <c r="U14" s="17">
        <f t="shared" si="6"/>
        <v>13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13</v>
      </c>
      <c r="AA14" s="17">
        <f t="shared" si="6"/>
        <v>1</v>
      </c>
      <c r="AB14" s="17">
        <f t="shared" si="6"/>
        <v>1</v>
      </c>
      <c r="AC14" s="17">
        <f t="shared" si="6"/>
        <v>118</v>
      </c>
      <c r="AD14" s="17">
        <f t="shared" si="6"/>
        <v>0</v>
      </c>
      <c r="AE14" s="31">
        <f t="shared" si="6"/>
        <v>160</v>
      </c>
      <c r="AF14" s="31">
        <f t="shared" si="6"/>
        <v>278</v>
      </c>
    </row>
    <row r="15" spans="2:32" ht="23.1" customHeight="1" x14ac:dyDescent="0.25">
      <c r="B15" s="23" t="s">
        <v>42</v>
      </c>
      <c r="C15" s="50">
        <v>25</v>
      </c>
      <c r="D15" s="50">
        <v>2</v>
      </c>
      <c r="E15" s="50">
        <v>4</v>
      </c>
      <c r="F15" s="50">
        <v>1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21</v>
      </c>
      <c r="N15" s="50">
        <v>0</v>
      </c>
      <c r="O15" s="17">
        <f t="shared" si="0"/>
        <v>37</v>
      </c>
      <c r="P15" s="17">
        <f t="shared" si="1"/>
        <v>58</v>
      </c>
      <c r="R15" s="1" t="s">
        <v>11</v>
      </c>
      <c r="S15" s="17">
        <f t="shared" ref="S15:AF15" si="7">SUM(C30:C33)</f>
        <v>79</v>
      </c>
      <c r="T15" s="17">
        <f t="shared" si="7"/>
        <v>8</v>
      </c>
      <c r="U15" s="17">
        <f t="shared" si="7"/>
        <v>9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9</v>
      </c>
      <c r="AA15" s="17">
        <f t="shared" si="7"/>
        <v>0</v>
      </c>
      <c r="AB15" s="17">
        <f t="shared" si="7"/>
        <v>0</v>
      </c>
      <c r="AC15" s="17">
        <f t="shared" si="7"/>
        <v>73</v>
      </c>
      <c r="AD15" s="17">
        <f t="shared" si="7"/>
        <v>0</v>
      </c>
      <c r="AE15" s="31">
        <f t="shared" si="7"/>
        <v>117</v>
      </c>
      <c r="AF15" s="31">
        <f t="shared" si="7"/>
        <v>190</v>
      </c>
    </row>
    <row r="16" spans="2:32" ht="23.1" customHeight="1" x14ac:dyDescent="0.25">
      <c r="B16" s="23" t="s">
        <v>43</v>
      </c>
      <c r="C16" s="50">
        <v>22</v>
      </c>
      <c r="D16" s="50">
        <v>2</v>
      </c>
      <c r="E16" s="50">
        <v>6</v>
      </c>
      <c r="F16" s="50">
        <v>2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7">
        <f t="shared" si="0"/>
        <v>34</v>
      </c>
      <c r="P16" s="17">
        <f t="shared" si="1"/>
        <v>53</v>
      </c>
      <c r="R16" s="1" t="s">
        <v>12</v>
      </c>
      <c r="S16" s="17">
        <f t="shared" ref="S16:AF16" si="8">SUM(C34:C37)</f>
        <v>119</v>
      </c>
      <c r="T16" s="17">
        <f t="shared" si="8"/>
        <v>10</v>
      </c>
      <c r="U16" s="17">
        <f t="shared" si="8"/>
        <v>14</v>
      </c>
      <c r="V16" s="17">
        <f t="shared" si="8"/>
        <v>2</v>
      </c>
      <c r="W16" s="17">
        <f t="shared" si="8"/>
        <v>1</v>
      </c>
      <c r="X16" s="17">
        <f t="shared" si="8"/>
        <v>0</v>
      </c>
      <c r="Y16" s="17">
        <f t="shared" si="8"/>
        <v>19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99</v>
      </c>
      <c r="AD16" s="17">
        <f t="shared" si="8"/>
        <v>0</v>
      </c>
      <c r="AE16" s="31">
        <f t="shared" si="8"/>
        <v>169</v>
      </c>
      <c r="AF16" s="31">
        <f t="shared" si="8"/>
        <v>268</v>
      </c>
    </row>
    <row r="17" spans="2:32" ht="23.1" customHeight="1" x14ac:dyDescent="0.25">
      <c r="B17" s="23" t="s">
        <v>44</v>
      </c>
      <c r="C17" s="50">
        <v>28</v>
      </c>
      <c r="D17" s="50">
        <v>0</v>
      </c>
      <c r="E17" s="50">
        <v>4</v>
      </c>
      <c r="F17" s="50">
        <v>0</v>
      </c>
      <c r="G17" s="50">
        <v>0</v>
      </c>
      <c r="H17" s="50">
        <v>0</v>
      </c>
      <c r="I17" s="50">
        <v>2</v>
      </c>
      <c r="J17" s="50">
        <v>3</v>
      </c>
      <c r="K17" s="50">
        <v>0</v>
      </c>
      <c r="L17" s="50">
        <v>0</v>
      </c>
      <c r="M17" s="50">
        <v>19</v>
      </c>
      <c r="N17" s="50">
        <v>0</v>
      </c>
      <c r="O17" s="17">
        <f t="shared" si="0"/>
        <v>37</v>
      </c>
      <c r="P17" s="17">
        <f t="shared" si="1"/>
        <v>56</v>
      </c>
      <c r="R17" s="1" t="s">
        <v>13</v>
      </c>
      <c r="S17" s="17">
        <f t="shared" ref="S17:AF17" si="9">SUM(C38:C41)</f>
        <v>79</v>
      </c>
      <c r="T17" s="17">
        <f t="shared" si="9"/>
        <v>24</v>
      </c>
      <c r="U17" s="17">
        <f t="shared" si="9"/>
        <v>15</v>
      </c>
      <c r="V17" s="17">
        <f t="shared" si="9"/>
        <v>4</v>
      </c>
      <c r="W17" s="17">
        <f t="shared" si="9"/>
        <v>3</v>
      </c>
      <c r="X17" s="17">
        <f t="shared" si="9"/>
        <v>0</v>
      </c>
      <c r="Y17" s="17">
        <f t="shared" si="9"/>
        <v>15</v>
      </c>
      <c r="Z17" s="17">
        <f t="shared" si="9"/>
        <v>5</v>
      </c>
      <c r="AA17" s="17">
        <f t="shared" si="9"/>
        <v>1</v>
      </c>
      <c r="AB17" s="17">
        <f t="shared" si="9"/>
        <v>0</v>
      </c>
      <c r="AC17" s="17">
        <f t="shared" si="9"/>
        <v>90</v>
      </c>
      <c r="AD17" s="17">
        <f t="shared" si="9"/>
        <v>0</v>
      </c>
      <c r="AE17" s="31">
        <f t="shared" si="9"/>
        <v>146</v>
      </c>
      <c r="AF17" s="31">
        <f t="shared" si="9"/>
        <v>236</v>
      </c>
    </row>
    <row r="18" spans="2:32" ht="23.1" customHeight="1" x14ac:dyDescent="0.25">
      <c r="B18" s="23" t="s">
        <v>45</v>
      </c>
      <c r="C18" s="50">
        <v>26</v>
      </c>
      <c r="D18" s="50">
        <v>3</v>
      </c>
      <c r="E18" s="50">
        <v>4</v>
      </c>
      <c r="F18" s="50">
        <v>0</v>
      </c>
      <c r="G18" s="50">
        <v>0</v>
      </c>
      <c r="H18" s="50">
        <v>0</v>
      </c>
      <c r="I18" s="50">
        <v>3</v>
      </c>
      <c r="J18" s="50">
        <v>0</v>
      </c>
      <c r="K18" s="50">
        <v>1</v>
      </c>
      <c r="L18" s="50">
        <v>0</v>
      </c>
      <c r="M18" s="50">
        <v>36</v>
      </c>
      <c r="N18" s="50">
        <v>0</v>
      </c>
      <c r="O18" s="17">
        <f t="shared" si="0"/>
        <v>37</v>
      </c>
      <c r="P18" s="17">
        <f t="shared" si="1"/>
        <v>73</v>
      </c>
      <c r="R18" s="1" t="s">
        <v>14</v>
      </c>
      <c r="S18" s="17">
        <f t="shared" ref="S18:AF18" si="10">SUM(C42:C45)</f>
        <v>179</v>
      </c>
      <c r="T18" s="17">
        <f t="shared" si="10"/>
        <v>18</v>
      </c>
      <c r="U18" s="17">
        <f t="shared" si="10"/>
        <v>24</v>
      </c>
      <c r="V18" s="17">
        <f t="shared" si="10"/>
        <v>2</v>
      </c>
      <c r="W18" s="17">
        <f t="shared" si="10"/>
        <v>4</v>
      </c>
      <c r="X18" s="17">
        <f t="shared" si="10"/>
        <v>0</v>
      </c>
      <c r="Y18" s="17">
        <f t="shared" si="10"/>
        <v>11</v>
      </c>
      <c r="Z18" s="17">
        <f t="shared" si="10"/>
        <v>20</v>
      </c>
      <c r="AA18" s="17">
        <f t="shared" si="10"/>
        <v>1</v>
      </c>
      <c r="AB18" s="17">
        <f t="shared" si="10"/>
        <v>1</v>
      </c>
      <c r="AC18" s="17">
        <f t="shared" si="10"/>
        <v>187</v>
      </c>
      <c r="AD18" s="17">
        <f t="shared" si="10"/>
        <v>0</v>
      </c>
      <c r="AE18" s="31">
        <f t="shared" si="10"/>
        <v>260</v>
      </c>
      <c r="AF18" s="31">
        <f t="shared" si="10"/>
        <v>447</v>
      </c>
    </row>
    <row r="19" spans="2:32" ht="23.1" customHeight="1" x14ac:dyDescent="0.25">
      <c r="B19" s="23" t="s">
        <v>46</v>
      </c>
      <c r="C19" s="50">
        <v>22</v>
      </c>
      <c r="D19" s="50">
        <v>4</v>
      </c>
      <c r="E19" s="50">
        <v>3</v>
      </c>
      <c r="F19" s="50">
        <v>4</v>
      </c>
      <c r="G19" s="50">
        <v>0</v>
      </c>
      <c r="H19" s="50">
        <v>0</v>
      </c>
      <c r="I19" s="50">
        <v>6</v>
      </c>
      <c r="J19" s="50">
        <v>1</v>
      </c>
      <c r="K19" s="50">
        <v>0</v>
      </c>
      <c r="L19" s="50">
        <v>0</v>
      </c>
      <c r="M19" s="50">
        <v>19</v>
      </c>
      <c r="N19" s="50">
        <v>0</v>
      </c>
      <c r="O19" s="17">
        <f t="shared" si="0"/>
        <v>40</v>
      </c>
      <c r="P19" s="17">
        <f t="shared" si="1"/>
        <v>59</v>
      </c>
      <c r="R19" s="1" t="s">
        <v>15</v>
      </c>
      <c r="S19" s="17">
        <f t="shared" ref="S19:AF19" si="11">SUM(C46:C49)</f>
        <v>169</v>
      </c>
      <c r="T19" s="17">
        <f t="shared" si="11"/>
        <v>4</v>
      </c>
      <c r="U19" s="17">
        <f t="shared" si="11"/>
        <v>21</v>
      </c>
      <c r="V19" s="17">
        <f t="shared" si="11"/>
        <v>2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8</v>
      </c>
      <c r="AA19" s="17">
        <f t="shared" si="11"/>
        <v>7</v>
      </c>
      <c r="AB19" s="17">
        <f t="shared" si="11"/>
        <v>0</v>
      </c>
      <c r="AC19" s="17">
        <f t="shared" si="11"/>
        <v>132</v>
      </c>
      <c r="AD19" s="17">
        <f t="shared" si="11"/>
        <v>0</v>
      </c>
      <c r="AE19" s="31">
        <f t="shared" si="11"/>
        <v>225</v>
      </c>
      <c r="AF19" s="31">
        <f t="shared" si="11"/>
        <v>357</v>
      </c>
    </row>
    <row r="20" spans="2:32" ht="23.1" customHeight="1" x14ac:dyDescent="0.25">
      <c r="B20" s="23" t="s">
        <v>47</v>
      </c>
      <c r="C20" s="50">
        <v>23</v>
      </c>
      <c r="D20" s="50">
        <v>0</v>
      </c>
      <c r="E20" s="50">
        <v>4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27</v>
      </c>
      <c r="N20" s="50">
        <v>0</v>
      </c>
      <c r="O20" s="17">
        <f t="shared" si="0"/>
        <v>29</v>
      </c>
      <c r="P20" s="17">
        <f t="shared" si="1"/>
        <v>56</v>
      </c>
      <c r="R20" s="1" t="s">
        <v>16</v>
      </c>
      <c r="S20" s="17">
        <f t="shared" ref="S20:AF20" si="12">SUM(C50:C53)</f>
        <v>193</v>
      </c>
      <c r="T20" s="17">
        <f t="shared" si="12"/>
        <v>13</v>
      </c>
      <c r="U20" s="17">
        <f t="shared" si="12"/>
        <v>20</v>
      </c>
      <c r="V20" s="17">
        <f t="shared" si="12"/>
        <v>2</v>
      </c>
      <c r="W20" s="17">
        <f t="shared" si="12"/>
        <v>4</v>
      </c>
      <c r="X20" s="17">
        <f t="shared" si="12"/>
        <v>0</v>
      </c>
      <c r="Y20" s="17">
        <f t="shared" si="12"/>
        <v>7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153</v>
      </c>
      <c r="AD20" s="17">
        <f t="shared" si="12"/>
        <v>0</v>
      </c>
      <c r="AE20" s="31">
        <f t="shared" si="12"/>
        <v>245</v>
      </c>
      <c r="AF20" s="31">
        <f t="shared" si="12"/>
        <v>398</v>
      </c>
    </row>
    <row r="21" spans="2:32" ht="23.1" customHeight="1" x14ac:dyDescent="0.25">
      <c r="B21" s="23" t="s">
        <v>48</v>
      </c>
      <c r="C21" s="50">
        <v>22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31</v>
      </c>
      <c r="N21" s="50">
        <v>0</v>
      </c>
      <c r="O21" s="17">
        <f t="shared" si="0"/>
        <v>26</v>
      </c>
      <c r="P21" s="17">
        <f t="shared" si="1"/>
        <v>57</v>
      </c>
      <c r="R21" s="36" t="s">
        <v>20</v>
      </c>
      <c r="S21" s="34">
        <f t="shared" ref="S21:AF21" si="13">SUM(C54:C57)</f>
        <v>164</v>
      </c>
      <c r="T21" s="17">
        <f t="shared" si="13"/>
        <v>3</v>
      </c>
      <c r="U21" s="17">
        <f t="shared" si="13"/>
        <v>12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9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83</v>
      </c>
      <c r="AD21" s="17">
        <f t="shared" si="13"/>
        <v>0</v>
      </c>
      <c r="AE21" s="31">
        <f t="shared" si="13"/>
        <v>193</v>
      </c>
      <c r="AF21" s="31">
        <f t="shared" si="13"/>
        <v>276</v>
      </c>
    </row>
    <row r="22" spans="2:32" ht="23.1" customHeight="1" x14ac:dyDescent="0.25">
      <c r="B22" s="23" t="s">
        <v>49</v>
      </c>
      <c r="C22" s="50">
        <v>35</v>
      </c>
      <c r="D22" s="50">
        <v>0</v>
      </c>
      <c r="E22" s="50">
        <v>7</v>
      </c>
      <c r="F22" s="50">
        <v>0</v>
      </c>
      <c r="G22" s="50">
        <v>1</v>
      </c>
      <c r="H22" s="50">
        <v>0</v>
      </c>
      <c r="I22" s="50">
        <v>2</v>
      </c>
      <c r="J22" s="50">
        <v>2</v>
      </c>
      <c r="K22" s="50">
        <v>0</v>
      </c>
      <c r="L22" s="50">
        <v>0</v>
      </c>
      <c r="M22" s="50">
        <v>30</v>
      </c>
      <c r="N22" s="50">
        <v>0</v>
      </c>
      <c r="O22" s="17">
        <f t="shared" si="0"/>
        <v>47</v>
      </c>
      <c r="P22" s="17">
        <f t="shared" si="1"/>
        <v>77</v>
      </c>
      <c r="R22" s="51" t="s">
        <v>90</v>
      </c>
      <c r="S22" s="52">
        <f>MAX(S10:S12)</f>
        <v>179</v>
      </c>
      <c r="T22" s="52">
        <f t="shared" ref="T22:AF22" si="14">MAX(T10:T12)</f>
        <v>47</v>
      </c>
      <c r="U22" s="52">
        <f t="shared" si="14"/>
        <v>23</v>
      </c>
      <c r="V22" s="52">
        <f t="shared" si="14"/>
        <v>11</v>
      </c>
      <c r="W22" s="52">
        <f t="shared" si="14"/>
        <v>1</v>
      </c>
      <c r="X22" s="52">
        <f t="shared" si="14"/>
        <v>0</v>
      </c>
      <c r="Y22" s="52">
        <f t="shared" si="14"/>
        <v>14</v>
      </c>
      <c r="Z22" s="52">
        <f t="shared" si="14"/>
        <v>3</v>
      </c>
      <c r="AA22" s="52">
        <f t="shared" si="14"/>
        <v>1</v>
      </c>
      <c r="AB22" s="52">
        <f t="shared" si="14"/>
        <v>0</v>
      </c>
      <c r="AC22" s="52">
        <f t="shared" si="14"/>
        <v>139</v>
      </c>
      <c r="AD22" s="52">
        <f t="shared" si="14"/>
        <v>0</v>
      </c>
      <c r="AE22" s="40">
        <f t="shared" si="14"/>
        <v>275</v>
      </c>
      <c r="AF22" s="40">
        <f t="shared" si="14"/>
        <v>414</v>
      </c>
    </row>
    <row r="23" spans="2:32" ht="23.1" customHeight="1" x14ac:dyDescent="0.25">
      <c r="B23" s="23" t="s">
        <v>50</v>
      </c>
      <c r="C23" s="50">
        <v>33</v>
      </c>
      <c r="D23" s="50">
        <v>1</v>
      </c>
      <c r="E23" s="50">
        <v>4</v>
      </c>
      <c r="F23" s="50">
        <v>1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23</v>
      </c>
      <c r="N23" s="50">
        <v>0</v>
      </c>
      <c r="O23" s="17">
        <f t="shared" si="0"/>
        <v>44</v>
      </c>
      <c r="P23" s="17">
        <f t="shared" si="1"/>
        <v>67</v>
      </c>
      <c r="R23" s="51" t="s">
        <v>91</v>
      </c>
      <c r="S23" s="52">
        <f>MAX(S13:S18)</f>
        <v>179</v>
      </c>
      <c r="T23" s="52">
        <f t="shared" ref="T23:AF23" si="15">MAX(T13:T18)</f>
        <v>24</v>
      </c>
      <c r="U23" s="52">
        <f t="shared" si="15"/>
        <v>24</v>
      </c>
      <c r="V23" s="52">
        <f t="shared" si="15"/>
        <v>4</v>
      </c>
      <c r="W23" s="52">
        <f t="shared" si="15"/>
        <v>4</v>
      </c>
      <c r="X23" s="52">
        <f t="shared" si="15"/>
        <v>0</v>
      </c>
      <c r="Y23" s="52">
        <f t="shared" si="15"/>
        <v>19</v>
      </c>
      <c r="Z23" s="52">
        <f t="shared" si="15"/>
        <v>20</v>
      </c>
      <c r="AA23" s="52">
        <f t="shared" si="15"/>
        <v>1</v>
      </c>
      <c r="AB23" s="52">
        <f t="shared" si="15"/>
        <v>1</v>
      </c>
      <c r="AC23" s="52">
        <f t="shared" si="15"/>
        <v>187</v>
      </c>
      <c r="AD23" s="52">
        <f t="shared" si="15"/>
        <v>0</v>
      </c>
      <c r="AE23" s="40">
        <f t="shared" si="15"/>
        <v>260</v>
      </c>
      <c r="AF23" s="40">
        <f t="shared" si="15"/>
        <v>447</v>
      </c>
    </row>
    <row r="24" spans="2:32" ht="23.1" customHeight="1" x14ac:dyDescent="0.25">
      <c r="B24" s="23" t="s">
        <v>51</v>
      </c>
      <c r="C24" s="50">
        <v>25</v>
      </c>
      <c r="D24" s="50">
        <v>5</v>
      </c>
      <c r="E24" s="50">
        <v>6</v>
      </c>
      <c r="F24" s="50">
        <v>0</v>
      </c>
      <c r="G24" s="50">
        <v>0</v>
      </c>
      <c r="H24" s="50">
        <v>0</v>
      </c>
      <c r="I24" s="50">
        <v>3</v>
      </c>
      <c r="J24" s="50">
        <v>5</v>
      </c>
      <c r="K24" s="50">
        <v>0</v>
      </c>
      <c r="L24" s="50">
        <v>0</v>
      </c>
      <c r="M24" s="50">
        <v>24</v>
      </c>
      <c r="N24" s="50">
        <v>0</v>
      </c>
      <c r="O24" s="17">
        <f t="shared" si="0"/>
        <v>44</v>
      </c>
      <c r="P24" s="17">
        <f t="shared" si="1"/>
        <v>68</v>
      </c>
      <c r="R24" s="51" t="s">
        <v>92</v>
      </c>
      <c r="S24" s="52">
        <f>MAX(S19:S21)</f>
        <v>193</v>
      </c>
      <c r="T24" s="52">
        <f t="shared" ref="T24:AF24" si="16">MAX(T19:T21)</f>
        <v>13</v>
      </c>
      <c r="U24" s="52">
        <f t="shared" si="16"/>
        <v>21</v>
      </c>
      <c r="V24" s="52">
        <f t="shared" si="16"/>
        <v>2</v>
      </c>
      <c r="W24" s="52">
        <f t="shared" si="16"/>
        <v>4</v>
      </c>
      <c r="X24" s="52">
        <f t="shared" si="16"/>
        <v>0</v>
      </c>
      <c r="Y24" s="52">
        <f t="shared" si="16"/>
        <v>13</v>
      </c>
      <c r="Z24" s="52">
        <f t="shared" si="16"/>
        <v>8</v>
      </c>
      <c r="AA24" s="52">
        <f t="shared" si="16"/>
        <v>7</v>
      </c>
      <c r="AB24" s="52">
        <f t="shared" si="16"/>
        <v>0</v>
      </c>
      <c r="AC24" s="52">
        <f t="shared" si="16"/>
        <v>153</v>
      </c>
      <c r="AD24" s="52">
        <f t="shared" si="16"/>
        <v>0</v>
      </c>
      <c r="AE24" s="40">
        <f t="shared" si="16"/>
        <v>245</v>
      </c>
      <c r="AF24" s="40">
        <f t="shared" si="16"/>
        <v>398</v>
      </c>
    </row>
    <row r="25" spans="2:32" ht="23.1" customHeight="1" x14ac:dyDescent="0.25">
      <c r="B25" s="23" t="s">
        <v>52</v>
      </c>
      <c r="C25" s="50">
        <v>24</v>
      </c>
      <c r="D25" s="50">
        <v>1</v>
      </c>
      <c r="E25" s="50">
        <v>2</v>
      </c>
      <c r="F25" s="50">
        <v>0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7">
        <f t="shared" si="0"/>
        <v>31</v>
      </c>
      <c r="P25" s="17">
        <f t="shared" si="1"/>
        <v>47</v>
      </c>
      <c r="R25" s="37" t="s">
        <v>85</v>
      </c>
      <c r="S25" s="35">
        <f t="shared" ref="S25:AF25" si="17">SUM(S10:S12)</f>
        <v>388</v>
      </c>
      <c r="T25" s="16">
        <f t="shared" si="17"/>
        <v>72</v>
      </c>
      <c r="U25" s="16">
        <f t="shared" si="17"/>
        <v>58</v>
      </c>
      <c r="V25" s="16">
        <f t="shared" si="17"/>
        <v>20</v>
      </c>
      <c r="W25" s="16">
        <f t="shared" si="17"/>
        <v>1</v>
      </c>
      <c r="X25" s="16">
        <f t="shared" si="17"/>
        <v>0</v>
      </c>
      <c r="Y25" s="16">
        <f t="shared" si="17"/>
        <v>39</v>
      </c>
      <c r="Z25" s="16">
        <f t="shared" si="17"/>
        <v>5</v>
      </c>
      <c r="AA25" s="16">
        <f t="shared" si="17"/>
        <v>1</v>
      </c>
      <c r="AB25" s="16">
        <f t="shared" si="17"/>
        <v>0</v>
      </c>
      <c r="AC25" s="16">
        <f t="shared" si="17"/>
        <v>358</v>
      </c>
      <c r="AD25" s="16">
        <f t="shared" si="17"/>
        <v>0</v>
      </c>
      <c r="AE25" s="32">
        <f t="shared" si="17"/>
        <v>584</v>
      </c>
      <c r="AF25" s="32">
        <f t="shared" si="17"/>
        <v>942</v>
      </c>
    </row>
    <row r="26" spans="2:32" ht="23.1" customHeight="1" x14ac:dyDescent="0.25">
      <c r="B26" s="23" t="s">
        <v>53</v>
      </c>
      <c r="C26" s="50">
        <v>31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6</v>
      </c>
      <c r="J26" s="50">
        <v>3</v>
      </c>
      <c r="K26" s="50">
        <v>0</v>
      </c>
      <c r="L26" s="50">
        <v>0</v>
      </c>
      <c r="M26" s="50">
        <v>30</v>
      </c>
      <c r="N26" s="50">
        <v>0</v>
      </c>
      <c r="O26" s="17">
        <f t="shared" si="0"/>
        <v>41</v>
      </c>
      <c r="P26" s="17">
        <f t="shared" si="1"/>
        <v>71</v>
      </c>
      <c r="R26" s="28" t="s">
        <v>86</v>
      </c>
      <c r="S26" s="16">
        <f t="shared" ref="S26:AF26" si="18">SUM(S13:S18)</f>
        <v>683</v>
      </c>
      <c r="T26" s="16">
        <f t="shared" si="18"/>
        <v>75</v>
      </c>
      <c r="U26" s="16">
        <f t="shared" si="18"/>
        <v>94</v>
      </c>
      <c r="V26" s="16">
        <f t="shared" si="18"/>
        <v>11</v>
      </c>
      <c r="W26" s="16">
        <f t="shared" si="18"/>
        <v>9</v>
      </c>
      <c r="X26" s="16">
        <f t="shared" si="18"/>
        <v>0</v>
      </c>
      <c r="Y26" s="16">
        <f t="shared" si="18"/>
        <v>82</v>
      </c>
      <c r="Z26" s="16">
        <f t="shared" si="18"/>
        <v>59</v>
      </c>
      <c r="AA26" s="16">
        <f t="shared" si="18"/>
        <v>3</v>
      </c>
      <c r="AB26" s="16">
        <f t="shared" si="18"/>
        <v>2</v>
      </c>
      <c r="AC26" s="16">
        <f t="shared" si="18"/>
        <v>660</v>
      </c>
      <c r="AD26" s="16">
        <f t="shared" si="18"/>
        <v>0</v>
      </c>
      <c r="AE26" s="32">
        <f t="shared" si="18"/>
        <v>1018</v>
      </c>
      <c r="AF26" s="32">
        <f t="shared" si="18"/>
        <v>1678</v>
      </c>
    </row>
    <row r="27" spans="2:32" ht="23.1" customHeight="1" x14ac:dyDescent="0.25">
      <c r="B27" s="23" t="s">
        <v>54</v>
      </c>
      <c r="C27" s="50">
        <v>25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4</v>
      </c>
      <c r="K27" s="50">
        <v>1</v>
      </c>
      <c r="L27" s="50">
        <v>0</v>
      </c>
      <c r="M27" s="50">
        <v>38</v>
      </c>
      <c r="N27" s="50">
        <v>0</v>
      </c>
      <c r="O27" s="17">
        <f t="shared" si="0"/>
        <v>33</v>
      </c>
      <c r="P27" s="17">
        <f t="shared" si="1"/>
        <v>71</v>
      </c>
      <c r="R27" s="29" t="s">
        <v>87</v>
      </c>
      <c r="S27" s="16">
        <f t="shared" ref="S27:AF27" si="19">SUM(S19:S21)</f>
        <v>526</v>
      </c>
      <c r="T27" s="16">
        <f t="shared" si="19"/>
        <v>20</v>
      </c>
      <c r="U27" s="16">
        <f t="shared" si="19"/>
        <v>53</v>
      </c>
      <c r="V27" s="16">
        <f t="shared" si="19"/>
        <v>5</v>
      </c>
      <c r="W27" s="16">
        <f t="shared" si="19"/>
        <v>6</v>
      </c>
      <c r="X27" s="16">
        <f t="shared" si="19"/>
        <v>0</v>
      </c>
      <c r="Y27" s="16">
        <f t="shared" si="19"/>
        <v>29</v>
      </c>
      <c r="Z27" s="16">
        <f t="shared" si="19"/>
        <v>17</v>
      </c>
      <c r="AA27" s="16">
        <f t="shared" si="19"/>
        <v>7</v>
      </c>
      <c r="AB27" s="16">
        <f t="shared" si="19"/>
        <v>0</v>
      </c>
      <c r="AC27" s="16">
        <f t="shared" si="19"/>
        <v>368</v>
      </c>
      <c r="AD27" s="16">
        <f t="shared" si="19"/>
        <v>0</v>
      </c>
      <c r="AE27" s="32">
        <f t="shared" si="19"/>
        <v>663</v>
      </c>
      <c r="AF27" s="32">
        <f t="shared" si="19"/>
        <v>1031</v>
      </c>
    </row>
    <row r="28" spans="2:32" ht="23.1" customHeight="1" x14ac:dyDescent="0.25">
      <c r="B28" s="23" t="s">
        <v>55</v>
      </c>
      <c r="C28" s="50">
        <v>33</v>
      </c>
      <c r="D28" s="50">
        <v>2</v>
      </c>
      <c r="E28" s="50">
        <v>6</v>
      </c>
      <c r="F28" s="50">
        <v>0</v>
      </c>
      <c r="G28" s="50">
        <v>0</v>
      </c>
      <c r="H28" s="50">
        <v>0</v>
      </c>
      <c r="I28" s="50">
        <v>4</v>
      </c>
      <c r="J28" s="50">
        <v>2</v>
      </c>
      <c r="K28" s="50">
        <v>0</v>
      </c>
      <c r="L28" s="50">
        <v>0</v>
      </c>
      <c r="M28" s="50">
        <v>31</v>
      </c>
      <c r="N28" s="50">
        <v>0</v>
      </c>
      <c r="O28" s="17">
        <f t="shared" si="0"/>
        <v>47</v>
      </c>
      <c r="P28" s="17">
        <f t="shared" si="1"/>
        <v>78</v>
      </c>
      <c r="R28" s="5" t="s">
        <v>17</v>
      </c>
      <c r="S28" s="16">
        <f t="shared" ref="S28:AF28" si="20">SUM(S10:S21)</f>
        <v>1597</v>
      </c>
      <c r="T28" s="16">
        <f t="shared" si="20"/>
        <v>167</v>
      </c>
      <c r="U28" s="16">
        <f t="shared" si="20"/>
        <v>205</v>
      </c>
      <c r="V28" s="16">
        <f t="shared" si="20"/>
        <v>36</v>
      </c>
      <c r="W28" s="16">
        <f t="shared" si="20"/>
        <v>16</v>
      </c>
      <c r="X28" s="16">
        <f t="shared" si="20"/>
        <v>0</v>
      </c>
      <c r="Y28" s="16">
        <f t="shared" si="20"/>
        <v>150</v>
      </c>
      <c r="Z28" s="16">
        <f t="shared" si="20"/>
        <v>81</v>
      </c>
      <c r="AA28" s="16">
        <f t="shared" si="20"/>
        <v>11</v>
      </c>
      <c r="AB28" s="16">
        <f t="shared" si="20"/>
        <v>2</v>
      </c>
      <c r="AC28" s="16">
        <f t="shared" si="20"/>
        <v>1386</v>
      </c>
      <c r="AD28" s="16">
        <f t="shared" si="20"/>
        <v>0</v>
      </c>
      <c r="AE28" s="32">
        <f t="shared" si="20"/>
        <v>2265</v>
      </c>
      <c r="AF28" s="32">
        <f t="shared" si="20"/>
        <v>3651</v>
      </c>
    </row>
    <row r="29" spans="2:32" ht="23.1" customHeight="1" x14ac:dyDescent="0.25">
      <c r="B29" s="23" t="s">
        <v>56</v>
      </c>
      <c r="C29" s="50">
        <v>21</v>
      </c>
      <c r="D29" s="50">
        <v>6</v>
      </c>
      <c r="E29" s="50">
        <v>4</v>
      </c>
      <c r="F29" s="50">
        <v>1</v>
      </c>
      <c r="G29" s="50">
        <v>0</v>
      </c>
      <c r="H29" s="50">
        <v>0</v>
      </c>
      <c r="I29" s="50">
        <v>2</v>
      </c>
      <c r="J29" s="50">
        <v>4</v>
      </c>
      <c r="K29" s="50">
        <v>0</v>
      </c>
      <c r="L29" s="50">
        <v>1</v>
      </c>
      <c r="M29" s="50">
        <v>19</v>
      </c>
      <c r="N29" s="50">
        <v>0</v>
      </c>
      <c r="O29" s="17">
        <f t="shared" si="0"/>
        <v>39</v>
      </c>
      <c r="P29" s="17">
        <f t="shared" si="1"/>
        <v>58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1</v>
      </c>
      <c r="E30" s="50">
        <v>4</v>
      </c>
      <c r="F30" s="50">
        <v>0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25</v>
      </c>
      <c r="N30" s="50">
        <v>0</v>
      </c>
      <c r="O30" s="17">
        <f t="shared" si="0"/>
        <v>26</v>
      </c>
      <c r="P30" s="17">
        <f t="shared" si="1"/>
        <v>51</v>
      </c>
      <c r="R30"/>
      <c r="S30" s="19"/>
      <c r="T30" s="19"/>
    </row>
    <row r="31" spans="2:32" ht="23.1" customHeight="1" x14ac:dyDescent="0.25">
      <c r="B31" s="24" t="s">
        <v>58</v>
      </c>
      <c r="C31" s="50">
        <v>20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3</v>
      </c>
      <c r="J31" s="50">
        <v>4</v>
      </c>
      <c r="K31" s="50">
        <v>0</v>
      </c>
      <c r="L31" s="50">
        <v>0</v>
      </c>
      <c r="M31" s="50">
        <v>17</v>
      </c>
      <c r="N31" s="50">
        <v>0</v>
      </c>
      <c r="O31" s="17">
        <f t="shared" si="0"/>
        <v>27</v>
      </c>
      <c r="P31" s="17">
        <f t="shared" si="1"/>
        <v>44</v>
      </c>
      <c r="R31"/>
      <c r="S31" s="19"/>
      <c r="T31" s="19"/>
    </row>
    <row r="32" spans="2:32" ht="23.1" customHeight="1" x14ac:dyDescent="0.25">
      <c r="B32" s="24" t="s">
        <v>59</v>
      </c>
      <c r="C32" s="50">
        <v>20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12</v>
      </c>
      <c r="N32" s="50">
        <v>0</v>
      </c>
      <c r="O32" s="17">
        <f t="shared" si="0"/>
        <v>23</v>
      </c>
      <c r="P32" s="17">
        <f t="shared" si="1"/>
        <v>35</v>
      </c>
      <c r="R32"/>
      <c r="S32" s="19"/>
      <c r="T32" s="19"/>
    </row>
    <row r="33" spans="2:20" ht="23.1" customHeight="1" x14ac:dyDescent="0.25">
      <c r="B33" s="23" t="s">
        <v>60</v>
      </c>
      <c r="C33" s="50">
        <v>22</v>
      </c>
      <c r="D33" s="50">
        <v>7</v>
      </c>
      <c r="E33" s="50">
        <v>5</v>
      </c>
      <c r="F33" s="50">
        <v>1</v>
      </c>
      <c r="G33" s="50">
        <v>0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19</v>
      </c>
      <c r="N33" s="50">
        <v>0</v>
      </c>
      <c r="O33" s="17">
        <f t="shared" si="0"/>
        <v>41</v>
      </c>
      <c r="P33" s="17">
        <f t="shared" si="1"/>
        <v>60</v>
      </c>
      <c r="R33"/>
      <c r="S33" s="19"/>
      <c r="T33" s="19"/>
    </row>
    <row r="34" spans="2:20" ht="23.1" customHeight="1" x14ac:dyDescent="0.25">
      <c r="B34" s="24" t="s">
        <v>61</v>
      </c>
      <c r="C34" s="50">
        <v>24</v>
      </c>
      <c r="D34" s="50">
        <v>4</v>
      </c>
      <c r="E34" s="50">
        <v>5</v>
      </c>
      <c r="F34" s="50">
        <v>1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43</v>
      </c>
      <c r="N34" s="50">
        <v>0</v>
      </c>
      <c r="O34" s="17">
        <f t="shared" si="0"/>
        <v>38</v>
      </c>
      <c r="P34" s="17">
        <f t="shared" si="1"/>
        <v>81</v>
      </c>
      <c r="R34"/>
      <c r="S34" s="19"/>
      <c r="T34" s="19"/>
    </row>
    <row r="35" spans="2:20" ht="23.1" customHeight="1" x14ac:dyDescent="0.25">
      <c r="B35" s="24" t="s">
        <v>62</v>
      </c>
      <c r="C35" s="50">
        <v>24</v>
      </c>
      <c r="D35" s="50">
        <v>3</v>
      </c>
      <c r="E35" s="50">
        <v>1</v>
      </c>
      <c r="F35" s="50">
        <v>1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20</v>
      </c>
      <c r="N35" s="50">
        <v>0</v>
      </c>
      <c r="O35" s="17">
        <f t="shared" si="0"/>
        <v>34</v>
      </c>
      <c r="P35" s="17">
        <f t="shared" si="1"/>
        <v>54</v>
      </c>
      <c r="R35"/>
      <c r="S35" s="19"/>
      <c r="T35" s="19"/>
    </row>
    <row r="36" spans="2:20" ht="23.1" customHeight="1" x14ac:dyDescent="0.25">
      <c r="B36" s="24" t="s">
        <v>63</v>
      </c>
      <c r="C36" s="50">
        <v>37</v>
      </c>
      <c r="D36" s="50">
        <v>1</v>
      </c>
      <c r="E36" s="50">
        <v>6</v>
      </c>
      <c r="F36" s="50">
        <v>0</v>
      </c>
      <c r="G36" s="50">
        <v>0</v>
      </c>
      <c r="H36" s="50">
        <v>0</v>
      </c>
      <c r="I36" s="50">
        <v>8</v>
      </c>
      <c r="J36" s="50">
        <v>2</v>
      </c>
      <c r="K36" s="50">
        <v>0</v>
      </c>
      <c r="L36" s="50">
        <v>0</v>
      </c>
      <c r="M36" s="50">
        <v>19</v>
      </c>
      <c r="N36" s="50">
        <v>0</v>
      </c>
      <c r="O36" s="17">
        <f t="shared" si="0"/>
        <v>54</v>
      </c>
      <c r="P36" s="17">
        <f t="shared" si="1"/>
        <v>73</v>
      </c>
      <c r="R36"/>
      <c r="S36" s="19"/>
      <c r="T36" s="19"/>
    </row>
    <row r="37" spans="2:20" ht="23.1" customHeight="1" x14ac:dyDescent="0.25">
      <c r="B37" s="23" t="s">
        <v>64</v>
      </c>
      <c r="C37" s="50">
        <v>34</v>
      </c>
      <c r="D37" s="50">
        <v>2</v>
      </c>
      <c r="E37" s="50">
        <v>2</v>
      </c>
      <c r="F37" s="50">
        <v>0</v>
      </c>
      <c r="G37" s="50">
        <v>1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17</v>
      </c>
      <c r="N37" s="50">
        <v>0</v>
      </c>
      <c r="O37" s="17">
        <f t="shared" si="0"/>
        <v>43</v>
      </c>
      <c r="P37" s="17">
        <f t="shared" si="1"/>
        <v>60</v>
      </c>
      <c r="R37"/>
      <c r="S37" s="19"/>
      <c r="T37" s="19"/>
    </row>
    <row r="38" spans="2:20" ht="23.1" customHeight="1" x14ac:dyDescent="0.25">
      <c r="B38" s="24" t="s">
        <v>65</v>
      </c>
      <c r="C38" s="50">
        <v>25</v>
      </c>
      <c r="D38" s="50">
        <v>3</v>
      </c>
      <c r="E38" s="50">
        <v>2</v>
      </c>
      <c r="F38" s="50">
        <v>0</v>
      </c>
      <c r="G38" s="50">
        <v>0</v>
      </c>
      <c r="H38" s="50">
        <v>0</v>
      </c>
      <c r="I38" s="50">
        <v>3</v>
      </c>
      <c r="J38" s="50">
        <v>2</v>
      </c>
      <c r="K38" s="50">
        <v>0</v>
      </c>
      <c r="L38" s="50">
        <v>0</v>
      </c>
      <c r="M38" s="50">
        <v>18</v>
      </c>
      <c r="N38" s="50">
        <v>0</v>
      </c>
      <c r="O38" s="17">
        <f t="shared" si="0"/>
        <v>35</v>
      </c>
      <c r="P38" s="17">
        <f t="shared" si="1"/>
        <v>53</v>
      </c>
      <c r="R38"/>
      <c r="S38" s="19"/>
      <c r="T38" s="19"/>
    </row>
    <row r="39" spans="2:20" ht="23.1" customHeight="1" x14ac:dyDescent="0.25">
      <c r="B39" s="24" t="s">
        <v>66</v>
      </c>
      <c r="C39" s="50">
        <v>13</v>
      </c>
      <c r="D39" s="50">
        <v>1</v>
      </c>
      <c r="E39" s="50">
        <v>2</v>
      </c>
      <c r="F39" s="50">
        <v>0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0</v>
      </c>
      <c r="M39" s="50">
        <v>15</v>
      </c>
      <c r="N39" s="50">
        <v>0</v>
      </c>
      <c r="O39" s="17">
        <f t="shared" si="0"/>
        <v>19</v>
      </c>
      <c r="P39" s="17">
        <f t="shared" si="1"/>
        <v>34</v>
      </c>
      <c r="R39"/>
      <c r="S39" s="19"/>
      <c r="T39" s="19"/>
    </row>
    <row r="40" spans="2:20" ht="23.1" customHeight="1" x14ac:dyDescent="0.25">
      <c r="B40" s="24" t="s">
        <v>67</v>
      </c>
      <c r="C40" s="50">
        <v>12</v>
      </c>
      <c r="D40" s="50">
        <v>13</v>
      </c>
      <c r="E40" s="50">
        <v>6</v>
      </c>
      <c r="F40" s="50">
        <v>4</v>
      </c>
      <c r="G40" s="50">
        <v>2</v>
      </c>
      <c r="H40" s="50">
        <v>0</v>
      </c>
      <c r="I40" s="50">
        <v>5</v>
      </c>
      <c r="J40" s="50">
        <v>0</v>
      </c>
      <c r="K40" s="50">
        <v>1</v>
      </c>
      <c r="L40" s="50">
        <v>0</v>
      </c>
      <c r="M40" s="50">
        <v>30</v>
      </c>
      <c r="N40" s="50">
        <v>0</v>
      </c>
      <c r="O40" s="17">
        <f t="shared" si="0"/>
        <v>43</v>
      </c>
      <c r="P40" s="17">
        <f t="shared" si="1"/>
        <v>73</v>
      </c>
      <c r="R40"/>
      <c r="S40" s="19"/>
      <c r="T40" s="19"/>
    </row>
    <row r="41" spans="2:20" ht="23.1" customHeight="1" x14ac:dyDescent="0.25">
      <c r="B41" s="23" t="s">
        <v>68</v>
      </c>
      <c r="C41" s="50">
        <v>29</v>
      </c>
      <c r="D41" s="50">
        <v>7</v>
      </c>
      <c r="E41" s="50">
        <v>5</v>
      </c>
      <c r="F41" s="50">
        <v>0</v>
      </c>
      <c r="G41" s="50">
        <v>1</v>
      </c>
      <c r="H41" s="50">
        <v>0</v>
      </c>
      <c r="I41" s="50">
        <v>6</v>
      </c>
      <c r="J41" s="50">
        <v>1</v>
      </c>
      <c r="K41" s="50">
        <v>0</v>
      </c>
      <c r="L41" s="50">
        <v>0</v>
      </c>
      <c r="M41" s="50">
        <v>27</v>
      </c>
      <c r="N41" s="50">
        <v>0</v>
      </c>
      <c r="O41" s="17">
        <f t="shared" si="0"/>
        <v>49</v>
      </c>
      <c r="P41" s="17">
        <f t="shared" si="1"/>
        <v>76</v>
      </c>
      <c r="R41"/>
      <c r="S41" s="19"/>
      <c r="T41" s="19"/>
    </row>
    <row r="42" spans="2:20" ht="23.1" customHeight="1" x14ac:dyDescent="0.25">
      <c r="B42" s="24" t="s">
        <v>69</v>
      </c>
      <c r="C42" s="50">
        <v>23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3</v>
      </c>
      <c r="J42" s="50">
        <v>5</v>
      </c>
      <c r="K42" s="50">
        <v>0</v>
      </c>
      <c r="L42" s="50">
        <v>1</v>
      </c>
      <c r="M42" s="50">
        <v>36</v>
      </c>
      <c r="N42" s="50">
        <v>0</v>
      </c>
      <c r="O42" s="17">
        <f t="shared" si="0"/>
        <v>34</v>
      </c>
      <c r="P42" s="17">
        <f t="shared" si="1"/>
        <v>70</v>
      </c>
      <c r="R42"/>
      <c r="S42" s="19"/>
      <c r="T42" s="19"/>
    </row>
    <row r="43" spans="2:20" ht="23.1" customHeight="1" x14ac:dyDescent="0.25">
      <c r="B43" s="23" t="s">
        <v>70</v>
      </c>
      <c r="C43" s="50">
        <v>65</v>
      </c>
      <c r="D43" s="50">
        <v>7</v>
      </c>
      <c r="E43" s="50">
        <v>9</v>
      </c>
      <c r="F43" s="50">
        <v>1</v>
      </c>
      <c r="G43" s="50">
        <v>0</v>
      </c>
      <c r="H43" s="50">
        <v>0</v>
      </c>
      <c r="I43" s="50">
        <v>2</v>
      </c>
      <c r="J43" s="50">
        <v>4</v>
      </c>
      <c r="K43" s="50">
        <v>1</v>
      </c>
      <c r="L43" s="50">
        <v>0</v>
      </c>
      <c r="M43" s="50">
        <v>48</v>
      </c>
      <c r="N43" s="50">
        <v>0</v>
      </c>
      <c r="O43" s="17">
        <f t="shared" si="0"/>
        <v>89</v>
      </c>
      <c r="P43" s="17">
        <f t="shared" si="1"/>
        <v>137</v>
      </c>
      <c r="R43"/>
      <c r="S43" s="19"/>
      <c r="T43" s="19"/>
    </row>
    <row r="44" spans="2:20" ht="23.1" customHeight="1" x14ac:dyDescent="0.25">
      <c r="B44" s="25" t="s">
        <v>71</v>
      </c>
      <c r="C44" s="50">
        <v>32</v>
      </c>
      <c r="D44" s="50">
        <v>5</v>
      </c>
      <c r="E44" s="50">
        <v>7</v>
      </c>
      <c r="F44" s="50">
        <v>1</v>
      </c>
      <c r="G44" s="50">
        <v>3</v>
      </c>
      <c r="H44" s="50">
        <v>0</v>
      </c>
      <c r="I44" s="50">
        <v>1</v>
      </c>
      <c r="J44" s="50">
        <v>6</v>
      </c>
      <c r="K44" s="50">
        <v>0</v>
      </c>
      <c r="L44" s="50">
        <v>0</v>
      </c>
      <c r="M44" s="50">
        <v>60</v>
      </c>
      <c r="N44" s="50">
        <v>0</v>
      </c>
      <c r="O44" s="17">
        <f t="shared" si="0"/>
        <v>55</v>
      </c>
      <c r="P44" s="17">
        <f t="shared" si="1"/>
        <v>115</v>
      </c>
      <c r="R44"/>
      <c r="S44" s="19"/>
      <c r="T44" s="19"/>
    </row>
    <row r="45" spans="2:20" ht="23.1" customHeight="1" x14ac:dyDescent="0.25">
      <c r="B45" s="23" t="s">
        <v>72</v>
      </c>
      <c r="C45" s="50">
        <v>59</v>
      </c>
      <c r="D45" s="50">
        <v>5</v>
      </c>
      <c r="E45" s="50">
        <v>7</v>
      </c>
      <c r="F45" s="50">
        <v>0</v>
      </c>
      <c r="G45" s="50">
        <v>1</v>
      </c>
      <c r="H45" s="50">
        <v>0</v>
      </c>
      <c r="I45" s="50">
        <v>5</v>
      </c>
      <c r="J45" s="50">
        <v>5</v>
      </c>
      <c r="K45" s="50">
        <v>0</v>
      </c>
      <c r="L45" s="50">
        <v>0</v>
      </c>
      <c r="M45" s="50">
        <v>43</v>
      </c>
      <c r="N45" s="50">
        <v>0</v>
      </c>
      <c r="O45" s="17">
        <f t="shared" si="0"/>
        <v>82</v>
      </c>
      <c r="P45" s="17">
        <f t="shared" si="1"/>
        <v>125</v>
      </c>
      <c r="R45"/>
      <c r="S45" s="19"/>
      <c r="T45" s="19"/>
    </row>
    <row r="46" spans="2:20" ht="23.1" customHeight="1" x14ac:dyDescent="0.25">
      <c r="B46" s="24" t="s">
        <v>73</v>
      </c>
      <c r="C46" s="50">
        <v>34</v>
      </c>
      <c r="D46" s="50">
        <v>1</v>
      </c>
      <c r="E46" s="50">
        <v>7</v>
      </c>
      <c r="F46" s="50">
        <v>0</v>
      </c>
      <c r="G46" s="50">
        <v>0</v>
      </c>
      <c r="H46" s="50">
        <v>0</v>
      </c>
      <c r="I46" s="50">
        <v>1</v>
      </c>
      <c r="J46" s="50">
        <v>4</v>
      </c>
      <c r="K46" s="50">
        <v>0</v>
      </c>
      <c r="L46" s="50">
        <v>0</v>
      </c>
      <c r="M46" s="50">
        <v>41</v>
      </c>
      <c r="N46" s="50">
        <v>0</v>
      </c>
      <c r="O46" s="17">
        <f t="shared" si="0"/>
        <v>47</v>
      </c>
      <c r="P46" s="17">
        <f t="shared" si="1"/>
        <v>88</v>
      </c>
      <c r="R46" s="19"/>
      <c r="S46" s="19"/>
      <c r="T46"/>
    </row>
    <row r="47" spans="2:20" ht="23.1" customHeight="1" x14ac:dyDescent="0.25">
      <c r="B47" s="24" t="s">
        <v>74</v>
      </c>
      <c r="C47" s="50">
        <v>49</v>
      </c>
      <c r="D47" s="50">
        <v>0</v>
      </c>
      <c r="E47" s="50">
        <v>8</v>
      </c>
      <c r="F47" s="50">
        <v>0</v>
      </c>
      <c r="G47" s="50">
        <v>0</v>
      </c>
      <c r="H47" s="50">
        <v>0</v>
      </c>
      <c r="I47" s="50">
        <v>5</v>
      </c>
      <c r="J47" s="50">
        <v>2</v>
      </c>
      <c r="K47" s="50">
        <v>2</v>
      </c>
      <c r="L47" s="50">
        <v>0</v>
      </c>
      <c r="M47" s="50">
        <v>27</v>
      </c>
      <c r="N47" s="50">
        <v>0</v>
      </c>
      <c r="O47" s="17">
        <f t="shared" si="0"/>
        <v>66</v>
      </c>
      <c r="P47" s="17">
        <f t="shared" si="1"/>
        <v>93</v>
      </c>
      <c r="R47" s="19"/>
      <c r="S47" s="19"/>
      <c r="T47"/>
    </row>
    <row r="48" spans="2:20" ht="23.1" customHeight="1" x14ac:dyDescent="0.25">
      <c r="B48" s="24" t="s">
        <v>75</v>
      </c>
      <c r="C48" s="50">
        <v>41</v>
      </c>
      <c r="D48" s="50">
        <v>1</v>
      </c>
      <c r="E48" s="50">
        <v>3</v>
      </c>
      <c r="F48" s="50">
        <v>1</v>
      </c>
      <c r="G48" s="50">
        <v>1</v>
      </c>
      <c r="H48" s="50">
        <v>0</v>
      </c>
      <c r="I48" s="50">
        <v>3</v>
      </c>
      <c r="J48" s="50">
        <v>1</v>
      </c>
      <c r="K48" s="50">
        <v>1</v>
      </c>
      <c r="L48" s="50">
        <v>0</v>
      </c>
      <c r="M48" s="50">
        <v>38</v>
      </c>
      <c r="N48" s="50">
        <v>0</v>
      </c>
      <c r="O48" s="17">
        <f t="shared" si="0"/>
        <v>52</v>
      </c>
      <c r="P48" s="17">
        <f t="shared" si="1"/>
        <v>90</v>
      </c>
      <c r="R48" s="19"/>
      <c r="S48" s="19"/>
      <c r="T48"/>
    </row>
    <row r="49" spans="2:20" ht="23.1" customHeight="1" x14ac:dyDescent="0.25">
      <c r="B49" s="23" t="s">
        <v>76</v>
      </c>
      <c r="C49" s="50">
        <v>45</v>
      </c>
      <c r="D49" s="50">
        <v>2</v>
      </c>
      <c r="E49" s="50">
        <v>3</v>
      </c>
      <c r="F49" s="50">
        <v>1</v>
      </c>
      <c r="G49" s="50">
        <v>0</v>
      </c>
      <c r="H49" s="50">
        <v>0</v>
      </c>
      <c r="I49" s="50">
        <v>4</v>
      </c>
      <c r="J49" s="50">
        <v>1</v>
      </c>
      <c r="K49" s="50">
        <v>4</v>
      </c>
      <c r="L49" s="50">
        <v>0</v>
      </c>
      <c r="M49" s="50">
        <v>26</v>
      </c>
      <c r="N49" s="50">
        <v>0</v>
      </c>
      <c r="O49" s="17">
        <f t="shared" si="0"/>
        <v>60</v>
      </c>
      <c r="P49" s="17">
        <f t="shared" si="1"/>
        <v>86</v>
      </c>
      <c r="R49" s="19"/>
      <c r="S49" s="19"/>
      <c r="T49"/>
    </row>
    <row r="50" spans="2:20" ht="23.1" customHeight="1" x14ac:dyDescent="0.25">
      <c r="B50" s="24" t="s">
        <v>77</v>
      </c>
      <c r="C50" s="50">
        <v>58</v>
      </c>
      <c r="D50" s="50">
        <v>4</v>
      </c>
      <c r="E50" s="50">
        <v>2</v>
      </c>
      <c r="F50" s="50">
        <v>0</v>
      </c>
      <c r="G50" s="50">
        <v>1</v>
      </c>
      <c r="H50" s="50">
        <v>0</v>
      </c>
      <c r="I50" s="50">
        <v>4</v>
      </c>
      <c r="J50" s="50">
        <v>1</v>
      </c>
      <c r="K50" s="50">
        <v>0</v>
      </c>
      <c r="L50" s="50">
        <v>0</v>
      </c>
      <c r="M50" s="50">
        <v>25</v>
      </c>
      <c r="N50" s="50">
        <v>0</v>
      </c>
      <c r="O50" s="17">
        <f t="shared" si="0"/>
        <v>70</v>
      </c>
      <c r="P50" s="17">
        <f t="shared" si="1"/>
        <v>95</v>
      </c>
      <c r="R50" s="19"/>
      <c r="S50" s="19"/>
      <c r="T50"/>
    </row>
    <row r="51" spans="2:20" ht="23.1" customHeight="1" x14ac:dyDescent="0.25">
      <c r="B51" s="24" t="s">
        <v>78</v>
      </c>
      <c r="C51" s="50">
        <v>44</v>
      </c>
      <c r="D51" s="50">
        <v>4</v>
      </c>
      <c r="E51" s="50">
        <v>8</v>
      </c>
      <c r="F51" s="50">
        <v>1</v>
      </c>
      <c r="G51" s="50">
        <v>2</v>
      </c>
      <c r="H51" s="50">
        <v>0</v>
      </c>
      <c r="I51" s="50">
        <v>1</v>
      </c>
      <c r="J51" s="50">
        <v>4</v>
      </c>
      <c r="K51" s="50">
        <v>0</v>
      </c>
      <c r="L51" s="50">
        <v>0</v>
      </c>
      <c r="M51" s="50">
        <v>46</v>
      </c>
      <c r="N51" s="50">
        <v>0</v>
      </c>
      <c r="O51" s="17">
        <f t="shared" si="0"/>
        <v>64</v>
      </c>
      <c r="P51" s="17">
        <f t="shared" si="1"/>
        <v>110</v>
      </c>
      <c r="R51" s="19"/>
      <c r="S51" s="19"/>
      <c r="T51"/>
    </row>
    <row r="52" spans="2:20" ht="23.1" customHeight="1" x14ac:dyDescent="0.25">
      <c r="B52" s="24" t="s">
        <v>79</v>
      </c>
      <c r="C52" s="50">
        <v>50</v>
      </c>
      <c r="D52" s="50">
        <v>2</v>
      </c>
      <c r="E52" s="50">
        <v>4</v>
      </c>
      <c r="F52" s="50">
        <v>0</v>
      </c>
      <c r="G52" s="50">
        <v>1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43</v>
      </c>
      <c r="N52" s="50">
        <v>0</v>
      </c>
      <c r="O52" s="17">
        <f t="shared" si="0"/>
        <v>60</v>
      </c>
      <c r="P52" s="17">
        <f t="shared" si="1"/>
        <v>103</v>
      </c>
      <c r="R52" s="19"/>
      <c r="S52" s="19"/>
      <c r="T52"/>
    </row>
    <row r="53" spans="2:20" ht="23.1" customHeight="1" x14ac:dyDescent="0.25">
      <c r="B53" s="23" t="s">
        <v>80</v>
      </c>
      <c r="C53" s="50">
        <v>41</v>
      </c>
      <c r="D53" s="50">
        <v>3</v>
      </c>
      <c r="E53" s="50">
        <v>6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39</v>
      </c>
      <c r="N53" s="50">
        <v>0</v>
      </c>
      <c r="O53" s="17">
        <f t="shared" si="0"/>
        <v>51</v>
      </c>
      <c r="P53" s="17">
        <f t="shared" si="1"/>
        <v>90</v>
      </c>
      <c r="R53" s="19"/>
      <c r="S53" s="19"/>
      <c r="T53"/>
    </row>
    <row r="54" spans="2:20" ht="23.1" customHeight="1" x14ac:dyDescent="0.25">
      <c r="B54" s="23" t="s">
        <v>81</v>
      </c>
      <c r="C54" s="50">
        <v>20</v>
      </c>
      <c r="D54" s="50">
        <v>2</v>
      </c>
      <c r="E54" s="50">
        <v>1</v>
      </c>
      <c r="F54" s="50">
        <v>0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15</v>
      </c>
      <c r="N54" s="50">
        <v>0</v>
      </c>
      <c r="O54" s="17">
        <f t="shared" si="0"/>
        <v>26</v>
      </c>
      <c r="P54" s="17">
        <f t="shared" si="1"/>
        <v>41</v>
      </c>
      <c r="R54" s="19"/>
      <c r="S54" s="19"/>
      <c r="T54"/>
    </row>
    <row r="55" spans="2:20" ht="23.1" customHeight="1" x14ac:dyDescent="0.25">
      <c r="B55" s="23" t="s">
        <v>82</v>
      </c>
      <c r="C55" s="50">
        <v>39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20</v>
      </c>
      <c r="N55" s="50">
        <v>0</v>
      </c>
      <c r="O55" s="17">
        <f t="shared" si="0"/>
        <v>43</v>
      </c>
      <c r="P55" s="17">
        <f t="shared" si="1"/>
        <v>63</v>
      </c>
      <c r="R55" s="19"/>
      <c r="S55" s="19"/>
      <c r="T55"/>
    </row>
    <row r="56" spans="2:20" ht="23.1" customHeight="1" x14ac:dyDescent="0.25">
      <c r="B56" s="23" t="s">
        <v>83</v>
      </c>
      <c r="C56" s="50">
        <v>50</v>
      </c>
      <c r="D56" s="50">
        <v>0</v>
      </c>
      <c r="E56" s="50">
        <v>4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7">
        <f t="shared" si="0"/>
        <v>56</v>
      </c>
      <c r="P56" s="17">
        <f t="shared" si="1"/>
        <v>78</v>
      </c>
      <c r="R56" s="19"/>
      <c r="S56" s="19"/>
      <c r="T56"/>
    </row>
    <row r="57" spans="2:20" ht="23.1" customHeight="1" x14ac:dyDescent="0.25">
      <c r="B57" s="23" t="s">
        <v>84</v>
      </c>
      <c r="C57" s="50">
        <v>55</v>
      </c>
      <c r="D57" s="50">
        <v>1</v>
      </c>
      <c r="E57" s="50">
        <v>5</v>
      </c>
      <c r="F57" s="50">
        <v>1</v>
      </c>
      <c r="G57" s="50">
        <v>1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26</v>
      </c>
      <c r="N57" s="50">
        <v>0</v>
      </c>
      <c r="O57" s="17">
        <f t="shared" si="0"/>
        <v>68</v>
      </c>
      <c r="P57" s="17">
        <f t="shared" si="1"/>
        <v>94</v>
      </c>
      <c r="R57" s="19"/>
      <c r="S57" s="19"/>
      <c r="T57"/>
    </row>
    <row r="58" spans="2:20" ht="23.1" customHeight="1" x14ac:dyDescent="0.25">
      <c r="B58" s="53" t="s">
        <v>18</v>
      </c>
      <c r="C58" s="16">
        <f t="shared" ref="C58:P58" si="21">SUM(C10:C57)</f>
        <v>1597</v>
      </c>
      <c r="D58" s="16">
        <f t="shared" si="21"/>
        <v>167</v>
      </c>
      <c r="E58" s="16">
        <f t="shared" si="21"/>
        <v>205</v>
      </c>
      <c r="F58" s="16">
        <f t="shared" si="21"/>
        <v>36</v>
      </c>
      <c r="G58" s="16">
        <f t="shared" si="21"/>
        <v>16</v>
      </c>
      <c r="H58" s="16">
        <f t="shared" si="21"/>
        <v>0</v>
      </c>
      <c r="I58" s="16">
        <f t="shared" si="21"/>
        <v>150</v>
      </c>
      <c r="J58" s="16">
        <f t="shared" si="21"/>
        <v>81</v>
      </c>
      <c r="K58" s="16">
        <f t="shared" si="21"/>
        <v>11</v>
      </c>
      <c r="L58" s="16">
        <f t="shared" si="21"/>
        <v>2</v>
      </c>
      <c r="M58" s="16">
        <f t="shared" si="21"/>
        <v>1386</v>
      </c>
      <c r="N58" s="16">
        <f t="shared" si="21"/>
        <v>0</v>
      </c>
      <c r="O58" s="16">
        <f t="shared" si="21"/>
        <v>2265</v>
      </c>
      <c r="P58" s="16">
        <f t="shared" si="21"/>
        <v>3651</v>
      </c>
      <c r="R58" s="19"/>
      <c r="S58" s="19"/>
      <c r="T58"/>
    </row>
    <row r="59" spans="2:20" ht="23.1" customHeight="1" x14ac:dyDescent="0.25">
      <c r="B59" s="53" t="s">
        <v>93</v>
      </c>
      <c r="C59" s="43">
        <f t="shared" ref="C59:N59" si="22">C58/$P$58</f>
        <v>0.43741440701177758</v>
      </c>
      <c r="D59" s="43">
        <f t="shared" si="22"/>
        <v>4.5740892906053134E-2</v>
      </c>
      <c r="E59" s="43">
        <f t="shared" si="22"/>
        <v>5.6149000273897562E-2</v>
      </c>
      <c r="F59" s="43">
        <f t="shared" si="22"/>
        <v>9.8603122432210349E-3</v>
      </c>
      <c r="G59" s="43">
        <f t="shared" si="22"/>
        <v>4.3823609969871266E-3</v>
      </c>
      <c r="H59" s="43">
        <f t="shared" si="22"/>
        <v>0</v>
      </c>
      <c r="I59" s="43">
        <f t="shared" si="22"/>
        <v>4.1084634346754315E-2</v>
      </c>
      <c r="J59" s="43">
        <f t="shared" si="22"/>
        <v>2.2185702547247329E-2</v>
      </c>
      <c r="K59" s="43">
        <f t="shared" si="22"/>
        <v>3.0128731854286495E-3</v>
      </c>
      <c r="L59" s="43">
        <f t="shared" si="22"/>
        <v>5.4779512462339083E-4</v>
      </c>
      <c r="M59" s="43">
        <f t="shared" si="22"/>
        <v>0.37962202136400985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54" t="s">
        <v>94</v>
      </c>
      <c r="C60" s="44">
        <f>C58/$O$58</f>
        <v>0.70507726269315674</v>
      </c>
      <c r="D60" s="44">
        <f t="shared" ref="D60:N60" si="23">D58/$O$58</f>
        <v>7.3730684326710816E-2</v>
      </c>
      <c r="E60" s="44">
        <f t="shared" si="23"/>
        <v>9.0507726269315678E-2</v>
      </c>
      <c r="F60" s="44">
        <f t="shared" si="23"/>
        <v>1.5894039735099338E-2</v>
      </c>
      <c r="G60" s="44">
        <f t="shared" si="23"/>
        <v>7.0640176600441501E-3</v>
      </c>
      <c r="H60" s="44">
        <f t="shared" si="23"/>
        <v>0</v>
      </c>
      <c r="I60" s="44">
        <f t="shared" si="23"/>
        <v>6.6225165562913912E-2</v>
      </c>
      <c r="J60" s="44">
        <f t="shared" si="23"/>
        <v>3.5761589403973511E-2</v>
      </c>
      <c r="K60" s="44">
        <f t="shared" si="23"/>
        <v>4.8565121412803532E-3</v>
      </c>
      <c r="L60" s="44">
        <f t="shared" si="23"/>
        <v>8.8300220750551876E-4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18:20" ht="20.100000000000001" customHeight="1" x14ac:dyDescent="0.25">
      <c r="R81"/>
      <c r="S81" s="19"/>
      <c r="T81" s="19"/>
    </row>
    <row r="82" spans="18:20" ht="20.100000000000001" customHeight="1" x14ac:dyDescent="0.25">
      <c r="R82"/>
      <c r="S82" s="19"/>
      <c r="T82" s="19"/>
    </row>
    <row r="83" spans="18:20" ht="20.100000000000001" customHeight="1" x14ac:dyDescent="0.25">
      <c r="R83"/>
      <c r="S83" s="19"/>
      <c r="T83" s="19"/>
    </row>
    <row r="84" spans="18:20" ht="20.100000000000001" customHeight="1" x14ac:dyDescent="0.25">
      <c r="R84"/>
      <c r="S84" s="19"/>
      <c r="T84" s="19"/>
    </row>
    <row r="85" spans="18:20" ht="20.100000000000001" customHeight="1" x14ac:dyDescent="0.25">
      <c r="R85"/>
      <c r="S85" s="19"/>
      <c r="T85" s="19"/>
    </row>
    <row r="86" spans="18:20" ht="20.100000000000001" customHeight="1" x14ac:dyDescent="0.25">
      <c r="R86"/>
      <c r="S86" s="19"/>
      <c r="T86" s="19"/>
    </row>
    <row r="87" spans="18:20" ht="20.100000000000001" customHeight="1" x14ac:dyDescent="0.25">
      <c r="R87"/>
      <c r="S87" s="19"/>
      <c r="T87" s="19"/>
    </row>
    <row r="88" spans="18:20" ht="20.100000000000001" customHeight="1" x14ac:dyDescent="0.25">
      <c r="R88"/>
      <c r="S88" s="19"/>
      <c r="T88" s="19"/>
    </row>
    <row r="89" spans="18:20" ht="20.100000000000001" customHeight="1" x14ac:dyDescent="0.25">
      <c r="R89"/>
      <c r="S89" s="19"/>
      <c r="T89" s="19"/>
    </row>
    <row r="90" spans="18:20" ht="20.100000000000001" customHeight="1" x14ac:dyDescent="0.25">
      <c r="R90"/>
      <c r="S90" s="19"/>
      <c r="T90" s="19"/>
    </row>
    <row r="91" spans="18:20" ht="20.100000000000001" customHeight="1" x14ac:dyDescent="0.25">
      <c r="R91"/>
      <c r="S91" s="19"/>
      <c r="T91" s="19"/>
    </row>
    <row r="92" spans="18:20" ht="20.100000000000001" customHeight="1" x14ac:dyDescent="0.25">
      <c r="R92"/>
      <c r="S92" s="19"/>
      <c r="T92" s="19"/>
    </row>
    <row r="93" spans="18:20" ht="20.100000000000001" customHeight="1" x14ac:dyDescent="0.25">
      <c r="R93"/>
      <c r="S93" s="19"/>
      <c r="T93" s="19"/>
    </row>
    <row r="94" spans="18:20" ht="20.100000000000001" customHeight="1" x14ac:dyDescent="0.25">
      <c r="R94"/>
      <c r="S94" s="19"/>
      <c r="T94" s="19"/>
    </row>
    <row r="95" spans="18:20" ht="20.100000000000001" customHeight="1" x14ac:dyDescent="0.25">
      <c r="R95"/>
      <c r="S95" s="19"/>
      <c r="T95" s="19"/>
    </row>
    <row r="96" spans="18:20" ht="20.100000000000001" customHeight="1" x14ac:dyDescent="0.25">
      <c r="R96"/>
      <c r="S96" s="19"/>
      <c r="T96" s="19"/>
    </row>
    <row r="97" spans="2:20" ht="20.100000000000001" customHeight="1" x14ac:dyDescent="0.25">
      <c r="R97"/>
      <c r="S97" s="19"/>
      <c r="T97" s="19"/>
    </row>
    <row r="98" spans="2:20" ht="20.100000000000001" customHeight="1" x14ac:dyDescent="0.25">
      <c r="R98"/>
      <c r="S98" s="19"/>
      <c r="T98" s="19"/>
    </row>
    <row r="99" spans="2:20" ht="20.100000000000001" customHeight="1" x14ac:dyDescent="0.25">
      <c r="R99"/>
      <c r="S99" s="19"/>
      <c r="T99" s="19"/>
    </row>
    <row r="100" spans="2:20" ht="20.100000000000001" customHeight="1" x14ac:dyDescent="0.25">
      <c r="R100"/>
      <c r="S100" s="19"/>
      <c r="T100" s="19"/>
    </row>
    <row r="101" spans="2:20" ht="20.100000000000001" customHeight="1" x14ac:dyDescent="0.25">
      <c r="R101"/>
      <c r="S101" s="19"/>
      <c r="T101" s="19"/>
    </row>
    <row r="102" spans="2:20" ht="20.100000000000001" customHeight="1" x14ac:dyDescent="0.25">
      <c r="R102"/>
      <c r="S102" s="19"/>
      <c r="T102" s="19"/>
    </row>
    <row r="103" spans="2:20" ht="20.100000000000001" customHeight="1" x14ac:dyDescent="0.25">
      <c r="R103"/>
      <c r="S103" s="19"/>
      <c r="T103" s="19"/>
    </row>
    <row r="104" spans="2:20" ht="22.5" customHeight="1" x14ac:dyDescent="0.25">
      <c r="R104"/>
      <c r="S104" s="19"/>
      <c r="T104" s="19"/>
    </row>
    <row r="105" spans="2:20" ht="20.100000000000001" customHeight="1" x14ac:dyDescent="0.25">
      <c r="R105"/>
      <c r="S105" s="19"/>
      <c r="T105" s="19"/>
    </row>
    <row r="106" spans="2:20" ht="20.100000000000001" customHeight="1" x14ac:dyDescent="0.25">
      <c r="R106"/>
      <c r="S106" s="19"/>
      <c r="T106" s="19"/>
    </row>
    <row r="107" spans="2:20" ht="20.100000000000001" customHeight="1" x14ac:dyDescent="0.25">
      <c r="R107"/>
      <c r="S107" s="19"/>
      <c r="T107" s="19"/>
    </row>
    <row r="108" spans="2:20" ht="20.100000000000001" customHeight="1" x14ac:dyDescent="0.25">
      <c r="R108"/>
      <c r="S108" s="19"/>
      <c r="T108" s="19"/>
    </row>
    <row r="109" spans="2:20" ht="20.100000000000001" customHeight="1" x14ac:dyDescent="0.25">
      <c r="R109"/>
      <c r="S109" s="19"/>
      <c r="T109" s="19"/>
    </row>
    <row r="110" spans="2:20" ht="20.100000000000001" customHeight="1" x14ac:dyDescent="0.25">
      <c r="R110"/>
      <c r="S110" s="19"/>
      <c r="T110" s="19"/>
    </row>
    <row r="111" spans="2:20" ht="20.100000000000001" customHeight="1" x14ac:dyDescent="0.25">
      <c r="R111"/>
      <c r="S111" s="19"/>
      <c r="T111" s="19"/>
    </row>
    <row r="112" spans="2:20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34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9" t="str">
        <f>'23.09.19 Bweya- Kajansi'!C3:G3</f>
        <v>MCC-C2-STNO 56 -Munyonyo spur</v>
      </c>
      <c r="D3" s="69"/>
      <c r="E3" s="69"/>
      <c r="F3" s="69"/>
      <c r="G3" s="6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71" t="str">
        <f>'23.09.19 Bweya- Kajansi'!G5:H5</f>
        <v>Munyonyo Spur RD</v>
      </c>
      <c r="H5" s="72"/>
      <c r="I5" s="14"/>
      <c r="J5" s="2" t="s">
        <v>5</v>
      </c>
      <c r="K5" s="71" t="str">
        <f>'23.09.19 Bweya- Kajansi'!K5:L5</f>
        <v>Kasoma John Paul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'23.09.19 Bweya- Kajansi'!D6:E6</f>
        <v>BWEYA</v>
      </c>
      <c r="E6" s="72"/>
      <c r="F6" s="2" t="s">
        <v>2</v>
      </c>
      <c r="G6" s="71" t="str">
        <f>'23.09.19 Bweya- Kajansi'!G6:H6</f>
        <v>KAJANSI</v>
      </c>
      <c r="H6" s="72"/>
      <c r="J6" s="2" t="s">
        <v>21</v>
      </c>
      <c r="K6" s="71" t="str">
        <f>'23.09.19 Bweya- Kajansi'!K6:L6</f>
        <v>Beatrice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42</v>
      </c>
      <c r="D10" s="50">
        <v>12</v>
      </c>
      <c r="E10" s="50">
        <v>2</v>
      </c>
      <c r="F10" s="50">
        <v>2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39</v>
      </c>
      <c r="N10" s="50">
        <v>0</v>
      </c>
      <c r="O10" s="15">
        <f t="shared" ref="O10:O57" si="0">SUM(C10:L10,N10)</f>
        <v>60</v>
      </c>
      <c r="P10" s="15">
        <f t="shared" ref="P10:P57" si="1">SUM(C10:N10)</f>
        <v>99</v>
      </c>
      <c r="R10" s="1" t="s">
        <v>6</v>
      </c>
      <c r="S10" s="17">
        <f t="shared" ref="S10:AF10" si="2">SUM(C10:C13)</f>
        <v>133</v>
      </c>
      <c r="T10" s="17">
        <f t="shared" si="2"/>
        <v>39</v>
      </c>
      <c r="U10" s="17">
        <f t="shared" si="2"/>
        <v>7</v>
      </c>
      <c r="V10" s="17">
        <f t="shared" si="2"/>
        <v>14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181</v>
      </c>
      <c r="AD10" s="17">
        <f t="shared" si="2"/>
        <v>0</v>
      </c>
      <c r="AE10" s="31">
        <f t="shared" si="2"/>
        <v>203</v>
      </c>
      <c r="AF10" s="31">
        <f t="shared" si="2"/>
        <v>384</v>
      </c>
    </row>
    <row r="11" spans="2:32" s="6" customFormat="1" ht="23.1" customHeight="1" x14ac:dyDescent="0.25">
      <c r="B11" s="23" t="s">
        <v>38</v>
      </c>
      <c r="C11" s="50">
        <v>32</v>
      </c>
      <c r="D11" s="50">
        <v>8</v>
      </c>
      <c r="E11" s="50">
        <v>3</v>
      </c>
      <c r="F11" s="50">
        <v>2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35</v>
      </c>
      <c r="N11" s="50">
        <v>0</v>
      </c>
      <c r="O11" s="15">
        <f t="shared" si="0"/>
        <v>47</v>
      </c>
      <c r="P11" s="15">
        <f t="shared" si="1"/>
        <v>82</v>
      </c>
      <c r="R11" s="1" t="s">
        <v>7</v>
      </c>
      <c r="S11" s="17">
        <f t="shared" ref="S11:AF11" si="3">SUM(C14:C17)</f>
        <v>114</v>
      </c>
      <c r="T11" s="17">
        <f t="shared" si="3"/>
        <v>35</v>
      </c>
      <c r="U11" s="17">
        <f t="shared" si="3"/>
        <v>15</v>
      </c>
      <c r="V11" s="17">
        <f t="shared" si="3"/>
        <v>7</v>
      </c>
      <c r="W11" s="17">
        <f t="shared" si="3"/>
        <v>1</v>
      </c>
      <c r="X11" s="17">
        <f t="shared" si="3"/>
        <v>2</v>
      </c>
      <c r="Y11" s="17">
        <f t="shared" si="3"/>
        <v>14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202</v>
      </c>
      <c r="AD11" s="17">
        <f t="shared" si="3"/>
        <v>0</v>
      </c>
      <c r="AE11" s="31">
        <f t="shared" si="3"/>
        <v>191</v>
      </c>
      <c r="AF11" s="31">
        <f t="shared" si="3"/>
        <v>393</v>
      </c>
    </row>
    <row r="12" spans="2:32" ht="23.1" customHeight="1" x14ac:dyDescent="0.25">
      <c r="B12" s="23" t="s">
        <v>39</v>
      </c>
      <c r="C12" s="50">
        <v>28</v>
      </c>
      <c r="D12" s="50">
        <v>14</v>
      </c>
      <c r="E12" s="50">
        <v>1</v>
      </c>
      <c r="F12" s="50">
        <v>5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60</v>
      </c>
      <c r="N12" s="50">
        <v>0</v>
      </c>
      <c r="O12" s="15">
        <f t="shared" si="0"/>
        <v>50</v>
      </c>
      <c r="P12" s="15">
        <f t="shared" si="1"/>
        <v>110</v>
      </c>
      <c r="R12" s="1" t="s">
        <v>8</v>
      </c>
      <c r="S12" s="17">
        <f t="shared" ref="S12:AF12" si="4">SUM(C18:C21)</f>
        <v>94</v>
      </c>
      <c r="T12" s="17">
        <f t="shared" si="4"/>
        <v>27</v>
      </c>
      <c r="U12" s="17">
        <f t="shared" si="4"/>
        <v>17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14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120</v>
      </c>
      <c r="AD12" s="17">
        <f t="shared" si="4"/>
        <v>0</v>
      </c>
      <c r="AE12" s="31">
        <f t="shared" si="4"/>
        <v>158</v>
      </c>
      <c r="AF12" s="31">
        <f t="shared" si="4"/>
        <v>278</v>
      </c>
    </row>
    <row r="13" spans="2:32" ht="23.1" customHeight="1" x14ac:dyDescent="0.25">
      <c r="B13" s="23" t="s">
        <v>40</v>
      </c>
      <c r="C13" s="50">
        <v>31</v>
      </c>
      <c r="D13" s="50">
        <v>5</v>
      </c>
      <c r="E13" s="50">
        <v>1</v>
      </c>
      <c r="F13" s="50">
        <v>5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47</v>
      </c>
      <c r="N13" s="50">
        <v>0</v>
      </c>
      <c r="O13" s="15">
        <f t="shared" si="0"/>
        <v>46</v>
      </c>
      <c r="P13" s="15">
        <f t="shared" si="1"/>
        <v>93</v>
      </c>
      <c r="R13" s="1" t="s">
        <v>9</v>
      </c>
      <c r="S13" s="17">
        <f t="shared" ref="S13:AF13" si="5">SUM(C22:C25)</f>
        <v>82</v>
      </c>
      <c r="T13" s="17">
        <f t="shared" si="5"/>
        <v>29</v>
      </c>
      <c r="U13" s="17">
        <f t="shared" si="5"/>
        <v>17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140</v>
      </c>
      <c r="AD13" s="17">
        <f t="shared" si="5"/>
        <v>0</v>
      </c>
      <c r="AE13" s="31">
        <f t="shared" si="5"/>
        <v>152</v>
      </c>
      <c r="AF13" s="31">
        <f t="shared" si="5"/>
        <v>292</v>
      </c>
    </row>
    <row r="14" spans="2:32" ht="23.1" customHeight="1" x14ac:dyDescent="0.25">
      <c r="B14" s="23" t="s">
        <v>41</v>
      </c>
      <c r="C14" s="50">
        <v>27</v>
      </c>
      <c r="D14" s="50">
        <v>6</v>
      </c>
      <c r="E14" s="50">
        <v>2</v>
      </c>
      <c r="F14" s="50">
        <v>5</v>
      </c>
      <c r="G14" s="50">
        <v>0</v>
      </c>
      <c r="H14" s="50">
        <v>2</v>
      </c>
      <c r="I14" s="50">
        <v>8</v>
      </c>
      <c r="J14" s="50">
        <v>1</v>
      </c>
      <c r="K14" s="50">
        <v>0</v>
      </c>
      <c r="L14" s="50">
        <v>0</v>
      </c>
      <c r="M14" s="50">
        <v>47</v>
      </c>
      <c r="N14" s="50">
        <v>0</v>
      </c>
      <c r="O14" s="15">
        <f t="shared" si="0"/>
        <v>51</v>
      </c>
      <c r="P14" s="15">
        <f t="shared" si="1"/>
        <v>98</v>
      </c>
      <c r="R14" s="1" t="s">
        <v>10</v>
      </c>
      <c r="S14" s="17">
        <f t="shared" ref="S14:AF14" si="6">SUM(C26:C29)</f>
        <v>89</v>
      </c>
      <c r="T14" s="17">
        <f t="shared" si="6"/>
        <v>16</v>
      </c>
      <c r="U14" s="17">
        <f t="shared" si="6"/>
        <v>19</v>
      </c>
      <c r="V14" s="17">
        <f t="shared" si="6"/>
        <v>6</v>
      </c>
      <c r="W14" s="17">
        <f t="shared" si="6"/>
        <v>2</v>
      </c>
      <c r="X14" s="17">
        <f t="shared" si="6"/>
        <v>0</v>
      </c>
      <c r="Y14" s="17">
        <f t="shared" si="6"/>
        <v>15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130</v>
      </c>
      <c r="AD14" s="17">
        <f t="shared" si="6"/>
        <v>0</v>
      </c>
      <c r="AE14" s="31">
        <f t="shared" si="6"/>
        <v>150</v>
      </c>
      <c r="AF14" s="31">
        <f t="shared" si="6"/>
        <v>280</v>
      </c>
    </row>
    <row r="15" spans="2:32" ht="23.1" customHeight="1" x14ac:dyDescent="0.25">
      <c r="B15" s="23" t="s">
        <v>42</v>
      </c>
      <c r="C15" s="50">
        <v>25</v>
      </c>
      <c r="D15" s="50">
        <v>13</v>
      </c>
      <c r="E15" s="50">
        <v>5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48</v>
      </c>
      <c r="N15" s="50">
        <v>0</v>
      </c>
      <c r="O15" s="15">
        <f t="shared" si="0"/>
        <v>45</v>
      </c>
      <c r="P15" s="15">
        <f t="shared" si="1"/>
        <v>93</v>
      </c>
      <c r="R15" s="1" t="s">
        <v>11</v>
      </c>
      <c r="S15" s="17">
        <f t="shared" ref="S15:AF15" si="7">SUM(C30:C33)</f>
        <v>86</v>
      </c>
      <c r="T15" s="17">
        <f t="shared" si="7"/>
        <v>33</v>
      </c>
      <c r="U15" s="17">
        <f t="shared" si="7"/>
        <v>15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28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116</v>
      </c>
      <c r="AD15" s="17">
        <f t="shared" si="7"/>
        <v>0</v>
      </c>
      <c r="AE15" s="31">
        <f t="shared" si="7"/>
        <v>168</v>
      </c>
      <c r="AF15" s="31">
        <f t="shared" si="7"/>
        <v>284</v>
      </c>
    </row>
    <row r="16" spans="2:32" ht="23.1" customHeight="1" x14ac:dyDescent="0.25">
      <c r="B16" s="23" t="s">
        <v>43</v>
      </c>
      <c r="C16" s="50">
        <v>30</v>
      </c>
      <c r="D16" s="50">
        <v>11</v>
      </c>
      <c r="E16" s="50">
        <v>6</v>
      </c>
      <c r="F16" s="50">
        <v>2</v>
      </c>
      <c r="G16" s="50">
        <v>1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56</v>
      </c>
      <c r="N16" s="50">
        <v>0</v>
      </c>
      <c r="O16" s="15">
        <f t="shared" si="0"/>
        <v>54</v>
      </c>
      <c r="P16" s="15">
        <f t="shared" si="1"/>
        <v>110</v>
      </c>
      <c r="R16" s="1" t="s">
        <v>12</v>
      </c>
      <c r="S16" s="17">
        <f t="shared" ref="S16:AF16" si="8">SUM(C34:C37)</f>
        <v>95</v>
      </c>
      <c r="T16" s="17">
        <f t="shared" si="8"/>
        <v>46</v>
      </c>
      <c r="U16" s="17">
        <f t="shared" si="8"/>
        <v>18</v>
      </c>
      <c r="V16" s="17">
        <f t="shared" si="8"/>
        <v>7</v>
      </c>
      <c r="W16" s="17">
        <f t="shared" si="8"/>
        <v>3</v>
      </c>
      <c r="X16" s="17">
        <f t="shared" si="8"/>
        <v>0</v>
      </c>
      <c r="Y16" s="17">
        <f t="shared" si="8"/>
        <v>28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107</v>
      </c>
      <c r="AD16" s="17">
        <f t="shared" si="8"/>
        <v>0</v>
      </c>
      <c r="AE16" s="31">
        <f t="shared" si="8"/>
        <v>201</v>
      </c>
      <c r="AF16" s="31">
        <f t="shared" si="8"/>
        <v>308</v>
      </c>
    </row>
    <row r="17" spans="2:32" ht="23.1" customHeight="1" x14ac:dyDescent="0.25">
      <c r="B17" s="23" t="s">
        <v>44</v>
      </c>
      <c r="C17" s="50">
        <v>32</v>
      </c>
      <c r="D17" s="50">
        <v>5</v>
      </c>
      <c r="E17" s="50">
        <v>2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1</v>
      </c>
      <c r="L17" s="50">
        <v>0</v>
      </c>
      <c r="M17" s="50">
        <v>51</v>
      </c>
      <c r="N17" s="50">
        <v>0</v>
      </c>
      <c r="O17" s="15">
        <f t="shared" si="0"/>
        <v>41</v>
      </c>
      <c r="P17" s="15">
        <f t="shared" si="1"/>
        <v>92</v>
      </c>
      <c r="R17" s="1" t="s">
        <v>13</v>
      </c>
      <c r="S17" s="17">
        <f t="shared" ref="S17:AF17" si="9">SUM(C38:C41)</f>
        <v>105</v>
      </c>
      <c r="T17" s="17">
        <f t="shared" si="9"/>
        <v>29</v>
      </c>
      <c r="U17" s="17">
        <f t="shared" si="9"/>
        <v>12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21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110</v>
      </c>
      <c r="AD17" s="17">
        <f t="shared" si="9"/>
        <v>0</v>
      </c>
      <c r="AE17" s="31">
        <f t="shared" si="9"/>
        <v>170</v>
      </c>
      <c r="AF17" s="31">
        <f t="shared" si="9"/>
        <v>280</v>
      </c>
    </row>
    <row r="18" spans="2:32" ht="23.1" customHeight="1" x14ac:dyDescent="0.25">
      <c r="B18" s="23" t="s">
        <v>45</v>
      </c>
      <c r="C18" s="50">
        <v>20</v>
      </c>
      <c r="D18" s="50">
        <v>5</v>
      </c>
      <c r="E18" s="50">
        <v>6</v>
      </c>
      <c r="F18" s="50">
        <v>2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27</v>
      </c>
      <c r="N18" s="50">
        <v>0</v>
      </c>
      <c r="O18" s="15">
        <f t="shared" si="0"/>
        <v>36</v>
      </c>
      <c r="P18" s="15">
        <f t="shared" si="1"/>
        <v>63</v>
      </c>
      <c r="R18" s="1" t="s">
        <v>14</v>
      </c>
      <c r="S18" s="17">
        <f t="shared" ref="S18:AF18" si="10">SUM(C42:C45)</f>
        <v>96</v>
      </c>
      <c r="T18" s="17">
        <f t="shared" si="10"/>
        <v>30</v>
      </c>
      <c r="U18" s="17">
        <f t="shared" si="10"/>
        <v>13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108</v>
      </c>
      <c r="AD18" s="17">
        <f t="shared" si="10"/>
        <v>0</v>
      </c>
      <c r="AE18" s="31">
        <f t="shared" si="10"/>
        <v>164</v>
      </c>
      <c r="AF18" s="31">
        <f t="shared" si="10"/>
        <v>272</v>
      </c>
    </row>
    <row r="19" spans="2:32" ht="23.1" customHeight="1" x14ac:dyDescent="0.25">
      <c r="B19" s="23" t="s">
        <v>46</v>
      </c>
      <c r="C19" s="50">
        <v>13</v>
      </c>
      <c r="D19" s="50">
        <v>6</v>
      </c>
      <c r="E19" s="50">
        <v>4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33</v>
      </c>
      <c r="N19" s="50">
        <v>0</v>
      </c>
      <c r="O19" s="15">
        <f t="shared" si="0"/>
        <v>25</v>
      </c>
      <c r="P19" s="15">
        <f t="shared" si="1"/>
        <v>58</v>
      </c>
      <c r="R19" s="1" t="s">
        <v>15</v>
      </c>
      <c r="S19" s="17">
        <f t="shared" ref="S19:AF19" si="11">SUM(C46:C49)</f>
        <v>116</v>
      </c>
      <c r="T19" s="17">
        <f t="shared" si="11"/>
        <v>35</v>
      </c>
      <c r="U19" s="17">
        <f t="shared" si="11"/>
        <v>16</v>
      </c>
      <c r="V19" s="17">
        <f t="shared" si="11"/>
        <v>11</v>
      </c>
      <c r="W19" s="17">
        <f t="shared" si="11"/>
        <v>1</v>
      </c>
      <c r="X19" s="17">
        <f t="shared" si="11"/>
        <v>1</v>
      </c>
      <c r="Y19" s="17">
        <f t="shared" si="11"/>
        <v>18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138</v>
      </c>
      <c r="AD19" s="17">
        <f t="shared" si="11"/>
        <v>0</v>
      </c>
      <c r="AE19" s="31">
        <f t="shared" si="11"/>
        <v>202</v>
      </c>
      <c r="AF19" s="31">
        <f t="shared" si="11"/>
        <v>340</v>
      </c>
    </row>
    <row r="20" spans="2:32" ht="23.1" customHeight="1" x14ac:dyDescent="0.25">
      <c r="B20" s="23" t="s">
        <v>47</v>
      </c>
      <c r="C20" s="50">
        <v>32</v>
      </c>
      <c r="D20" s="50">
        <v>7</v>
      </c>
      <c r="E20" s="50">
        <v>4</v>
      </c>
      <c r="F20" s="50">
        <v>0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29</v>
      </c>
      <c r="N20" s="50">
        <v>0</v>
      </c>
      <c r="O20" s="15">
        <f t="shared" si="0"/>
        <v>48</v>
      </c>
      <c r="P20" s="15">
        <f t="shared" si="1"/>
        <v>77</v>
      </c>
      <c r="R20" s="1" t="s">
        <v>16</v>
      </c>
      <c r="S20" s="17">
        <f t="shared" ref="S20:AF20" si="12">SUM(C50:C53)</f>
        <v>123</v>
      </c>
      <c r="T20" s="17">
        <f t="shared" si="12"/>
        <v>52</v>
      </c>
      <c r="U20" s="17">
        <f t="shared" si="12"/>
        <v>15</v>
      </c>
      <c r="V20" s="17">
        <f t="shared" si="12"/>
        <v>11</v>
      </c>
      <c r="W20" s="17">
        <f t="shared" si="12"/>
        <v>3</v>
      </c>
      <c r="X20" s="17">
        <f t="shared" si="12"/>
        <v>2</v>
      </c>
      <c r="Y20" s="17">
        <f t="shared" si="12"/>
        <v>17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151</v>
      </c>
      <c r="AD20" s="17">
        <f t="shared" si="12"/>
        <v>0</v>
      </c>
      <c r="AE20" s="31">
        <f t="shared" si="12"/>
        <v>224</v>
      </c>
      <c r="AF20" s="31">
        <f t="shared" si="12"/>
        <v>375</v>
      </c>
    </row>
    <row r="21" spans="2:32" ht="23.1" customHeight="1" x14ac:dyDescent="0.25">
      <c r="B21" s="23" t="s">
        <v>48</v>
      </c>
      <c r="C21" s="50">
        <v>29</v>
      </c>
      <c r="D21" s="50">
        <v>9</v>
      </c>
      <c r="E21" s="50">
        <v>3</v>
      </c>
      <c r="F21" s="50">
        <v>2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0</v>
      </c>
      <c r="M21" s="50">
        <v>31</v>
      </c>
      <c r="N21" s="50">
        <v>0</v>
      </c>
      <c r="O21" s="15">
        <f t="shared" si="0"/>
        <v>49</v>
      </c>
      <c r="P21" s="15">
        <f t="shared" si="1"/>
        <v>80</v>
      </c>
      <c r="R21" s="36" t="s">
        <v>20</v>
      </c>
      <c r="S21" s="34">
        <f t="shared" ref="S21:AF21" si="13">SUM(C54:C57)</f>
        <v>178</v>
      </c>
      <c r="T21" s="17">
        <f t="shared" si="13"/>
        <v>42</v>
      </c>
      <c r="U21" s="17">
        <f t="shared" si="13"/>
        <v>22</v>
      </c>
      <c r="V21" s="17">
        <f t="shared" si="13"/>
        <v>12</v>
      </c>
      <c r="W21" s="17">
        <f t="shared" si="13"/>
        <v>3</v>
      </c>
      <c r="X21" s="17">
        <f t="shared" si="13"/>
        <v>0</v>
      </c>
      <c r="Y21" s="17">
        <f t="shared" si="13"/>
        <v>18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196</v>
      </c>
      <c r="AD21" s="17">
        <f t="shared" si="13"/>
        <v>0</v>
      </c>
      <c r="AE21" s="31">
        <f t="shared" si="13"/>
        <v>277</v>
      </c>
      <c r="AF21" s="31">
        <f t="shared" si="13"/>
        <v>473</v>
      </c>
    </row>
    <row r="22" spans="2:32" ht="23.1" customHeight="1" x14ac:dyDescent="0.25">
      <c r="B22" s="23" t="s">
        <v>49</v>
      </c>
      <c r="C22" s="50">
        <v>22</v>
      </c>
      <c r="D22" s="50">
        <v>3</v>
      </c>
      <c r="E22" s="50">
        <v>3</v>
      </c>
      <c r="F22" s="50">
        <v>4</v>
      </c>
      <c r="G22" s="50">
        <v>0</v>
      </c>
      <c r="H22" s="50">
        <v>0</v>
      </c>
      <c r="I22" s="50">
        <v>6</v>
      </c>
      <c r="J22" s="50">
        <v>1</v>
      </c>
      <c r="K22" s="50">
        <v>0</v>
      </c>
      <c r="L22" s="50">
        <v>0</v>
      </c>
      <c r="M22" s="50">
        <v>28</v>
      </c>
      <c r="N22" s="50">
        <v>0</v>
      </c>
      <c r="O22" s="15">
        <f t="shared" si="0"/>
        <v>39</v>
      </c>
      <c r="P22" s="15">
        <f t="shared" si="1"/>
        <v>67</v>
      </c>
      <c r="R22" s="38" t="s">
        <v>90</v>
      </c>
      <c r="S22" s="39">
        <f>MAX(S10:S12)</f>
        <v>133</v>
      </c>
      <c r="T22" s="39">
        <f t="shared" ref="T22:AF22" si="14">MAX(T10:T12)</f>
        <v>39</v>
      </c>
      <c r="U22" s="39">
        <f t="shared" si="14"/>
        <v>17</v>
      </c>
      <c r="V22" s="39">
        <f t="shared" si="14"/>
        <v>14</v>
      </c>
      <c r="W22" s="39">
        <f t="shared" si="14"/>
        <v>1</v>
      </c>
      <c r="X22" s="39">
        <f t="shared" si="14"/>
        <v>2</v>
      </c>
      <c r="Y22" s="39">
        <f t="shared" si="14"/>
        <v>14</v>
      </c>
      <c r="Z22" s="39">
        <f t="shared" si="14"/>
        <v>2</v>
      </c>
      <c r="AA22" s="39">
        <f t="shared" si="14"/>
        <v>1</v>
      </c>
      <c r="AB22" s="39">
        <f t="shared" si="14"/>
        <v>0</v>
      </c>
      <c r="AC22" s="39">
        <f t="shared" si="14"/>
        <v>202</v>
      </c>
      <c r="AD22" s="39">
        <f t="shared" si="14"/>
        <v>0</v>
      </c>
      <c r="AE22" s="40">
        <f t="shared" si="14"/>
        <v>203</v>
      </c>
      <c r="AF22" s="40">
        <f t="shared" si="14"/>
        <v>393</v>
      </c>
    </row>
    <row r="23" spans="2:32" ht="23.1" customHeight="1" x14ac:dyDescent="0.25">
      <c r="B23" s="23" t="s">
        <v>50</v>
      </c>
      <c r="C23" s="50">
        <v>18</v>
      </c>
      <c r="D23" s="50">
        <v>14</v>
      </c>
      <c r="E23" s="50">
        <v>4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41</v>
      </c>
      <c r="N23" s="50">
        <v>0</v>
      </c>
      <c r="O23" s="15">
        <f t="shared" si="0"/>
        <v>38</v>
      </c>
      <c r="P23" s="15">
        <f t="shared" si="1"/>
        <v>79</v>
      </c>
      <c r="R23" s="38" t="s">
        <v>91</v>
      </c>
      <c r="S23" s="39">
        <f>MAX(S13:S18)</f>
        <v>105</v>
      </c>
      <c r="T23" s="39">
        <f t="shared" ref="T23:AF23" si="15">MAX(T13:T18)</f>
        <v>46</v>
      </c>
      <c r="U23" s="39">
        <f t="shared" si="15"/>
        <v>19</v>
      </c>
      <c r="V23" s="39">
        <f t="shared" si="15"/>
        <v>10</v>
      </c>
      <c r="W23" s="39">
        <f t="shared" si="15"/>
        <v>3</v>
      </c>
      <c r="X23" s="39">
        <f t="shared" si="15"/>
        <v>0</v>
      </c>
      <c r="Y23" s="39">
        <f t="shared" si="15"/>
        <v>28</v>
      </c>
      <c r="Z23" s="39">
        <f t="shared" si="15"/>
        <v>4</v>
      </c>
      <c r="AA23" s="39">
        <f t="shared" si="15"/>
        <v>0</v>
      </c>
      <c r="AB23" s="39">
        <f t="shared" si="15"/>
        <v>0</v>
      </c>
      <c r="AC23" s="39">
        <f t="shared" si="15"/>
        <v>140</v>
      </c>
      <c r="AD23" s="39">
        <f t="shared" si="15"/>
        <v>0</v>
      </c>
      <c r="AE23" s="40">
        <f t="shared" si="15"/>
        <v>201</v>
      </c>
      <c r="AF23" s="40">
        <f t="shared" si="15"/>
        <v>308</v>
      </c>
    </row>
    <row r="24" spans="2:32" ht="23.1" customHeight="1" x14ac:dyDescent="0.25">
      <c r="B24" s="23" t="s">
        <v>51</v>
      </c>
      <c r="C24" s="50">
        <v>24</v>
      </c>
      <c r="D24" s="50">
        <v>5</v>
      </c>
      <c r="E24" s="50">
        <v>9</v>
      </c>
      <c r="F24" s="50">
        <v>1</v>
      </c>
      <c r="G24" s="50">
        <v>0</v>
      </c>
      <c r="H24" s="50">
        <v>0</v>
      </c>
      <c r="I24" s="50">
        <v>4</v>
      </c>
      <c r="J24" s="50">
        <v>1</v>
      </c>
      <c r="K24" s="50">
        <v>0</v>
      </c>
      <c r="L24" s="50">
        <v>0</v>
      </c>
      <c r="M24" s="50">
        <v>41</v>
      </c>
      <c r="N24" s="50">
        <v>0</v>
      </c>
      <c r="O24" s="15">
        <f t="shared" si="0"/>
        <v>44</v>
      </c>
      <c r="P24" s="15">
        <f t="shared" si="1"/>
        <v>85</v>
      </c>
      <c r="R24" s="38" t="s">
        <v>92</v>
      </c>
      <c r="S24" s="39">
        <f>MAX(S19:S21)</f>
        <v>178</v>
      </c>
      <c r="T24" s="39">
        <f t="shared" ref="T24:AF24" si="16">MAX(T19:T21)</f>
        <v>52</v>
      </c>
      <c r="U24" s="39">
        <f t="shared" si="16"/>
        <v>22</v>
      </c>
      <c r="V24" s="39">
        <f t="shared" si="16"/>
        <v>12</v>
      </c>
      <c r="W24" s="39">
        <f t="shared" si="16"/>
        <v>3</v>
      </c>
      <c r="X24" s="39">
        <f t="shared" si="16"/>
        <v>2</v>
      </c>
      <c r="Y24" s="39">
        <f t="shared" si="16"/>
        <v>18</v>
      </c>
      <c r="Z24" s="39">
        <f t="shared" si="16"/>
        <v>4</v>
      </c>
      <c r="AA24" s="39">
        <f t="shared" si="16"/>
        <v>0</v>
      </c>
      <c r="AB24" s="39">
        <f t="shared" si="16"/>
        <v>1</v>
      </c>
      <c r="AC24" s="39">
        <f t="shared" si="16"/>
        <v>196</v>
      </c>
      <c r="AD24" s="39">
        <f t="shared" si="16"/>
        <v>0</v>
      </c>
      <c r="AE24" s="40">
        <f t="shared" si="16"/>
        <v>277</v>
      </c>
      <c r="AF24" s="40">
        <f t="shared" si="16"/>
        <v>473</v>
      </c>
    </row>
    <row r="25" spans="2:32" ht="23.1" customHeight="1" x14ac:dyDescent="0.25">
      <c r="B25" s="23" t="s">
        <v>52</v>
      </c>
      <c r="C25" s="50">
        <v>18</v>
      </c>
      <c r="D25" s="50">
        <v>7</v>
      </c>
      <c r="E25" s="50">
        <v>1</v>
      </c>
      <c r="F25" s="50">
        <v>0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31</v>
      </c>
      <c r="P25" s="15">
        <f t="shared" si="1"/>
        <v>61</v>
      </c>
      <c r="R25" s="37" t="s">
        <v>85</v>
      </c>
      <c r="S25" s="35">
        <f t="shared" ref="S25:AF25" si="17">SUM(S10:S12)</f>
        <v>341</v>
      </c>
      <c r="T25" s="16">
        <f t="shared" si="17"/>
        <v>101</v>
      </c>
      <c r="U25" s="16">
        <f t="shared" si="17"/>
        <v>39</v>
      </c>
      <c r="V25" s="16">
        <f t="shared" si="17"/>
        <v>25</v>
      </c>
      <c r="W25" s="16">
        <f t="shared" si="17"/>
        <v>1</v>
      </c>
      <c r="X25" s="16">
        <f t="shared" si="17"/>
        <v>2</v>
      </c>
      <c r="Y25" s="16">
        <f t="shared" si="17"/>
        <v>37</v>
      </c>
      <c r="Z25" s="16">
        <f t="shared" si="17"/>
        <v>5</v>
      </c>
      <c r="AA25" s="16">
        <f t="shared" si="17"/>
        <v>1</v>
      </c>
      <c r="AB25" s="16">
        <f t="shared" si="17"/>
        <v>0</v>
      </c>
      <c r="AC25" s="16">
        <f t="shared" si="17"/>
        <v>503</v>
      </c>
      <c r="AD25" s="16">
        <f t="shared" si="17"/>
        <v>0</v>
      </c>
      <c r="AE25" s="32">
        <f t="shared" si="17"/>
        <v>552</v>
      </c>
      <c r="AF25" s="32">
        <f t="shared" si="17"/>
        <v>1055</v>
      </c>
    </row>
    <row r="26" spans="2:32" ht="23.1" customHeight="1" x14ac:dyDescent="0.25">
      <c r="B26" s="23" t="s">
        <v>53</v>
      </c>
      <c r="C26" s="50">
        <v>19</v>
      </c>
      <c r="D26" s="50">
        <v>4</v>
      </c>
      <c r="E26" s="50">
        <v>5</v>
      </c>
      <c r="F26" s="50">
        <v>1</v>
      </c>
      <c r="G26" s="50">
        <v>2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32</v>
      </c>
      <c r="P26" s="15">
        <f t="shared" si="1"/>
        <v>62</v>
      </c>
      <c r="R26" s="28" t="s">
        <v>86</v>
      </c>
      <c r="S26" s="16">
        <f t="shared" ref="S26:AF26" si="18">SUM(S13:S18)</f>
        <v>553</v>
      </c>
      <c r="T26" s="16">
        <f t="shared" si="18"/>
        <v>183</v>
      </c>
      <c r="U26" s="16">
        <f t="shared" si="18"/>
        <v>94</v>
      </c>
      <c r="V26" s="16">
        <f t="shared" si="18"/>
        <v>35</v>
      </c>
      <c r="W26" s="16">
        <f t="shared" si="18"/>
        <v>5</v>
      </c>
      <c r="X26" s="16">
        <f t="shared" si="18"/>
        <v>0</v>
      </c>
      <c r="Y26" s="16">
        <f t="shared" si="18"/>
        <v>120</v>
      </c>
      <c r="Z26" s="16">
        <f t="shared" si="18"/>
        <v>15</v>
      </c>
      <c r="AA26" s="16">
        <f t="shared" si="18"/>
        <v>0</v>
      </c>
      <c r="AB26" s="16">
        <f t="shared" si="18"/>
        <v>0</v>
      </c>
      <c r="AC26" s="16">
        <f t="shared" si="18"/>
        <v>711</v>
      </c>
      <c r="AD26" s="16">
        <f t="shared" si="18"/>
        <v>0</v>
      </c>
      <c r="AE26" s="32">
        <f t="shared" si="18"/>
        <v>1005</v>
      </c>
      <c r="AF26" s="32">
        <f t="shared" si="18"/>
        <v>1716</v>
      </c>
    </row>
    <row r="27" spans="2:32" ht="23.1" customHeight="1" x14ac:dyDescent="0.25">
      <c r="B27" s="23" t="s">
        <v>54</v>
      </c>
      <c r="C27" s="50">
        <v>36</v>
      </c>
      <c r="D27" s="50">
        <v>7</v>
      </c>
      <c r="E27" s="50">
        <v>4</v>
      </c>
      <c r="F27" s="50">
        <v>0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51</v>
      </c>
      <c r="P27" s="15">
        <f t="shared" si="1"/>
        <v>96</v>
      </c>
      <c r="R27" s="29" t="s">
        <v>87</v>
      </c>
      <c r="S27" s="16">
        <f t="shared" ref="S27:AF27" si="19">SUM(S19:S21)</f>
        <v>417</v>
      </c>
      <c r="T27" s="16">
        <f t="shared" si="19"/>
        <v>129</v>
      </c>
      <c r="U27" s="16">
        <f t="shared" si="19"/>
        <v>53</v>
      </c>
      <c r="V27" s="16">
        <f t="shared" si="19"/>
        <v>34</v>
      </c>
      <c r="W27" s="16">
        <f t="shared" si="19"/>
        <v>7</v>
      </c>
      <c r="X27" s="16">
        <f t="shared" si="19"/>
        <v>3</v>
      </c>
      <c r="Y27" s="16">
        <f t="shared" si="19"/>
        <v>53</v>
      </c>
      <c r="Z27" s="16">
        <f t="shared" si="19"/>
        <v>5</v>
      </c>
      <c r="AA27" s="16">
        <f t="shared" si="19"/>
        <v>0</v>
      </c>
      <c r="AB27" s="16">
        <f t="shared" si="19"/>
        <v>2</v>
      </c>
      <c r="AC27" s="16">
        <f t="shared" si="19"/>
        <v>485</v>
      </c>
      <c r="AD27" s="16">
        <f t="shared" si="19"/>
        <v>0</v>
      </c>
      <c r="AE27" s="32">
        <f t="shared" si="19"/>
        <v>703</v>
      </c>
      <c r="AF27" s="32">
        <f t="shared" si="19"/>
        <v>1188</v>
      </c>
    </row>
    <row r="28" spans="2:32" ht="23.1" customHeight="1" x14ac:dyDescent="0.25">
      <c r="B28" s="23" t="s">
        <v>55</v>
      </c>
      <c r="C28" s="50">
        <v>9</v>
      </c>
      <c r="D28" s="50">
        <v>2</v>
      </c>
      <c r="E28" s="50">
        <v>4</v>
      </c>
      <c r="F28" s="50">
        <v>1</v>
      </c>
      <c r="G28" s="50">
        <v>0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33</v>
      </c>
      <c r="N28" s="50">
        <v>0</v>
      </c>
      <c r="O28" s="15">
        <f t="shared" si="0"/>
        <v>19</v>
      </c>
      <c r="P28" s="15">
        <f t="shared" si="1"/>
        <v>52</v>
      </c>
      <c r="R28" s="5" t="s">
        <v>17</v>
      </c>
      <c r="S28" s="16">
        <f t="shared" ref="S28:AF28" si="20">SUM(S10:S21)</f>
        <v>1311</v>
      </c>
      <c r="T28" s="16">
        <f t="shared" si="20"/>
        <v>413</v>
      </c>
      <c r="U28" s="16">
        <f t="shared" si="20"/>
        <v>186</v>
      </c>
      <c r="V28" s="16">
        <f t="shared" si="20"/>
        <v>94</v>
      </c>
      <c r="W28" s="16">
        <f t="shared" si="20"/>
        <v>13</v>
      </c>
      <c r="X28" s="16">
        <f t="shared" si="20"/>
        <v>5</v>
      </c>
      <c r="Y28" s="16">
        <f t="shared" si="20"/>
        <v>210</v>
      </c>
      <c r="Z28" s="16">
        <f t="shared" si="20"/>
        <v>25</v>
      </c>
      <c r="AA28" s="16">
        <f t="shared" si="20"/>
        <v>1</v>
      </c>
      <c r="AB28" s="16">
        <f t="shared" si="20"/>
        <v>2</v>
      </c>
      <c r="AC28" s="16">
        <f t="shared" si="20"/>
        <v>1699</v>
      </c>
      <c r="AD28" s="16">
        <f t="shared" si="20"/>
        <v>0</v>
      </c>
      <c r="AE28" s="32">
        <f t="shared" si="20"/>
        <v>2260</v>
      </c>
      <c r="AF28" s="32">
        <f t="shared" si="20"/>
        <v>3959</v>
      </c>
    </row>
    <row r="29" spans="2:32" ht="23.1" customHeight="1" x14ac:dyDescent="0.25">
      <c r="B29" s="23" t="s">
        <v>56</v>
      </c>
      <c r="C29" s="50">
        <v>25</v>
      </c>
      <c r="D29" s="50">
        <v>3</v>
      </c>
      <c r="E29" s="50">
        <v>6</v>
      </c>
      <c r="F29" s="50">
        <v>4</v>
      </c>
      <c r="G29" s="50">
        <v>0</v>
      </c>
      <c r="H29" s="50">
        <v>0</v>
      </c>
      <c r="I29" s="50">
        <v>10</v>
      </c>
      <c r="J29" s="50">
        <v>0</v>
      </c>
      <c r="K29" s="50">
        <v>0</v>
      </c>
      <c r="L29" s="50">
        <v>0</v>
      </c>
      <c r="M29" s="50">
        <v>22</v>
      </c>
      <c r="N29" s="50">
        <v>0</v>
      </c>
      <c r="O29" s="15">
        <f t="shared" si="0"/>
        <v>48</v>
      </c>
      <c r="P29" s="15">
        <f t="shared" si="1"/>
        <v>70</v>
      </c>
      <c r="R29"/>
      <c r="S29" s="20"/>
      <c r="T29" s="19"/>
    </row>
    <row r="30" spans="2:32" ht="23.1" customHeight="1" x14ac:dyDescent="0.25">
      <c r="B30" s="23" t="s">
        <v>57</v>
      </c>
      <c r="C30" s="50">
        <v>22</v>
      </c>
      <c r="D30" s="50">
        <v>10</v>
      </c>
      <c r="E30" s="50">
        <v>5</v>
      </c>
      <c r="F30" s="50">
        <v>1</v>
      </c>
      <c r="G30" s="50">
        <v>0</v>
      </c>
      <c r="H30" s="50">
        <v>0</v>
      </c>
      <c r="I30" s="50">
        <v>6</v>
      </c>
      <c r="J30" s="50">
        <v>0</v>
      </c>
      <c r="K30" s="50">
        <v>0</v>
      </c>
      <c r="L30" s="50">
        <v>0</v>
      </c>
      <c r="M30" s="50">
        <v>38</v>
      </c>
      <c r="N30" s="50">
        <v>0</v>
      </c>
      <c r="O30" s="15">
        <f t="shared" si="0"/>
        <v>44</v>
      </c>
      <c r="P30" s="15">
        <f t="shared" si="1"/>
        <v>82</v>
      </c>
    </row>
    <row r="31" spans="2:32" ht="23.1" customHeight="1" x14ac:dyDescent="0.25">
      <c r="B31" s="24" t="s">
        <v>58</v>
      </c>
      <c r="C31" s="50">
        <v>15</v>
      </c>
      <c r="D31" s="50">
        <v>3</v>
      </c>
      <c r="E31" s="50">
        <v>2</v>
      </c>
      <c r="F31" s="50">
        <v>0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25</v>
      </c>
      <c r="P31" s="15">
        <f t="shared" si="1"/>
        <v>42</v>
      </c>
    </row>
    <row r="32" spans="2:32" ht="23.1" customHeight="1" x14ac:dyDescent="0.25">
      <c r="B32" s="24" t="s">
        <v>59</v>
      </c>
      <c r="C32" s="50">
        <v>29</v>
      </c>
      <c r="D32" s="50">
        <v>9</v>
      </c>
      <c r="E32" s="50">
        <v>3</v>
      </c>
      <c r="F32" s="50">
        <v>1</v>
      </c>
      <c r="G32" s="50">
        <v>0</v>
      </c>
      <c r="H32" s="50">
        <v>0</v>
      </c>
      <c r="I32" s="50">
        <v>12</v>
      </c>
      <c r="J32" s="50">
        <v>2</v>
      </c>
      <c r="K32" s="50">
        <v>0</v>
      </c>
      <c r="L32" s="50">
        <v>0</v>
      </c>
      <c r="M32" s="50">
        <v>35</v>
      </c>
      <c r="N32" s="50">
        <v>0</v>
      </c>
      <c r="O32" s="15">
        <f t="shared" si="0"/>
        <v>56</v>
      </c>
      <c r="P32" s="15">
        <f t="shared" si="1"/>
        <v>91</v>
      </c>
    </row>
    <row r="33" spans="2:20" ht="23.1" customHeight="1" x14ac:dyDescent="0.25">
      <c r="B33" s="23" t="s">
        <v>60</v>
      </c>
      <c r="C33" s="50">
        <v>20</v>
      </c>
      <c r="D33" s="50">
        <v>11</v>
      </c>
      <c r="E33" s="50">
        <v>5</v>
      </c>
      <c r="F33" s="50">
        <v>2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26</v>
      </c>
      <c r="N33" s="50">
        <v>0</v>
      </c>
      <c r="O33" s="15">
        <f t="shared" si="0"/>
        <v>43</v>
      </c>
      <c r="P33" s="15">
        <f t="shared" si="1"/>
        <v>69</v>
      </c>
    </row>
    <row r="34" spans="2:20" ht="23.1" customHeight="1" x14ac:dyDescent="0.25">
      <c r="B34" s="24" t="s">
        <v>61</v>
      </c>
      <c r="C34" s="50">
        <v>29</v>
      </c>
      <c r="D34" s="50">
        <v>11</v>
      </c>
      <c r="E34" s="50">
        <v>1</v>
      </c>
      <c r="F34" s="50">
        <v>1</v>
      </c>
      <c r="G34" s="50">
        <v>2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47</v>
      </c>
      <c r="P34" s="15">
        <f t="shared" si="1"/>
        <v>71</v>
      </c>
    </row>
    <row r="35" spans="2:20" ht="23.1" customHeight="1" x14ac:dyDescent="0.25">
      <c r="B35" s="24" t="s">
        <v>62</v>
      </c>
      <c r="C35" s="50">
        <v>16</v>
      </c>
      <c r="D35" s="50">
        <v>11</v>
      </c>
      <c r="E35" s="50">
        <v>6</v>
      </c>
      <c r="F35" s="50">
        <v>2</v>
      </c>
      <c r="G35" s="50">
        <v>0</v>
      </c>
      <c r="H35" s="50">
        <v>0</v>
      </c>
      <c r="I35" s="50">
        <v>9</v>
      </c>
      <c r="J35" s="50">
        <v>1</v>
      </c>
      <c r="K35" s="50">
        <v>0</v>
      </c>
      <c r="L35" s="50">
        <v>0</v>
      </c>
      <c r="M35" s="50">
        <v>22</v>
      </c>
      <c r="N35" s="50">
        <v>0</v>
      </c>
      <c r="O35" s="15">
        <f t="shared" si="0"/>
        <v>45</v>
      </c>
      <c r="P35" s="15">
        <f t="shared" si="1"/>
        <v>67</v>
      </c>
    </row>
    <row r="36" spans="2:20" ht="23.1" customHeight="1" x14ac:dyDescent="0.25">
      <c r="B36" s="24" t="s">
        <v>63</v>
      </c>
      <c r="C36" s="50">
        <v>20</v>
      </c>
      <c r="D36" s="50">
        <v>13</v>
      </c>
      <c r="E36" s="50">
        <v>6</v>
      </c>
      <c r="F36" s="50">
        <v>2</v>
      </c>
      <c r="G36" s="50">
        <v>0</v>
      </c>
      <c r="H36" s="50">
        <v>0</v>
      </c>
      <c r="I36" s="50">
        <v>9</v>
      </c>
      <c r="J36" s="50">
        <v>1</v>
      </c>
      <c r="K36" s="50">
        <v>0</v>
      </c>
      <c r="L36" s="50">
        <v>0</v>
      </c>
      <c r="M36" s="50">
        <v>33</v>
      </c>
      <c r="N36" s="50">
        <v>0</v>
      </c>
      <c r="O36" s="15">
        <f t="shared" si="0"/>
        <v>51</v>
      </c>
      <c r="P36" s="15">
        <f t="shared" si="1"/>
        <v>84</v>
      </c>
    </row>
    <row r="37" spans="2:20" ht="23.1" customHeight="1" x14ac:dyDescent="0.25">
      <c r="B37" s="23" t="s">
        <v>64</v>
      </c>
      <c r="C37" s="50">
        <v>30</v>
      </c>
      <c r="D37" s="50">
        <v>11</v>
      </c>
      <c r="E37" s="50">
        <v>5</v>
      </c>
      <c r="F37" s="50">
        <v>2</v>
      </c>
      <c r="G37" s="50">
        <v>1</v>
      </c>
      <c r="H37" s="50">
        <v>0</v>
      </c>
      <c r="I37" s="50">
        <v>7</v>
      </c>
      <c r="J37" s="50">
        <v>2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58</v>
      </c>
      <c r="P37" s="15">
        <f t="shared" si="1"/>
        <v>86</v>
      </c>
    </row>
    <row r="38" spans="2:20" ht="23.1" customHeight="1" x14ac:dyDescent="0.25">
      <c r="B38" s="24" t="s">
        <v>65</v>
      </c>
      <c r="C38" s="50">
        <v>27</v>
      </c>
      <c r="D38" s="50">
        <v>10</v>
      </c>
      <c r="E38" s="50">
        <v>4</v>
      </c>
      <c r="F38" s="50">
        <v>1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46</v>
      </c>
      <c r="P38" s="15">
        <f t="shared" si="1"/>
        <v>72</v>
      </c>
    </row>
    <row r="39" spans="2:20" ht="23.1" customHeight="1" x14ac:dyDescent="0.25">
      <c r="B39" s="24" t="s">
        <v>66</v>
      </c>
      <c r="C39" s="50">
        <v>30</v>
      </c>
      <c r="D39" s="50">
        <v>4</v>
      </c>
      <c r="E39" s="50">
        <v>3</v>
      </c>
      <c r="F39" s="50">
        <v>0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41</v>
      </c>
      <c r="P39" s="15">
        <f t="shared" si="1"/>
        <v>61</v>
      </c>
    </row>
    <row r="40" spans="2:20" ht="23.1" customHeight="1" x14ac:dyDescent="0.25">
      <c r="B40" s="24" t="s">
        <v>67</v>
      </c>
      <c r="C40" s="50">
        <v>25</v>
      </c>
      <c r="D40" s="50">
        <v>6</v>
      </c>
      <c r="E40" s="50">
        <v>2</v>
      </c>
      <c r="F40" s="50">
        <v>1</v>
      </c>
      <c r="G40" s="50">
        <v>0</v>
      </c>
      <c r="H40" s="50">
        <v>0</v>
      </c>
      <c r="I40" s="50">
        <v>7</v>
      </c>
      <c r="J40" s="50">
        <v>0</v>
      </c>
      <c r="K40" s="50">
        <v>0</v>
      </c>
      <c r="L40" s="50">
        <v>0</v>
      </c>
      <c r="M40" s="50">
        <v>25</v>
      </c>
      <c r="N40" s="50">
        <v>0</v>
      </c>
      <c r="O40" s="15">
        <f t="shared" si="0"/>
        <v>41</v>
      </c>
      <c r="P40" s="15">
        <f t="shared" si="1"/>
        <v>66</v>
      </c>
    </row>
    <row r="41" spans="2:20" ht="23.1" customHeight="1" x14ac:dyDescent="0.25">
      <c r="B41" s="23" t="s">
        <v>68</v>
      </c>
      <c r="C41" s="50">
        <v>23</v>
      </c>
      <c r="D41" s="50">
        <v>9</v>
      </c>
      <c r="E41" s="50">
        <v>3</v>
      </c>
      <c r="F41" s="50">
        <v>0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39</v>
      </c>
      <c r="N41" s="50">
        <v>0</v>
      </c>
      <c r="O41" s="15">
        <f t="shared" si="0"/>
        <v>42</v>
      </c>
      <c r="P41" s="15">
        <f t="shared" si="1"/>
        <v>81</v>
      </c>
    </row>
    <row r="42" spans="2:20" ht="23.1" customHeight="1" x14ac:dyDescent="0.25">
      <c r="B42" s="24" t="s">
        <v>69</v>
      </c>
      <c r="C42" s="50">
        <v>23</v>
      </c>
      <c r="D42" s="50">
        <v>8</v>
      </c>
      <c r="E42" s="50">
        <v>5</v>
      </c>
      <c r="F42" s="50">
        <v>1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21</v>
      </c>
      <c r="N42" s="50">
        <v>0</v>
      </c>
      <c r="O42" s="15">
        <f t="shared" si="0"/>
        <v>40</v>
      </c>
      <c r="P42" s="15">
        <f t="shared" si="1"/>
        <v>61</v>
      </c>
    </row>
    <row r="43" spans="2:20" ht="23.1" customHeight="1" x14ac:dyDescent="0.25">
      <c r="B43" s="23" t="s">
        <v>70</v>
      </c>
      <c r="C43" s="50">
        <v>20</v>
      </c>
      <c r="D43" s="50">
        <v>6</v>
      </c>
      <c r="E43" s="50">
        <v>3</v>
      </c>
      <c r="F43" s="50">
        <v>2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25</v>
      </c>
      <c r="N43" s="50">
        <v>0</v>
      </c>
      <c r="O43" s="15">
        <f t="shared" si="0"/>
        <v>36</v>
      </c>
      <c r="P43" s="15">
        <f t="shared" si="1"/>
        <v>61</v>
      </c>
    </row>
    <row r="44" spans="2:20" ht="23.1" customHeight="1" x14ac:dyDescent="0.25">
      <c r="B44" s="25" t="s">
        <v>71</v>
      </c>
      <c r="C44" s="50">
        <v>29</v>
      </c>
      <c r="D44" s="50">
        <v>7</v>
      </c>
      <c r="E44" s="50">
        <v>2</v>
      </c>
      <c r="F44" s="50">
        <v>2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28</v>
      </c>
      <c r="N44" s="50">
        <v>0</v>
      </c>
      <c r="O44" s="15">
        <f t="shared" si="0"/>
        <v>42</v>
      </c>
      <c r="P44" s="15">
        <f t="shared" si="1"/>
        <v>70</v>
      </c>
    </row>
    <row r="45" spans="2:20" ht="23.1" customHeight="1" x14ac:dyDescent="0.25">
      <c r="B45" s="23" t="s">
        <v>72</v>
      </c>
      <c r="C45" s="50">
        <v>24</v>
      </c>
      <c r="D45" s="50">
        <v>9</v>
      </c>
      <c r="E45" s="50">
        <v>3</v>
      </c>
      <c r="F45" s="50">
        <v>5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34</v>
      </c>
      <c r="N45" s="50">
        <v>0</v>
      </c>
      <c r="O45" s="15">
        <f t="shared" si="0"/>
        <v>46</v>
      </c>
      <c r="P45" s="15">
        <f t="shared" si="1"/>
        <v>80</v>
      </c>
    </row>
    <row r="46" spans="2:20" ht="23.1" customHeight="1" x14ac:dyDescent="0.25">
      <c r="B46" s="24" t="s">
        <v>73</v>
      </c>
      <c r="C46" s="50">
        <v>28</v>
      </c>
      <c r="D46" s="50">
        <v>11</v>
      </c>
      <c r="E46" s="50">
        <v>6</v>
      </c>
      <c r="F46" s="50">
        <v>3</v>
      </c>
      <c r="G46" s="50">
        <v>1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54</v>
      </c>
      <c r="P46" s="15">
        <f t="shared" si="1"/>
        <v>86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8</v>
      </c>
      <c r="E47" s="50">
        <v>2</v>
      </c>
      <c r="F47" s="50">
        <v>1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0</v>
      </c>
      <c r="M47" s="50">
        <v>28</v>
      </c>
      <c r="N47" s="50">
        <v>0</v>
      </c>
      <c r="O47" s="15">
        <f t="shared" si="0"/>
        <v>49</v>
      </c>
      <c r="P47" s="15">
        <f t="shared" si="1"/>
        <v>77</v>
      </c>
      <c r="R47" s="8"/>
      <c r="T47"/>
    </row>
    <row r="48" spans="2:20" ht="23.1" customHeight="1" x14ac:dyDescent="0.25">
      <c r="B48" s="24" t="s">
        <v>75</v>
      </c>
      <c r="C48" s="50">
        <v>31</v>
      </c>
      <c r="D48" s="50">
        <v>8</v>
      </c>
      <c r="E48" s="50">
        <v>2</v>
      </c>
      <c r="F48" s="50">
        <v>4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43</v>
      </c>
      <c r="N48" s="50">
        <v>0</v>
      </c>
      <c r="O48" s="15">
        <f t="shared" si="0"/>
        <v>48</v>
      </c>
      <c r="P48" s="15">
        <f t="shared" si="1"/>
        <v>91</v>
      </c>
      <c r="R48" s="8"/>
      <c r="T48"/>
    </row>
    <row r="49" spans="2:20" ht="23.1" customHeight="1" x14ac:dyDescent="0.25">
      <c r="B49" s="23" t="s">
        <v>76</v>
      </c>
      <c r="C49" s="50">
        <v>26</v>
      </c>
      <c r="D49" s="50">
        <v>8</v>
      </c>
      <c r="E49" s="50">
        <v>6</v>
      </c>
      <c r="F49" s="50">
        <v>3</v>
      </c>
      <c r="G49" s="50">
        <v>0</v>
      </c>
      <c r="H49" s="50">
        <v>1</v>
      </c>
      <c r="I49" s="50">
        <v>6</v>
      </c>
      <c r="J49" s="50">
        <v>1</v>
      </c>
      <c r="K49" s="50">
        <v>0</v>
      </c>
      <c r="L49" s="50">
        <v>0</v>
      </c>
      <c r="M49" s="50">
        <v>35</v>
      </c>
      <c r="N49" s="50">
        <v>0</v>
      </c>
      <c r="O49" s="15">
        <f t="shared" si="0"/>
        <v>51</v>
      </c>
      <c r="P49" s="15">
        <f t="shared" si="1"/>
        <v>86</v>
      </c>
      <c r="R49" s="8"/>
      <c r="T49"/>
    </row>
    <row r="50" spans="2:20" ht="23.1" customHeight="1" x14ac:dyDescent="0.25">
      <c r="B50" s="24" t="s">
        <v>77</v>
      </c>
      <c r="C50" s="50">
        <v>16</v>
      </c>
      <c r="D50" s="50">
        <v>12</v>
      </c>
      <c r="E50" s="50">
        <v>7</v>
      </c>
      <c r="F50" s="50">
        <v>0</v>
      </c>
      <c r="G50" s="50">
        <v>1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41</v>
      </c>
      <c r="N50" s="50">
        <v>0</v>
      </c>
      <c r="O50" s="15">
        <f t="shared" si="0"/>
        <v>39</v>
      </c>
      <c r="P50" s="15">
        <f t="shared" si="1"/>
        <v>80</v>
      </c>
      <c r="R50" s="8"/>
      <c r="T50"/>
    </row>
    <row r="51" spans="2:20" ht="23.1" customHeight="1" x14ac:dyDescent="0.25">
      <c r="B51" s="24" t="s">
        <v>78</v>
      </c>
      <c r="C51" s="50">
        <v>48</v>
      </c>
      <c r="D51" s="50">
        <v>16</v>
      </c>
      <c r="E51" s="50">
        <v>3</v>
      </c>
      <c r="F51" s="50">
        <v>3</v>
      </c>
      <c r="G51" s="50">
        <v>0</v>
      </c>
      <c r="H51" s="50">
        <v>0</v>
      </c>
      <c r="I51" s="50">
        <v>10</v>
      </c>
      <c r="J51" s="50">
        <v>0</v>
      </c>
      <c r="K51" s="50">
        <v>0</v>
      </c>
      <c r="L51" s="50">
        <v>0</v>
      </c>
      <c r="M51" s="50">
        <v>37</v>
      </c>
      <c r="N51" s="50">
        <v>0</v>
      </c>
      <c r="O51" s="15">
        <f t="shared" si="0"/>
        <v>80</v>
      </c>
      <c r="P51" s="15">
        <f t="shared" si="1"/>
        <v>117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14</v>
      </c>
      <c r="E52" s="50">
        <v>2</v>
      </c>
      <c r="F52" s="50">
        <v>3</v>
      </c>
      <c r="G52" s="50">
        <v>1</v>
      </c>
      <c r="H52" s="50">
        <v>2</v>
      </c>
      <c r="I52" s="50">
        <v>0</v>
      </c>
      <c r="J52" s="50">
        <v>0</v>
      </c>
      <c r="K52" s="50">
        <v>0</v>
      </c>
      <c r="L52" s="50">
        <v>0</v>
      </c>
      <c r="M52" s="50">
        <v>39</v>
      </c>
      <c r="N52" s="50">
        <v>0</v>
      </c>
      <c r="O52" s="15">
        <f t="shared" si="0"/>
        <v>52</v>
      </c>
      <c r="P52" s="15">
        <f t="shared" si="1"/>
        <v>91</v>
      </c>
      <c r="R52" s="8"/>
      <c r="T52"/>
    </row>
    <row r="53" spans="2:20" ht="23.1" customHeight="1" x14ac:dyDescent="0.25">
      <c r="B53" s="23" t="s">
        <v>80</v>
      </c>
      <c r="C53" s="50">
        <v>29</v>
      </c>
      <c r="D53" s="50">
        <v>10</v>
      </c>
      <c r="E53" s="50">
        <v>3</v>
      </c>
      <c r="F53" s="50">
        <v>5</v>
      </c>
      <c r="G53" s="50">
        <v>1</v>
      </c>
      <c r="H53" s="50">
        <v>0</v>
      </c>
      <c r="I53" s="50">
        <v>4</v>
      </c>
      <c r="J53" s="50">
        <v>0</v>
      </c>
      <c r="K53" s="50">
        <v>0</v>
      </c>
      <c r="L53" s="50">
        <v>1</v>
      </c>
      <c r="M53" s="50">
        <v>34</v>
      </c>
      <c r="N53" s="50">
        <v>0</v>
      </c>
      <c r="O53" s="15">
        <f t="shared" si="0"/>
        <v>53</v>
      </c>
      <c r="P53" s="15">
        <f t="shared" si="1"/>
        <v>87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9</v>
      </c>
      <c r="E54" s="50">
        <v>10</v>
      </c>
      <c r="F54" s="50">
        <v>4</v>
      </c>
      <c r="G54" s="50">
        <v>1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51</v>
      </c>
      <c r="N54" s="50">
        <v>0</v>
      </c>
      <c r="O54" s="15">
        <f t="shared" si="0"/>
        <v>79</v>
      </c>
      <c r="P54" s="15">
        <f t="shared" si="1"/>
        <v>130</v>
      </c>
      <c r="R54" s="8"/>
      <c r="T54"/>
    </row>
    <row r="55" spans="2:20" ht="23.1" customHeight="1" x14ac:dyDescent="0.25">
      <c r="B55" s="23" t="s">
        <v>82</v>
      </c>
      <c r="C55" s="50">
        <v>42</v>
      </c>
      <c r="D55" s="50">
        <v>10</v>
      </c>
      <c r="E55" s="50">
        <v>0</v>
      </c>
      <c r="F55" s="50">
        <v>2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46</v>
      </c>
      <c r="N55" s="50">
        <v>0</v>
      </c>
      <c r="O55" s="15">
        <f t="shared" si="0"/>
        <v>56</v>
      </c>
      <c r="P55" s="15">
        <f t="shared" si="1"/>
        <v>102</v>
      </c>
      <c r="R55" s="8"/>
      <c r="T55"/>
    </row>
    <row r="56" spans="2:20" ht="23.1" customHeight="1" x14ac:dyDescent="0.25">
      <c r="B56" s="23" t="s">
        <v>83</v>
      </c>
      <c r="C56" s="50">
        <v>52</v>
      </c>
      <c r="D56" s="50">
        <v>14</v>
      </c>
      <c r="E56" s="50">
        <v>9</v>
      </c>
      <c r="F56" s="50">
        <v>4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1</v>
      </c>
      <c r="M56" s="50">
        <v>46</v>
      </c>
      <c r="N56" s="50">
        <v>0</v>
      </c>
      <c r="O56" s="15">
        <f t="shared" si="0"/>
        <v>86</v>
      </c>
      <c r="P56" s="15">
        <f t="shared" si="1"/>
        <v>132</v>
      </c>
      <c r="R56" s="8"/>
      <c r="T56"/>
    </row>
    <row r="57" spans="2:20" ht="23.1" customHeight="1" x14ac:dyDescent="0.25">
      <c r="B57" s="23" t="s">
        <v>84</v>
      </c>
      <c r="C57" s="50">
        <v>34</v>
      </c>
      <c r="D57" s="50">
        <v>9</v>
      </c>
      <c r="E57" s="50">
        <v>3</v>
      </c>
      <c r="F57" s="50">
        <v>2</v>
      </c>
      <c r="G57" s="50">
        <v>2</v>
      </c>
      <c r="H57" s="50">
        <v>0</v>
      </c>
      <c r="I57" s="50">
        <v>5</v>
      </c>
      <c r="J57" s="50">
        <v>1</v>
      </c>
      <c r="K57" s="50">
        <v>0</v>
      </c>
      <c r="L57" s="50">
        <v>0</v>
      </c>
      <c r="M57" s="50">
        <v>53</v>
      </c>
      <c r="N57" s="50">
        <v>0</v>
      </c>
      <c r="O57" s="15">
        <f t="shared" si="0"/>
        <v>56</v>
      </c>
      <c r="P57" s="15">
        <f t="shared" si="1"/>
        <v>109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1311</v>
      </c>
      <c r="D58" s="16">
        <f t="shared" si="21"/>
        <v>413</v>
      </c>
      <c r="E58" s="16">
        <f t="shared" si="21"/>
        <v>186</v>
      </c>
      <c r="F58" s="16">
        <f t="shared" si="21"/>
        <v>94</v>
      </c>
      <c r="G58" s="16">
        <f t="shared" si="21"/>
        <v>13</v>
      </c>
      <c r="H58" s="16">
        <f t="shared" si="21"/>
        <v>5</v>
      </c>
      <c r="I58" s="16">
        <f t="shared" si="21"/>
        <v>210</v>
      </c>
      <c r="J58" s="16">
        <f t="shared" si="21"/>
        <v>25</v>
      </c>
      <c r="K58" s="16">
        <f t="shared" si="21"/>
        <v>1</v>
      </c>
      <c r="L58" s="16">
        <f t="shared" si="21"/>
        <v>2</v>
      </c>
      <c r="M58" s="16">
        <f t="shared" si="21"/>
        <v>1699</v>
      </c>
      <c r="N58" s="16">
        <f t="shared" si="21"/>
        <v>0</v>
      </c>
      <c r="O58" s="16">
        <f t="shared" si="21"/>
        <v>2260</v>
      </c>
      <c r="P58" s="16">
        <f t="shared" si="21"/>
        <v>3959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0.33114422834049001</v>
      </c>
      <c r="D59" s="43">
        <f t="shared" si="22"/>
        <v>0.10431927254357161</v>
      </c>
      <c r="E59" s="43">
        <f t="shared" si="22"/>
        <v>4.6981561000252588E-2</v>
      </c>
      <c r="F59" s="43">
        <f t="shared" si="22"/>
        <v>2.3743369537762061E-2</v>
      </c>
      <c r="G59" s="43">
        <f t="shared" si="22"/>
        <v>3.2836574892649659E-3</v>
      </c>
      <c r="H59" s="43">
        <f t="shared" si="22"/>
        <v>1.2629451881788331E-3</v>
      </c>
      <c r="I59" s="43">
        <f t="shared" si="22"/>
        <v>5.3043697903510989E-2</v>
      </c>
      <c r="J59" s="43">
        <f t="shared" si="22"/>
        <v>6.3147259408941649E-3</v>
      </c>
      <c r="K59" s="43">
        <f t="shared" si="22"/>
        <v>2.5258903763576663E-4</v>
      </c>
      <c r="L59" s="43">
        <f t="shared" si="22"/>
        <v>5.0517807527153326E-4</v>
      </c>
      <c r="M59" s="43">
        <f t="shared" si="22"/>
        <v>0.42914877494316744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0.58008849557522124</v>
      </c>
      <c r="D60" s="44">
        <f t="shared" ref="D60:N60" si="23">D58/$O$58</f>
        <v>0.18274336283185841</v>
      </c>
      <c r="E60" s="44">
        <f t="shared" si="23"/>
        <v>8.2300884955752218E-2</v>
      </c>
      <c r="F60" s="44">
        <f t="shared" si="23"/>
        <v>4.15929203539823E-2</v>
      </c>
      <c r="G60" s="44">
        <f t="shared" si="23"/>
        <v>5.7522123893805309E-3</v>
      </c>
      <c r="H60" s="44">
        <f t="shared" si="23"/>
        <v>2.2123893805309734E-3</v>
      </c>
      <c r="I60" s="44">
        <f t="shared" si="23"/>
        <v>9.2920353982300891E-2</v>
      </c>
      <c r="J60" s="44">
        <f t="shared" si="23"/>
        <v>1.1061946902654867E-2</v>
      </c>
      <c r="K60" s="44">
        <f t="shared" si="23"/>
        <v>4.4247787610619468E-4</v>
      </c>
      <c r="L60" s="44">
        <f t="shared" si="23"/>
        <v>8.8495575221238937E-4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30" zoomScale="60" workbookViewId="0">
      <selection activeCell="L57" sqref="L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9" t="str">
        <f>'23.09.19 Kajansi -Bweya'!C3:G3</f>
        <v>MCC-C2-STNO 56 -Munyonyo spur</v>
      </c>
      <c r="D3" s="69"/>
      <c r="E3" s="69"/>
      <c r="F3" s="69"/>
      <c r="G3" s="6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'25.09 Bweya-Kajansi'!D5</f>
        <v>25.09.19</v>
      </c>
      <c r="E5" s="3"/>
      <c r="F5" s="41" t="s">
        <v>1</v>
      </c>
      <c r="G5" s="71" t="str">
        <f>'23.09.19 Bweya- Kajansi'!G5:H5</f>
        <v>Munyonyo Spur RD</v>
      </c>
      <c r="H5" s="72"/>
      <c r="I5" s="14"/>
      <c r="J5" s="2" t="s">
        <v>5</v>
      </c>
      <c r="K5" s="71" t="s">
        <v>179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'23.09.19 Kajansi -Bweya'!D6:E6</f>
        <v>KAJANSI</v>
      </c>
      <c r="E6" s="72"/>
      <c r="F6" s="2" t="s">
        <v>2</v>
      </c>
      <c r="G6" s="71" t="str">
        <f>'23.09.19 Kajansi -Bweya'!G6:H6</f>
        <v>BWEYA</v>
      </c>
      <c r="H6" s="72"/>
      <c r="J6" s="2" t="s">
        <v>21</v>
      </c>
      <c r="K6" s="71" t="str">
        <f>'23.09.19 Bweya- Kajansi'!K6:L6</f>
        <v>Beatrice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27</v>
      </c>
      <c r="D10" s="50">
        <v>2</v>
      </c>
      <c r="E10" s="50">
        <v>4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34</v>
      </c>
      <c r="P10" s="15">
        <f t="shared" ref="P10:P57" si="1">SUM(C10:N10)</f>
        <v>51</v>
      </c>
      <c r="R10" s="1" t="s">
        <v>6</v>
      </c>
      <c r="S10" s="17">
        <f t="shared" ref="S10:AF10" si="2">SUM(C10:C13)</f>
        <v>174</v>
      </c>
      <c r="T10" s="17">
        <f t="shared" si="2"/>
        <v>7</v>
      </c>
      <c r="U10" s="17">
        <f t="shared" si="2"/>
        <v>19</v>
      </c>
      <c r="V10" s="17">
        <f t="shared" si="2"/>
        <v>5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10</v>
      </c>
      <c r="AA10" s="17">
        <f t="shared" si="2"/>
        <v>0</v>
      </c>
      <c r="AB10" s="17">
        <f t="shared" si="2"/>
        <v>0</v>
      </c>
      <c r="AC10" s="17">
        <f t="shared" si="2"/>
        <v>118</v>
      </c>
      <c r="AD10" s="17">
        <f t="shared" si="2"/>
        <v>0</v>
      </c>
      <c r="AE10" s="31">
        <f t="shared" si="2"/>
        <v>222</v>
      </c>
      <c r="AF10" s="31">
        <f t="shared" si="2"/>
        <v>340</v>
      </c>
    </row>
    <row r="11" spans="2:32" s="6" customFormat="1" ht="23.1" customHeight="1" x14ac:dyDescent="0.25">
      <c r="B11" s="23" t="s">
        <v>38</v>
      </c>
      <c r="C11" s="50">
        <v>44</v>
      </c>
      <c r="D11" s="50">
        <v>1</v>
      </c>
      <c r="E11" s="50">
        <v>4</v>
      </c>
      <c r="F11" s="50">
        <v>1</v>
      </c>
      <c r="G11" s="50">
        <v>0</v>
      </c>
      <c r="H11" s="50">
        <v>0</v>
      </c>
      <c r="I11" s="50">
        <v>2</v>
      </c>
      <c r="J11" s="50">
        <v>3</v>
      </c>
      <c r="K11" s="50">
        <v>0</v>
      </c>
      <c r="L11" s="50">
        <v>0</v>
      </c>
      <c r="M11" s="50">
        <v>36</v>
      </c>
      <c r="N11" s="50">
        <v>0</v>
      </c>
      <c r="O11" s="15">
        <f t="shared" si="0"/>
        <v>55</v>
      </c>
      <c r="P11" s="15">
        <f t="shared" si="1"/>
        <v>91</v>
      </c>
      <c r="R11" s="1" t="s">
        <v>7</v>
      </c>
      <c r="S11" s="17">
        <f t="shared" ref="S11:AF11" si="3">SUM(C14:C17)</f>
        <v>162</v>
      </c>
      <c r="T11" s="17">
        <f t="shared" si="3"/>
        <v>6</v>
      </c>
      <c r="U11" s="17">
        <f t="shared" si="3"/>
        <v>15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142</v>
      </c>
      <c r="AD11" s="17">
        <f t="shared" si="3"/>
        <v>0</v>
      </c>
      <c r="AE11" s="31">
        <f t="shared" si="3"/>
        <v>193</v>
      </c>
      <c r="AF11" s="31">
        <f t="shared" si="3"/>
        <v>335</v>
      </c>
    </row>
    <row r="12" spans="2:32" ht="23.1" customHeight="1" x14ac:dyDescent="0.25">
      <c r="B12" s="23" t="s">
        <v>39</v>
      </c>
      <c r="C12" s="50">
        <v>54</v>
      </c>
      <c r="D12" s="50">
        <v>2</v>
      </c>
      <c r="E12" s="50">
        <v>8</v>
      </c>
      <c r="F12" s="50">
        <v>0</v>
      </c>
      <c r="G12" s="50">
        <v>1</v>
      </c>
      <c r="H12" s="50">
        <v>0</v>
      </c>
      <c r="I12" s="50">
        <v>1</v>
      </c>
      <c r="J12" s="50">
        <v>2</v>
      </c>
      <c r="K12" s="50">
        <v>0</v>
      </c>
      <c r="L12" s="50">
        <v>0</v>
      </c>
      <c r="M12" s="50">
        <v>27</v>
      </c>
      <c r="N12" s="50">
        <v>0</v>
      </c>
      <c r="O12" s="15">
        <f t="shared" si="0"/>
        <v>68</v>
      </c>
      <c r="P12" s="15">
        <f t="shared" si="1"/>
        <v>95</v>
      </c>
      <c r="R12" s="1" t="s">
        <v>8</v>
      </c>
      <c r="S12" s="17">
        <f t="shared" ref="S12:AF12" si="4">SUM(C18:C21)</f>
        <v>120</v>
      </c>
      <c r="T12" s="17">
        <f t="shared" si="4"/>
        <v>16</v>
      </c>
      <c r="U12" s="17">
        <f t="shared" si="4"/>
        <v>9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6</v>
      </c>
      <c r="AA12" s="17">
        <f t="shared" si="4"/>
        <v>0</v>
      </c>
      <c r="AB12" s="17">
        <f t="shared" si="4"/>
        <v>0</v>
      </c>
      <c r="AC12" s="17">
        <f t="shared" si="4"/>
        <v>123</v>
      </c>
      <c r="AD12" s="17">
        <f t="shared" si="4"/>
        <v>0</v>
      </c>
      <c r="AE12" s="31">
        <f t="shared" si="4"/>
        <v>164</v>
      </c>
      <c r="AF12" s="31">
        <f t="shared" si="4"/>
        <v>287</v>
      </c>
    </row>
    <row r="13" spans="2:32" ht="23.1" customHeight="1" x14ac:dyDescent="0.25">
      <c r="B13" s="23" t="s">
        <v>40</v>
      </c>
      <c r="C13" s="50">
        <v>49</v>
      </c>
      <c r="D13" s="50">
        <v>2</v>
      </c>
      <c r="E13" s="50">
        <v>3</v>
      </c>
      <c r="F13" s="50">
        <v>4</v>
      </c>
      <c r="G13" s="50">
        <v>0</v>
      </c>
      <c r="H13" s="50">
        <v>0</v>
      </c>
      <c r="I13" s="50">
        <v>3</v>
      </c>
      <c r="J13" s="50">
        <v>4</v>
      </c>
      <c r="K13" s="50">
        <v>0</v>
      </c>
      <c r="L13" s="50">
        <v>0</v>
      </c>
      <c r="M13" s="50">
        <v>38</v>
      </c>
      <c r="N13" s="50">
        <v>0</v>
      </c>
      <c r="O13" s="15">
        <f t="shared" si="0"/>
        <v>65</v>
      </c>
      <c r="P13" s="15">
        <f t="shared" si="1"/>
        <v>103</v>
      </c>
      <c r="R13" s="1" t="s">
        <v>9</v>
      </c>
      <c r="S13" s="17">
        <f t="shared" ref="S13:AF13" si="5">SUM(C22:C25)</f>
        <v>87</v>
      </c>
      <c r="T13" s="17">
        <f t="shared" si="5"/>
        <v>14</v>
      </c>
      <c r="U13" s="17">
        <f t="shared" si="5"/>
        <v>10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117</v>
      </c>
      <c r="AD13" s="17">
        <f t="shared" si="5"/>
        <v>0</v>
      </c>
      <c r="AE13" s="31">
        <f t="shared" si="5"/>
        <v>132</v>
      </c>
      <c r="AF13" s="31">
        <f t="shared" si="5"/>
        <v>249</v>
      </c>
    </row>
    <row r="14" spans="2:32" ht="23.1" customHeight="1" x14ac:dyDescent="0.25">
      <c r="B14" s="23" t="s">
        <v>41</v>
      </c>
      <c r="C14" s="50">
        <v>65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31</v>
      </c>
      <c r="N14" s="50">
        <v>0</v>
      </c>
      <c r="O14" s="15">
        <f t="shared" si="0"/>
        <v>66</v>
      </c>
      <c r="P14" s="15">
        <f t="shared" si="1"/>
        <v>97</v>
      </c>
      <c r="R14" s="1" t="s">
        <v>10</v>
      </c>
      <c r="S14" s="17">
        <f t="shared" ref="S14:AF14" si="6">SUM(C26:C29)</f>
        <v>94</v>
      </c>
      <c r="T14" s="17">
        <f t="shared" si="6"/>
        <v>8</v>
      </c>
      <c r="U14" s="17">
        <f t="shared" si="6"/>
        <v>11</v>
      </c>
      <c r="V14" s="17">
        <f t="shared" si="6"/>
        <v>0</v>
      </c>
      <c r="W14" s="17">
        <f t="shared" si="6"/>
        <v>1</v>
      </c>
      <c r="X14" s="17">
        <f t="shared" si="6"/>
        <v>0</v>
      </c>
      <c r="Y14" s="17">
        <f t="shared" si="6"/>
        <v>11</v>
      </c>
      <c r="Z14" s="17">
        <f t="shared" si="6"/>
        <v>7</v>
      </c>
      <c r="AA14" s="17">
        <f t="shared" si="6"/>
        <v>0</v>
      </c>
      <c r="AB14" s="17">
        <f t="shared" si="6"/>
        <v>0</v>
      </c>
      <c r="AC14" s="17">
        <f t="shared" si="6"/>
        <v>106</v>
      </c>
      <c r="AD14" s="17">
        <f t="shared" si="6"/>
        <v>0</v>
      </c>
      <c r="AE14" s="31">
        <f t="shared" si="6"/>
        <v>132</v>
      </c>
      <c r="AF14" s="31">
        <f t="shared" si="6"/>
        <v>238</v>
      </c>
    </row>
    <row r="15" spans="2:32" ht="23.1" customHeight="1" x14ac:dyDescent="0.25">
      <c r="B15" s="23" t="s">
        <v>42</v>
      </c>
      <c r="C15" s="50">
        <v>38</v>
      </c>
      <c r="D15" s="50">
        <v>2</v>
      </c>
      <c r="E15" s="50">
        <v>9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30</v>
      </c>
      <c r="N15" s="50">
        <v>0</v>
      </c>
      <c r="O15" s="15">
        <f t="shared" si="0"/>
        <v>51</v>
      </c>
      <c r="P15" s="15">
        <f t="shared" si="1"/>
        <v>81</v>
      </c>
      <c r="R15" s="1" t="s">
        <v>11</v>
      </c>
      <c r="S15" s="17">
        <f t="shared" ref="S15:AF15" si="7">SUM(C30:C33)</f>
        <v>71</v>
      </c>
      <c r="T15" s="17">
        <f t="shared" si="7"/>
        <v>15</v>
      </c>
      <c r="U15" s="17">
        <f t="shared" si="7"/>
        <v>6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4</v>
      </c>
      <c r="AA15" s="17">
        <f t="shared" si="7"/>
        <v>1</v>
      </c>
      <c r="AB15" s="17">
        <f t="shared" si="7"/>
        <v>0</v>
      </c>
      <c r="AC15" s="17">
        <f t="shared" si="7"/>
        <v>99</v>
      </c>
      <c r="AD15" s="17">
        <f t="shared" si="7"/>
        <v>0</v>
      </c>
      <c r="AE15" s="31">
        <f t="shared" si="7"/>
        <v>105</v>
      </c>
      <c r="AF15" s="31">
        <f t="shared" si="7"/>
        <v>204</v>
      </c>
    </row>
    <row r="16" spans="2:32" ht="23.1" customHeight="1" x14ac:dyDescent="0.25">
      <c r="B16" s="23" t="s">
        <v>43</v>
      </c>
      <c r="C16" s="50">
        <v>33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45</v>
      </c>
      <c r="N16" s="50">
        <v>0</v>
      </c>
      <c r="O16" s="15">
        <f t="shared" si="0"/>
        <v>37</v>
      </c>
      <c r="P16" s="15">
        <f t="shared" si="1"/>
        <v>82</v>
      </c>
      <c r="R16" s="1" t="s">
        <v>12</v>
      </c>
      <c r="S16" s="17">
        <f t="shared" ref="S16:AF16" si="8">SUM(C34:C37)</f>
        <v>89</v>
      </c>
      <c r="T16" s="17">
        <f t="shared" si="8"/>
        <v>11</v>
      </c>
      <c r="U16" s="17">
        <f t="shared" si="8"/>
        <v>8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97</v>
      </c>
      <c r="AD16" s="17">
        <f t="shared" si="8"/>
        <v>0</v>
      </c>
      <c r="AE16" s="31">
        <f t="shared" si="8"/>
        <v>122</v>
      </c>
      <c r="AF16" s="31">
        <f t="shared" si="8"/>
        <v>219</v>
      </c>
    </row>
    <row r="17" spans="2:32" ht="23.1" customHeight="1" x14ac:dyDescent="0.25">
      <c r="B17" s="23" t="s">
        <v>44</v>
      </c>
      <c r="C17" s="50">
        <v>26</v>
      </c>
      <c r="D17" s="50">
        <v>4</v>
      </c>
      <c r="E17" s="50">
        <v>4</v>
      </c>
      <c r="F17" s="50">
        <v>1</v>
      </c>
      <c r="G17" s="50">
        <v>0</v>
      </c>
      <c r="H17" s="50">
        <v>0</v>
      </c>
      <c r="I17" s="50">
        <v>2</v>
      </c>
      <c r="J17" s="50">
        <v>2</v>
      </c>
      <c r="K17" s="50">
        <v>0</v>
      </c>
      <c r="L17" s="50">
        <v>0</v>
      </c>
      <c r="M17" s="50">
        <v>36</v>
      </c>
      <c r="N17" s="50">
        <v>0</v>
      </c>
      <c r="O17" s="15">
        <f t="shared" si="0"/>
        <v>39</v>
      </c>
      <c r="P17" s="15">
        <f t="shared" si="1"/>
        <v>75</v>
      </c>
      <c r="R17" s="1" t="s">
        <v>13</v>
      </c>
      <c r="S17" s="17">
        <f t="shared" ref="S17:AF17" si="9">SUM(C38:C41)</f>
        <v>81</v>
      </c>
      <c r="T17" s="17">
        <f t="shared" si="9"/>
        <v>16</v>
      </c>
      <c r="U17" s="17">
        <f t="shared" si="9"/>
        <v>14</v>
      </c>
      <c r="V17" s="17">
        <f t="shared" si="9"/>
        <v>0</v>
      </c>
      <c r="W17" s="17">
        <f t="shared" si="9"/>
        <v>1</v>
      </c>
      <c r="X17" s="17">
        <f t="shared" si="9"/>
        <v>0</v>
      </c>
      <c r="Y17" s="17">
        <f t="shared" si="9"/>
        <v>12</v>
      </c>
      <c r="Z17" s="17">
        <f t="shared" si="9"/>
        <v>9</v>
      </c>
      <c r="AA17" s="17">
        <f t="shared" si="9"/>
        <v>2</v>
      </c>
      <c r="AB17" s="17">
        <f t="shared" si="9"/>
        <v>0</v>
      </c>
      <c r="AC17" s="17">
        <f t="shared" si="9"/>
        <v>101</v>
      </c>
      <c r="AD17" s="17">
        <f t="shared" si="9"/>
        <v>0</v>
      </c>
      <c r="AE17" s="31">
        <f t="shared" si="9"/>
        <v>135</v>
      </c>
      <c r="AF17" s="31">
        <f t="shared" si="9"/>
        <v>236</v>
      </c>
    </row>
    <row r="18" spans="2:32" ht="23.1" customHeight="1" x14ac:dyDescent="0.25">
      <c r="B18" s="23" t="s">
        <v>45</v>
      </c>
      <c r="C18" s="50">
        <v>26</v>
      </c>
      <c r="D18" s="50">
        <v>4</v>
      </c>
      <c r="E18" s="50">
        <v>2</v>
      </c>
      <c r="F18" s="50">
        <v>1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36</v>
      </c>
      <c r="N18" s="50">
        <v>0</v>
      </c>
      <c r="O18" s="15">
        <f t="shared" si="0"/>
        <v>36</v>
      </c>
      <c r="P18" s="15">
        <f t="shared" si="1"/>
        <v>72</v>
      </c>
      <c r="R18" s="1" t="s">
        <v>14</v>
      </c>
      <c r="S18" s="17">
        <f t="shared" ref="S18:AF18" si="10">SUM(C42:C45)</f>
        <v>132</v>
      </c>
      <c r="T18" s="17">
        <f t="shared" si="10"/>
        <v>42</v>
      </c>
      <c r="U18" s="17">
        <f t="shared" si="10"/>
        <v>15</v>
      </c>
      <c r="V18" s="17">
        <f t="shared" si="10"/>
        <v>2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87</v>
      </c>
      <c r="AD18" s="17">
        <f t="shared" si="10"/>
        <v>0</v>
      </c>
      <c r="AE18" s="31">
        <f t="shared" si="10"/>
        <v>207</v>
      </c>
      <c r="AF18" s="31">
        <f t="shared" si="10"/>
        <v>294</v>
      </c>
    </row>
    <row r="19" spans="2:32" ht="23.1" customHeight="1" x14ac:dyDescent="0.25">
      <c r="B19" s="23" t="s">
        <v>46</v>
      </c>
      <c r="C19" s="50">
        <v>31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5</v>
      </c>
      <c r="J19" s="50">
        <v>2</v>
      </c>
      <c r="K19" s="50">
        <v>0</v>
      </c>
      <c r="L19" s="50">
        <v>0</v>
      </c>
      <c r="M19" s="50">
        <v>25</v>
      </c>
      <c r="N19" s="50">
        <v>0</v>
      </c>
      <c r="O19" s="15">
        <f t="shared" si="0"/>
        <v>40</v>
      </c>
      <c r="P19" s="15">
        <f t="shared" si="1"/>
        <v>65</v>
      </c>
      <c r="R19" s="1" t="s">
        <v>15</v>
      </c>
      <c r="S19" s="17">
        <f t="shared" ref="S19:AF19" si="11">SUM(C46:C49)</f>
        <v>160</v>
      </c>
      <c r="T19" s="17">
        <f t="shared" si="11"/>
        <v>36</v>
      </c>
      <c r="U19" s="17">
        <f t="shared" si="11"/>
        <v>15</v>
      </c>
      <c r="V19" s="17">
        <f t="shared" si="11"/>
        <v>1</v>
      </c>
      <c r="W19" s="17">
        <f t="shared" si="11"/>
        <v>2</v>
      </c>
      <c r="X19" s="17">
        <f t="shared" si="11"/>
        <v>0</v>
      </c>
      <c r="Y19" s="17">
        <f t="shared" si="11"/>
        <v>17</v>
      </c>
      <c r="Z19" s="17">
        <f t="shared" si="11"/>
        <v>12</v>
      </c>
      <c r="AA19" s="17">
        <f t="shared" si="11"/>
        <v>2</v>
      </c>
      <c r="AB19" s="17">
        <f t="shared" si="11"/>
        <v>1</v>
      </c>
      <c r="AC19" s="17">
        <f t="shared" si="11"/>
        <v>133</v>
      </c>
      <c r="AD19" s="17">
        <f t="shared" si="11"/>
        <v>0</v>
      </c>
      <c r="AE19" s="31">
        <f t="shared" si="11"/>
        <v>246</v>
      </c>
      <c r="AF19" s="31">
        <f t="shared" si="11"/>
        <v>379</v>
      </c>
    </row>
    <row r="20" spans="2:32" ht="23.1" customHeight="1" x14ac:dyDescent="0.25">
      <c r="B20" s="23" t="s">
        <v>47</v>
      </c>
      <c r="C20" s="50">
        <v>31</v>
      </c>
      <c r="D20" s="50">
        <v>4</v>
      </c>
      <c r="E20" s="50">
        <v>3</v>
      </c>
      <c r="F20" s="50">
        <v>0</v>
      </c>
      <c r="G20" s="50">
        <v>0</v>
      </c>
      <c r="H20" s="50">
        <v>0</v>
      </c>
      <c r="I20" s="50">
        <v>2</v>
      </c>
      <c r="J20" s="50">
        <v>3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43</v>
      </c>
      <c r="P20" s="15">
        <f t="shared" si="1"/>
        <v>69</v>
      </c>
      <c r="R20" s="1" t="s">
        <v>16</v>
      </c>
      <c r="S20" s="17">
        <f t="shared" ref="S20:AF20" si="12">SUM(C50:C53)</f>
        <v>139</v>
      </c>
      <c r="T20" s="17">
        <f t="shared" si="12"/>
        <v>21</v>
      </c>
      <c r="U20" s="17">
        <f t="shared" si="12"/>
        <v>18</v>
      </c>
      <c r="V20" s="17">
        <f t="shared" si="12"/>
        <v>5</v>
      </c>
      <c r="W20" s="17">
        <f t="shared" si="12"/>
        <v>1</v>
      </c>
      <c r="X20" s="17">
        <f t="shared" si="12"/>
        <v>0</v>
      </c>
      <c r="Y20" s="17">
        <f t="shared" si="12"/>
        <v>3</v>
      </c>
      <c r="Z20" s="17">
        <f t="shared" si="12"/>
        <v>14</v>
      </c>
      <c r="AA20" s="17">
        <f t="shared" si="12"/>
        <v>4</v>
      </c>
      <c r="AB20" s="17">
        <f t="shared" si="12"/>
        <v>0</v>
      </c>
      <c r="AC20" s="17">
        <f t="shared" si="12"/>
        <v>121</v>
      </c>
      <c r="AD20" s="17">
        <f t="shared" si="12"/>
        <v>0</v>
      </c>
      <c r="AE20" s="31">
        <f t="shared" si="12"/>
        <v>205</v>
      </c>
      <c r="AF20" s="31">
        <f t="shared" si="12"/>
        <v>326</v>
      </c>
    </row>
    <row r="21" spans="2:32" ht="23.1" customHeight="1" x14ac:dyDescent="0.25">
      <c r="B21" s="23" t="s">
        <v>48</v>
      </c>
      <c r="C21" s="50">
        <v>32</v>
      </c>
      <c r="D21" s="50">
        <v>7</v>
      </c>
      <c r="E21" s="50">
        <v>3</v>
      </c>
      <c r="F21" s="50">
        <v>0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36</v>
      </c>
      <c r="N21" s="50">
        <v>0</v>
      </c>
      <c r="O21" s="15">
        <f t="shared" si="0"/>
        <v>45</v>
      </c>
      <c r="P21" s="15">
        <f t="shared" si="1"/>
        <v>81</v>
      </c>
      <c r="R21" s="36" t="s">
        <v>20</v>
      </c>
      <c r="S21" s="34">
        <f t="shared" ref="S21:AF21" si="13">SUM(C54:C57)</f>
        <v>147</v>
      </c>
      <c r="T21" s="17">
        <f t="shared" si="13"/>
        <v>19</v>
      </c>
      <c r="U21" s="17">
        <f t="shared" si="13"/>
        <v>13</v>
      </c>
      <c r="V21" s="17">
        <f t="shared" si="13"/>
        <v>4</v>
      </c>
      <c r="W21" s="17">
        <f t="shared" si="13"/>
        <v>1</v>
      </c>
      <c r="X21" s="17">
        <f t="shared" si="13"/>
        <v>0</v>
      </c>
      <c r="Y21" s="17">
        <f t="shared" si="13"/>
        <v>9</v>
      </c>
      <c r="Z21" s="17">
        <f t="shared" si="13"/>
        <v>8</v>
      </c>
      <c r="AA21" s="17">
        <f t="shared" si="13"/>
        <v>0</v>
      </c>
      <c r="AB21" s="17">
        <f t="shared" si="13"/>
        <v>0</v>
      </c>
      <c r="AC21" s="17">
        <f t="shared" si="13"/>
        <v>121</v>
      </c>
      <c r="AD21" s="17">
        <f t="shared" si="13"/>
        <v>0</v>
      </c>
      <c r="AE21" s="31">
        <f t="shared" si="13"/>
        <v>201</v>
      </c>
      <c r="AF21" s="31">
        <f t="shared" si="13"/>
        <v>322</v>
      </c>
    </row>
    <row r="22" spans="2:32" ht="23.1" customHeight="1" x14ac:dyDescent="0.25">
      <c r="B22" s="23" t="s">
        <v>49</v>
      </c>
      <c r="C22" s="50">
        <v>23</v>
      </c>
      <c r="D22" s="50">
        <v>6</v>
      </c>
      <c r="E22" s="50">
        <v>3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23</v>
      </c>
      <c r="N22" s="50">
        <v>0</v>
      </c>
      <c r="O22" s="15">
        <f t="shared" si="0"/>
        <v>35</v>
      </c>
      <c r="P22" s="15">
        <f t="shared" si="1"/>
        <v>58</v>
      </c>
      <c r="R22" s="38" t="s">
        <v>90</v>
      </c>
      <c r="S22" s="39">
        <f>MAX(S10:S12)</f>
        <v>174</v>
      </c>
      <c r="T22" s="39">
        <f t="shared" ref="T22:AF22" si="14">MAX(T10:T12)</f>
        <v>16</v>
      </c>
      <c r="U22" s="39">
        <f t="shared" si="14"/>
        <v>19</v>
      </c>
      <c r="V22" s="39">
        <f t="shared" si="14"/>
        <v>5</v>
      </c>
      <c r="W22" s="39">
        <f t="shared" si="14"/>
        <v>1</v>
      </c>
      <c r="X22" s="39">
        <f t="shared" si="14"/>
        <v>0</v>
      </c>
      <c r="Y22" s="39">
        <f t="shared" si="14"/>
        <v>12</v>
      </c>
      <c r="Z22" s="39">
        <f t="shared" si="14"/>
        <v>10</v>
      </c>
      <c r="AA22" s="39">
        <f t="shared" si="14"/>
        <v>0</v>
      </c>
      <c r="AB22" s="39">
        <f t="shared" si="14"/>
        <v>0</v>
      </c>
      <c r="AC22" s="39">
        <f t="shared" si="14"/>
        <v>142</v>
      </c>
      <c r="AD22" s="39">
        <f t="shared" si="14"/>
        <v>0</v>
      </c>
      <c r="AE22" s="40">
        <f t="shared" si="14"/>
        <v>222</v>
      </c>
      <c r="AF22" s="40">
        <f t="shared" si="14"/>
        <v>340</v>
      </c>
    </row>
    <row r="23" spans="2:32" ht="23.1" customHeight="1" x14ac:dyDescent="0.25">
      <c r="B23" s="23" t="s">
        <v>50</v>
      </c>
      <c r="C23" s="50">
        <v>18</v>
      </c>
      <c r="D23" s="50">
        <v>4</v>
      </c>
      <c r="E23" s="50">
        <v>4</v>
      </c>
      <c r="F23" s="50">
        <v>1</v>
      </c>
      <c r="G23" s="50">
        <v>0</v>
      </c>
      <c r="H23" s="50">
        <v>0</v>
      </c>
      <c r="I23" s="50">
        <v>7</v>
      </c>
      <c r="J23" s="50">
        <v>1</v>
      </c>
      <c r="K23" s="50">
        <v>0</v>
      </c>
      <c r="L23" s="50">
        <v>0</v>
      </c>
      <c r="M23" s="50">
        <v>35</v>
      </c>
      <c r="N23" s="50">
        <v>0</v>
      </c>
      <c r="O23" s="15">
        <f t="shared" si="0"/>
        <v>35</v>
      </c>
      <c r="P23" s="15">
        <f t="shared" si="1"/>
        <v>70</v>
      </c>
      <c r="R23" s="38" t="s">
        <v>91</v>
      </c>
      <c r="S23" s="39">
        <f>MAX(S13:S18)</f>
        <v>132</v>
      </c>
      <c r="T23" s="39">
        <f t="shared" ref="T23:AF23" si="15">MAX(T13:T18)</f>
        <v>42</v>
      </c>
      <c r="U23" s="39">
        <f t="shared" si="15"/>
        <v>15</v>
      </c>
      <c r="V23" s="39">
        <f t="shared" si="15"/>
        <v>3</v>
      </c>
      <c r="W23" s="39">
        <f t="shared" si="15"/>
        <v>1</v>
      </c>
      <c r="X23" s="39">
        <f t="shared" si="15"/>
        <v>0</v>
      </c>
      <c r="Y23" s="39">
        <f t="shared" si="15"/>
        <v>13</v>
      </c>
      <c r="Z23" s="39">
        <f t="shared" si="15"/>
        <v>9</v>
      </c>
      <c r="AA23" s="39">
        <f t="shared" si="15"/>
        <v>2</v>
      </c>
      <c r="AB23" s="39">
        <f t="shared" si="15"/>
        <v>0</v>
      </c>
      <c r="AC23" s="39">
        <f t="shared" si="15"/>
        <v>117</v>
      </c>
      <c r="AD23" s="39">
        <f t="shared" si="15"/>
        <v>0</v>
      </c>
      <c r="AE23" s="40">
        <f t="shared" si="15"/>
        <v>207</v>
      </c>
      <c r="AF23" s="40">
        <f t="shared" si="15"/>
        <v>294</v>
      </c>
    </row>
    <row r="24" spans="2:32" ht="23.1" customHeight="1" x14ac:dyDescent="0.25">
      <c r="B24" s="23" t="s">
        <v>51</v>
      </c>
      <c r="C24" s="50">
        <v>17</v>
      </c>
      <c r="D24" s="50">
        <v>1</v>
      </c>
      <c r="E24" s="50">
        <v>1</v>
      </c>
      <c r="F24" s="50">
        <v>2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32</v>
      </c>
      <c r="N24" s="50">
        <v>0</v>
      </c>
      <c r="O24" s="15">
        <f t="shared" si="0"/>
        <v>23</v>
      </c>
      <c r="P24" s="15">
        <f t="shared" si="1"/>
        <v>55</v>
      </c>
      <c r="R24" s="38" t="s">
        <v>92</v>
      </c>
      <c r="S24" s="39">
        <f>MAX(S19:S21)</f>
        <v>160</v>
      </c>
      <c r="T24" s="39">
        <f t="shared" ref="T24:AF24" si="16">MAX(T19:T21)</f>
        <v>36</v>
      </c>
      <c r="U24" s="39">
        <f t="shared" si="16"/>
        <v>18</v>
      </c>
      <c r="V24" s="39">
        <f t="shared" si="16"/>
        <v>5</v>
      </c>
      <c r="W24" s="39">
        <f t="shared" si="16"/>
        <v>2</v>
      </c>
      <c r="X24" s="39">
        <f t="shared" si="16"/>
        <v>0</v>
      </c>
      <c r="Y24" s="39">
        <f t="shared" si="16"/>
        <v>17</v>
      </c>
      <c r="Z24" s="39">
        <f t="shared" si="16"/>
        <v>14</v>
      </c>
      <c r="AA24" s="39">
        <f t="shared" si="16"/>
        <v>4</v>
      </c>
      <c r="AB24" s="39">
        <f t="shared" si="16"/>
        <v>1</v>
      </c>
      <c r="AC24" s="39">
        <f t="shared" si="16"/>
        <v>133</v>
      </c>
      <c r="AD24" s="39">
        <f t="shared" si="16"/>
        <v>0</v>
      </c>
      <c r="AE24" s="40">
        <f t="shared" si="16"/>
        <v>246</v>
      </c>
      <c r="AF24" s="40">
        <f t="shared" si="16"/>
        <v>379</v>
      </c>
    </row>
    <row r="25" spans="2:32" ht="23.1" customHeight="1" x14ac:dyDescent="0.25">
      <c r="B25" s="23" t="s">
        <v>52</v>
      </c>
      <c r="C25" s="50">
        <v>29</v>
      </c>
      <c r="D25" s="50">
        <v>3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4</v>
      </c>
      <c r="K25" s="50">
        <v>1</v>
      </c>
      <c r="L25" s="50">
        <v>0</v>
      </c>
      <c r="M25" s="50">
        <v>27</v>
      </c>
      <c r="N25" s="50">
        <v>0</v>
      </c>
      <c r="O25" s="15">
        <f t="shared" si="0"/>
        <v>39</v>
      </c>
      <c r="P25" s="15">
        <f t="shared" si="1"/>
        <v>66</v>
      </c>
      <c r="R25" s="37" t="s">
        <v>85</v>
      </c>
      <c r="S25" s="35">
        <f t="shared" ref="S25:AF25" si="17">SUM(S10:S12)</f>
        <v>456</v>
      </c>
      <c r="T25" s="16">
        <f t="shared" si="17"/>
        <v>29</v>
      </c>
      <c r="U25" s="16">
        <f t="shared" si="17"/>
        <v>43</v>
      </c>
      <c r="V25" s="16">
        <f t="shared" si="17"/>
        <v>9</v>
      </c>
      <c r="W25" s="16">
        <f t="shared" si="17"/>
        <v>1</v>
      </c>
      <c r="X25" s="16">
        <f t="shared" si="17"/>
        <v>0</v>
      </c>
      <c r="Y25" s="16">
        <f t="shared" si="17"/>
        <v>22</v>
      </c>
      <c r="Z25" s="16">
        <f t="shared" si="17"/>
        <v>19</v>
      </c>
      <c r="AA25" s="16">
        <f t="shared" si="17"/>
        <v>0</v>
      </c>
      <c r="AB25" s="16">
        <f t="shared" si="17"/>
        <v>0</v>
      </c>
      <c r="AC25" s="16">
        <f t="shared" si="17"/>
        <v>383</v>
      </c>
      <c r="AD25" s="16">
        <f t="shared" si="17"/>
        <v>0</v>
      </c>
      <c r="AE25" s="32">
        <f t="shared" si="17"/>
        <v>579</v>
      </c>
      <c r="AF25" s="32">
        <f t="shared" si="17"/>
        <v>962</v>
      </c>
    </row>
    <row r="26" spans="2:32" ht="23.1" customHeight="1" x14ac:dyDescent="0.25">
      <c r="B26" s="23" t="s">
        <v>53</v>
      </c>
      <c r="C26" s="50">
        <v>22</v>
      </c>
      <c r="D26" s="50">
        <v>1</v>
      </c>
      <c r="E26" s="50">
        <v>1</v>
      </c>
      <c r="F26" s="50">
        <v>0</v>
      </c>
      <c r="G26" s="50">
        <v>1</v>
      </c>
      <c r="H26" s="50">
        <v>0</v>
      </c>
      <c r="I26" s="50">
        <v>4</v>
      </c>
      <c r="J26" s="50">
        <v>1</v>
      </c>
      <c r="K26" s="50">
        <v>0</v>
      </c>
      <c r="L26" s="50">
        <v>0</v>
      </c>
      <c r="M26" s="50">
        <v>25</v>
      </c>
      <c r="N26" s="50">
        <v>0</v>
      </c>
      <c r="O26" s="15">
        <f t="shared" si="0"/>
        <v>30</v>
      </c>
      <c r="P26" s="15">
        <f t="shared" si="1"/>
        <v>55</v>
      </c>
      <c r="R26" s="28" t="s">
        <v>86</v>
      </c>
      <c r="S26" s="16">
        <f t="shared" ref="S26:AF26" si="18">SUM(S13:S18)</f>
        <v>554</v>
      </c>
      <c r="T26" s="16">
        <f t="shared" si="18"/>
        <v>106</v>
      </c>
      <c r="U26" s="16">
        <f t="shared" si="18"/>
        <v>64</v>
      </c>
      <c r="V26" s="16">
        <f t="shared" si="18"/>
        <v>6</v>
      </c>
      <c r="W26" s="16">
        <f t="shared" si="18"/>
        <v>2</v>
      </c>
      <c r="X26" s="16">
        <f t="shared" si="18"/>
        <v>0</v>
      </c>
      <c r="Y26" s="16">
        <f t="shared" si="18"/>
        <v>67</v>
      </c>
      <c r="Z26" s="16">
        <f t="shared" si="18"/>
        <v>30</v>
      </c>
      <c r="AA26" s="16">
        <f t="shared" si="18"/>
        <v>4</v>
      </c>
      <c r="AB26" s="16">
        <f t="shared" si="18"/>
        <v>0</v>
      </c>
      <c r="AC26" s="16">
        <f t="shared" si="18"/>
        <v>607</v>
      </c>
      <c r="AD26" s="16">
        <f t="shared" si="18"/>
        <v>0</v>
      </c>
      <c r="AE26" s="32">
        <f t="shared" si="18"/>
        <v>833</v>
      </c>
      <c r="AF26" s="32">
        <f t="shared" si="18"/>
        <v>1440</v>
      </c>
    </row>
    <row r="27" spans="2:32" ht="23.1" customHeight="1" x14ac:dyDescent="0.25">
      <c r="B27" s="23" t="s">
        <v>54</v>
      </c>
      <c r="C27" s="50">
        <v>27</v>
      </c>
      <c r="D27" s="50">
        <v>3</v>
      </c>
      <c r="E27" s="50">
        <v>3</v>
      </c>
      <c r="F27" s="50">
        <v>0</v>
      </c>
      <c r="G27" s="50">
        <v>0</v>
      </c>
      <c r="H27" s="50">
        <v>0</v>
      </c>
      <c r="I27" s="50">
        <v>3</v>
      </c>
      <c r="J27" s="50">
        <v>2</v>
      </c>
      <c r="K27" s="50">
        <v>0</v>
      </c>
      <c r="L27" s="50">
        <v>0</v>
      </c>
      <c r="M27" s="50">
        <v>35</v>
      </c>
      <c r="N27" s="50">
        <v>0</v>
      </c>
      <c r="O27" s="15">
        <f t="shared" si="0"/>
        <v>38</v>
      </c>
      <c r="P27" s="15">
        <f t="shared" si="1"/>
        <v>73</v>
      </c>
      <c r="R27" s="29" t="s">
        <v>87</v>
      </c>
      <c r="S27" s="16">
        <f t="shared" ref="S27:AF27" si="19">SUM(S19:S21)</f>
        <v>446</v>
      </c>
      <c r="T27" s="16">
        <f t="shared" si="19"/>
        <v>76</v>
      </c>
      <c r="U27" s="16">
        <f t="shared" si="19"/>
        <v>46</v>
      </c>
      <c r="V27" s="16">
        <f t="shared" si="19"/>
        <v>10</v>
      </c>
      <c r="W27" s="16">
        <f t="shared" si="19"/>
        <v>4</v>
      </c>
      <c r="X27" s="16">
        <f t="shared" si="19"/>
        <v>0</v>
      </c>
      <c r="Y27" s="16">
        <f t="shared" si="19"/>
        <v>29</v>
      </c>
      <c r="Z27" s="16">
        <f t="shared" si="19"/>
        <v>34</v>
      </c>
      <c r="AA27" s="16">
        <f t="shared" si="19"/>
        <v>6</v>
      </c>
      <c r="AB27" s="16">
        <f t="shared" si="19"/>
        <v>1</v>
      </c>
      <c r="AC27" s="16">
        <f t="shared" si="19"/>
        <v>375</v>
      </c>
      <c r="AD27" s="16">
        <f t="shared" si="19"/>
        <v>0</v>
      </c>
      <c r="AE27" s="32">
        <f t="shared" si="19"/>
        <v>652</v>
      </c>
      <c r="AF27" s="32">
        <f t="shared" si="19"/>
        <v>1027</v>
      </c>
    </row>
    <row r="28" spans="2:32" ht="23.1" customHeight="1" x14ac:dyDescent="0.25">
      <c r="B28" s="23" t="s">
        <v>55</v>
      </c>
      <c r="C28" s="50">
        <v>23</v>
      </c>
      <c r="D28" s="50">
        <v>3</v>
      </c>
      <c r="E28" s="50">
        <v>2</v>
      </c>
      <c r="F28" s="50">
        <v>0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21</v>
      </c>
      <c r="N28" s="50">
        <v>0</v>
      </c>
      <c r="O28" s="15">
        <f t="shared" si="0"/>
        <v>31</v>
      </c>
      <c r="P28" s="15">
        <f t="shared" si="1"/>
        <v>52</v>
      </c>
      <c r="R28" s="5" t="s">
        <v>17</v>
      </c>
      <c r="S28" s="16">
        <f t="shared" ref="S28:AF28" si="20">SUM(S10:S21)</f>
        <v>1456</v>
      </c>
      <c r="T28" s="16">
        <f t="shared" si="20"/>
        <v>211</v>
      </c>
      <c r="U28" s="16">
        <f t="shared" si="20"/>
        <v>153</v>
      </c>
      <c r="V28" s="16">
        <f t="shared" si="20"/>
        <v>25</v>
      </c>
      <c r="W28" s="16">
        <f t="shared" si="20"/>
        <v>7</v>
      </c>
      <c r="X28" s="16">
        <f t="shared" si="20"/>
        <v>0</v>
      </c>
      <c r="Y28" s="16">
        <f t="shared" si="20"/>
        <v>118</v>
      </c>
      <c r="Z28" s="16">
        <f t="shared" si="20"/>
        <v>83</v>
      </c>
      <c r="AA28" s="16">
        <f t="shared" si="20"/>
        <v>10</v>
      </c>
      <c r="AB28" s="16">
        <f t="shared" si="20"/>
        <v>1</v>
      </c>
      <c r="AC28" s="16">
        <f t="shared" si="20"/>
        <v>1365</v>
      </c>
      <c r="AD28" s="16">
        <f t="shared" si="20"/>
        <v>0</v>
      </c>
      <c r="AE28" s="32">
        <f t="shared" si="20"/>
        <v>2064</v>
      </c>
      <c r="AF28" s="32">
        <f t="shared" si="20"/>
        <v>3429</v>
      </c>
    </row>
    <row r="29" spans="2:32" ht="23.1" customHeight="1" x14ac:dyDescent="0.25">
      <c r="B29" s="23" t="s">
        <v>56</v>
      </c>
      <c r="C29" s="50">
        <v>22</v>
      </c>
      <c r="D29" s="50">
        <v>1</v>
      </c>
      <c r="E29" s="50">
        <v>5</v>
      </c>
      <c r="F29" s="50">
        <v>0</v>
      </c>
      <c r="G29" s="50">
        <v>0</v>
      </c>
      <c r="H29" s="50">
        <v>0</v>
      </c>
      <c r="I29" s="50">
        <v>2</v>
      </c>
      <c r="J29" s="50">
        <v>3</v>
      </c>
      <c r="K29" s="50">
        <v>0</v>
      </c>
      <c r="L29" s="50">
        <v>0</v>
      </c>
      <c r="M29" s="50">
        <v>25</v>
      </c>
      <c r="N29" s="50">
        <v>0</v>
      </c>
      <c r="O29" s="15">
        <f t="shared" si="0"/>
        <v>33</v>
      </c>
      <c r="P29" s="15">
        <f t="shared" si="1"/>
        <v>58</v>
      </c>
      <c r="R29"/>
      <c r="S29" s="20"/>
      <c r="T29" s="19"/>
    </row>
    <row r="30" spans="2:32" ht="23.1" customHeight="1" x14ac:dyDescent="0.25">
      <c r="B30" s="23" t="s">
        <v>57</v>
      </c>
      <c r="C30" s="50">
        <v>14</v>
      </c>
      <c r="D30" s="50">
        <v>3</v>
      </c>
      <c r="E30" s="50">
        <v>4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1</v>
      </c>
      <c r="L30" s="50">
        <v>0</v>
      </c>
      <c r="M30" s="50">
        <v>36</v>
      </c>
      <c r="N30" s="50">
        <v>0</v>
      </c>
      <c r="O30" s="15">
        <f t="shared" si="0"/>
        <v>24</v>
      </c>
      <c r="P30" s="15">
        <f t="shared" si="1"/>
        <v>60</v>
      </c>
    </row>
    <row r="31" spans="2:32" ht="23.1" customHeight="1" x14ac:dyDescent="0.25">
      <c r="B31" s="24" t="s">
        <v>58</v>
      </c>
      <c r="C31" s="50">
        <v>16</v>
      </c>
      <c r="D31" s="50">
        <v>3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18</v>
      </c>
      <c r="N31" s="50">
        <v>0</v>
      </c>
      <c r="O31" s="15">
        <f t="shared" si="0"/>
        <v>21</v>
      </c>
      <c r="P31" s="15">
        <f t="shared" si="1"/>
        <v>39</v>
      </c>
    </row>
    <row r="32" spans="2:32" ht="23.1" customHeight="1" x14ac:dyDescent="0.25">
      <c r="B32" s="24" t="s">
        <v>59</v>
      </c>
      <c r="C32" s="50">
        <v>20</v>
      </c>
      <c r="D32" s="50">
        <v>3</v>
      </c>
      <c r="E32" s="50">
        <v>1</v>
      </c>
      <c r="F32" s="50">
        <v>0</v>
      </c>
      <c r="G32" s="50">
        <v>0</v>
      </c>
      <c r="H32" s="50">
        <v>0</v>
      </c>
      <c r="I32" s="50">
        <v>3</v>
      </c>
      <c r="J32" s="50">
        <v>2</v>
      </c>
      <c r="K32" s="50">
        <v>0</v>
      </c>
      <c r="L32" s="50">
        <v>0</v>
      </c>
      <c r="M32" s="50">
        <v>20</v>
      </c>
      <c r="N32" s="50">
        <v>0</v>
      </c>
      <c r="O32" s="15">
        <f t="shared" si="0"/>
        <v>29</v>
      </c>
      <c r="P32" s="15">
        <f t="shared" si="1"/>
        <v>49</v>
      </c>
    </row>
    <row r="33" spans="2:20" ht="23.1" customHeight="1" x14ac:dyDescent="0.25">
      <c r="B33" s="23" t="s">
        <v>60</v>
      </c>
      <c r="C33" s="50">
        <v>21</v>
      </c>
      <c r="D33" s="50">
        <v>6</v>
      </c>
      <c r="E33" s="50">
        <v>1</v>
      </c>
      <c r="F33" s="50">
        <v>0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25</v>
      </c>
      <c r="N33" s="50">
        <v>0</v>
      </c>
      <c r="O33" s="15">
        <f t="shared" si="0"/>
        <v>31</v>
      </c>
      <c r="P33" s="15">
        <f t="shared" si="1"/>
        <v>56</v>
      </c>
    </row>
    <row r="34" spans="2:20" ht="23.1" customHeight="1" x14ac:dyDescent="0.25">
      <c r="B34" s="24" t="s">
        <v>61</v>
      </c>
      <c r="C34" s="50">
        <v>30</v>
      </c>
      <c r="D34" s="50">
        <v>4</v>
      </c>
      <c r="E34" s="50">
        <v>3</v>
      </c>
      <c r="F34" s="50">
        <v>0</v>
      </c>
      <c r="G34" s="50">
        <v>0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26</v>
      </c>
      <c r="N34" s="50">
        <v>0</v>
      </c>
      <c r="O34" s="15">
        <f t="shared" si="0"/>
        <v>41</v>
      </c>
      <c r="P34" s="15">
        <f t="shared" si="1"/>
        <v>67</v>
      </c>
    </row>
    <row r="35" spans="2:20" ht="23.1" customHeight="1" x14ac:dyDescent="0.25">
      <c r="B35" s="24" t="s">
        <v>62</v>
      </c>
      <c r="C35" s="50">
        <v>11</v>
      </c>
      <c r="D35" s="50">
        <v>2</v>
      </c>
      <c r="E35" s="50">
        <v>2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17</v>
      </c>
      <c r="P35" s="15">
        <f t="shared" si="1"/>
        <v>30</v>
      </c>
    </row>
    <row r="36" spans="2:20" ht="23.1" customHeight="1" x14ac:dyDescent="0.25">
      <c r="B36" s="24" t="s">
        <v>63</v>
      </c>
      <c r="C36" s="50">
        <v>29</v>
      </c>
      <c r="D36" s="50">
        <v>3</v>
      </c>
      <c r="E36" s="50">
        <v>1</v>
      </c>
      <c r="F36" s="50">
        <v>0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37</v>
      </c>
      <c r="N36" s="50">
        <v>0</v>
      </c>
      <c r="O36" s="15">
        <f t="shared" si="0"/>
        <v>37</v>
      </c>
      <c r="P36" s="15">
        <f t="shared" si="1"/>
        <v>74</v>
      </c>
    </row>
    <row r="37" spans="2:20" ht="23.1" customHeight="1" x14ac:dyDescent="0.25">
      <c r="B37" s="23" t="s">
        <v>64</v>
      </c>
      <c r="C37" s="50">
        <v>19</v>
      </c>
      <c r="D37" s="50">
        <v>2</v>
      </c>
      <c r="E37" s="50">
        <v>2</v>
      </c>
      <c r="F37" s="50">
        <v>0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21</v>
      </c>
      <c r="N37" s="50">
        <v>0</v>
      </c>
      <c r="O37" s="15">
        <f t="shared" si="0"/>
        <v>27</v>
      </c>
      <c r="P37" s="15">
        <f t="shared" si="1"/>
        <v>48</v>
      </c>
    </row>
    <row r="38" spans="2:20" ht="23.1" customHeight="1" x14ac:dyDescent="0.25">
      <c r="B38" s="24" t="s">
        <v>65</v>
      </c>
      <c r="C38" s="50">
        <v>13</v>
      </c>
      <c r="D38" s="50">
        <v>1</v>
      </c>
      <c r="E38" s="50">
        <v>1</v>
      </c>
      <c r="F38" s="50">
        <v>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29</v>
      </c>
      <c r="N38" s="50">
        <v>0</v>
      </c>
      <c r="O38" s="15">
        <f t="shared" si="0"/>
        <v>18</v>
      </c>
      <c r="P38" s="15">
        <f t="shared" si="1"/>
        <v>47</v>
      </c>
    </row>
    <row r="39" spans="2:20" ht="23.1" customHeight="1" x14ac:dyDescent="0.25">
      <c r="B39" s="24" t="s">
        <v>66</v>
      </c>
      <c r="C39" s="50">
        <v>20</v>
      </c>
      <c r="D39" s="50">
        <v>3</v>
      </c>
      <c r="E39" s="50">
        <v>1</v>
      </c>
      <c r="F39" s="50">
        <v>0</v>
      </c>
      <c r="G39" s="50">
        <v>0</v>
      </c>
      <c r="H39" s="50">
        <v>0</v>
      </c>
      <c r="I39" s="50">
        <v>1</v>
      </c>
      <c r="J39" s="50">
        <v>3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28</v>
      </c>
      <c r="P39" s="15">
        <f t="shared" si="1"/>
        <v>48</v>
      </c>
    </row>
    <row r="40" spans="2:20" ht="23.1" customHeight="1" x14ac:dyDescent="0.25">
      <c r="B40" s="24" t="s">
        <v>67</v>
      </c>
      <c r="C40" s="50">
        <v>25</v>
      </c>
      <c r="D40" s="50">
        <v>3</v>
      </c>
      <c r="E40" s="50">
        <v>4</v>
      </c>
      <c r="F40" s="50">
        <v>0</v>
      </c>
      <c r="G40" s="50">
        <v>1</v>
      </c>
      <c r="H40" s="50">
        <v>0</v>
      </c>
      <c r="I40" s="50">
        <v>2</v>
      </c>
      <c r="J40" s="50">
        <v>4</v>
      </c>
      <c r="K40" s="50">
        <v>2</v>
      </c>
      <c r="L40" s="50">
        <v>0</v>
      </c>
      <c r="M40" s="50">
        <v>31</v>
      </c>
      <c r="N40" s="50">
        <v>0</v>
      </c>
      <c r="O40" s="15">
        <f t="shared" si="0"/>
        <v>41</v>
      </c>
      <c r="P40" s="15">
        <f t="shared" si="1"/>
        <v>72</v>
      </c>
    </row>
    <row r="41" spans="2:20" ht="23.1" customHeight="1" x14ac:dyDescent="0.25">
      <c r="B41" s="23" t="s">
        <v>68</v>
      </c>
      <c r="C41" s="50">
        <v>23</v>
      </c>
      <c r="D41" s="50">
        <v>9</v>
      </c>
      <c r="E41" s="50">
        <v>8</v>
      </c>
      <c r="F41" s="50">
        <v>0</v>
      </c>
      <c r="G41" s="50">
        <v>0</v>
      </c>
      <c r="H41" s="50">
        <v>0</v>
      </c>
      <c r="I41" s="50">
        <v>6</v>
      </c>
      <c r="J41" s="50">
        <v>2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48</v>
      </c>
      <c r="P41" s="15">
        <f t="shared" si="1"/>
        <v>69</v>
      </c>
    </row>
    <row r="42" spans="2:20" ht="23.1" customHeight="1" x14ac:dyDescent="0.25">
      <c r="B42" s="24" t="s">
        <v>69</v>
      </c>
      <c r="C42" s="50">
        <v>28</v>
      </c>
      <c r="D42" s="50">
        <v>13</v>
      </c>
      <c r="E42" s="50">
        <v>3</v>
      </c>
      <c r="F42" s="50">
        <v>0</v>
      </c>
      <c r="G42" s="50">
        <v>0</v>
      </c>
      <c r="H42" s="50">
        <v>0</v>
      </c>
      <c r="I42" s="50">
        <v>1</v>
      </c>
      <c r="J42" s="50">
        <v>2</v>
      </c>
      <c r="K42" s="50">
        <v>0</v>
      </c>
      <c r="L42" s="50">
        <v>0</v>
      </c>
      <c r="M42" s="50">
        <v>31</v>
      </c>
      <c r="N42" s="50">
        <v>0</v>
      </c>
      <c r="O42" s="15">
        <f t="shared" si="0"/>
        <v>47</v>
      </c>
      <c r="P42" s="15">
        <f t="shared" si="1"/>
        <v>78</v>
      </c>
    </row>
    <row r="43" spans="2:20" ht="23.1" customHeight="1" x14ac:dyDescent="0.25">
      <c r="B43" s="23" t="s">
        <v>70</v>
      </c>
      <c r="C43" s="50">
        <v>32</v>
      </c>
      <c r="D43" s="50">
        <v>8</v>
      </c>
      <c r="E43" s="50">
        <v>7</v>
      </c>
      <c r="F43" s="50">
        <v>0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52</v>
      </c>
      <c r="P43" s="15">
        <f t="shared" si="1"/>
        <v>68</v>
      </c>
    </row>
    <row r="44" spans="2:20" ht="23.1" customHeight="1" x14ac:dyDescent="0.25">
      <c r="B44" s="25" t="s">
        <v>71</v>
      </c>
      <c r="C44" s="50">
        <v>34</v>
      </c>
      <c r="D44" s="50">
        <v>9</v>
      </c>
      <c r="E44" s="50">
        <v>4</v>
      </c>
      <c r="F44" s="50">
        <v>2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52</v>
      </c>
      <c r="P44" s="15">
        <f t="shared" si="1"/>
        <v>77</v>
      </c>
    </row>
    <row r="45" spans="2:20" ht="23.1" customHeight="1" x14ac:dyDescent="0.25">
      <c r="B45" s="23" t="s">
        <v>72</v>
      </c>
      <c r="C45" s="50">
        <v>38</v>
      </c>
      <c r="D45" s="50">
        <v>12</v>
      </c>
      <c r="E45" s="50">
        <v>1</v>
      </c>
      <c r="F45" s="50">
        <v>0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56</v>
      </c>
      <c r="P45" s="15">
        <f t="shared" si="1"/>
        <v>71</v>
      </c>
    </row>
    <row r="46" spans="2:20" ht="23.1" customHeight="1" x14ac:dyDescent="0.25">
      <c r="B46" s="24" t="s">
        <v>73</v>
      </c>
      <c r="C46" s="50">
        <v>35</v>
      </c>
      <c r="D46" s="50">
        <v>11</v>
      </c>
      <c r="E46" s="50">
        <v>4</v>
      </c>
      <c r="F46" s="50">
        <v>0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29</v>
      </c>
      <c r="N46" s="50">
        <v>0</v>
      </c>
      <c r="O46" s="15">
        <f t="shared" si="0"/>
        <v>55</v>
      </c>
      <c r="P46" s="15">
        <f t="shared" si="1"/>
        <v>84</v>
      </c>
      <c r="R46" s="8"/>
      <c r="T46"/>
    </row>
    <row r="47" spans="2:20" ht="23.1" customHeight="1" x14ac:dyDescent="0.25">
      <c r="B47" s="24" t="s">
        <v>74</v>
      </c>
      <c r="C47" s="50">
        <v>43</v>
      </c>
      <c r="D47" s="50">
        <v>11</v>
      </c>
      <c r="E47" s="50">
        <v>5</v>
      </c>
      <c r="F47" s="50">
        <v>1</v>
      </c>
      <c r="G47" s="50">
        <v>2</v>
      </c>
      <c r="H47" s="50">
        <v>0</v>
      </c>
      <c r="I47" s="50">
        <v>3</v>
      </c>
      <c r="J47" s="50">
        <v>1</v>
      </c>
      <c r="K47" s="50">
        <v>2</v>
      </c>
      <c r="L47" s="50">
        <v>0</v>
      </c>
      <c r="M47" s="50">
        <v>31</v>
      </c>
      <c r="N47" s="50">
        <v>0</v>
      </c>
      <c r="O47" s="15">
        <f t="shared" si="0"/>
        <v>68</v>
      </c>
      <c r="P47" s="15">
        <f t="shared" si="1"/>
        <v>99</v>
      </c>
      <c r="R47" s="8"/>
      <c r="T47"/>
    </row>
    <row r="48" spans="2:20" ht="23.1" customHeight="1" x14ac:dyDescent="0.25">
      <c r="B48" s="24" t="s">
        <v>75</v>
      </c>
      <c r="C48" s="50">
        <v>44</v>
      </c>
      <c r="D48" s="50">
        <v>12</v>
      </c>
      <c r="E48" s="50">
        <v>2</v>
      </c>
      <c r="F48" s="50">
        <v>0</v>
      </c>
      <c r="G48" s="50">
        <v>0</v>
      </c>
      <c r="H48" s="50">
        <v>0</v>
      </c>
      <c r="I48" s="50">
        <v>5</v>
      </c>
      <c r="J48" s="50">
        <v>7</v>
      </c>
      <c r="K48" s="50">
        <v>0</v>
      </c>
      <c r="L48" s="50">
        <v>1</v>
      </c>
      <c r="M48" s="50">
        <v>35</v>
      </c>
      <c r="N48" s="50">
        <v>0</v>
      </c>
      <c r="O48" s="15">
        <f t="shared" si="0"/>
        <v>71</v>
      </c>
      <c r="P48" s="15">
        <f t="shared" si="1"/>
        <v>106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2</v>
      </c>
      <c r="E49" s="50">
        <v>4</v>
      </c>
      <c r="F49" s="50">
        <v>0</v>
      </c>
      <c r="G49" s="50">
        <v>0</v>
      </c>
      <c r="H49" s="50">
        <v>0</v>
      </c>
      <c r="I49" s="50">
        <v>5</v>
      </c>
      <c r="J49" s="50">
        <v>3</v>
      </c>
      <c r="K49" s="50">
        <v>0</v>
      </c>
      <c r="L49" s="50">
        <v>0</v>
      </c>
      <c r="M49" s="50">
        <v>38</v>
      </c>
      <c r="N49" s="50">
        <v>0</v>
      </c>
      <c r="O49" s="15">
        <f t="shared" si="0"/>
        <v>52</v>
      </c>
      <c r="P49" s="15">
        <f t="shared" si="1"/>
        <v>90</v>
      </c>
      <c r="R49" s="8"/>
      <c r="T49"/>
    </row>
    <row r="50" spans="2:20" ht="23.1" customHeight="1" x14ac:dyDescent="0.25">
      <c r="B50" s="24" t="s">
        <v>77</v>
      </c>
      <c r="C50" s="50">
        <v>39</v>
      </c>
      <c r="D50" s="50">
        <v>7</v>
      </c>
      <c r="E50" s="50">
        <v>4</v>
      </c>
      <c r="F50" s="50">
        <v>0</v>
      </c>
      <c r="G50" s="50">
        <v>1</v>
      </c>
      <c r="H50" s="50">
        <v>0</v>
      </c>
      <c r="I50" s="50">
        <v>2</v>
      </c>
      <c r="J50" s="50">
        <v>4</v>
      </c>
      <c r="K50" s="50">
        <v>0</v>
      </c>
      <c r="L50" s="50">
        <v>0</v>
      </c>
      <c r="M50" s="50">
        <v>38</v>
      </c>
      <c r="N50" s="50">
        <v>0</v>
      </c>
      <c r="O50" s="15">
        <f t="shared" si="0"/>
        <v>57</v>
      </c>
      <c r="P50" s="15">
        <f t="shared" si="1"/>
        <v>95</v>
      </c>
      <c r="R50" s="8"/>
      <c r="T50"/>
    </row>
    <row r="51" spans="2:20" ht="23.1" customHeight="1" x14ac:dyDescent="0.25">
      <c r="B51" s="24" t="s">
        <v>78</v>
      </c>
      <c r="C51" s="50">
        <v>39</v>
      </c>
      <c r="D51" s="50">
        <v>8</v>
      </c>
      <c r="E51" s="50">
        <v>4</v>
      </c>
      <c r="F51" s="50">
        <v>4</v>
      </c>
      <c r="G51" s="50">
        <v>0</v>
      </c>
      <c r="H51" s="50">
        <v>0</v>
      </c>
      <c r="I51" s="50">
        <v>1</v>
      </c>
      <c r="J51" s="50">
        <v>2</v>
      </c>
      <c r="K51" s="50">
        <v>0</v>
      </c>
      <c r="L51" s="50">
        <v>0</v>
      </c>
      <c r="M51" s="50">
        <v>29</v>
      </c>
      <c r="N51" s="50">
        <v>0</v>
      </c>
      <c r="O51" s="15">
        <f t="shared" si="0"/>
        <v>58</v>
      </c>
      <c r="P51" s="15">
        <f t="shared" si="1"/>
        <v>87</v>
      </c>
      <c r="R51" s="8"/>
      <c r="T51"/>
    </row>
    <row r="52" spans="2:20" ht="23.1" customHeight="1" x14ac:dyDescent="0.25">
      <c r="B52" s="24" t="s">
        <v>79</v>
      </c>
      <c r="C52" s="50">
        <v>32</v>
      </c>
      <c r="D52" s="50">
        <v>4</v>
      </c>
      <c r="E52" s="50">
        <v>9</v>
      </c>
      <c r="F52" s="50">
        <v>1</v>
      </c>
      <c r="G52" s="50">
        <v>0</v>
      </c>
      <c r="H52" s="50">
        <v>0</v>
      </c>
      <c r="I52" s="50">
        <v>0</v>
      </c>
      <c r="J52" s="50">
        <v>4</v>
      </c>
      <c r="K52" s="50">
        <v>1</v>
      </c>
      <c r="L52" s="50">
        <v>0</v>
      </c>
      <c r="M52" s="50">
        <v>34</v>
      </c>
      <c r="N52" s="50">
        <v>0</v>
      </c>
      <c r="O52" s="15">
        <f t="shared" si="0"/>
        <v>51</v>
      </c>
      <c r="P52" s="15">
        <f t="shared" si="1"/>
        <v>85</v>
      </c>
      <c r="R52" s="8"/>
      <c r="T52"/>
    </row>
    <row r="53" spans="2:20" ht="23.1" customHeight="1" x14ac:dyDescent="0.25">
      <c r="B53" s="23" t="s">
        <v>80</v>
      </c>
      <c r="C53" s="50">
        <v>29</v>
      </c>
      <c r="D53" s="50">
        <v>2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4</v>
      </c>
      <c r="K53" s="50">
        <v>3</v>
      </c>
      <c r="L53" s="50">
        <v>0</v>
      </c>
      <c r="M53" s="50">
        <v>20</v>
      </c>
      <c r="N53" s="50">
        <v>0</v>
      </c>
      <c r="O53" s="15">
        <f t="shared" si="0"/>
        <v>39</v>
      </c>
      <c r="P53" s="15">
        <f t="shared" si="1"/>
        <v>59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5</v>
      </c>
      <c r="E54" s="50">
        <v>4</v>
      </c>
      <c r="F54" s="50">
        <v>1</v>
      </c>
      <c r="G54" s="50">
        <v>0</v>
      </c>
      <c r="H54" s="50">
        <v>0</v>
      </c>
      <c r="I54" s="50">
        <v>0</v>
      </c>
      <c r="J54" s="50">
        <v>3</v>
      </c>
      <c r="K54" s="50">
        <v>0</v>
      </c>
      <c r="L54" s="50">
        <v>0</v>
      </c>
      <c r="M54" s="50">
        <v>44</v>
      </c>
      <c r="N54" s="50">
        <v>0</v>
      </c>
      <c r="O54" s="15">
        <f t="shared" si="0"/>
        <v>46</v>
      </c>
      <c r="P54" s="15">
        <f t="shared" si="1"/>
        <v>90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5</v>
      </c>
      <c r="E55" s="50">
        <v>6</v>
      </c>
      <c r="F55" s="50">
        <v>2</v>
      </c>
      <c r="G55" s="50">
        <v>1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22</v>
      </c>
      <c r="N55" s="50">
        <v>0</v>
      </c>
      <c r="O55" s="15">
        <f t="shared" si="0"/>
        <v>54</v>
      </c>
      <c r="P55" s="15">
        <f t="shared" si="1"/>
        <v>76</v>
      </c>
      <c r="R55" s="8"/>
      <c r="T55"/>
    </row>
    <row r="56" spans="2:20" ht="23.1" customHeight="1" x14ac:dyDescent="0.25">
      <c r="B56" s="23" t="s">
        <v>83</v>
      </c>
      <c r="C56" s="50">
        <v>49</v>
      </c>
      <c r="D56" s="50">
        <v>2</v>
      </c>
      <c r="E56" s="50">
        <v>1</v>
      </c>
      <c r="F56" s="50">
        <v>0</v>
      </c>
      <c r="G56" s="50">
        <v>0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27</v>
      </c>
      <c r="N56" s="50">
        <v>0</v>
      </c>
      <c r="O56" s="15">
        <f t="shared" si="0"/>
        <v>57</v>
      </c>
      <c r="P56" s="15">
        <f t="shared" si="1"/>
        <v>84</v>
      </c>
      <c r="R56" s="8"/>
      <c r="T56"/>
    </row>
    <row r="57" spans="2:20" ht="23.1" customHeight="1" x14ac:dyDescent="0.25">
      <c r="B57" s="23" t="s">
        <v>84</v>
      </c>
      <c r="C57" s="50">
        <v>28</v>
      </c>
      <c r="D57" s="50">
        <v>7</v>
      </c>
      <c r="E57" s="50">
        <v>2</v>
      </c>
      <c r="F57" s="50">
        <v>1</v>
      </c>
      <c r="G57" s="50">
        <v>0</v>
      </c>
      <c r="H57" s="50">
        <v>0</v>
      </c>
      <c r="I57" s="50">
        <v>4</v>
      </c>
      <c r="J57" s="50">
        <v>2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44</v>
      </c>
      <c r="P57" s="15">
        <f t="shared" si="1"/>
        <v>72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1456</v>
      </c>
      <c r="D58" s="16">
        <f t="shared" si="21"/>
        <v>211</v>
      </c>
      <c r="E58" s="16">
        <f t="shared" si="21"/>
        <v>153</v>
      </c>
      <c r="F58" s="16">
        <f t="shared" si="21"/>
        <v>25</v>
      </c>
      <c r="G58" s="16">
        <f t="shared" si="21"/>
        <v>7</v>
      </c>
      <c r="H58" s="16">
        <f t="shared" si="21"/>
        <v>0</v>
      </c>
      <c r="I58" s="16">
        <f t="shared" si="21"/>
        <v>118</v>
      </c>
      <c r="J58" s="16">
        <f t="shared" si="21"/>
        <v>83</v>
      </c>
      <c r="K58" s="16">
        <f t="shared" si="21"/>
        <v>10</v>
      </c>
      <c r="L58" s="16">
        <f t="shared" si="21"/>
        <v>1</v>
      </c>
      <c r="M58" s="16">
        <f t="shared" si="21"/>
        <v>1365</v>
      </c>
      <c r="N58" s="16">
        <f t="shared" si="21"/>
        <v>0</v>
      </c>
      <c r="O58" s="16">
        <f t="shared" si="21"/>
        <v>2064</v>
      </c>
      <c r="P58" s="16">
        <f t="shared" si="21"/>
        <v>3429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0.4246135899679207</v>
      </c>
      <c r="D59" s="43">
        <f t="shared" si="22"/>
        <v>6.1533974919801691E-2</v>
      </c>
      <c r="E59" s="43">
        <f t="shared" si="22"/>
        <v>4.4619422572178477E-2</v>
      </c>
      <c r="F59" s="43">
        <f t="shared" si="22"/>
        <v>7.2907553222513856E-3</v>
      </c>
      <c r="G59" s="43">
        <f t="shared" si="22"/>
        <v>2.0414114902303879E-3</v>
      </c>
      <c r="H59" s="43">
        <f t="shared" si="22"/>
        <v>0</v>
      </c>
      <c r="I59" s="43">
        <f t="shared" si="22"/>
        <v>3.4412365121026536E-2</v>
      </c>
      <c r="J59" s="43">
        <f t="shared" si="22"/>
        <v>2.4205307669874599E-2</v>
      </c>
      <c r="K59" s="43">
        <f t="shared" si="22"/>
        <v>2.9163021289005542E-3</v>
      </c>
      <c r="L59" s="43">
        <f t="shared" si="22"/>
        <v>2.9163021289005544E-4</v>
      </c>
      <c r="M59" s="43">
        <f t="shared" si="22"/>
        <v>0.39807524059492566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0.70542635658914732</v>
      </c>
      <c r="D60" s="44">
        <f t="shared" ref="D60:N60" si="23">D58/$O$58</f>
        <v>0.10222868217054264</v>
      </c>
      <c r="E60" s="44">
        <f t="shared" si="23"/>
        <v>7.4127906976744193E-2</v>
      </c>
      <c r="F60" s="44">
        <f t="shared" si="23"/>
        <v>1.2112403100775194E-2</v>
      </c>
      <c r="G60" s="44">
        <f t="shared" si="23"/>
        <v>3.3914728682170542E-3</v>
      </c>
      <c r="H60" s="44">
        <f t="shared" si="23"/>
        <v>0</v>
      </c>
      <c r="I60" s="44">
        <f t="shared" si="23"/>
        <v>5.7170542635658912E-2</v>
      </c>
      <c r="J60" s="44">
        <f t="shared" si="23"/>
        <v>4.0213178294573645E-2</v>
      </c>
      <c r="K60" s="44">
        <f t="shared" si="23"/>
        <v>4.8449612403100775E-3</v>
      </c>
      <c r="L60" s="44">
        <f t="shared" si="23"/>
        <v>4.8449612403100775E-4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52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6" t="str">
        <f>'23.09.19 Bweya- Kajansi'!C3:G3</f>
        <v>MCC-C2-STNO 56 -Munyonyo spur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6" t="s">
        <v>182</v>
      </c>
      <c r="E5" s="3"/>
      <c r="F5" s="41" t="s">
        <v>1</v>
      </c>
      <c r="G5" s="61" t="str">
        <f>'27.09Kasjansi-Munyonyo'!G5:H5</f>
        <v>Munyonyo Spur RD</v>
      </c>
      <c r="H5" s="62"/>
      <c r="I5" s="14"/>
      <c r="J5" s="2" t="s">
        <v>5</v>
      </c>
      <c r="K5" s="61" t="str">
        <f>'27.09Kasjansi-Munyonyo'!K5:L5</f>
        <v>Akello Rosette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172</v>
      </c>
      <c r="E6" s="62"/>
      <c r="F6" s="2" t="s">
        <v>2</v>
      </c>
      <c r="G6" s="61" t="str">
        <f>'23.09.19 Bweya- Kajansi'!G6:H6</f>
        <v>KAJANSI</v>
      </c>
      <c r="H6" s="62"/>
      <c r="J6" s="2" t="s">
        <v>21</v>
      </c>
      <c r="K6" s="61" t="str">
        <f>'27.09Kasjansi-Munyonyo'!K6:L6</f>
        <v>Beatrice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28</v>
      </c>
      <c r="D10" s="50">
        <v>7</v>
      </c>
      <c r="E10" s="50">
        <v>1</v>
      </c>
      <c r="F10" s="50">
        <v>1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37</v>
      </c>
      <c r="N10" s="50">
        <v>0</v>
      </c>
      <c r="O10" s="15">
        <f t="shared" ref="O10:O57" si="0">SUM(C10:L10,N10)</f>
        <v>40</v>
      </c>
      <c r="P10" s="15">
        <f t="shared" ref="P10:P57" si="1">SUM(C10:N10)</f>
        <v>77</v>
      </c>
      <c r="R10" s="1" t="s">
        <v>6</v>
      </c>
      <c r="S10" s="17">
        <f t="shared" ref="S10:AF10" si="2">SUM(C10:C13)</f>
        <v>118</v>
      </c>
      <c r="T10" s="17">
        <f t="shared" si="2"/>
        <v>41</v>
      </c>
      <c r="U10" s="17">
        <f t="shared" si="2"/>
        <v>9</v>
      </c>
      <c r="V10" s="17">
        <f t="shared" si="2"/>
        <v>8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195</v>
      </c>
      <c r="AD10" s="17">
        <f t="shared" si="2"/>
        <v>0</v>
      </c>
      <c r="AE10" s="31">
        <f t="shared" si="2"/>
        <v>182</v>
      </c>
      <c r="AF10" s="31">
        <f t="shared" si="2"/>
        <v>377</v>
      </c>
    </row>
    <row r="11" spans="2:32" s="6" customFormat="1" ht="23.1" customHeight="1" x14ac:dyDescent="0.25">
      <c r="B11" s="45" t="s">
        <v>38</v>
      </c>
      <c r="C11" s="50">
        <v>31</v>
      </c>
      <c r="D11" s="50">
        <v>11</v>
      </c>
      <c r="E11" s="50">
        <v>2</v>
      </c>
      <c r="F11" s="50">
        <v>2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42</v>
      </c>
      <c r="N11" s="50">
        <v>0</v>
      </c>
      <c r="O11" s="15">
        <f t="shared" si="0"/>
        <v>48</v>
      </c>
      <c r="P11" s="15">
        <f t="shared" si="1"/>
        <v>90</v>
      </c>
      <c r="R11" s="1" t="s">
        <v>7</v>
      </c>
      <c r="S11" s="17">
        <f t="shared" ref="S11:AF11" si="3">SUM(C14:C17)</f>
        <v>139</v>
      </c>
      <c r="T11" s="17">
        <f t="shared" si="3"/>
        <v>40</v>
      </c>
      <c r="U11" s="17">
        <f t="shared" si="3"/>
        <v>13</v>
      </c>
      <c r="V11" s="17">
        <f t="shared" si="3"/>
        <v>7</v>
      </c>
      <c r="W11" s="17">
        <f t="shared" si="3"/>
        <v>1</v>
      </c>
      <c r="X11" s="17">
        <f t="shared" si="3"/>
        <v>1</v>
      </c>
      <c r="Y11" s="17">
        <f t="shared" si="3"/>
        <v>13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126</v>
      </c>
      <c r="AD11" s="17">
        <f t="shared" si="3"/>
        <v>0</v>
      </c>
      <c r="AE11" s="31">
        <f t="shared" si="3"/>
        <v>214</v>
      </c>
      <c r="AF11" s="31">
        <f t="shared" si="3"/>
        <v>340</v>
      </c>
    </row>
    <row r="12" spans="2:32" ht="23.1" customHeight="1" x14ac:dyDescent="0.25">
      <c r="B12" s="45" t="s">
        <v>39</v>
      </c>
      <c r="C12" s="50">
        <v>26</v>
      </c>
      <c r="D12" s="50">
        <v>7</v>
      </c>
      <c r="E12" s="50">
        <v>3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63</v>
      </c>
      <c r="N12" s="50">
        <v>0</v>
      </c>
      <c r="O12" s="15">
        <f t="shared" si="0"/>
        <v>39</v>
      </c>
      <c r="P12" s="15">
        <f t="shared" si="1"/>
        <v>102</v>
      </c>
      <c r="R12" s="1" t="s">
        <v>8</v>
      </c>
      <c r="S12" s="17">
        <f t="shared" ref="S12:AF12" si="4">SUM(C18:C21)</f>
        <v>86</v>
      </c>
      <c r="T12" s="17">
        <f t="shared" si="4"/>
        <v>27</v>
      </c>
      <c r="U12" s="17">
        <f t="shared" si="4"/>
        <v>10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1</v>
      </c>
      <c r="AA12" s="17">
        <f t="shared" si="4"/>
        <v>2</v>
      </c>
      <c r="AB12" s="17">
        <f t="shared" si="4"/>
        <v>1</v>
      </c>
      <c r="AC12" s="17">
        <f t="shared" si="4"/>
        <v>126</v>
      </c>
      <c r="AD12" s="17">
        <f t="shared" si="4"/>
        <v>0</v>
      </c>
      <c r="AE12" s="31">
        <f t="shared" si="4"/>
        <v>145</v>
      </c>
      <c r="AF12" s="31">
        <f t="shared" si="4"/>
        <v>271</v>
      </c>
    </row>
    <row r="13" spans="2:32" ht="23.1" customHeight="1" x14ac:dyDescent="0.25">
      <c r="B13" s="45" t="s">
        <v>40</v>
      </c>
      <c r="C13" s="50">
        <v>33</v>
      </c>
      <c r="D13" s="50">
        <v>16</v>
      </c>
      <c r="E13" s="50">
        <v>3</v>
      </c>
      <c r="F13" s="50">
        <v>2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53</v>
      </c>
      <c r="N13" s="50">
        <v>0</v>
      </c>
      <c r="O13" s="15">
        <f t="shared" si="0"/>
        <v>55</v>
      </c>
      <c r="P13" s="15">
        <f t="shared" si="1"/>
        <v>108</v>
      </c>
      <c r="R13" s="1" t="s">
        <v>9</v>
      </c>
      <c r="S13" s="17">
        <f t="shared" ref="S13:AF13" si="5">SUM(C22:C25)</f>
        <v>107</v>
      </c>
      <c r="T13" s="17">
        <f t="shared" si="5"/>
        <v>39</v>
      </c>
      <c r="U13" s="17">
        <f t="shared" si="5"/>
        <v>13</v>
      </c>
      <c r="V13" s="17">
        <f t="shared" si="5"/>
        <v>6</v>
      </c>
      <c r="W13" s="17">
        <f t="shared" si="5"/>
        <v>4</v>
      </c>
      <c r="X13" s="17">
        <f t="shared" si="5"/>
        <v>0</v>
      </c>
      <c r="Y13" s="17">
        <f t="shared" si="5"/>
        <v>13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136</v>
      </c>
      <c r="AD13" s="17">
        <f t="shared" si="5"/>
        <v>0</v>
      </c>
      <c r="AE13" s="31">
        <f t="shared" si="5"/>
        <v>183</v>
      </c>
      <c r="AF13" s="31">
        <f t="shared" si="5"/>
        <v>319</v>
      </c>
    </row>
    <row r="14" spans="2:32" ht="23.1" customHeight="1" x14ac:dyDescent="0.25">
      <c r="B14" s="45" t="s">
        <v>41</v>
      </c>
      <c r="C14" s="50">
        <v>35</v>
      </c>
      <c r="D14" s="50">
        <v>6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45</v>
      </c>
      <c r="P14" s="15">
        <f t="shared" si="1"/>
        <v>58</v>
      </c>
      <c r="R14" s="1" t="s">
        <v>10</v>
      </c>
      <c r="S14" s="17">
        <f t="shared" ref="S14:AF14" si="6">SUM(C26:C29)</f>
        <v>93</v>
      </c>
      <c r="T14" s="17">
        <f t="shared" si="6"/>
        <v>28</v>
      </c>
      <c r="U14" s="17">
        <f t="shared" si="6"/>
        <v>26</v>
      </c>
      <c r="V14" s="17">
        <f t="shared" si="6"/>
        <v>15</v>
      </c>
      <c r="W14" s="17">
        <f t="shared" si="6"/>
        <v>0</v>
      </c>
      <c r="X14" s="17">
        <f t="shared" si="6"/>
        <v>4</v>
      </c>
      <c r="Y14" s="17">
        <f t="shared" si="6"/>
        <v>8</v>
      </c>
      <c r="Z14" s="17">
        <f t="shared" si="6"/>
        <v>2</v>
      </c>
      <c r="AA14" s="17">
        <f t="shared" si="6"/>
        <v>0</v>
      </c>
      <c r="AB14" s="17">
        <f t="shared" si="6"/>
        <v>1</v>
      </c>
      <c r="AC14" s="17">
        <f t="shared" si="6"/>
        <v>112</v>
      </c>
      <c r="AD14" s="17">
        <f t="shared" si="6"/>
        <v>0</v>
      </c>
      <c r="AE14" s="31">
        <f t="shared" si="6"/>
        <v>177</v>
      </c>
      <c r="AF14" s="31">
        <f t="shared" si="6"/>
        <v>289</v>
      </c>
    </row>
    <row r="15" spans="2:32" ht="23.1" customHeight="1" x14ac:dyDescent="0.25">
      <c r="B15" s="45" t="s">
        <v>42</v>
      </c>
      <c r="C15" s="50">
        <v>31</v>
      </c>
      <c r="D15" s="50">
        <v>9</v>
      </c>
      <c r="E15" s="50">
        <v>2</v>
      </c>
      <c r="F15" s="50">
        <v>1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33</v>
      </c>
      <c r="N15" s="50">
        <v>0</v>
      </c>
      <c r="O15" s="15">
        <f t="shared" si="0"/>
        <v>48</v>
      </c>
      <c r="P15" s="15">
        <f t="shared" si="1"/>
        <v>81</v>
      </c>
      <c r="R15" s="1" t="s">
        <v>11</v>
      </c>
      <c r="S15" s="17">
        <f t="shared" ref="S15:AF15" si="7">SUM(C30:C33)</f>
        <v>116</v>
      </c>
      <c r="T15" s="17">
        <f t="shared" si="7"/>
        <v>31</v>
      </c>
      <c r="U15" s="17">
        <f t="shared" si="7"/>
        <v>22</v>
      </c>
      <c r="V15" s="17">
        <f t="shared" si="7"/>
        <v>10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103</v>
      </c>
      <c r="AD15" s="17">
        <f t="shared" si="7"/>
        <v>0</v>
      </c>
      <c r="AE15" s="31">
        <f t="shared" si="7"/>
        <v>199</v>
      </c>
      <c r="AF15" s="31">
        <f t="shared" si="7"/>
        <v>302</v>
      </c>
    </row>
    <row r="16" spans="2:32" ht="23.1" customHeight="1" x14ac:dyDescent="0.25">
      <c r="B16" s="45" t="s">
        <v>43</v>
      </c>
      <c r="C16" s="50">
        <v>37</v>
      </c>
      <c r="D16" s="50">
        <v>16</v>
      </c>
      <c r="E16" s="50">
        <v>2</v>
      </c>
      <c r="F16" s="50">
        <v>1</v>
      </c>
      <c r="G16" s="50">
        <v>1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40</v>
      </c>
      <c r="N16" s="50">
        <v>0</v>
      </c>
      <c r="O16" s="15">
        <f t="shared" si="0"/>
        <v>60</v>
      </c>
      <c r="P16" s="15">
        <f t="shared" si="1"/>
        <v>100</v>
      </c>
      <c r="R16" s="1" t="s">
        <v>12</v>
      </c>
      <c r="S16" s="17">
        <f t="shared" ref="S16:AF16" si="8">SUM(C34:C37)</f>
        <v>98</v>
      </c>
      <c r="T16" s="17">
        <f t="shared" si="8"/>
        <v>41</v>
      </c>
      <c r="U16" s="17">
        <f t="shared" si="8"/>
        <v>16</v>
      </c>
      <c r="V16" s="17">
        <f t="shared" si="8"/>
        <v>5</v>
      </c>
      <c r="W16" s="17">
        <f t="shared" si="8"/>
        <v>2</v>
      </c>
      <c r="X16" s="17">
        <f t="shared" si="8"/>
        <v>0</v>
      </c>
      <c r="Y16" s="17">
        <f t="shared" si="8"/>
        <v>15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112</v>
      </c>
      <c r="AD16" s="17">
        <f t="shared" si="8"/>
        <v>0</v>
      </c>
      <c r="AE16" s="31">
        <f t="shared" si="8"/>
        <v>177</v>
      </c>
      <c r="AF16" s="31">
        <f t="shared" si="8"/>
        <v>289</v>
      </c>
    </row>
    <row r="17" spans="2:32" ht="23.1" customHeight="1" x14ac:dyDescent="0.25">
      <c r="B17" s="45" t="s">
        <v>44</v>
      </c>
      <c r="C17" s="50">
        <v>36</v>
      </c>
      <c r="D17" s="50">
        <v>9</v>
      </c>
      <c r="E17" s="50">
        <v>8</v>
      </c>
      <c r="F17" s="50">
        <v>3</v>
      </c>
      <c r="G17" s="50">
        <v>0</v>
      </c>
      <c r="H17" s="50">
        <v>1</v>
      </c>
      <c r="I17" s="50">
        <v>4</v>
      </c>
      <c r="J17" s="50">
        <v>0</v>
      </c>
      <c r="K17" s="50">
        <v>0</v>
      </c>
      <c r="L17" s="50">
        <v>0</v>
      </c>
      <c r="M17" s="50">
        <v>40</v>
      </c>
      <c r="N17" s="50">
        <v>0</v>
      </c>
      <c r="O17" s="15">
        <f t="shared" si="0"/>
        <v>61</v>
      </c>
      <c r="P17" s="15">
        <f t="shared" si="1"/>
        <v>101</v>
      </c>
      <c r="R17" s="1" t="s">
        <v>13</v>
      </c>
      <c r="S17" s="17">
        <f t="shared" ref="S17:AF17" si="9">SUM(C38:C41)</f>
        <v>90</v>
      </c>
      <c r="T17" s="17">
        <f t="shared" si="9"/>
        <v>37</v>
      </c>
      <c r="U17" s="17">
        <f t="shared" si="9"/>
        <v>8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15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122</v>
      </c>
      <c r="AD17" s="17">
        <f t="shared" si="9"/>
        <v>0</v>
      </c>
      <c r="AE17" s="31">
        <f t="shared" si="9"/>
        <v>158</v>
      </c>
      <c r="AF17" s="31">
        <f t="shared" si="9"/>
        <v>280</v>
      </c>
    </row>
    <row r="18" spans="2:32" ht="23.1" customHeight="1" x14ac:dyDescent="0.25">
      <c r="B18" s="45" t="s">
        <v>45</v>
      </c>
      <c r="C18" s="50">
        <v>21</v>
      </c>
      <c r="D18" s="50">
        <v>6</v>
      </c>
      <c r="E18" s="50">
        <v>3</v>
      </c>
      <c r="F18" s="50">
        <v>3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32</v>
      </c>
      <c r="N18" s="50">
        <v>0</v>
      </c>
      <c r="O18" s="15">
        <f t="shared" si="0"/>
        <v>36</v>
      </c>
      <c r="P18" s="15">
        <f t="shared" si="1"/>
        <v>68</v>
      </c>
      <c r="R18" s="1" t="s">
        <v>14</v>
      </c>
      <c r="S18" s="17">
        <f t="shared" ref="S18:AF18" si="10">SUM(C42:C45)</f>
        <v>101</v>
      </c>
      <c r="T18" s="17">
        <f t="shared" si="10"/>
        <v>34</v>
      </c>
      <c r="U18" s="17">
        <f t="shared" si="10"/>
        <v>12</v>
      </c>
      <c r="V18" s="17">
        <f t="shared" si="10"/>
        <v>5</v>
      </c>
      <c r="W18" s="17">
        <f t="shared" si="10"/>
        <v>0</v>
      </c>
      <c r="X18" s="17">
        <f t="shared" si="10"/>
        <v>0</v>
      </c>
      <c r="Y18" s="17">
        <f t="shared" si="10"/>
        <v>18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124</v>
      </c>
      <c r="AD18" s="17">
        <f t="shared" si="10"/>
        <v>0</v>
      </c>
      <c r="AE18" s="31">
        <f t="shared" si="10"/>
        <v>170</v>
      </c>
      <c r="AF18" s="31">
        <f t="shared" si="10"/>
        <v>294</v>
      </c>
    </row>
    <row r="19" spans="2:32" ht="23.1" customHeight="1" x14ac:dyDescent="0.25">
      <c r="B19" s="45" t="s">
        <v>46</v>
      </c>
      <c r="C19" s="50">
        <v>18</v>
      </c>
      <c r="D19" s="50">
        <v>5</v>
      </c>
      <c r="E19" s="50">
        <v>2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34</v>
      </c>
      <c r="N19" s="50">
        <v>0</v>
      </c>
      <c r="O19" s="15">
        <f t="shared" si="0"/>
        <v>29</v>
      </c>
      <c r="P19" s="15">
        <f t="shared" si="1"/>
        <v>63</v>
      </c>
      <c r="R19" s="1" t="s">
        <v>15</v>
      </c>
      <c r="S19" s="17">
        <f t="shared" ref="S19:AF19" si="11">SUM(C46:C49)</f>
        <v>134</v>
      </c>
      <c r="T19" s="17">
        <f t="shared" si="11"/>
        <v>26</v>
      </c>
      <c r="U19" s="17">
        <f t="shared" si="11"/>
        <v>18</v>
      </c>
      <c r="V19" s="17">
        <f t="shared" si="11"/>
        <v>5</v>
      </c>
      <c r="W19" s="17">
        <f t="shared" si="11"/>
        <v>1</v>
      </c>
      <c r="X19" s="17">
        <f t="shared" si="11"/>
        <v>0</v>
      </c>
      <c r="Y19" s="17">
        <f t="shared" si="11"/>
        <v>21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142</v>
      </c>
      <c r="AD19" s="17">
        <f t="shared" si="11"/>
        <v>0</v>
      </c>
      <c r="AE19" s="31">
        <f t="shared" si="11"/>
        <v>207</v>
      </c>
      <c r="AF19" s="31">
        <f t="shared" si="11"/>
        <v>349</v>
      </c>
    </row>
    <row r="20" spans="2:32" ht="23.1" customHeight="1" x14ac:dyDescent="0.25">
      <c r="B20" s="45" t="s">
        <v>47</v>
      </c>
      <c r="C20" s="50">
        <v>22</v>
      </c>
      <c r="D20" s="50">
        <v>8</v>
      </c>
      <c r="E20" s="50">
        <v>3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2</v>
      </c>
      <c r="L20" s="50">
        <v>1</v>
      </c>
      <c r="M20" s="50">
        <v>21</v>
      </c>
      <c r="N20" s="50">
        <v>0</v>
      </c>
      <c r="O20" s="15">
        <f t="shared" si="0"/>
        <v>39</v>
      </c>
      <c r="P20" s="15">
        <f t="shared" si="1"/>
        <v>60</v>
      </c>
      <c r="R20" s="1" t="s">
        <v>16</v>
      </c>
      <c r="S20" s="17">
        <f t="shared" ref="S20:AF20" si="12">SUM(C50:C53)</f>
        <v>145</v>
      </c>
      <c r="T20" s="17">
        <f t="shared" si="12"/>
        <v>34</v>
      </c>
      <c r="U20" s="17">
        <f t="shared" si="12"/>
        <v>21</v>
      </c>
      <c r="V20" s="17">
        <f t="shared" si="12"/>
        <v>8</v>
      </c>
      <c r="W20" s="17">
        <f t="shared" si="12"/>
        <v>3</v>
      </c>
      <c r="X20" s="17">
        <f t="shared" si="12"/>
        <v>0</v>
      </c>
      <c r="Y20" s="17">
        <f t="shared" si="12"/>
        <v>14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152</v>
      </c>
      <c r="AD20" s="17">
        <f t="shared" si="12"/>
        <v>0</v>
      </c>
      <c r="AE20" s="31">
        <f t="shared" si="12"/>
        <v>228</v>
      </c>
      <c r="AF20" s="31">
        <f t="shared" si="12"/>
        <v>380</v>
      </c>
    </row>
    <row r="21" spans="2:32" ht="23.1" customHeight="1" x14ac:dyDescent="0.25">
      <c r="B21" s="45" t="s">
        <v>48</v>
      </c>
      <c r="C21" s="50">
        <v>25</v>
      </c>
      <c r="D21" s="50">
        <v>8</v>
      </c>
      <c r="E21" s="50">
        <v>2</v>
      </c>
      <c r="F21" s="50">
        <v>1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39</v>
      </c>
      <c r="N21" s="50">
        <v>0</v>
      </c>
      <c r="O21" s="15">
        <f t="shared" si="0"/>
        <v>41</v>
      </c>
      <c r="P21" s="15">
        <f t="shared" si="1"/>
        <v>80</v>
      </c>
      <c r="R21" s="36" t="s">
        <v>20</v>
      </c>
      <c r="S21" s="34">
        <f t="shared" ref="S21:AF21" si="13">SUM(C54:C57)</f>
        <v>141</v>
      </c>
      <c r="T21" s="17">
        <f t="shared" si="13"/>
        <v>42</v>
      </c>
      <c r="U21" s="17">
        <f t="shared" si="13"/>
        <v>21</v>
      </c>
      <c r="V21" s="17">
        <f t="shared" si="13"/>
        <v>14</v>
      </c>
      <c r="W21" s="17">
        <f t="shared" si="13"/>
        <v>2</v>
      </c>
      <c r="X21" s="17">
        <f t="shared" si="13"/>
        <v>0</v>
      </c>
      <c r="Y21" s="17">
        <f t="shared" si="13"/>
        <v>15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199</v>
      </c>
      <c r="AD21" s="17">
        <f t="shared" si="13"/>
        <v>0</v>
      </c>
      <c r="AE21" s="31">
        <f t="shared" si="13"/>
        <v>235</v>
      </c>
      <c r="AF21" s="31">
        <f t="shared" si="13"/>
        <v>434</v>
      </c>
    </row>
    <row r="22" spans="2:32" ht="23.1" customHeight="1" x14ac:dyDescent="0.25">
      <c r="B22" s="45" t="s">
        <v>49</v>
      </c>
      <c r="C22" s="50">
        <v>21</v>
      </c>
      <c r="D22" s="50">
        <v>7</v>
      </c>
      <c r="E22" s="50">
        <v>6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36</v>
      </c>
      <c r="N22" s="50">
        <v>0</v>
      </c>
      <c r="O22" s="15">
        <f t="shared" si="0"/>
        <v>36</v>
      </c>
      <c r="P22" s="15">
        <f t="shared" si="1"/>
        <v>72</v>
      </c>
      <c r="R22" s="36" t="s">
        <v>146</v>
      </c>
      <c r="S22" s="34">
        <f>SUM(C58:C61)</f>
        <v>123</v>
      </c>
      <c r="T22" s="34">
        <f t="shared" ref="T22:AF22" si="14">SUM(D58:D61)</f>
        <v>53</v>
      </c>
      <c r="U22" s="34">
        <f t="shared" si="14"/>
        <v>21</v>
      </c>
      <c r="V22" s="34">
        <f t="shared" si="14"/>
        <v>11</v>
      </c>
      <c r="W22" s="34">
        <f t="shared" si="14"/>
        <v>0</v>
      </c>
      <c r="X22" s="34">
        <f t="shared" si="14"/>
        <v>0</v>
      </c>
      <c r="Y22" s="34">
        <f t="shared" si="14"/>
        <v>19</v>
      </c>
      <c r="Z22" s="34">
        <f t="shared" si="14"/>
        <v>4</v>
      </c>
      <c r="AA22" s="34">
        <f t="shared" si="14"/>
        <v>1</v>
      </c>
      <c r="AB22" s="34">
        <f t="shared" si="14"/>
        <v>0</v>
      </c>
      <c r="AC22" s="34">
        <f t="shared" si="14"/>
        <v>156</v>
      </c>
      <c r="AD22" s="34">
        <f t="shared" si="14"/>
        <v>0</v>
      </c>
      <c r="AE22" s="31">
        <f t="shared" si="14"/>
        <v>232</v>
      </c>
      <c r="AF22" s="31">
        <f t="shared" si="14"/>
        <v>388</v>
      </c>
    </row>
    <row r="23" spans="2:32" ht="23.1" customHeight="1" x14ac:dyDescent="0.25">
      <c r="B23" s="45" t="s">
        <v>50</v>
      </c>
      <c r="C23" s="50">
        <v>42</v>
      </c>
      <c r="D23" s="50">
        <v>10</v>
      </c>
      <c r="E23" s="50">
        <v>3</v>
      </c>
      <c r="F23" s="50">
        <v>3</v>
      </c>
      <c r="G23" s="50">
        <v>3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36</v>
      </c>
      <c r="N23" s="50">
        <v>0</v>
      </c>
      <c r="O23" s="15">
        <f t="shared" si="0"/>
        <v>62</v>
      </c>
      <c r="P23" s="15">
        <f t="shared" si="1"/>
        <v>98</v>
      </c>
      <c r="R23" s="36" t="s">
        <v>147</v>
      </c>
      <c r="S23" s="34">
        <f>SUM(C62:C65)</f>
        <v>111</v>
      </c>
      <c r="T23" s="34">
        <f t="shared" ref="T23:AF23" si="15">SUM(D62:D65)</f>
        <v>32</v>
      </c>
      <c r="U23" s="34">
        <f t="shared" si="15"/>
        <v>19</v>
      </c>
      <c r="V23" s="34">
        <f t="shared" si="15"/>
        <v>10</v>
      </c>
      <c r="W23" s="34">
        <f t="shared" si="15"/>
        <v>0</v>
      </c>
      <c r="X23" s="34">
        <f t="shared" si="15"/>
        <v>0</v>
      </c>
      <c r="Y23" s="34">
        <f t="shared" si="15"/>
        <v>10</v>
      </c>
      <c r="Z23" s="34">
        <f t="shared" si="15"/>
        <v>3</v>
      </c>
      <c r="AA23" s="34">
        <f t="shared" si="15"/>
        <v>2</v>
      </c>
      <c r="AB23" s="34">
        <f t="shared" si="15"/>
        <v>0</v>
      </c>
      <c r="AC23" s="34">
        <f t="shared" si="15"/>
        <v>142</v>
      </c>
      <c r="AD23" s="34">
        <f t="shared" si="15"/>
        <v>0</v>
      </c>
      <c r="AE23" s="31">
        <f t="shared" si="15"/>
        <v>187</v>
      </c>
      <c r="AF23" s="31">
        <f t="shared" si="15"/>
        <v>329</v>
      </c>
    </row>
    <row r="24" spans="2:32" ht="23.1" customHeight="1" x14ac:dyDescent="0.25">
      <c r="B24" s="45" t="s">
        <v>51</v>
      </c>
      <c r="C24" s="50">
        <v>18</v>
      </c>
      <c r="D24" s="50">
        <v>8</v>
      </c>
      <c r="E24" s="50">
        <v>0</v>
      </c>
      <c r="F24" s="50">
        <v>1</v>
      </c>
      <c r="G24" s="50">
        <v>0</v>
      </c>
      <c r="H24" s="50">
        <v>0</v>
      </c>
      <c r="I24" s="50">
        <v>5</v>
      </c>
      <c r="J24" s="50">
        <v>1</v>
      </c>
      <c r="K24" s="50">
        <v>0</v>
      </c>
      <c r="L24" s="50">
        <v>0</v>
      </c>
      <c r="M24" s="50">
        <v>32</v>
      </c>
      <c r="N24" s="50">
        <v>0</v>
      </c>
      <c r="O24" s="15">
        <f t="shared" si="0"/>
        <v>33</v>
      </c>
      <c r="P24" s="15">
        <f t="shared" si="1"/>
        <v>65</v>
      </c>
      <c r="R24" s="36" t="s">
        <v>148</v>
      </c>
      <c r="S24" s="34">
        <f>SUM(C66:C69)</f>
        <v>125</v>
      </c>
      <c r="T24" s="34">
        <f t="shared" ref="T24:AF24" si="16">SUM(D66:D69)</f>
        <v>40</v>
      </c>
      <c r="U24" s="34">
        <f t="shared" si="16"/>
        <v>10</v>
      </c>
      <c r="V24" s="34">
        <f t="shared" si="16"/>
        <v>2</v>
      </c>
      <c r="W24" s="34">
        <f t="shared" si="16"/>
        <v>1</v>
      </c>
      <c r="X24" s="34">
        <f t="shared" si="16"/>
        <v>0</v>
      </c>
      <c r="Y24" s="34">
        <f t="shared" si="16"/>
        <v>1</v>
      </c>
      <c r="Z24" s="34">
        <f t="shared" si="16"/>
        <v>3</v>
      </c>
      <c r="AA24" s="34">
        <f t="shared" si="16"/>
        <v>0</v>
      </c>
      <c r="AB24" s="34">
        <f t="shared" si="16"/>
        <v>1</v>
      </c>
      <c r="AC24" s="34">
        <f t="shared" si="16"/>
        <v>77</v>
      </c>
      <c r="AD24" s="34">
        <f t="shared" si="16"/>
        <v>0</v>
      </c>
      <c r="AE24" s="31">
        <f t="shared" si="16"/>
        <v>183</v>
      </c>
      <c r="AF24" s="31">
        <f t="shared" si="16"/>
        <v>260</v>
      </c>
    </row>
    <row r="25" spans="2:32" ht="23.1" customHeight="1" x14ac:dyDescent="0.25">
      <c r="B25" s="45" t="s">
        <v>52</v>
      </c>
      <c r="C25" s="50">
        <v>26</v>
      </c>
      <c r="D25" s="50">
        <v>14</v>
      </c>
      <c r="E25" s="50">
        <v>4</v>
      </c>
      <c r="F25" s="50">
        <v>2</v>
      </c>
      <c r="G25" s="50">
        <v>1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32</v>
      </c>
      <c r="N25" s="50">
        <v>0</v>
      </c>
      <c r="O25" s="15">
        <f t="shared" si="0"/>
        <v>52</v>
      </c>
      <c r="P25" s="15">
        <f t="shared" si="1"/>
        <v>84</v>
      </c>
      <c r="R25" s="36" t="s">
        <v>149</v>
      </c>
      <c r="S25" s="34">
        <f>SUM(C70:C73)</f>
        <v>84</v>
      </c>
      <c r="T25" s="34">
        <f t="shared" ref="T25:AF25" si="17">SUM(D70:D73)</f>
        <v>31</v>
      </c>
      <c r="U25" s="34">
        <f t="shared" si="17"/>
        <v>11</v>
      </c>
      <c r="V25" s="34">
        <f t="shared" si="17"/>
        <v>6</v>
      </c>
      <c r="W25" s="34">
        <f t="shared" si="17"/>
        <v>1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46</v>
      </c>
      <c r="AD25" s="34">
        <f t="shared" si="17"/>
        <v>0</v>
      </c>
      <c r="AE25" s="31">
        <f t="shared" si="17"/>
        <v>136</v>
      </c>
      <c r="AF25" s="31">
        <f t="shared" si="17"/>
        <v>182</v>
      </c>
    </row>
    <row r="26" spans="2:32" ht="23.1" customHeight="1" x14ac:dyDescent="0.25">
      <c r="B26" s="45" t="s">
        <v>53</v>
      </c>
      <c r="C26" s="50">
        <v>25</v>
      </c>
      <c r="D26" s="50">
        <v>13</v>
      </c>
      <c r="E26" s="50">
        <v>9</v>
      </c>
      <c r="F26" s="50">
        <v>1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1</v>
      </c>
      <c r="M26" s="50">
        <v>22</v>
      </c>
      <c r="N26" s="50">
        <v>0</v>
      </c>
      <c r="O26" s="15">
        <f t="shared" si="0"/>
        <v>53</v>
      </c>
      <c r="P26" s="15">
        <f t="shared" si="1"/>
        <v>75</v>
      </c>
      <c r="R26" s="36" t="s">
        <v>150</v>
      </c>
      <c r="S26" s="34">
        <f>SUM(C74:C77)</f>
        <v>39</v>
      </c>
      <c r="T26" s="34">
        <f t="shared" ref="T26:AF26" si="18">SUM(D74:D77)</f>
        <v>17</v>
      </c>
      <c r="U26" s="34">
        <f t="shared" si="18"/>
        <v>0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27</v>
      </c>
      <c r="AD26" s="34">
        <f t="shared" si="18"/>
        <v>0</v>
      </c>
      <c r="AE26" s="31">
        <f t="shared" si="18"/>
        <v>62</v>
      </c>
      <c r="AF26" s="31">
        <f t="shared" si="18"/>
        <v>89</v>
      </c>
    </row>
    <row r="27" spans="2:32" ht="23.1" customHeight="1" x14ac:dyDescent="0.25">
      <c r="B27" s="45" t="s">
        <v>54</v>
      </c>
      <c r="C27" s="50">
        <v>27</v>
      </c>
      <c r="D27" s="50">
        <v>7</v>
      </c>
      <c r="E27" s="50">
        <v>12</v>
      </c>
      <c r="F27" s="50">
        <v>8</v>
      </c>
      <c r="G27" s="50">
        <v>0</v>
      </c>
      <c r="H27" s="50">
        <v>4</v>
      </c>
      <c r="I27" s="50">
        <v>0</v>
      </c>
      <c r="J27" s="50">
        <v>0</v>
      </c>
      <c r="K27" s="50">
        <v>0</v>
      </c>
      <c r="L27" s="50">
        <v>0</v>
      </c>
      <c r="M27" s="50">
        <v>41</v>
      </c>
      <c r="N27" s="50">
        <v>0</v>
      </c>
      <c r="O27" s="15">
        <f t="shared" si="0"/>
        <v>58</v>
      </c>
      <c r="P27" s="15">
        <f t="shared" si="1"/>
        <v>99</v>
      </c>
      <c r="R27" s="36" t="s">
        <v>151</v>
      </c>
      <c r="S27" s="34">
        <f>SUM(C78:C81)</f>
        <v>12</v>
      </c>
      <c r="T27" s="34">
        <f t="shared" ref="T27:AF27" si="19">SUM(D78:D81)</f>
        <v>9</v>
      </c>
      <c r="U27" s="34">
        <f t="shared" si="19"/>
        <v>2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12</v>
      </c>
      <c r="AD27" s="34">
        <f t="shared" si="19"/>
        <v>0</v>
      </c>
      <c r="AE27" s="31">
        <f t="shared" si="19"/>
        <v>26</v>
      </c>
      <c r="AF27" s="31">
        <f t="shared" si="19"/>
        <v>38</v>
      </c>
    </row>
    <row r="28" spans="2:32" ht="23.1" customHeight="1" x14ac:dyDescent="0.25">
      <c r="B28" s="45" t="s">
        <v>55</v>
      </c>
      <c r="C28" s="50">
        <v>23</v>
      </c>
      <c r="D28" s="50">
        <v>4</v>
      </c>
      <c r="E28" s="50">
        <v>4</v>
      </c>
      <c r="F28" s="50">
        <v>6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23</v>
      </c>
      <c r="N28" s="50">
        <v>0</v>
      </c>
      <c r="O28" s="15">
        <f t="shared" si="0"/>
        <v>40</v>
      </c>
      <c r="P28" s="15">
        <f t="shared" si="1"/>
        <v>63</v>
      </c>
      <c r="R28" s="36" t="s">
        <v>152</v>
      </c>
      <c r="S28" s="34">
        <f>SUM(C82:C85)</f>
        <v>6</v>
      </c>
      <c r="T28" s="34">
        <f t="shared" ref="T28:AF28" si="20">SUM(D82:D85)</f>
        <v>10</v>
      </c>
      <c r="U28" s="34">
        <f t="shared" si="20"/>
        <v>2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9</v>
      </c>
      <c r="AD28" s="34">
        <f t="shared" si="20"/>
        <v>0</v>
      </c>
      <c r="AE28" s="31">
        <f t="shared" si="20"/>
        <v>20</v>
      </c>
      <c r="AF28" s="31">
        <f t="shared" si="20"/>
        <v>29</v>
      </c>
    </row>
    <row r="29" spans="2:32" ht="23.1" customHeight="1" x14ac:dyDescent="0.25">
      <c r="B29" s="45" t="s">
        <v>56</v>
      </c>
      <c r="C29" s="50">
        <v>18</v>
      </c>
      <c r="D29" s="50">
        <v>4</v>
      </c>
      <c r="E29" s="50">
        <v>1</v>
      </c>
      <c r="F29" s="50">
        <v>0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26</v>
      </c>
      <c r="P29" s="15">
        <f t="shared" si="1"/>
        <v>52</v>
      </c>
      <c r="R29" s="36" t="s">
        <v>153</v>
      </c>
      <c r="S29" s="34">
        <f>SUM(C86:C89)</f>
        <v>11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4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7</v>
      </c>
      <c r="AD29" s="34">
        <f t="shared" si="21"/>
        <v>0</v>
      </c>
      <c r="AE29" s="31">
        <f t="shared" si="21"/>
        <v>18</v>
      </c>
      <c r="AF29" s="31">
        <f t="shared" si="21"/>
        <v>25</v>
      </c>
    </row>
    <row r="30" spans="2:32" ht="23.1" customHeight="1" x14ac:dyDescent="0.25">
      <c r="B30" s="45" t="s">
        <v>57</v>
      </c>
      <c r="C30" s="50">
        <v>36</v>
      </c>
      <c r="D30" s="50">
        <v>6</v>
      </c>
      <c r="E30" s="50">
        <v>5</v>
      </c>
      <c r="F30" s="50">
        <v>4</v>
      </c>
      <c r="G30" s="50">
        <v>0</v>
      </c>
      <c r="H30" s="50">
        <v>0</v>
      </c>
      <c r="I30" s="50">
        <v>8</v>
      </c>
      <c r="J30" s="50">
        <v>0</v>
      </c>
      <c r="K30" s="50">
        <v>0</v>
      </c>
      <c r="L30" s="50">
        <v>0</v>
      </c>
      <c r="M30" s="50">
        <v>23</v>
      </c>
      <c r="N30" s="50">
        <v>0</v>
      </c>
      <c r="O30" s="15">
        <f t="shared" si="0"/>
        <v>59</v>
      </c>
      <c r="P30" s="15">
        <f t="shared" si="1"/>
        <v>82</v>
      </c>
      <c r="R30" s="36" t="s">
        <v>154</v>
      </c>
      <c r="S30" s="34">
        <f>SUM(C90:C93)</f>
        <v>8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</v>
      </c>
      <c r="AD30" s="34">
        <f t="shared" si="22"/>
        <v>0</v>
      </c>
      <c r="AE30" s="31">
        <f t="shared" si="22"/>
        <v>11</v>
      </c>
      <c r="AF30" s="31">
        <f t="shared" si="22"/>
        <v>15</v>
      </c>
    </row>
    <row r="31" spans="2:32" ht="23.1" customHeight="1" x14ac:dyDescent="0.25">
      <c r="B31" s="46" t="s">
        <v>58</v>
      </c>
      <c r="C31" s="50">
        <v>26</v>
      </c>
      <c r="D31" s="50">
        <v>6</v>
      </c>
      <c r="E31" s="50">
        <v>1</v>
      </c>
      <c r="F31" s="50">
        <v>2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31</v>
      </c>
      <c r="N31" s="50">
        <v>0</v>
      </c>
      <c r="O31" s="15">
        <f t="shared" si="0"/>
        <v>39</v>
      </c>
      <c r="P31" s="15">
        <f t="shared" si="1"/>
        <v>70</v>
      </c>
      <c r="R31" s="36" t="s">
        <v>155</v>
      </c>
      <c r="S31" s="34">
        <f>SUM(C94:C97)</f>
        <v>9</v>
      </c>
      <c r="T31" s="34">
        <f t="shared" ref="T31:AF31" si="23">SUM(D94:D97)</f>
        <v>3</v>
      </c>
      <c r="U31" s="34">
        <f t="shared" si="23"/>
        <v>2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17</v>
      </c>
      <c r="AF31" s="31">
        <f t="shared" si="23"/>
        <v>20</v>
      </c>
    </row>
    <row r="32" spans="2:32" ht="23.1" customHeight="1" x14ac:dyDescent="0.25">
      <c r="B32" s="46" t="s">
        <v>59</v>
      </c>
      <c r="C32" s="50">
        <v>29</v>
      </c>
      <c r="D32" s="50">
        <v>8</v>
      </c>
      <c r="E32" s="50">
        <v>12</v>
      </c>
      <c r="F32" s="50">
        <v>3</v>
      </c>
      <c r="G32" s="50">
        <v>0</v>
      </c>
      <c r="H32" s="50">
        <v>0</v>
      </c>
      <c r="I32" s="50">
        <v>4</v>
      </c>
      <c r="J32" s="50">
        <v>2</v>
      </c>
      <c r="K32" s="50">
        <v>0</v>
      </c>
      <c r="L32" s="50">
        <v>0</v>
      </c>
      <c r="M32" s="50">
        <v>26</v>
      </c>
      <c r="N32" s="50">
        <v>0</v>
      </c>
      <c r="O32" s="15">
        <f t="shared" si="0"/>
        <v>58</v>
      </c>
      <c r="P32" s="15">
        <f t="shared" si="1"/>
        <v>84</v>
      </c>
      <c r="R32" s="33" t="s">
        <v>156</v>
      </c>
      <c r="S32" s="34">
        <f>SUM(C98:C101)</f>
        <v>18</v>
      </c>
      <c r="T32" s="34">
        <f t="shared" ref="T32:AF32" si="24">SUM(D98:D101)</f>
        <v>5</v>
      </c>
      <c r="U32" s="34">
        <f t="shared" si="24"/>
        <v>2</v>
      </c>
      <c r="V32" s="34">
        <f t="shared" si="24"/>
        <v>3</v>
      </c>
      <c r="W32" s="34">
        <f t="shared" si="24"/>
        <v>1</v>
      </c>
      <c r="X32" s="34">
        <f t="shared" si="24"/>
        <v>0</v>
      </c>
      <c r="Y32" s="34">
        <f t="shared" si="24"/>
        <v>2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7</v>
      </c>
      <c r="AD32" s="34">
        <f t="shared" si="24"/>
        <v>0</v>
      </c>
      <c r="AE32" s="31">
        <f t="shared" si="24"/>
        <v>33</v>
      </c>
      <c r="AF32" s="31">
        <f t="shared" si="24"/>
        <v>40</v>
      </c>
    </row>
    <row r="33" spans="2:32" ht="23.1" customHeight="1" x14ac:dyDescent="0.25">
      <c r="B33" s="45" t="s">
        <v>60</v>
      </c>
      <c r="C33" s="50">
        <v>25</v>
      </c>
      <c r="D33" s="50">
        <v>11</v>
      </c>
      <c r="E33" s="50">
        <v>4</v>
      </c>
      <c r="F33" s="50">
        <v>1</v>
      </c>
      <c r="G33" s="50">
        <v>0</v>
      </c>
      <c r="H33" s="50">
        <v>0</v>
      </c>
      <c r="I33" s="50">
        <v>0</v>
      </c>
      <c r="J33" s="50">
        <v>2</v>
      </c>
      <c r="K33" s="50">
        <v>0</v>
      </c>
      <c r="L33" s="50">
        <v>0</v>
      </c>
      <c r="M33" s="50">
        <v>23</v>
      </c>
      <c r="N33" s="50">
        <v>0</v>
      </c>
      <c r="O33" s="15">
        <f t="shared" si="0"/>
        <v>43</v>
      </c>
      <c r="P33" s="15">
        <f t="shared" si="1"/>
        <v>66</v>
      </c>
      <c r="R33" s="33" t="s">
        <v>157</v>
      </c>
      <c r="S33" s="34">
        <f>SUM(C102:C105)</f>
        <v>94</v>
      </c>
      <c r="T33" s="34">
        <f t="shared" ref="T33:AF33" si="25">SUM(D102:D105)</f>
        <v>11</v>
      </c>
      <c r="U33" s="34">
        <f t="shared" si="25"/>
        <v>8</v>
      </c>
      <c r="V33" s="34">
        <f t="shared" si="25"/>
        <v>7</v>
      </c>
      <c r="W33" s="34">
        <f t="shared" si="25"/>
        <v>2</v>
      </c>
      <c r="X33" s="34">
        <f t="shared" si="25"/>
        <v>2</v>
      </c>
      <c r="Y33" s="34">
        <f t="shared" si="25"/>
        <v>5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71</v>
      </c>
      <c r="AD33" s="34">
        <f t="shared" si="25"/>
        <v>0</v>
      </c>
      <c r="AE33" s="31">
        <f t="shared" si="25"/>
        <v>131</v>
      </c>
      <c r="AF33" s="31">
        <f t="shared" si="25"/>
        <v>202</v>
      </c>
    </row>
    <row r="34" spans="2:32" ht="23.1" customHeight="1" x14ac:dyDescent="0.25">
      <c r="B34" s="46" t="s">
        <v>61</v>
      </c>
      <c r="C34" s="50">
        <v>26</v>
      </c>
      <c r="D34" s="50">
        <v>5</v>
      </c>
      <c r="E34" s="50">
        <v>3</v>
      </c>
      <c r="F34" s="50">
        <v>2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17</v>
      </c>
      <c r="N34" s="50">
        <v>0</v>
      </c>
      <c r="O34" s="15">
        <f t="shared" si="0"/>
        <v>39</v>
      </c>
      <c r="P34" s="15">
        <f t="shared" si="1"/>
        <v>56</v>
      </c>
      <c r="R34" s="38" t="s">
        <v>90</v>
      </c>
      <c r="S34" s="39">
        <f t="shared" ref="S34:AF34" si="26">MAX(S10:S12)</f>
        <v>139</v>
      </c>
      <c r="T34" s="39">
        <f t="shared" si="26"/>
        <v>41</v>
      </c>
      <c r="U34" s="39">
        <f t="shared" si="26"/>
        <v>13</v>
      </c>
      <c r="V34" s="39">
        <f t="shared" si="26"/>
        <v>9</v>
      </c>
      <c r="W34" s="39">
        <f t="shared" si="26"/>
        <v>1</v>
      </c>
      <c r="X34" s="39">
        <f t="shared" si="26"/>
        <v>1</v>
      </c>
      <c r="Y34" s="39">
        <f t="shared" si="26"/>
        <v>13</v>
      </c>
      <c r="Z34" s="39">
        <f t="shared" si="26"/>
        <v>1</v>
      </c>
      <c r="AA34" s="39">
        <f t="shared" si="26"/>
        <v>2</v>
      </c>
      <c r="AB34" s="39">
        <f t="shared" si="26"/>
        <v>1</v>
      </c>
      <c r="AC34" s="39">
        <f t="shared" si="26"/>
        <v>195</v>
      </c>
      <c r="AD34" s="39">
        <f t="shared" si="26"/>
        <v>0</v>
      </c>
      <c r="AE34" s="40">
        <f t="shared" si="26"/>
        <v>214</v>
      </c>
      <c r="AF34" s="40">
        <f t="shared" si="26"/>
        <v>377</v>
      </c>
    </row>
    <row r="35" spans="2:32" ht="23.1" customHeight="1" x14ac:dyDescent="0.25">
      <c r="B35" s="46" t="s">
        <v>62</v>
      </c>
      <c r="C35" s="50">
        <v>29</v>
      </c>
      <c r="D35" s="50">
        <v>6</v>
      </c>
      <c r="E35" s="50">
        <v>3</v>
      </c>
      <c r="F35" s="50">
        <v>2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25</v>
      </c>
      <c r="N35" s="50">
        <v>0</v>
      </c>
      <c r="O35" s="15">
        <f t="shared" si="0"/>
        <v>45</v>
      </c>
      <c r="P35" s="15">
        <f t="shared" si="1"/>
        <v>70</v>
      </c>
      <c r="R35" s="38" t="s">
        <v>91</v>
      </c>
      <c r="S35" s="39">
        <f t="shared" ref="S35:AF35" si="27">MAX(S13:S18)</f>
        <v>116</v>
      </c>
      <c r="T35" s="39">
        <f t="shared" si="27"/>
        <v>41</v>
      </c>
      <c r="U35" s="39">
        <f t="shared" si="27"/>
        <v>26</v>
      </c>
      <c r="V35" s="39">
        <f t="shared" si="27"/>
        <v>15</v>
      </c>
      <c r="W35" s="39">
        <f t="shared" si="27"/>
        <v>4</v>
      </c>
      <c r="X35" s="39">
        <f t="shared" si="27"/>
        <v>4</v>
      </c>
      <c r="Y35" s="39">
        <f t="shared" si="27"/>
        <v>18</v>
      </c>
      <c r="Z35" s="39">
        <f t="shared" si="27"/>
        <v>4</v>
      </c>
      <c r="AA35" s="39">
        <f t="shared" si="27"/>
        <v>0</v>
      </c>
      <c r="AB35" s="39">
        <f t="shared" si="27"/>
        <v>1</v>
      </c>
      <c r="AC35" s="39">
        <f t="shared" si="27"/>
        <v>136</v>
      </c>
      <c r="AD35" s="39">
        <f t="shared" si="27"/>
        <v>0</v>
      </c>
      <c r="AE35" s="40">
        <f t="shared" si="27"/>
        <v>199</v>
      </c>
      <c r="AF35" s="40">
        <f t="shared" si="27"/>
        <v>319</v>
      </c>
    </row>
    <row r="36" spans="2:32" ht="23.1" customHeight="1" x14ac:dyDescent="0.25">
      <c r="B36" s="46" t="s">
        <v>63</v>
      </c>
      <c r="C36" s="50">
        <v>20</v>
      </c>
      <c r="D36" s="50">
        <v>18</v>
      </c>
      <c r="E36" s="50">
        <v>6</v>
      </c>
      <c r="F36" s="50">
        <v>0</v>
      </c>
      <c r="G36" s="50">
        <v>1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33</v>
      </c>
      <c r="N36" s="50">
        <v>0</v>
      </c>
      <c r="O36" s="15">
        <f t="shared" si="0"/>
        <v>46</v>
      </c>
      <c r="P36" s="15">
        <f t="shared" si="1"/>
        <v>79</v>
      </c>
      <c r="R36" s="38" t="s">
        <v>92</v>
      </c>
      <c r="S36" s="39">
        <f t="shared" ref="S36:AF36" si="28">MAX(S19:S21)</f>
        <v>145</v>
      </c>
      <c r="T36" s="39">
        <f t="shared" si="28"/>
        <v>42</v>
      </c>
      <c r="U36" s="39">
        <f t="shared" si="28"/>
        <v>21</v>
      </c>
      <c r="V36" s="39">
        <f t="shared" si="28"/>
        <v>14</v>
      </c>
      <c r="W36" s="39">
        <f t="shared" si="28"/>
        <v>3</v>
      </c>
      <c r="X36" s="39">
        <f t="shared" si="28"/>
        <v>0</v>
      </c>
      <c r="Y36" s="39">
        <f t="shared" si="28"/>
        <v>21</v>
      </c>
      <c r="Z36" s="39">
        <f t="shared" si="28"/>
        <v>3</v>
      </c>
      <c r="AA36" s="39">
        <f t="shared" si="28"/>
        <v>0</v>
      </c>
      <c r="AB36" s="39">
        <f t="shared" si="28"/>
        <v>0</v>
      </c>
      <c r="AC36" s="39">
        <f t="shared" si="28"/>
        <v>199</v>
      </c>
      <c r="AD36" s="39">
        <f t="shared" si="28"/>
        <v>0</v>
      </c>
      <c r="AE36" s="40">
        <f t="shared" si="28"/>
        <v>235</v>
      </c>
      <c r="AF36" s="40">
        <f t="shared" si="28"/>
        <v>434</v>
      </c>
    </row>
    <row r="37" spans="2:32" ht="23.1" customHeight="1" x14ac:dyDescent="0.25">
      <c r="B37" s="45" t="s">
        <v>64</v>
      </c>
      <c r="C37" s="50">
        <v>23</v>
      </c>
      <c r="D37" s="50">
        <v>12</v>
      </c>
      <c r="E37" s="50">
        <v>4</v>
      </c>
      <c r="F37" s="50">
        <v>1</v>
      </c>
      <c r="G37" s="50">
        <v>1</v>
      </c>
      <c r="H37" s="50">
        <v>0</v>
      </c>
      <c r="I37" s="50">
        <v>6</v>
      </c>
      <c r="J37" s="50">
        <v>0</v>
      </c>
      <c r="K37" s="50">
        <v>0</v>
      </c>
      <c r="L37" s="50">
        <v>0</v>
      </c>
      <c r="M37" s="50">
        <v>37</v>
      </c>
      <c r="N37" s="50">
        <v>0</v>
      </c>
      <c r="O37" s="15">
        <f t="shared" si="0"/>
        <v>47</v>
      </c>
      <c r="P37" s="15">
        <f t="shared" si="1"/>
        <v>84</v>
      </c>
      <c r="R37" s="37" t="s">
        <v>85</v>
      </c>
      <c r="S37" s="35">
        <f t="shared" ref="S37:AF37" si="29">SUM(S10:S12)</f>
        <v>343</v>
      </c>
      <c r="T37" s="16">
        <f t="shared" si="29"/>
        <v>108</v>
      </c>
      <c r="U37" s="16">
        <f t="shared" si="29"/>
        <v>32</v>
      </c>
      <c r="V37" s="16">
        <f t="shared" si="29"/>
        <v>24</v>
      </c>
      <c r="W37" s="16">
        <f t="shared" si="29"/>
        <v>1</v>
      </c>
      <c r="X37" s="16">
        <f t="shared" si="29"/>
        <v>1</v>
      </c>
      <c r="Y37" s="16">
        <f t="shared" si="29"/>
        <v>28</v>
      </c>
      <c r="Z37" s="16">
        <f t="shared" si="29"/>
        <v>1</v>
      </c>
      <c r="AA37" s="16">
        <f t="shared" si="29"/>
        <v>2</v>
      </c>
      <c r="AB37" s="16">
        <f t="shared" si="29"/>
        <v>1</v>
      </c>
      <c r="AC37" s="16">
        <f t="shared" si="29"/>
        <v>447</v>
      </c>
      <c r="AD37" s="16">
        <f t="shared" si="29"/>
        <v>0</v>
      </c>
      <c r="AE37" s="32">
        <f t="shared" si="29"/>
        <v>541</v>
      </c>
      <c r="AF37" s="32">
        <f t="shared" si="29"/>
        <v>988</v>
      </c>
    </row>
    <row r="38" spans="2:32" ht="23.1" customHeight="1" x14ac:dyDescent="0.25">
      <c r="B38" s="46" t="s">
        <v>65</v>
      </c>
      <c r="C38" s="50">
        <v>30</v>
      </c>
      <c r="D38" s="50">
        <v>12</v>
      </c>
      <c r="E38" s="50">
        <v>1</v>
      </c>
      <c r="F38" s="50">
        <v>0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22</v>
      </c>
      <c r="N38" s="50">
        <v>0</v>
      </c>
      <c r="O38" s="15">
        <f t="shared" si="0"/>
        <v>47</v>
      </c>
      <c r="P38" s="15">
        <f t="shared" si="1"/>
        <v>69</v>
      </c>
      <c r="R38" s="28" t="s">
        <v>86</v>
      </c>
      <c r="S38" s="16">
        <f t="shared" ref="S38:AF38" si="30">SUM(S13:S18)</f>
        <v>605</v>
      </c>
      <c r="T38" s="16">
        <f t="shared" si="30"/>
        <v>210</v>
      </c>
      <c r="U38" s="16">
        <f t="shared" si="30"/>
        <v>97</v>
      </c>
      <c r="V38" s="16">
        <f t="shared" si="30"/>
        <v>45</v>
      </c>
      <c r="W38" s="16">
        <f t="shared" si="30"/>
        <v>6</v>
      </c>
      <c r="X38" s="16">
        <f t="shared" si="30"/>
        <v>4</v>
      </c>
      <c r="Y38" s="16">
        <f t="shared" si="30"/>
        <v>85</v>
      </c>
      <c r="Z38" s="16">
        <f t="shared" si="30"/>
        <v>10</v>
      </c>
      <c r="AA38" s="16">
        <f t="shared" si="30"/>
        <v>0</v>
      </c>
      <c r="AB38" s="16">
        <f t="shared" si="30"/>
        <v>2</v>
      </c>
      <c r="AC38" s="16">
        <f t="shared" si="30"/>
        <v>709</v>
      </c>
      <c r="AD38" s="16">
        <f t="shared" si="30"/>
        <v>0</v>
      </c>
      <c r="AE38" s="32">
        <f t="shared" si="30"/>
        <v>1064</v>
      </c>
      <c r="AF38" s="32">
        <f t="shared" si="30"/>
        <v>1773</v>
      </c>
    </row>
    <row r="39" spans="2:32" ht="23.1" customHeight="1" x14ac:dyDescent="0.25">
      <c r="B39" s="46" t="s">
        <v>66</v>
      </c>
      <c r="C39" s="50">
        <v>24</v>
      </c>
      <c r="D39" s="50">
        <v>9</v>
      </c>
      <c r="E39" s="50">
        <v>3</v>
      </c>
      <c r="F39" s="50">
        <v>0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1</v>
      </c>
      <c r="M39" s="50">
        <v>33</v>
      </c>
      <c r="N39" s="50">
        <v>0</v>
      </c>
      <c r="O39" s="15">
        <f t="shared" si="0"/>
        <v>42</v>
      </c>
      <c r="P39" s="15">
        <f t="shared" si="1"/>
        <v>75</v>
      </c>
      <c r="R39" s="29" t="s">
        <v>87</v>
      </c>
      <c r="S39" s="16">
        <f t="shared" ref="S39:AF39" si="31">SUM(S19:S21)</f>
        <v>420</v>
      </c>
      <c r="T39" s="16">
        <f t="shared" si="31"/>
        <v>102</v>
      </c>
      <c r="U39" s="16">
        <f t="shared" si="31"/>
        <v>60</v>
      </c>
      <c r="V39" s="16">
        <f t="shared" si="31"/>
        <v>27</v>
      </c>
      <c r="W39" s="16">
        <f t="shared" si="31"/>
        <v>6</v>
      </c>
      <c r="X39" s="16">
        <f t="shared" si="31"/>
        <v>0</v>
      </c>
      <c r="Y39" s="16">
        <f t="shared" si="31"/>
        <v>50</v>
      </c>
      <c r="Z39" s="16">
        <f t="shared" si="31"/>
        <v>5</v>
      </c>
      <c r="AA39" s="16">
        <f t="shared" si="31"/>
        <v>0</v>
      </c>
      <c r="AB39" s="16">
        <f t="shared" si="31"/>
        <v>0</v>
      </c>
      <c r="AC39" s="16">
        <f t="shared" si="31"/>
        <v>493</v>
      </c>
      <c r="AD39" s="16">
        <f t="shared" si="31"/>
        <v>0</v>
      </c>
      <c r="AE39" s="32">
        <f t="shared" si="31"/>
        <v>670</v>
      </c>
      <c r="AF39" s="32">
        <f t="shared" si="31"/>
        <v>1163</v>
      </c>
    </row>
    <row r="40" spans="2:32" ht="23.1" customHeight="1" x14ac:dyDescent="0.25">
      <c r="B40" s="46" t="s">
        <v>67</v>
      </c>
      <c r="C40" s="50">
        <v>14</v>
      </c>
      <c r="D40" s="50">
        <v>6</v>
      </c>
      <c r="E40" s="50">
        <v>4</v>
      </c>
      <c r="F40" s="50">
        <v>2</v>
      </c>
      <c r="G40" s="50">
        <v>0</v>
      </c>
      <c r="H40" s="50">
        <v>0</v>
      </c>
      <c r="I40" s="50">
        <v>3</v>
      </c>
      <c r="J40" s="50">
        <v>2</v>
      </c>
      <c r="K40" s="50">
        <v>0</v>
      </c>
      <c r="L40" s="50">
        <v>0</v>
      </c>
      <c r="M40" s="50">
        <v>37</v>
      </c>
      <c r="N40" s="50">
        <v>0</v>
      </c>
      <c r="O40" s="15">
        <f t="shared" si="0"/>
        <v>31</v>
      </c>
      <c r="P40" s="15">
        <f t="shared" si="1"/>
        <v>68</v>
      </c>
      <c r="R40" s="5" t="s">
        <v>17</v>
      </c>
      <c r="S40" s="16">
        <f t="shared" ref="S40:AF40" si="32">SUM(S10:S21)</f>
        <v>1368</v>
      </c>
      <c r="T40" s="16">
        <f t="shared" si="32"/>
        <v>420</v>
      </c>
      <c r="U40" s="16">
        <f t="shared" si="32"/>
        <v>189</v>
      </c>
      <c r="V40" s="16">
        <f t="shared" si="32"/>
        <v>96</v>
      </c>
      <c r="W40" s="16">
        <f t="shared" si="32"/>
        <v>13</v>
      </c>
      <c r="X40" s="16">
        <f t="shared" si="32"/>
        <v>5</v>
      </c>
      <c r="Y40" s="16">
        <f t="shared" si="32"/>
        <v>163</v>
      </c>
      <c r="Z40" s="16">
        <f t="shared" si="32"/>
        <v>16</v>
      </c>
      <c r="AA40" s="16">
        <f t="shared" si="32"/>
        <v>2</v>
      </c>
      <c r="AB40" s="16">
        <f t="shared" si="32"/>
        <v>3</v>
      </c>
      <c r="AC40" s="16">
        <f t="shared" si="32"/>
        <v>1649</v>
      </c>
      <c r="AD40" s="16">
        <f t="shared" si="32"/>
        <v>0</v>
      </c>
      <c r="AE40" s="32">
        <f t="shared" si="32"/>
        <v>2275</v>
      </c>
      <c r="AF40" s="32">
        <f t="shared" si="32"/>
        <v>3924</v>
      </c>
    </row>
    <row r="41" spans="2:32" ht="23.1" customHeight="1" x14ac:dyDescent="0.25">
      <c r="B41" s="45" t="s">
        <v>68</v>
      </c>
      <c r="C41" s="50">
        <v>22</v>
      </c>
      <c r="D41" s="50">
        <v>10</v>
      </c>
      <c r="E41" s="50">
        <v>0</v>
      </c>
      <c r="F41" s="50">
        <v>2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30</v>
      </c>
      <c r="N41" s="50">
        <v>0</v>
      </c>
      <c r="O41" s="15">
        <f t="shared" si="0"/>
        <v>38</v>
      </c>
      <c r="P41" s="15">
        <f t="shared" si="1"/>
        <v>68</v>
      </c>
      <c r="R41" s="5" t="s">
        <v>159</v>
      </c>
      <c r="S41" s="16">
        <f>SUM(S10:S33)</f>
        <v>2008</v>
      </c>
      <c r="T41" s="16">
        <f t="shared" ref="T41:AF41" si="33">SUM(T10:T33)</f>
        <v>633</v>
      </c>
      <c r="U41" s="16">
        <f t="shared" si="33"/>
        <v>267</v>
      </c>
      <c r="V41" s="16">
        <f t="shared" si="33"/>
        <v>146</v>
      </c>
      <c r="W41" s="16">
        <f t="shared" si="33"/>
        <v>19</v>
      </c>
      <c r="X41" s="16">
        <f t="shared" si="33"/>
        <v>8</v>
      </c>
      <c r="Y41" s="16">
        <f t="shared" si="33"/>
        <v>208</v>
      </c>
      <c r="Z41" s="16">
        <f t="shared" si="33"/>
        <v>32</v>
      </c>
      <c r="AA41" s="16">
        <f t="shared" si="33"/>
        <v>6</v>
      </c>
      <c r="AB41" s="16">
        <f t="shared" si="33"/>
        <v>4</v>
      </c>
      <c r="AC41" s="16">
        <f t="shared" si="33"/>
        <v>2210</v>
      </c>
      <c r="AD41" s="16">
        <f t="shared" si="33"/>
        <v>0</v>
      </c>
      <c r="AE41" s="32">
        <f t="shared" si="33"/>
        <v>3331</v>
      </c>
      <c r="AF41" s="32">
        <f t="shared" si="33"/>
        <v>5541</v>
      </c>
    </row>
    <row r="42" spans="2:32" ht="23.1" customHeight="1" x14ac:dyDescent="0.25">
      <c r="B42" s="46" t="s">
        <v>69</v>
      </c>
      <c r="C42" s="50">
        <v>21</v>
      </c>
      <c r="D42" s="50">
        <v>9</v>
      </c>
      <c r="E42" s="50">
        <v>5</v>
      </c>
      <c r="F42" s="50">
        <v>1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22</v>
      </c>
      <c r="N42" s="50">
        <v>0</v>
      </c>
      <c r="O42" s="15">
        <f t="shared" si="0"/>
        <v>41</v>
      </c>
      <c r="P42" s="15">
        <f t="shared" si="1"/>
        <v>63</v>
      </c>
      <c r="R42" s="5" t="s">
        <v>160</v>
      </c>
      <c r="S42" s="48">
        <f>S41/S40</f>
        <v>1.4678362573099415</v>
      </c>
      <c r="T42" s="48">
        <f t="shared" ref="T42:AF42" si="34">T41/T40</f>
        <v>1.5071428571428571</v>
      </c>
      <c r="U42" s="48">
        <f t="shared" si="34"/>
        <v>1.4126984126984128</v>
      </c>
      <c r="V42" s="48">
        <f t="shared" si="34"/>
        <v>1.5208333333333333</v>
      </c>
      <c r="W42" s="48">
        <f t="shared" si="34"/>
        <v>1.4615384615384615</v>
      </c>
      <c r="X42" s="48">
        <f t="shared" si="34"/>
        <v>1.6</v>
      </c>
      <c r="Y42" s="48">
        <f t="shared" si="34"/>
        <v>1.2760736196319018</v>
      </c>
      <c r="Z42" s="48">
        <f t="shared" si="34"/>
        <v>2</v>
      </c>
      <c r="AA42" s="48">
        <f t="shared" si="34"/>
        <v>3</v>
      </c>
      <c r="AB42" s="48">
        <f t="shared" si="34"/>
        <v>1.3333333333333333</v>
      </c>
      <c r="AC42" s="48">
        <f t="shared" si="34"/>
        <v>1.3402061855670102</v>
      </c>
      <c r="AD42" s="48" t="e">
        <f t="shared" si="34"/>
        <v>#DIV/0!</v>
      </c>
      <c r="AE42" s="48">
        <f t="shared" si="34"/>
        <v>1.4641758241758243</v>
      </c>
      <c r="AF42" s="48">
        <f t="shared" si="34"/>
        <v>1.4120795107033639</v>
      </c>
    </row>
    <row r="43" spans="2:32" ht="23.1" customHeight="1" x14ac:dyDescent="0.25">
      <c r="B43" s="45" t="s">
        <v>70</v>
      </c>
      <c r="C43" s="50">
        <v>20</v>
      </c>
      <c r="D43" s="50">
        <v>5</v>
      </c>
      <c r="E43" s="50">
        <v>2</v>
      </c>
      <c r="F43" s="50">
        <v>1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0</v>
      </c>
      <c r="M43" s="50">
        <v>31</v>
      </c>
      <c r="N43" s="50">
        <v>0</v>
      </c>
      <c r="O43" s="15">
        <f t="shared" si="0"/>
        <v>34</v>
      </c>
      <c r="P43" s="15">
        <f t="shared" si="1"/>
        <v>65</v>
      </c>
    </row>
    <row r="44" spans="2:32" ht="23.1" customHeight="1" x14ac:dyDescent="0.25">
      <c r="B44" s="47" t="s">
        <v>71</v>
      </c>
      <c r="C44" s="50">
        <v>23</v>
      </c>
      <c r="D44" s="50">
        <v>11</v>
      </c>
      <c r="E44" s="50">
        <v>5</v>
      </c>
      <c r="F44" s="50">
        <v>1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35</v>
      </c>
      <c r="N44" s="50">
        <v>0</v>
      </c>
      <c r="O44" s="15">
        <f t="shared" si="0"/>
        <v>45</v>
      </c>
      <c r="P44" s="15">
        <f t="shared" si="1"/>
        <v>80</v>
      </c>
    </row>
    <row r="45" spans="2:32" ht="23.1" customHeight="1" x14ac:dyDescent="0.25">
      <c r="B45" s="45" t="s">
        <v>72</v>
      </c>
      <c r="C45" s="50">
        <v>37</v>
      </c>
      <c r="D45" s="50">
        <v>9</v>
      </c>
      <c r="E45" s="50">
        <v>0</v>
      </c>
      <c r="F45" s="50">
        <v>2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36</v>
      </c>
      <c r="N45" s="50">
        <v>0</v>
      </c>
      <c r="O45" s="15">
        <f t="shared" si="0"/>
        <v>50</v>
      </c>
      <c r="P45" s="15">
        <f t="shared" si="1"/>
        <v>86</v>
      </c>
    </row>
    <row r="46" spans="2:32" ht="23.1" customHeight="1" x14ac:dyDescent="0.25">
      <c r="B46" s="46" t="s">
        <v>73</v>
      </c>
      <c r="C46" s="50">
        <v>32</v>
      </c>
      <c r="D46" s="50">
        <v>5</v>
      </c>
      <c r="E46" s="50">
        <v>5</v>
      </c>
      <c r="F46" s="50">
        <v>0</v>
      </c>
      <c r="G46" s="50">
        <v>1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45</v>
      </c>
      <c r="N46" s="50">
        <v>0</v>
      </c>
      <c r="O46" s="15">
        <f t="shared" si="0"/>
        <v>48</v>
      </c>
      <c r="P46" s="15">
        <f t="shared" si="1"/>
        <v>93</v>
      </c>
      <c r="R46" s="8"/>
      <c r="T46"/>
    </row>
    <row r="47" spans="2:32" ht="23.1" customHeight="1" x14ac:dyDescent="0.25">
      <c r="B47" s="46" t="s">
        <v>74</v>
      </c>
      <c r="C47" s="50">
        <v>35</v>
      </c>
      <c r="D47" s="50">
        <v>6</v>
      </c>
      <c r="E47" s="50">
        <v>2</v>
      </c>
      <c r="F47" s="50">
        <v>2</v>
      </c>
      <c r="G47" s="50">
        <v>0</v>
      </c>
      <c r="H47" s="50">
        <v>0</v>
      </c>
      <c r="I47" s="50">
        <v>7</v>
      </c>
      <c r="J47" s="50">
        <v>0</v>
      </c>
      <c r="K47" s="50">
        <v>0</v>
      </c>
      <c r="L47" s="50">
        <v>0</v>
      </c>
      <c r="M47" s="50">
        <v>35</v>
      </c>
      <c r="N47" s="50">
        <v>0</v>
      </c>
      <c r="O47" s="15">
        <f t="shared" si="0"/>
        <v>52</v>
      </c>
      <c r="P47" s="15">
        <f t="shared" si="1"/>
        <v>87</v>
      </c>
      <c r="R47" s="8"/>
      <c r="T47"/>
    </row>
    <row r="48" spans="2:32" ht="23.1" customHeight="1" x14ac:dyDescent="0.25">
      <c r="B48" s="46" t="s">
        <v>75</v>
      </c>
      <c r="C48" s="50">
        <v>41</v>
      </c>
      <c r="D48" s="50">
        <v>10</v>
      </c>
      <c r="E48" s="50">
        <v>7</v>
      </c>
      <c r="F48" s="50">
        <v>2</v>
      </c>
      <c r="G48" s="50">
        <v>0</v>
      </c>
      <c r="H48" s="50">
        <v>0</v>
      </c>
      <c r="I48" s="50">
        <v>6</v>
      </c>
      <c r="J48" s="50">
        <v>2</v>
      </c>
      <c r="K48" s="50">
        <v>0</v>
      </c>
      <c r="L48" s="50">
        <v>0</v>
      </c>
      <c r="M48" s="50">
        <v>32</v>
      </c>
      <c r="N48" s="50">
        <v>0</v>
      </c>
      <c r="O48" s="15">
        <f t="shared" si="0"/>
        <v>68</v>
      </c>
      <c r="P48" s="15">
        <f t="shared" si="1"/>
        <v>100</v>
      </c>
      <c r="R48" s="8"/>
      <c r="T48"/>
    </row>
    <row r="49" spans="2:20" ht="23.1" customHeight="1" x14ac:dyDescent="0.25">
      <c r="B49" s="45" t="s">
        <v>76</v>
      </c>
      <c r="C49" s="50">
        <v>26</v>
      </c>
      <c r="D49" s="50">
        <v>5</v>
      </c>
      <c r="E49" s="50">
        <v>4</v>
      </c>
      <c r="F49" s="50">
        <v>1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30</v>
      </c>
      <c r="N49" s="50">
        <v>0</v>
      </c>
      <c r="O49" s="15">
        <f t="shared" si="0"/>
        <v>39</v>
      </c>
      <c r="P49" s="15">
        <f t="shared" si="1"/>
        <v>69</v>
      </c>
      <c r="R49" s="8"/>
      <c r="T49"/>
    </row>
    <row r="50" spans="2:20" ht="23.1" customHeight="1" x14ac:dyDescent="0.25">
      <c r="B50" s="46" t="s">
        <v>77</v>
      </c>
      <c r="C50" s="50">
        <v>35</v>
      </c>
      <c r="D50" s="50">
        <v>10</v>
      </c>
      <c r="E50" s="50">
        <v>4</v>
      </c>
      <c r="F50" s="50">
        <v>1</v>
      </c>
      <c r="G50" s="50">
        <v>1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41</v>
      </c>
      <c r="N50" s="50">
        <v>0</v>
      </c>
      <c r="O50" s="15">
        <f t="shared" si="0"/>
        <v>53</v>
      </c>
      <c r="P50" s="15">
        <f t="shared" si="1"/>
        <v>94</v>
      </c>
      <c r="R50" s="8"/>
      <c r="T50"/>
    </row>
    <row r="51" spans="2:20" ht="23.1" customHeight="1" x14ac:dyDescent="0.25">
      <c r="B51" s="46" t="s">
        <v>78</v>
      </c>
      <c r="C51" s="50">
        <v>33</v>
      </c>
      <c r="D51" s="50">
        <v>7</v>
      </c>
      <c r="E51" s="50">
        <v>8</v>
      </c>
      <c r="F51" s="50">
        <v>5</v>
      </c>
      <c r="G51" s="50">
        <v>0</v>
      </c>
      <c r="H51" s="50">
        <v>0</v>
      </c>
      <c r="I51" s="50">
        <v>8</v>
      </c>
      <c r="J51" s="50">
        <v>1</v>
      </c>
      <c r="K51" s="50">
        <v>0</v>
      </c>
      <c r="L51" s="50">
        <v>0</v>
      </c>
      <c r="M51" s="50">
        <v>41</v>
      </c>
      <c r="N51" s="50">
        <v>0</v>
      </c>
      <c r="O51" s="15">
        <f t="shared" si="0"/>
        <v>62</v>
      </c>
      <c r="P51" s="15">
        <f t="shared" si="1"/>
        <v>103</v>
      </c>
      <c r="R51" s="8"/>
      <c r="T51"/>
    </row>
    <row r="52" spans="2:20" ht="23.1" customHeight="1" x14ac:dyDescent="0.25">
      <c r="B52" s="46" t="s">
        <v>79</v>
      </c>
      <c r="C52" s="50">
        <v>31</v>
      </c>
      <c r="D52" s="50">
        <v>12</v>
      </c>
      <c r="E52" s="50">
        <v>8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31</v>
      </c>
      <c r="N52" s="50">
        <v>0</v>
      </c>
      <c r="O52" s="15">
        <f t="shared" si="0"/>
        <v>53</v>
      </c>
      <c r="P52" s="15">
        <f t="shared" si="1"/>
        <v>84</v>
      </c>
      <c r="R52" s="8"/>
      <c r="T52"/>
    </row>
    <row r="53" spans="2:20" ht="23.1" customHeight="1" x14ac:dyDescent="0.25">
      <c r="B53" s="45" t="s">
        <v>80</v>
      </c>
      <c r="C53" s="50">
        <v>46</v>
      </c>
      <c r="D53" s="50">
        <v>5</v>
      </c>
      <c r="E53" s="50">
        <v>1</v>
      </c>
      <c r="F53" s="50">
        <v>2</v>
      </c>
      <c r="G53" s="50">
        <v>2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39</v>
      </c>
      <c r="N53" s="50">
        <v>0</v>
      </c>
      <c r="O53" s="15">
        <f t="shared" si="0"/>
        <v>60</v>
      </c>
      <c r="P53" s="15">
        <f t="shared" si="1"/>
        <v>99</v>
      </c>
      <c r="R53" s="8"/>
      <c r="T53"/>
    </row>
    <row r="54" spans="2:20" ht="23.1" customHeight="1" x14ac:dyDescent="0.25">
      <c r="B54" s="45" t="s">
        <v>81</v>
      </c>
      <c r="C54" s="50">
        <v>35</v>
      </c>
      <c r="D54" s="50">
        <v>12</v>
      </c>
      <c r="E54" s="50">
        <v>4</v>
      </c>
      <c r="F54" s="50">
        <v>4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46</v>
      </c>
      <c r="N54" s="50">
        <v>0</v>
      </c>
      <c r="O54" s="15">
        <f t="shared" si="0"/>
        <v>58</v>
      </c>
      <c r="P54" s="15">
        <f t="shared" si="1"/>
        <v>104</v>
      </c>
      <c r="R54" s="8"/>
      <c r="T54"/>
    </row>
    <row r="55" spans="2:20" ht="23.1" customHeight="1" x14ac:dyDescent="0.25">
      <c r="B55" s="45" t="s">
        <v>82</v>
      </c>
      <c r="C55" s="50">
        <v>39</v>
      </c>
      <c r="D55" s="50">
        <v>6</v>
      </c>
      <c r="E55" s="50">
        <v>2</v>
      </c>
      <c r="F55" s="50">
        <v>3</v>
      </c>
      <c r="G55" s="50">
        <v>1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54</v>
      </c>
      <c r="N55" s="50">
        <v>0</v>
      </c>
      <c r="O55" s="15">
        <f t="shared" si="0"/>
        <v>56</v>
      </c>
      <c r="P55" s="15">
        <f t="shared" si="1"/>
        <v>110</v>
      </c>
      <c r="R55" s="8"/>
      <c r="T55"/>
    </row>
    <row r="56" spans="2:20" ht="23.1" customHeight="1" x14ac:dyDescent="0.25">
      <c r="B56" s="45" t="s">
        <v>83</v>
      </c>
      <c r="C56" s="50">
        <v>32</v>
      </c>
      <c r="D56" s="50">
        <v>13</v>
      </c>
      <c r="E56" s="50">
        <v>1</v>
      </c>
      <c r="F56" s="50">
        <v>4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56</v>
      </c>
      <c r="N56" s="50">
        <v>0</v>
      </c>
      <c r="O56" s="15">
        <f t="shared" si="0"/>
        <v>54</v>
      </c>
      <c r="P56" s="15">
        <f t="shared" si="1"/>
        <v>110</v>
      </c>
      <c r="R56" s="8"/>
      <c r="T56"/>
    </row>
    <row r="57" spans="2:20" ht="23.1" customHeight="1" x14ac:dyDescent="0.25">
      <c r="B57" s="45" t="s">
        <v>84</v>
      </c>
      <c r="C57" s="50">
        <v>35</v>
      </c>
      <c r="D57" s="50">
        <v>11</v>
      </c>
      <c r="E57" s="50">
        <v>14</v>
      </c>
      <c r="F57" s="50">
        <v>3</v>
      </c>
      <c r="G57" s="50">
        <v>1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43</v>
      </c>
      <c r="N57" s="50">
        <v>0</v>
      </c>
      <c r="O57" s="15">
        <f t="shared" si="0"/>
        <v>67</v>
      </c>
      <c r="P57" s="15">
        <f t="shared" si="1"/>
        <v>110</v>
      </c>
      <c r="R57" s="8"/>
      <c r="T57"/>
    </row>
    <row r="58" spans="2:20" ht="23.1" customHeight="1" x14ac:dyDescent="0.25">
      <c r="B58" s="45" t="s">
        <v>99</v>
      </c>
      <c r="C58" s="50">
        <v>17</v>
      </c>
      <c r="D58" s="50">
        <v>17</v>
      </c>
      <c r="E58" s="50">
        <v>2</v>
      </c>
      <c r="F58" s="50">
        <v>1</v>
      </c>
      <c r="G58" s="50">
        <v>0</v>
      </c>
      <c r="H58" s="50">
        <v>0</v>
      </c>
      <c r="I58" s="50">
        <v>2</v>
      </c>
      <c r="J58" s="50">
        <v>1</v>
      </c>
      <c r="K58" s="50">
        <v>0</v>
      </c>
      <c r="L58" s="50">
        <v>0</v>
      </c>
      <c r="M58" s="50">
        <v>26</v>
      </c>
      <c r="N58" s="50">
        <v>0</v>
      </c>
      <c r="O58" s="15">
        <f t="shared" ref="O58:O105" si="35">SUM(C58:L58,N58)</f>
        <v>40</v>
      </c>
      <c r="P58" s="15">
        <f t="shared" ref="P58:P105" si="36">SUM(C58:N58)</f>
        <v>66</v>
      </c>
      <c r="R58" s="8"/>
      <c r="T58"/>
    </row>
    <row r="59" spans="2:20" ht="23.1" customHeight="1" x14ac:dyDescent="0.25">
      <c r="B59" s="45" t="s">
        <v>100</v>
      </c>
      <c r="C59" s="50">
        <v>31</v>
      </c>
      <c r="D59" s="50">
        <v>14</v>
      </c>
      <c r="E59" s="50">
        <v>7</v>
      </c>
      <c r="F59" s="50">
        <v>2</v>
      </c>
      <c r="G59" s="50">
        <v>0</v>
      </c>
      <c r="H59" s="50">
        <v>0</v>
      </c>
      <c r="I59" s="50">
        <v>3</v>
      </c>
      <c r="J59" s="50">
        <v>1</v>
      </c>
      <c r="K59" s="50">
        <v>0</v>
      </c>
      <c r="L59" s="50">
        <v>0</v>
      </c>
      <c r="M59" s="50">
        <v>43</v>
      </c>
      <c r="N59" s="50">
        <v>0</v>
      </c>
      <c r="O59" s="15">
        <f t="shared" si="35"/>
        <v>58</v>
      </c>
      <c r="P59" s="15">
        <f t="shared" si="36"/>
        <v>101</v>
      </c>
      <c r="R59" s="8"/>
      <c r="T59"/>
    </row>
    <row r="60" spans="2:20" ht="23.1" customHeight="1" x14ac:dyDescent="0.25">
      <c r="B60" s="45" t="s">
        <v>101</v>
      </c>
      <c r="C60" s="50">
        <v>42</v>
      </c>
      <c r="D60" s="50">
        <v>17</v>
      </c>
      <c r="E60" s="50">
        <v>8</v>
      </c>
      <c r="F60" s="50">
        <v>5</v>
      </c>
      <c r="G60" s="50">
        <v>0</v>
      </c>
      <c r="H60" s="50">
        <v>0</v>
      </c>
      <c r="I60" s="50">
        <v>10</v>
      </c>
      <c r="J60" s="50">
        <v>1</v>
      </c>
      <c r="K60" s="50">
        <v>1</v>
      </c>
      <c r="L60" s="50">
        <v>0</v>
      </c>
      <c r="M60" s="50">
        <v>38</v>
      </c>
      <c r="N60" s="50">
        <v>0</v>
      </c>
      <c r="O60" s="15">
        <f t="shared" si="35"/>
        <v>84</v>
      </c>
      <c r="P60" s="15">
        <f t="shared" si="36"/>
        <v>122</v>
      </c>
      <c r="R60" s="8"/>
      <c r="T60"/>
    </row>
    <row r="61" spans="2:20" ht="23.1" customHeight="1" x14ac:dyDescent="0.25">
      <c r="B61" s="45" t="s">
        <v>102</v>
      </c>
      <c r="C61" s="50">
        <v>33</v>
      </c>
      <c r="D61" s="50">
        <v>5</v>
      </c>
      <c r="E61" s="50">
        <v>4</v>
      </c>
      <c r="F61" s="50">
        <v>3</v>
      </c>
      <c r="G61" s="50">
        <v>0</v>
      </c>
      <c r="H61" s="50">
        <v>0</v>
      </c>
      <c r="I61" s="50">
        <v>4</v>
      </c>
      <c r="J61" s="50">
        <v>1</v>
      </c>
      <c r="K61" s="50">
        <v>0</v>
      </c>
      <c r="L61" s="50">
        <v>0</v>
      </c>
      <c r="M61" s="50">
        <v>49</v>
      </c>
      <c r="N61" s="50">
        <v>0</v>
      </c>
      <c r="O61" s="15">
        <f t="shared" si="35"/>
        <v>50</v>
      </c>
      <c r="P61" s="15">
        <f t="shared" si="36"/>
        <v>99</v>
      </c>
      <c r="R61" s="8"/>
      <c r="T61"/>
    </row>
    <row r="62" spans="2:20" ht="23.1" customHeight="1" x14ac:dyDescent="0.25">
      <c r="B62" s="45" t="s">
        <v>107</v>
      </c>
      <c r="C62" s="50">
        <v>32</v>
      </c>
      <c r="D62" s="50">
        <v>10</v>
      </c>
      <c r="E62" s="50">
        <v>2</v>
      </c>
      <c r="F62" s="50">
        <v>2</v>
      </c>
      <c r="G62" s="50">
        <v>0</v>
      </c>
      <c r="H62" s="50">
        <v>0</v>
      </c>
      <c r="I62" s="50">
        <v>5</v>
      </c>
      <c r="J62" s="50">
        <v>2</v>
      </c>
      <c r="K62" s="50">
        <v>1</v>
      </c>
      <c r="L62" s="50">
        <v>0</v>
      </c>
      <c r="M62" s="50">
        <v>33</v>
      </c>
      <c r="N62" s="50">
        <v>0</v>
      </c>
      <c r="O62" s="15">
        <f t="shared" si="35"/>
        <v>54</v>
      </c>
      <c r="P62" s="15">
        <f t="shared" si="36"/>
        <v>87</v>
      </c>
      <c r="R62" s="8"/>
      <c r="T62"/>
    </row>
    <row r="63" spans="2:20" ht="23.1" customHeight="1" x14ac:dyDescent="0.25">
      <c r="B63" s="45" t="s">
        <v>108</v>
      </c>
      <c r="C63" s="50">
        <v>36</v>
      </c>
      <c r="D63" s="50">
        <v>9</v>
      </c>
      <c r="E63" s="50">
        <v>11</v>
      </c>
      <c r="F63" s="50">
        <v>5</v>
      </c>
      <c r="G63" s="50">
        <v>0</v>
      </c>
      <c r="H63" s="50">
        <v>0</v>
      </c>
      <c r="I63" s="50">
        <v>1</v>
      </c>
      <c r="J63" s="50">
        <v>0</v>
      </c>
      <c r="K63" s="50">
        <v>1</v>
      </c>
      <c r="L63" s="50">
        <v>0</v>
      </c>
      <c r="M63" s="50">
        <v>35</v>
      </c>
      <c r="N63" s="50">
        <v>0</v>
      </c>
      <c r="O63" s="15">
        <f t="shared" si="35"/>
        <v>63</v>
      </c>
      <c r="P63" s="15">
        <f t="shared" si="36"/>
        <v>98</v>
      </c>
      <c r="R63" s="8"/>
      <c r="T63"/>
    </row>
    <row r="64" spans="2:20" ht="23.1" customHeight="1" x14ac:dyDescent="0.25">
      <c r="B64" s="45" t="s">
        <v>109</v>
      </c>
      <c r="C64" s="50">
        <v>22</v>
      </c>
      <c r="D64" s="50">
        <v>2</v>
      </c>
      <c r="E64" s="50">
        <v>4</v>
      </c>
      <c r="F64" s="50">
        <v>3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27</v>
      </c>
      <c r="N64" s="50">
        <v>0</v>
      </c>
      <c r="O64" s="15">
        <f t="shared" si="35"/>
        <v>34</v>
      </c>
      <c r="P64" s="15">
        <f t="shared" si="36"/>
        <v>61</v>
      </c>
      <c r="R64" s="8"/>
      <c r="T64"/>
    </row>
    <row r="65" spans="2:20" ht="23.1" customHeight="1" x14ac:dyDescent="0.25">
      <c r="B65" s="45" t="s">
        <v>158</v>
      </c>
      <c r="C65" s="50">
        <v>21</v>
      </c>
      <c r="D65" s="50">
        <v>11</v>
      </c>
      <c r="E65" s="50">
        <v>2</v>
      </c>
      <c r="F65" s="50">
        <v>0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0</v>
      </c>
      <c r="M65" s="50">
        <v>47</v>
      </c>
      <c r="N65" s="50">
        <v>0</v>
      </c>
      <c r="O65" s="15">
        <f t="shared" si="35"/>
        <v>36</v>
      </c>
      <c r="P65" s="15">
        <f t="shared" si="36"/>
        <v>83</v>
      </c>
      <c r="R65" s="8"/>
      <c r="T65"/>
    </row>
    <row r="66" spans="2:20" ht="23.1" customHeight="1" x14ac:dyDescent="0.25">
      <c r="B66" s="45" t="s">
        <v>103</v>
      </c>
      <c r="C66" s="50">
        <v>45</v>
      </c>
      <c r="D66" s="50">
        <v>15</v>
      </c>
      <c r="E66" s="50">
        <v>3</v>
      </c>
      <c r="F66" s="50">
        <v>0</v>
      </c>
      <c r="G66" s="50">
        <v>0</v>
      </c>
      <c r="H66" s="50">
        <v>0</v>
      </c>
      <c r="I66" s="50">
        <v>1</v>
      </c>
      <c r="J66" s="50">
        <v>2</v>
      </c>
      <c r="K66" s="50">
        <v>0</v>
      </c>
      <c r="L66" s="50">
        <v>0</v>
      </c>
      <c r="M66" s="50">
        <v>26</v>
      </c>
      <c r="N66" s="50">
        <v>0</v>
      </c>
      <c r="O66" s="15">
        <f t="shared" si="35"/>
        <v>66</v>
      </c>
      <c r="P66" s="15">
        <f t="shared" si="36"/>
        <v>92</v>
      </c>
      <c r="R66" s="8"/>
      <c r="T66"/>
    </row>
    <row r="67" spans="2:20" ht="23.1" customHeight="1" x14ac:dyDescent="0.25">
      <c r="B67" s="45" t="s">
        <v>104</v>
      </c>
      <c r="C67" s="50">
        <v>24</v>
      </c>
      <c r="D67" s="50">
        <v>7</v>
      </c>
      <c r="E67" s="50">
        <v>1</v>
      </c>
      <c r="F67" s="50">
        <v>0</v>
      </c>
      <c r="G67" s="50">
        <v>1</v>
      </c>
      <c r="H67" s="50">
        <v>0</v>
      </c>
      <c r="I67" s="50">
        <v>0</v>
      </c>
      <c r="J67" s="50">
        <v>1</v>
      </c>
      <c r="K67" s="50">
        <v>0</v>
      </c>
      <c r="L67" s="50">
        <v>1</v>
      </c>
      <c r="M67" s="50">
        <v>18</v>
      </c>
      <c r="N67" s="50">
        <v>0</v>
      </c>
      <c r="O67" s="15">
        <f t="shared" si="35"/>
        <v>35</v>
      </c>
      <c r="P67" s="15">
        <f t="shared" si="36"/>
        <v>53</v>
      </c>
      <c r="R67" s="8"/>
      <c r="T67"/>
    </row>
    <row r="68" spans="2:20" ht="23.1" customHeight="1" x14ac:dyDescent="0.25">
      <c r="B68" s="45" t="s">
        <v>105</v>
      </c>
      <c r="C68" s="50">
        <v>31</v>
      </c>
      <c r="D68" s="50">
        <v>9</v>
      </c>
      <c r="E68" s="50">
        <v>3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18</v>
      </c>
      <c r="N68" s="50">
        <v>0</v>
      </c>
      <c r="O68" s="15">
        <f t="shared" si="35"/>
        <v>45</v>
      </c>
      <c r="P68" s="15">
        <f t="shared" si="36"/>
        <v>63</v>
      </c>
      <c r="R68" s="8"/>
      <c r="T68"/>
    </row>
    <row r="69" spans="2:20" ht="23.1" customHeight="1" x14ac:dyDescent="0.25">
      <c r="B69" s="45" t="s">
        <v>106</v>
      </c>
      <c r="C69" s="50">
        <v>25</v>
      </c>
      <c r="D69" s="50">
        <v>9</v>
      </c>
      <c r="E69" s="50">
        <v>3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15</v>
      </c>
      <c r="N69" s="50">
        <v>0</v>
      </c>
      <c r="O69" s="15">
        <f t="shared" si="35"/>
        <v>37</v>
      </c>
      <c r="P69" s="15">
        <f t="shared" si="36"/>
        <v>52</v>
      </c>
      <c r="R69" s="8"/>
      <c r="T69"/>
    </row>
    <row r="70" spans="2:20" ht="23.1" customHeight="1" x14ac:dyDescent="0.25">
      <c r="B70" s="45" t="s">
        <v>110</v>
      </c>
      <c r="C70" s="50">
        <v>26</v>
      </c>
      <c r="D70" s="50">
        <v>7</v>
      </c>
      <c r="E70" s="50">
        <v>3</v>
      </c>
      <c r="F70" s="50">
        <v>3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17</v>
      </c>
      <c r="N70" s="50">
        <v>0</v>
      </c>
      <c r="O70" s="15">
        <f t="shared" si="35"/>
        <v>41</v>
      </c>
      <c r="P70" s="15">
        <f t="shared" si="36"/>
        <v>58</v>
      </c>
      <c r="R70" s="8"/>
      <c r="T70"/>
    </row>
    <row r="71" spans="2:20" ht="23.1" customHeight="1" x14ac:dyDescent="0.25">
      <c r="B71" s="45" t="s">
        <v>111</v>
      </c>
      <c r="C71" s="50">
        <v>23</v>
      </c>
      <c r="D71" s="50">
        <v>11</v>
      </c>
      <c r="E71" s="50">
        <v>6</v>
      </c>
      <c r="F71" s="50">
        <v>2</v>
      </c>
      <c r="G71" s="50">
        <v>1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13</v>
      </c>
      <c r="N71" s="50">
        <v>0</v>
      </c>
      <c r="O71" s="15">
        <f t="shared" si="35"/>
        <v>44</v>
      </c>
      <c r="P71" s="15">
        <f t="shared" si="36"/>
        <v>57</v>
      </c>
      <c r="R71" s="8"/>
      <c r="T71"/>
    </row>
    <row r="72" spans="2:20" ht="23.1" customHeight="1" x14ac:dyDescent="0.25">
      <c r="B72" s="45" t="s">
        <v>112</v>
      </c>
      <c r="C72" s="50">
        <v>28</v>
      </c>
      <c r="D72" s="50">
        <v>6</v>
      </c>
      <c r="E72" s="50">
        <v>2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9</v>
      </c>
      <c r="N72" s="50">
        <v>0</v>
      </c>
      <c r="O72" s="15">
        <f t="shared" si="35"/>
        <v>36</v>
      </c>
      <c r="P72" s="15">
        <f t="shared" si="36"/>
        <v>45</v>
      </c>
      <c r="R72" s="8"/>
      <c r="T72"/>
    </row>
    <row r="73" spans="2:20" ht="23.1" customHeight="1" x14ac:dyDescent="0.25">
      <c r="B73" s="45" t="s">
        <v>113</v>
      </c>
      <c r="C73" s="50">
        <v>7</v>
      </c>
      <c r="D73" s="50">
        <v>7</v>
      </c>
      <c r="E73" s="50">
        <v>0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7</v>
      </c>
      <c r="N73" s="50">
        <v>0</v>
      </c>
      <c r="O73" s="15">
        <f t="shared" si="35"/>
        <v>15</v>
      </c>
      <c r="P73" s="15">
        <f t="shared" si="36"/>
        <v>22</v>
      </c>
      <c r="R73" s="8"/>
      <c r="T73"/>
    </row>
    <row r="74" spans="2:20" ht="23.1" customHeight="1" x14ac:dyDescent="0.25">
      <c r="B74" s="45" t="s">
        <v>114</v>
      </c>
      <c r="C74" s="50">
        <v>9</v>
      </c>
      <c r="D74" s="50">
        <v>10</v>
      </c>
      <c r="E74" s="50">
        <v>0</v>
      </c>
      <c r="F74" s="50">
        <v>0</v>
      </c>
      <c r="G74" s="50">
        <v>0</v>
      </c>
      <c r="H74" s="50">
        <v>0</v>
      </c>
      <c r="I74" s="50">
        <v>2</v>
      </c>
      <c r="J74" s="50">
        <v>1</v>
      </c>
      <c r="K74" s="50">
        <v>0</v>
      </c>
      <c r="L74" s="50">
        <v>0</v>
      </c>
      <c r="M74" s="50">
        <v>7</v>
      </c>
      <c r="N74" s="50">
        <v>0</v>
      </c>
      <c r="O74" s="15">
        <f t="shared" si="35"/>
        <v>22</v>
      </c>
      <c r="P74" s="15">
        <f t="shared" si="36"/>
        <v>29</v>
      </c>
      <c r="R74" s="8"/>
      <c r="T74"/>
    </row>
    <row r="75" spans="2:20" ht="23.1" customHeight="1" x14ac:dyDescent="0.25">
      <c r="B75" s="45" t="s">
        <v>115</v>
      </c>
      <c r="C75" s="50">
        <v>7</v>
      </c>
      <c r="D75" s="50">
        <v>2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9</v>
      </c>
      <c r="P75" s="15">
        <f t="shared" si="36"/>
        <v>13</v>
      </c>
      <c r="R75" s="8"/>
      <c r="T75"/>
    </row>
    <row r="76" spans="2:20" ht="23.1" customHeight="1" x14ac:dyDescent="0.25">
      <c r="B76" s="45" t="s">
        <v>116</v>
      </c>
      <c r="C76" s="50">
        <v>11</v>
      </c>
      <c r="D76" s="50">
        <v>3</v>
      </c>
      <c r="E76" s="50">
        <v>0</v>
      </c>
      <c r="F76" s="50">
        <v>2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9</v>
      </c>
      <c r="N76" s="50">
        <v>0</v>
      </c>
      <c r="O76" s="15">
        <f t="shared" si="35"/>
        <v>16</v>
      </c>
      <c r="P76" s="15">
        <f t="shared" si="36"/>
        <v>25</v>
      </c>
      <c r="R76" s="8"/>
      <c r="T76"/>
    </row>
    <row r="77" spans="2:20" ht="23.1" customHeight="1" x14ac:dyDescent="0.25">
      <c r="B77" s="45" t="s">
        <v>117</v>
      </c>
      <c r="C77" s="50">
        <v>12</v>
      </c>
      <c r="D77" s="50">
        <v>2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7</v>
      </c>
      <c r="N77" s="50">
        <v>0</v>
      </c>
      <c r="O77" s="15">
        <f t="shared" si="35"/>
        <v>15</v>
      </c>
      <c r="P77" s="15">
        <f t="shared" si="36"/>
        <v>22</v>
      </c>
      <c r="R77" s="8"/>
      <c r="T77"/>
    </row>
    <row r="78" spans="2:20" ht="23.1" customHeight="1" x14ac:dyDescent="0.25">
      <c r="B78" s="46" t="s">
        <v>118</v>
      </c>
      <c r="C78" s="50">
        <v>8</v>
      </c>
      <c r="D78" s="50">
        <v>4</v>
      </c>
      <c r="E78" s="50">
        <v>2</v>
      </c>
      <c r="F78" s="50">
        <v>2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4</v>
      </c>
      <c r="N78" s="50">
        <v>0</v>
      </c>
      <c r="O78" s="15">
        <f t="shared" si="35"/>
        <v>17</v>
      </c>
      <c r="P78" s="15">
        <f t="shared" si="36"/>
        <v>21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2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1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3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3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6</v>
      </c>
      <c r="N81" s="50">
        <v>0</v>
      </c>
      <c r="O81" s="15">
        <f t="shared" si="35"/>
        <v>4</v>
      </c>
      <c r="P81" s="15">
        <f t="shared" si="36"/>
        <v>10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3</v>
      </c>
      <c r="E82" s="50">
        <v>1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5"/>
        <v>6</v>
      </c>
      <c r="P82" s="15">
        <f t="shared" si="36"/>
        <v>10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4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6</v>
      </c>
      <c r="P83" s="15">
        <f t="shared" si="36"/>
        <v>9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3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2</v>
      </c>
      <c r="N84" s="50">
        <v>0</v>
      </c>
      <c r="O84" s="15">
        <f t="shared" si="35"/>
        <v>8</v>
      </c>
      <c r="P84" s="15">
        <f t="shared" si="36"/>
        <v>10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1</v>
      </c>
      <c r="G86" s="50">
        <v>0</v>
      </c>
      <c r="H86" s="50">
        <v>1</v>
      </c>
      <c r="I86" s="50">
        <v>1</v>
      </c>
      <c r="J86" s="50">
        <v>0</v>
      </c>
      <c r="K86" s="50">
        <v>0</v>
      </c>
      <c r="L86" s="50">
        <v>0</v>
      </c>
      <c r="M86" s="50">
        <v>4</v>
      </c>
      <c r="N86" s="50">
        <v>0</v>
      </c>
      <c r="O86" s="15">
        <f t="shared" si="35"/>
        <v>3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2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1</v>
      </c>
      <c r="E88" s="50">
        <v>0</v>
      </c>
      <c r="F88" s="50">
        <v>3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10</v>
      </c>
      <c r="P88" s="15">
        <f t="shared" si="36"/>
        <v>10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3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1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1</v>
      </c>
      <c r="E91" s="50">
        <v>1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6</v>
      </c>
      <c r="P91" s="15">
        <f t="shared" si="36"/>
        <v>6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2</v>
      </c>
      <c r="P92" s="15">
        <f t="shared" si="36"/>
        <v>4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2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3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1</v>
      </c>
      <c r="E97" s="50">
        <v>2</v>
      </c>
      <c r="F97" s="50">
        <v>0</v>
      </c>
      <c r="G97" s="50">
        <v>1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8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2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1</v>
      </c>
      <c r="J99" s="50">
        <v>1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6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2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6</v>
      </c>
      <c r="P100" s="15">
        <f t="shared" si="36"/>
        <v>8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3</v>
      </c>
      <c r="E101" s="50">
        <v>2</v>
      </c>
      <c r="F101" s="50">
        <v>2</v>
      </c>
      <c r="G101" s="50">
        <v>1</v>
      </c>
      <c r="H101" s="50">
        <v>0</v>
      </c>
      <c r="I101" s="50">
        <v>1</v>
      </c>
      <c r="J101" s="50">
        <v>1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19</v>
      </c>
      <c r="P101" s="15">
        <f t="shared" si="36"/>
        <v>22</v>
      </c>
      <c r="R101" s="8"/>
      <c r="T101"/>
    </row>
    <row r="102" spans="2:20" ht="23.1" customHeight="1" x14ac:dyDescent="0.25">
      <c r="B102" s="46" t="s">
        <v>142</v>
      </c>
      <c r="C102" s="50">
        <v>21</v>
      </c>
      <c r="D102" s="50">
        <v>2</v>
      </c>
      <c r="E102" s="50">
        <v>2</v>
      </c>
      <c r="F102" s="50">
        <v>2</v>
      </c>
      <c r="G102" s="50">
        <v>0</v>
      </c>
      <c r="H102" s="50">
        <v>0</v>
      </c>
      <c r="I102" s="50">
        <v>3</v>
      </c>
      <c r="J102" s="50">
        <v>1</v>
      </c>
      <c r="K102" s="50">
        <v>0</v>
      </c>
      <c r="L102" s="50">
        <v>0</v>
      </c>
      <c r="M102" s="50">
        <v>8</v>
      </c>
      <c r="N102" s="50">
        <v>0</v>
      </c>
      <c r="O102" s="15">
        <f t="shared" si="35"/>
        <v>31</v>
      </c>
      <c r="P102" s="15">
        <f t="shared" si="36"/>
        <v>39</v>
      </c>
      <c r="R102" s="8"/>
      <c r="T102"/>
    </row>
    <row r="103" spans="2:20" ht="23.1" customHeight="1" x14ac:dyDescent="0.25">
      <c r="B103" s="45" t="s">
        <v>143</v>
      </c>
      <c r="C103" s="50">
        <v>17</v>
      </c>
      <c r="D103" s="50">
        <v>3</v>
      </c>
      <c r="E103" s="50">
        <v>1</v>
      </c>
      <c r="F103" s="50">
        <v>2</v>
      </c>
      <c r="G103" s="50">
        <v>1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15</v>
      </c>
      <c r="N103" s="50">
        <v>0</v>
      </c>
      <c r="O103" s="15">
        <f t="shared" si="35"/>
        <v>25</v>
      </c>
      <c r="P103" s="15">
        <f t="shared" si="36"/>
        <v>40</v>
      </c>
      <c r="R103" s="8"/>
      <c r="T103"/>
    </row>
    <row r="104" spans="2:20" ht="23.1" customHeight="1" x14ac:dyDescent="0.25">
      <c r="B104" s="47" t="s">
        <v>144</v>
      </c>
      <c r="C104" s="50">
        <v>28</v>
      </c>
      <c r="D104" s="50">
        <v>2</v>
      </c>
      <c r="E104" s="50">
        <v>2</v>
      </c>
      <c r="F104" s="50">
        <v>1</v>
      </c>
      <c r="G104" s="50">
        <v>0</v>
      </c>
      <c r="H104" s="50">
        <v>1</v>
      </c>
      <c r="I104" s="50">
        <v>1</v>
      </c>
      <c r="J104" s="50">
        <v>0</v>
      </c>
      <c r="K104" s="50">
        <v>0</v>
      </c>
      <c r="L104" s="50">
        <v>0</v>
      </c>
      <c r="M104" s="50">
        <v>25</v>
      </c>
      <c r="N104" s="50">
        <v>0</v>
      </c>
      <c r="O104" s="15">
        <f t="shared" si="35"/>
        <v>35</v>
      </c>
      <c r="P104" s="15">
        <f t="shared" si="36"/>
        <v>60</v>
      </c>
      <c r="R104" s="8"/>
      <c r="T104"/>
    </row>
    <row r="105" spans="2:20" ht="23.1" customHeight="1" x14ac:dyDescent="0.25">
      <c r="B105" s="45" t="s">
        <v>145</v>
      </c>
      <c r="C105" s="50">
        <v>28</v>
      </c>
      <c r="D105" s="50">
        <v>4</v>
      </c>
      <c r="E105" s="50">
        <v>3</v>
      </c>
      <c r="F105" s="50">
        <v>2</v>
      </c>
      <c r="G105" s="50">
        <v>1</v>
      </c>
      <c r="H105" s="50">
        <v>1</v>
      </c>
      <c r="I105" s="50">
        <v>0</v>
      </c>
      <c r="J105" s="50">
        <v>1</v>
      </c>
      <c r="K105" s="50">
        <v>0</v>
      </c>
      <c r="L105" s="50">
        <v>0</v>
      </c>
      <c r="M105" s="50">
        <v>23</v>
      </c>
      <c r="N105" s="50">
        <v>0</v>
      </c>
      <c r="O105" s="15">
        <f t="shared" si="35"/>
        <v>40</v>
      </c>
      <c r="P105" s="15">
        <f t="shared" si="36"/>
        <v>63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2008</v>
      </c>
      <c r="D106" s="16">
        <f t="shared" ref="D106:P106" si="37">SUM(D10:D105)</f>
        <v>633</v>
      </c>
      <c r="E106" s="16">
        <f t="shared" si="37"/>
        <v>267</v>
      </c>
      <c r="F106" s="16">
        <f t="shared" si="37"/>
        <v>146</v>
      </c>
      <c r="G106" s="16">
        <f t="shared" si="37"/>
        <v>19</v>
      </c>
      <c r="H106" s="16">
        <f t="shared" si="37"/>
        <v>8</v>
      </c>
      <c r="I106" s="16">
        <f t="shared" si="37"/>
        <v>208</v>
      </c>
      <c r="J106" s="16">
        <f t="shared" si="37"/>
        <v>32</v>
      </c>
      <c r="K106" s="16">
        <f t="shared" si="37"/>
        <v>6</v>
      </c>
      <c r="L106" s="16">
        <f t="shared" si="37"/>
        <v>4</v>
      </c>
      <c r="M106" s="16">
        <f t="shared" si="37"/>
        <v>2210</v>
      </c>
      <c r="N106" s="16">
        <f t="shared" si="37"/>
        <v>0</v>
      </c>
      <c r="O106" s="16">
        <f t="shared" si="37"/>
        <v>3331</v>
      </c>
      <c r="P106" s="16">
        <f t="shared" si="37"/>
        <v>5541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0.36238946038621189</v>
      </c>
      <c r="D107" s="43">
        <f t="shared" si="38"/>
        <v>0.11423930698429886</v>
      </c>
      <c r="E107" s="43">
        <f t="shared" si="38"/>
        <v>4.8186247969680567E-2</v>
      </c>
      <c r="F107" s="43">
        <f t="shared" si="38"/>
        <v>2.6349034470312217E-2</v>
      </c>
      <c r="G107" s="43">
        <f t="shared" si="38"/>
        <v>3.4289839379173436E-3</v>
      </c>
      <c r="H107" s="43">
        <f t="shared" si="38"/>
        <v>1.4437827107020393E-3</v>
      </c>
      <c r="I107" s="43">
        <f t="shared" si="38"/>
        <v>3.7538350478253026E-2</v>
      </c>
      <c r="J107" s="43">
        <f t="shared" si="38"/>
        <v>5.7751308428081573E-3</v>
      </c>
      <c r="K107" s="43">
        <f t="shared" si="38"/>
        <v>1.0828370330265296E-3</v>
      </c>
      <c r="L107" s="43">
        <f t="shared" si="38"/>
        <v>7.2189135535101966E-4</v>
      </c>
      <c r="M107" s="43">
        <f t="shared" si="38"/>
        <v>0.39884497383143835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0.60282197538276794</v>
      </c>
      <c r="D108" s="44">
        <f t="shared" ref="D108:N108" si="39">D106/$O$106</f>
        <v>0.19003302311618134</v>
      </c>
      <c r="E108" s="44">
        <f t="shared" si="39"/>
        <v>8.015610927649354E-2</v>
      </c>
      <c r="F108" s="44">
        <f t="shared" si="39"/>
        <v>4.3830681477033923E-2</v>
      </c>
      <c r="G108" s="44">
        <f t="shared" si="39"/>
        <v>5.7039927949564693E-3</v>
      </c>
      <c r="H108" s="44">
        <f t="shared" si="39"/>
        <v>2.4016811768237767E-3</v>
      </c>
      <c r="I108" s="44">
        <f t="shared" si="39"/>
        <v>6.2443710597418191E-2</v>
      </c>
      <c r="J108" s="44">
        <f t="shared" si="39"/>
        <v>9.6067247072951067E-3</v>
      </c>
      <c r="K108" s="44">
        <f t="shared" si="39"/>
        <v>1.8012608826178324E-3</v>
      </c>
      <c r="L108" s="44">
        <f t="shared" si="39"/>
        <v>1.2008405884118883E-3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52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6" t="str">
        <f>'23.09.19 Bweya- Kajansi'!C3:G3</f>
        <v>MCC-C2-STNO 56 -Munyonyo spur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6" t="str">
        <f>'26.09 Munyonyo-Kajansi-24h'!D5</f>
        <v>26.09.19</v>
      </c>
      <c r="E5" s="3"/>
      <c r="F5" s="41" t="s">
        <v>1</v>
      </c>
      <c r="G5" s="61" t="str">
        <f>'26.09 Munyonyo-Kajansi-24h'!G5:H5</f>
        <v>Munyonyo Spur RD</v>
      </c>
      <c r="H5" s="62"/>
      <c r="I5" s="14"/>
      <c r="J5" s="2" t="s">
        <v>5</v>
      </c>
      <c r="K5" s="61" t="str">
        <f>'26.09 Munyonyo-Kajansi-24h'!K5:L5</f>
        <v>Akello Rosette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'23.09.19 Kajansi -Bweya'!D6:E6</f>
        <v>KAJANSI</v>
      </c>
      <c r="E6" s="62"/>
      <c r="F6" s="2" t="s">
        <v>2</v>
      </c>
      <c r="G6" s="61" t="str">
        <f>'24.09 Kajansi-Bweya'!G6:H6</f>
        <v>MUNYONYO</v>
      </c>
      <c r="H6" s="62"/>
      <c r="J6" s="2" t="s">
        <v>21</v>
      </c>
      <c r="K6" s="61" t="str">
        <f>'26.09 Munyonyo-Kajansi-24h'!K6:L6</f>
        <v>Beatrice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22</v>
      </c>
      <c r="D10" s="50">
        <v>7</v>
      </c>
      <c r="E10" s="50">
        <v>5</v>
      </c>
      <c r="F10" s="50">
        <v>2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21</v>
      </c>
      <c r="N10" s="50">
        <v>0</v>
      </c>
      <c r="O10" s="15">
        <f t="shared" ref="O10:O73" si="0">SUM(C10:L10,N10)</f>
        <v>39</v>
      </c>
      <c r="P10" s="15">
        <f t="shared" ref="P10:P73" si="1">SUM(C10:N10)</f>
        <v>60</v>
      </c>
      <c r="R10" s="1" t="s">
        <v>6</v>
      </c>
      <c r="S10" s="17">
        <f t="shared" ref="S10:AF10" si="2">SUM(C10:C13)</f>
        <v>156</v>
      </c>
      <c r="T10" s="17">
        <f t="shared" si="2"/>
        <v>30</v>
      </c>
      <c r="U10" s="17">
        <f t="shared" si="2"/>
        <v>23</v>
      </c>
      <c r="V10" s="17">
        <f t="shared" si="2"/>
        <v>9</v>
      </c>
      <c r="W10" s="17">
        <f t="shared" si="2"/>
        <v>1</v>
      </c>
      <c r="X10" s="17">
        <f t="shared" si="2"/>
        <v>0</v>
      </c>
      <c r="Y10" s="17">
        <f t="shared" si="2"/>
        <v>16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141</v>
      </c>
      <c r="AD10" s="17">
        <f t="shared" si="2"/>
        <v>0</v>
      </c>
      <c r="AE10" s="31">
        <f t="shared" si="2"/>
        <v>237</v>
      </c>
      <c r="AF10" s="31">
        <f t="shared" si="2"/>
        <v>378</v>
      </c>
    </row>
    <row r="11" spans="2:32" s="6" customFormat="1" ht="23.1" customHeight="1" x14ac:dyDescent="0.25">
      <c r="B11" s="45" t="s">
        <v>38</v>
      </c>
      <c r="C11" s="50">
        <v>42</v>
      </c>
      <c r="D11" s="50">
        <v>12</v>
      </c>
      <c r="E11" s="50">
        <v>6</v>
      </c>
      <c r="F11" s="50">
        <v>2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42</v>
      </c>
      <c r="N11" s="50">
        <v>0</v>
      </c>
      <c r="O11" s="15">
        <f t="shared" si="0"/>
        <v>65</v>
      </c>
      <c r="P11" s="15">
        <f t="shared" si="1"/>
        <v>107</v>
      </c>
      <c r="R11" s="1" t="s">
        <v>7</v>
      </c>
      <c r="S11" s="17">
        <f t="shared" ref="S11:AF11" si="3">SUM(C14:C17)</f>
        <v>138</v>
      </c>
      <c r="T11" s="17">
        <f t="shared" si="3"/>
        <v>14</v>
      </c>
      <c r="U11" s="17">
        <f t="shared" si="3"/>
        <v>13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5</v>
      </c>
      <c r="AA11" s="17">
        <f t="shared" si="3"/>
        <v>1</v>
      </c>
      <c r="AB11" s="17">
        <f t="shared" si="3"/>
        <v>0</v>
      </c>
      <c r="AC11" s="17">
        <f t="shared" si="3"/>
        <v>111</v>
      </c>
      <c r="AD11" s="17">
        <f t="shared" si="3"/>
        <v>0</v>
      </c>
      <c r="AE11" s="31">
        <f t="shared" si="3"/>
        <v>184</v>
      </c>
      <c r="AF11" s="31">
        <f t="shared" si="3"/>
        <v>295</v>
      </c>
    </row>
    <row r="12" spans="2:32" ht="23.1" customHeight="1" x14ac:dyDescent="0.25">
      <c r="B12" s="45" t="s">
        <v>39</v>
      </c>
      <c r="C12" s="50">
        <v>48</v>
      </c>
      <c r="D12" s="50">
        <v>8</v>
      </c>
      <c r="E12" s="50">
        <v>9</v>
      </c>
      <c r="F12" s="50">
        <v>4</v>
      </c>
      <c r="G12" s="50">
        <v>1</v>
      </c>
      <c r="H12" s="50">
        <v>0</v>
      </c>
      <c r="I12" s="50">
        <v>6</v>
      </c>
      <c r="J12" s="50">
        <v>0</v>
      </c>
      <c r="K12" s="50">
        <v>0</v>
      </c>
      <c r="L12" s="50">
        <v>0</v>
      </c>
      <c r="M12" s="50">
        <v>50</v>
      </c>
      <c r="N12" s="50">
        <v>0</v>
      </c>
      <c r="O12" s="15">
        <f t="shared" si="0"/>
        <v>76</v>
      </c>
      <c r="P12" s="15">
        <f t="shared" si="1"/>
        <v>126</v>
      </c>
      <c r="R12" s="1" t="s">
        <v>8</v>
      </c>
      <c r="S12" s="17">
        <f t="shared" ref="S12:AF12" si="4">SUM(C18:C21)</f>
        <v>93</v>
      </c>
      <c r="T12" s="17">
        <f t="shared" si="4"/>
        <v>25</v>
      </c>
      <c r="U12" s="17">
        <f t="shared" si="4"/>
        <v>8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99</v>
      </c>
      <c r="AD12" s="17">
        <f t="shared" si="4"/>
        <v>0</v>
      </c>
      <c r="AE12" s="31">
        <f t="shared" si="4"/>
        <v>139</v>
      </c>
      <c r="AF12" s="31">
        <f t="shared" si="4"/>
        <v>238</v>
      </c>
    </row>
    <row r="13" spans="2:32" ht="23.1" customHeight="1" x14ac:dyDescent="0.25">
      <c r="B13" s="45" t="s">
        <v>40</v>
      </c>
      <c r="C13" s="50">
        <v>44</v>
      </c>
      <c r="D13" s="50">
        <v>3</v>
      </c>
      <c r="E13" s="50">
        <v>3</v>
      </c>
      <c r="F13" s="50">
        <v>1</v>
      </c>
      <c r="G13" s="50">
        <v>0</v>
      </c>
      <c r="H13" s="50">
        <v>0</v>
      </c>
      <c r="I13" s="50">
        <v>6</v>
      </c>
      <c r="J13" s="50">
        <v>0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57</v>
      </c>
      <c r="P13" s="15">
        <f t="shared" si="1"/>
        <v>85</v>
      </c>
      <c r="R13" s="1" t="s">
        <v>9</v>
      </c>
      <c r="S13" s="17">
        <f t="shared" ref="S13:AF13" si="5">SUM(C22:C25)</f>
        <v>90</v>
      </c>
      <c r="T13" s="17">
        <f t="shared" si="5"/>
        <v>20</v>
      </c>
      <c r="U13" s="17">
        <f t="shared" si="5"/>
        <v>12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135</v>
      </c>
      <c r="AD13" s="17">
        <f t="shared" si="5"/>
        <v>0</v>
      </c>
      <c r="AE13" s="31">
        <f t="shared" si="5"/>
        <v>136</v>
      </c>
      <c r="AF13" s="31">
        <f t="shared" si="5"/>
        <v>271</v>
      </c>
    </row>
    <row r="14" spans="2:32" ht="23.1" customHeight="1" x14ac:dyDescent="0.25">
      <c r="B14" s="45" t="s">
        <v>41</v>
      </c>
      <c r="C14" s="50">
        <v>13</v>
      </c>
      <c r="D14" s="50">
        <v>2</v>
      </c>
      <c r="E14" s="50">
        <v>3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18</v>
      </c>
      <c r="P14" s="15">
        <f t="shared" si="1"/>
        <v>38</v>
      </c>
      <c r="R14" s="1" t="s">
        <v>10</v>
      </c>
      <c r="S14" s="17">
        <f t="shared" ref="S14:AF14" si="6">SUM(C26:C29)</f>
        <v>75</v>
      </c>
      <c r="T14" s="17">
        <f t="shared" si="6"/>
        <v>11</v>
      </c>
      <c r="U14" s="17">
        <f t="shared" si="6"/>
        <v>10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8</v>
      </c>
      <c r="AA14" s="17">
        <f t="shared" si="6"/>
        <v>2</v>
      </c>
      <c r="AB14" s="17">
        <f t="shared" si="6"/>
        <v>0</v>
      </c>
      <c r="AC14" s="17">
        <f t="shared" si="6"/>
        <v>66</v>
      </c>
      <c r="AD14" s="17">
        <f t="shared" si="6"/>
        <v>0</v>
      </c>
      <c r="AE14" s="31">
        <f t="shared" si="6"/>
        <v>110</v>
      </c>
      <c r="AF14" s="31">
        <f t="shared" si="6"/>
        <v>176</v>
      </c>
    </row>
    <row r="15" spans="2:32" ht="23.1" customHeight="1" x14ac:dyDescent="0.25">
      <c r="B15" s="45" t="s">
        <v>42</v>
      </c>
      <c r="C15" s="50">
        <v>43</v>
      </c>
      <c r="D15" s="50">
        <v>5</v>
      </c>
      <c r="E15" s="50">
        <v>3</v>
      </c>
      <c r="F15" s="50">
        <v>0</v>
      </c>
      <c r="G15" s="50">
        <v>0</v>
      </c>
      <c r="H15" s="50">
        <v>0</v>
      </c>
      <c r="I15" s="50">
        <v>3</v>
      </c>
      <c r="J15" s="50">
        <v>2</v>
      </c>
      <c r="K15" s="50">
        <v>0</v>
      </c>
      <c r="L15" s="50">
        <v>0</v>
      </c>
      <c r="M15" s="50">
        <v>19</v>
      </c>
      <c r="N15" s="50">
        <v>0</v>
      </c>
      <c r="O15" s="15">
        <f t="shared" si="0"/>
        <v>56</v>
      </c>
      <c r="P15" s="15">
        <f t="shared" si="1"/>
        <v>75</v>
      </c>
      <c r="R15" s="1" t="s">
        <v>11</v>
      </c>
      <c r="S15" s="17">
        <f t="shared" ref="S15:AF15" si="7">SUM(C30:C33)</f>
        <v>86</v>
      </c>
      <c r="T15" s="17">
        <f t="shared" si="7"/>
        <v>21</v>
      </c>
      <c r="U15" s="17">
        <f t="shared" si="7"/>
        <v>12</v>
      </c>
      <c r="V15" s="17">
        <f t="shared" si="7"/>
        <v>3</v>
      </c>
      <c r="W15" s="17">
        <f t="shared" si="7"/>
        <v>1</v>
      </c>
      <c r="X15" s="17">
        <f t="shared" si="7"/>
        <v>0</v>
      </c>
      <c r="Y15" s="17">
        <f t="shared" si="7"/>
        <v>5</v>
      </c>
      <c r="Z15" s="17">
        <f t="shared" si="7"/>
        <v>9</v>
      </c>
      <c r="AA15" s="17">
        <f t="shared" si="7"/>
        <v>0</v>
      </c>
      <c r="AB15" s="17">
        <f t="shared" si="7"/>
        <v>0</v>
      </c>
      <c r="AC15" s="17">
        <f t="shared" si="7"/>
        <v>79</v>
      </c>
      <c r="AD15" s="17">
        <f t="shared" si="7"/>
        <v>0</v>
      </c>
      <c r="AE15" s="31">
        <f t="shared" si="7"/>
        <v>137</v>
      </c>
      <c r="AF15" s="31">
        <f t="shared" si="7"/>
        <v>216</v>
      </c>
    </row>
    <row r="16" spans="2:32" ht="23.1" customHeight="1" x14ac:dyDescent="0.25">
      <c r="B16" s="45" t="s">
        <v>43</v>
      </c>
      <c r="C16" s="50">
        <v>36</v>
      </c>
      <c r="D16" s="50">
        <v>3</v>
      </c>
      <c r="E16" s="50">
        <v>2</v>
      </c>
      <c r="F16" s="50">
        <v>0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31</v>
      </c>
      <c r="N16" s="50">
        <v>0</v>
      </c>
      <c r="O16" s="15">
        <f t="shared" si="0"/>
        <v>45</v>
      </c>
      <c r="P16" s="15">
        <f t="shared" si="1"/>
        <v>76</v>
      </c>
      <c r="R16" s="1" t="s">
        <v>12</v>
      </c>
      <c r="S16" s="17">
        <f t="shared" ref="S16:AF16" si="8">SUM(C34:C37)</f>
        <v>82</v>
      </c>
      <c r="T16" s="17">
        <f t="shared" si="8"/>
        <v>24</v>
      </c>
      <c r="U16" s="17">
        <f t="shared" si="8"/>
        <v>7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9</v>
      </c>
      <c r="AA16" s="17">
        <f t="shared" si="8"/>
        <v>0</v>
      </c>
      <c r="AB16" s="17">
        <f t="shared" si="8"/>
        <v>0</v>
      </c>
      <c r="AC16" s="17">
        <f t="shared" si="8"/>
        <v>91</v>
      </c>
      <c r="AD16" s="17">
        <f t="shared" si="8"/>
        <v>0</v>
      </c>
      <c r="AE16" s="31">
        <f t="shared" si="8"/>
        <v>131</v>
      </c>
      <c r="AF16" s="31">
        <f t="shared" si="8"/>
        <v>222</v>
      </c>
    </row>
    <row r="17" spans="2:32" ht="23.1" customHeight="1" x14ac:dyDescent="0.25">
      <c r="B17" s="45" t="s">
        <v>44</v>
      </c>
      <c r="C17" s="50">
        <v>46</v>
      </c>
      <c r="D17" s="50">
        <v>4</v>
      </c>
      <c r="E17" s="50">
        <v>5</v>
      </c>
      <c r="F17" s="50">
        <v>2</v>
      </c>
      <c r="G17" s="50">
        <v>0</v>
      </c>
      <c r="H17" s="50">
        <v>0</v>
      </c>
      <c r="I17" s="50">
        <v>4</v>
      </c>
      <c r="J17" s="50">
        <v>3</v>
      </c>
      <c r="K17" s="50">
        <v>1</v>
      </c>
      <c r="L17" s="50">
        <v>0</v>
      </c>
      <c r="M17" s="50">
        <v>41</v>
      </c>
      <c r="N17" s="50">
        <v>0</v>
      </c>
      <c r="O17" s="15">
        <f t="shared" si="0"/>
        <v>65</v>
      </c>
      <c r="P17" s="15">
        <f t="shared" si="1"/>
        <v>106</v>
      </c>
      <c r="R17" s="1" t="s">
        <v>13</v>
      </c>
      <c r="S17" s="17">
        <f t="shared" ref="S17:AF17" si="9">SUM(C38:C41)</f>
        <v>114</v>
      </c>
      <c r="T17" s="17">
        <f t="shared" si="9"/>
        <v>31</v>
      </c>
      <c r="U17" s="17">
        <f t="shared" si="9"/>
        <v>9</v>
      </c>
      <c r="V17" s="17">
        <f t="shared" si="9"/>
        <v>1</v>
      </c>
      <c r="W17" s="17">
        <f t="shared" si="9"/>
        <v>1</v>
      </c>
      <c r="X17" s="17">
        <f t="shared" si="9"/>
        <v>0</v>
      </c>
      <c r="Y17" s="17">
        <f t="shared" si="9"/>
        <v>10</v>
      </c>
      <c r="Z17" s="17">
        <f t="shared" si="9"/>
        <v>9</v>
      </c>
      <c r="AA17" s="17">
        <f t="shared" si="9"/>
        <v>0</v>
      </c>
      <c r="AB17" s="17">
        <f t="shared" si="9"/>
        <v>0</v>
      </c>
      <c r="AC17" s="17">
        <f t="shared" si="9"/>
        <v>105</v>
      </c>
      <c r="AD17" s="17">
        <f t="shared" si="9"/>
        <v>0</v>
      </c>
      <c r="AE17" s="31">
        <f t="shared" si="9"/>
        <v>175</v>
      </c>
      <c r="AF17" s="31">
        <f t="shared" si="9"/>
        <v>280</v>
      </c>
    </row>
    <row r="18" spans="2:32" ht="23.1" customHeight="1" x14ac:dyDescent="0.25">
      <c r="B18" s="45" t="s">
        <v>45</v>
      </c>
      <c r="C18" s="50">
        <v>27</v>
      </c>
      <c r="D18" s="50">
        <v>3</v>
      </c>
      <c r="E18" s="50">
        <v>3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23</v>
      </c>
      <c r="N18" s="50">
        <v>0</v>
      </c>
      <c r="O18" s="15">
        <f t="shared" si="0"/>
        <v>35</v>
      </c>
      <c r="P18" s="15">
        <f t="shared" si="1"/>
        <v>58</v>
      </c>
      <c r="R18" s="1" t="s">
        <v>14</v>
      </c>
      <c r="S18" s="17">
        <f t="shared" ref="S18:AF18" si="10">SUM(C42:C45)</f>
        <v>121</v>
      </c>
      <c r="T18" s="17">
        <f t="shared" si="10"/>
        <v>12</v>
      </c>
      <c r="U18" s="17">
        <f t="shared" si="10"/>
        <v>64</v>
      </c>
      <c r="V18" s="17">
        <f t="shared" si="10"/>
        <v>4</v>
      </c>
      <c r="W18" s="17">
        <f t="shared" si="10"/>
        <v>1</v>
      </c>
      <c r="X18" s="17">
        <f t="shared" si="10"/>
        <v>0</v>
      </c>
      <c r="Y18" s="17">
        <f t="shared" si="10"/>
        <v>2</v>
      </c>
      <c r="Z18" s="17">
        <f t="shared" si="10"/>
        <v>7</v>
      </c>
      <c r="AA18" s="17">
        <f t="shared" si="10"/>
        <v>0</v>
      </c>
      <c r="AB18" s="17">
        <f t="shared" si="10"/>
        <v>0</v>
      </c>
      <c r="AC18" s="17">
        <f t="shared" si="10"/>
        <v>63</v>
      </c>
      <c r="AD18" s="17">
        <f t="shared" si="10"/>
        <v>0</v>
      </c>
      <c r="AE18" s="31">
        <f t="shared" si="10"/>
        <v>211</v>
      </c>
      <c r="AF18" s="31">
        <f t="shared" si="10"/>
        <v>274</v>
      </c>
    </row>
    <row r="19" spans="2:32" ht="23.1" customHeight="1" x14ac:dyDescent="0.25">
      <c r="B19" s="45" t="s">
        <v>46</v>
      </c>
      <c r="C19" s="50">
        <v>22</v>
      </c>
      <c r="D19" s="50">
        <v>6</v>
      </c>
      <c r="E19" s="50">
        <v>2</v>
      </c>
      <c r="F19" s="50">
        <v>0</v>
      </c>
      <c r="G19" s="50">
        <v>0</v>
      </c>
      <c r="H19" s="50">
        <v>0</v>
      </c>
      <c r="I19" s="50">
        <v>1</v>
      </c>
      <c r="J19" s="50">
        <v>4</v>
      </c>
      <c r="K19" s="50">
        <v>0</v>
      </c>
      <c r="L19" s="50">
        <v>0</v>
      </c>
      <c r="M19" s="50">
        <v>32</v>
      </c>
      <c r="N19" s="50">
        <v>0</v>
      </c>
      <c r="O19" s="15">
        <f t="shared" si="0"/>
        <v>35</v>
      </c>
      <c r="P19" s="15">
        <f t="shared" si="1"/>
        <v>67</v>
      </c>
      <c r="R19" s="1" t="s">
        <v>15</v>
      </c>
      <c r="S19" s="17">
        <f t="shared" ref="S19:AF19" si="11">SUM(C46:C49)</f>
        <v>207</v>
      </c>
      <c r="T19" s="17">
        <f t="shared" si="11"/>
        <v>21</v>
      </c>
      <c r="U19" s="17">
        <f t="shared" si="11"/>
        <v>20</v>
      </c>
      <c r="V19" s="17">
        <f t="shared" si="11"/>
        <v>4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12</v>
      </c>
      <c r="AA19" s="17">
        <f t="shared" si="11"/>
        <v>0</v>
      </c>
      <c r="AB19" s="17">
        <f t="shared" si="11"/>
        <v>0</v>
      </c>
      <c r="AC19" s="17">
        <f t="shared" si="11"/>
        <v>113</v>
      </c>
      <c r="AD19" s="17">
        <f t="shared" si="11"/>
        <v>0</v>
      </c>
      <c r="AE19" s="31">
        <f t="shared" si="11"/>
        <v>275</v>
      </c>
      <c r="AF19" s="31">
        <f t="shared" si="11"/>
        <v>388</v>
      </c>
    </row>
    <row r="20" spans="2:32" ht="23.1" customHeight="1" x14ac:dyDescent="0.25">
      <c r="B20" s="45" t="s">
        <v>47</v>
      </c>
      <c r="C20" s="50">
        <v>11</v>
      </c>
      <c r="D20" s="50">
        <v>5</v>
      </c>
      <c r="E20" s="50">
        <v>0</v>
      </c>
      <c r="F20" s="50">
        <v>0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19</v>
      </c>
      <c r="P20" s="15">
        <f t="shared" si="1"/>
        <v>32</v>
      </c>
      <c r="R20" s="1" t="s">
        <v>16</v>
      </c>
      <c r="S20" s="17">
        <f t="shared" ref="S20:AF20" si="12">SUM(C50:C53)</f>
        <v>228</v>
      </c>
      <c r="T20" s="17">
        <f t="shared" si="12"/>
        <v>8</v>
      </c>
      <c r="U20" s="17">
        <f t="shared" si="12"/>
        <v>16</v>
      </c>
      <c r="V20" s="17">
        <f t="shared" si="12"/>
        <v>1</v>
      </c>
      <c r="W20" s="17">
        <f t="shared" si="12"/>
        <v>3</v>
      </c>
      <c r="X20" s="17">
        <f t="shared" si="12"/>
        <v>0</v>
      </c>
      <c r="Y20" s="17">
        <f t="shared" si="12"/>
        <v>11</v>
      </c>
      <c r="Z20" s="17">
        <f t="shared" si="12"/>
        <v>7</v>
      </c>
      <c r="AA20" s="17">
        <f t="shared" si="12"/>
        <v>1</v>
      </c>
      <c r="AB20" s="17">
        <f t="shared" si="12"/>
        <v>0</v>
      </c>
      <c r="AC20" s="17">
        <f t="shared" si="12"/>
        <v>134</v>
      </c>
      <c r="AD20" s="17">
        <f t="shared" si="12"/>
        <v>0</v>
      </c>
      <c r="AE20" s="31">
        <f t="shared" si="12"/>
        <v>275</v>
      </c>
      <c r="AF20" s="31">
        <f t="shared" si="12"/>
        <v>409</v>
      </c>
    </row>
    <row r="21" spans="2:32" ht="23.1" customHeight="1" x14ac:dyDescent="0.25">
      <c r="B21" s="45" t="s">
        <v>48</v>
      </c>
      <c r="C21" s="50">
        <v>33</v>
      </c>
      <c r="D21" s="50">
        <v>11</v>
      </c>
      <c r="E21" s="50">
        <v>3</v>
      </c>
      <c r="F21" s="50">
        <v>0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31</v>
      </c>
      <c r="N21" s="50">
        <v>0</v>
      </c>
      <c r="O21" s="15">
        <f t="shared" si="0"/>
        <v>50</v>
      </c>
      <c r="P21" s="15">
        <f t="shared" si="1"/>
        <v>81</v>
      </c>
      <c r="R21" s="36" t="s">
        <v>20</v>
      </c>
      <c r="S21" s="34">
        <f t="shared" ref="S21:AF21" si="13">SUM(C54:C57)</f>
        <v>147</v>
      </c>
      <c r="T21" s="17">
        <f t="shared" si="13"/>
        <v>12</v>
      </c>
      <c r="U21" s="17">
        <f t="shared" si="13"/>
        <v>21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10</v>
      </c>
      <c r="AA21" s="17">
        <f t="shared" si="13"/>
        <v>1</v>
      </c>
      <c r="AB21" s="17">
        <f t="shared" si="13"/>
        <v>0</v>
      </c>
      <c r="AC21" s="17">
        <f t="shared" si="13"/>
        <v>161</v>
      </c>
      <c r="AD21" s="17">
        <f t="shared" si="13"/>
        <v>0</v>
      </c>
      <c r="AE21" s="31">
        <f t="shared" si="13"/>
        <v>205</v>
      </c>
      <c r="AF21" s="31">
        <f t="shared" si="13"/>
        <v>366</v>
      </c>
    </row>
    <row r="22" spans="2:32" ht="23.1" customHeight="1" x14ac:dyDescent="0.25">
      <c r="B22" s="45" t="s">
        <v>49</v>
      </c>
      <c r="C22" s="50">
        <v>25</v>
      </c>
      <c r="D22" s="50">
        <v>4</v>
      </c>
      <c r="E22" s="50">
        <v>2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46</v>
      </c>
      <c r="N22" s="50">
        <v>0</v>
      </c>
      <c r="O22" s="15">
        <f t="shared" si="0"/>
        <v>36</v>
      </c>
      <c r="P22" s="15">
        <f t="shared" si="1"/>
        <v>82</v>
      </c>
      <c r="R22" s="36" t="s">
        <v>146</v>
      </c>
      <c r="S22" s="34">
        <f>SUM(C58:C61)</f>
        <v>128</v>
      </c>
      <c r="T22" s="34">
        <f t="shared" ref="T22:AF22" si="14">SUM(D58:D61)</f>
        <v>27</v>
      </c>
      <c r="U22" s="34">
        <f t="shared" si="14"/>
        <v>22</v>
      </c>
      <c r="V22" s="34">
        <f t="shared" si="14"/>
        <v>4</v>
      </c>
      <c r="W22" s="34">
        <f t="shared" si="14"/>
        <v>1</v>
      </c>
      <c r="X22" s="34">
        <f t="shared" si="14"/>
        <v>2</v>
      </c>
      <c r="Y22" s="34">
        <f t="shared" si="14"/>
        <v>7</v>
      </c>
      <c r="Z22" s="34">
        <f t="shared" si="14"/>
        <v>3</v>
      </c>
      <c r="AA22" s="34">
        <f t="shared" si="14"/>
        <v>1</v>
      </c>
      <c r="AB22" s="34">
        <f t="shared" si="14"/>
        <v>0</v>
      </c>
      <c r="AC22" s="34">
        <f t="shared" si="14"/>
        <v>86</v>
      </c>
      <c r="AD22" s="34">
        <f t="shared" si="14"/>
        <v>0</v>
      </c>
      <c r="AE22" s="31">
        <f t="shared" si="14"/>
        <v>195</v>
      </c>
      <c r="AF22" s="31">
        <f t="shared" si="14"/>
        <v>281</v>
      </c>
    </row>
    <row r="23" spans="2:32" ht="23.1" customHeight="1" x14ac:dyDescent="0.25">
      <c r="B23" s="45" t="s">
        <v>50</v>
      </c>
      <c r="C23" s="50">
        <v>21</v>
      </c>
      <c r="D23" s="50">
        <v>9</v>
      </c>
      <c r="E23" s="50">
        <v>3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34</v>
      </c>
      <c r="N23" s="50">
        <v>0</v>
      </c>
      <c r="O23" s="15">
        <f t="shared" si="0"/>
        <v>35</v>
      </c>
      <c r="P23" s="15">
        <f t="shared" si="1"/>
        <v>69</v>
      </c>
      <c r="R23" s="36" t="s">
        <v>147</v>
      </c>
      <c r="S23" s="34">
        <f>SUM(C62:C65)</f>
        <v>78</v>
      </c>
      <c r="T23" s="34">
        <f t="shared" ref="T23:AF23" si="15">SUM(D62:D65)</f>
        <v>24</v>
      </c>
      <c r="U23" s="34">
        <f t="shared" si="15"/>
        <v>14</v>
      </c>
      <c r="V23" s="34">
        <f t="shared" si="15"/>
        <v>10</v>
      </c>
      <c r="W23" s="34">
        <f t="shared" si="15"/>
        <v>3</v>
      </c>
      <c r="X23" s="34">
        <f t="shared" si="15"/>
        <v>0</v>
      </c>
      <c r="Y23" s="34">
        <f t="shared" si="15"/>
        <v>10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73</v>
      </c>
      <c r="AD23" s="34">
        <f t="shared" si="15"/>
        <v>0</v>
      </c>
      <c r="AE23" s="31">
        <f t="shared" si="15"/>
        <v>140</v>
      </c>
      <c r="AF23" s="31">
        <f t="shared" si="15"/>
        <v>213</v>
      </c>
    </row>
    <row r="24" spans="2:32" ht="23.1" customHeight="1" x14ac:dyDescent="0.25">
      <c r="B24" s="45" t="s">
        <v>51</v>
      </c>
      <c r="C24" s="50">
        <v>25</v>
      </c>
      <c r="D24" s="50">
        <v>4</v>
      </c>
      <c r="E24" s="50">
        <v>3</v>
      </c>
      <c r="F24" s="50">
        <v>2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36</v>
      </c>
      <c r="P24" s="15">
        <f t="shared" si="1"/>
        <v>67</v>
      </c>
      <c r="R24" s="36" t="s">
        <v>148</v>
      </c>
      <c r="S24" s="34">
        <f>SUM(C66:C69)</f>
        <v>91</v>
      </c>
      <c r="T24" s="34">
        <f t="shared" ref="T24:AF24" si="16">SUM(D66:D69)</f>
        <v>11</v>
      </c>
      <c r="U24" s="34">
        <f t="shared" si="16"/>
        <v>11</v>
      </c>
      <c r="V24" s="34">
        <f t="shared" si="16"/>
        <v>3</v>
      </c>
      <c r="W24" s="34">
        <f t="shared" si="16"/>
        <v>1</v>
      </c>
      <c r="X24" s="34">
        <f t="shared" si="16"/>
        <v>0</v>
      </c>
      <c r="Y24" s="34">
        <f t="shared" si="16"/>
        <v>7</v>
      </c>
      <c r="Z24" s="34">
        <f t="shared" si="16"/>
        <v>3</v>
      </c>
      <c r="AA24" s="34">
        <f t="shared" si="16"/>
        <v>1</v>
      </c>
      <c r="AB24" s="34">
        <f t="shared" si="16"/>
        <v>0</v>
      </c>
      <c r="AC24" s="34">
        <f t="shared" si="16"/>
        <v>36</v>
      </c>
      <c r="AD24" s="34">
        <f t="shared" si="16"/>
        <v>0</v>
      </c>
      <c r="AE24" s="31">
        <f t="shared" si="16"/>
        <v>128</v>
      </c>
      <c r="AF24" s="31">
        <f t="shared" si="16"/>
        <v>164</v>
      </c>
    </row>
    <row r="25" spans="2:32" ht="23.1" customHeight="1" x14ac:dyDescent="0.25">
      <c r="B25" s="45" t="s">
        <v>52</v>
      </c>
      <c r="C25" s="50">
        <v>19</v>
      </c>
      <c r="D25" s="50">
        <v>3</v>
      </c>
      <c r="E25" s="50">
        <v>4</v>
      </c>
      <c r="F25" s="50">
        <v>1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24</v>
      </c>
      <c r="N25" s="50">
        <v>0</v>
      </c>
      <c r="O25" s="15">
        <f t="shared" si="0"/>
        <v>29</v>
      </c>
      <c r="P25" s="15">
        <f t="shared" si="1"/>
        <v>53</v>
      </c>
      <c r="R25" s="36" t="s">
        <v>149</v>
      </c>
      <c r="S25" s="34">
        <f>SUM(C70:C73)</f>
        <v>52</v>
      </c>
      <c r="T25" s="34">
        <f t="shared" ref="T25:AF25" si="17">SUM(D70:D73)</f>
        <v>16</v>
      </c>
      <c r="U25" s="34">
        <f t="shared" si="17"/>
        <v>2</v>
      </c>
      <c r="V25" s="34">
        <f t="shared" si="17"/>
        <v>7</v>
      </c>
      <c r="W25" s="34">
        <f t="shared" si="17"/>
        <v>1</v>
      </c>
      <c r="X25" s="34">
        <f t="shared" si="17"/>
        <v>0</v>
      </c>
      <c r="Y25" s="34">
        <f t="shared" si="17"/>
        <v>7</v>
      </c>
      <c r="Z25" s="34">
        <f t="shared" si="17"/>
        <v>0</v>
      </c>
      <c r="AA25" s="34">
        <f t="shared" si="17"/>
        <v>1</v>
      </c>
      <c r="AB25" s="34">
        <f t="shared" si="17"/>
        <v>0</v>
      </c>
      <c r="AC25" s="34">
        <f t="shared" si="17"/>
        <v>30</v>
      </c>
      <c r="AD25" s="34">
        <f t="shared" si="17"/>
        <v>0</v>
      </c>
      <c r="AE25" s="31">
        <f t="shared" si="17"/>
        <v>86</v>
      </c>
      <c r="AF25" s="31">
        <f t="shared" si="17"/>
        <v>116</v>
      </c>
    </row>
    <row r="26" spans="2:32" ht="23.1" customHeight="1" x14ac:dyDescent="0.25">
      <c r="B26" s="45" t="s">
        <v>53</v>
      </c>
      <c r="C26" s="50">
        <v>15</v>
      </c>
      <c r="D26" s="50">
        <v>2</v>
      </c>
      <c r="E26" s="50">
        <v>5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22</v>
      </c>
      <c r="P26" s="15">
        <f t="shared" si="1"/>
        <v>34</v>
      </c>
      <c r="R26" s="36" t="s">
        <v>150</v>
      </c>
      <c r="S26" s="34">
        <f>SUM(C74:C77)</f>
        <v>19</v>
      </c>
      <c r="T26" s="34">
        <f t="shared" ref="T26:AF26" si="18">SUM(D74:D77)</f>
        <v>12</v>
      </c>
      <c r="U26" s="34">
        <f t="shared" si="18"/>
        <v>4</v>
      </c>
      <c r="V26" s="34">
        <f t="shared" si="18"/>
        <v>3</v>
      </c>
      <c r="W26" s="34">
        <f t="shared" si="18"/>
        <v>2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</v>
      </c>
      <c r="AD26" s="34">
        <f t="shared" si="18"/>
        <v>0</v>
      </c>
      <c r="AE26" s="31">
        <f t="shared" si="18"/>
        <v>41</v>
      </c>
      <c r="AF26" s="31">
        <f t="shared" si="18"/>
        <v>52</v>
      </c>
    </row>
    <row r="27" spans="2:32" ht="23.1" customHeight="1" x14ac:dyDescent="0.25">
      <c r="B27" s="45" t="s">
        <v>54</v>
      </c>
      <c r="C27" s="50">
        <v>13</v>
      </c>
      <c r="D27" s="50">
        <v>2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1</v>
      </c>
      <c r="L27" s="50">
        <v>0</v>
      </c>
      <c r="M27" s="50">
        <v>13</v>
      </c>
      <c r="N27" s="50">
        <v>0</v>
      </c>
      <c r="O27" s="15">
        <f t="shared" si="0"/>
        <v>17</v>
      </c>
      <c r="P27" s="15">
        <f t="shared" si="1"/>
        <v>30</v>
      </c>
      <c r="R27" s="36" t="s">
        <v>151</v>
      </c>
      <c r="S27" s="34">
        <f>SUM(C78:C81)</f>
        <v>17</v>
      </c>
      <c r="T27" s="34">
        <f t="shared" ref="T27:AF27" si="19">SUM(D78:D81)</f>
        <v>6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12</v>
      </c>
      <c r="AD27" s="34">
        <f t="shared" si="19"/>
        <v>0</v>
      </c>
      <c r="AE27" s="31">
        <f t="shared" si="19"/>
        <v>27</v>
      </c>
      <c r="AF27" s="31">
        <f t="shared" si="19"/>
        <v>39</v>
      </c>
    </row>
    <row r="28" spans="2:32" ht="23.1" customHeight="1" x14ac:dyDescent="0.25">
      <c r="B28" s="45" t="s">
        <v>55</v>
      </c>
      <c r="C28" s="50">
        <v>29</v>
      </c>
      <c r="D28" s="50">
        <v>5</v>
      </c>
      <c r="E28" s="50">
        <v>3</v>
      </c>
      <c r="F28" s="50">
        <v>0</v>
      </c>
      <c r="G28" s="50">
        <v>0</v>
      </c>
      <c r="H28" s="50">
        <v>0</v>
      </c>
      <c r="I28" s="50">
        <v>4</v>
      </c>
      <c r="J28" s="50">
        <v>1</v>
      </c>
      <c r="K28" s="50">
        <v>1</v>
      </c>
      <c r="L28" s="50">
        <v>0</v>
      </c>
      <c r="M28" s="50">
        <v>30</v>
      </c>
      <c r="N28" s="50">
        <v>0</v>
      </c>
      <c r="O28" s="15">
        <f t="shared" si="0"/>
        <v>43</v>
      </c>
      <c r="P28" s="15">
        <f t="shared" si="1"/>
        <v>73</v>
      </c>
      <c r="R28" s="36" t="s">
        <v>152</v>
      </c>
      <c r="S28" s="34">
        <f>SUM(C82:C85)</f>
        <v>10</v>
      </c>
      <c r="T28" s="34">
        <f t="shared" ref="T28:AF28" si="20">SUM(D82:D85)</f>
        <v>3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12</v>
      </c>
      <c r="AD28" s="34">
        <f t="shared" si="20"/>
        <v>0</v>
      </c>
      <c r="AE28" s="31">
        <f t="shared" si="20"/>
        <v>17</v>
      </c>
      <c r="AF28" s="31">
        <f t="shared" si="20"/>
        <v>29</v>
      </c>
    </row>
    <row r="29" spans="2:32" ht="23.1" customHeight="1" x14ac:dyDescent="0.25">
      <c r="B29" s="45" t="s">
        <v>56</v>
      </c>
      <c r="C29" s="50">
        <v>18</v>
      </c>
      <c r="D29" s="50">
        <v>2</v>
      </c>
      <c r="E29" s="50">
        <v>2</v>
      </c>
      <c r="F29" s="50">
        <v>0</v>
      </c>
      <c r="G29" s="50">
        <v>0</v>
      </c>
      <c r="H29" s="50">
        <v>0</v>
      </c>
      <c r="I29" s="50">
        <v>0</v>
      </c>
      <c r="J29" s="50">
        <v>6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28</v>
      </c>
      <c r="P29" s="15">
        <f t="shared" si="1"/>
        <v>39</v>
      </c>
      <c r="R29" s="36" t="s">
        <v>153</v>
      </c>
      <c r="S29" s="34">
        <f>SUM(C86:C89)</f>
        <v>21</v>
      </c>
      <c r="T29" s="34">
        <f t="shared" ref="T29:AF29" si="21">SUM(D86:D89)</f>
        <v>8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</v>
      </c>
      <c r="AD29" s="34">
        <f t="shared" si="21"/>
        <v>0</v>
      </c>
      <c r="AE29" s="31">
        <f t="shared" si="21"/>
        <v>31</v>
      </c>
      <c r="AF29" s="31">
        <f t="shared" si="21"/>
        <v>41</v>
      </c>
    </row>
    <row r="30" spans="2:32" ht="23.1" customHeight="1" x14ac:dyDescent="0.25">
      <c r="B30" s="45" t="s">
        <v>57</v>
      </c>
      <c r="C30" s="50">
        <v>29</v>
      </c>
      <c r="D30" s="50">
        <v>10</v>
      </c>
      <c r="E30" s="50">
        <v>8</v>
      </c>
      <c r="F30" s="50">
        <v>2</v>
      </c>
      <c r="G30" s="50">
        <v>1</v>
      </c>
      <c r="H30" s="50">
        <v>0</v>
      </c>
      <c r="I30" s="50">
        <v>1</v>
      </c>
      <c r="J30" s="50">
        <v>4</v>
      </c>
      <c r="K30" s="50">
        <v>0</v>
      </c>
      <c r="L30" s="50">
        <v>0</v>
      </c>
      <c r="M30" s="50">
        <v>36</v>
      </c>
      <c r="N30" s="50">
        <v>0</v>
      </c>
      <c r="O30" s="15">
        <f t="shared" si="0"/>
        <v>55</v>
      </c>
      <c r="P30" s="15">
        <f t="shared" si="1"/>
        <v>91</v>
      </c>
      <c r="R30" s="36" t="s">
        <v>154</v>
      </c>
      <c r="S30" s="34">
        <f>SUM(C90:C93)</f>
        <v>12</v>
      </c>
      <c r="T30" s="34">
        <f t="shared" ref="T30:AF30" si="22">SUM(D90:D93)</f>
        <v>3</v>
      </c>
      <c r="U30" s="34">
        <f t="shared" si="22"/>
        <v>1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6</v>
      </c>
      <c r="AD30" s="34">
        <f t="shared" si="22"/>
        <v>0</v>
      </c>
      <c r="AE30" s="31">
        <f t="shared" si="22"/>
        <v>21</v>
      </c>
      <c r="AF30" s="31">
        <f t="shared" si="22"/>
        <v>27</v>
      </c>
    </row>
    <row r="31" spans="2:32" ht="23.1" customHeight="1" x14ac:dyDescent="0.25">
      <c r="B31" s="46" t="s">
        <v>58</v>
      </c>
      <c r="C31" s="50">
        <v>20</v>
      </c>
      <c r="D31" s="50">
        <v>5</v>
      </c>
      <c r="E31" s="50">
        <v>2</v>
      </c>
      <c r="F31" s="50">
        <v>0</v>
      </c>
      <c r="G31" s="50">
        <v>0</v>
      </c>
      <c r="H31" s="50">
        <v>0</v>
      </c>
      <c r="I31" s="50">
        <v>2</v>
      </c>
      <c r="J31" s="50">
        <v>2</v>
      </c>
      <c r="K31" s="50">
        <v>0</v>
      </c>
      <c r="L31" s="50">
        <v>0</v>
      </c>
      <c r="M31" s="50">
        <v>23</v>
      </c>
      <c r="N31" s="50">
        <v>0</v>
      </c>
      <c r="O31" s="15">
        <f t="shared" si="0"/>
        <v>31</v>
      </c>
      <c r="P31" s="15">
        <f t="shared" si="1"/>
        <v>54</v>
      </c>
      <c r="R31" s="36" t="s">
        <v>155</v>
      </c>
      <c r="S31" s="34">
        <f>SUM(C94:C97)</f>
        <v>16</v>
      </c>
      <c r="T31" s="34">
        <f t="shared" ref="T31:AF31" si="23">SUM(D94:D97)</f>
        <v>4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21</v>
      </c>
      <c r="AF31" s="31">
        <f t="shared" si="23"/>
        <v>29</v>
      </c>
    </row>
    <row r="32" spans="2:32" ht="23.1" customHeight="1" x14ac:dyDescent="0.25">
      <c r="B32" s="46" t="s">
        <v>59</v>
      </c>
      <c r="C32" s="50">
        <v>22</v>
      </c>
      <c r="D32" s="50">
        <v>2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2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28</v>
      </c>
      <c r="P32" s="15">
        <f t="shared" si="1"/>
        <v>36</v>
      </c>
      <c r="R32" s="33" t="s">
        <v>156</v>
      </c>
      <c r="S32" s="34">
        <f>SUM(C98:C101)</f>
        <v>17</v>
      </c>
      <c r="T32" s="34">
        <f t="shared" ref="T32:AF32" si="24">SUM(D98:D101)</f>
        <v>2</v>
      </c>
      <c r="U32" s="34">
        <f t="shared" si="24"/>
        <v>4</v>
      </c>
      <c r="V32" s="34">
        <f t="shared" si="24"/>
        <v>2</v>
      </c>
      <c r="W32" s="34">
        <f t="shared" si="24"/>
        <v>2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12</v>
      </c>
      <c r="AD32" s="34">
        <f t="shared" si="24"/>
        <v>0</v>
      </c>
      <c r="AE32" s="31">
        <f t="shared" si="24"/>
        <v>29</v>
      </c>
      <c r="AF32" s="31">
        <f t="shared" si="24"/>
        <v>41</v>
      </c>
    </row>
    <row r="33" spans="2:32" ht="23.1" customHeight="1" x14ac:dyDescent="0.25">
      <c r="B33" s="45" t="s">
        <v>60</v>
      </c>
      <c r="C33" s="50">
        <v>15</v>
      </c>
      <c r="D33" s="50">
        <v>4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23</v>
      </c>
      <c r="P33" s="15">
        <f t="shared" si="1"/>
        <v>35</v>
      </c>
      <c r="R33" s="33" t="s">
        <v>157</v>
      </c>
      <c r="S33" s="34">
        <f>SUM(C102:C105)</f>
        <v>85</v>
      </c>
      <c r="T33" s="34">
        <f t="shared" ref="T33:AF33" si="25">SUM(D102:D105)</f>
        <v>12</v>
      </c>
      <c r="U33" s="34">
        <f t="shared" si="25"/>
        <v>6</v>
      </c>
      <c r="V33" s="34">
        <f t="shared" si="25"/>
        <v>7</v>
      </c>
      <c r="W33" s="34">
        <f t="shared" si="25"/>
        <v>2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17</v>
      </c>
      <c r="AD33" s="34">
        <f t="shared" si="25"/>
        <v>0</v>
      </c>
      <c r="AE33" s="31">
        <f t="shared" si="25"/>
        <v>114</v>
      </c>
      <c r="AF33" s="31">
        <f t="shared" si="25"/>
        <v>131</v>
      </c>
    </row>
    <row r="34" spans="2:32" ht="23.1" customHeight="1" x14ac:dyDescent="0.25">
      <c r="B34" s="46" t="s">
        <v>61</v>
      </c>
      <c r="C34" s="50">
        <v>17</v>
      </c>
      <c r="D34" s="50">
        <v>3</v>
      </c>
      <c r="E34" s="50">
        <v>1</v>
      </c>
      <c r="F34" s="50">
        <v>0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24</v>
      </c>
      <c r="P34" s="15">
        <f t="shared" si="1"/>
        <v>43</v>
      </c>
      <c r="R34" s="38" t="s">
        <v>90</v>
      </c>
      <c r="S34" s="39">
        <f t="shared" ref="S34:AF34" si="26">MAX(S10:S12)</f>
        <v>156</v>
      </c>
      <c r="T34" s="39">
        <f t="shared" si="26"/>
        <v>30</v>
      </c>
      <c r="U34" s="39">
        <f t="shared" si="26"/>
        <v>23</v>
      </c>
      <c r="V34" s="39">
        <f t="shared" si="26"/>
        <v>9</v>
      </c>
      <c r="W34" s="39">
        <f t="shared" si="26"/>
        <v>1</v>
      </c>
      <c r="X34" s="39">
        <f t="shared" si="26"/>
        <v>0</v>
      </c>
      <c r="Y34" s="39">
        <f t="shared" si="26"/>
        <v>16</v>
      </c>
      <c r="Z34" s="39">
        <f t="shared" si="26"/>
        <v>5</v>
      </c>
      <c r="AA34" s="39">
        <f t="shared" si="26"/>
        <v>1</v>
      </c>
      <c r="AB34" s="39">
        <f t="shared" si="26"/>
        <v>0</v>
      </c>
      <c r="AC34" s="39">
        <f t="shared" si="26"/>
        <v>141</v>
      </c>
      <c r="AD34" s="39">
        <f t="shared" si="26"/>
        <v>0</v>
      </c>
      <c r="AE34" s="40">
        <f t="shared" si="26"/>
        <v>237</v>
      </c>
      <c r="AF34" s="40">
        <f t="shared" si="26"/>
        <v>378</v>
      </c>
    </row>
    <row r="35" spans="2:32" ht="23.1" customHeight="1" x14ac:dyDescent="0.25">
      <c r="B35" s="46" t="s">
        <v>62</v>
      </c>
      <c r="C35" s="50">
        <v>28</v>
      </c>
      <c r="D35" s="50">
        <v>9</v>
      </c>
      <c r="E35" s="50">
        <v>2</v>
      </c>
      <c r="F35" s="50">
        <v>2</v>
      </c>
      <c r="G35" s="50">
        <v>0</v>
      </c>
      <c r="H35" s="50">
        <v>0</v>
      </c>
      <c r="I35" s="50">
        <v>2</v>
      </c>
      <c r="J35" s="50">
        <v>5</v>
      </c>
      <c r="K35" s="50">
        <v>0</v>
      </c>
      <c r="L35" s="50">
        <v>0</v>
      </c>
      <c r="M35" s="50">
        <v>25</v>
      </c>
      <c r="N35" s="50">
        <v>0</v>
      </c>
      <c r="O35" s="15">
        <f t="shared" si="0"/>
        <v>48</v>
      </c>
      <c r="P35" s="15">
        <f t="shared" si="1"/>
        <v>73</v>
      </c>
      <c r="R35" s="38" t="s">
        <v>91</v>
      </c>
      <c r="S35" s="39">
        <f t="shared" ref="S35:AF35" si="27">MAX(S13:S18)</f>
        <v>121</v>
      </c>
      <c r="T35" s="39">
        <f t="shared" si="27"/>
        <v>31</v>
      </c>
      <c r="U35" s="39">
        <f t="shared" si="27"/>
        <v>64</v>
      </c>
      <c r="V35" s="39">
        <f t="shared" si="27"/>
        <v>6</v>
      </c>
      <c r="W35" s="39">
        <f t="shared" si="27"/>
        <v>1</v>
      </c>
      <c r="X35" s="39">
        <f t="shared" si="27"/>
        <v>0</v>
      </c>
      <c r="Y35" s="39">
        <f t="shared" si="27"/>
        <v>10</v>
      </c>
      <c r="Z35" s="39">
        <f t="shared" si="27"/>
        <v>9</v>
      </c>
      <c r="AA35" s="39">
        <f t="shared" si="27"/>
        <v>2</v>
      </c>
      <c r="AB35" s="39">
        <f t="shared" si="27"/>
        <v>0</v>
      </c>
      <c r="AC35" s="39">
        <f t="shared" si="27"/>
        <v>135</v>
      </c>
      <c r="AD35" s="39">
        <f t="shared" si="27"/>
        <v>0</v>
      </c>
      <c r="AE35" s="40">
        <f t="shared" si="27"/>
        <v>211</v>
      </c>
      <c r="AF35" s="40">
        <f t="shared" si="27"/>
        <v>280</v>
      </c>
    </row>
    <row r="36" spans="2:32" ht="23.1" customHeight="1" x14ac:dyDescent="0.25">
      <c r="B36" s="46" t="s">
        <v>63</v>
      </c>
      <c r="C36" s="50">
        <v>21</v>
      </c>
      <c r="D36" s="50">
        <v>3</v>
      </c>
      <c r="E36" s="50">
        <v>1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21</v>
      </c>
      <c r="N36" s="50">
        <v>0</v>
      </c>
      <c r="O36" s="15">
        <f t="shared" si="0"/>
        <v>27</v>
      </c>
      <c r="P36" s="15">
        <f t="shared" si="1"/>
        <v>48</v>
      </c>
      <c r="R36" s="38" t="s">
        <v>92</v>
      </c>
      <c r="S36" s="39">
        <f t="shared" ref="S36:AF36" si="28">MAX(S19:S21)</f>
        <v>228</v>
      </c>
      <c r="T36" s="39">
        <f t="shared" si="28"/>
        <v>21</v>
      </c>
      <c r="U36" s="39">
        <f t="shared" si="28"/>
        <v>21</v>
      </c>
      <c r="V36" s="39">
        <f t="shared" si="28"/>
        <v>5</v>
      </c>
      <c r="W36" s="39">
        <f t="shared" si="28"/>
        <v>3</v>
      </c>
      <c r="X36" s="39">
        <f t="shared" si="28"/>
        <v>0</v>
      </c>
      <c r="Y36" s="39">
        <f t="shared" si="28"/>
        <v>11</v>
      </c>
      <c r="Z36" s="39">
        <f t="shared" si="28"/>
        <v>12</v>
      </c>
      <c r="AA36" s="39">
        <f t="shared" si="28"/>
        <v>1</v>
      </c>
      <c r="AB36" s="39">
        <f t="shared" si="28"/>
        <v>0</v>
      </c>
      <c r="AC36" s="39">
        <f t="shared" si="28"/>
        <v>161</v>
      </c>
      <c r="AD36" s="39">
        <f t="shared" si="28"/>
        <v>0</v>
      </c>
      <c r="AE36" s="40">
        <f t="shared" si="28"/>
        <v>275</v>
      </c>
      <c r="AF36" s="40">
        <f t="shared" si="28"/>
        <v>409</v>
      </c>
    </row>
    <row r="37" spans="2:32" ht="23.1" customHeight="1" x14ac:dyDescent="0.25">
      <c r="B37" s="45" t="s">
        <v>64</v>
      </c>
      <c r="C37" s="50">
        <v>16</v>
      </c>
      <c r="D37" s="50">
        <v>9</v>
      </c>
      <c r="E37" s="50">
        <v>3</v>
      </c>
      <c r="F37" s="50">
        <v>0</v>
      </c>
      <c r="G37" s="50">
        <v>0</v>
      </c>
      <c r="H37" s="50">
        <v>0</v>
      </c>
      <c r="I37" s="50">
        <v>1</v>
      </c>
      <c r="J37" s="50">
        <v>3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32</v>
      </c>
      <c r="P37" s="15">
        <f t="shared" si="1"/>
        <v>58</v>
      </c>
      <c r="R37" s="37" t="s">
        <v>85</v>
      </c>
      <c r="S37" s="35">
        <f t="shared" ref="S37:AF37" si="29">SUM(S10:S12)</f>
        <v>387</v>
      </c>
      <c r="T37" s="16">
        <f t="shared" si="29"/>
        <v>69</v>
      </c>
      <c r="U37" s="16">
        <f t="shared" si="29"/>
        <v>44</v>
      </c>
      <c r="V37" s="16">
        <f t="shared" si="29"/>
        <v>11</v>
      </c>
      <c r="W37" s="16">
        <f t="shared" si="29"/>
        <v>1</v>
      </c>
      <c r="X37" s="16">
        <f t="shared" si="29"/>
        <v>0</v>
      </c>
      <c r="Y37" s="16">
        <f t="shared" si="29"/>
        <v>35</v>
      </c>
      <c r="Z37" s="16">
        <f t="shared" si="29"/>
        <v>12</v>
      </c>
      <c r="AA37" s="16">
        <f t="shared" si="29"/>
        <v>1</v>
      </c>
      <c r="AB37" s="16">
        <f t="shared" si="29"/>
        <v>0</v>
      </c>
      <c r="AC37" s="16">
        <f t="shared" si="29"/>
        <v>351</v>
      </c>
      <c r="AD37" s="16">
        <f t="shared" si="29"/>
        <v>0</v>
      </c>
      <c r="AE37" s="32">
        <f t="shared" si="29"/>
        <v>560</v>
      </c>
      <c r="AF37" s="32">
        <f t="shared" si="29"/>
        <v>911</v>
      </c>
    </row>
    <row r="38" spans="2:32" ht="23.1" customHeight="1" x14ac:dyDescent="0.25">
      <c r="B38" s="46" t="s">
        <v>65</v>
      </c>
      <c r="C38" s="50">
        <v>29</v>
      </c>
      <c r="D38" s="50">
        <v>1</v>
      </c>
      <c r="E38" s="50">
        <v>4</v>
      </c>
      <c r="F38" s="50">
        <v>0</v>
      </c>
      <c r="G38" s="50">
        <v>0</v>
      </c>
      <c r="H38" s="50">
        <v>0</v>
      </c>
      <c r="I38" s="50">
        <v>4</v>
      </c>
      <c r="J38" s="50">
        <v>2</v>
      </c>
      <c r="K38" s="50">
        <v>0</v>
      </c>
      <c r="L38" s="50">
        <v>0</v>
      </c>
      <c r="M38" s="50">
        <v>31</v>
      </c>
      <c r="N38" s="50">
        <v>0</v>
      </c>
      <c r="O38" s="15">
        <f t="shared" si="0"/>
        <v>40</v>
      </c>
      <c r="P38" s="15">
        <f t="shared" si="1"/>
        <v>71</v>
      </c>
      <c r="R38" s="28" t="s">
        <v>86</v>
      </c>
      <c r="S38" s="16">
        <f t="shared" ref="S38:AF38" si="30">SUM(S13:S18)</f>
        <v>568</v>
      </c>
      <c r="T38" s="16">
        <f t="shared" si="30"/>
        <v>119</v>
      </c>
      <c r="U38" s="16">
        <f t="shared" si="30"/>
        <v>114</v>
      </c>
      <c r="V38" s="16">
        <f t="shared" si="30"/>
        <v>16</v>
      </c>
      <c r="W38" s="16">
        <f t="shared" si="30"/>
        <v>3</v>
      </c>
      <c r="X38" s="16">
        <f t="shared" si="30"/>
        <v>0</v>
      </c>
      <c r="Y38" s="16">
        <f t="shared" si="30"/>
        <v>35</v>
      </c>
      <c r="Z38" s="16">
        <f t="shared" si="30"/>
        <v>43</v>
      </c>
      <c r="AA38" s="16">
        <f t="shared" si="30"/>
        <v>2</v>
      </c>
      <c r="AB38" s="16">
        <f t="shared" si="30"/>
        <v>0</v>
      </c>
      <c r="AC38" s="16">
        <f t="shared" si="30"/>
        <v>539</v>
      </c>
      <c r="AD38" s="16">
        <f t="shared" si="30"/>
        <v>0</v>
      </c>
      <c r="AE38" s="32">
        <f t="shared" si="30"/>
        <v>900</v>
      </c>
      <c r="AF38" s="32">
        <f t="shared" si="30"/>
        <v>1439</v>
      </c>
    </row>
    <row r="39" spans="2:32" ht="23.1" customHeight="1" x14ac:dyDescent="0.25">
      <c r="B39" s="46" t="s">
        <v>66</v>
      </c>
      <c r="C39" s="50">
        <v>27</v>
      </c>
      <c r="D39" s="50">
        <v>17</v>
      </c>
      <c r="E39" s="50">
        <v>2</v>
      </c>
      <c r="F39" s="50">
        <v>0</v>
      </c>
      <c r="G39" s="50">
        <v>0</v>
      </c>
      <c r="H39" s="50">
        <v>0</v>
      </c>
      <c r="I39" s="50">
        <v>4</v>
      </c>
      <c r="J39" s="50">
        <v>3</v>
      </c>
      <c r="K39" s="50">
        <v>0</v>
      </c>
      <c r="L39" s="50">
        <v>0</v>
      </c>
      <c r="M39" s="50">
        <v>31</v>
      </c>
      <c r="N39" s="50">
        <v>0</v>
      </c>
      <c r="O39" s="15">
        <f t="shared" si="0"/>
        <v>53</v>
      </c>
      <c r="P39" s="15">
        <f t="shared" si="1"/>
        <v>84</v>
      </c>
      <c r="R39" s="29" t="s">
        <v>87</v>
      </c>
      <c r="S39" s="16">
        <f t="shared" ref="S39:AF39" si="31">SUM(S19:S21)</f>
        <v>582</v>
      </c>
      <c r="T39" s="16">
        <f t="shared" si="31"/>
        <v>41</v>
      </c>
      <c r="U39" s="16">
        <f t="shared" si="31"/>
        <v>57</v>
      </c>
      <c r="V39" s="16">
        <f t="shared" si="31"/>
        <v>10</v>
      </c>
      <c r="W39" s="16">
        <f t="shared" si="31"/>
        <v>4</v>
      </c>
      <c r="X39" s="16">
        <f t="shared" si="31"/>
        <v>0</v>
      </c>
      <c r="Y39" s="16">
        <f t="shared" si="31"/>
        <v>30</v>
      </c>
      <c r="Z39" s="16">
        <f t="shared" si="31"/>
        <v>29</v>
      </c>
      <c r="AA39" s="16">
        <f t="shared" si="31"/>
        <v>2</v>
      </c>
      <c r="AB39" s="16">
        <f t="shared" si="31"/>
        <v>0</v>
      </c>
      <c r="AC39" s="16">
        <f t="shared" si="31"/>
        <v>408</v>
      </c>
      <c r="AD39" s="16">
        <f t="shared" si="31"/>
        <v>0</v>
      </c>
      <c r="AE39" s="32">
        <f t="shared" si="31"/>
        <v>755</v>
      </c>
      <c r="AF39" s="32">
        <f t="shared" si="31"/>
        <v>1163</v>
      </c>
    </row>
    <row r="40" spans="2:32" ht="23.1" customHeight="1" x14ac:dyDescent="0.25">
      <c r="B40" s="46" t="s">
        <v>67</v>
      </c>
      <c r="C40" s="50">
        <v>29</v>
      </c>
      <c r="D40" s="50">
        <v>5</v>
      </c>
      <c r="E40" s="50">
        <v>1</v>
      </c>
      <c r="F40" s="50">
        <v>0</v>
      </c>
      <c r="G40" s="50">
        <v>1</v>
      </c>
      <c r="H40" s="50">
        <v>0</v>
      </c>
      <c r="I40" s="50">
        <v>1</v>
      </c>
      <c r="J40" s="50">
        <v>3</v>
      </c>
      <c r="K40" s="50">
        <v>0</v>
      </c>
      <c r="L40" s="50">
        <v>0</v>
      </c>
      <c r="M40" s="50">
        <v>23</v>
      </c>
      <c r="N40" s="50">
        <v>0</v>
      </c>
      <c r="O40" s="15">
        <f t="shared" si="0"/>
        <v>40</v>
      </c>
      <c r="P40" s="15">
        <f t="shared" si="1"/>
        <v>63</v>
      </c>
      <c r="R40" s="5" t="s">
        <v>17</v>
      </c>
      <c r="S40" s="16">
        <f t="shared" ref="S40:AF40" si="32">SUM(S10:S21)</f>
        <v>1537</v>
      </c>
      <c r="T40" s="16">
        <f t="shared" si="32"/>
        <v>229</v>
      </c>
      <c r="U40" s="16">
        <f t="shared" si="32"/>
        <v>215</v>
      </c>
      <c r="V40" s="16">
        <f t="shared" si="32"/>
        <v>37</v>
      </c>
      <c r="W40" s="16">
        <f t="shared" si="32"/>
        <v>8</v>
      </c>
      <c r="X40" s="16">
        <f t="shared" si="32"/>
        <v>0</v>
      </c>
      <c r="Y40" s="16">
        <f t="shared" si="32"/>
        <v>100</v>
      </c>
      <c r="Z40" s="16">
        <f t="shared" si="32"/>
        <v>84</v>
      </c>
      <c r="AA40" s="16">
        <f t="shared" si="32"/>
        <v>5</v>
      </c>
      <c r="AB40" s="16">
        <f t="shared" si="32"/>
        <v>0</v>
      </c>
      <c r="AC40" s="16">
        <f t="shared" si="32"/>
        <v>1298</v>
      </c>
      <c r="AD40" s="16">
        <f t="shared" si="32"/>
        <v>0</v>
      </c>
      <c r="AE40" s="32">
        <f t="shared" si="32"/>
        <v>2215</v>
      </c>
      <c r="AF40" s="32">
        <f t="shared" si="32"/>
        <v>3513</v>
      </c>
    </row>
    <row r="41" spans="2:32" ht="23.1" customHeight="1" x14ac:dyDescent="0.25">
      <c r="B41" s="45" t="s">
        <v>68</v>
      </c>
      <c r="C41" s="50">
        <v>29</v>
      </c>
      <c r="D41" s="50">
        <v>8</v>
      </c>
      <c r="E41" s="50">
        <v>2</v>
      </c>
      <c r="F41" s="50">
        <v>1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20</v>
      </c>
      <c r="N41" s="50">
        <v>0</v>
      </c>
      <c r="O41" s="15">
        <f t="shared" si="0"/>
        <v>42</v>
      </c>
      <c r="P41" s="15">
        <f t="shared" si="1"/>
        <v>62</v>
      </c>
      <c r="R41" s="5" t="s">
        <v>159</v>
      </c>
      <c r="S41" s="16">
        <f>SUM(S10:S33)</f>
        <v>2083</v>
      </c>
      <c r="T41" s="16">
        <f t="shared" ref="T41:AF41" si="33">SUM(T10:T33)</f>
        <v>357</v>
      </c>
      <c r="U41" s="16">
        <f t="shared" si="33"/>
        <v>283</v>
      </c>
      <c r="V41" s="16">
        <f t="shared" si="33"/>
        <v>76</v>
      </c>
      <c r="W41" s="16">
        <f t="shared" si="33"/>
        <v>20</v>
      </c>
      <c r="X41" s="16">
        <f t="shared" si="33"/>
        <v>2</v>
      </c>
      <c r="Y41" s="16">
        <f t="shared" si="33"/>
        <v>141</v>
      </c>
      <c r="Z41" s="16">
        <f t="shared" si="33"/>
        <v>94</v>
      </c>
      <c r="AA41" s="16">
        <f t="shared" si="33"/>
        <v>9</v>
      </c>
      <c r="AB41" s="16">
        <f t="shared" si="33"/>
        <v>0</v>
      </c>
      <c r="AC41" s="16">
        <f t="shared" si="33"/>
        <v>1611</v>
      </c>
      <c r="AD41" s="16">
        <f t="shared" si="33"/>
        <v>0</v>
      </c>
      <c r="AE41" s="32">
        <f t="shared" si="33"/>
        <v>3065</v>
      </c>
      <c r="AF41" s="32">
        <f t="shared" si="33"/>
        <v>4676</v>
      </c>
    </row>
    <row r="42" spans="2:32" ht="23.1" customHeight="1" x14ac:dyDescent="0.25">
      <c r="B42" s="46" t="s">
        <v>69</v>
      </c>
      <c r="C42" s="50">
        <v>34</v>
      </c>
      <c r="D42" s="50">
        <v>6</v>
      </c>
      <c r="E42" s="50">
        <v>1</v>
      </c>
      <c r="F42" s="50">
        <v>4</v>
      </c>
      <c r="G42" s="50">
        <v>0</v>
      </c>
      <c r="H42" s="50">
        <v>0</v>
      </c>
      <c r="I42" s="50">
        <v>1</v>
      </c>
      <c r="J42" s="50">
        <v>2</v>
      </c>
      <c r="K42" s="50">
        <v>0</v>
      </c>
      <c r="L42" s="50">
        <v>0</v>
      </c>
      <c r="M42" s="50">
        <v>22</v>
      </c>
      <c r="N42" s="50">
        <v>0</v>
      </c>
      <c r="O42" s="15">
        <f t="shared" si="0"/>
        <v>48</v>
      </c>
      <c r="P42" s="15">
        <f t="shared" si="1"/>
        <v>70</v>
      </c>
      <c r="R42" s="5" t="s">
        <v>160</v>
      </c>
      <c r="S42" s="48">
        <f>S41/S40</f>
        <v>1.3552374756018217</v>
      </c>
      <c r="T42" s="48">
        <f t="shared" ref="T42:AF42" si="34">T41/T40</f>
        <v>1.5589519650655022</v>
      </c>
      <c r="U42" s="48">
        <f t="shared" si="34"/>
        <v>1.3162790697674418</v>
      </c>
      <c r="V42" s="48">
        <f t="shared" si="34"/>
        <v>2.0540540540540539</v>
      </c>
      <c r="W42" s="48">
        <f t="shared" si="34"/>
        <v>2.5</v>
      </c>
      <c r="X42" s="48" t="e">
        <f t="shared" si="34"/>
        <v>#DIV/0!</v>
      </c>
      <c r="Y42" s="48">
        <f t="shared" si="34"/>
        <v>1.41</v>
      </c>
      <c r="Z42" s="48">
        <f t="shared" si="34"/>
        <v>1.1190476190476191</v>
      </c>
      <c r="AA42" s="48">
        <f t="shared" si="34"/>
        <v>1.8</v>
      </c>
      <c r="AB42" s="48" t="e">
        <f t="shared" si="34"/>
        <v>#DIV/0!</v>
      </c>
      <c r="AC42" s="48">
        <f t="shared" si="34"/>
        <v>1.2411402157164868</v>
      </c>
      <c r="AD42" s="48" t="e">
        <f t="shared" si="34"/>
        <v>#DIV/0!</v>
      </c>
      <c r="AE42" s="48">
        <f t="shared" si="34"/>
        <v>1.3837471783295712</v>
      </c>
      <c r="AF42" s="48">
        <f t="shared" si="34"/>
        <v>1.3310560774267008</v>
      </c>
    </row>
    <row r="43" spans="2:32" ht="23.1" customHeight="1" x14ac:dyDescent="0.25">
      <c r="B43" s="45" t="s">
        <v>70</v>
      </c>
      <c r="C43" s="50">
        <v>32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38</v>
      </c>
      <c r="P43" s="15">
        <f t="shared" si="1"/>
        <v>53</v>
      </c>
    </row>
    <row r="44" spans="2:32" ht="23.1" customHeight="1" x14ac:dyDescent="0.25">
      <c r="B44" s="47" t="s">
        <v>71</v>
      </c>
      <c r="C44" s="50">
        <v>24</v>
      </c>
      <c r="D44" s="50">
        <v>3</v>
      </c>
      <c r="E44" s="50">
        <v>3</v>
      </c>
      <c r="F44" s="50">
        <v>0</v>
      </c>
      <c r="G44" s="50">
        <v>1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33</v>
      </c>
      <c r="P44" s="15">
        <f t="shared" si="1"/>
        <v>42</v>
      </c>
    </row>
    <row r="45" spans="2:32" ht="23.1" customHeight="1" x14ac:dyDescent="0.25">
      <c r="B45" s="45" t="s">
        <v>72</v>
      </c>
      <c r="C45" s="50">
        <v>31</v>
      </c>
      <c r="D45" s="50">
        <v>2</v>
      </c>
      <c r="E45" s="50">
        <v>58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17</v>
      </c>
      <c r="N45" s="50">
        <v>0</v>
      </c>
      <c r="O45" s="15">
        <f t="shared" si="0"/>
        <v>92</v>
      </c>
      <c r="P45" s="15">
        <f t="shared" si="1"/>
        <v>109</v>
      </c>
    </row>
    <row r="46" spans="2:32" ht="23.1" customHeight="1" x14ac:dyDescent="0.25">
      <c r="B46" s="46" t="s">
        <v>73</v>
      </c>
      <c r="C46" s="50">
        <v>35</v>
      </c>
      <c r="D46" s="50">
        <v>5</v>
      </c>
      <c r="E46" s="50">
        <v>2</v>
      </c>
      <c r="F46" s="50">
        <v>1</v>
      </c>
      <c r="G46" s="50">
        <v>0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27</v>
      </c>
      <c r="N46" s="50">
        <v>0</v>
      </c>
      <c r="O46" s="15">
        <f t="shared" si="0"/>
        <v>48</v>
      </c>
      <c r="P46" s="15">
        <f t="shared" si="1"/>
        <v>75</v>
      </c>
      <c r="R46" s="8"/>
      <c r="T46"/>
    </row>
    <row r="47" spans="2:32" ht="23.1" customHeight="1" x14ac:dyDescent="0.25">
      <c r="B47" s="46" t="s">
        <v>74</v>
      </c>
      <c r="C47" s="50">
        <v>50</v>
      </c>
      <c r="D47" s="50">
        <v>7</v>
      </c>
      <c r="E47" s="50">
        <v>6</v>
      </c>
      <c r="F47" s="50">
        <v>3</v>
      </c>
      <c r="G47" s="50">
        <v>1</v>
      </c>
      <c r="H47" s="50">
        <v>0</v>
      </c>
      <c r="I47" s="50">
        <v>1</v>
      </c>
      <c r="J47" s="50">
        <v>3</v>
      </c>
      <c r="K47" s="50">
        <v>0</v>
      </c>
      <c r="L47" s="50">
        <v>0</v>
      </c>
      <c r="M47" s="50">
        <v>26</v>
      </c>
      <c r="N47" s="50">
        <v>0</v>
      </c>
      <c r="O47" s="15">
        <f t="shared" si="0"/>
        <v>71</v>
      </c>
      <c r="P47" s="15">
        <f t="shared" si="1"/>
        <v>97</v>
      </c>
      <c r="R47" s="8"/>
      <c r="T47"/>
    </row>
    <row r="48" spans="2:32" ht="23.1" customHeight="1" x14ac:dyDescent="0.25">
      <c r="B48" s="46" t="s">
        <v>75</v>
      </c>
      <c r="C48" s="50">
        <v>66</v>
      </c>
      <c r="D48" s="50">
        <v>1</v>
      </c>
      <c r="E48" s="50">
        <v>5</v>
      </c>
      <c r="F48" s="50">
        <v>0</v>
      </c>
      <c r="G48" s="50">
        <v>0</v>
      </c>
      <c r="H48" s="50">
        <v>0</v>
      </c>
      <c r="I48" s="50">
        <v>5</v>
      </c>
      <c r="J48" s="50">
        <v>3</v>
      </c>
      <c r="K48" s="50">
        <v>0</v>
      </c>
      <c r="L48" s="50">
        <v>0</v>
      </c>
      <c r="M48" s="50">
        <v>29</v>
      </c>
      <c r="N48" s="50">
        <v>0</v>
      </c>
      <c r="O48" s="15">
        <f t="shared" si="0"/>
        <v>80</v>
      </c>
      <c r="P48" s="15">
        <f t="shared" si="1"/>
        <v>109</v>
      </c>
      <c r="R48" s="8"/>
      <c r="T48"/>
    </row>
    <row r="49" spans="2:20" ht="23.1" customHeight="1" x14ac:dyDescent="0.25">
      <c r="B49" s="45" t="s">
        <v>76</v>
      </c>
      <c r="C49" s="50">
        <v>56</v>
      </c>
      <c r="D49" s="50">
        <v>8</v>
      </c>
      <c r="E49" s="50">
        <v>7</v>
      </c>
      <c r="F49" s="50">
        <v>0</v>
      </c>
      <c r="G49" s="50">
        <v>0</v>
      </c>
      <c r="H49" s="50">
        <v>0</v>
      </c>
      <c r="I49" s="50">
        <v>1</v>
      </c>
      <c r="J49" s="50">
        <v>4</v>
      </c>
      <c r="K49" s="50">
        <v>0</v>
      </c>
      <c r="L49" s="50">
        <v>0</v>
      </c>
      <c r="M49" s="50">
        <v>31</v>
      </c>
      <c r="N49" s="50">
        <v>0</v>
      </c>
      <c r="O49" s="15">
        <f t="shared" si="0"/>
        <v>76</v>
      </c>
      <c r="P49" s="15">
        <f t="shared" si="1"/>
        <v>107</v>
      </c>
      <c r="R49" s="8"/>
      <c r="T49"/>
    </row>
    <row r="50" spans="2:20" ht="23.1" customHeight="1" x14ac:dyDescent="0.25">
      <c r="B50" s="46" t="s">
        <v>77</v>
      </c>
      <c r="C50" s="50">
        <v>65</v>
      </c>
      <c r="D50" s="50">
        <v>0</v>
      </c>
      <c r="E50" s="50">
        <v>5</v>
      </c>
      <c r="F50" s="50">
        <v>1</v>
      </c>
      <c r="G50" s="50">
        <v>0</v>
      </c>
      <c r="H50" s="50">
        <v>0</v>
      </c>
      <c r="I50" s="50">
        <v>2</v>
      </c>
      <c r="J50" s="50">
        <v>3</v>
      </c>
      <c r="K50" s="50">
        <v>0</v>
      </c>
      <c r="L50" s="50">
        <v>0</v>
      </c>
      <c r="M50" s="50">
        <v>36</v>
      </c>
      <c r="N50" s="50">
        <v>0</v>
      </c>
      <c r="O50" s="15">
        <f t="shared" si="0"/>
        <v>76</v>
      </c>
      <c r="P50" s="15">
        <f t="shared" si="1"/>
        <v>112</v>
      </c>
      <c r="R50" s="8"/>
      <c r="T50"/>
    </row>
    <row r="51" spans="2:20" ht="23.1" customHeight="1" x14ac:dyDescent="0.25">
      <c r="B51" s="46" t="s">
        <v>78</v>
      </c>
      <c r="C51" s="50">
        <v>43</v>
      </c>
      <c r="D51" s="50">
        <v>3</v>
      </c>
      <c r="E51" s="50">
        <v>4</v>
      </c>
      <c r="F51" s="50">
        <v>0</v>
      </c>
      <c r="G51" s="50">
        <v>3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39</v>
      </c>
      <c r="N51" s="50">
        <v>0</v>
      </c>
      <c r="O51" s="15">
        <f t="shared" si="0"/>
        <v>54</v>
      </c>
      <c r="P51" s="15">
        <f t="shared" si="1"/>
        <v>93</v>
      </c>
      <c r="R51" s="8"/>
      <c r="T51"/>
    </row>
    <row r="52" spans="2:20" ht="23.1" customHeight="1" x14ac:dyDescent="0.25">
      <c r="B52" s="46" t="s">
        <v>79</v>
      </c>
      <c r="C52" s="50">
        <v>55</v>
      </c>
      <c r="D52" s="50">
        <v>2</v>
      </c>
      <c r="E52" s="50">
        <v>4</v>
      </c>
      <c r="F52" s="50">
        <v>0</v>
      </c>
      <c r="G52" s="50">
        <v>0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22</v>
      </c>
      <c r="N52" s="50">
        <v>0</v>
      </c>
      <c r="O52" s="15">
        <f t="shared" si="0"/>
        <v>66</v>
      </c>
      <c r="P52" s="15">
        <f t="shared" si="1"/>
        <v>88</v>
      </c>
      <c r="R52" s="8"/>
      <c r="T52"/>
    </row>
    <row r="53" spans="2:20" ht="23.1" customHeight="1" x14ac:dyDescent="0.25">
      <c r="B53" s="45" t="s">
        <v>80</v>
      </c>
      <c r="C53" s="50">
        <v>65</v>
      </c>
      <c r="D53" s="50">
        <v>3</v>
      </c>
      <c r="E53" s="50">
        <v>3</v>
      </c>
      <c r="F53" s="50">
        <v>0</v>
      </c>
      <c r="G53" s="50">
        <v>0</v>
      </c>
      <c r="H53" s="50">
        <v>0</v>
      </c>
      <c r="I53" s="50">
        <v>4</v>
      </c>
      <c r="J53" s="50">
        <v>3</v>
      </c>
      <c r="K53" s="50">
        <v>1</v>
      </c>
      <c r="L53" s="50">
        <v>0</v>
      </c>
      <c r="M53" s="50">
        <v>37</v>
      </c>
      <c r="N53" s="50">
        <v>0</v>
      </c>
      <c r="O53" s="15">
        <f t="shared" si="0"/>
        <v>79</v>
      </c>
      <c r="P53" s="15">
        <f t="shared" si="1"/>
        <v>116</v>
      </c>
      <c r="R53" s="8"/>
      <c r="T53"/>
    </row>
    <row r="54" spans="2:20" ht="23.1" customHeight="1" x14ac:dyDescent="0.25">
      <c r="B54" s="45" t="s">
        <v>81</v>
      </c>
      <c r="C54" s="50">
        <v>42</v>
      </c>
      <c r="D54" s="50">
        <v>1</v>
      </c>
      <c r="E54" s="50">
        <v>6</v>
      </c>
      <c r="F54" s="50">
        <v>1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37</v>
      </c>
      <c r="N54" s="50">
        <v>0</v>
      </c>
      <c r="O54" s="15">
        <f t="shared" si="0"/>
        <v>55</v>
      </c>
      <c r="P54" s="15">
        <f t="shared" si="1"/>
        <v>92</v>
      </c>
      <c r="R54" s="8"/>
      <c r="T54"/>
    </row>
    <row r="55" spans="2:20" ht="23.1" customHeight="1" x14ac:dyDescent="0.25">
      <c r="B55" s="45" t="s">
        <v>82</v>
      </c>
      <c r="C55" s="50">
        <v>39</v>
      </c>
      <c r="D55" s="50">
        <v>4</v>
      </c>
      <c r="E55" s="50">
        <v>4</v>
      </c>
      <c r="F55" s="50">
        <v>2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0</v>
      </c>
      <c r="M55" s="50">
        <v>52</v>
      </c>
      <c r="N55" s="50">
        <v>0</v>
      </c>
      <c r="O55" s="15">
        <f t="shared" si="0"/>
        <v>53</v>
      </c>
      <c r="P55" s="15">
        <f t="shared" si="1"/>
        <v>105</v>
      </c>
      <c r="R55" s="8"/>
      <c r="T55"/>
    </row>
    <row r="56" spans="2:20" ht="23.1" customHeight="1" x14ac:dyDescent="0.25">
      <c r="B56" s="45" t="s">
        <v>83</v>
      </c>
      <c r="C56" s="50">
        <v>38</v>
      </c>
      <c r="D56" s="50">
        <v>2</v>
      </c>
      <c r="E56" s="50">
        <v>5</v>
      </c>
      <c r="F56" s="50">
        <v>0</v>
      </c>
      <c r="G56" s="50">
        <v>0</v>
      </c>
      <c r="H56" s="50">
        <v>0</v>
      </c>
      <c r="I56" s="50">
        <v>1</v>
      </c>
      <c r="J56" s="50">
        <v>4</v>
      </c>
      <c r="K56" s="50">
        <v>1</v>
      </c>
      <c r="L56" s="50">
        <v>0</v>
      </c>
      <c r="M56" s="50">
        <v>43</v>
      </c>
      <c r="N56" s="50">
        <v>0</v>
      </c>
      <c r="O56" s="15">
        <f t="shared" si="0"/>
        <v>51</v>
      </c>
      <c r="P56" s="15">
        <f t="shared" si="1"/>
        <v>94</v>
      </c>
      <c r="R56" s="8"/>
      <c r="T56"/>
    </row>
    <row r="57" spans="2:20" ht="23.1" customHeight="1" x14ac:dyDescent="0.25">
      <c r="B57" s="45" t="s">
        <v>84</v>
      </c>
      <c r="C57" s="50">
        <v>28</v>
      </c>
      <c r="D57" s="50">
        <v>5</v>
      </c>
      <c r="E57" s="50">
        <v>6</v>
      </c>
      <c r="F57" s="50">
        <v>2</v>
      </c>
      <c r="G57" s="50">
        <v>0</v>
      </c>
      <c r="H57" s="50">
        <v>0</v>
      </c>
      <c r="I57" s="50">
        <v>3</v>
      </c>
      <c r="J57" s="50">
        <v>2</v>
      </c>
      <c r="K57" s="50">
        <v>0</v>
      </c>
      <c r="L57" s="50">
        <v>0</v>
      </c>
      <c r="M57" s="50">
        <v>29</v>
      </c>
      <c r="N57" s="50">
        <v>0</v>
      </c>
      <c r="O57" s="15">
        <f t="shared" si="0"/>
        <v>46</v>
      </c>
      <c r="P57" s="15">
        <f t="shared" si="1"/>
        <v>75</v>
      </c>
      <c r="R57" s="8"/>
      <c r="T57"/>
    </row>
    <row r="58" spans="2:20" ht="23.1" customHeight="1" x14ac:dyDescent="0.25">
      <c r="B58" s="45" t="s">
        <v>99</v>
      </c>
      <c r="C58" s="50">
        <v>25</v>
      </c>
      <c r="D58" s="50">
        <v>11</v>
      </c>
      <c r="E58" s="50">
        <v>4</v>
      </c>
      <c r="F58" s="50">
        <v>0</v>
      </c>
      <c r="G58" s="50">
        <v>0</v>
      </c>
      <c r="H58" s="50">
        <v>1</v>
      </c>
      <c r="I58" s="50">
        <v>0</v>
      </c>
      <c r="J58" s="50">
        <v>2</v>
      </c>
      <c r="K58" s="50">
        <v>0</v>
      </c>
      <c r="L58" s="50">
        <v>0</v>
      </c>
      <c r="M58" s="50">
        <v>21</v>
      </c>
      <c r="N58" s="50">
        <v>0</v>
      </c>
      <c r="O58" s="15">
        <f t="shared" si="0"/>
        <v>43</v>
      </c>
      <c r="P58" s="15">
        <f t="shared" si="1"/>
        <v>64</v>
      </c>
      <c r="R58" s="8"/>
      <c r="T58"/>
    </row>
    <row r="59" spans="2:20" ht="23.1" customHeight="1" x14ac:dyDescent="0.25">
      <c r="B59" s="45" t="s">
        <v>100</v>
      </c>
      <c r="C59" s="50">
        <v>40</v>
      </c>
      <c r="D59" s="50">
        <v>6</v>
      </c>
      <c r="E59" s="50">
        <v>6</v>
      </c>
      <c r="F59" s="50">
        <v>1</v>
      </c>
      <c r="G59" s="50">
        <v>1</v>
      </c>
      <c r="H59" s="50">
        <v>0</v>
      </c>
      <c r="I59" s="50">
        <v>4</v>
      </c>
      <c r="J59" s="50">
        <v>1</v>
      </c>
      <c r="K59" s="50">
        <v>1</v>
      </c>
      <c r="L59" s="50">
        <v>0</v>
      </c>
      <c r="M59" s="50">
        <v>30</v>
      </c>
      <c r="N59" s="50">
        <v>0</v>
      </c>
      <c r="O59" s="15">
        <f t="shared" si="0"/>
        <v>60</v>
      </c>
      <c r="P59" s="15">
        <f t="shared" si="1"/>
        <v>90</v>
      </c>
      <c r="R59" s="8"/>
      <c r="T59"/>
    </row>
    <row r="60" spans="2:20" ht="23.1" customHeight="1" x14ac:dyDescent="0.25">
      <c r="B60" s="45" t="s">
        <v>101</v>
      </c>
      <c r="C60" s="50">
        <v>38</v>
      </c>
      <c r="D60" s="50">
        <v>6</v>
      </c>
      <c r="E60" s="50">
        <v>6</v>
      </c>
      <c r="F60" s="50">
        <v>2</v>
      </c>
      <c r="G60" s="50">
        <v>0</v>
      </c>
      <c r="H60" s="50">
        <v>1</v>
      </c>
      <c r="I60" s="50">
        <v>2</v>
      </c>
      <c r="J60" s="50">
        <v>0</v>
      </c>
      <c r="K60" s="50">
        <v>0</v>
      </c>
      <c r="L60" s="50">
        <v>0</v>
      </c>
      <c r="M60" s="50">
        <v>20</v>
      </c>
      <c r="N60" s="50">
        <v>0</v>
      </c>
      <c r="O60" s="15">
        <f t="shared" si="0"/>
        <v>55</v>
      </c>
      <c r="P60" s="15">
        <f t="shared" si="1"/>
        <v>75</v>
      </c>
      <c r="R60" s="8"/>
      <c r="T60"/>
    </row>
    <row r="61" spans="2:20" ht="23.1" customHeight="1" x14ac:dyDescent="0.25">
      <c r="B61" s="45" t="s">
        <v>102</v>
      </c>
      <c r="C61" s="50">
        <v>25</v>
      </c>
      <c r="D61" s="50">
        <v>4</v>
      </c>
      <c r="E61" s="50">
        <v>6</v>
      </c>
      <c r="F61" s="50">
        <v>1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15</v>
      </c>
      <c r="N61" s="50">
        <v>0</v>
      </c>
      <c r="O61" s="15">
        <f t="shared" si="0"/>
        <v>37</v>
      </c>
      <c r="P61" s="15">
        <f t="shared" si="1"/>
        <v>52</v>
      </c>
      <c r="R61" s="8"/>
      <c r="T61"/>
    </row>
    <row r="62" spans="2:20" ht="23.1" customHeight="1" x14ac:dyDescent="0.25">
      <c r="B62" s="45" t="s">
        <v>107</v>
      </c>
      <c r="C62" s="50">
        <v>22</v>
      </c>
      <c r="D62" s="50">
        <v>4</v>
      </c>
      <c r="E62" s="50">
        <v>2</v>
      </c>
      <c r="F62" s="50">
        <v>1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22</v>
      </c>
      <c r="N62" s="50">
        <v>0</v>
      </c>
      <c r="O62" s="15">
        <f t="shared" si="0"/>
        <v>32</v>
      </c>
      <c r="P62" s="15">
        <f t="shared" si="1"/>
        <v>54</v>
      </c>
      <c r="R62" s="8"/>
      <c r="T62"/>
    </row>
    <row r="63" spans="2:20" ht="23.1" customHeight="1" x14ac:dyDescent="0.25">
      <c r="B63" s="45" t="s">
        <v>108</v>
      </c>
      <c r="C63" s="50">
        <v>17</v>
      </c>
      <c r="D63" s="50">
        <v>7</v>
      </c>
      <c r="E63" s="50">
        <v>6</v>
      </c>
      <c r="F63" s="50">
        <v>4</v>
      </c>
      <c r="G63" s="50">
        <v>1</v>
      </c>
      <c r="H63" s="50">
        <v>0</v>
      </c>
      <c r="I63" s="50">
        <v>5</v>
      </c>
      <c r="J63" s="50">
        <v>0</v>
      </c>
      <c r="K63" s="50">
        <v>0</v>
      </c>
      <c r="L63" s="50">
        <v>0</v>
      </c>
      <c r="M63" s="50">
        <v>15</v>
      </c>
      <c r="N63" s="50">
        <v>0</v>
      </c>
      <c r="O63" s="15">
        <f t="shared" si="0"/>
        <v>40</v>
      </c>
      <c r="P63" s="15">
        <f t="shared" si="1"/>
        <v>55</v>
      </c>
      <c r="R63" s="8"/>
      <c r="T63"/>
    </row>
    <row r="64" spans="2:20" ht="23.1" customHeight="1" x14ac:dyDescent="0.25">
      <c r="B64" s="45" t="s">
        <v>109</v>
      </c>
      <c r="C64" s="50">
        <v>21</v>
      </c>
      <c r="D64" s="50">
        <v>4</v>
      </c>
      <c r="E64" s="50">
        <v>3</v>
      </c>
      <c r="F64" s="50">
        <v>3</v>
      </c>
      <c r="G64" s="50">
        <v>2</v>
      </c>
      <c r="H64" s="50">
        <v>0</v>
      </c>
      <c r="I64" s="50">
        <v>1</v>
      </c>
      <c r="J64" s="50">
        <v>1</v>
      </c>
      <c r="K64" s="50">
        <v>0</v>
      </c>
      <c r="L64" s="50">
        <v>0</v>
      </c>
      <c r="M64" s="50">
        <v>18</v>
      </c>
      <c r="N64" s="50">
        <v>0</v>
      </c>
      <c r="O64" s="15">
        <f t="shared" si="0"/>
        <v>35</v>
      </c>
      <c r="P64" s="15">
        <f t="shared" si="1"/>
        <v>53</v>
      </c>
      <c r="R64" s="8"/>
      <c r="T64"/>
    </row>
    <row r="65" spans="2:20" ht="23.1" customHeight="1" x14ac:dyDescent="0.25">
      <c r="B65" s="45" t="s">
        <v>158</v>
      </c>
      <c r="C65" s="50">
        <v>18</v>
      </c>
      <c r="D65" s="50">
        <v>9</v>
      </c>
      <c r="E65" s="50">
        <v>3</v>
      </c>
      <c r="F65" s="50">
        <v>2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18</v>
      </c>
      <c r="N65" s="50">
        <v>0</v>
      </c>
      <c r="O65" s="15">
        <f t="shared" si="0"/>
        <v>33</v>
      </c>
      <c r="P65" s="15">
        <f t="shared" si="1"/>
        <v>51</v>
      </c>
      <c r="R65" s="8"/>
      <c r="T65"/>
    </row>
    <row r="66" spans="2:20" ht="23.1" customHeight="1" x14ac:dyDescent="0.25">
      <c r="B66" s="45" t="s">
        <v>103</v>
      </c>
      <c r="C66" s="50">
        <v>25</v>
      </c>
      <c r="D66" s="50">
        <v>2</v>
      </c>
      <c r="E66" s="50">
        <v>5</v>
      </c>
      <c r="F66" s="50">
        <v>0</v>
      </c>
      <c r="G66" s="50">
        <v>0</v>
      </c>
      <c r="H66" s="50">
        <v>0</v>
      </c>
      <c r="I66" s="50">
        <v>3</v>
      </c>
      <c r="J66" s="50">
        <v>1</v>
      </c>
      <c r="K66" s="50">
        <v>0</v>
      </c>
      <c r="L66" s="50">
        <v>0</v>
      </c>
      <c r="M66" s="50">
        <v>11</v>
      </c>
      <c r="N66" s="50">
        <v>0</v>
      </c>
      <c r="O66" s="15">
        <f t="shared" si="0"/>
        <v>36</v>
      </c>
      <c r="P66" s="15">
        <f t="shared" si="1"/>
        <v>47</v>
      </c>
      <c r="R66" s="8"/>
      <c r="T66"/>
    </row>
    <row r="67" spans="2:20" ht="23.1" customHeight="1" x14ac:dyDescent="0.25">
      <c r="B67" s="45" t="s">
        <v>104</v>
      </c>
      <c r="C67" s="50">
        <v>18</v>
      </c>
      <c r="D67" s="50">
        <v>5</v>
      </c>
      <c r="E67" s="50">
        <v>4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9</v>
      </c>
      <c r="N67" s="50">
        <v>0</v>
      </c>
      <c r="O67" s="15">
        <f t="shared" si="0"/>
        <v>28</v>
      </c>
      <c r="P67" s="15">
        <f t="shared" si="1"/>
        <v>37</v>
      </c>
      <c r="R67" s="8"/>
      <c r="T67"/>
    </row>
    <row r="68" spans="2:20" ht="23.1" customHeight="1" x14ac:dyDescent="0.25">
      <c r="B68" s="45" t="s">
        <v>105</v>
      </c>
      <c r="C68" s="50">
        <v>19</v>
      </c>
      <c r="D68" s="50">
        <v>2</v>
      </c>
      <c r="E68" s="50">
        <v>1</v>
      </c>
      <c r="F68" s="50">
        <v>3</v>
      </c>
      <c r="G68" s="50">
        <v>1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9</v>
      </c>
      <c r="N68" s="50">
        <v>0</v>
      </c>
      <c r="O68" s="15">
        <f t="shared" si="0"/>
        <v>28</v>
      </c>
      <c r="P68" s="15">
        <f t="shared" si="1"/>
        <v>37</v>
      </c>
      <c r="R68" s="8"/>
      <c r="T68"/>
    </row>
    <row r="69" spans="2:20" ht="23.1" customHeight="1" x14ac:dyDescent="0.25">
      <c r="B69" s="45" t="s">
        <v>106</v>
      </c>
      <c r="C69" s="50">
        <v>29</v>
      </c>
      <c r="D69" s="50">
        <v>2</v>
      </c>
      <c r="E69" s="50">
        <v>1</v>
      </c>
      <c r="F69" s="50">
        <v>0</v>
      </c>
      <c r="G69" s="50">
        <v>0</v>
      </c>
      <c r="H69" s="50">
        <v>0</v>
      </c>
      <c r="I69" s="50">
        <v>1</v>
      </c>
      <c r="J69" s="50">
        <v>2</v>
      </c>
      <c r="K69" s="50">
        <v>1</v>
      </c>
      <c r="L69" s="50">
        <v>0</v>
      </c>
      <c r="M69" s="50">
        <v>7</v>
      </c>
      <c r="N69" s="50">
        <v>0</v>
      </c>
      <c r="O69" s="15">
        <f t="shared" si="0"/>
        <v>36</v>
      </c>
      <c r="P69" s="15">
        <f t="shared" si="1"/>
        <v>43</v>
      </c>
      <c r="R69" s="8"/>
      <c r="T69"/>
    </row>
    <row r="70" spans="2:20" ht="23.1" customHeight="1" x14ac:dyDescent="0.25">
      <c r="B70" s="45" t="s">
        <v>110</v>
      </c>
      <c r="C70" s="50">
        <v>16</v>
      </c>
      <c r="D70" s="50">
        <v>4</v>
      </c>
      <c r="E70" s="50">
        <v>1</v>
      </c>
      <c r="F70" s="50">
        <v>2</v>
      </c>
      <c r="G70" s="50">
        <v>0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15</v>
      </c>
      <c r="N70" s="50">
        <v>0</v>
      </c>
      <c r="O70" s="15">
        <f t="shared" si="0"/>
        <v>26</v>
      </c>
      <c r="P70" s="15">
        <f t="shared" si="1"/>
        <v>41</v>
      </c>
      <c r="R70" s="8"/>
      <c r="T70"/>
    </row>
    <row r="71" spans="2:20" ht="23.1" customHeight="1" x14ac:dyDescent="0.25">
      <c r="B71" s="45" t="s">
        <v>111</v>
      </c>
      <c r="C71" s="50">
        <v>14</v>
      </c>
      <c r="D71" s="50">
        <v>5</v>
      </c>
      <c r="E71" s="50">
        <v>0</v>
      </c>
      <c r="F71" s="50">
        <v>3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4</v>
      </c>
      <c r="N71" s="50">
        <v>0</v>
      </c>
      <c r="O71" s="15">
        <f t="shared" si="0"/>
        <v>24</v>
      </c>
      <c r="P71" s="15">
        <f t="shared" si="1"/>
        <v>28</v>
      </c>
      <c r="R71" s="8"/>
      <c r="T71"/>
    </row>
    <row r="72" spans="2:20" ht="23.1" customHeight="1" x14ac:dyDescent="0.25">
      <c r="B72" s="45" t="s">
        <v>112</v>
      </c>
      <c r="C72" s="50">
        <v>11</v>
      </c>
      <c r="D72" s="50">
        <v>5</v>
      </c>
      <c r="E72" s="50">
        <v>1</v>
      </c>
      <c r="F72" s="50">
        <v>1</v>
      </c>
      <c r="G72" s="50">
        <v>1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</v>
      </c>
      <c r="N72" s="50">
        <v>0</v>
      </c>
      <c r="O72" s="15">
        <f t="shared" si="0"/>
        <v>19</v>
      </c>
      <c r="P72" s="15">
        <f t="shared" si="1"/>
        <v>23</v>
      </c>
      <c r="R72" s="8"/>
      <c r="T72"/>
    </row>
    <row r="73" spans="2:20" ht="23.1" customHeight="1" x14ac:dyDescent="0.25">
      <c r="B73" s="45" t="s">
        <v>113</v>
      </c>
      <c r="C73" s="50">
        <v>11</v>
      </c>
      <c r="D73" s="50">
        <v>2</v>
      </c>
      <c r="E73" s="50">
        <v>0</v>
      </c>
      <c r="F73" s="50">
        <v>1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7</v>
      </c>
      <c r="N73" s="50">
        <v>0</v>
      </c>
      <c r="O73" s="15">
        <f t="shared" si="0"/>
        <v>17</v>
      </c>
      <c r="P73" s="15">
        <f t="shared" si="1"/>
        <v>24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4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ref="O74:O105" si="35">SUM(C74:L74,N74)</f>
        <v>9</v>
      </c>
      <c r="P74" s="15">
        <f t="shared" ref="P74:P105" si="36">SUM(C74:N74)</f>
        <v>11</v>
      </c>
      <c r="R74" s="8"/>
      <c r="T74"/>
    </row>
    <row r="75" spans="2:20" ht="23.1" customHeight="1" x14ac:dyDescent="0.25">
      <c r="B75" s="45" t="s">
        <v>115</v>
      </c>
      <c r="C75" s="50">
        <v>7</v>
      </c>
      <c r="D75" s="50">
        <v>1</v>
      </c>
      <c r="E75" s="50">
        <v>1</v>
      </c>
      <c r="F75" s="50">
        <v>2</v>
      </c>
      <c r="G75" s="50">
        <v>2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14</v>
      </c>
      <c r="P75" s="15">
        <f t="shared" si="36"/>
        <v>17</v>
      </c>
      <c r="R75" s="8"/>
      <c r="T75"/>
    </row>
    <row r="76" spans="2:20" ht="23.1" customHeight="1" x14ac:dyDescent="0.25">
      <c r="B76" s="45" t="s">
        <v>116</v>
      </c>
      <c r="C76" s="50">
        <v>5</v>
      </c>
      <c r="D76" s="50">
        <v>4</v>
      </c>
      <c r="E76" s="50">
        <v>2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11</v>
      </c>
      <c r="P76" s="15">
        <f t="shared" si="36"/>
        <v>12</v>
      </c>
      <c r="R76" s="8"/>
      <c r="T76"/>
    </row>
    <row r="77" spans="2:20" ht="23.1" customHeight="1" x14ac:dyDescent="0.25">
      <c r="B77" s="45" t="s">
        <v>117</v>
      </c>
      <c r="C77" s="50">
        <v>4</v>
      </c>
      <c r="D77" s="50">
        <v>3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</v>
      </c>
      <c r="N77" s="50">
        <v>0</v>
      </c>
      <c r="O77" s="15">
        <f t="shared" si="35"/>
        <v>7</v>
      </c>
      <c r="P77" s="15">
        <f t="shared" si="36"/>
        <v>12</v>
      </c>
      <c r="R77" s="8"/>
      <c r="T77"/>
    </row>
    <row r="78" spans="2:20" ht="23.1" customHeight="1" x14ac:dyDescent="0.25">
      <c r="B78" s="46" t="s">
        <v>118</v>
      </c>
      <c r="C78" s="50">
        <v>7</v>
      </c>
      <c r="D78" s="50">
        <v>3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11</v>
      </c>
      <c r="P78" s="15">
        <f t="shared" si="36"/>
        <v>14</v>
      </c>
      <c r="R78" s="8"/>
      <c r="T78"/>
    </row>
    <row r="79" spans="2:20" ht="23.1" customHeight="1" x14ac:dyDescent="0.25">
      <c r="B79" s="45" t="s">
        <v>119</v>
      </c>
      <c r="C79" s="50">
        <v>5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4</v>
      </c>
      <c r="N79" s="50">
        <v>0</v>
      </c>
      <c r="O79" s="15">
        <f t="shared" si="35"/>
        <v>7</v>
      </c>
      <c r="P79" s="15">
        <f t="shared" si="36"/>
        <v>11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2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5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4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4</v>
      </c>
      <c r="N82" s="50">
        <v>0</v>
      </c>
      <c r="O82" s="15">
        <f t="shared" si="35"/>
        <v>6</v>
      </c>
      <c r="P82" s="15">
        <f t="shared" si="36"/>
        <v>10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1</v>
      </c>
      <c r="E83" s="50">
        <v>1</v>
      </c>
      <c r="F83" s="50">
        <v>0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0</v>
      </c>
      <c r="M83" s="50">
        <v>7</v>
      </c>
      <c r="N83" s="50">
        <v>0</v>
      </c>
      <c r="O83" s="15">
        <f t="shared" si="35"/>
        <v>6</v>
      </c>
      <c r="P83" s="15">
        <f t="shared" si="36"/>
        <v>13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1</v>
      </c>
      <c r="N84" s="50">
        <v>0</v>
      </c>
      <c r="O84" s="15">
        <f t="shared" si="35"/>
        <v>3</v>
      </c>
      <c r="P84" s="15">
        <f t="shared" si="36"/>
        <v>4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5</v>
      </c>
      <c r="D86" s="50">
        <v>5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12</v>
      </c>
      <c r="P86" s="15">
        <f t="shared" si="36"/>
        <v>14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2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4</v>
      </c>
      <c r="N87" s="50">
        <v>0</v>
      </c>
      <c r="O87" s="15">
        <f t="shared" si="35"/>
        <v>5</v>
      </c>
      <c r="P87" s="15">
        <f t="shared" si="36"/>
        <v>9</v>
      </c>
      <c r="R87" s="8"/>
      <c r="T87"/>
    </row>
    <row r="88" spans="2:20" ht="23.1" customHeight="1" x14ac:dyDescent="0.25">
      <c r="B88" s="47" t="s">
        <v>128</v>
      </c>
      <c r="C88" s="50">
        <v>7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5">
        <f t="shared" si="35"/>
        <v>8</v>
      </c>
      <c r="P88" s="15">
        <f t="shared" si="36"/>
        <v>10</v>
      </c>
      <c r="R88" s="8"/>
      <c r="T88"/>
    </row>
    <row r="89" spans="2:20" ht="23.1" customHeight="1" x14ac:dyDescent="0.25">
      <c r="B89" s="45" t="s">
        <v>129</v>
      </c>
      <c r="C89" s="50">
        <v>6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6</v>
      </c>
      <c r="P89" s="15">
        <f t="shared" si="36"/>
        <v>8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1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4</v>
      </c>
      <c r="P90" s="15">
        <f t="shared" si="36"/>
        <v>7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5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3</v>
      </c>
      <c r="N92" s="50">
        <v>0</v>
      </c>
      <c r="O92" s="15">
        <f t="shared" si="35"/>
        <v>5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1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7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6</v>
      </c>
      <c r="D94" s="50">
        <v>3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9</v>
      </c>
      <c r="P94" s="15">
        <f t="shared" si="36"/>
        <v>12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4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5</v>
      </c>
      <c r="P96" s="15">
        <f t="shared" si="36"/>
        <v>6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3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4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6</v>
      </c>
      <c r="D99" s="50">
        <v>1</v>
      </c>
      <c r="E99" s="50">
        <v>1</v>
      </c>
      <c r="F99" s="50">
        <v>0</v>
      </c>
      <c r="G99" s="50">
        <v>1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9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1</v>
      </c>
      <c r="E100" s="50">
        <v>1</v>
      </c>
      <c r="F100" s="50">
        <v>2</v>
      </c>
      <c r="G100" s="50">
        <v>1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9</v>
      </c>
      <c r="P100" s="15">
        <f t="shared" si="36"/>
        <v>12</v>
      </c>
      <c r="R100" s="8"/>
      <c r="T100"/>
    </row>
    <row r="101" spans="2:20" ht="23.1" customHeight="1" x14ac:dyDescent="0.25">
      <c r="B101" s="45" t="s">
        <v>141</v>
      </c>
      <c r="C101" s="50">
        <v>5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7</v>
      </c>
      <c r="P101" s="15">
        <f t="shared" si="36"/>
        <v>10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1</v>
      </c>
      <c r="E102" s="50">
        <v>0</v>
      </c>
      <c r="F102" s="50">
        <v>2</v>
      </c>
      <c r="G102" s="50">
        <v>1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12</v>
      </c>
      <c r="P102" s="15">
        <f t="shared" si="36"/>
        <v>14</v>
      </c>
      <c r="R102" s="8"/>
      <c r="T102"/>
    </row>
    <row r="103" spans="2:20" ht="23.1" customHeight="1" x14ac:dyDescent="0.25">
      <c r="B103" s="45" t="s">
        <v>143</v>
      </c>
      <c r="C103" s="50">
        <v>19</v>
      </c>
      <c r="D103" s="50">
        <v>3</v>
      </c>
      <c r="E103" s="50">
        <v>0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6</v>
      </c>
      <c r="N103" s="50">
        <v>0</v>
      </c>
      <c r="O103" s="15">
        <f t="shared" si="35"/>
        <v>24</v>
      </c>
      <c r="P103" s="15">
        <f t="shared" si="36"/>
        <v>30</v>
      </c>
      <c r="R103" s="8"/>
      <c r="T103"/>
    </row>
    <row r="104" spans="2:20" ht="23.1" customHeight="1" x14ac:dyDescent="0.25">
      <c r="B104" s="47" t="s">
        <v>144</v>
      </c>
      <c r="C104" s="50">
        <v>25</v>
      </c>
      <c r="D104" s="50">
        <v>5</v>
      </c>
      <c r="E104" s="50">
        <v>1</v>
      </c>
      <c r="F104" s="50">
        <v>1</v>
      </c>
      <c r="G104" s="50">
        <v>1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4</v>
      </c>
      <c r="N104" s="50">
        <v>0</v>
      </c>
      <c r="O104" s="15">
        <f t="shared" si="35"/>
        <v>33</v>
      </c>
      <c r="P104" s="15">
        <f t="shared" si="36"/>
        <v>37</v>
      </c>
      <c r="R104" s="8"/>
      <c r="T104"/>
    </row>
    <row r="105" spans="2:20" ht="23.1" customHeight="1" x14ac:dyDescent="0.25">
      <c r="B105" s="45" t="s">
        <v>145</v>
      </c>
      <c r="C105" s="50">
        <v>33</v>
      </c>
      <c r="D105" s="50">
        <v>3</v>
      </c>
      <c r="E105" s="50">
        <v>5</v>
      </c>
      <c r="F105" s="50">
        <v>2</v>
      </c>
      <c r="G105" s="50">
        <v>0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45</v>
      </c>
      <c r="P105" s="15">
        <f t="shared" si="36"/>
        <v>50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2083</v>
      </c>
      <c r="D106" s="16">
        <f t="shared" ref="D106:P106" si="37">SUM(D10:D105)</f>
        <v>357</v>
      </c>
      <c r="E106" s="16">
        <f t="shared" si="37"/>
        <v>283</v>
      </c>
      <c r="F106" s="16">
        <f t="shared" si="37"/>
        <v>76</v>
      </c>
      <c r="G106" s="16">
        <f t="shared" si="37"/>
        <v>20</v>
      </c>
      <c r="H106" s="16">
        <f t="shared" si="37"/>
        <v>2</v>
      </c>
      <c r="I106" s="16">
        <f t="shared" si="37"/>
        <v>141</v>
      </c>
      <c r="J106" s="16">
        <f t="shared" si="37"/>
        <v>94</v>
      </c>
      <c r="K106" s="16">
        <f t="shared" si="37"/>
        <v>9</v>
      </c>
      <c r="L106" s="16">
        <f t="shared" si="37"/>
        <v>0</v>
      </c>
      <c r="M106" s="16">
        <f t="shared" si="37"/>
        <v>1611</v>
      </c>
      <c r="N106" s="16">
        <f t="shared" si="37"/>
        <v>0</v>
      </c>
      <c r="O106" s="16">
        <f t="shared" si="37"/>
        <v>3065</v>
      </c>
      <c r="P106" s="16">
        <f t="shared" si="37"/>
        <v>4676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0.44546621043627033</v>
      </c>
      <c r="D107" s="43">
        <f t="shared" si="38"/>
        <v>7.6347305389221562E-2</v>
      </c>
      <c r="E107" s="43">
        <f t="shared" si="38"/>
        <v>6.0521813515825494E-2</v>
      </c>
      <c r="F107" s="43">
        <f t="shared" si="38"/>
        <v>1.6253207869974338E-2</v>
      </c>
      <c r="G107" s="43">
        <f t="shared" si="38"/>
        <v>4.2771599657827203E-3</v>
      </c>
      <c r="H107" s="43">
        <f t="shared" si="38"/>
        <v>4.2771599657827201E-4</v>
      </c>
      <c r="I107" s="43">
        <f t="shared" si="38"/>
        <v>3.0153977758768179E-2</v>
      </c>
      <c r="J107" s="43">
        <f t="shared" si="38"/>
        <v>2.0102651839178785E-2</v>
      </c>
      <c r="K107" s="43">
        <f t="shared" si="38"/>
        <v>1.9247219846022241E-3</v>
      </c>
      <c r="L107" s="43">
        <f t="shared" si="38"/>
        <v>0</v>
      </c>
      <c r="M107" s="43">
        <f t="shared" si="38"/>
        <v>0.34452523524379813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0.67960848287112563</v>
      </c>
      <c r="D108" s="44">
        <f t="shared" ref="D108:N108" si="39">D106/$O$106</f>
        <v>0.1164763458401305</v>
      </c>
      <c r="E108" s="44">
        <f t="shared" si="39"/>
        <v>9.233278955954323E-2</v>
      </c>
      <c r="F108" s="44">
        <f t="shared" si="39"/>
        <v>2.4796084828711255E-2</v>
      </c>
      <c r="G108" s="44">
        <f t="shared" si="39"/>
        <v>6.5252854812398045E-3</v>
      </c>
      <c r="H108" s="44">
        <f t="shared" si="39"/>
        <v>6.5252854812398043E-4</v>
      </c>
      <c r="I108" s="44">
        <f t="shared" si="39"/>
        <v>4.6003262642740621E-2</v>
      </c>
      <c r="J108" s="44">
        <f t="shared" si="39"/>
        <v>3.0668841761827079E-2</v>
      </c>
      <c r="K108" s="44">
        <f t="shared" si="39"/>
        <v>2.936378466557912E-3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topLeftCell="A19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6" t="str">
        <f>'23.09.19 Bweya- Kajansi'!C3:G3</f>
        <v>MCC-C2-STNO 56 -Munyonyo spur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6" t="s">
        <v>183</v>
      </c>
      <c r="E5" s="3"/>
      <c r="F5" s="41" t="s">
        <v>1</v>
      </c>
      <c r="G5" s="61" t="str">
        <f>'25.09 Kajansi-Bweya'!G5:H5</f>
        <v>Munyonyo Spur RD</v>
      </c>
      <c r="H5" s="62"/>
      <c r="I5" s="14"/>
      <c r="J5" s="2" t="s">
        <v>5</v>
      </c>
      <c r="K5" s="61" t="str">
        <f>'25.09 Kajansi-Bweya'!K5:L5</f>
        <v>Akello Rosette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">
        <v>172</v>
      </c>
      <c r="E6" s="62"/>
      <c r="F6" s="2" t="s">
        <v>2</v>
      </c>
      <c r="G6" s="61" t="str">
        <f>'23.09.19 Bweya- Kajansi'!G6:H6</f>
        <v>KAJANSI</v>
      </c>
      <c r="H6" s="62"/>
      <c r="J6" s="2" t="s">
        <v>21</v>
      </c>
      <c r="K6" s="61" t="str">
        <f>'25.09 Kajansi-Bweya'!K6:L6</f>
        <v>Beatrice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39</v>
      </c>
      <c r="D10" s="50">
        <v>3</v>
      </c>
      <c r="E10" s="50">
        <v>4</v>
      </c>
      <c r="F10" s="50">
        <v>1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33</v>
      </c>
      <c r="N10" s="50">
        <v>0</v>
      </c>
      <c r="O10" s="15">
        <f t="shared" ref="O10:O57" si="0">SUM(C10:L10,N10)</f>
        <v>48</v>
      </c>
      <c r="P10" s="15">
        <f t="shared" ref="P10:P57" si="1">SUM(C10:N10)</f>
        <v>81</v>
      </c>
      <c r="R10" s="1" t="s">
        <v>6</v>
      </c>
      <c r="S10" s="17">
        <f t="shared" ref="S10:AF10" si="2">SUM(C10:C13)</f>
        <v>131</v>
      </c>
      <c r="T10" s="17">
        <f t="shared" si="2"/>
        <v>28</v>
      </c>
      <c r="U10" s="17">
        <f t="shared" si="2"/>
        <v>6</v>
      </c>
      <c r="V10" s="17">
        <f t="shared" si="2"/>
        <v>12</v>
      </c>
      <c r="W10" s="17">
        <f t="shared" si="2"/>
        <v>1</v>
      </c>
      <c r="X10" s="17">
        <f t="shared" si="2"/>
        <v>1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155</v>
      </c>
      <c r="AD10" s="17">
        <f t="shared" si="2"/>
        <v>0</v>
      </c>
      <c r="AE10" s="31">
        <f t="shared" si="2"/>
        <v>188</v>
      </c>
      <c r="AF10" s="31">
        <f t="shared" si="2"/>
        <v>343</v>
      </c>
    </row>
    <row r="11" spans="2:32" s="6" customFormat="1" ht="23.1" customHeight="1" x14ac:dyDescent="0.25">
      <c r="B11" s="23" t="s">
        <v>38</v>
      </c>
      <c r="C11" s="50">
        <v>27</v>
      </c>
      <c r="D11" s="50">
        <v>13</v>
      </c>
      <c r="E11" s="50">
        <v>0</v>
      </c>
      <c r="F11" s="50">
        <v>5</v>
      </c>
      <c r="G11" s="50">
        <v>0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43</v>
      </c>
      <c r="N11" s="50">
        <v>0</v>
      </c>
      <c r="O11" s="15">
        <f t="shared" si="0"/>
        <v>50</v>
      </c>
      <c r="P11" s="15">
        <f t="shared" si="1"/>
        <v>93</v>
      </c>
      <c r="R11" s="1" t="s">
        <v>7</v>
      </c>
      <c r="S11" s="17">
        <f t="shared" ref="S11:AF11" si="3">SUM(C14:C17)</f>
        <v>124</v>
      </c>
      <c r="T11" s="17">
        <f t="shared" si="3"/>
        <v>48</v>
      </c>
      <c r="U11" s="17">
        <f t="shared" si="3"/>
        <v>21</v>
      </c>
      <c r="V11" s="17">
        <f t="shared" si="3"/>
        <v>6</v>
      </c>
      <c r="W11" s="17">
        <f t="shared" si="3"/>
        <v>2</v>
      </c>
      <c r="X11" s="17">
        <f t="shared" si="3"/>
        <v>1</v>
      </c>
      <c r="Y11" s="17">
        <f t="shared" si="3"/>
        <v>12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159</v>
      </c>
      <c r="AD11" s="17">
        <f t="shared" si="3"/>
        <v>0</v>
      </c>
      <c r="AE11" s="31">
        <f t="shared" si="3"/>
        <v>216</v>
      </c>
      <c r="AF11" s="31">
        <f t="shared" si="3"/>
        <v>375</v>
      </c>
    </row>
    <row r="12" spans="2:32" ht="23.1" customHeight="1" x14ac:dyDescent="0.25">
      <c r="B12" s="23" t="s">
        <v>39</v>
      </c>
      <c r="C12" s="50">
        <v>38</v>
      </c>
      <c r="D12" s="50">
        <v>6</v>
      </c>
      <c r="E12" s="50">
        <v>0</v>
      </c>
      <c r="F12" s="50">
        <v>2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28</v>
      </c>
      <c r="N12" s="50">
        <v>0</v>
      </c>
      <c r="O12" s="15">
        <f t="shared" si="0"/>
        <v>48</v>
      </c>
      <c r="P12" s="15">
        <f t="shared" si="1"/>
        <v>76</v>
      </c>
      <c r="R12" s="1" t="s">
        <v>8</v>
      </c>
      <c r="S12" s="17">
        <f t="shared" ref="S12:AF12" si="4">SUM(C18:C21)</f>
        <v>87</v>
      </c>
      <c r="T12" s="17">
        <f t="shared" si="4"/>
        <v>36</v>
      </c>
      <c r="U12" s="17">
        <f t="shared" si="4"/>
        <v>25</v>
      </c>
      <c r="V12" s="17">
        <f t="shared" si="4"/>
        <v>4</v>
      </c>
      <c r="W12" s="17">
        <f t="shared" si="4"/>
        <v>2</v>
      </c>
      <c r="X12" s="17">
        <f t="shared" si="4"/>
        <v>0</v>
      </c>
      <c r="Y12" s="17">
        <f t="shared" si="4"/>
        <v>26</v>
      </c>
      <c r="Z12" s="17">
        <f t="shared" si="4"/>
        <v>0</v>
      </c>
      <c r="AA12" s="17">
        <f t="shared" si="4"/>
        <v>0</v>
      </c>
      <c r="AB12" s="17">
        <f t="shared" si="4"/>
        <v>1</v>
      </c>
      <c r="AC12" s="17">
        <f t="shared" si="4"/>
        <v>145</v>
      </c>
      <c r="AD12" s="17">
        <f t="shared" si="4"/>
        <v>0</v>
      </c>
      <c r="AE12" s="31">
        <f t="shared" si="4"/>
        <v>181</v>
      </c>
      <c r="AF12" s="31">
        <f t="shared" si="4"/>
        <v>326</v>
      </c>
    </row>
    <row r="13" spans="2:32" ht="23.1" customHeight="1" x14ac:dyDescent="0.25">
      <c r="B13" s="23" t="s">
        <v>40</v>
      </c>
      <c r="C13" s="50">
        <v>27</v>
      </c>
      <c r="D13" s="50">
        <v>6</v>
      </c>
      <c r="E13" s="50">
        <v>2</v>
      </c>
      <c r="F13" s="50">
        <v>4</v>
      </c>
      <c r="G13" s="50">
        <v>0</v>
      </c>
      <c r="H13" s="50">
        <v>1</v>
      </c>
      <c r="I13" s="50">
        <v>2</v>
      </c>
      <c r="J13" s="50">
        <v>0</v>
      </c>
      <c r="K13" s="50">
        <v>0</v>
      </c>
      <c r="L13" s="50">
        <v>0</v>
      </c>
      <c r="M13" s="50">
        <v>51</v>
      </c>
      <c r="N13" s="50">
        <v>0</v>
      </c>
      <c r="O13" s="15">
        <f t="shared" si="0"/>
        <v>42</v>
      </c>
      <c r="P13" s="15">
        <f t="shared" si="1"/>
        <v>93</v>
      </c>
      <c r="R13" s="1" t="s">
        <v>9</v>
      </c>
      <c r="S13" s="17">
        <f t="shared" ref="S13:AF13" si="5">SUM(C22:C25)</f>
        <v>95</v>
      </c>
      <c r="T13" s="17">
        <f t="shared" si="5"/>
        <v>32</v>
      </c>
      <c r="U13" s="17">
        <f t="shared" si="5"/>
        <v>16</v>
      </c>
      <c r="V13" s="17">
        <f t="shared" si="5"/>
        <v>9</v>
      </c>
      <c r="W13" s="17">
        <f t="shared" si="5"/>
        <v>0</v>
      </c>
      <c r="X13" s="17">
        <f t="shared" si="5"/>
        <v>4</v>
      </c>
      <c r="Y13" s="17">
        <f t="shared" si="5"/>
        <v>19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154</v>
      </c>
      <c r="AD13" s="17">
        <f t="shared" si="5"/>
        <v>0</v>
      </c>
      <c r="AE13" s="31">
        <f t="shared" si="5"/>
        <v>177</v>
      </c>
      <c r="AF13" s="31">
        <f t="shared" si="5"/>
        <v>331</v>
      </c>
    </row>
    <row r="14" spans="2:32" ht="23.1" customHeight="1" x14ac:dyDescent="0.25">
      <c r="B14" s="23" t="s">
        <v>41</v>
      </c>
      <c r="C14" s="50">
        <v>23</v>
      </c>
      <c r="D14" s="50">
        <v>5</v>
      </c>
      <c r="E14" s="50">
        <v>5</v>
      </c>
      <c r="F14" s="50">
        <v>3</v>
      </c>
      <c r="G14" s="50">
        <v>0</v>
      </c>
      <c r="H14" s="50">
        <v>0</v>
      </c>
      <c r="I14" s="50">
        <v>4</v>
      </c>
      <c r="J14" s="50">
        <v>1</v>
      </c>
      <c r="K14" s="50">
        <v>0</v>
      </c>
      <c r="L14" s="50">
        <v>0</v>
      </c>
      <c r="M14" s="50">
        <v>40</v>
      </c>
      <c r="N14" s="50">
        <v>0</v>
      </c>
      <c r="O14" s="15">
        <f t="shared" si="0"/>
        <v>41</v>
      </c>
      <c r="P14" s="15">
        <f t="shared" si="1"/>
        <v>81</v>
      </c>
      <c r="R14" s="1" t="s">
        <v>10</v>
      </c>
      <c r="S14" s="17">
        <f t="shared" ref="S14:AF14" si="6">SUM(C26:C29)</f>
        <v>107</v>
      </c>
      <c r="T14" s="17">
        <f t="shared" si="6"/>
        <v>24</v>
      </c>
      <c r="U14" s="17">
        <f t="shared" si="6"/>
        <v>17</v>
      </c>
      <c r="V14" s="17">
        <f t="shared" si="6"/>
        <v>9</v>
      </c>
      <c r="W14" s="17">
        <f t="shared" si="6"/>
        <v>1</v>
      </c>
      <c r="X14" s="17">
        <f t="shared" si="6"/>
        <v>0</v>
      </c>
      <c r="Y14" s="17">
        <f t="shared" si="6"/>
        <v>20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148</v>
      </c>
      <c r="AD14" s="17">
        <f t="shared" si="6"/>
        <v>0</v>
      </c>
      <c r="AE14" s="31">
        <f t="shared" si="6"/>
        <v>180</v>
      </c>
      <c r="AF14" s="31">
        <f t="shared" si="6"/>
        <v>328</v>
      </c>
    </row>
    <row r="15" spans="2:32" ht="23.1" customHeight="1" x14ac:dyDescent="0.25">
      <c r="B15" s="23" t="s">
        <v>42</v>
      </c>
      <c r="C15" s="50">
        <v>23</v>
      </c>
      <c r="D15" s="50">
        <v>15</v>
      </c>
      <c r="E15" s="50">
        <v>4</v>
      </c>
      <c r="F15" s="50">
        <v>2</v>
      </c>
      <c r="G15" s="50">
        <v>1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29</v>
      </c>
      <c r="N15" s="50">
        <v>0</v>
      </c>
      <c r="O15" s="15">
        <f t="shared" si="0"/>
        <v>49</v>
      </c>
      <c r="P15" s="15">
        <f t="shared" si="1"/>
        <v>78</v>
      </c>
      <c r="R15" s="1" t="s">
        <v>11</v>
      </c>
      <c r="S15" s="17">
        <f t="shared" ref="S15:AF15" si="7">SUM(C30:C33)</f>
        <v>126</v>
      </c>
      <c r="T15" s="17">
        <f t="shared" si="7"/>
        <v>36</v>
      </c>
      <c r="U15" s="17">
        <f t="shared" si="7"/>
        <v>18</v>
      </c>
      <c r="V15" s="17">
        <f t="shared" si="7"/>
        <v>13</v>
      </c>
      <c r="W15" s="17">
        <f t="shared" si="7"/>
        <v>1</v>
      </c>
      <c r="X15" s="17">
        <f t="shared" si="7"/>
        <v>0</v>
      </c>
      <c r="Y15" s="17">
        <f t="shared" si="7"/>
        <v>13</v>
      </c>
      <c r="Z15" s="17">
        <f t="shared" si="7"/>
        <v>7</v>
      </c>
      <c r="AA15" s="17">
        <f t="shared" si="7"/>
        <v>1</v>
      </c>
      <c r="AB15" s="17">
        <f t="shared" si="7"/>
        <v>2</v>
      </c>
      <c r="AC15" s="17">
        <f t="shared" si="7"/>
        <v>138</v>
      </c>
      <c r="AD15" s="17">
        <f t="shared" si="7"/>
        <v>0</v>
      </c>
      <c r="AE15" s="31">
        <f t="shared" si="7"/>
        <v>217</v>
      </c>
      <c r="AF15" s="31">
        <f t="shared" si="7"/>
        <v>355</v>
      </c>
    </row>
    <row r="16" spans="2:32" ht="23.1" customHeight="1" x14ac:dyDescent="0.25">
      <c r="B16" s="23" t="s">
        <v>43</v>
      </c>
      <c r="C16" s="50">
        <v>51</v>
      </c>
      <c r="D16" s="50">
        <v>17</v>
      </c>
      <c r="E16" s="50">
        <v>7</v>
      </c>
      <c r="F16" s="50">
        <v>1</v>
      </c>
      <c r="G16" s="50">
        <v>0</v>
      </c>
      <c r="H16" s="50">
        <v>1</v>
      </c>
      <c r="I16" s="50">
        <v>4</v>
      </c>
      <c r="J16" s="50">
        <v>0</v>
      </c>
      <c r="K16" s="50">
        <v>0</v>
      </c>
      <c r="L16" s="50">
        <v>0</v>
      </c>
      <c r="M16" s="50">
        <v>42</v>
      </c>
      <c r="N16" s="50">
        <v>0</v>
      </c>
      <c r="O16" s="15">
        <f t="shared" si="0"/>
        <v>81</v>
      </c>
      <c r="P16" s="15">
        <f t="shared" si="1"/>
        <v>123</v>
      </c>
      <c r="R16" s="1" t="s">
        <v>12</v>
      </c>
      <c r="S16" s="17">
        <f t="shared" ref="S16:AF16" si="8">SUM(C34:C37)</f>
        <v>136</v>
      </c>
      <c r="T16" s="17">
        <f t="shared" si="8"/>
        <v>34</v>
      </c>
      <c r="U16" s="17">
        <f t="shared" si="8"/>
        <v>27</v>
      </c>
      <c r="V16" s="17">
        <f t="shared" si="8"/>
        <v>5</v>
      </c>
      <c r="W16" s="17">
        <f t="shared" si="8"/>
        <v>4</v>
      </c>
      <c r="X16" s="17">
        <f t="shared" si="8"/>
        <v>0</v>
      </c>
      <c r="Y16" s="17">
        <f t="shared" si="8"/>
        <v>17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102</v>
      </c>
      <c r="AD16" s="17">
        <f t="shared" si="8"/>
        <v>0</v>
      </c>
      <c r="AE16" s="31">
        <f t="shared" si="8"/>
        <v>226</v>
      </c>
      <c r="AF16" s="31">
        <f t="shared" si="8"/>
        <v>328</v>
      </c>
    </row>
    <row r="17" spans="2:32" ht="23.1" customHeight="1" x14ac:dyDescent="0.25">
      <c r="B17" s="23" t="s">
        <v>44</v>
      </c>
      <c r="C17" s="50">
        <v>27</v>
      </c>
      <c r="D17" s="50">
        <v>11</v>
      </c>
      <c r="E17" s="50">
        <v>5</v>
      </c>
      <c r="F17" s="50">
        <v>0</v>
      </c>
      <c r="G17" s="50">
        <v>1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48</v>
      </c>
      <c r="N17" s="50">
        <v>0</v>
      </c>
      <c r="O17" s="15">
        <f t="shared" si="0"/>
        <v>45</v>
      </c>
      <c r="P17" s="15">
        <f t="shared" si="1"/>
        <v>93</v>
      </c>
      <c r="R17" s="1" t="s">
        <v>13</v>
      </c>
      <c r="S17" s="17">
        <f t="shared" ref="S17:AF17" si="9">SUM(C38:C41)</f>
        <v>141</v>
      </c>
      <c r="T17" s="17">
        <f t="shared" si="9"/>
        <v>431</v>
      </c>
      <c r="U17" s="17">
        <f t="shared" si="9"/>
        <v>16</v>
      </c>
      <c r="V17" s="17">
        <f t="shared" si="9"/>
        <v>19</v>
      </c>
      <c r="W17" s="17">
        <f t="shared" si="9"/>
        <v>0</v>
      </c>
      <c r="X17" s="17">
        <f t="shared" si="9"/>
        <v>1</v>
      </c>
      <c r="Y17" s="17">
        <f t="shared" si="9"/>
        <v>22</v>
      </c>
      <c r="Z17" s="17">
        <f t="shared" si="9"/>
        <v>1</v>
      </c>
      <c r="AA17" s="17">
        <f t="shared" si="9"/>
        <v>1</v>
      </c>
      <c r="AB17" s="17">
        <f t="shared" si="9"/>
        <v>1</v>
      </c>
      <c r="AC17" s="17">
        <f t="shared" si="9"/>
        <v>120</v>
      </c>
      <c r="AD17" s="17">
        <f t="shared" si="9"/>
        <v>0</v>
      </c>
      <c r="AE17" s="31">
        <f t="shared" si="9"/>
        <v>633</v>
      </c>
      <c r="AF17" s="31">
        <f t="shared" si="9"/>
        <v>753</v>
      </c>
    </row>
    <row r="18" spans="2:32" ht="23.1" customHeight="1" x14ac:dyDescent="0.25">
      <c r="B18" s="23" t="s">
        <v>45</v>
      </c>
      <c r="C18" s="50">
        <v>20</v>
      </c>
      <c r="D18" s="50">
        <v>10</v>
      </c>
      <c r="E18" s="50">
        <v>11</v>
      </c>
      <c r="F18" s="50">
        <v>1</v>
      </c>
      <c r="G18" s="50">
        <v>0</v>
      </c>
      <c r="H18" s="50">
        <v>0</v>
      </c>
      <c r="I18" s="50">
        <v>8</v>
      </c>
      <c r="J18" s="50">
        <v>0</v>
      </c>
      <c r="K18" s="50">
        <v>0</v>
      </c>
      <c r="L18" s="50">
        <v>0</v>
      </c>
      <c r="M18" s="50">
        <v>32</v>
      </c>
      <c r="N18" s="50">
        <v>0</v>
      </c>
      <c r="O18" s="15">
        <f t="shared" si="0"/>
        <v>50</v>
      </c>
      <c r="P18" s="15">
        <f t="shared" si="1"/>
        <v>82</v>
      </c>
      <c r="R18" s="1" t="s">
        <v>14</v>
      </c>
      <c r="S18" s="17">
        <f t="shared" ref="S18:AF18" si="10">SUM(C42:C45)</f>
        <v>101</v>
      </c>
      <c r="T18" s="17">
        <f t="shared" si="10"/>
        <v>33</v>
      </c>
      <c r="U18" s="17">
        <f t="shared" si="10"/>
        <v>17</v>
      </c>
      <c r="V18" s="17">
        <f t="shared" si="10"/>
        <v>8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97</v>
      </c>
      <c r="AD18" s="17">
        <f t="shared" si="10"/>
        <v>0</v>
      </c>
      <c r="AE18" s="31">
        <f t="shared" si="10"/>
        <v>177</v>
      </c>
      <c r="AF18" s="31">
        <f t="shared" si="10"/>
        <v>274</v>
      </c>
    </row>
    <row r="19" spans="2:32" ht="23.1" customHeight="1" x14ac:dyDescent="0.25">
      <c r="B19" s="23" t="s">
        <v>46</v>
      </c>
      <c r="C19" s="50">
        <v>21</v>
      </c>
      <c r="D19" s="50">
        <v>14</v>
      </c>
      <c r="E19" s="50">
        <v>9</v>
      </c>
      <c r="F19" s="50">
        <v>0</v>
      </c>
      <c r="G19" s="50">
        <v>2</v>
      </c>
      <c r="H19" s="50">
        <v>0</v>
      </c>
      <c r="I19" s="50">
        <v>7</v>
      </c>
      <c r="J19" s="50">
        <v>0</v>
      </c>
      <c r="K19" s="50">
        <v>0</v>
      </c>
      <c r="L19" s="50">
        <v>0</v>
      </c>
      <c r="M19" s="50">
        <v>40</v>
      </c>
      <c r="N19" s="50">
        <v>0</v>
      </c>
      <c r="O19" s="15">
        <f t="shared" si="0"/>
        <v>53</v>
      </c>
      <c r="P19" s="15">
        <f t="shared" si="1"/>
        <v>93</v>
      </c>
      <c r="R19" s="1" t="s">
        <v>15</v>
      </c>
      <c r="S19" s="17">
        <f t="shared" ref="S19:AF19" si="11">SUM(C46:C49)</f>
        <v>140</v>
      </c>
      <c r="T19" s="17">
        <f t="shared" si="11"/>
        <v>41</v>
      </c>
      <c r="U19" s="17">
        <f t="shared" si="11"/>
        <v>16</v>
      </c>
      <c r="V19" s="17">
        <f t="shared" si="11"/>
        <v>11</v>
      </c>
      <c r="W19" s="17">
        <f t="shared" si="11"/>
        <v>0</v>
      </c>
      <c r="X19" s="17">
        <f t="shared" si="11"/>
        <v>2</v>
      </c>
      <c r="Y19" s="17">
        <f t="shared" si="11"/>
        <v>12</v>
      </c>
      <c r="Z19" s="17">
        <f t="shared" si="11"/>
        <v>2</v>
      </c>
      <c r="AA19" s="17">
        <f t="shared" si="11"/>
        <v>1</v>
      </c>
      <c r="AB19" s="17">
        <f t="shared" si="11"/>
        <v>1</v>
      </c>
      <c r="AC19" s="17">
        <f t="shared" si="11"/>
        <v>120</v>
      </c>
      <c r="AD19" s="17">
        <f t="shared" si="11"/>
        <v>0</v>
      </c>
      <c r="AE19" s="31">
        <f t="shared" si="11"/>
        <v>226</v>
      </c>
      <c r="AF19" s="31">
        <f t="shared" si="11"/>
        <v>346</v>
      </c>
    </row>
    <row r="20" spans="2:32" ht="23.1" customHeight="1" x14ac:dyDescent="0.25">
      <c r="B20" s="23" t="s">
        <v>47</v>
      </c>
      <c r="C20" s="50">
        <v>27</v>
      </c>
      <c r="D20" s="50">
        <v>6</v>
      </c>
      <c r="E20" s="50">
        <v>2</v>
      </c>
      <c r="F20" s="50">
        <v>2</v>
      </c>
      <c r="G20" s="50">
        <v>0</v>
      </c>
      <c r="H20" s="50">
        <v>0</v>
      </c>
      <c r="I20" s="50">
        <v>6</v>
      </c>
      <c r="J20" s="50">
        <v>0</v>
      </c>
      <c r="K20" s="50">
        <v>0</v>
      </c>
      <c r="L20" s="50">
        <v>1</v>
      </c>
      <c r="M20" s="50">
        <v>36</v>
      </c>
      <c r="N20" s="50">
        <v>0</v>
      </c>
      <c r="O20" s="15">
        <f t="shared" si="0"/>
        <v>44</v>
      </c>
      <c r="P20" s="15">
        <f t="shared" si="1"/>
        <v>80</v>
      </c>
      <c r="R20" s="1" t="s">
        <v>16</v>
      </c>
      <c r="S20" s="17">
        <f t="shared" ref="S20:AF20" si="12">SUM(C50:C53)</f>
        <v>155</v>
      </c>
      <c r="T20" s="17">
        <f t="shared" si="12"/>
        <v>70</v>
      </c>
      <c r="U20" s="17">
        <f t="shared" si="12"/>
        <v>29</v>
      </c>
      <c r="V20" s="17">
        <f t="shared" si="12"/>
        <v>18</v>
      </c>
      <c r="W20" s="17">
        <f t="shared" si="12"/>
        <v>0</v>
      </c>
      <c r="X20" s="17">
        <f t="shared" si="12"/>
        <v>1</v>
      </c>
      <c r="Y20" s="17">
        <f t="shared" si="12"/>
        <v>29</v>
      </c>
      <c r="Z20" s="17">
        <f t="shared" si="12"/>
        <v>3</v>
      </c>
      <c r="AA20" s="17">
        <f t="shared" si="12"/>
        <v>2</v>
      </c>
      <c r="AB20" s="17">
        <f t="shared" si="12"/>
        <v>1</v>
      </c>
      <c r="AC20" s="17">
        <f t="shared" si="12"/>
        <v>148</v>
      </c>
      <c r="AD20" s="17">
        <f t="shared" si="12"/>
        <v>0</v>
      </c>
      <c r="AE20" s="31">
        <f t="shared" si="12"/>
        <v>308</v>
      </c>
      <c r="AF20" s="31">
        <f t="shared" si="12"/>
        <v>456</v>
      </c>
    </row>
    <row r="21" spans="2:32" ht="23.1" customHeight="1" x14ac:dyDescent="0.25">
      <c r="B21" s="23" t="s">
        <v>48</v>
      </c>
      <c r="C21" s="50">
        <v>19</v>
      </c>
      <c r="D21" s="50">
        <v>6</v>
      </c>
      <c r="E21" s="50">
        <v>3</v>
      </c>
      <c r="F21" s="50">
        <v>1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37</v>
      </c>
      <c r="N21" s="50">
        <v>0</v>
      </c>
      <c r="O21" s="15">
        <f t="shared" si="0"/>
        <v>34</v>
      </c>
      <c r="P21" s="15">
        <f t="shared" si="1"/>
        <v>71</v>
      </c>
      <c r="R21" s="36" t="s">
        <v>20</v>
      </c>
      <c r="S21" s="34">
        <f t="shared" ref="S21:AF21" si="13">SUM(C54:C57)</f>
        <v>167</v>
      </c>
      <c r="T21" s="17">
        <f t="shared" si="13"/>
        <v>68</v>
      </c>
      <c r="U21" s="17">
        <f t="shared" si="13"/>
        <v>26</v>
      </c>
      <c r="V21" s="17">
        <f t="shared" si="13"/>
        <v>14</v>
      </c>
      <c r="W21" s="17">
        <f t="shared" si="13"/>
        <v>5</v>
      </c>
      <c r="X21" s="17">
        <f t="shared" si="13"/>
        <v>1</v>
      </c>
      <c r="Y21" s="17">
        <f t="shared" si="13"/>
        <v>16</v>
      </c>
      <c r="Z21" s="17">
        <f t="shared" si="13"/>
        <v>3</v>
      </c>
      <c r="AA21" s="17">
        <f t="shared" si="13"/>
        <v>3</v>
      </c>
      <c r="AB21" s="17">
        <f t="shared" si="13"/>
        <v>0</v>
      </c>
      <c r="AC21" s="17">
        <f t="shared" si="13"/>
        <v>163</v>
      </c>
      <c r="AD21" s="17">
        <f t="shared" si="13"/>
        <v>0</v>
      </c>
      <c r="AE21" s="31">
        <f t="shared" si="13"/>
        <v>303</v>
      </c>
      <c r="AF21" s="31">
        <f t="shared" si="13"/>
        <v>466</v>
      </c>
    </row>
    <row r="22" spans="2:32" ht="23.1" customHeight="1" x14ac:dyDescent="0.25">
      <c r="B22" s="23" t="s">
        <v>49</v>
      </c>
      <c r="C22" s="50">
        <v>27</v>
      </c>
      <c r="D22" s="50">
        <v>7</v>
      </c>
      <c r="E22" s="50">
        <v>6</v>
      </c>
      <c r="F22" s="50">
        <v>4</v>
      </c>
      <c r="G22" s="50">
        <v>0</v>
      </c>
      <c r="H22" s="50">
        <v>3</v>
      </c>
      <c r="I22" s="50">
        <v>4</v>
      </c>
      <c r="J22" s="50">
        <v>0</v>
      </c>
      <c r="K22" s="50">
        <v>0</v>
      </c>
      <c r="L22" s="50">
        <v>0</v>
      </c>
      <c r="M22" s="50">
        <v>44</v>
      </c>
      <c r="N22" s="50">
        <v>0</v>
      </c>
      <c r="O22" s="15">
        <f t="shared" si="0"/>
        <v>51</v>
      </c>
      <c r="P22" s="15">
        <f t="shared" si="1"/>
        <v>95</v>
      </c>
      <c r="R22" s="38" t="s">
        <v>90</v>
      </c>
      <c r="S22" s="39">
        <f>MAX(S10:S12)</f>
        <v>131</v>
      </c>
      <c r="T22" s="39">
        <f t="shared" ref="T22:AF22" si="14">MAX(T10:T12)</f>
        <v>48</v>
      </c>
      <c r="U22" s="39">
        <f t="shared" si="14"/>
        <v>25</v>
      </c>
      <c r="V22" s="39">
        <f t="shared" si="14"/>
        <v>12</v>
      </c>
      <c r="W22" s="39">
        <f t="shared" si="14"/>
        <v>2</v>
      </c>
      <c r="X22" s="39">
        <f t="shared" si="14"/>
        <v>1</v>
      </c>
      <c r="Y22" s="39">
        <f t="shared" si="14"/>
        <v>26</v>
      </c>
      <c r="Z22" s="39">
        <f t="shared" si="14"/>
        <v>2</v>
      </c>
      <c r="AA22" s="39">
        <f t="shared" si="14"/>
        <v>0</v>
      </c>
      <c r="AB22" s="39">
        <f t="shared" si="14"/>
        <v>1</v>
      </c>
      <c r="AC22" s="39">
        <f t="shared" si="14"/>
        <v>159</v>
      </c>
      <c r="AD22" s="39">
        <f t="shared" si="14"/>
        <v>0</v>
      </c>
      <c r="AE22" s="40">
        <f t="shared" si="14"/>
        <v>216</v>
      </c>
      <c r="AF22" s="40">
        <f t="shared" si="14"/>
        <v>375</v>
      </c>
    </row>
    <row r="23" spans="2:32" ht="23.1" customHeight="1" x14ac:dyDescent="0.25">
      <c r="B23" s="23" t="s">
        <v>50</v>
      </c>
      <c r="C23" s="50">
        <v>25</v>
      </c>
      <c r="D23" s="50">
        <v>11</v>
      </c>
      <c r="E23" s="50">
        <v>2</v>
      </c>
      <c r="F23" s="50">
        <v>4</v>
      </c>
      <c r="G23" s="50">
        <v>0</v>
      </c>
      <c r="H23" s="50">
        <v>1</v>
      </c>
      <c r="I23" s="50">
        <v>4</v>
      </c>
      <c r="J23" s="50">
        <v>0</v>
      </c>
      <c r="K23" s="50">
        <v>0</v>
      </c>
      <c r="L23" s="50">
        <v>0</v>
      </c>
      <c r="M23" s="50">
        <v>34</v>
      </c>
      <c r="N23" s="50">
        <v>0</v>
      </c>
      <c r="O23" s="15">
        <f t="shared" si="0"/>
        <v>47</v>
      </c>
      <c r="P23" s="15">
        <f t="shared" si="1"/>
        <v>81</v>
      </c>
      <c r="R23" s="38" t="s">
        <v>91</v>
      </c>
      <c r="S23" s="39">
        <f>MAX(S13:S18)</f>
        <v>141</v>
      </c>
      <c r="T23" s="39">
        <f t="shared" ref="T23:AF23" si="15">MAX(T13:T18)</f>
        <v>431</v>
      </c>
      <c r="U23" s="39">
        <f t="shared" si="15"/>
        <v>27</v>
      </c>
      <c r="V23" s="39">
        <f t="shared" si="15"/>
        <v>19</v>
      </c>
      <c r="W23" s="39">
        <f t="shared" si="15"/>
        <v>4</v>
      </c>
      <c r="X23" s="39">
        <f t="shared" si="15"/>
        <v>4</v>
      </c>
      <c r="Y23" s="39">
        <f t="shared" si="15"/>
        <v>22</v>
      </c>
      <c r="Z23" s="39">
        <f t="shared" si="15"/>
        <v>7</v>
      </c>
      <c r="AA23" s="39">
        <f t="shared" si="15"/>
        <v>1</v>
      </c>
      <c r="AB23" s="39">
        <f t="shared" si="15"/>
        <v>2</v>
      </c>
      <c r="AC23" s="39">
        <f t="shared" si="15"/>
        <v>154</v>
      </c>
      <c r="AD23" s="39">
        <f t="shared" si="15"/>
        <v>0</v>
      </c>
      <c r="AE23" s="40">
        <f t="shared" si="15"/>
        <v>633</v>
      </c>
      <c r="AF23" s="40">
        <f t="shared" si="15"/>
        <v>753</v>
      </c>
    </row>
    <row r="24" spans="2:32" ht="23.1" customHeight="1" x14ac:dyDescent="0.25">
      <c r="B24" s="23" t="s">
        <v>51</v>
      </c>
      <c r="C24" s="50">
        <v>25</v>
      </c>
      <c r="D24" s="50">
        <v>7</v>
      </c>
      <c r="E24" s="50">
        <v>6</v>
      </c>
      <c r="F24" s="50">
        <v>1</v>
      </c>
      <c r="G24" s="50">
        <v>0</v>
      </c>
      <c r="H24" s="50">
        <v>0</v>
      </c>
      <c r="I24" s="50">
        <v>8</v>
      </c>
      <c r="J24" s="50">
        <v>0</v>
      </c>
      <c r="K24" s="50">
        <v>0</v>
      </c>
      <c r="L24" s="50">
        <v>0</v>
      </c>
      <c r="M24" s="50">
        <v>44</v>
      </c>
      <c r="N24" s="50">
        <v>0</v>
      </c>
      <c r="O24" s="15">
        <f t="shared" si="0"/>
        <v>47</v>
      </c>
      <c r="P24" s="15">
        <f t="shared" si="1"/>
        <v>91</v>
      </c>
      <c r="R24" s="38" t="s">
        <v>92</v>
      </c>
      <c r="S24" s="39">
        <f>MAX(S19:S21)</f>
        <v>167</v>
      </c>
      <c r="T24" s="39">
        <f t="shared" ref="T24:AF24" si="16">MAX(T19:T21)</f>
        <v>70</v>
      </c>
      <c r="U24" s="39">
        <f t="shared" si="16"/>
        <v>29</v>
      </c>
      <c r="V24" s="39">
        <f t="shared" si="16"/>
        <v>18</v>
      </c>
      <c r="W24" s="39">
        <f t="shared" si="16"/>
        <v>5</v>
      </c>
      <c r="X24" s="39">
        <f t="shared" si="16"/>
        <v>2</v>
      </c>
      <c r="Y24" s="39">
        <f t="shared" si="16"/>
        <v>29</v>
      </c>
      <c r="Z24" s="39">
        <f t="shared" si="16"/>
        <v>3</v>
      </c>
      <c r="AA24" s="39">
        <f t="shared" si="16"/>
        <v>3</v>
      </c>
      <c r="AB24" s="39">
        <f t="shared" si="16"/>
        <v>1</v>
      </c>
      <c r="AC24" s="39">
        <f t="shared" si="16"/>
        <v>163</v>
      </c>
      <c r="AD24" s="39">
        <f t="shared" si="16"/>
        <v>0</v>
      </c>
      <c r="AE24" s="40">
        <f t="shared" si="16"/>
        <v>308</v>
      </c>
      <c r="AF24" s="40">
        <f t="shared" si="16"/>
        <v>466</v>
      </c>
    </row>
    <row r="25" spans="2:32" ht="23.1" customHeight="1" x14ac:dyDescent="0.25">
      <c r="B25" s="23" t="s">
        <v>52</v>
      </c>
      <c r="C25" s="50">
        <v>18</v>
      </c>
      <c r="D25" s="50">
        <v>7</v>
      </c>
      <c r="E25" s="50">
        <v>2</v>
      </c>
      <c r="F25" s="50">
        <v>0</v>
      </c>
      <c r="G25" s="50">
        <v>0</v>
      </c>
      <c r="H25" s="50">
        <v>0</v>
      </c>
      <c r="I25" s="50">
        <v>3</v>
      </c>
      <c r="J25" s="50">
        <v>2</v>
      </c>
      <c r="K25" s="50">
        <v>0</v>
      </c>
      <c r="L25" s="50">
        <v>0</v>
      </c>
      <c r="M25" s="50">
        <v>32</v>
      </c>
      <c r="N25" s="50">
        <v>0</v>
      </c>
      <c r="O25" s="15">
        <f t="shared" si="0"/>
        <v>32</v>
      </c>
      <c r="P25" s="15">
        <f t="shared" si="1"/>
        <v>64</v>
      </c>
      <c r="R25" s="37" t="s">
        <v>85</v>
      </c>
      <c r="S25" s="35">
        <f t="shared" ref="S25:AF25" si="17">SUM(S10:S12)</f>
        <v>342</v>
      </c>
      <c r="T25" s="16">
        <f t="shared" si="17"/>
        <v>112</v>
      </c>
      <c r="U25" s="16">
        <f t="shared" si="17"/>
        <v>52</v>
      </c>
      <c r="V25" s="16">
        <f t="shared" si="17"/>
        <v>22</v>
      </c>
      <c r="W25" s="16">
        <f t="shared" si="17"/>
        <v>5</v>
      </c>
      <c r="X25" s="16">
        <f t="shared" si="17"/>
        <v>2</v>
      </c>
      <c r="Y25" s="16">
        <f t="shared" si="17"/>
        <v>47</v>
      </c>
      <c r="Z25" s="16">
        <f t="shared" si="17"/>
        <v>2</v>
      </c>
      <c r="AA25" s="16">
        <f t="shared" si="17"/>
        <v>0</v>
      </c>
      <c r="AB25" s="16">
        <f t="shared" si="17"/>
        <v>1</v>
      </c>
      <c r="AC25" s="16">
        <f t="shared" si="17"/>
        <v>459</v>
      </c>
      <c r="AD25" s="16">
        <f t="shared" si="17"/>
        <v>0</v>
      </c>
      <c r="AE25" s="32">
        <f t="shared" si="17"/>
        <v>585</v>
      </c>
      <c r="AF25" s="32">
        <f t="shared" si="17"/>
        <v>1044</v>
      </c>
    </row>
    <row r="26" spans="2:32" ht="23.1" customHeight="1" x14ac:dyDescent="0.25">
      <c r="B26" s="23" t="s">
        <v>53</v>
      </c>
      <c r="C26" s="50">
        <v>26</v>
      </c>
      <c r="D26" s="50">
        <v>5</v>
      </c>
      <c r="E26" s="50">
        <v>7</v>
      </c>
      <c r="F26" s="50">
        <v>2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45</v>
      </c>
      <c r="N26" s="50">
        <v>0</v>
      </c>
      <c r="O26" s="15">
        <f t="shared" si="0"/>
        <v>44</v>
      </c>
      <c r="P26" s="15">
        <f t="shared" si="1"/>
        <v>89</v>
      </c>
      <c r="R26" s="28" t="s">
        <v>86</v>
      </c>
      <c r="S26" s="16">
        <f t="shared" ref="S26:AF26" si="18">SUM(S13:S18)</f>
        <v>706</v>
      </c>
      <c r="T26" s="16">
        <f t="shared" si="18"/>
        <v>590</v>
      </c>
      <c r="U26" s="16">
        <f t="shared" si="18"/>
        <v>111</v>
      </c>
      <c r="V26" s="16">
        <f t="shared" si="18"/>
        <v>63</v>
      </c>
      <c r="W26" s="16">
        <f t="shared" si="18"/>
        <v>6</v>
      </c>
      <c r="X26" s="16">
        <f t="shared" si="18"/>
        <v>5</v>
      </c>
      <c r="Y26" s="16">
        <f t="shared" si="18"/>
        <v>107</v>
      </c>
      <c r="Z26" s="16">
        <f t="shared" si="18"/>
        <v>15</v>
      </c>
      <c r="AA26" s="16">
        <f t="shared" si="18"/>
        <v>3</v>
      </c>
      <c r="AB26" s="16">
        <f t="shared" si="18"/>
        <v>4</v>
      </c>
      <c r="AC26" s="16">
        <f t="shared" si="18"/>
        <v>759</v>
      </c>
      <c r="AD26" s="16">
        <f t="shared" si="18"/>
        <v>0</v>
      </c>
      <c r="AE26" s="32">
        <f t="shared" si="18"/>
        <v>1610</v>
      </c>
      <c r="AF26" s="32">
        <f t="shared" si="18"/>
        <v>2369</v>
      </c>
    </row>
    <row r="27" spans="2:32" ht="23.1" customHeight="1" x14ac:dyDescent="0.25">
      <c r="B27" s="23" t="s">
        <v>54</v>
      </c>
      <c r="C27" s="50">
        <v>28</v>
      </c>
      <c r="D27" s="50">
        <v>7</v>
      </c>
      <c r="E27" s="50">
        <v>5</v>
      </c>
      <c r="F27" s="50">
        <v>1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25</v>
      </c>
      <c r="N27" s="50">
        <v>0</v>
      </c>
      <c r="O27" s="15">
        <f t="shared" si="0"/>
        <v>46</v>
      </c>
      <c r="P27" s="15">
        <f t="shared" si="1"/>
        <v>71</v>
      </c>
      <c r="R27" s="29" t="s">
        <v>87</v>
      </c>
      <c r="S27" s="16">
        <f t="shared" ref="S27:AF27" si="19">SUM(S19:S21)</f>
        <v>462</v>
      </c>
      <c r="T27" s="16">
        <f t="shared" si="19"/>
        <v>179</v>
      </c>
      <c r="U27" s="16">
        <f t="shared" si="19"/>
        <v>71</v>
      </c>
      <c r="V27" s="16">
        <f t="shared" si="19"/>
        <v>43</v>
      </c>
      <c r="W27" s="16">
        <f t="shared" si="19"/>
        <v>5</v>
      </c>
      <c r="X27" s="16">
        <f t="shared" si="19"/>
        <v>4</v>
      </c>
      <c r="Y27" s="16">
        <f t="shared" si="19"/>
        <v>57</v>
      </c>
      <c r="Z27" s="16">
        <f t="shared" si="19"/>
        <v>8</v>
      </c>
      <c r="AA27" s="16">
        <f t="shared" si="19"/>
        <v>6</v>
      </c>
      <c r="AB27" s="16">
        <f t="shared" si="19"/>
        <v>2</v>
      </c>
      <c r="AC27" s="16">
        <f t="shared" si="19"/>
        <v>431</v>
      </c>
      <c r="AD27" s="16">
        <f t="shared" si="19"/>
        <v>0</v>
      </c>
      <c r="AE27" s="32">
        <f t="shared" si="19"/>
        <v>837</v>
      </c>
      <c r="AF27" s="32">
        <f t="shared" si="19"/>
        <v>1268</v>
      </c>
    </row>
    <row r="28" spans="2:32" ht="23.1" customHeight="1" x14ac:dyDescent="0.25">
      <c r="B28" s="23" t="s">
        <v>55</v>
      </c>
      <c r="C28" s="50">
        <v>20</v>
      </c>
      <c r="D28" s="50">
        <v>5</v>
      </c>
      <c r="E28" s="50">
        <v>4</v>
      </c>
      <c r="F28" s="50">
        <v>3</v>
      </c>
      <c r="G28" s="50">
        <v>1</v>
      </c>
      <c r="H28" s="50">
        <v>0</v>
      </c>
      <c r="I28" s="50">
        <v>6</v>
      </c>
      <c r="J28" s="50">
        <v>0</v>
      </c>
      <c r="K28" s="50">
        <v>0</v>
      </c>
      <c r="L28" s="50">
        <v>0</v>
      </c>
      <c r="M28" s="50">
        <v>45</v>
      </c>
      <c r="N28" s="50">
        <v>0</v>
      </c>
      <c r="O28" s="15">
        <f t="shared" si="0"/>
        <v>39</v>
      </c>
      <c r="P28" s="15">
        <f t="shared" si="1"/>
        <v>84</v>
      </c>
      <c r="R28" s="5" t="s">
        <v>17</v>
      </c>
      <c r="S28" s="16">
        <f t="shared" ref="S28:AF28" si="20">SUM(S10:S21)</f>
        <v>1510</v>
      </c>
      <c r="T28" s="16">
        <f t="shared" si="20"/>
        <v>881</v>
      </c>
      <c r="U28" s="16">
        <f t="shared" si="20"/>
        <v>234</v>
      </c>
      <c r="V28" s="16">
        <f t="shared" si="20"/>
        <v>128</v>
      </c>
      <c r="W28" s="16">
        <f t="shared" si="20"/>
        <v>16</v>
      </c>
      <c r="X28" s="16">
        <f t="shared" si="20"/>
        <v>11</v>
      </c>
      <c r="Y28" s="16">
        <f t="shared" si="20"/>
        <v>211</v>
      </c>
      <c r="Z28" s="16">
        <f t="shared" si="20"/>
        <v>25</v>
      </c>
      <c r="AA28" s="16">
        <f t="shared" si="20"/>
        <v>9</v>
      </c>
      <c r="AB28" s="16">
        <f t="shared" si="20"/>
        <v>7</v>
      </c>
      <c r="AC28" s="16">
        <f t="shared" si="20"/>
        <v>1649</v>
      </c>
      <c r="AD28" s="16">
        <f t="shared" si="20"/>
        <v>0</v>
      </c>
      <c r="AE28" s="32">
        <f t="shared" si="20"/>
        <v>3032</v>
      </c>
      <c r="AF28" s="32">
        <f t="shared" si="20"/>
        <v>4681</v>
      </c>
    </row>
    <row r="29" spans="2:32" ht="23.1" customHeight="1" x14ac:dyDescent="0.25">
      <c r="B29" s="23" t="s">
        <v>56</v>
      </c>
      <c r="C29" s="50">
        <v>33</v>
      </c>
      <c r="D29" s="50">
        <v>7</v>
      </c>
      <c r="E29" s="50">
        <v>1</v>
      </c>
      <c r="F29" s="50">
        <v>3</v>
      </c>
      <c r="G29" s="50">
        <v>0</v>
      </c>
      <c r="H29" s="50">
        <v>0</v>
      </c>
      <c r="I29" s="50">
        <v>5</v>
      </c>
      <c r="J29" s="50">
        <v>1</v>
      </c>
      <c r="K29" s="50">
        <v>1</v>
      </c>
      <c r="L29" s="50">
        <v>0</v>
      </c>
      <c r="M29" s="50">
        <v>33</v>
      </c>
      <c r="N29" s="50">
        <v>0</v>
      </c>
      <c r="O29" s="15">
        <f t="shared" si="0"/>
        <v>51</v>
      </c>
      <c r="P29" s="15">
        <f t="shared" si="1"/>
        <v>84</v>
      </c>
      <c r="R29"/>
      <c r="S29" s="20"/>
      <c r="T29" s="19"/>
    </row>
    <row r="30" spans="2:32" ht="23.1" customHeight="1" x14ac:dyDescent="0.25">
      <c r="B30" s="23" t="s">
        <v>57</v>
      </c>
      <c r="C30" s="50">
        <v>32</v>
      </c>
      <c r="D30" s="50">
        <v>10</v>
      </c>
      <c r="E30" s="50">
        <v>8</v>
      </c>
      <c r="F30" s="50">
        <v>6</v>
      </c>
      <c r="G30" s="50">
        <v>1</v>
      </c>
      <c r="H30" s="50">
        <v>0</v>
      </c>
      <c r="I30" s="50">
        <v>3</v>
      </c>
      <c r="J30" s="50">
        <v>1</v>
      </c>
      <c r="K30" s="50">
        <v>0</v>
      </c>
      <c r="L30" s="50">
        <v>2</v>
      </c>
      <c r="M30" s="50">
        <v>42</v>
      </c>
      <c r="N30" s="50">
        <v>0</v>
      </c>
      <c r="O30" s="15">
        <f t="shared" si="0"/>
        <v>63</v>
      </c>
      <c r="P30" s="15">
        <f t="shared" si="1"/>
        <v>105</v>
      </c>
    </row>
    <row r="31" spans="2:32" ht="23.1" customHeight="1" x14ac:dyDescent="0.25">
      <c r="B31" s="24" t="s">
        <v>58</v>
      </c>
      <c r="C31" s="50">
        <v>22</v>
      </c>
      <c r="D31" s="50">
        <v>8</v>
      </c>
      <c r="E31" s="50">
        <v>5</v>
      </c>
      <c r="F31" s="50">
        <v>4</v>
      </c>
      <c r="G31" s="50">
        <v>0</v>
      </c>
      <c r="H31" s="50">
        <v>0</v>
      </c>
      <c r="I31" s="50">
        <v>1</v>
      </c>
      <c r="J31" s="50">
        <v>1</v>
      </c>
      <c r="K31" s="50">
        <v>1</v>
      </c>
      <c r="L31" s="50">
        <v>0</v>
      </c>
      <c r="M31" s="50">
        <v>32</v>
      </c>
      <c r="N31" s="50">
        <v>0</v>
      </c>
      <c r="O31" s="15">
        <f t="shared" si="0"/>
        <v>42</v>
      </c>
      <c r="P31" s="15">
        <f t="shared" si="1"/>
        <v>74</v>
      </c>
    </row>
    <row r="32" spans="2:32" ht="23.1" customHeight="1" x14ac:dyDescent="0.25">
      <c r="B32" s="24" t="s">
        <v>59</v>
      </c>
      <c r="C32" s="50">
        <v>47</v>
      </c>
      <c r="D32" s="50">
        <v>10</v>
      </c>
      <c r="E32" s="50">
        <v>2</v>
      </c>
      <c r="F32" s="50">
        <v>2</v>
      </c>
      <c r="G32" s="50">
        <v>0</v>
      </c>
      <c r="H32" s="50">
        <v>0</v>
      </c>
      <c r="I32" s="50">
        <v>7</v>
      </c>
      <c r="J32" s="50">
        <v>3</v>
      </c>
      <c r="K32" s="50">
        <v>0</v>
      </c>
      <c r="L32" s="50">
        <v>0</v>
      </c>
      <c r="M32" s="50">
        <v>39</v>
      </c>
      <c r="N32" s="50">
        <v>0</v>
      </c>
      <c r="O32" s="15">
        <f t="shared" si="0"/>
        <v>71</v>
      </c>
      <c r="P32" s="15">
        <f t="shared" si="1"/>
        <v>110</v>
      </c>
    </row>
    <row r="33" spans="2:20" ht="23.1" customHeight="1" x14ac:dyDescent="0.25">
      <c r="B33" s="23" t="s">
        <v>60</v>
      </c>
      <c r="C33" s="50">
        <v>25</v>
      </c>
      <c r="D33" s="50">
        <v>8</v>
      </c>
      <c r="E33" s="50">
        <v>3</v>
      </c>
      <c r="F33" s="50">
        <v>1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0</v>
      </c>
      <c r="M33" s="50">
        <v>25</v>
      </c>
      <c r="N33" s="50">
        <v>0</v>
      </c>
      <c r="O33" s="15">
        <f t="shared" si="0"/>
        <v>41</v>
      </c>
      <c r="P33" s="15">
        <f t="shared" si="1"/>
        <v>66</v>
      </c>
    </row>
    <row r="34" spans="2:20" ht="23.1" customHeight="1" x14ac:dyDescent="0.25">
      <c r="B34" s="24" t="s">
        <v>61</v>
      </c>
      <c r="C34" s="50">
        <v>40</v>
      </c>
      <c r="D34" s="50">
        <v>12</v>
      </c>
      <c r="E34" s="50">
        <v>10</v>
      </c>
      <c r="F34" s="50">
        <v>1</v>
      </c>
      <c r="G34" s="50">
        <v>1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67</v>
      </c>
      <c r="P34" s="15">
        <f t="shared" si="1"/>
        <v>92</v>
      </c>
    </row>
    <row r="35" spans="2:20" ht="23.1" customHeight="1" x14ac:dyDescent="0.25">
      <c r="B35" s="24" t="s">
        <v>62</v>
      </c>
      <c r="C35" s="50">
        <v>33</v>
      </c>
      <c r="D35" s="50">
        <v>6</v>
      </c>
      <c r="E35" s="50">
        <v>8</v>
      </c>
      <c r="F35" s="50">
        <v>2</v>
      </c>
      <c r="G35" s="50">
        <v>2</v>
      </c>
      <c r="H35" s="50">
        <v>0</v>
      </c>
      <c r="I35" s="50">
        <v>3</v>
      </c>
      <c r="J35" s="50">
        <v>2</v>
      </c>
      <c r="K35" s="50">
        <v>0</v>
      </c>
      <c r="L35" s="50">
        <v>0</v>
      </c>
      <c r="M35" s="50">
        <v>22</v>
      </c>
      <c r="N35" s="50">
        <v>0</v>
      </c>
      <c r="O35" s="15">
        <f t="shared" si="0"/>
        <v>56</v>
      </c>
      <c r="P35" s="15">
        <f t="shared" si="1"/>
        <v>78</v>
      </c>
    </row>
    <row r="36" spans="2:20" ht="23.1" customHeight="1" x14ac:dyDescent="0.25">
      <c r="B36" s="24" t="s">
        <v>63</v>
      </c>
      <c r="C36" s="50">
        <v>31</v>
      </c>
      <c r="D36" s="50">
        <v>5</v>
      </c>
      <c r="E36" s="50">
        <v>3</v>
      </c>
      <c r="F36" s="50">
        <v>1</v>
      </c>
      <c r="G36" s="50">
        <v>1</v>
      </c>
      <c r="H36" s="50">
        <v>0</v>
      </c>
      <c r="I36" s="50">
        <v>11</v>
      </c>
      <c r="J36" s="50">
        <v>0</v>
      </c>
      <c r="K36" s="50">
        <v>0</v>
      </c>
      <c r="L36" s="50">
        <v>0</v>
      </c>
      <c r="M36" s="50">
        <v>36</v>
      </c>
      <c r="N36" s="50">
        <v>0</v>
      </c>
      <c r="O36" s="15">
        <f t="shared" si="0"/>
        <v>52</v>
      </c>
      <c r="P36" s="15">
        <f t="shared" si="1"/>
        <v>88</v>
      </c>
    </row>
    <row r="37" spans="2:20" ht="23.1" customHeight="1" x14ac:dyDescent="0.25">
      <c r="B37" s="23" t="s">
        <v>64</v>
      </c>
      <c r="C37" s="50">
        <v>32</v>
      </c>
      <c r="D37" s="50">
        <v>11</v>
      </c>
      <c r="E37" s="50">
        <v>6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51</v>
      </c>
      <c r="P37" s="15">
        <f t="shared" si="1"/>
        <v>70</v>
      </c>
    </row>
    <row r="38" spans="2:20" ht="23.1" customHeight="1" x14ac:dyDescent="0.25">
      <c r="B38" s="24" t="s">
        <v>65</v>
      </c>
      <c r="C38" s="50">
        <v>34</v>
      </c>
      <c r="D38" s="50">
        <v>8</v>
      </c>
      <c r="E38" s="50">
        <v>2</v>
      </c>
      <c r="F38" s="50">
        <v>5</v>
      </c>
      <c r="G38" s="50">
        <v>0</v>
      </c>
      <c r="H38" s="50">
        <v>1</v>
      </c>
      <c r="I38" s="50">
        <v>2</v>
      </c>
      <c r="J38" s="50">
        <v>1</v>
      </c>
      <c r="K38" s="50">
        <v>0</v>
      </c>
      <c r="L38" s="50">
        <v>0</v>
      </c>
      <c r="M38" s="50">
        <v>40</v>
      </c>
      <c r="N38" s="50">
        <v>0</v>
      </c>
      <c r="O38" s="15">
        <f t="shared" si="0"/>
        <v>53</v>
      </c>
      <c r="P38" s="15">
        <f t="shared" si="1"/>
        <v>93</v>
      </c>
    </row>
    <row r="39" spans="2:20" ht="23.1" customHeight="1" x14ac:dyDescent="0.25">
      <c r="B39" s="24" t="s">
        <v>66</v>
      </c>
      <c r="C39" s="50">
        <v>38</v>
      </c>
      <c r="D39" s="50">
        <v>6</v>
      </c>
      <c r="E39" s="50">
        <v>2</v>
      </c>
      <c r="F39" s="50">
        <v>8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0</v>
      </c>
      <c r="M39" s="50">
        <v>35</v>
      </c>
      <c r="N39" s="50">
        <v>0</v>
      </c>
      <c r="O39" s="15">
        <f t="shared" si="0"/>
        <v>59</v>
      </c>
      <c r="P39" s="15">
        <f t="shared" si="1"/>
        <v>94</v>
      </c>
    </row>
    <row r="40" spans="2:20" ht="23.1" customHeight="1" x14ac:dyDescent="0.25">
      <c r="B40" s="24" t="s">
        <v>67</v>
      </c>
      <c r="C40" s="50">
        <v>37</v>
      </c>
      <c r="D40" s="50">
        <v>410</v>
      </c>
      <c r="E40" s="50">
        <v>4</v>
      </c>
      <c r="F40" s="50">
        <v>2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20</v>
      </c>
      <c r="N40" s="50">
        <v>0</v>
      </c>
      <c r="O40" s="15">
        <f t="shared" si="0"/>
        <v>458</v>
      </c>
      <c r="P40" s="15">
        <f t="shared" si="1"/>
        <v>478</v>
      </c>
    </row>
    <row r="41" spans="2:20" ht="23.1" customHeight="1" x14ac:dyDescent="0.25">
      <c r="B41" s="23" t="s">
        <v>68</v>
      </c>
      <c r="C41" s="50">
        <v>32</v>
      </c>
      <c r="D41" s="50">
        <v>7</v>
      </c>
      <c r="E41" s="50">
        <v>8</v>
      </c>
      <c r="F41" s="50">
        <v>4</v>
      </c>
      <c r="G41" s="50">
        <v>0</v>
      </c>
      <c r="H41" s="50">
        <v>0</v>
      </c>
      <c r="I41" s="50">
        <v>10</v>
      </c>
      <c r="J41" s="50">
        <v>0</v>
      </c>
      <c r="K41" s="50">
        <v>1</v>
      </c>
      <c r="L41" s="50">
        <v>1</v>
      </c>
      <c r="M41" s="50">
        <v>25</v>
      </c>
      <c r="N41" s="50">
        <v>0</v>
      </c>
      <c r="O41" s="15">
        <f t="shared" si="0"/>
        <v>63</v>
      </c>
      <c r="P41" s="15">
        <f t="shared" si="1"/>
        <v>88</v>
      </c>
    </row>
    <row r="42" spans="2:20" ht="23.1" customHeight="1" x14ac:dyDescent="0.25">
      <c r="B42" s="24" t="s">
        <v>69</v>
      </c>
      <c r="C42" s="50">
        <v>22</v>
      </c>
      <c r="D42" s="50">
        <v>6</v>
      </c>
      <c r="E42" s="50">
        <v>3</v>
      </c>
      <c r="F42" s="50">
        <v>4</v>
      </c>
      <c r="G42" s="50">
        <v>0</v>
      </c>
      <c r="H42" s="50">
        <v>0</v>
      </c>
      <c r="I42" s="50">
        <v>6</v>
      </c>
      <c r="J42" s="50">
        <v>1</v>
      </c>
      <c r="K42" s="50">
        <v>0</v>
      </c>
      <c r="L42" s="50">
        <v>0</v>
      </c>
      <c r="M42" s="50">
        <v>28</v>
      </c>
      <c r="N42" s="50">
        <v>0</v>
      </c>
      <c r="O42" s="15">
        <f t="shared" si="0"/>
        <v>42</v>
      </c>
      <c r="P42" s="15">
        <f t="shared" si="1"/>
        <v>70</v>
      </c>
    </row>
    <row r="43" spans="2:20" ht="23.1" customHeight="1" x14ac:dyDescent="0.25">
      <c r="B43" s="23" t="s">
        <v>70</v>
      </c>
      <c r="C43" s="50">
        <v>27</v>
      </c>
      <c r="D43" s="50">
        <v>8</v>
      </c>
      <c r="E43" s="50">
        <v>4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1</v>
      </c>
      <c r="M43" s="50">
        <v>36</v>
      </c>
      <c r="N43" s="50">
        <v>0</v>
      </c>
      <c r="O43" s="15">
        <f t="shared" si="0"/>
        <v>41</v>
      </c>
      <c r="P43" s="15">
        <f t="shared" si="1"/>
        <v>77</v>
      </c>
    </row>
    <row r="44" spans="2:20" ht="23.1" customHeight="1" x14ac:dyDescent="0.25">
      <c r="B44" s="25" t="s">
        <v>71</v>
      </c>
      <c r="C44" s="50">
        <v>35</v>
      </c>
      <c r="D44" s="50">
        <v>13</v>
      </c>
      <c r="E44" s="50">
        <v>3</v>
      </c>
      <c r="F44" s="50">
        <v>2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57</v>
      </c>
      <c r="P44" s="15">
        <f t="shared" si="1"/>
        <v>72</v>
      </c>
    </row>
    <row r="45" spans="2:20" ht="23.1" customHeight="1" x14ac:dyDescent="0.25">
      <c r="B45" s="23" t="s">
        <v>72</v>
      </c>
      <c r="C45" s="50">
        <v>17</v>
      </c>
      <c r="D45" s="50">
        <v>6</v>
      </c>
      <c r="E45" s="50">
        <v>7</v>
      </c>
      <c r="F45" s="50">
        <v>2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18</v>
      </c>
      <c r="N45" s="50">
        <v>0</v>
      </c>
      <c r="O45" s="15">
        <f t="shared" si="0"/>
        <v>37</v>
      </c>
      <c r="P45" s="15">
        <f t="shared" si="1"/>
        <v>55</v>
      </c>
    </row>
    <row r="46" spans="2:20" ht="23.1" customHeight="1" x14ac:dyDescent="0.25">
      <c r="B46" s="24" t="s">
        <v>73</v>
      </c>
      <c r="C46" s="50">
        <v>28</v>
      </c>
      <c r="D46" s="50">
        <v>9</v>
      </c>
      <c r="E46" s="50">
        <v>5</v>
      </c>
      <c r="F46" s="50">
        <v>2</v>
      </c>
      <c r="G46" s="50">
        <v>0</v>
      </c>
      <c r="H46" s="50">
        <v>1</v>
      </c>
      <c r="I46" s="50">
        <v>3</v>
      </c>
      <c r="J46" s="50">
        <v>0</v>
      </c>
      <c r="K46" s="50">
        <v>0</v>
      </c>
      <c r="L46" s="50">
        <v>0</v>
      </c>
      <c r="M46" s="50">
        <v>36</v>
      </c>
      <c r="N46" s="50">
        <v>0</v>
      </c>
      <c r="O46" s="15">
        <f t="shared" si="0"/>
        <v>48</v>
      </c>
      <c r="P46" s="15">
        <f t="shared" si="1"/>
        <v>84</v>
      </c>
      <c r="R46" s="8"/>
      <c r="T46"/>
    </row>
    <row r="47" spans="2:20" ht="23.1" customHeight="1" x14ac:dyDescent="0.25">
      <c r="B47" s="24" t="s">
        <v>74</v>
      </c>
      <c r="C47" s="50">
        <v>33</v>
      </c>
      <c r="D47" s="50">
        <v>5</v>
      </c>
      <c r="E47" s="50">
        <v>4</v>
      </c>
      <c r="F47" s="50">
        <v>2</v>
      </c>
      <c r="G47" s="50">
        <v>0</v>
      </c>
      <c r="H47" s="50">
        <v>0</v>
      </c>
      <c r="I47" s="50">
        <v>3</v>
      </c>
      <c r="J47" s="50">
        <v>0</v>
      </c>
      <c r="K47" s="50">
        <v>1</v>
      </c>
      <c r="L47" s="50">
        <v>0</v>
      </c>
      <c r="M47" s="50">
        <v>36</v>
      </c>
      <c r="N47" s="50">
        <v>0</v>
      </c>
      <c r="O47" s="15">
        <f t="shared" si="0"/>
        <v>48</v>
      </c>
      <c r="P47" s="15">
        <f t="shared" si="1"/>
        <v>84</v>
      </c>
      <c r="R47" s="8"/>
      <c r="T47"/>
    </row>
    <row r="48" spans="2:20" ht="23.1" customHeight="1" x14ac:dyDescent="0.25">
      <c r="B48" s="24" t="s">
        <v>75</v>
      </c>
      <c r="C48" s="50">
        <v>38</v>
      </c>
      <c r="D48" s="50">
        <v>12</v>
      </c>
      <c r="E48" s="50">
        <v>4</v>
      </c>
      <c r="F48" s="50">
        <v>1</v>
      </c>
      <c r="G48" s="50">
        <v>0</v>
      </c>
      <c r="H48" s="50">
        <v>1</v>
      </c>
      <c r="I48" s="50">
        <v>1</v>
      </c>
      <c r="J48" s="50">
        <v>0</v>
      </c>
      <c r="K48" s="50">
        <v>0</v>
      </c>
      <c r="L48" s="50">
        <v>0</v>
      </c>
      <c r="M48" s="50">
        <v>29</v>
      </c>
      <c r="N48" s="50">
        <v>0</v>
      </c>
      <c r="O48" s="15">
        <f t="shared" si="0"/>
        <v>57</v>
      </c>
      <c r="P48" s="15">
        <f t="shared" si="1"/>
        <v>86</v>
      </c>
      <c r="R48" s="8"/>
      <c r="T48"/>
    </row>
    <row r="49" spans="2:20" ht="23.1" customHeight="1" x14ac:dyDescent="0.25">
      <c r="B49" s="23" t="s">
        <v>76</v>
      </c>
      <c r="C49" s="50">
        <v>41</v>
      </c>
      <c r="D49" s="50">
        <v>15</v>
      </c>
      <c r="E49" s="50">
        <v>3</v>
      </c>
      <c r="F49" s="50">
        <v>6</v>
      </c>
      <c r="G49" s="50">
        <v>0</v>
      </c>
      <c r="H49" s="50">
        <v>0</v>
      </c>
      <c r="I49" s="50">
        <v>5</v>
      </c>
      <c r="J49" s="50">
        <v>2</v>
      </c>
      <c r="K49" s="50">
        <v>0</v>
      </c>
      <c r="L49" s="50">
        <v>1</v>
      </c>
      <c r="M49" s="50">
        <v>19</v>
      </c>
      <c r="N49" s="50">
        <v>0</v>
      </c>
      <c r="O49" s="15">
        <f t="shared" si="0"/>
        <v>73</v>
      </c>
      <c r="P49" s="15">
        <f t="shared" si="1"/>
        <v>92</v>
      </c>
      <c r="R49" s="8"/>
      <c r="T49"/>
    </row>
    <row r="50" spans="2:20" ht="23.1" customHeight="1" x14ac:dyDescent="0.25">
      <c r="B50" s="24" t="s">
        <v>77</v>
      </c>
      <c r="C50" s="50">
        <v>33</v>
      </c>
      <c r="D50" s="50">
        <v>17</v>
      </c>
      <c r="E50" s="50">
        <v>4</v>
      </c>
      <c r="F50" s="50">
        <v>3</v>
      </c>
      <c r="G50" s="50">
        <v>0</v>
      </c>
      <c r="H50" s="50">
        <v>1</v>
      </c>
      <c r="I50" s="50">
        <v>3</v>
      </c>
      <c r="J50" s="50">
        <v>2</v>
      </c>
      <c r="K50" s="50">
        <v>0</v>
      </c>
      <c r="L50" s="50">
        <v>0</v>
      </c>
      <c r="M50" s="50">
        <v>37</v>
      </c>
      <c r="N50" s="50">
        <v>0</v>
      </c>
      <c r="O50" s="15">
        <f t="shared" si="0"/>
        <v>63</v>
      </c>
      <c r="P50" s="15">
        <f t="shared" si="1"/>
        <v>100</v>
      </c>
      <c r="R50" s="8"/>
      <c r="T50"/>
    </row>
    <row r="51" spans="2:20" ht="23.1" customHeight="1" x14ac:dyDescent="0.25">
      <c r="B51" s="24" t="s">
        <v>78</v>
      </c>
      <c r="C51" s="50">
        <v>34</v>
      </c>
      <c r="D51" s="50">
        <v>10</v>
      </c>
      <c r="E51" s="50">
        <v>9</v>
      </c>
      <c r="F51" s="50">
        <v>6</v>
      </c>
      <c r="G51" s="50">
        <v>0</v>
      </c>
      <c r="H51" s="50">
        <v>0</v>
      </c>
      <c r="I51" s="50">
        <v>7</v>
      </c>
      <c r="J51" s="50">
        <v>0</v>
      </c>
      <c r="K51" s="50">
        <v>1</v>
      </c>
      <c r="L51" s="50">
        <v>1</v>
      </c>
      <c r="M51" s="50">
        <v>37</v>
      </c>
      <c r="N51" s="50">
        <v>0</v>
      </c>
      <c r="O51" s="15">
        <f t="shared" si="0"/>
        <v>68</v>
      </c>
      <c r="P51" s="15">
        <f t="shared" si="1"/>
        <v>105</v>
      </c>
      <c r="R51" s="8"/>
      <c r="T51"/>
    </row>
    <row r="52" spans="2:20" ht="23.1" customHeight="1" x14ac:dyDescent="0.25">
      <c r="B52" s="24" t="s">
        <v>79</v>
      </c>
      <c r="C52" s="50">
        <v>43</v>
      </c>
      <c r="D52" s="50">
        <v>16</v>
      </c>
      <c r="E52" s="50">
        <v>4</v>
      </c>
      <c r="F52" s="50">
        <v>1</v>
      </c>
      <c r="G52" s="50">
        <v>0</v>
      </c>
      <c r="H52" s="50">
        <v>0</v>
      </c>
      <c r="I52" s="50">
        <v>11</v>
      </c>
      <c r="J52" s="50">
        <v>1</v>
      </c>
      <c r="K52" s="50">
        <v>1</v>
      </c>
      <c r="L52" s="50">
        <v>0</v>
      </c>
      <c r="M52" s="50">
        <v>29</v>
      </c>
      <c r="N52" s="50">
        <v>0</v>
      </c>
      <c r="O52" s="15">
        <f t="shared" si="0"/>
        <v>77</v>
      </c>
      <c r="P52" s="15">
        <f t="shared" si="1"/>
        <v>106</v>
      </c>
      <c r="R52" s="8"/>
      <c r="T52"/>
    </row>
    <row r="53" spans="2:20" ht="23.1" customHeight="1" x14ac:dyDescent="0.25">
      <c r="B53" s="23" t="s">
        <v>80</v>
      </c>
      <c r="C53" s="50">
        <v>45</v>
      </c>
      <c r="D53" s="50">
        <v>27</v>
      </c>
      <c r="E53" s="50">
        <v>12</v>
      </c>
      <c r="F53" s="50">
        <v>8</v>
      </c>
      <c r="G53" s="50">
        <v>0</v>
      </c>
      <c r="H53" s="50">
        <v>0</v>
      </c>
      <c r="I53" s="50">
        <v>8</v>
      </c>
      <c r="J53" s="50">
        <v>0</v>
      </c>
      <c r="K53" s="50">
        <v>0</v>
      </c>
      <c r="L53" s="50">
        <v>0</v>
      </c>
      <c r="M53" s="50">
        <v>45</v>
      </c>
      <c r="N53" s="50">
        <v>0</v>
      </c>
      <c r="O53" s="15">
        <f t="shared" si="0"/>
        <v>100</v>
      </c>
      <c r="P53" s="15">
        <f t="shared" si="1"/>
        <v>145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15</v>
      </c>
      <c r="E54" s="50">
        <v>3</v>
      </c>
      <c r="F54" s="50">
        <v>5</v>
      </c>
      <c r="G54" s="50">
        <v>2</v>
      </c>
      <c r="H54" s="50">
        <v>0</v>
      </c>
      <c r="I54" s="50">
        <v>5</v>
      </c>
      <c r="J54" s="50">
        <v>1</v>
      </c>
      <c r="K54" s="50">
        <v>1</v>
      </c>
      <c r="L54" s="50">
        <v>0</v>
      </c>
      <c r="M54" s="50">
        <v>34</v>
      </c>
      <c r="N54" s="50">
        <v>0</v>
      </c>
      <c r="O54" s="15">
        <f t="shared" si="0"/>
        <v>62</v>
      </c>
      <c r="P54" s="15">
        <f t="shared" si="1"/>
        <v>96</v>
      </c>
      <c r="R54" s="8"/>
      <c r="T54"/>
    </row>
    <row r="55" spans="2:20" ht="23.1" customHeight="1" x14ac:dyDescent="0.25">
      <c r="B55" s="23" t="s">
        <v>82</v>
      </c>
      <c r="C55" s="50">
        <v>41</v>
      </c>
      <c r="D55" s="50">
        <v>16</v>
      </c>
      <c r="E55" s="50">
        <v>9</v>
      </c>
      <c r="F55" s="50">
        <v>6</v>
      </c>
      <c r="G55" s="50">
        <v>1</v>
      </c>
      <c r="H55" s="50">
        <v>1</v>
      </c>
      <c r="I55" s="50">
        <v>4</v>
      </c>
      <c r="J55" s="50">
        <v>1</v>
      </c>
      <c r="K55" s="50">
        <v>1</v>
      </c>
      <c r="L55" s="50">
        <v>0</v>
      </c>
      <c r="M55" s="50">
        <v>33</v>
      </c>
      <c r="N55" s="50">
        <v>0</v>
      </c>
      <c r="O55" s="15">
        <f t="shared" si="0"/>
        <v>80</v>
      </c>
      <c r="P55" s="15">
        <f t="shared" si="1"/>
        <v>113</v>
      </c>
      <c r="R55" s="8"/>
      <c r="T55"/>
    </row>
    <row r="56" spans="2:20" ht="23.1" customHeight="1" x14ac:dyDescent="0.25">
      <c r="B56" s="23" t="s">
        <v>83</v>
      </c>
      <c r="C56" s="50">
        <v>53</v>
      </c>
      <c r="D56" s="50">
        <v>16</v>
      </c>
      <c r="E56" s="50">
        <v>4</v>
      </c>
      <c r="F56" s="50">
        <v>3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0</v>
      </c>
      <c r="M56" s="50">
        <v>49</v>
      </c>
      <c r="N56" s="50">
        <v>0</v>
      </c>
      <c r="O56" s="15">
        <f t="shared" si="0"/>
        <v>80</v>
      </c>
      <c r="P56" s="15">
        <f t="shared" si="1"/>
        <v>129</v>
      </c>
      <c r="R56" s="8"/>
      <c r="T56"/>
    </row>
    <row r="57" spans="2:20" ht="23.1" customHeight="1" x14ac:dyDescent="0.25">
      <c r="B57" s="23" t="s">
        <v>84</v>
      </c>
      <c r="C57" s="50">
        <v>43</v>
      </c>
      <c r="D57" s="50">
        <v>21</v>
      </c>
      <c r="E57" s="50">
        <v>10</v>
      </c>
      <c r="F57" s="50">
        <v>0</v>
      </c>
      <c r="G57" s="50">
        <v>2</v>
      </c>
      <c r="H57" s="50">
        <v>0</v>
      </c>
      <c r="I57" s="50">
        <v>4</v>
      </c>
      <c r="J57" s="50">
        <v>0</v>
      </c>
      <c r="K57" s="50">
        <v>1</v>
      </c>
      <c r="L57" s="50">
        <v>0</v>
      </c>
      <c r="M57" s="50">
        <v>47</v>
      </c>
      <c r="N57" s="50">
        <v>0</v>
      </c>
      <c r="O57" s="15">
        <f t="shared" si="0"/>
        <v>81</v>
      </c>
      <c r="P57" s="15">
        <f t="shared" si="1"/>
        <v>128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1510</v>
      </c>
      <c r="D58" s="16">
        <f t="shared" si="21"/>
        <v>881</v>
      </c>
      <c r="E58" s="16">
        <f t="shared" si="21"/>
        <v>234</v>
      </c>
      <c r="F58" s="16">
        <f t="shared" si="21"/>
        <v>128</v>
      </c>
      <c r="G58" s="16">
        <f t="shared" si="21"/>
        <v>16</v>
      </c>
      <c r="H58" s="16">
        <f t="shared" si="21"/>
        <v>11</v>
      </c>
      <c r="I58" s="16">
        <f t="shared" si="21"/>
        <v>211</v>
      </c>
      <c r="J58" s="16">
        <f t="shared" si="21"/>
        <v>25</v>
      </c>
      <c r="K58" s="16">
        <f t="shared" si="21"/>
        <v>9</v>
      </c>
      <c r="L58" s="16">
        <f t="shared" si="21"/>
        <v>7</v>
      </c>
      <c r="M58" s="16">
        <f t="shared" si="21"/>
        <v>1649</v>
      </c>
      <c r="N58" s="16">
        <f t="shared" si="21"/>
        <v>0</v>
      </c>
      <c r="O58" s="16">
        <f t="shared" si="21"/>
        <v>3032</v>
      </c>
      <c r="P58" s="16">
        <f t="shared" si="21"/>
        <v>4681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0.32258064516129031</v>
      </c>
      <c r="D59" s="43">
        <f t="shared" si="22"/>
        <v>0.18820764793847469</v>
      </c>
      <c r="E59" s="43">
        <f t="shared" si="22"/>
        <v>4.9989318521683403E-2</v>
      </c>
      <c r="F59" s="43">
        <f t="shared" si="22"/>
        <v>2.7344584490493484E-2</v>
      </c>
      <c r="G59" s="43">
        <f t="shared" si="22"/>
        <v>3.4180730613116855E-3</v>
      </c>
      <c r="H59" s="43">
        <f t="shared" si="22"/>
        <v>2.3499252296517838E-3</v>
      </c>
      <c r="I59" s="43">
        <f t="shared" si="22"/>
        <v>4.5075838496047856E-2</v>
      </c>
      <c r="J59" s="43">
        <f t="shared" si="22"/>
        <v>5.3407391582995086E-3</v>
      </c>
      <c r="K59" s="43">
        <f t="shared" si="22"/>
        <v>1.9226660969878231E-3</v>
      </c>
      <c r="L59" s="43">
        <f t="shared" si="22"/>
        <v>1.4954069643238624E-3</v>
      </c>
      <c r="M59" s="43">
        <f t="shared" si="22"/>
        <v>0.35227515488143557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0.49802110817941952</v>
      </c>
      <c r="D60" s="44">
        <f t="shared" ref="D60:N60" si="23">D58/$O$58</f>
        <v>0.29056728232189971</v>
      </c>
      <c r="E60" s="44">
        <f t="shared" si="23"/>
        <v>7.7176781002638528E-2</v>
      </c>
      <c r="F60" s="44">
        <f t="shared" si="23"/>
        <v>4.221635883905013E-2</v>
      </c>
      <c r="G60" s="44">
        <f t="shared" si="23"/>
        <v>5.2770448548812663E-3</v>
      </c>
      <c r="H60" s="44">
        <f t="shared" si="23"/>
        <v>3.6279683377308707E-3</v>
      </c>
      <c r="I60" s="44">
        <f t="shared" si="23"/>
        <v>6.9591029023746698E-2</v>
      </c>
      <c r="J60" s="44">
        <f t="shared" si="23"/>
        <v>8.2453825857519789E-3</v>
      </c>
      <c r="K60" s="44">
        <f t="shared" si="23"/>
        <v>2.9683377308707122E-3</v>
      </c>
      <c r="L60" s="44">
        <f t="shared" si="23"/>
        <v>2.3087071240105541E-3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13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6" t="str">
        <f>'23.09.19 Kajansi -Bweya'!C3:G3</f>
        <v>MCC-C2-STNO 56 -Munyonyo spur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6" t="str">
        <f>'27.09 Munyonyo-Kajansi'!D5</f>
        <v>27.09.19</v>
      </c>
      <c r="E5" s="3"/>
      <c r="F5" s="41" t="s">
        <v>1</v>
      </c>
      <c r="G5" s="61" t="str">
        <f>'27.09 Munyonyo-Kajansi'!G5:H5</f>
        <v>Munyonyo Spur RD</v>
      </c>
      <c r="H5" s="62"/>
      <c r="I5" s="14"/>
      <c r="J5" s="2" t="s">
        <v>5</v>
      </c>
      <c r="K5" s="61" t="str">
        <f>'27.09 Munyonyo-Kajansi'!K5:L5</f>
        <v>Akello Rosette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61" t="str">
        <f>'23.09.19 Kajansi -Bweya'!D6:E6</f>
        <v>KAJANSI</v>
      </c>
      <c r="E6" s="62"/>
      <c r="F6" s="2" t="s">
        <v>2</v>
      </c>
      <c r="G6" s="61" t="s">
        <v>172</v>
      </c>
      <c r="H6" s="62"/>
      <c r="J6" s="2" t="s">
        <v>21</v>
      </c>
      <c r="K6" s="61" t="str">
        <f>'27.09 Munyonyo-Kajansi'!K6:L6</f>
        <v>Beatrice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66</v>
      </c>
      <c r="D10" s="50">
        <v>3</v>
      </c>
      <c r="E10" s="50">
        <v>4</v>
      </c>
      <c r="F10" s="50">
        <v>1</v>
      </c>
      <c r="G10" s="50">
        <v>0</v>
      </c>
      <c r="H10" s="50">
        <v>0</v>
      </c>
      <c r="I10" s="50">
        <v>4</v>
      </c>
      <c r="J10" s="50">
        <v>3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57" si="0">SUM(C10:L10,N10)</f>
        <v>81</v>
      </c>
      <c r="P10" s="15">
        <f t="shared" ref="P10:P57" si="1">SUM(C10:N10)</f>
        <v>103</v>
      </c>
      <c r="R10" s="1" t="s">
        <v>6</v>
      </c>
      <c r="S10" s="17">
        <f t="shared" ref="S10:AF10" si="2">SUM(C10:C13)</f>
        <v>217</v>
      </c>
      <c r="T10" s="17">
        <f t="shared" si="2"/>
        <v>16</v>
      </c>
      <c r="U10" s="17">
        <f t="shared" si="2"/>
        <v>20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15</v>
      </c>
      <c r="Z10" s="17">
        <f t="shared" si="2"/>
        <v>6</v>
      </c>
      <c r="AA10" s="17">
        <f t="shared" si="2"/>
        <v>1</v>
      </c>
      <c r="AB10" s="17">
        <f t="shared" si="2"/>
        <v>0</v>
      </c>
      <c r="AC10" s="17">
        <f t="shared" si="2"/>
        <v>124</v>
      </c>
      <c r="AD10" s="17">
        <f t="shared" si="2"/>
        <v>0</v>
      </c>
      <c r="AE10" s="31">
        <f t="shared" si="2"/>
        <v>282</v>
      </c>
      <c r="AF10" s="31">
        <f t="shared" si="2"/>
        <v>406</v>
      </c>
    </row>
    <row r="11" spans="2:32" s="6" customFormat="1" ht="23.1" customHeight="1" x14ac:dyDescent="0.25">
      <c r="B11" s="23" t="s">
        <v>38</v>
      </c>
      <c r="C11" s="50">
        <v>41</v>
      </c>
      <c r="D11" s="50">
        <v>5</v>
      </c>
      <c r="E11" s="50">
        <v>4</v>
      </c>
      <c r="F11" s="50">
        <v>0</v>
      </c>
      <c r="G11" s="50">
        <v>0</v>
      </c>
      <c r="H11" s="50">
        <v>0</v>
      </c>
      <c r="I11" s="50">
        <v>4</v>
      </c>
      <c r="J11" s="50">
        <v>1</v>
      </c>
      <c r="K11" s="50">
        <v>0</v>
      </c>
      <c r="L11" s="50">
        <v>0</v>
      </c>
      <c r="M11" s="50">
        <v>33</v>
      </c>
      <c r="N11" s="50">
        <v>0</v>
      </c>
      <c r="O11" s="15">
        <f t="shared" si="0"/>
        <v>55</v>
      </c>
      <c r="P11" s="15">
        <f t="shared" si="1"/>
        <v>88</v>
      </c>
      <c r="R11" s="1" t="s">
        <v>7</v>
      </c>
      <c r="S11" s="17">
        <f t="shared" ref="S11:AF11" si="3">SUM(C14:C17)</f>
        <v>145</v>
      </c>
      <c r="T11" s="17">
        <f t="shared" si="3"/>
        <v>23</v>
      </c>
      <c r="U11" s="17">
        <f t="shared" si="3"/>
        <v>23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6</v>
      </c>
      <c r="AA11" s="17">
        <f t="shared" si="3"/>
        <v>3</v>
      </c>
      <c r="AB11" s="17">
        <f t="shared" si="3"/>
        <v>0</v>
      </c>
      <c r="AC11" s="17">
        <f t="shared" si="3"/>
        <v>160</v>
      </c>
      <c r="AD11" s="17">
        <f t="shared" si="3"/>
        <v>0</v>
      </c>
      <c r="AE11" s="31">
        <f t="shared" si="3"/>
        <v>209</v>
      </c>
      <c r="AF11" s="31">
        <f t="shared" si="3"/>
        <v>369</v>
      </c>
    </row>
    <row r="12" spans="2:32" ht="23.1" customHeight="1" x14ac:dyDescent="0.25">
      <c r="B12" s="23" t="s">
        <v>39</v>
      </c>
      <c r="C12" s="50">
        <v>65</v>
      </c>
      <c r="D12" s="50">
        <v>7</v>
      </c>
      <c r="E12" s="50">
        <v>8</v>
      </c>
      <c r="F12" s="50">
        <v>2</v>
      </c>
      <c r="G12" s="50">
        <v>1</v>
      </c>
      <c r="H12" s="50">
        <v>0</v>
      </c>
      <c r="I12" s="50">
        <v>4</v>
      </c>
      <c r="J12" s="50">
        <v>2</v>
      </c>
      <c r="K12" s="50">
        <v>1</v>
      </c>
      <c r="L12" s="50">
        <v>0</v>
      </c>
      <c r="M12" s="50">
        <v>37</v>
      </c>
      <c r="N12" s="50">
        <v>0</v>
      </c>
      <c r="O12" s="15">
        <f t="shared" si="0"/>
        <v>90</v>
      </c>
      <c r="P12" s="15">
        <f t="shared" si="1"/>
        <v>127</v>
      </c>
      <c r="R12" s="1" t="s">
        <v>8</v>
      </c>
      <c r="S12" s="17">
        <f t="shared" ref="S12:AF12" si="4">SUM(C18:C21)</f>
        <v>97</v>
      </c>
      <c r="T12" s="17">
        <f t="shared" si="4"/>
        <v>12</v>
      </c>
      <c r="U12" s="17">
        <f t="shared" si="4"/>
        <v>16</v>
      </c>
      <c r="V12" s="17">
        <f t="shared" si="4"/>
        <v>2</v>
      </c>
      <c r="W12" s="17">
        <f t="shared" si="4"/>
        <v>1</v>
      </c>
      <c r="X12" s="17">
        <f t="shared" si="4"/>
        <v>0</v>
      </c>
      <c r="Y12" s="17">
        <f t="shared" si="4"/>
        <v>7</v>
      </c>
      <c r="Z12" s="17">
        <f t="shared" si="4"/>
        <v>6</v>
      </c>
      <c r="AA12" s="17">
        <f t="shared" si="4"/>
        <v>5</v>
      </c>
      <c r="AB12" s="17">
        <f t="shared" si="4"/>
        <v>0</v>
      </c>
      <c r="AC12" s="17">
        <f t="shared" si="4"/>
        <v>110</v>
      </c>
      <c r="AD12" s="17">
        <f t="shared" si="4"/>
        <v>0</v>
      </c>
      <c r="AE12" s="31">
        <f t="shared" si="4"/>
        <v>146</v>
      </c>
      <c r="AF12" s="31">
        <f t="shared" si="4"/>
        <v>256</v>
      </c>
    </row>
    <row r="13" spans="2:32" ht="23.1" customHeight="1" x14ac:dyDescent="0.25">
      <c r="B13" s="23" t="s">
        <v>40</v>
      </c>
      <c r="C13" s="50">
        <v>45</v>
      </c>
      <c r="D13" s="50">
        <v>1</v>
      </c>
      <c r="E13" s="50">
        <v>4</v>
      </c>
      <c r="F13" s="50">
        <v>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32</v>
      </c>
      <c r="N13" s="50">
        <v>0</v>
      </c>
      <c r="O13" s="15">
        <f t="shared" si="0"/>
        <v>56</v>
      </c>
      <c r="P13" s="15">
        <f t="shared" si="1"/>
        <v>88</v>
      </c>
      <c r="R13" s="1" t="s">
        <v>9</v>
      </c>
      <c r="S13" s="17">
        <f t="shared" ref="S13:AF13" si="5">SUM(C22:C25)</f>
        <v>98</v>
      </c>
      <c r="T13" s="17">
        <f t="shared" si="5"/>
        <v>15</v>
      </c>
      <c r="U13" s="17">
        <f t="shared" si="5"/>
        <v>15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108</v>
      </c>
      <c r="AD13" s="17">
        <f t="shared" si="5"/>
        <v>0</v>
      </c>
      <c r="AE13" s="31">
        <f t="shared" si="5"/>
        <v>145</v>
      </c>
      <c r="AF13" s="31">
        <f t="shared" si="5"/>
        <v>253</v>
      </c>
    </row>
    <row r="14" spans="2:32" ht="23.1" customHeight="1" x14ac:dyDescent="0.25">
      <c r="B14" s="23" t="s">
        <v>41</v>
      </c>
      <c r="C14" s="50">
        <v>43</v>
      </c>
      <c r="D14" s="50">
        <v>5</v>
      </c>
      <c r="E14" s="50">
        <v>8</v>
      </c>
      <c r="F14" s="50">
        <v>1</v>
      </c>
      <c r="G14" s="50">
        <v>0</v>
      </c>
      <c r="H14" s="50">
        <v>0</v>
      </c>
      <c r="I14" s="50">
        <v>1</v>
      </c>
      <c r="J14" s="50">
        <v>4</v>
      </c>
      <c r="K14" s="50">
        <v>1</v>
      </c>
      <c r="L14" s="50">
        <v>0</v>
      </c>
      <c r="M14" s="50">
        <v>52</v>
      </c>
      <c r="N14" s="50">
        <v>0</v>
      </c>
      <c r="O14" s="15">
        <f t="shared" si="0"/>
        <v>63</v>
      </c>
      <c r="P14" s="15">
        <f t="shared" si="1"/>
        <v>115</v>
      </c>
      <c r="R14" s="1" t="s">
        <v>10</v>
      </c>
      <c r="S14" s="17">
        <f t="shared" ref="S14:AF14" si="6">SUM(C26:C29)</f>
        <v>126</v>
      </c>
      <c r="T14" s="17">
        <f t="shared" si="6"/>
        <v>8</v>
      </c>
      <c r="U14" s="17">
        <f t="shared" si="6"/>
        <v>21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8</v>
      </c>
      <c r="AA14" s="17">
        <f t="shared" si="6"/>
        <v>3</v>
      </c>
      <c r="AB14" s="17">
        <f t="shared" si="6"/>
        <v>1</v>
      </c>
      <c r="AC14" s="17">
        <f t="shared" si="6"/>
        <v>131</v>
      </c>
      <c r="AD14" s="17">
        <f t="shared" si="6"/>
        <v>0</v>
      </c>
      <c r="AE14" s="31">
        <f t="shared" si="6"/>
        <v>178</v>
      </c>
      <c r="AF14" s="31">
        <f t="shared" si="6"/>
        <v>309</v>
      </c>
    </row>
    <row r="15" spans="2:32" ht="23.1" customHeight="1" x14ac:dyDescent="0.25">
      <c r="B15" s="23" t="s">
        <v>42</v>
      </c>
      <c r="C15" s="50">
        <v>38</v>
      </c>
      <c r="D15" s="50">
        <v>6</v>
      </c>
      <c r="E15" s="50">
        <v>5</v>
      </c>
      <c r="F15" s="50">
        <v>1</v>
      </c>
      <c r="G15" s="50">
        <v>0</v>
      </c>
      <c r="H15" s="50">
        <v>0</v>
      </c>
      <c r="I15" s="50">
        <v>1</v>
      </c>
      <c r="J15" s="50">
        <v>1</v>
      </c>
      <c r="K15" s="50">
        <v>2</v>
      </c>
      <c r="L15" s="50">
        <v>0</v>
      </c>
      <c r="M15" s="50">
        <v>48</v>
      </c>
      <c r="N15" s="50">
        <v>0</v>
      </c>
      <c r="O15" s="15">
        <f t="shared" si="0"/>
        <v>54</v>
      </c>
      <c r="P15" s="15">
        <f t="shared" si="1"/>
        <v>102</v>
      </c>
      <c r="R15" s="1" t="s">
        <v>11</v>
      </c>
      <c r="S15" s="17">
        <f t="shared" ref="S15:AF15" si="7">SUM(C30:C33)</f>
        <v>106</v>
      </c>
      <c r="T15" s="17">
        <f t="shared" si="7"/>
        <v>5</v>
      </c>
      <c r="U15" s="17">
        <f t="shared" si="7"/>
        <v>11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18</v>
      </c>
      <c r="AA15" s="17">
        <f t="shared" si="7"/>
        <v>1</v>
      </c>
      <c r="AB15" s="17">
        <f t="shared" si="7"/>
        <v>0</v>
      </c>
      <c r="AC15" s="17">
        <f t="shared" si="7"/>
        <v>108</v>
      </c>
      <c r="AD15" s="17">
        <f t="shared" si="7"/>
        <v>0</v>
      </c>
      <c r="AE15" s="31">
        <f t="shared" si="7"/>
        <v>148</v>
      </c>
      <c r="AF15" s="31">
        <f t="shared" si="7"/>
        <v>256</v>
      </c>
    </row>
    <row r="16" spans="2:32" ht="23.1" customHeight="1" x14ac:dyDescent="0.25">
      <c r="B16" s="23" t="s">
        <v>43</v>
      </c>
      <c r="C16" s="50">
        <v>39</v>
      </c>
      <c r="D16" s="50">
        <v>5</v>
      </c>
      <c r="E16" s="50">
        <v>6</v>
      </c>
      <c r="F16" s="50">
        <v>0</v>
      </c>
      <c r="G16" s="50">
        <v>0</v>
      </c>
      <c r="H16" s="50">
        <v>0</v>
      </c>
      <c r="I16" s="50">
        <v>5</v>
      </c>
      <c r="J16" s="50">
        <v>0</v>
      </c>
      <c r="K16" s="50">
        <v>0</v>
      </c>
      <c r="L16" s="50">
        <v>0</v>
      </c>
      <c r="M16" s="50">
        <v>30</v>
      </c>
      <c r="N16" s="50">
        <v>0</v>
      </c>
      <c r="O16" s="15">
        <f t="shared" si="0"/>
        <v>55</v>
      </c>
      <c r="P16" s="15">
        <f t="shared" si="1"/>
        <v>85</v>
      </c>
      <c r="R16" s="1" t="s">
        <v>12</v>
      </c>
      <c r="S16" s="17">
        <f t="shared" ref="S16:AF16" si="8">SUM(C34:C37)</f>
        <v>117</v>
      </c>
      <c r="T16" s="17">
        <f t="shared" si="8"/>
        <v>9</v>
      </c>
      <c r="U16" s="17">
        <f t="shared" si="8"/>
        <v>16</v>
      </c>
      <c r="V16" s="17">
        <f t="shared" si="8"/>
        <v>4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13</v>
      </c>
      <c r="AA16" s="17">
        <f t="shared" si="8"/>
        <v>0</v>
      </c>
      <c r="AB16" s="17">
        <f t="shared" si="8"/>
        <v>0</v>
      </c>
      <c r="AC16" s="17">
        <f t="shared" si="8"/>
        <v>106</v>
      </c>
      <c r="AD16" s="17">
        <f t="shared" si="8"/>
        <v>0</v>
      </c>
      <c r="AE16" s="31">
        <f t="shared" si="8"/>
        <v>173</v>
      </c>
      <c r="AF16" s="31">
        <f t="shared" si="8"/>
        <v>279</v>
      </c>
    </row>
    <row r="17" spans="2:32" ht="23.1" customHeight="1" x14ac:dyDescent="0.25">
      <c r="B17" s="23" t="s">
        <v>44</v>
      </c>
      <c r="C17" s="50">
        <v>25</v>
      </c>
      <c r="D17" s="50">
        <v>7</v>
      </c>
      <c r="E17" s="50">
        <v>4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37</v>
      </c>
      <c r="P17" s="15">
        <f t="shared" si="1"/>
        <v>67</v>
      </c>
      <c r="R17" s="1" t="s">
        <v>13</v>
      </c>
      <c r="S17" s="17">
        <f t="shared" ref="S17:AF17" si="9">SUM(C38:C41)</f>
        <v>156</v>
      </c>
      <c r="T17" s="17">
        <f t="shared" si="9"/>
        <v>25</v>
      </c>
      <c r="U17" s="17">
        <f t="shared" si="9"/>
        <v>15</v>
      </c>
      <c r="V17" s="17">
        <f t="shared" si="9"/>
        <v>5</v>
      </c>
      <c r="W17" s="17">
        <f t="shared" si="9"/>
        <v>4</v>
      </c>
      <c r="X17" s="17">
        <f t="shared" si="9"/>
        <v>0</v>
      </c>
      <c r="Y17" s="17">
        <f t="shared" si="9"/>
        <v>8</v>
      </c>
      <c r="Z17" s="17">
        <f t="shared" si="9"/>
        <v>5</v>
      </c>
      <c r="AA17" s="17">
        <f t="shared" si="9"/>
        <v>2</v>
      </c>
      <c r="AB17" s="17">
        <f t="shared" si="9"/>
        <v>0</v>
      </c>
      <c r="AC17" s="17">
        <f t="shared" si="9"/>
        <v>98</v>
      </c>
      <c r="AD17" s="17">
        <f t="shared" si="9"/>
        <v>0</v>
      </c>
      <c r="AE17" s="31">
        <f t="shared" si="9"/>
        <v>220</v>
      </c>
      <c r="AF17" s="31">
        <f t="shared" si="9"/>
        <v>318</v>
      </c>
    </row>
    <row r="18" spans="2:32" ht="23.1" customHeight="1" x14ac:dyDescent="0.25">
      <c r="B18" s="23" t="s">
        <v>45</v>
      </c>
      <c r="C18" s="50">
        <v>23</v>
      </c>
      <c r="D18" s="50">
        <v>3</v>
      </c>
      <c r="E18" s="50">
        <v>6</v>
      </c>
      <c r="F18" s="50">
        <v>0</v>
      </c>
      <c r="G18" s="50">
        <v>0</v>
      </c>
      <c r="H18" s="50">
        <v>0</v>
      </c>
      <c r="I18" s="50">
        <v>4</v>
      </c>
      <c r="J18" s="50">
        <v>2</v>
      </c>
      <c r="K18" s="50">
        <v>4</v>
      </c>
      <c r="L18" s="50">
        <v>0</v>
      </c>
      <c r="M18" s="50">
        <v>28</v>
      </c>
      <c r="N18" s="50">
        <v>0</v>
      </c>
      <c r="O18" s="15">
        <f t="shared" si="0"/>
        <v>42</v>
      </c>
      <c r="P18" s="15">
        <f t="shared" si="1"/>
        <v>70</v>
      </c>
      <c r="R18" s="1" t="s">
        <v>14</v>
      </c>
      <c r="S18" s="17">
        <f t="shared" ref="S18:AF18" si="10">SUM(C42:C45)</f>
        <v>168</v>
      </c>
      <c r="T18" s="17">
        <f t="shared" si="10"/>
        <v>6</v>
      </c>
      <c r="U18" s="17">
        <f t="shared" si="10"/>
        <v>19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17</v>
      </c>
      <c r="AA18" s="17">
        <f t="shared" si="10"/>
        <v>2</v>
      </c>
      <c r="AB18" s="17">
        <f t="shared" si="10"/>
        <v>0</v>
      </c>
      <c r="AC18" s="17">
        <f t="shared" si="10"/>
        <v>76</v>
      </c>
      <c r="AD18" s="17">
        <f t="shared" si="10"/>
        <v>0</v>
      </c>
      <c r="AE18" s="31">
        <f t="shared" si="10"/>
        <v>229</v>
      </c>
      <c r="AF18" s="31">
        <f t="shared" si="10"/>
        <v>305</v>
      </c>
    </row>
    <row r="19" spans="2:32" ht="23.1" customHeight="1" x14ac:dyDescent="0.25">
      <c r="B19" s="23" t="s">
        <v>46</v>
      </c>
      <c r="C19" s="50">
        <v>28</v>
      </c>
      <c r="D19" s="50">
        <v>3</v>
      </c>
      <c r="E19" s="50">
        <v>3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35</v>
      </c>
      <c r="N19" s="50">
        <v>0</v>
      </c>
      <c r="O19" s="15">
        <f t="shared" si="0"/>
        <v>37</v>
      </c>
      <c r="P19" s="15">
        <f t="shared" si="1"/>
        <v>72</v>
      </c>
      <c r="R19" s="1" t="s">
        <v>15</v>
      </c>
      <c r="S19" s="17">
        <f t="shared" ref="S19:AF19" si="11">SUM(C46:C49)</f>
        <v>195</v>
      </c>
      <c r="T19" s="17">
        <f t="shared" si="11"/>
        <v>14</v>
      </c>
      <c r="U19" s="17">
        <f t="shared" si="11"/>
        <v>25</v>
      </c>
      <c r="V19" s="17">
        <f t="shared" si="11"/>
        <v>4</v>
      </c>
      <c r="W19" s="17">
        <f t="shared" si="11"/>
        <v>1</v>
      </c>
      <c r="X19" s="17">
        <f t="shared" si="11"/>
        <v>0</v>
      </c>
      <c r="Y19" s="17">
        <f t="shared" si="11"/>
        <v>15</v>
      </c>
      <c r="Z19" s="17">
        <f t="shared" si="11"/>
        <v>13</v>
      </c>
      <c r="AA19" s="17">
        <f t="shared" si="11"/>
        <v>2</v>
      </c>
      <c r="AB19" s="17">
        <f t="shared" si="11"/>
        <v>0</v>
      </c>
      <c r="AC19" s="17">
        <f t="shared" si="11"/>
        <v>99</v>
      </c>
      <c r="AD19" s="17">
        <f t="shared" si="11"/>
        <v>0</v>
      </c>
      <c r="AE19" s="31">
        <f t="shared" si="11"/>
        <v>269</v>
      </c>
      <c r="AF19" s="31">
        <f t="shared" si="11"/>
        <v>368</v>
      </c>
    </row>
    <row r="20" spans="2:32" ht="23.1" customHeight="1" x14ac:dyDescent="0.25">
      <c r="B20" s="23" t="s">
        <v>47</v>
      </c>
      <c r="C20" s="50">
        <v>21</v>
      </c>
      <c r="D20" s="50">
        <v>2</v>
      </c>
      <c r="E20" s="50">
        <v>5</v>
      </c>
      <c r="F20" s="50">
        <v>0</v>
      </c>
      <c r="G20" s="50">
        <v>0</v>
      </c>
      <c r="H20" s="50">
        <v>0</v>
      </c>
      <c r="I20" s="50">
        <v>1</v>
      </c>
      <c r="J20" s="50">
        <v>3</v>
      </c>
      <c r="K20" s="50">
        <v>1</v>
      </c>
      <c r="L20" s="50">
        <v>0</v>
      </c>
      <c r="M20" s="50">
        <v>20</v>
      </c>
      <c r="N20" s="50">
        <v>0</v>
      </c>
      <c r="O20" s="15">
        <f t="shared" si="0"/>
        <v>33</v>
      </c>
      <c r="P20" s="15">
        <f t="shared" si="1"/>
        <v>53</v>
      </c>
      <c r="R20" s="1" t="s">
        <v>16</v>
      </c>
      <c r="S20" s="17">
        <f t="shared" ref="S20:AF20" si="12">SUM(C50:C53)</f>
        <v>190</v>
      </c>
      <c r="T20" s="17">
        <f t="shared" si="12"/>
        <v>9</v>
      </c>
      <c r="U20" s="17">
        <f t="shared" si="12"/>
        <v>15</v>
      </c>
      <c r="V20" s="17">
        <f t="shared" si="12"/>
        <v>5</v>
      </c>
      <c r="W20" s="17">
        <f t="shared" si="12"/>
        <v>2</v>
      </c>
      <c r="X20" s="17">
        <f t="shared" si="12"/>
        <v>4</v>
      </c>
      <c r="Y20" s="17">
        <f t="shared" si="12"/>
        <v>12</v>
      </c>
      <c r="Z20" s="17">
        <f t="shared" si="12"/>
        <v>11</v>
      </c>
      <c r="AA20" s="17">
        <f t="shared" si="12"/>
        <v>0</v>
      </c>
      <c r="AB20" s="17">
        <f t="shared" si="12"/>
        <v>0</v>
      </c>
      <c r="AC20" s="17">
        <f t="shared" si="12"/>
        <v>108</v>
      </c>
      <c r="AD20" s="17">
        <f t="shared" si="12"/>
        <v>0</v>
      </c>
      <c r="AE20" s="31">
        <f t="shared" si="12"/>
        <v>248</v>
      </c>
      <c r="AF20" s="31">
        <f t="shared" si="12"/>
        <v>356</v>
      </c>
    </row>
    <row r="21" spans="2:32" ht="23.1" customHeight="1" x14ac:dyDescent="0.25">
      <c r="B21" s="23" t="s">
        <v>48</v>
      </c>
      <c r="C21" s="50">
        <v>25</v>
      </c>
      <c r="D21" s="50">
        <v>4</v>
      </c>
      <c r="E21" s="50">
        <v>2</v>
      </c>
      <c r="F21" s="50">
        <v>1</v>
      </c>
      <c r="G21" s="50">
        <v>1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27</v>
      </c>
      <c r="N21" s="50">
        <v>0</v>
      </c>
      <c r="O21" s="15">
        <f t="shared" si="0"/>
        <v>34</v>
      </c>
      <c r="P21" s="15">
        <f t="shared" si="1"/>
        <v>61</v>
      </c>
      <c r="R21" s="36" t="s">
        <v>20</v>
      </c>
      <c r="S21" s="34">
        <f t="shared" ref="S21:AF21" si="13">SUM(C54:C57)</f>
        <v>200</v>
      </c>
      <c r="T21" s="17">
        <f t="shared" si="13"/>
        <v>10</v>
      </c>
      <c r="U21" s="17">
        <f t="shared" si="13"/>
        <v>30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8</v>
      </c>
      <c r="AA21" s="17">
        <f t="shared" si="13"/>
        <v>3</v>
      </c>
      <c r="AB21" s="17">
        <f t="shared" si="13"/>
        <v>0</v>
      </c>
      <c r="AC21" s="17">
        <f t="shared" si="13"/>
        <v>138</v>
      </c>
      <c r="AD21" s="17">
        <f t="shared" si="13"/>
        <v>0</v>
      </c>
      <c r="AE21" s="31">
        <f t="shared" si="13"/>
        <v>263</v>
      </c>
      <c r="AF21" s="31">
        <f t="shared" si="13"/>
        <v>401</v>
      </c>
    </row>
    <row r="22" spans="2:32" ht="23.1" customHeight="1" x14ac:dyDescent="0.25">
      <c r="B22" s="23" t="s">
        <v>49</v>
      </c>
      <c r="C22" s="50">
        <v>23</v>
      </c>
      <c r="D22" s="50">
        <v>1</v>
      </c>
      <c r="E22" s="50">
        <v>5</v>
      </c>
      <c r="F22" s="50">
        <v>0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31</v>
      </c>
      <c r="N22" s="50">
        <v>0</v>
      </c>
      <c r="O22" s="15">
        <f t="shared" si="0"/>
        <v>31</v>
      </c>
      <c r="P22" s="15">
        <f t="shared" si="1"/>
        <v>62</v>
      </c>
      <c r="R22" s="38" t="s">
        <v>90</v>
      </c>
      <c r="S22" s="39">
        <f>MAX(S10:S12)</f>
        <v>217</v>
      </c>
      <c r="T22" s="39">
        <f t="shared" ref="T22:AF22" si="14">MAX(T10:T12)</f>
        <v>23</v>
      </c>
      <c r="U22" s="39">
        <f t="shared" si="14"/>
        <v>23</v>
      </c>
      <c r="V22" s="39">
        <f t="shared" si="14"/>
        <v>6</v>
      </c>
      <c r="W22" s="39">
        <f t="shared" si="14"/>
        <v>1</v>
      </c>
      <c r="X22" s="39">
        <f t="shared" si="14"/>
        <v>0</v>
      </c>
      <c r="Y22" s="39">
        <f t="shared" si="14"/>
        <v>15</v>
      </c>
      <c r="Z22" s="39">
        <f t="shared" si="14"/>
        <v>6</v>
      </c>
      <c r="AA22" s="39">
        <f t="shared" si="14"/>
        <v>5</v>
      </c>
      <c r="AB22" s="39">
        <f t="shared" si="14"/>
        <v>0</v>
      </c>
      <c r="AC22" s="39">
        <f t="shared" si="14"/>
        <v>160</v>
      </c>
      <c r="AD22" s="39">
        <f t="shared" si="14"/>
        <v>0</v>
      </c>
      <c r="AE22" s="40">
        <f t="shared" si="14"/>
        <v>282</v>
      </c>
      <c r="AF22" s="40">
        <f t="shared" si="14"/>
        <v>406</v>
      </c>
    </row>
    <row r="23" spans="2:32" ht="23.1" customHeight="1" x14ac:dyDescent="0.25">
      <c r="B23" s="23" t="s">
        <v>50</v>
      </c>
      <c r="C23" s="50">
        <v>22</v>
      </c>
      <c r="D23" s="50">
        <v>7</v>
      </c>
      <c r="E23" s="50">
        <v>0</v>
      </c>
      <c r="F23" s="50">
        <v>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25</v>
      </c>
      <c r="N23" s="50">
        <v>0</v>
      </c>
      <c r="O23" s="15">
        <f t="shared" si="0"/>
        <v>32</v>
      </c>
      <c r="P23" s="15">
        <f t="shared" si="1"/>
        <v>57</v>
      </c>
      <c r="R23" s="38" t="s">
        <v>91</v>
      </c>
      <c r="S23" s="39">
        <f>MAX(S13:S18)</f>
        <v>168</v>
      </c>
      <c r="T23" s="39">
        <f t="shared" ref="T23:AF23" si="15">MAX(T13:T18)</f>
        <v>25</v>
      </c>
      <c r="U23" s="39">
        <f t="shared" si="15"/>
        <v>21</v>
      </c>
      <c r="V23" s="39">
        <f t="shared" si="15"/>
        <v>5</v>
      </c>
      <c r="W23" s="39">
        <f t="shared" si="15"/>
        <v>4</v>
      </c>
      <c r="X23" s="39">
        <f t="shared" si="15"/>
        <v>0</v>
      </c>
      <c r="Y23" s="39">
        <f t="shared" si="15"/>
        <v>13</v>
      </c>
      <c r="Z23" s="39">
        <f t="shared" si="15"/>
        <v>18</v>
      </c>
      <c r="AA23" s="39">
        <f t="shared" si="15"/>
        <v>3</v>
      </c>
      <c r="AB23" s="39">
        <f t="shared" si="15"/>
        <v>1</v>
      </c>
      <c r="AC23" s="39">
        <f t="shared" si="15"/>
        <v>131</v>
      </c>
      <c r="AD23" s="39">
        <f t="shared" si="15"/>
        <v>0</v>
      </c>
      <c r="AE23" s="40">
        <f t="shared" si="15"/>
        <v>229</v>
      </c>
      <c r="AF23" s="40">
        <f t="shared" si="15"/>
        <v>318</v>
      </c>
    </row>
    <row r="24" spans="2:32" ht="23.1" customHeight="1" x14ac:dyDescent="0.25">
      <c r="B24" s="23" t="s">
        <v>51</v>
      </c>
      <c r="C24" s="50">
        <v>18</v>
      </c>
      <c r="D24" s="50">
        <v>5</v>
      </c>
      <c r="E24" s="50">
        <v>6</v>
      </c>
      <c r="F24" s="50">
        <v>2</v>
      </c>
      <c r="G24" s="50">
        <v>0</v>
      </c>
      <c r="H24" s="50">
        <v>0</v>
      </c>
      <c r="I24" s="50">
        <v>4</v>
      </c>
      <c r="J24" s="50">
        <v>1</v>
      </c>
      <c r="K24" s="50">
        <v>0</v>
      </c>
      <c r="L24" s="50">
        <v>0</v>
      </c>
      <c r="M24" s="50">
        <v>24</v>
      </c>
      <c r="N24" s="50">
        <v>0</v>
      </c>
      <c r="O24" s="15">
        <f t="shared" si="0"/>
        <v>36</v>
      </c>
      <c r="P24" s="15">
        <f t="shared" si="1"/>
        <v>60</v>
      </c>
      <c r="R24" s="38" t="s">
        <v>92</v>
      </c>
      <c r="S24" s="39">
        <f>MAX(S19:S21)</f>
        <v>200</v>
      </c>
      <c r="T24" s="39">
        <f t="shared" ref="T24:AF24" si="16">MAX(T19:T21)</f>
        <v>14</v>
      </c>
      <c r="U24" s="39">
        <f t="shared" si="16"/>
        <v>30</v>
      </c>
      <c r="V24" s="39">
        <f t="shared" si="16"/>
        <v>5</v>
      </c>
      <c r="W24" s="39">
        <f t="shared" si="16"/>
        <v>2</v>
      </c>
      <c r="X24" s="39">
        <f t="shared" si="16"/>
        <v>4</v>
      </c>
      <c r="Y24" s="39">
        <f t="shared" si="16"/>
        <v>15</v>
      </c>
      <c r="Z24" s="39">
        <f t="shared" si="16"/>
        <v>13</v>
      </c>
      <c r="AA24" s="39">
        <f t="shared" si="16"/>
        <v>3</v>
      </c>
      <c r="AB24" s="39">
        <f t="shared" si="16"/>
        <v>0</v>
      </c>
      <c r="AC24" s="39">
        <f t="shared" si="16"/>
        <v>138</v>
      </c>
      <c r="AD24" s="39">
        <f t="shared" si="16"/>
        <v>0</v>
      </c>
      <c r="AE24" s="40">
        <f t="shared" si="16"/>
        <v>269</v>
      </c>
      <c r="AF24" s="40">
        <f t="shared" si="16"/>
        <v>401</v>
      </c>
    </row>
    <row r="25" spans="2:32" ht="23.1" customHeight="1" x14ac:dyDescent="0.25">
      <c r="B25" s="23" t="s">
        <v>52</v>
      </c>
      <c r="C25" s="50">
        <v>35</v>
      </c>
      <c r="D25" s="50">
        <v>2</v>
      </c>
      <c r="E25" s="50">
        <v>4</v>
      </c>
      <c r="F25" s="50">
        <v>0</v>
      </c>
      <c r="G25" s="50">
        <v>0</v>
      </c>
      <c r="H25" s="50">
        <v>0</v>
      </c>
      <c r="I25" s="50">
        <v>3</v>
      </c>
      <c r="J25" s="50">
        <v>2</v>
      </c>
      <c r="K25" s="50">
        <v>0</v>
      </c>
      <c r="L25" s="50">
        <v>0</v>
      </c>
      <c r="M25" s="50">
        <v>28</v>
      </c>
      <c r="N25" s="50">
        <v>0</v>
      </c>
      <c r="O25" s="15">
        <f t="shared" si="0"/>
        <v>46</v>
      </c>
      <c r="P25" s="15">
        <f t="shared" si="1"/>
        <v>74</v>
      </c>
      <c r="R25" s="37" t="s">
        <v>85</v>
      </c>
      <c r="S25" s="35">
        <f t="shared" ref="S25:AF25" si="17">SUM(S10:S12)</f>
        <v>459</v>
      </c>
      <c r="T25" s="16">
        <f t="shared" si="17"/>
        <v>51</v>
      </c>
      <c r="U25" s="16">
        <f t="shared" si="17"/>
        <v>59</v>
      </c>
      <c r="V25" s="16">
        <f t="shared" si="17"/>
        <v>10</v>
      </c>
      <c r="W25" s="16">
        <f t="shared" si="17"/>
        <v>2</v>
      </c>
      <c r="X25" s="16">
        <f t="shared" si="17"/>
        <v>0</v>
      </c>
      <c r="Y25" s="16">
        <f t="shared" si="17"/>
        <v>29</v>
      </c>
      <c r="Z25" s="16">
        <f t="shared" si="17"/>
        <v>18</v>
      </c>
      <c r="AA25" s="16">
        <f t="shared" si="17"/>
        <v>9</v>
      </c>
      <c r="AB25" s="16">
        <f t="shared" si="17"/>
        <v>0</v>
      </c>
      <c r="AC25" s="16">
        <f t="shared" si="17"/>
        <v>394</v>
      </c>
      <c r="AD25" s="16">
        <f t="shared" si="17"/>
        <v>0</v>
      </c>
      <c r="AE25" s="32">
        <f t="shared" si="17"/>
        <v>637</v>
      </c>
      <c r="AF25" s="32">
        <f t="shared" si="17"/>
        <v>1031</v>
      </c>
    </row>
    <row r="26" spans="2:32" ht="23.1" customHeight="1" x14ac:dyDescent="0.25">
      <c r="B26" s="23" t="s">
        <v>53</v>
      </c>
      <c r="C26" s="50">
        <v>33</v>
      </c>
      <c r="D26" s="50">
        <v>0</v>
      </c>
      <c r="E26" s="50">
        <v>5</v>
      </c>
      <c r="F26" s="50">
        <v>0</v>
      </c>
      <c r="G26" s="50">
        <v>0</v>
      </c>
      <c r="H26" s="50">
        <v>0</v>
      </c>
      <c r="I26" s="50">
        <v>4</v>
      </c>
      <c r="J26" s="50">
        <v>4</v>
      </c>
      <c r="K26" s="50">
        <v>0</v>
      </c>
      <c r="L26" s="50">
        <v>1</v>
      </c>
      <c r="M26" s="50">
        <v>31</v>
      </c>
      <c r="N26" s="50">
        <v>0</v>
      </c>
      <c r="O26" s="15">
        <f t="shared" si="0"/>
        <v>47</v>
      </c>
      <c r="P26" s="15">
        <f t="shared" si="1"/>
        <v>78</v>
      </c>
      <c r="R26" s="28" t="s">
        <v>86</v>
      </c>
      <c r="S26" s="16">
        <f t="shared" ref="S26:AF26" si="18">SUM(S13:S18)</f>
        <v>771</v>
      </c>
      <c r="T26" s="16">
        <f t="shared" si="18"/>
        <v>68</v>
      </c>
      <c r="U26" s="16">
        <f t="shared" si="18"/>
        <v>97</v>
      </c>
      <c r="V26" s="16">
        <f t="shared" si="18"/>
        <v>18</v>
      </c>
      <c r="W26" s="16">
        <f t="shared" si="18"/>
        <v>5</v>
      </c>
      <c r="X26" s="16">
        <f t="shared" si="18"/>
        <v>0</v>
      </c>
      <c r="Y26" s="16">
        <f t="shared" si="18"/>
        <v>60</v>
      </c>
      <c r="Z26" s="16">
        <f t="shared" si="18"/>
        <v>65</v>
      </c>
      <c r="AA26" s="16">
        <f t="shared" si="18"/>
        <v>8</v>
      </c>
      <c r="AB26" s="16">
        <f t="shared" si="18"/>
        <v>1</v>
      </c>
      <c r="AC26" s="16">
        <f t="shared" si="18"/>
        <v>627</v>
      </c>
      <c r="AD26" s="16">
        <f t="shared" si="18"/>
        <v>0</v>
      </c>
      <c r="AE26" s="32">
        <f t="shared" si="18"/>
        <v>1093</v>
      </c>
      <c r="AF26" s="32">
        <f t="shared" si="18"/>
        <v>1720</v>
      </c>
    </row>
    <row r="27" spans="2:32" ht="23.1" customHeight="1" x14ac:dyDescent="0.25">
      <c r="B27" s="23" t="s">
        <v>54</v>
      </c>
      <c r="C27" s="50">
        <v>30</v>
      </c>
      <c r="D27" s="50">
        <v>4</v>
      </c>
      <c r="E27" s="50">
        <v>6</v>
      </c>
      <c r="F27" s="50">
        <v>0</v>
      </c>
      <c r="G27" s="50">
        <v>0</v>
      </c>
      <c r="H27" s="50">
        <v>0</v>
      </c>
      <c r="I27" s="50">
        <v>2</v>
      </c>
      <c r="J27" s="50">
        <v>2</v>
      </c>
      <c r="K27" s="50">
        <v>1</v>
      </c>
      <c r="L27" s="50">
        <v>0</v>
      </c>
      <c r="M27" s="50">
        <v>49</v>
      </c>
      <c r="N27" s="50">
        <v>0</v>
      </c>
      <c r="O27" s="15">
        <f t="shared" si="0"/>
        <v>45</v>
      </c>
      <c r="P27" s="15">
        <f t="shared" si="1"/>
        <v>94</v>
      </c>
      <c r="R27" s="29" t="s">
        <v>87</v>
      </c>
      <c r="S27" s="16">
        <f t="shared" ref="S27:AF27" si="19">SUM(S19:S21)</f>
        <v>585</v>
      </c>
      <c r="T27" s="16">
        <f t="shared" si="19"/>
        <v>33</v>
      </c>
      <c r="U27" s="16">
        <f t="shared" si="19"/>
        <v>70</v>
      </c>
      <c r="V27" s="16">
        <f t="shared" si="19"/>
        <v>13</v>
      </c>
      <c r="W27" s="16">
        <f t="shared" si="19"/>
        <v>3</v>
      </c>
      <c r="X27" s="16">
        <f t="shared" si="19"/>
        <v>4</v>
      </c>
      <c r="Y27" s="16">
        <f t="shared" si="19"/>
        <v>35</v>
      </c>
      <c r="Z27" s="16">
        <f t="shared" si="19"/>
        <v>32</v>
      </c>
      <c r="AA27" s="16">
        <f t="shared" si="19"/>
        <v>5</v>
      </c>
      <c r="AB27" s="16">
        <f t="shared" si="19"/>
        <v>0</v>
      </c>
      <c r="AC27" s="16">
        <f t="shared" si="19"/>
        <v>345</v>
      </c>
      <c r="AD27" s="16">
        <f t="shared" si="19"/>
        <v>0</v>
      </c>
      <c r="AE27" s="32">
        <f t="shared" si="19"/>
        <v>780</v>
      </c>
      <c r="AF27" s="32">
        <f t="shared" si="19"/>
        <v>1125</v>
      </c>
    </row>
    <row r="28" spans="2:32" ht="23.1" customHeight="1" x14ac:dyDescent="0.25">
      <c r="B28" s="23" t="s">
        <v>55</v>
      </c>
      <c r="C28" s="50">
        <v>30</v>
      </c>
      <c r="D28" s="50">
        <v>3</v>
      </c>
      <c r="E28" s="50">
        <v>4</v>
      </c>
      <c r="F28" s="50">
        <v>2</v>
      </c>
      <c r="G28" s="50">
        <v>0</v>
      </c>
      <c r="H28" s="50">
        <v>0</v>
      </c>
      <c r="I28" s="50">
        <v>2</v>
      </c>
      <c r="J28" s="50">
        <v>1</v>
      </c>
      <c r="K28" s="50">
        <v>2</v>
      </c>
      <c r="L28" s="50">
        <v>0</v>
      </c>
      <c r="M28" s="50">
        <v>29</v>
      </c>
      <c r="N28" s="50">
        <v>0</v>
      </c>
      <c r="O28" s="15">
        <f t="shared" si="0"/>
        <v>44</v>
      </c>
      <c r="P28" s="15">
        <f t="shared" si="1"/>
        <v>73</v>
      </c>
      <c r="R28" s="5" t="s">
        <v>17</v>
      </c>
      <c r="S28" s="16">
        <f t="shared" ref="S28:AF28" si="20">SUM(S10:S21)</f>
        <v>1815</v>
      </c>
      <c r="T28" s="16">
        <f t="shared" si="20"/>
        <v>152</v>
      </c>
      <c r="U28" s="16">
        <f t="shared" si="20"/>
        <v>226</v>
      </c>
      <c r="V28" s="16">
        <f t="shared" si="20"/>
        <v>41</v>
      </c>
      <c r="W28" s="16">
        <f t="shared" si="20"/>
        <v>10</v>
      </c>
      <c r="X28" s="16">
        <f t="shared" si="20"/>
        <v>4</v>
      </c>
      <c r="Y28" s="16">
        <f t="shared" si="20"/>
        <v>124</v>
      </c>
      <c r="Z28" s="16">
        <f t="shared" si="20"/>
        <v>115</v>
      </c>
      <c r="AA28" s="16">
        <f t="shared" si="20"/>
        <v>22</v>
      </c>
      <c r="AB28" s="16">
        <f t="shared" si="20"/>
        <v>1</v>
      </c>
      <c r="AC28" s="16">
        <f t="shared" si="20"/>
        <v>1366</v>
      </c>
      <c r="AD28" s="16">
        <f t="shared" si="20"/>
        <v>0</v>
      </c>
      <c r="AE28" s="32">
        <f t="shared" si="20"/>
        <v>2510</v>
      </c>
      <c r="AF28" s="32">
        <f t="shared" si="20"/>
        <v>3876</v>
      </c>
    </row>
    <row r="29" spans="2:32" ht="23.1" customHeight="1" x14ac:dyDescent="0.25">
      <c r="B29" s="23" t="s">
        <v>56</v>
      </c>
      <c r="C29" s="50">
        <v>33</v>
      </c>
      <c r="D29" s="50">
        <v>1</v>
      </c>
      <c r="E29" s="50">
        <v>6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22</v>
      </c>
      <c r="N29" s="50">
        <v>0</v>
      </c>
      <c r="O29" s="15">
        <f t="shared" si="0"/>
        <v>42</v>
      </c>
      <c r="P29" s="15">
        <f t="shared" si="1"/>
        <v>64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2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25</v>
      </c>
      <c r="N30" s="50">
        <v>0</v>
      </c>
      <c r="O30" s="15">
        <f t="shared" si="0"/>
        <v>24</v>
      </c>
      <c r="P30" s="15">
        <f t="shared" si="1"/>
        <v>49</v>
      </c>
    </row>
    <row r="31" spans="2:32" ht="23.1" customHeight="1" x14ac:dyDescent="0.25">
      <c r="B31" s="24" t="s">
        <v>58</v>
      </c>
      <c r="C31" s="50">
        <v>22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4</v>
      </c>
      <c r="K31" s="50">
        <v>0</v>
      </c>
      <c r="L31" s="50">
        <v>0</v>
      </c>
      <c r="M31" s="50">
        <v>34</v>
      </c>
      <c r="N31" s="50">
        <v>0</v>
      </c>
      <c r="O31" s="15">
        <f t="shared" si="0"/>
        <v>29</v>
      </c>
      <c r="P31" s="15">
        <f t="shared" si="1"/>
        <v>63</v>
      </c>
    </row>
    <row r="32" spans="2:32" ht="23.1" customHeight="1" x14ac:dyDescent="0.25">
      <c r="B32" s="24" t="s">
        <v>59</v>
      </c>
      <c r="C32" s="50">
        <v>36</v>
      </c>
      <c r="D32" s="50">
        <v>0</v>
      </c>
      <c r="E32" s="50">
        <v>6</v>
      </c>
      <c r="F32" s="50">
        <v>1</v>
      </c>
      <c r="G32" s="50">
        <v>0</v>
      </c>
      <c r="H32" s="50">
        <v>0</v>
      </c>
      <c r="I32" s="50">
        <v>3</v>
      </c>
      <c r="J32" s="50">
        <v>5</v>
      </c>
      <c r="K32" s="50">
        <v>1</v>
      </c>
      <c r="L32" s="50">
        <v>0</v>
      </c>
      <c r="M32" s="50">
        <v>29</v>
      </c>
      <c r="N32" s="50">
        <v>0</v>
      </c>
      <c r="O32" s="15">
        <f t="shared" si="0"/>
        <v>52</v>
      </c>
      <c r="P32" s="15">
        <f t="shared" si="1"/>
        <v>81</v>
      </c>
    </row>
    <row r="33" spans="2:20" ht="23.1" customHeight="1" x14ac:dyDescent="0.25">
      <c r="B33" s="23" t="s">
        <v>60</v>
      </c>
      <c r="C33" s="50">
        <v>28</v>
      </c>
      <c r="D33" s="50">
        <v>2</v>
      </c>
      <c r="E33" s="50">
        <v>2</v>
      </c>
      <c r="F33" s="50">
        <v>0</v>
      </c>
      <c r="G33" s="50">
        <v>0</v>
      </c>
      <c r="H33" s="50">
        <v>0</v>
      </c>
      <c r="I33" s="50">
        <v>3</v>
      </c>
      <c r="J33" s="50">
        <v>8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43</v>
      </c>
      <c r="P33" s="15">
        <f t="shared" si="1"/>
        <v>63</v>
      </c>
    </row>
    <row r="34" spans="2:20" ht="23.1" customHeight="1" x14ac:dyDescent="0.25">
      <c r="B34" s="24" t="s">
        <v>61</v>
      </c>
      <c r="C34" s="50">
        <v>37</v>
      </c>
      <c r="D34" s="50">
        <v>5</v>
      </c>
      <c r="E34" s="50">
        <v>2</v>
      </c>
      <c r="F34" s="50">
        <v>2</v>
      </c>
      <c r="G34" s="50">
        <v>0</v>
      </c>
      <c r="H34" s="50">
        <v>0</v>
      </c>
      <c r="I34" s="50">
        <v>4</v>
      </c>
      <c r="J34" s="50">
        <v>3</v>
      </c>
      <c r="K34" s="50">
        <v>0</v>
      </c>
      <c r="L34" s="50">
        <v>0</v>
      </c>
      <c r="M34" s="50">
        <v>18</v>
      </c>
      <c r="N34" s="50">
        <v>0</v>
      </c>
      <c r="O34" s="15">
        <f t="shared" si="0"/>
        <v>53</v>
      </c>
      <c r="P34" s="15">
        <f t="shared" si="1"/>
        <v>71</v>
      </c>
    </row>
    <row r="35" spans="2:20" ht="23.1" customHeight="1" x14ac:dyDescent="0.25">
      <c r="B35" s="24" t="s">
        <v>62</v>
      </c>
      <c r="C35" s="50">
        <v>27</v>
      </c>
      <c r="D35" s="50">
        <v>1</v>
      </c>
      <c r="E35" s="50">
        <v>8</v>
      </c>
      <c r="F35" s="50">
        <v>1</v>
      </c>
      <c r="G35" s="50">
        <v>1</v>
      </c>
      <c r="H35" s="50">
        <v>0</v>
      </c>
      <c r="I35" s="50">
        <v>3</v>
      </c>
      <c r="J35" s="50">
        <v>3</v>
      </c>
      <c r="K35" s="50">
        <v>0</v>
      </c>
      <c r="L35" s="50">
        <v>0</v>
      </c>
      <c r="M35" s="50">
        <v>36</v>
      </c>
      <c r="N35" s="50">
        <v>0</v>
      </c>
      <c r="O35" s="15">
        <f t="shared" si="0"/>
        <v>44</v>
      </c>
      <c r="P35" s="15">
        <f t="shared" si="1"/>
        <v>80</v>
      </c>
    </row>
    <row r="36" spans="2:20" ht="23.1" customHeight="1" x14ac:dyDescent="0.25">
      <c r="B36" s="24" t="s">
        <v>63</v>
      </c>
      <c r="C36" s="50">
        <v>32</v>
      </c>
      <c r="D36" s="50">
        <v>2</v>
      </c>
      <c r="E36" s="50">
        <v>5</v>
      </c>
      <c r="F36" s="50">
        <v>0</v>
      </c>
      <c r="G36" s="50">
        <v>0</v>
      </c>
      <c r="H36" s="50">
        <v>0</v>
      </c>
      <c r="I36" s="50">
        <v>4</v>
      </c>
      <c r="J36" s="50">
        <v>4</v>
      </c>
      <c r="K36" s="50">
        <v>0</v>
      </c>
      <c r="L36" s="50">
        <v>0</v>
      </c>
      <c r="M36" s="50">
        <v>29</v>
      </c>
      <c r="N36" s="50">
        <v>0</v>
      </c>
      <c r="O36" s="15">
        <f t="shared" si="0"/>
        <v>47</v>
      </c>
      <c r="P36" s="15">
        <f t="shared" si="1"/>
        <v>76</v>
      </c>
    </row>
    <row r="37" spans="2:20" ht="23.1" customHeight="1" x14ac:dyDescent="0.25">
      <c r="B37" s="23" t="s">
        <v>64</v>
      </c>
      <c r="C37" s="50">
        <v>21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2</v>
      </c>
      <c r="J37" s="50">
        <v>3</v>
      </c>
      <c r="K37" s="50">
        <v>0</v>
      </c>
      <c r="L37" s="50">
        <v>0</v>
      </c>
      <c r="M37" s="50">
        <v>23</v>
      </c>
      <c r="N37" s="50">
        <v>0</v>
      </c>
      <c r="O37" s="15">
        <f t="shared" si="0"/>
        <v>29</v>
      </c>
      <c r="P37" s="15">
        <f t="shared" si="1"/>
        <v>52</v>
      </c>
    </row>
    <row r="38" spans="2:20" ht="23.1" customHeight="1" x14ac:dyDescent="0.25">
      <c r="B38" s="24" t="s">
        <v>65</v>
      </c>
      <c r="C38" s="50">
        <v>35</v>
      </c>
      <c r="D38" s="50">
        <v>15</v>
      </c>
      <c r="E38" s="50">
        <v>4</v>
      </c>
      <c r="F38" s="50">
        <v>3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59</v>
      </c>
      <c r="P38" s="15">
        <f t="shared" si="1"/>
        <v>79</v>
      </c>
    </row>
    <row r="39" spans="2:20" ht="23.1" customHeight="1" x14ac:dyDescent="0.25">
      <c r="B39" s="24" t="s">
        <v>66</v>
      </c>
      <c r="C39" s="50">
        <v>46</v>
      </c>
      <c r="D39" s="50">
        <v>2</v>
      </c>
      <c r="E39" s="50">
        <v>4</v>
      </c>
      <c r="F39" s="50">
        <v>0</v>
      </c>
      <c r="G39" s="50">
        <v>1</v>
      </c>
      <c r="H39" s="50">
        <v>0</v>
      </c>
      <c r="I39" s="50">
        <v>1</v>
      </c>
      <c r="J39" s="50">
        <v>1</v>
      </c>
      <c r="K39" s="50">
        <v>1</v>
      </c>
      <c r="L39" s="50">
        <v>0</v>
      </c>
      <c r="M39" s="50">
        <v>30</v>
      </c>
      <c r="N39" s="50">
        <v>0</v>
      </c>
      <c r="O39" s="15">
        <f t="shared" si="0"/>
        <v>56</v>
      </c>
      <c r="P39" s="15">
        <f t="shared" si="1"/>
        <v>86</v>
      </c>
    </row>
    <row r="40" spans="2:20" ht="23.1" customHeight="1" x14ac:dyDescent="0.25">
      <c r="B40" s="24" t="s">
        <v>67</v>
      </c>
      <c r="C40" s="50">
        <v>32</v>
      </c>
      <c r="D40" s="50">
        <v>3</v>
      </c>
      <c r="E40" s="50">
        <v>5</v>
      </c>
      <c r="F40" s="50">
        <v>1</v>
      </c>
      <c r="G40" s="50">
        <v>1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22</v>
      </c>
      <c r="N40" s="50">
        <v>0</v>
      </c>
      <c r="O40" s="15">
        <f t="shared" si="0"/>
        <v>47</v>
      </c>
      <c r="P40" s="15">
        <f t="shared" si="1"/>
        <v>69</v>
      </c>
    </row>
    <row r="41" spans="2:20" ht="23.1" customHeight="1" x14ac:dyDescent="0.25">
      <c r="B41" s="23" t="s">
        <v>68</v>
      </c>
      <c r="C41" s="50">
        <v>43</v>
      </c>
      <c r="D41" s="50">
        <v>5</v>
      </c>
      <c r="E41" s="50">
        <v>2</v>
      </c>
      <c r="F41" s="50">
        <v>1</v>
      </c>
      <c r="G41" s="50">
        <v>2</v>
      </c>
      <c r="H41" s="50">
        <v>0</v>
      </c>
      <c r="I41" s="50">
        <v>1</v>
      </c>
      <c r="J41" s="50">
        <v>3</v>
      </c>
      <c r="K41" s="50">
        <v>1</v>
      </c>
      <c r="L41" s="50">
        <v>0</v>
      </c>
      <c r="M41" s="50">
        <v>26</v>
      </c>
      <c r="N41" s="50">
        <v>0</v>
      </c>
      <c r="O41" s="15">
        <f t="shared" si="0"/>
        <v>58</v>
      </c>
      <c r="P41" s="15">
        <f t="shared" si="1"/>
        <v>84</v>
      </c>
    </row>
    <row r="42" spans="2:20" ht="23.1" customHeight="1" x14ac:dyDescent="0.25">
      <c r="B42" s="24" t="s">
        <v>69</v>
      </c>
      <c r="C42" s="50">
        <v>42</v>
      </c>
      <c r="D42" s="50">
        <v>0</v>
      </c>
      <c r="E42" s="50">
        <v>3</v>
      </c>
      <c r="F42" s="50">
        <v>3</v>
      </c>
      <c r="G42" s="50">
        <v>0</v>
      </c>
      <c r="H42" s="50">
        <v>0</v>
      </c>
      <c r="I42" s="50">
        <v>1</v>
      </c>
      <c r="J42" s="50">
        <v>2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51</v>
      </c>
      <c r="P42" s="15">
        <f t="shared" si="1"/>
        <v>68</v>
      </c>
    </row>
    <row r="43" spans="2:20" ht="23.1" customHeight="1" x14ac:dyDescent="0.25">
      <c r="B43" s="23" t="s">
        <v>70</v>
      </c>
      <c r="C43" s="50">
        <v>46</v>
      </c>
      <c r="D43" s="50">
        <v>3</v>
      </c>
      <c r="E43" s="50">
        <v>5</v>
      </c>
      <c r="F43" s="50">
        <v>0</v>
      </c>
      <c r="G43" s="50">
        <v>0</v>
      </c>
      <c r="H43" s="50">
        <v>0</v>
      </c>
      <c r="I43" s="50">
        <v>6</v>
      </c>
      <c r="J43" s="50">
        <v>7</v>
      </c>
      <c r="K43" s="50">
        <v>0</v>
      </c>
      <c r="L43" s="50">
        <v>0</v>
      </c>
      <c r="M43" s="50">
        <v>26</v>
      </c>
      <c r="N43" s="50">
        <v>0</v>
      </c>
      <c r="O43" s="15">
        <f t="shared" si="0"/>
        <v>67</v>
      </c>
      <c r="P43" s="15">
        <f t="shared" si="1"/>
        <v>93</v>
      </c>
    </row>
    <row r="44" spans="2:20" ht="23.1" customHeight="1" x14ac:dyDescent="0.25">
      <c r="B44" s="25" t="s">
        <v>71</v>
      </c>
      <c r="C44" s="50">
        <v>25</v>
      </c>
      <c r="D44" s="50">
        <v>1</v>
      </c>
      <c r="E44" s="50">
        <v>5</v>
      </c>
      <c r="F44" s="50">
        <v>0</v>
      </c>
      <c r="G44" s="50">
        <v>0</v>
      </c>
      <c r="H44" s="50">
        <v>0</v>
      </c>
      <c r="I44" s="50">
        <v>2</v>
      </c>
      <c r="J44" s="50">
        <v>1</v>
      </c>
      <c r="K44" s="50">
        <v>1</v>
      </c>
      <c r="L44" s="50">
        <v>0</v>
      </c>
      <c r="M44" s="50">
        <v>15</v>
      </c>
      <c r="N44" s="50">
        <v>0</v>
      </c>
      <c r="O44" s="15">
        <f t="shared" si="0"/>
        <v>35</v>
      </c>
      <c r="P44" s="15">
        <f t="shared" si="1"/>
        <v>50</v>
      </c>
    </row>
    <row r="45" spans="2:20" ht="23.1" customHeight="1" x14ac:dyDescent="0.25">
      <c r="B45" s="23" t="s">
        <v>72</v>
      </c>
      <c r="C45" s="50">
        <v>55</v>
      </c>
      <c r="D45" s="50">
        <v>2</v>
      </c>
      <c r="E45" s="50">
        <v>6</v>
      </c>
      <c r="F45" s="50">
        <v>1</v>
      </c>
      <c r="G45" s="50">
        <v>0</v>
      </c>
      <c r="H45" s="50">
        <v>0</v>
      </c>
      <c r="I45" s="50">
        <v>4</v>
      </c>
      <c r="J45" s="50">
        <v>7</v>
      </c>
      <c r="K45" s="50">
        <v>1</v>
      </c>
      <c r="L45" s="50">
        <v>0</v>
      </c>
      <c r="M45" s="50">
        <v>18</v>
      </c>
      <c r="N45" s="50">
        <v>0</v>
      </c>
      <c r="O45" s="15">
        <f t="shared" si="0"/>
        <v>76</v>
      </c>
      <c r="P45" s="15">
        <f t="shared" si="1"/>
        <v>94</v>
      </c>
    </row>
    <row r="46" spans="2:20" ht="23.1" customHeight="1" x14ac:dyDescent="0.25">
      <c r="B46" s="24" t="s">
        <v>73</v>
      </c>
      <c r="C46" s="50">
        <v>58</v>
      </c>
      <c r="D46" s="50">
        <v>3</v>
      </c>
      <c r="E46" s="50">
        <v>9</v>
      </c>
      <c r="F46" s="50">
        <v>2</v>
      </c>
      <c r="G46" s="50">
        <v>0</v>
      </c>
      <c r="H46" s="50">
        <v>0</v>
      </c>
      <c r="I46" s="50">
        <v>3</v>
      </c>
      <c r="J46" s="50">
        <v>4</v>
      </c>
      <c r="K46" s="50">
        <v>0</v>
      </c>
      <c r="L46" s="50">
        <v>0</v>
      </c>
      <c r="M46" s="50">
        <v>28</v>
      </c>
      <c r="N46" s="50">
        <v>0</v>
      </c>
      <c r="O46" s="15">
        <f t="shared" si="0"/>
        <v>79</v>
      </c>
      <c r="P46" s="15">
        <f t="shared" si="1"/>
        <v>107</v>
      </c>
      <c r="R46" s="8"/>
      <c r="T46"/>
    </row>
    <row r="47" spans="2:20" ht="23.1" customHeight="1" x14ac:dyDescent="0.25">
      <c r="B47" s="24" t="s">
        <v>74</v>
      </c>
      <c r="C47" s="50">
        <v>43</v>
      </c>
      <c r="D47" s="50">
        <v>0</v>
      </c>
      <c r="E47" s="50">
        <v>4</v>
      </c>
      <c r="F47" s="50">
        <v>0</v>
      </c>
      <c r="G47" s="50">
        <v>0</v>
      </c>
      <c r="H47" s="50">
        <v>0</v>
      </c>
      <c r="I47" s="50">
        <v>2</v>
      </c>
      <c r="J47" s="50">
        <v>3</v>
      </c>
      <c r="K47" s="50">
        <v>0</v>
      </c>
      <c r="L47" s="50">
        <v>0</v>
      </c>
      <c r="M47" s="50">
        <v>23</v>
      </c>
      <c r="N47" s="50">
        <v>0</v>
      </c>
      <c r="O47" s="15">
        <f t="shared" si="0"/>
        <v>52</v>
      </c>
      <c r="P47" s="15">
        <f t="shared" si="1"/>
        <v>75</v>
      </c>
      <c r="R47" s="8"/>
      <c r="T47"/>
    </row>
    <row r="48" spans="2:20" ht="23.1" customHeight="1" x14ac:dyDescent="0.25">
      <c r="B48" s="24" t="s">
        <v>75</v>
      </c>
      <c r="C48" s="50">
        <v>41</v>
      </c>
      <c r="D48" s="50">
        <v>6</v>
      </c>
      <c r="E48" s="50">
        <v>6</v>
      </c>
      <c r="F48" s="50">
        <v>1</v>
      </c>
      <c r="G48" s="50">
        <v>1</v>
      </c>
      <c r="H48" s="50">
        <v>0</v>
      </c>
      <c r="I48" s="50">
        <v>4</v>
      </c>
      <c r="J48" s="50">
        <v>1</v>
      </c>
      <c r="K48" s="50">
        <v>2</v>
      </c>
      <c r="L48" s="50">
        <v>0</v>
      </c>
      <c r="M48" s="50">
        <v>23</v>
      </c>
      <c r="N48" s="50">
        <v>0</v>
      </c>
      <c r="O48" s="15">
        <f t="shared" si="0"/>
        <v>62</v>
      </c>
      <c r="P48" s="15">
        <f t="shared" si="1"/>
        <v>85</v>
      </c>
      <c r="R48" s="8"/>
      <c r="T48"/>
    </row>
    <row r="49" spans="2:20" ht="23.1" customHeight="1" x14ac:dyDescent="0.25">
      <c r="B49" s="23" t="s">
        <v>76</v>
      </c>
      <c r="C49" s="50">
        <v>53</v>
      </c>
      <c r="D49" s="50">
        <v>5</v>
      </c>
      <c r="E49" s="50">
        <v>6</v>
      </c>
      <c r="F49" s="50">
        <v>1</v>
      </c>
      <c r="G49" s="50">
        <v>0</v>
      </c>
      <c r="H49" s="50">
        <v>0</v>
      </c>
      <c r="I49" s="50">
        <v>6</v>
      </c>
      <c r="J49" s="50">
        <v>5</v>
      </c>
      <c r="K49" s="50">
        <v>0</v>
      </c>
      <c r="L49" s="50">
        <v>0</v>
      </c>
      <c r="M49" s="50">
        <v>25</v>
      </c>
      <c r="N49" s="50">
        <v>0</v>
      </c>
      <c r="O49" s="15">
        <f t="shared" si="0"/>
        <v>76</v>
      </c>
      <c r="P49" s="15">
        <f t="shared" si="1"/>
        <v>101</v>
      </c>
      <c r="R49" s="8"/>
      <c r="T49"/>
    </row>
    <row r="50" spans="2:20" ht="23.1" customHeight="1" x14ac:dyDescent="0.25">
      <c r="B50" s="24" t="s">
        <v>77</v>
      </c>
      <c r="C50" s="50">
        <v>41</v>
      </c>
      <c r="D50" s="50">
        <v>2</v>
      </c>
      <c r="E50" s="50">
        <v>4</v>
      </c>
      <c r="F50" s="50">
        <v>2</v>
      </c>
      <c r="G50" s="50">
        <v>0</v>
      </c>
      <c r="H50" s="50">
        <v>0</v>
      </c>
      <c r="I50" s="50">
        <v>3</v>
      </c>
      <c r="J50" s="50">
        <v>6</v>
      </c>
      <c r="K50" s="50">
        <v>0</v>
      </c>
      <c r="L50" s="50">
        <v>0</v>
      </c>
      <c r="M50" s="50">
        <v>21</v>
      </c>
      <c r="N50" s="50">
        <v>0</v>
      </c>
      <c r="O50" s="15">
        <f t="shared" si="0"/>
        <v>58</v>
      </c>
      <c r="P50" s="15">
        <f t="shared" si="1"/>
        <v>79</v>
      </c>
      <c r="R50" s="8"/>
      <c r="T50"/>
    </row>
    <row r="51" spans="2:20" ht="23.1" customHeight="1" x14ac:dyDescent="0.25">
      <c r="B51" s="24" t="s">
        <v>78</v>
      </c>
      <c r="C51" s="50">
        <v>56</v>
      </c>
      <c r="D51" s="50">
        <v>3</v>
      </c>
      <c r="E51" s="50">
        <v>1</v>
      </c>
      <c r="F51" s="50">
        <v>2</v>
      </c>
      <c r="G51" s="50">
        <v>2</v>
      </c>
      <c r="H51" s="50">
        <v>1</v>
      </c>
      <c r="I51" s="50">
        <v>2</v>
      </c>
      <c r="J51" s="50">
        <v>2</v>
      </c>
      <c r="K51" s="50">
        <v>0</v>
      </c>
      <c r="L51" s="50">
        <v>0</v>
      </c>
      <c r="M51" s="50">
        <v>25</v>
      </c>
      <c r="N51" s="50">
        <v>0</v>
      </c>
      <c r="O51" s="15">
        <f t="shared" si="0"/>
        <v>69</v>
      </c>
      <c r="P51" s="15">
        <f t="shared" si="1"/>
        <v>94</v>
      </c>
      <c r="R51" s="8"/>
      <c r="T51"/>
    </row>
    <row r="52" spans="2:20" ht="23.1" customHeight="1" x14ac:dyDescent="0.25">
      <c r="B52" s="24" t="s">
        <v>79</v>
      </c>
      <c r="C52" s="50">
        <v>49</v>
      </c>
      <c r="D52" s="50">
        <v>3</v>
      </c>
      <c r="E52" s="50">
        <v>7</v>
      </c>
      <c r="F52" s="50">
        <v>1</v>
      </c>
      <c r="G52" s="50">
        <v>0</v>
      </c>
      <c r="H52" s="50">
        <v>2</v>
      </c>
      <c r="I52" s="50">
        <v>2</v>
      </c>
      <c r="J52" s="50">
        <v>1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65</v>
      </c>
      <c r="P52" s="15">
        <f t="shared" si="1"/>
        <v>91</v>
      </c>
      <c r="R52" s="8"/>
      <c r="T52"/>
    </row>
    <row r="53" spans="2:20" ht="23.1" customHeight="1" x14ac:dyDescent="0.25">
      <c r="B53" s="23" t="s">
        <v>80</v>
      </c>
      <c r="C53" s="50">
        <v>44</v>
      </c>
      <c r="D53" s="50">
        <v>1</v>
      </c>
      <c r="E53" s="50">
        <v>3</v>
      </c>
      <c r="F53" s="50">
        <v>0</v>
      </c>
      <c r="G53" s="50">
        <v>0</v>
      </c>
      <c r="H53" s="50">
        <v>1</v>
      </c>
      <c r="I53" s="50">
        <v>5</v>
      </c>
      <c r="J53" s="50">
        <v>2</v>
      </c>
      <c r="K53" s="50">
        <v>0</v>
      </c>
      <c r="L53" s="50">
        <v>0</v>
      </c>
      <c r="M53" s="50">
        <v>36</v>
      </c>
      <c r="N53" s="50">
        <v>0</v>
      </c>
      <c r="O53" s="15">
        <f t="shared" si="0"/>
        <v>56</v>
      </c>
      <c r="P53" s="15">
        <f t="shared" si="1"/>
        <v>92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2</v>
      </c>
      <c r="E54" s="50">
        <v>3</v>
      </c>
      <c r="F54" s="50">
        <v>1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45</v>
      </c>
      <c r="N54" s="50">
        <v>0</v>
      </c>
      <c r="O54" s="15">
        <f t="shared" si="0"/>
        <v>60</v>
      </c>
      <c r="P54" s="15">
        <f t="shared" si="1"/>
        <v>105</v>
      </c>
      <c r="R54" s="8"/>
      <c r="T54"/>
    </row>
    <row r="55" spans="2:20" ht="23.1" customHeight="1" x14ac:dyDescent="0.25">
      <c r="B55" s="23" t="s">
        <v>82</v>
      </c>
      <c r="C55" s="50">
        <v>44</v>
      </c>
      <c r="D55" s="50">
        <v>4</v>
      </c>
      <c r="E55" s="50">
        <v>11</v>
      </c>
      <c r="F55" s="50">
        <v>1</v>
      </c>
      <c r="G55" s="50">
        <v>0</v>
      </c>
      <c r="H55" s="50">
        <v>0</v>
      </c>
      <c r="I55" s="50">
        <v>2</v>
      </c>
      <c r="J55" s="50">
        <v>3</v>
      </c>
      <c r="K55" s="50">
        <v>1</v>
      </c>
      <c r="L55" s="50">
        <v>0</v>
      </c>
      <c r="M55" s="50">
        <v>43</v>
      </c>
      <c r="N55" s="50">
        <v>0</v>
      </c>
      <c r="O55" s="15">
        <f t="shared" si="0"/>
        <v>66</v>
      </c>
      <c r="P55" s="15">
        <f t="shared" si="1"/>
        <v>109</v>
      </c>
      <c r="R55" s="8"/>
      <c r="T55"/>
    </row>
    <row r="56" spans="2:20" ht="23.1" customHeight="1" x14ac:dyDescent="0.25">
      <c r="B56" s="23" t="s">
        <v>83</v>
      </c>
      <c r="C56" s="50">
        <v>55</v>
      </c>
      <c r="D56" s="50">
        <v>4</v>
      </c>
      <c r="E56" s="50">
        <v>11</v>
      </c>
      <c r="F56" s="50">
        <v>1</v>
      </c>
      <c r="G56" s="50">
        <v>0</v>
      </c>
      <c r="H56" s="50">
        <v>0</v>
      </c>
      <c r="I56" s="50">
        <v>2</v>
      </c>
      <c r="J56" s="50">
        <v>3</v>
      </c>
      <c r="K56" s="50">
        <v>1</v>
      </c>
      <c r="L56" s="50">
        <v>0</v>
      </c>
      <c r="M56" s="50">
        <v>50</v>
      </c>
      <c r="N56" s="50">
        <v>0</v>
      </c>
      <c r="O56" s="15">
        <f t="shared" si="0"/>
        <v>77</v>
      </c>
      <c r="P56" s="15">
        <f t="shared" si="1"/>
        <v>127</v>
      </c>
      <c r="R56" s="8"/>
      <c r="T56"/>
    </row>
    <row r="57" spans="2:20" ht="23.1" customHeight="1" x14ac:dyDescent="0.25">
      <c r="B57" s="23" t="s">
        <v>84</v>
      </c>
      <c r="C57" s="50">
        <v>51</v>
      </c>
      <c r="D57" s="50">
        <v>0</v>
      </c>
      <c r="E57" s="50">
        <v>5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1</v>
      </c>
      <c r="L57" s="50">
        <v>0</v>
      </c>
      <c r="M57" s="50" t="s">
        <v>184</v>
      </c>
      <c r="N57" s="50">
        <v>0</v>
      </c>
      <c r="O57" s="15">
        <f t="shared" si="0"/>
        <v>60</v>
      </c>
      <c r="P57" s="15">
        <f t="shared" si="1"/>
        <v>60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1815</v>
      </c>
      <c r="D58" s="16">
        <f t="shared" si="21"/>
        <v>152</v>
      </c>
      <c r="E58" s="16">
        <f t="shared" si="21"/>
        <v>226</v>
      </c>
      <c r="F58" s="16">
        <f t="shared" si="21"/>
        <v>41</v>
      </c>
      <c r="G58" s="16">
        <f t="shared" si="21"/>
        <v>10</v>
      </c>
      <c r="H58" s="16">
        <f t="shared" si="21"/>
        <v>4</v>
      </c>
      <c r="I58" s="16">
        <f t="shared" si="21"/>
        <v>124</v>
      </c>
      <c r="J58" s="16">
        <f t="shared" si="21"/>
        <v>115</v>
      </c>
      <c r="K58" s="16">
        <f t="shared" si="21"/>
        <v>22</v>
      </c>
      <c r="L58" s="16">
        <f t="shared" si="21"/>
        <v>1</v>
      </c>
      <c r="M58" s="16">
        <f t="shared" si="21"/>
        <v>1366</v>
      </c>
      <c r="N58" s="16">
        <f t="shared" si="21"/>
        <v>0</v>
      </c>
      <c r="O58" s="16">
        <f t="shared" si="21"/>
        <v>2510</v>
      </c>
      <c r="P58" s="16">
        <f t="shared" si="21"/>
        <v>3876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0.46826625386996906</v>
      </c>
      <c r="D59" s="43">
        <f t="shared" si="22"/>
        <v>3.9215686274509803E-2</v>
      </c>
      <c r="E59" s="43">
        <f t="shared" si="22"/>
        <v>5.8307533539731685E-2</v>
      </c>
      <c r="F59" s="43">
        <f t="shared" si="22"/>
        <v>1.0577915376676987E-2</v>
      </c>
      <c r="G59" s="43">
        <f t="shared" si="22"/>
        <v>2.5799793601651187E-3</v>
      </c>
      <c r="H59" s="43">
        <f t="shared" si="22"/>
        <v>1.0319917440660474E-3</v>
      </c>
      <c r="I59" s="43">
        <f t="shared" si="22"/>
        <v>3.1991744066047469E-2</v>
      </c>
      <c r="J59" s="43">
        <f t="shared" si="22"/>
        <v>2.9669762641898866E-2</v>
      </c>
      <c r="K59" s="43">
        <f t="shared" si="22"/>
        <v>5.6759545923632613E-3</v>
      </c>
      <c r="L59" s="43">
        <f t="shared" si="22"/>
        <v>2.5799793601651185E-4</v>
      </c>
      <c r="M59" s="43">
        <f t="shared" si="22"/>
        <v>0.35242518059855521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0.72310756972111556</v>
      </c>
      <c r="D60" s="44">
        <f t="shared" ref="D60:N60" si="23">D58/$O$58</f>
        <v>6.0557768924302792E-2</v>
      </c>
      <c r="E60" s="44">
        <f t="shared" si="23"/>
        <v>9.00398406374502E-2</v>
      </c>
      <c r="F60" s="44">
        <f t="shared" si="23"/>
        <v>1.6334661354581673E-2</v>
      </c>
      <c r="G60" s="44">
        <f t="shared" si="23"/>
        <v>3.9840637450199202E-3</v>
      </c>
      <c r="H60" s="44">
        <f t="shared" si="23"/>
        <v>1.5936254980079682E-3</v>
      </c>
      <c r="I60" s="44">
        <f t="shared" si="23"/>
        <v>4.9402390438247012E-2</v>
      </c>
      <c r="J60" s="44">
        <f t="shared" si="23"/>
        <v>4.5816733067729085E-2</v>
      </c>
      <c r="K60" s="44">
        <f t="shared" si="23"/>
        <v>8.7649402390438252E-3</v>
      </c>
      <c r="L60" s="44">
        <f t="shared" si="23"/>
        <v>3.9840637450199205E-4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AF174"/>
  <sheetViews>
    <sheetView view="pageBreakPreview" topLeftCell="A82" zoomScale="60" workbookViewId="0">
      <selection activeCell="R8" sqref="R8:AF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3" t="str">
        <f>'[2]23.09.19 Bweya- Kajansi'!C3:G3</f>
        <v>MCC-C2-STNO 56 -Munyonyo spur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'[2]28.09 Bweya-Kajansi-24h'!D5</f>
        <v>28.09.19</v>
      </c>
      <c r="F5" s="41" t="s">
        <v>1</v>
      </c>
      <c r="G5" s="71" t="str">
        <f>'[2]28.09 Bweya-Kajansi-24h'!G5:H5</f>
        <v>Munyonyo Spur RD</v>
      </c>
      <c r="H5" s="72"/>
      <c r="I5" s="14"/>
      <c r="J5" s="2" t="s">
        <v>5</v>
      </c>
      <c r="K5" s="71" t="str">
        <f>'[2]28.09 Bweya-Kajansi-24h'!K5:L5</f>
        <v>Akello Rosette / Kasoma John Paul</v>
      </c>
      <c r="L5" s="72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1" t="str">
        <f>'[2]23.09.19 Kajansi -Bweya'!D6:E6</f>
        <v>KAJANSI</v>
      </c>
      <c r="E6" s="72"/>
      <c r="F6" s="2" t="s">
        <v>2</v>
      </c>
      <c r="G6" s="71" t="str">
        <f>'[2]23.09.19 Kajansi -Bweya'!G6:H6</f>
        <v>BWEYA</v>
      </c>
      <c r="H6" s="72"/>
      <c r="J6" s="2" t="s">
        <v>21</v>
      </c>
      <c r="K6" s="71" t="str">
        <f>'[2]28.09 Bweya-Kajansi-24h'!K6:L6</f>
        <v>Beatrice</v>
      </c>
      <c r="L6" s="72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22</v>
      </c>
      <c r="D10" s="50">
        <v>1</v>
      </c>
      <c r="E10" s="50">
        <v>3</v>
      </c>
      <c r="F10" s="50">
        <v>2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30</v>
      </c>
      <c r="N10" s="50">
        <v>0</v>
      </c>
      <c r="O10" s="17">
        <f t="shared" ref="O10:O73" si="0">SUM(C10:L10,N10)</f>
        <v>31</v>
      </c>
      <c r="P10" s="17">
        <f t="shared" ref="P10:P73" si="1">SUM(C10:N10)</f>
        <v>61</v>
      </c>
      <c r="R10" s="1" t="s">
        <v>6</v>
      </c>
      <c r="S10" s="17">
        <f t="shared" ref="S10:AF10" si="2">SUM(C10:C13)</f>
        <v>87</v>
      </c>
      <c r="T10" s="17">
        <f t="shared" si="2"/>
        <v>6</v>
      </c>
      <c r="U10" s="17">
        <f t="shared" si="2"/>
        <v>14</v>
      </c>
      <c r="V10" s="17">
        <f t="shared" si="2"/>
        <v>9</v>
      </c>
      <c r="W10" s="17">
        <f t="shared" si="2"/>
        <v>2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112</v>
      </c>
      <c r="AD10" s="17">
        <f t="shared" si="2"/>
        <v>0</v>
      </c>
      <c r="AE10" s="31">
        <f t="shared" si="2"/>
        <v>123</v>
      </c>
      <c r="AF10" s="31">
        <f t="shared" si="2"/>
        <v>235</v>
      </c>
    </row>
    <row r="11" spans="2:32" s="6" customFormat="1" ht="23.1" customHeight="1" x14ac:dyDescent="0.25">
      <c r="B11" s="45" t="s">
        <v>38</v>
      </c>
      <c r="C11" s="50">
        <v>16</v>
      </c>
      <c r="D11" s="50">
        <v>3</v>
      </c>
      <c r="E11" s="50">
        <v>4</v>
      </c>
      <c r="F11" s="50">
        <v>2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27</v>
      </c>
      <c r="N11" s="50">
        <v>0</v>
      </c>
      <c r="O11" s="17">
        <f t="shared" si="0"/>
        <v>27</v>
      </c>
      <c r="P11" s="17">
        <f t="shared" si="1"/>
        <v>54</v>
      </c>
      <c r="R11" s="1" t="s">
        <v>7</v>
      </c>
      <c r="S11" s="17">
        <f t="shared" ref="S11:AF11" si="3">SUM(C14:C17)</f>
        <v>138</v>
      </c>
      <c r="T11" s="17">
        <f t="shared" si="3"/>
        <v>2</v>
      </c>
      <c r="U11" s="17">
        <f t="shared" si="3"/>
        <v>12</v>
      </c>
      <c r="V11" s="17">
        <f t="shared" si="3"/>
        <v>4</v>
      </c>
      <c r="W11" s="17">
        <f t="shared" si="3"/>
        <v>1</v>
      </c>
      <c r="X11" s="17">
        <f t="shared" si="3"/>
        <v>0</v>
      </c>
      <c r="Y11" s="17">
        <f t="shared" si="3"/>
        <v>11</v>
      </c>
      <c r="Z11" s="17">
        <f t="shared" si="3"/>
        <v>7</v>
      </c>
      <c r="AA11" s="17">
        <f t="shared" si="3"/>
        <v>1</v>
      </c>
      <c r="AB11" s="17">
        <f t="shared" si="3"/>
        <v>0</v>
      </c>
      <c r="AC11" s="17">
        <f t="shared" si="3"/>
        <v>168</v>
      </c>
      <c r="AD11" s="17">
        <f t="shared" si="3"/>
        <v>0</v>
      </c>
      <c r="AE11" s="31">
        <f t="shared" si="3"/>
        <v>176</v>
      </c>
      <c r="AF11" s="31">
        <f t="shared" si="3"/>
        <v>344</v>
      </c>
    </row>
    <row r="12" spans="2:32" ht="23.1" customHeight="1" x14ac:dyDescent="0.25">
      <c r="B12" s="45" t="s">
        <v>39</v>
      </c>
      <c r="C12" s="50">
        <v>30</v>
      </c>
      <c r="D12" s="50">
        <v>1</v>
      </c>
      <c r="E12" s="50">
        <v>3</v>
      </c>
      <c r="F12" s="50">
        <v>2</v>
      </c>
      <c r="G12" s="50">
        <v>1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30</v>
      </c>
      <c r="N12" s="50">
        <v>0</v>
      </c>
      <c r="O12" s="17">
        <f t="shared" si="0"/>
        <v>37</v>
      </c>
      <c r="P12" s="17">
        <f t="shared" si="1"/>
        <v>67</v>
      </c>
      <c r="R12" s="1" t="s">
        <v>8</v>
      </c>
      <c r="S12" s="17">
        <f t="shared" ref="S12:AF12" si="4">SUM(C18:C21)</f>
        <v>157</v>
      </c>
      <c r="T12" s="17">
        <f t="shared" si="4"/>
        <v>8</v>
      </c>
      <c r="U12" s="17">
        <f t="shared" si="4"/>
        <v>17</v>
      </c>
      <c r="V12" s="17">
        <f t="shared" si="4"/>
        <v>5</v>
      </c>
      <c r="W12" s="17">
        <f t="shared" si="4"/>
        <v>1</v>
      </c>
      <c r="X12" s="17">
        <f t="shared" si="4"/>
        <v>1</v>
      </c>
      <c r="Y12" s="17">
        <f t="shared" si="4"/>
        <v>12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158</v>
      </c>
      <c r="AD12" s="17">
        <f t="shared" si="4"/>
        <v>0</v>
      </c>
      <c r="AE12" s="31">
        <f t="shared" si="4"/>
        <v>209</v>
      </c>
      <c r="AF12" s="31">
        <f t="shared" si="4"/>
        <v>367</v>
      </c>
    </row>
    <row r="13" spans="2:32" ht="23.1" customHeight="1" x14ac:dyDescent="0.25">
      <c r="B13" s="45" t="s">
        <v>40</v>
      </c>
      <c r="C13" s="50">
        <v>19</v>
      </c>
      <c r="D13" s="50">
        <v>1</v>
      </c>
      <c r="E13" s="50">
        <v>4</v>
      </c>
      <c r="F13" s="50">
        <v>3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25</v>
      </c>
      <c r="N13" s="50">
        <v>0</v>
      </c>
      <c r="O13" s="17">
        <f t="shared" si="0"/>
        <v>28</v>
      </c>
      <c r="P13" s="17">
        <f t="shared" si="1"/>
        <v>53</v>
      </c>
      <c r="R13" s="1" t="s">
        <v>9</v>
      </c>
      <c r="S13" s="17">
        <f t="shared" ref="S13:AF13" si="5">SUM(C22:C25)</f>
        <v>157</v>
      </c>
      <c r="T13" s="17">
        <f t="shared" si="5"/>
        <v>3</v>
      </c>
      <c r="U13" s="17">
        <f t="shared" si="5"/>
        <v>9</v>
      </c>
      <c r="V13" s="17">
        <f t="shared" si="5"/>
        <v>5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122</v>
      </c>
      <c r="AD13" s="17">
        <f t="shared" si="5"/>
        <v>0</v>
      </c>
      <c r="AE13" s="31">
        <f t="shared" si="5"/>
        <v>187</v>
      </c>
      <c r="AF13" s="31">
        <f t="shared" si="5"/>
        <v>309</v>
      </c>
    </row>
    <row r="14" spans="2:32" ht="23.1" customHeight="1" x14ac:dyDescent="0.25">
      <c r="B14" s="45" t="s">
        <v>41</v>
      </c>
      <c r="C14" s="50">
        <v>41</v>
      </c>
      <c r="D14" s="50">
        <v>0</v>
      </c>
      <c r="E14" s="50">
        <v>4</v>
      </c>
      <c r="F14" s="50">
        <v>0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51</v>
      </c>
      <c r="N14" s="50">
        <v>0</v>
      </c>
      <c r="O14" s="17">
        <f t="shared" si="0"/>
        <v>49</v>
      </c>
      <c r="P14" s="17">
        <f t="shared" si="1"/>
        <v>100</v>
      </c>
      <c r="R14" s="1" t="s">
        <v>10</v>
      </c>
      <c r="S14" s="17">
        <f t="shared" ref="S14:AF14" si="6">SUM(C26:C29)</f>
        <v>189</v>
      </c>
      <c r="T14" s="17">
        <f t="shared" si="6"/>
        <v>13</v>
      </c>
      <c r="U14" s="17">
        <f t="shared" si="6"/>
        <v>10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7</v>
      </c>
      <c r="AA14" s="17">
        <f t="shared" si="6"/>
        <v>2</v>
      </c>
      <c r="AB14" s="17">
        <f t="shared" si="6"/>
        <v>0</v>
      </c>
      <c r="AC14" s="17">
        <f t="shared" si="6"/>
        <v>119</v>
      </c>
      <c r="AD14" s="17">
        <f t="shared" si="6"/>
        <v>1</v>
      </c>
      <c r="AE14" s="31">
        <f t="shared" si="6"/>
        <v>240</v>
      </c>
      <c r="AF14" s="31">
        <f t="shared" si="6"/>
        <v>359</v>
      </c>
    </row>
    <row r="15" spans="2:32" ht="23.1" customHeight="1" x14ac:dyDescent="0.25">
      <c r="B15" s="45" t="s">
        <v>42</v>
      </c>
      <c r="C15" s="50">
        <v>21</v>
      </c>
      <c r="D15" s="50">
        <v>0</v>
      </c>
      <c r="E15" s="50">
        <v>6</v>
      </c>
      <c r="F15" s="50">
        <v>1</v>
      </c>
      <c r="G15" s="50">
        <v>1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40</v>
      </c>
      <c r="N15" s="50">
        <v>0</v>
      </c>
      <c r="O15" s="17">
        <f t="shared" si="0"/>
        <v>32</v>
      </c>
      <c r="P15" s="17">
        <f t="shared" si="1"/>
        <v>72</v>
      </c>
      <c r="R15" s="1" t="s">
        <v>11</v>
      </c>
      <c r="S15" s="17">
        <f t="shared" ref="S15:AF15" si="7">SUM(C30:C33)</f>
        <v>183</v>
      </c>
      <c r="T15" s="17">
        <f t="shared" si="7"/>
        <v>23</v>
      </c>
      <c r="U15" s="17">
        <f t="shared" si="7"/>
        <v>9</v>
      </c>
      <c r="V15" s="17">
        <f t="shared" si="7"/>
        <v>4</v>
      </c>
      <c r="W15" s="17">
        <f t="shared" si="7"/>
        <v>1</v>
      </c>
      <c r="X15" s="17">
        <f t="shared" si="7"/>
        <v>0</v>
      </c>
      <c r="Y15" s="17">
        <f t="shared" si="7"/>
        <v>13</v>
      </c>
      <c r="Z15" s="17">
        <f t="shared" si="7"/>
        <v>8</v>
      </c>
      <c r="AA15" s="17">
        <f t="shared" si="7"/>
        <v>2</v>
      </c>
      <c r="AB15" s="17">
        <f t="shared" si="7"/>
        <v>0</v>
      </c>
      <c r="AC15" s="17">
        <f t="shared" si="7"/>
        <v>107</v>
      </c>
      <c r="AD15" s="17">
        <f t="shared" si="7"/>
        <v>0</v>
      </c>
      <c r="AE15" s="31">
        <f t="shared" si="7"/>
        <v>243</v>
      </c>
      <c r="AF15" s="31">
        <f t="shared" si="7"/>
        <v>350</v>
      </c>
    </row>
    <row r="16" spans="2:32" ht="23.1" customHeight="1" x14ac:dyDescent="0.25">
      <c r="B16" s="45" t="s">
        <v>43</v>
      </c>
      <c r="C16" s="50">
        <v>35</v>
      </c>
      <c r="D16" s="50">
        <v>1</v>
      </c>
      <c r="E16" s="50">
        <v>2</v>
      </c>
      <c r="F16" s="50">
        <v>1</v>
      </c>
      <c r="G16" s="50">
        <v>0</v>
      </c>
      <c r="H16" s="50">
        <v>0</v>
      </c>
      <c r="I16" s="50">
        <v>3</v>
      </c>
      <c r="J16" s="50">
        <v>3</v>
      </c>
      <c r="K16" s="50">
        <v>0</v>
      </c>
      <c r="L16" s="50">
        <v>0</v>
      </c>
      <c r="M16" s="50">
        <v>36</v>
      </c>
      <c r="N16" s="50">
        <v>0</v>
      </c>
      <c r="O16" s="17">
        <f t="shared" si="0"/>
        <v>45</v>
      </c>
      <c r="P16" s="17">
        <f t="shared" si="1"/>
        <v>81</v>
      </c>
      <c r="R16" s="1" t="s">
        <v>12</v>
      </c>
      <c r="S16" s="17">
        <f t="shared" ref="S16:AF16" si="8">SUM(C34:C37)</f>
        <v>218</v>
      </c>
      <c r="T16" s="17">
        <f t="shared" si="8"/>
        <v>19</v>
      </c>
      <c r="U16" s="17">
        <f t="shared" si="8"/>
        <v>31</v>
      </c>
      <c r="V16" s="17">
        <f t="shared" si="8"/>
        <v>5</v>
      </c>
      <c r="W16" s="17">
        <f t="shared" si="8"/>
        <v>1</v>
      </c>
      <c r="X16" s="17">
        <f t="shared" si="8"/>
        <v>0</v>
      </c>
      <c r="Y16" s="17">
        <f t="shared" si="8"/>
        <v>11</v>
      </c>
      <c r="Z16" s="17">
        <f t="shared" si="8"/>
        <v>8</v>
      </c>
      <c r="AA16" s="17">
        <f t="shared" si="8"/>
        <v>3</v>
      </c>
      <c r="AB16" s="17">
        <f t="shared" si="8"/>
        <v>0</v>
      </c>
      <c r="AC16" s="17">
        <f t="shared" si="8"/>
        <v>122</v>
      </c>
      <c r="AD16" s="17">
        <f t="shared" si="8"/>
        <v>0</v>
      </c>
      <c r="AE16" s="31">
        <f t="shared" si="8"/>
        <v>296</v>
      </c>
      <c r="AF16" s="31">
        <f t="shared" si="8"/>
        <v>418</v>
      </c>
    </row>
    <row r="17" spans="2:32" ht="23.1" customHeight="1" x14ac:dyDescent="0.25">
      <c r="B17" s="45" t="s">
        <v>44</v>
      </c>
      <c r="C17" s="50">
        <v>41</v>
      </c>
      <c r="D17" s="50">
        <v>1</v>
      </c>
      <c r="E17" s="50">
        <v>0</v>
      </c>
      <c r="F17" s="50">
        <v>2</v>
      </c>
      <c r="G17" s="50">
        <v>0</v>
      </c>
      <c r="H17" s="50">
        <v>0</v>
      </c>
      <c r="I17" s="50">
        <v>2</v>
      </c>
      <c r="J17" s="50">
        <v>3</v>
      </c>
      <c r="K17" s="50">
        <v>1</v>
      </c>
      <c r="L17" s="50">
        <v>0</v>
      </c>
      <c r="M17" s="50">
        <v>41</v>
      </c>
      <c r="N17" s="50">
        <v>0</v>
      </c>
      <c r="O17" s="17">
        <f t="shared" si="0"/>
        <v>50</v>
      </c>
      <c r="P17" s="17">
        <f t="shared" si="1"/>
        <v>91</v>
      </c>
      <c r="R17" s="1" t="s">
        <v>13</v>
      </c>
      <c r="S17" s="17">
        <f t="shared" ref="S17:AF17" si="9">SUM(C38:C41)</f>
        <v>248</v>
      </c>
      <c r="T17" s="17">
        <f t="shared" si="9"/>
        <v>23</v>
      </c>
      <c r="U17" s="17">
        <f t="shared" si="9"/>
        <v>24</v>
      </c>
      <c r="V17" s="17">
        <f t="shared" si="9"/>
        <v>4</v>
      </c>
      <c r="W17" s="17">
        <f t="shared" si="9"/>
        <v>5</v>
      </c>
      <c r="X17" s="17">
        <f t="shared" si="9"/>
        <v>1</v>
      </c>
      <c r="Y17" s="17">
        <f t="shared" si="9"/>
        <v>21</v>
      </c>
      <c r="Z17" s="17">
        <f t="shared" si="9"/>
        <v>6</v>
      </c>
      <c r="AA17" s="17">
        <f t="shared" si="9"/>
        <v>4</v>
      </c>
      <c r="AB17" s="17">
        <f t="shared" si="9"/>
        <v>0</v>
      </c>
      <c r="AC17" s="17">
        <f t="shared" si="9"/>
        <v>159</v>
      </c>
      <c r="AD17" s="17">
        <f t="shared" si="9"/>
        <v>0</v>
      </c>
      <c r="AE17" s="31">
        <f t="shared" si="9"/>
        <v>336</v>
      </c>
      <c r="AF17" s="31">
        <f t="shared" si="9"/>
        <v>495</v>
      </c>
    </row>
    <row r="18" spans="2:32" ht="23.1" customHeight="1" x14ac:dyDescent="0.25">
      <c r="B18" s="45" t="s">
        <v>45</v>
      </c>
      <c r="C18" s="50">
        <v>38</v>
      </c>
      <c r="D18" s="50">
        <v>2</v>
      </c>
      <c r="E18" s="50">
        <v>3</v>
      </c>
      <c r="F18" s="50">
        <v>4</v>
      </c>
      <c r="G18" s="50">
        <v>0</v>
      </c>
      <c r="H18" s="50">
        <v>1</v>
      </c>
      <c r="I18" s="50">
        <v>3</v>
      </c>
      <c r="J18" s="50">
        <v>1</v>
      </c>
      <c r="K18" s="50">
        <v>0</v>
      </c>
      <c r="L18" s="50">
        <v>0</v>
      </c>
      <c r="M18" s="50">
        <v>46</v>
      </c>
      <c r="N18" s="50">
        <v>0</v>
      </c>
      <c r="O18" s="17">
        <f t="shared" si="0"/>
        <v>52</v>
      </c>
      <c r="P18" s="17">
        <f t="shared" si="1"/>
        <v>98</v>
      </c>
      <c r="R18" s="1" t="s">
        <v>14</v>
      </c>
      <c r="S18" s="17">
        <f t="shared" ref="S18:AF18" si="10">SUM(C42:C45)</f>
        <v>291</v>
      </c>
      <c r="T18" s="17">
        <f t="shared" si="10"/>
        <v>8</v>
      </c>
      <c r="U18" s="17">
        <f t="shared" si="10"/>
        <v>17</v>
      </c>
      <c r="V18" s="17">
        <f t="shared" si="10"/>
        <v>1</v>
      </c>
      <c r="W18" s="17">
        <f t="shared" si="10"/>
        <v>2</v>
      </c>
      <c r="X18" s="17">
        <f t="shared" si="10"/>
        <v>0</v>
      </c>
      <c r="Y18" s="17">
        <f t="shared" si="10"/>
        <v>9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91</v>
      </c>
      <c r="AD18" s="17">
        <f t="shared" si="10"/>
        <v>0</v>
      </c>
      <c r="AE18" s="31">
        <f t="shared" si="10"/>
        <v>332</v>
      </c>
      <c r="AF18" s="31">
        <f t="shared" si="10"/>
        <v>423</v>
      </c>
    </row>
    <row r="19" spans="2:32" ht="23.1" customHeight="1" x14ac:dyDescent="0.25">
      <c r="B19" s="45" t="s">
        <v>46</v>
      </c>
      <c r="C19" s="50">
        <v>39</v>
      </c>
      <c r="D19" s="50">
        <v>2</v>
      </c>
      <c r="E19" s="50">
        <v>5</v>
      </c>
      <c r="F19" s="50">
        <v>0</v>
      </c>
      <c r="G19" s="50">
        <v>0</v>
      </c>
      <c r="H19" s="50">
        <v>0</v>
      </c>
      <c r="I19" s="50">
        <v>4</v>
      </c>
      <c r="J19" s="50">
        <v>3</v>
      </c>
      <c r="K19" s="50">
        <v>0</v>
      </c>
      <c r="L19" s="50">
        <v>0</v>
      </c>
      <c r="M19" s="50">
        <v>30</v>
      </c>
      <c r="N19" s="50">
        <v>0</v>
      </c>
      <c r="O19" s="17">
        <f t="shared" si="0"/>
        <v>53</v>
      </c>
      <c r="P19" s="17">
        <f t="shared" si="1"/>
        <v>83</v>
      </c>
      <c r="R19" s="1" t="s">
        <v>15</v>
      </c>
      <c r="S19" s="17">
        <f t="shared" ref="S19:AF19" si="11">SUM(C46:C49)</f>
        <v>300</v>
      </c>
      <c r="T19" s="17">
        <f t="shared" si="11"/>
        <v>9</v>
      </c>
      <c r="U19" s="17">
        <f t="shared" si="11"/>
        <v>23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4</v>
      </c>
      <c r="AA19" s="17">
        <f t="shared" si="11"/>
        <v>3</v>
      </c>
      <c r="AB19" s="17">
        <f t="shared" si="11"/>
        <v>0</v>
      </c>
      <c r="AC19" s="17">
        <f t="shared" si="11"/>
        <v>113</v>
      </c>
      <c r="AD19" s="17">
        <f t="shared" si="11"/>
        <v>0</v>
      </c>
      <c r="AE19" s="31">
        <f t="shared" si="11"/>
        <v>354</v>
      </c>
      <c r="AF19" s="31">
        <f t="shared" si="11"/>
        <v>467</v>
      </c>
    </row>
    <row r="20" spans="2:32" ht="23.1" customHeight="1" x14ac:dyDescent="0.25">
      <c r="B20" s="45" t="s">
        <v>47</v>
      </c>
      <c r="C20" s="50">
        <v>39</v>
      </c>
      <c r="D20" s="50">
        <v>3</v>
      </c>
      <c r="E20" s="50">
        <v>3</v>
      </c>
      <c r="F20" s="50">
        <v>1</v>
      </c>
      <c r="G20" s="50">
        <v>1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40</v>
      </c>
      <c r="N20" s="50">
        <v>0</v>
      </c>
      <c r="O20" s="17">
        <f t="shared" si="0"/>
        <v>53</v>
      </c>
      <c r="P20" s="17">
        <f t="shared" si="1"/>
        <v>93</v>
      </c>
      <c r="R20" s="1" t="s">
        <v>16</v>
      </c>
      <c r="S20" s="17">
        <f t="shared" ref="S20:AF20" si="12">SUM(C50:C53)</f>
        <v>251</v>
      </c>
      <c r="T20" s="17">
        <f t="shared" si="12"/>
        <v>40</v>
      </c>
      <c r="U20" s="17">
        <f t="shared" si="12"/>
        <v>30</v>
      </c>
      <c r="V20" s="17">
        <f t="shared" si="12"/>
        <v>4</v>
      </c>
      <c r="W20" s="17">
        <f t="shared" si="12"/>
        <v>4</v>
      </c>
      <c r="X20" s="17">
        <f t="shared" si="12"/>
        <v>1</v>
      </c>
      <c r="Y20" s="17">
        <f t="shared" si="12"/>
        <v>18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116</v>
      </c>
      <c r="AD20" s="17">
        <f t="shared" si="12"/>
        <v>0</v>
      </c>
      <c r="AE20" s="31">
        <f t="shared" si="12"/>
        <v>354</v>
      </c>
      <c r="AF20" s="31">
        <f t="shared" si="12"/>
        <v>470</v>
      </c>
    </row>
    <row r="21" spans="2:32" ht="23.1" customHeight="1" x14ac:dyDescent="0.25">
      <c r="B21" s="45" t="s">
        <v>48</v>
      </c>
      <c r="C21" s="50">
        <v>41</v>
      </c>
      <c r="D21" s="50">
        <v>1</v>
      </c>
      <c r="E21" s="50">
        <v>6</v>
      </c>
      <c r="F21" s="50">
        <v>0</v>
      </c>
      <c r="G21" s="50">
        <v>0</v>
      </c>
      <c r="H21" s="50">
        <v>0</v>
      </c>
      <c r="I21" s="50">
        <v>0</v>
      </c>
      <c r="J21" s="50">
        <v>3</v>
      </c>
      <c r="K21" s="50">
        <v>0</v>
      </c>
      <c r="L21" s="50">
        <v>0</v>
      </c>
      <c r="M21" s="50">
        <v>42</v>
      </c>
      <c r="N21" s="50">
        <v>0</v>
      </c>
      <c r="O21" s="17">
        <f t="shared" si="0"/>
        <v>51</v>
      </c>
      <c r="P21" s="17">
        <f t="shared" si="1"/>
        <v>93</v>
      </c>
      <c r="R21" s="36" t="s">
        <v>20</v>
      </c>
      <c r="S21" s="34">
        <f t="shared" ref="S21:AF21" si="13">SUM(C54:C57)</f>
        <v>263</v>
      </c>
      <c r="T21" s="17">
        <f t="shared" si="13"/>
        <v>8</v>
      </c>
      <c r="U21" s="17">
        <f t="shared" si="13"/>
        <v>33</v>
      </c>
      <c r="V21" s="17">
        <f t="shared" si="13"/>
        <v>6</v>
      </c>
      <c r="W21" s="17">
        <f t="shared" si="13"/>
        <v>1</v>
      </c>
      <c r="X21" s="17">
        <f t="shared" si="13"/>
        <v>0</v>
      </c>
      <c r="Y21" s="17">
        <f t="shared" si="13"/>
        <v>16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164</v>
      </c>
      <c r="AD21" s="17">
        <f t="shared" si="13"/>
        <v>0</v>
      </c>
      <c r="AE21" s="31">
        <f t="shared" si="13"/>
        <v>329</v>
      </c>
      <c r="AF21" s="31">
        <f t="shared" si="13"/>
        <v>493</v>
      </c>
    </row>
    <row r="22" spans="2:32" ht="23.1" customHeight="1" x14ac:dyDescent="0.25">
      <c r="B22" s="45" t="s">
        <v>49</v>
      </c>
      <c r="C22" s="50">
        <v>39</v>
      </c>
      <c r="D22" s="50">
        <v>3</v>
      </c>
      <c r="E22" s="50">
        <v>1</v>
      </c>
      <c r="F22" s="50">
        <v>1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22</v>
      </c>
      <c r="N22" s="50">
        <v>0</v>
      </c>
      <c r="O22" s="17">
        <f t="shared" si="0"/>
        <v>47</v>
      </c>
      <c r="P22" s="17">
        <f t="shared" si="1"/>
        <v>69</v>
      </c>
      <c r="R22" s="36" t="s">
        <v>146</v>
      </c>
      <c r="S22" s="34">
        <f>SUM(C58:C61)</f>
        <v>173</v>
      </c>
      <c r="T22" s="34">
        <f t="shared" ref="T22:AF22" si="14">SUM(D58:D61)</f>
        <v>46</v>
      </c>
      <c r="U22" s="34">
        <f t="shared" si="14"/>
        <v>19</v>
      </c>
      <c r="V22" s="34">
        <f t="shared" si="14"/>
        <v>8</v>
      </c>
      <c r="W22" s="34">
        <f t="shared" si="14"/>
        <v>1</v>
      </c>
      <c r="X22" s="34">
        <f t="shared" si="14"/>
        <v>0</v>
      </c>
      <c r="Y22" s="34">
        <f t="shared" si="14"/>
        <v>12</v>
      </c>
      <c r="Z22" s="34">
        <f t="shared" si="14"/>
        <v>3</v>
      </c>
      <c r="AA22" s="34">
        <f t="shared" si="14"/>
        <v>1</v>
      </c>
      <c r="AB22" s="34">
        <f t="shared" si="14"/>
        <v>0</v>
      </c>
      <c r="AC22" s="34">
        <f t="shared" si="14"/>
        <v>113</v>
      </c>
      <c r="AD22" s="34">
        <f t="shared" si="14"/>
        <v>0</v>
      </c>
      <c r="AE22" s="31">
        <f t="shared" si="14"/>
        <v>263</v>
      </c>
      <c r="AF22" s="31">
        <f t="shared" si="14"/>
        <v>376</v>
      </c>
    </row>
    <row r="23" spans="2:32" ht="23.1" customHeight="1" x14ac:dyDescent="0.25">
      <c r="B23" s="45" t="s">
        <v>50</v>
      </c>
      <c r="C23" s="50">
        <v>36</v>
      </c>
      <c r="D23" s="50">
        <v>0</v>
      </c>
      <c r="E23" s="50">
        <v>4</v>
      </c>
      <c r="F23" s="50">
        <v>2</v>
      </c>
      <c r="G23" s="50">
        <v>1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42</v>
      </c>
      <c r="N23" s="50">
        <v>0</v>
      </c>
      <c r="O23" s="17">
        <f t="shared" si="0"/>
        <v>44</v>
      </c>
      <c r="P23" s="17">
        <f t="shared" si="1"/>
        <v>86</v>
      </c>
      <c r="R23" s="36" t="s">
        <v>147</v>
      </c>
      <c r="S23" s="34">
        <f>SUM(C62:C65)</f>
        <v>175</v>
      </c>
      <c r="T23" s="34">
        <f t="shared" ref="T23:AF23" si="15">SUM(D62:D65)</f>
        <v>38</v>
      </c>
      <c r="U23" s="34">
        <f t="shared" si="15"/>
        <v>13</v>
      </c>
      <c r="V23" s="34">
        <f t="shared" si="15"/>
        <v>7</v>
      </c>
      <c r="W23" s="34">
        <f t="shared" si="15"/>
        <v>3</v>
      </c>
      <c r="X23" s="34">
        <f t="shared" si="15"/>
        <v>0</v>
      </c>
      <c r="Y23" s="34">
        <f t="shared" si="15"/>
        <v>7</v>
      </c>
      <c r="Z23" s="34">
        <f t="shared" si="15"/>
        <v>3</v>
      </c>
      <c r="AA23" s="34">
        <f t="shared" si="15"/>
        <v>2</v>
      </c>
      <c r="AB23" s="34">
        <f t="shared" si="15"/>
        <v>0</v>
      </c>
      <c r="AC23" s="34">
        <f t="shared" si="15"/>
        <v>130</v>
      </c>
      <c r="AD23" s="34">
        <f t="shared" si="15"/>
        <v>0</v>
      </c>
      <c r="AE23" s="31">
        <f t="shared" si="15"/>
        <v>248</v>
      </c>
      <c r="AF23" s="31">
        <f t="shared" si="15"/>
        <v>378</v>
      </c>
    </row>
    <row r="24" spans="2:32" ht="23.1" customHeight="1" x14ac:dyDescent="0.25">
      <c r="B24" s="45" t="s">
        <v>51</v>
      </c>
      <c r="C24" s="50">
        <v>43</v>
      </c>
      <c r="D24" s="50">
        <v>0</v>
      </c>
      <c r="E24" s="50">
        <v>3</v>
      </c>
      <c r="F24" s="50">
        <v>1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24</v>
      </c>
      <c r="N24" s="50">
        <v>0</v>
      </c>
      <c r="O24" s="17">
        <f t="shared" si="0"/>
        <v>49</v>
      </c>
      <c r="P24" s="17">
        <f t="shared" si="1"/>
        <v>73</v>
      </c>
      <c r="R24" s="36" t="s">
        <v>148</v>
      </c>
      <c r="S24" s="34">
        <f>SUM(C66:C69)</f>
        <v>103</v>
      </c>
      <c r="T24" s="34">
        <f t="shared" ref="T24:AF24" si="16">SUM(D66:D69)</f>
        <v>29</v>
      </c>
      <c r="U24" s="34">
        <f t="shared" si="16"/>
        <v>10</v>
      </c>
      <c r="V24" s="34">
        <f t="shared" si="16"/>
        <v>3</v>
      </c>
      <c r="W24" s="34">
        <f t="shared" si="16"/>
        <v>1</v>
      </c>
      <c r="X24" s="34">
        <f t="shared" si="16"/>
        <v>0</v>
      </c>
      <c r="Y24" s="34">
        <f t="shared" si="16"/>
        <v>7</v>
      </c>
      <c r="Z24" s="34">
        <f t="shared" si="16"/>
        <v>4</v>
      </c>
      <c r="AA24" s="34">
        <f t="shared" si="16"/>
        <v>2</v>
      </c>
      <c r="AB24" s="34">
        <f t="shared" si="16"/>
        <v>0</v>
      </c>
      <c r="AC24" s="34">
        <f t="shared" si="16"/>
        <v>52</v>
      </c>
      <c r="AD24" s="34">
        <f t="shared" si="16"/>
        <v>0</v>
      </c>
      <c r="AE24" s="31">
        <f t="shared" si="16"/>
        <v>159</v>
      </c>
      <c r="AF24" s="31">
        <f t="shared" si="16"/>
        <v>211</v>
      </c>
    </row>
    <row r="25" spans="2:32" ht="23.1" customHeight="1" x14ac:dyDescent="0.25">
      <c r="B25" s="45" t="s">
        <v>52</v>
      </c>
      <c r="C25" s="50">
        <v>39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1</v>
      </c>
      <c r="J25" s="50">
        <v>4</v>
      </c>
      <c r="K25" s="50">
        <v>1</v>
      </c>
      <c r="L25" s="50">
        <v>0</v>
      </c>
      <c r="M25" s="50">
        <v>34</v>
      </c>
      <c r="N25" s="50">
        <v>0</v>
      </c>
      <c r="O25" s="17">
        <f t="shared" si="0"/>
        <v>47</v>
      </c>
      <c r="P25" s="17">
        <f t="shared" si="1"/>
        <v>81</v>
      </c>
      <c r="R25" s="36" t="s">
        <v>149</v>
      </c>
      <c r="S25" s="34">
        <f>SUM(C70:C73)</f>
        <v>103</v>
      </c>
      <c r="T25" s="34">
        <f t="shared" ref="T25:AF25" si="17">SUM(D70:D73)</f>
        <v>25</v>
      </c>
      <c r="U25" s="34">
        <f t="shared" si="17"/>
        <v>11</v>
      </c>
      <c r="V25" s="34">
        <f t="shared" si="17"/>
        <v>5</v>
      </c>
      <c r="W25" s="34">
        <f t="shared" si="17"/>
        <v>2</v>
      </c>
      <c r="X25" s="34">
        <f t="shared" si="17"/>
        <v>0</v>
      </c>
      <c r="Y25" s="34">
        <f t="shared" si="17"/>
        <v>2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60</v>
      </c>
      <c r="AD25" s="34">
        <f t="shared" si="17"/>
        <v>0</v>
      </c>
      <c r="AE25" s="31">
        <f t="shared" si="17"/>
        <v>150</v>
      </c>
      <c r="AF25" s="31">
        <f t="shared" si="17"/>
        <v>210</v>
      </c>
    </row>
    <row r="26" spans="2:32" ht="23.1" customHeight="1" x14ac:dyDescent="0.25">
      <c r="B26" s="45" t="s">
        <v>53</v>
      </c>
      <c r="C26" s="50">
        <v>36</v>
      </c>
      <c r="D26" s="50">
        <v>2</v>
      </c>
      <c r="E26" s="50">
        <v>4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31</v>
      </c>
      <c r="N26" s="50">
        <v>1</v>
      </c>
      <c r="O26" s="17">
        <f t="shared" si="0"/>
        <v>45</v>
      </c>
      <c r="P26" s="17">
        <f t="shared" si="1"/>
        <v>76</v>
      </c>
      <c r="R26" s="36" t="s">
        <v>150</v>
      </c>
      <c r="S26" s="34">
        <f>SUM(C74:C77)</f>
        <v>68</v>
      </c>
      <c r="T26" s="34">
        <f t="shared" ref="T26:AF26" si="18">SUM(D74:D77)</f>
        <v>19</v>
      </c>
      <c r="U26" s="34">
        <f t="shared" si="18"/>
        <v>4</v>
      </c>
      <c r="V26" s="34">
        <f t="shared" si="18"/>
        <v>3</v>
      </c>
      <c r="W26" s="34">
        <f t="shared" si="18"/>
        <v>0</v>
      </c>
      <c r="X26" s="34">
        <f t="shared" si="18"/>
        <v>1</v>
      </c>
      <c r="Y26" s="34">
        <f t="shared" si="18"/>
        <v>1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41</v>
      </c>
      <c r="AD26" s="34">
        <f t="shared" si="18"/>
        <v>0</v>
      </c>
      <c r="AE26" s="31">
        <f t="shared" si="18"/>
        <v>97</v>
      </c>
      <c r="AF26" s="31">
        <f t="shared" si="18"/>
        <v>138</v>
      </c>
    </row>
    <row r="27" spans="2:32" ht="23.1" customHeight="1" x14ac:dyDescent="0.25">
      <c r="B27" s="45" t="s">
        <v>54</v>
      </c>
      <c r="C27" s="50">
        <v>41</v>
      </c>
      <c r="D27" s="50">
        <v>3</v>
      </c>
      <c r="E27" s="50">
        <v>2</v>
      </c>
      <c r="F27" s="50">
        <v>1</v>
      </c>
      <c r="G27" s="50">
        <v>0</v>
      </c>
      <c r="H27" s="50">
        <v>0</v>
      </c>
      <c r="I27" s="50">
        <v>3</v>
      </c>
      <c r="J27" s="50">
        <v>3</v>
      </c>
      <c r="K27" s="50">
        <v>1</v>
      </c>
      <c r="L27" s="50">
        <v>0</v>
      </c>
      <c r="M27" s="50">
        <v>29</v>
      </c>
      <c r="N27" s="50">
        <v>0</v>
      </c>
      <c r="O27" s="17">
        <f t="shared" si="0"/>
        <v>54</v>
      </c>
      <c r="P27" s="17">
        <f t="shared" si="1"/>
        <v>83</v>
      </c>
      <c r="R27" s="36" t="s">
        <v>151</v>
      </c>
      <c r="S27" s="34">
        <f>SUM(C78:C81)</f>
        <v>42</v>
      </c>
      <c r="T27" s="34">
        <f t="shared" ref="T27:AF27" si="19">SUM(D78:D81)</f>
        <v>12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2</v>
      </c>
      <c r="AB27" s="34">
        <f t="shared" si="19"/>
        <v>0</v>
      </c>
      <c r="AC27" s="34">
        <f t="shared" si="19"/>
        <v>28</v>
      </c>
      <c r="AD27" s="34">
        <f t="shared" si="19"/>
        <v>0</v>
      </c>
      <c r="AE27" s="31">
        <f t="shared" si="19"/>
        <v>63</v>
      </c>
      <c r="AF27" s="31">
        <f t="shared" si="19"/>
        <v>91</v>
      </c>
    </row>
    <row r="28" spans="2:32" ht="23.1" customHeight="1" x14ac:dyDescent="0.25">
      <c r="B28" s="45" t="s">
        <v>55</v>
      </c>
      <c r="C28" s="50">
        <v>59</v>
      </c>
      <c r="D28" s="50">
        <v>5</v>
      </c>
      <c r="E28" s="50">
        <v>2</v>
      </c>
      <c r="F28" s="50">
        <v>3</v>
      </c>
      <c r="G28" s="50">
        <v>0</v>
      </c>
      <c r="H28" s="50">
        <v>0</v>
      </c>
      <c r="I28" s="50">
        <v>4</v>
      </c>
      <c r="J28" s="50">
        <v>2</v>
      </c>
      <c r="K28" s="50">
        <v>1</v>
      </c>
      <c r="L28" s="50">
        <v>0</v>
      </c>
      <c r="M28" s="50">
        <v>26</v>
      </c>
      <c r="N28" s="50">
        <v>0</v>
      </c>
      <c r="O28" s="17">
        <f t="shared" si="0"/>
        <v>76</v>
      </c>
      <c r="P28" s="17">
        <f t="shared" si="1"/>
        <v>102</v>
      </c>
      <c r="R28" s="36" t="s">
        <v>152</v>
      </c>
      <c r="S28" s="34">
        <f>SUM(C82:C85)</f>
        <v>17</v>
      </c>
      <c r="T28" s="34">
        <f t="shared" ref="T28:AF28" si="20">SUM(D82:D85)</f>
        <v>5</v>
      </c>
      <c r="U28" s="34">
        <f t="shared" si="20"/>
        <v>2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13</v>
      </c>
      <c r="AD28" s="34">
        <f t="shared" si="20"/>
        <v>0</v>
      </c>
      <c r="AE28" s="31">
        <f t="shared" si="20"/>
        <v>28</v>
      </c>
      <c r="AF28" s="31">
        <f t="shared" si="20"/>
        <v>41</v>
      </c>
    </row>
    <row r="29" spans="2:32" ht="23.1" customHeight="1" x14ac:dyDescent="0.25">
      <c r="B29" s="45" t="s">
        <v>56</v>
      </c>
      <c r="C29" s="50">
        <v>53</v>
      </c>
      <c r="D29" s="50">
        <v>3</v>
      </c>
      <c r="E29" s="50">
        <v>2</v>
      </c>
      <c r="F29" s="50">
        <v>2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v>0</v>
      </c>
      <c r="M29" s="50">
        <v>33</v>
      </c>
      <c r="N29" s="50">
        <v>0</v>
      </c>
      <c r="O29" s="17">
        <f t="shared" si="0"/>
        <v>65</v>
      </c>
      <c r="P29" s="17">
        <f t="shared" si="1"/>
        <v>98</v>
      </c>
      <c r="R29" s="36" t="s">
        <v>153</v>
      </c>
      <c r="S29" s="34">
        <f>SUM(C86:C89)</f>
        <v>22</v>
      </c>
      <c r="T29" s="34">
        <f t="shared" ref="T29:AF29" si="21">SUM(D86:D89)</f>
        <v>8</v>
      </c>
      <c r="U29" s="34">
        <f t="shared" si="21"/>
        <v>4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11</v>
      </c>
      <c r="AD29" s="34">
        <f t="shared" si="21"/>
        <v>0</v>
      </c>
      <c r="AE29" s="31">
        <f t="shared" si="21"/>
        <v>35</v>
      </c>
      <c r="AF29" s="31">
        <f t="shared" si="21"/>
        <v>46</v>
      </c>
    </row>
    <row r="30" spans="2:32" ht="23.1" customHeight="1" x14ac:dyDescent="0.25">
      <c r="B30" s="45" t="s">
        <v>57</v>
      </c>
      <c r="C30" s="50">
        <v>24</v>
      </c>
      <c r="D30" s="50">
        <v>1</v>
      </c>
      <c r="E30" s="50">
        <v>1</v>
      </c>
      <c r="F30" s="50">
        <v>1</v>
      </c>
      <c r="G30" s="50">
        <v>0</v>
      </c>
      <c r="H30" s="50">
        <v>0</v>
      </c>
      <c r="I30" s="50">
        <v>2</v>
      </c>
      <c r="J30" s="50">
        <v>2</v>
      </c>
      <c r="K30" s="50">
        <v>0</v>
      </c>
      <c r="L30" s="50">
        <v>0</v>
      </c>
      <c r="M30" s="50">
        <v>13</v>
      </c>
      <c r="N30" s="50">
        <v>0</v>
      </c>
      <c r="O30" s="17">
        <f t="shared" si="0"/>
        <v>31</v>
      </c>
      <c r="P30" s="17">
        <f t="shared" si="1"/>
        <v>44</v>
      </c>
      <c r="R30" s="36" t="s">
        <v>154</v>
      </c>
      <c r="S30" s="34">
        <f>SUM(C90:C93)</f>
        <v>4</v>
      </c>
      <c r="T30" s="34">
        <f t="shared" ref="T30:AF30" si="22">SUM(D90:D93)</f>
        <v>4</v>
      </c>
      <c r="U30" s="34">
        <f t="shared" si="22"/>
        <v>0</v>
      </c>
      <c r="V30" s="34">
        <f t="shared" si="22"/>
        <v>2</v>
      </c>
      <c r="W30" s="34">
        <f t="shared" si="22"/>
        <v>2</v>
      </c>
      <c r="X30" s="34">
        <f t="shared" si="22"/>
        <v>1</v>
      </c>
      <c r="Y30" s="34">
        <f t="shared" si="22"/>
        <v>0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9</v>
      </c>
      <c r="AD30" s="34">
        <f t="shared" si="22"/>
        <v>0</v>
      </c>
      <c r="AE30" s="31">
        <f t="shared" si="22"/>
        <v>15</v>
      </c>
      <c r="AF30" s="31">
        <f t="shared" si="22"/>
        <v>24</v>
      </c>
    </row>
    <row r="31" spans="2:32" ht="23.1" customHeight="1" x14ac:dyDescent="0.25">
      <c r="B31" s="46" t="s">
        <v>58</v>
      </c>
      <c r="C31" s="50">
        <v>56</v>
      </c>
      <c r="D31" s="50">
        <v>15</v>
      </c>
      <c r="E31" s="50">
        <v>4</v>
      </c>
      <c r="F31" s="50">
        <v>2</v>
      </c>
      <c r="G31" s="50">
        <v>0</v>
      </c>
      <c r="H31" s="50">
        <v>0</v>
      </c>
      <c r="I31" s="50">
        <v>6</v>
      </c>
      <c r="J31" s="50">
        <v>2</v>
      </c>
      <c r="K31" s="50">
        <v>0</v>
      </c>
      <c r="L31" s="50">
        <v>0</v>
      </c>
      <c r="M31" s="50">
        <v>28</v>
      </c>
      <c r="N31" s="50">
        <v>0</v>
      </c>
      <c r="O31" s="17">
        <f t="shared" si="0"/>
        <v>85</v>
      </c>
      <c r="P31" s="17">
        <f t="shared" si="1"/>
        <v>113</v>
      </c>
      <c r="R31" s="36" t="s">
        <v>155</v>
      </c>
      <c r="S31" s="34">
        <f>SUM(C94:C97)</f>
        <v>10</v>
      </c>
      <c r="T31" s="34">
        <f t="shared" ref="T31:AF31" si="23">SUM(D94:D97)</f>
        <v>4</v>
      </c>
      <c r="U31" s="34">
        <f t="shared" si="23"/>
        <v>2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17</v>
      </c>
      <c r="AF31" s="31">
        <f t="shared" si="23"/>
        <v>22</v>
      </c>
    </row>
    <row r="32" spans="2:32" ht="23.1" customHeight="1" x14ac:dyDescent="0.25">
      <c r="B32" s="46" t="s">
        <v>59</v>
      </c>
      <c r="C32" s="50">
        <v>54</v>
      </c>
      <c r="D32" s="50">
        <v>3</v>
      </c>
      <c r="E32" s="50">
        <v>2</v>
      </c>
      <c r="F32" s="50">
        <v>1</v>
      </c>
      <c r="G32" s="50">
        <v>1</v>
      </c>
      <c r="H32" s="50">
        <v>0</v>
      </c>
      <c r="I32" s="50">
        <v>4</v>
      </c>
      <c r="J32" s="50">
        <v>3</v>
      </c>
      <c r="K32" s="50">
        <v>1</v>
      </c>
      <c r="L32" s="50">
        <v>0</v>
      </c>
      <c r="M32" s="50">
        <v>29</v>
      </c>
      <c r="N32" s="50">
        <v>0</v>
      </c>
      <c r="O32" s="17">
        <f t="shared" si="0"/>
        <v>69</v>
      </c>
      <c r="P32" s="17">
        <f t="shared" si="1"/>
        <v>98</v>
      </c>
      <c r="R32" s="55" t="s">
        <v>156</v>
      </c>
      <c r="S32" s="34">
        <f>SUM(C98:C101)</f>
        <v>5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7</v>
      </c>
      <c r="AF32" s="31">
        <f t="shared" si="24"/>
        <v>12</v>
      </c>
    </row>
    <row r="33" spans="2:32" ht="23.1" customHeight="1" x14ac:dyDescent="0.25">
      <c r="B33" s="45" t="s">
        <v>60</v>
      </c>
      <c r="C33" s="50">
        <v>49</v>
      </c>
      <c r="D33" s="50">
        <v>4</v>
      </c>
      <c r="E33" s="50">
        <v>2</v>
      </c>
      <c r="F33" s="50">
        <v>0</v>
      </c>
      <c r="G33" s="50">
        <v>0</v>
      </c>
      <c r="H33" s="50">
        <v>0</v>
      </c>
      <c r="I33" s="50">
        <v>1</v>
      </c>
      <c r="J33" s="50">
        <v>1</v>
      </c>
      <c r="K33" s="50">
        <v>1</v>
      </c>
      <c r="L33" s="50">
        <v>0</v>
      </c>
      <c r="M33" s="50">
        <v>37</v>
      </c>
      <c r="N33" s="50">
        <v>0</v>
      </c>
      <c r="O33" s="17">
        <f t="shared" si="0"/>
        <v>58</v>
      </c>
      <c r="P33" s="17">
        <f t="shared" si="1"/>
        <v>95</v>
      </c>
      <c r="R33" s="55" t="s">
        <v>157</v>
      </c>
      <c r="S33" s="34">
        <f>SUM(C102:C105)</f>
        <v>29</v>
      </c>
      <c r="T33" s="34">
        <f t="shared" ref="T33:AF33" si="25">SUM(D102:D105)</f>
        <v>6</v>
      </c>
      <c r="U33" s="34">
        <f t="shared" si="25"/>
        <v>5</v>
      </c>
      <c r="V33" s="34">
        <f t="shared" si="25"/>
        <v>3</v>
      </c>
      <c r="W33" s="34">
        <f t="shared" si="25"/>
        <v>0</v>
      </c>
      <c r="X33" s="34">
        <f t="shared" si="25"/>
        <v>1</v>
      </c>
      <c r="Y33" s="34">
        <f t="shared" si="25"/>
        <v>0</v>
      </c>
      <c r="Z33" s="34">
        <f t="shared" si="25"/>
        <v>0</v>
      </c>
      <c r="AA33" s="34">
        <f t="shared" si="25"/>
        <v>1</v>
      </c>
      <c r="AB33" s="34">
        <f t="shared" si="25"/>
        <v>0</v>
      </c>
      <c r="AC33" s="34">
        <f t="shared" si="25"/>
        <v>23</v>
      </c>
      <c r="AD33" s="34">
        <f t="shared" si="25"/>
        <v>0</v>
      </c>
      <c r="AE33" s="31">
        <f t="shared" si="25"/>
        <v>45</v>
      </c>
      <c r="AF33" s="31">
        <f t="shared" si="25"/>
        <v>68</v>
      </c>
    </row>
    <row r="34" spans="2:32" ht="23.1" customHeight="1" x14ac:dyDescent="0.25">
      <c r="B34" s="46" t="s">
        <v>61</v>
      </c>
      <c r="C34" s="50">
        <v>45</v>
      </c>
      <c r="D34" s="50">
        <v>3</v>
      </c>
      <c r="E34" s="50">
        <v>6</v>
      </c>
      <c r="F34" s="50">
        <v>1</v>
      </c>
      <c r="G34" s="50">
        <v>0</v>
      </c>
      <c r="H34" s="50">
        <v>0</v>
      </c>
      <c r="I34" s="50">
        <v>4</v>
      </c>
      <c r="J34" s="50">
        <v>2</v>
      </c>
      <c r="K34" s="50">
        <v>0</v>
      </c>
      <c r="L34" s="50">
        <v>0</v>
      </c>
      <c r="M34" s="50">
        <v>25</v>
      </c>
      <c r="N34" s="50">
        <v>0</v>
      </c>
      <c r="O34" s="17">
        <f t="shared" si="0"/>
        <v>61</v>
      </c>
      <c r="P34" s="17">
        <f t="shared" si="1"/>
        <v>86</v>
      </c>
      <c r="R34" s="51" t="s">
        <v>90</v>
      </c>
      <c r="S34" s="52">
        <f t="shared" ref="S34:AF34" si="26">MAX(S10:S12)</f>
        <v>157</v>
      </c>
      <c r="T34" s="52">
        <f t="shared" si="26"/>
        <v>8</v>
      </c>
      <c r="U34" s="52">
        <f t="shared" si="26"/>
        <v>17</v>
      </c>
      <c r="V34" s="52">
        <f t="shared" si="26"/>
        <v>9</v>
      </c>
      <c r="W34" s="52">
        <f t="shared" si="26"/>
        <v>2</v>
      </c>
      <c r="X34" s="52">
        <f t="shared" si="26"/>
        <v>1</v>
      </c>
      <c r="Y34" s="52">
        <f t="shared" si="26"/>
        <v>12</v>
      </c>
      <c r="Z34" s="52">
        <f t="shared" si="26"/>
        <v>8</v>
      </c>
      <c r="AA34" s="52">
        <f t="shared" si="26"/>
        <v>1</v>
      </c>
      <c r="AB34" s="52">
        <f t="shared" si="26"/>
        <v>0</v>
      </c>
      <c r="AC34" s="52">
        <f t="shared" si="26"/>
        <v>168</v>
      </c>
      <c r="AD34" s="52">
        <f t="shared" si="26"/>
        <v>0</v>
      </c>
      <c r="AE34" s="40">
        <f t="shared" si="26"/>
        <v>209</v>
      </c>
      <c r="AF34" s="40">
        <f t="shared" si="26"/>
        <v>367</v>
      </c>
    </row>
    <row r="35" spans="2:32" ht="23.1" customHeight="1" x14ac:dyDescent="0.25">
      <c r="B35" s="46" t="s">
        <v>62</v>
      </c>
      <c r="C35" s="50">
        <v>41</v>
      </c>
      <c r="D35" s="50">
        <v>7</v>
      </c>
      <c r="E35" s="50">
        <v>5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32</v>
      </c>
      <c r="N35" s="50">
        <v>0</v>
      </c>
      <c r="O35" s="17">
        <f t="shared" si="0"/>
        <v>57</v>
      </c>
      <c r="P35" s="17">
        <f t="shared" si="1"/>
        <v>89</v>
      </c>
      <c r="R35" s="51" t="s">
        <v>91</v>
      </c>
      <c r="S35" s="52">
        <f t="shared" ref="S35:AF35" si="27">MAX(S13:S18)</f>
        <v>291</v>
      </c>
      <c r="T35" s="52">
        <f t="shared" si="27"/>
        <v>23</v>
      </c>
      <c r="U35" s="52">
        <f t="shared" si="27"/>
        <v>31</v>
      </c>
      <c r="V35" s="52">
        <f t="shared" si="27"/>
        <v>7</v>
      </c>
      <c r="W35" s="52">
        <f t="shared" si="27"/>
        <v>5</v>
      </c>
      <c r="X35" s="52">
        <f t="shared" si="27"/>
        <v>1</v>
      </c>
      <c r="Y35" s="52">
        <f t="shared" si="27"/>
        <v>21</v>
      </c>
      <c r="Z35" s="52">
        <f t="shared" si="27"/>
        <v>8</v>
      </c>
      <c r="AA35" s="52">
        <f t="shared" si="27"/>
        <v>4</v>
      </c>
      <c r="AB35" s="52">
        <f t="shared" si="27"/>
        <v>0</v>
      </c>
      <c r="AC35" s="52">
        <f t="shared" si="27"/>
        <v>159</v>
      </c>
      <c r="AD35" s="52">
        <f t="shared" si="27"/>
        <v>1</v>
      </c>
      <c r="AE35" s="40">
        <f t="shared" si="27"/>
        <v>336</v>
      </c>
      <c r="AF35" s="40">
        <f t="shared" si="27"/>
        <v>495</v>
      </c>
    </row>
    <row r="36" spans="2:32" ht="23.1" customHeight="1" x14ac:dyDescent="0.25">
      <c r="B36" s="46" t="s">
        <v>63</v>
      </c>
      <c r="C36" s="50">
        <v>61</v>
      </c>
      <c r="D36" s="50">
        <v>3</v>
      </c>
      <c r="E36" s="50">
        <v>6</v>
      </c>
      <c r="F36" s="50">
        <v>2</v>
      </c>
      <c r="G36" s="50">
        <v>0</v>
      </c>
      <c r="H36" s="50">
        <v>0</v>
      </c>
      <c r="I36" s="50">
        <v>2</v>
      </c>
      <c r="J36" s="50">
        <v>3</v>
      </c>
      <c r="K36" s="50">
        <v>2</v>
      </c>
      <c r="L36" s="50">
        <v>0</v>
      </c>
      <c r="M36" s="50">
        <v>41</v>
      </c>
      <c r="N36" s="50">
        <v>0</v>
      </c>
      <c r="O36" s="17">
        <f t="shared" si="0"/>
        <v>79</v>
      </c>
      <c r="P36" s="17">
        <f t="shared" si="1"/>
        <v>120</v>
      </c>
      <c r="R36" s="51" t="s">
        <v>92</v>
      </c>
      <c r="S36" s="52">
        <f t="shared" ref="S36:AF36" si="28">MAX(S19:S21)</f>
        <v>300</v>
      </c>
      <c r="T36" s="52">
        <f t="shared" si="28"/>
        <v>40</v>
      </c>
      <c r="U36" s="52">
        <f t="shared" si="28"/>
        <v>33</v>
      </c>
      <c r="V36" s="52">
        <f t="shared" si="28"/>
        <v>6</v>
      </c>
      <c r="W36" s="52">
        <f t="shared" si="28"/>
        <v>4</v>
      </c>
      <c r="X36" s="52">
        <f t="shared" si="28"/>
        <v>1</v>
      </c>
      <c r="Y36" s="52">
        <f t="shared" si="28"/>
        <v>18</v>
      </c>
      <c r="Z36" s="52">
        <f t="shared" si="28"/>
        <v>6</v>
      </c>
      <c r="AA36" s="52">
        <f t="shared" si="28"/>
        <v>3</v>
      </c>
      <c r="AB36" s="52">
        <f t="shared" si="28"/>
        <v>0</v>
      </c>
      <c r="AC36" s="52">
        <f t="shared" si="28"/>
        <v>164</v>
      </c>
      <c r="AD36" s="52">
        <f t="shared" si="28"/>
        <v>0</v>
      </c>
      <c r="AE36" s="40">
        <f t="shared" si="28"/>
        <v>354</v>
      </c>
      <c r="AF36" s="40">
        <f t="shared" si="28"/>
        <v>493</v>
      </c>
    </row>
    <row r="37" spans="2:32" ht="23.1" customHeight="1" x14ac:dyDescent="0.25">
      <c r="B37" s="45" t="s">
        <v>64</v>
      </c>
      <c r="C37" s="50">
        <v>71</v>
      </c>
      <c r="D37" s="50">
        <v>6</v>
      </c>
      <c r="E37" s="50">
        <v>14</v>
      </c>
      <c r="F37" s="50">
        <v>0</v>
      </c>
      <c r="G37" s="50">
        <v>1</v>
      </c>
      <c r="H37" s="50">
        <v>0</v>
      </c>
      <c r="I37" s="50">
        <v>3</v>
      </c>
      <c r="J37" s="50">
        <v>3</v>
      </c>
      <c r="K37" s="50">
        <v>1</v>
      </c>
      <c r="L37" s="50">
        <v>0</v>
      </c>
      <c r="M37" s="50">
        <v>24</v>
      </c>
      <c r="N37" s="50">
        <v>0</v>
      </c>
      <c r="O37" s="17">
        <f t="shared" si="0"/>
        <v>99</v>
      </c>
      <c r="P37" s="17">
        <f t="shared" si="1"/>
        <v>123</v>
      </c>
      <c r="R37" s="37" t="s">
        <v>85</v>
      </c>
      <c r="S37" s="35">
        <f t="shared" ref="S37:AF37" si="29">SUM(S10:S12)</f>
        <v>382</v>
      </c>
      <c r="T37" s="16">
        <f t="shared" si="29"/>
        <v>16</v>
      </c>
      <c r="U37" s="16">
        <f t="shared" si="29"/>
        <v>43</v>
      </c>
      <c r="V37" s="16">
        <f t="shared" si="29"/>
        <v>18</v>
      </c>
      <c r="W37" s="16">
        <f t="shared" si="29"/>
        <v>4</v>
      </c>
      <c r="X37" s="16">
        <f t="shared" si="29"/>
        <v>1</v>
      </c>
      <c r="Y37" s="16">
        <f t="shared" si="29"/>
        <v>27</v>
      </c>
      <c r="Z37" s="16">
        <f t="shared" si="29"/>
        <v>16</v>
      </c>
      <c r="AA37" s="16">
        <f t="shared" si="29"/>
        <v>1</v>
      </c>
      <c r="AB37" s="16">
        <f t="shared" si="29"/>
        <v>0</v>
      </c>
      <c r="AC37" s="16">
        <f t="shared" si="29"/>
        <v>438</v>
      </c>
      <c r="AD37" s="16">
        <f t="shared" si="29"/>
        <v>0</v>
      </c>
      <c r="AE37" s="32">
        <f t="shared" si="29"/>
        <v>508</v>
      </c>
      <c r="AF37" s="32">
        <f t="shared" si="29"/>
        <v>946</v>
      </c>
    </row>
    <row r="38" spans="2:32" ht="23.1" customHeight="1" x14ac:dyDescent="0.25">
      <c r="B38" s="46" t="s">
        <v>65</v>
      </c>
      <c r="C38" s="50">
        <v>60</v>
      </c>
      <c r="D38" s="50">
        <v>8</v>
      </c>
      <c r="E38" s="50">
        <v>3</v>
      </c>
      <c r="F38" s="50">
        <v>1</v>
      </c>
      <c r="G38" s="50">
        <v>0</v>
      </c>
      <c r="H38" s="50">
        <v>0</v>
      </c>
      <c r="I38" s="50">
        <v>7</v>
      </c>
      <c r="J38" s="50">
        <v>1</v>
      </c>
      <c r="K38" s="50">
        <v>4</v>
      </c>
      <c r="L38" s="50">
        <v>0</v>
      </c>
      <c r="M38" s="50">
        <v>45</v>
      </c>
      <c r="N38" s="50">
        <v>0</v>
      </c>
      <c r="O38" s="17">
        <f t="shared" si="0"/>
        <v>84</v>
      </c>
      <c r="P38" s="17">
        <f t="shared" si="1"/>
        <v>129</v>
      </c>
      <c r="R38" s="28" t="s">
        <v>86</v>
      </c>
      <c r="S38" s="16">
        <f t="shared" ref="S38:AF38" si="30">SUM(S13:S18)</f>
        <v>1286</v>
      </c>
      <c r="T38" s="16">
        <f t="shared" si="30"/>
        <v>89</v>
      </c>
      <c r="U38" s="16">
        <f t="shared" si="30"/>
        <v>100</v>
      </c>
      <c r="V38" s="16">
        <f t="shared" si="30"/>
        <v>26</v>
      </c>
      <c r="W38" s="16">
        <f t="shared" si="30"/>
        <v>10</v>
      </c>
      <c r="X38" s="16">
        <f t="shared" si="30"/>
        <v>1</v>
      </c>
      <c r="Y38" s="16">
        <f t="shared" si="30"/>
        <v>70</v>
      </c>
      <c r="Z38" s="16">
        <f t="shared" si="30"/>
        <v>38</v>
      </c>
      <c r="AA38" s="16">
        <f t="shared" si="30"/>
        <v>13</v>
      </c>
      <c r="AB38" s="16">
        <f t="shared" si="30"/>
        <v>0</v>
      </c>
      <c r="AC38" s="16">
        <f t="shared" si="30"/>
        <v>720</v>
      </c>
      <c r="AD38" s="16">
        <f t="shared" si="30"/>
        <v>1</v>
      </c>
      <c r="AE38" s="32">
        <f t="shared" si="30"/>
        <v>1634</v>
      </c>
      <c r="AF38" s="32">
        <f t="shared" si="30"/>
        <v>2354</v>
      </c>
    </row>
    <row r="39" spans="2:32" ht="23.1" customHeight="1" x14ac:dyDescent="0.25">
      <c r="B39" s="46" t="s">
        <v>66</v>
      </c>
      <c r="C39" s="50">
        <v>45</v>
      </c>
      <c r="D39" s="50">
        <v>3</v>
      </c>
      <c r="E39" s="50">
        <v>6</v>
      </c>
      <c r="F39" s="50">
        <v>1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53</v>
      </c>
      <c r="N39" s="50">
        <v>0</v>
      </c>
      <c r="O39" s="17">
        <f t="shared" si="0"/>
        <v>58</v>
      </c>
      <c r="P39" s="17">
        <f t="shared" si="1"/>
        <v>111</v>
      </c>
      <c r="R39" s="29" t="s">
        <v>87</v>
      </c>
      <c r="S39" s="16">
        <f t="shared" ref="S39:AF39" si="31">SUM(S19:S21)</f>
        <v>814</v>
      </c>
      <c r="T39" s="16">
        <f t="shared" si="31"/>
        <v>57</v>
      </c>
      <c r="U39" s="16">
        <f t="shared" si="31"/>
        <v>86</v>
      </c>
      <c r="V39" s="16">
        <f t="shared" si="31"/>
        <v>12</v>
      </c>
      <c r="W39" s="16">
        <f t="shared" si="31"/>
        <v>5</v>
      </c>
      <c r="X39" s="16">
        <f t="shared" si="31"/>
        <v>1</v>
      </c>
      <c r="Y39" s="16">
        <f t="shared" si="31"/>
        <v>47</v>
      </c>
      <c r="Z39" s="16">
        <f t="shared" si="31"/>
        <v>12</v>
      </c>
      <c r="AA39" s="16">
        <f t="shared" si="31"/>
        <v>3</v>
      </c>
      <c r="AB39" s="16">
        <f t="shared" si="31"/>
        <v>0</v>
      </c>
      <c r="AC39" s="16">
        <f t="shared" si="31"/>
        <v>393</v>
      </c>
      <c r="AD39" s="16">
        <f t="shared" si="31"/>
        <v>0</v>
      </c>
      <c r="AE39" s="32">
        <f t="shared" si="31"/>
        <v>1037</v>
      </c>
      <c r="AF39" s="32">
        <f t="shared" si="31"/>
        <v>1430</v>
      </c>
    </row>
    <row r="40" spans="2:32" ht="23.1" customHeight="1" x14ac:dyDescent="0.25">
      <c r="B40" s="46" t="s">
        <v>67</v>
      </c>
      <c r="C40" s="50">
        <v>68</v>
      </c>
      <c r="D40" s="50">
        <v>5</v>
      </c>
      <c r="E40" s="50">
        <v>9</v>
      </c>
      <c r="F40" s="50">
        <v>0</v>
      </c>
      <c r="G40" s="50">
        <v>3</v>
      </c>
      <c r="H40" s="50">
        <v>0</v>
      </c>
      <c r="I40" s="50">
        <v>7</v>
      </c>
      <c r="J40" s="50">
        <v>3</v>
      </c>
      <c r="K40" s="50">
        <v>0</v>
      </c>
      <c r="L40" s="50">
        <v>0</v>
      </c>
      <c r="M40" s="50">
        <v>33</v>
      </c>
      <c r="N40" s="50">
        <v>0</v>
      </c>
      <c r="O40" s="17">
        <f t="shared" si="0"/>
        <v>95</v>
      </c>
      <c r="P40" s="17">
        <f t="shared" si="1"/>
        <v>128</v>
      </c>
      <c r="R40" s="5" t="s">
        <v>17</v>
      </c>
      <c r="S40" s="16">
        <f t="shared" ref="S40:AF40" si="32">SUM(S10:S21)</f>
        <v>2482</v>
      </c>
      <c r="T40" s="16">
        <f t="shared" si="32"/>
        <v>162</v>
      </c>
      <c r="U40" s="16">
        <f t="shared" si="32"/>
        <v>229</v>
      </c>
      <c r="V40" s="16">
        <f t="shared" si="32"/>
        <v>56</v>
      </c>
      <c r="W40" s="16">
        <f t="shared" si="32"/>
        <v>19</v>
      </c>
      <c r="X40" s="16">
        <f t="shared" si="32"/>
        <v>3</v>
      </c>
      <c r="Y40" s="16">
        <f t="shared" si="32"/>
        <v>144</v>
      </c>
      <c r="Z40" s="16">
        <f t="shared" si="32"/>
        <v>66</v>
      </c>
      <c r="AA40" s="16">
        <f t="shared" si="32"/>
        <v>17</v>
      </c>
      <c r="AB40" s="16">
        <f t="shared" si="32"/>
        <v>0</v>
      </c>
      <c r="AC40" s="16">
        <f t="shared" si="32"/>
        <v>1551</v>
      </c>
      <c r="AD40" s="16">
        <f t="shared" si="32"/>
        <v>1</v>
      </c>
      <c r="AE40" s="32">
        <f t="shared" si="32"/>
        <v>3179</v>
      </c>
      <c r="AF40" s="32">
        <f t="shared" si="32"/>
        <v>4730</v>
      </c>
    </row>
    <row r="41" spans="2:32" ht="23.1" customHeight="1" x14ac:dyDescent="0.25">
      <c r="B41" s="45" t="s">
        <v>68</v>
      </c>
      <c r="C41" s="50">
        <v>75</v>
      </c>
      <c r="D41" s="50">
        <v>7</v>
      </c>
      <c r="E41" s="50">
        <v>6</v>
      </c>
      <c r="F41" s="50">
        <v>2</v>
      </c>
      <c r="G41" s="50">
        <v>2</v>
      </c>
      <c r="H41" s="50">
        <v>1</v>
      </c>
      <c r="I41" s="50">
        <v>5</v>
      </c>
      <c r="J41" s="50">
        <v>1</v>
      </c>
      <c r="K41" s="50">
        <v>0</v>
      </c>
      <c r="L41" s="50">
        <v>0</v>
      </c>
      <c r="M41" s="50">
        <v>28</v>
      </c>
      <c r="N41" s="50">
        <v>0</v>
      </c>
      <c r="O41" s="17">
        <f t="shared" si="0"/>
        <v>99</v>
      </c>
      <c r="P41" s="17">
        <f t="shared" si="1"/>
        <v>127</v>
      </c>
      <c r="R41" s="5" t="s">
        <v>159</v>
      </c>
      <c r="S41" s="16">
        <f>SUM(S10:S33)</f>
        <v>3233</v>
      </c>
      <c r="T41" s="16">
        <f t="shared" ref="T41:AF41" si="33">SUM(T10:T33)</f>
        <v>359</v>
      </c>
      <c r="U41" s="16">
        <f t="shared" si="33"/>
        <v>301</v>
      </c>
      <c r="V41" s="16">
        <f t="shared" si="33"/>
        <v>93</v>
      </c>
      <c r="W41" s="16">
        <f t="shared" si="33"/>
        <v>28</v>
      </c>
      <c r="X41" s="16">
        <f t="shared" si="33"/>
        <v>6</v>
      </c>
      <c r="Y41" s="16">
        <f t="shared" si="33"/>
        <v>178</v>
      </c>
      <c r="Z41" s="16">
        <f t="shared" si="33"/>
        <v>82</v>
      </c>
      <c r="AA41" s="16">
        <f t="shared" si="33"/>
        <v>25</v>
      </c>
      <c r="AB41" s="16">
        <f t="shared" si="33"/>
        <v>0</v>
      </c>
      <c r="AC41" s="16">
        <f t="shared" si="33"/>
        <v>2041</v>
      </c>
      <c r="AD41" s="16">
        <f t="shared" si="33"/>
        <v>1</v>
      </c>
      <c r="AE41" s="32">
        <f t="shared" si="33"/>
        <v>4306</v>
      </c>
      <c r="AF41" s="32">
        <f t="shared" si="33"/>
        <v>6347</v>
      </c>
    </row>
    <row r="42" spans="2:32" ht="23.1" customHeight="1" x14ac:dyDescent="0.25">
      <c r="B42" s="46" t="s">
        <v>69</v>
      </c>
      <c r="C42" s="50">
        <v>78</v>
      </c>
      <c r="D42" s="50">
        <v>6</v>
      </c>
      <c r="E42" s="50">
        <v>4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34</v>
      </c>
      <c r="N42" s="50">
        <v>0</v>
      </c>
      <c r="O42" s="17">
        <f t="shared" si="0"/>
        <v>91</v>
      </c>
      <c r="P42" s="17">
        <f t="shared" si="1"/>
        <v>125</v>
      </c>
      <c r="R42" s="5" t="s">
        <v>160</v>
      </c>
      <c r="S42" s="48">
        <f>S41/S40</f>
        <v>1.3025785656728446</v>
      </c>
      <c r="T42" s="48">
        <f t="shared" ref="T42:AF42" si="34">T41/T40</f>
        <v>2.2160493827160495</v>
      </c>
      <c r="U42" s="48">
        <f t="shared" si="34"/>
        <v>1.314410480349345</v>
      </c>
      <c r="V42" s="48">
        <f t="shared" si="34"/>
        <v>1.6607142857142858</v>
      </c>
      <c r="W42" s="48">
        <f t="shared" si="34"/>
        <v>1.4736842105263157</v>
      </c>
      <c r="X42" s="48">
        <f t="shared" si="34"/>
        <v>2</v>
      </c>
      <c r="Y42" s="48">
        <f t="shared" si="34"/>
        <v>1.2361111111111112</v>
      </c>
      <c r="Z42" s="48">
        <f t="shared" si="34"/>
        <v>1.2424242424242424</v>
      </c>
      <c r="AA42" s="48">
        <f t="shared" si="34"/>
        <v>1.4705882352941178</v>
      </c>
      <c r="AB42" s="48" t="e">
        <f t="shared" si="34"/>
        <v>#DIV/0!</v>
      </c>
      <c r="AC42" s="48">
        <f t="shared" si="34"/>
        <v>1.3159252095422309</v>
      </c>
      <c r="AD42" s="48">
        <f t="shared" si="34"/>
        <v>1</v>
      </c>
      <c r="AE42" s="48">
        <f t="shared" si="34"/>
        <v>1.354513998112614</v>
      </c>
      <c r="AF42" s="48">
        <f t="shared" si="34"/>
        <v>1.3418604651162791</v>
      </c>
    </row>
    <row r="43" spans="2:32" ht="23.1" customHeight="1" x14ac:dyDescent="0.25">
      <c r="B43" s="45" t="s">
        <v>70</v>
      </c>
      <c r="C43" s="50">
        <v>74</v>
      </c>
      <c r="D43" s="50">
        <v>2</v>
      </c>
      <c r="E43" s="50">
        <v>5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1</v>
      </c>
      <c r="L43" s="50">
        <v>0</v>
      </c>
      <c r="M43" s="50">
        <v>29</v>
      </c>
      <c r="N43" s="50">
        <v>0</v>
      </c>
      <c r="O43" s="17">
        <f t="shared" si="0"/>
        <v>85</v>
      </c>
      <c r="P43" s="17">
        <f t="shared" si="1"/>
        <v>114</v>
      </c>
      <c r="R43"/>
      <c r="S43" s="19"/>
      <c r="T43" s="19"/>
    </row>
    <row r="44" spans="2:32" ht="23.1" customHeight="1" x14ac:dyDescent="0.25">
      <c r="B44" s="47" t="s">
        <v>71</v>
      </c>
      <c r="C44" s="50">
        <v>45</v>
      </c>
      <c r="D44" s="50">
        <v>0</v>
      </c>
      <c r="E44" s="50">
        <v>3</v>
      </c>
      <c r="F44" s="50">
        <v>0</v>
      </c>
      <c r="G44" s="50">
        <v>0</v>
      </c>
      <c r="H44" s="50">
        <v>0</v>
      </c>
      <c r="I44" s="50">
        <v>4</v>
      </c>
      <c r="J44" s="50">
        <v>2</v>
      </c>
      <c r="K44" s="50">
        <v>0</v>
      </c>
      <c r="L44" s="50">
        <v>0</v>
      </c>
      <c r="M44" s="50">
        <v>13</v>
      </c>
      <c r="N44" s="50">
        <v>0</v>
      </c>
      <c r="O44" s="17">
        <f t="shared" si="0"/>
        <v>54</v>
      </c>
      <c r="P44" s="17">
        <f t="shared" si="1"/>
        <v>67</v>
      </c>
      <c r="R44"/>
      <c r="S44" s="19"/>
      <c r="T44" s="19"/>
    </row>
    <row r="45" spans="2:32" ht="23.1" customHeight="1" x14ac:dyDescent="0.25">
      <c r="B45" s="45" t="s">
        <v>72</v>
      </c>
      <c r="C45" s="50">
        <v>94</v>
      </c>
      <c r="D45" s="50">
        <v>0</v>
      </c>
      <c r="E45" s="50">
        <v>5</v>
      </c>
      <c r="F45" s="50">
        <v>0</v>
      </c>
      <c r="G45" s="50">
        <v>2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7">
        <f t="shared" si="0"/>
        <v>102</v>
      </c>
      <c r="P45" s="17">
        <f t="shared" si="1"/>
        <v>117</v>
      </c>
      <c r="R45"/>
      <c r="S45" s="19"/>
      <c r="T45" s="19"/>
    </row>
    <row r="46" spans="2:32" ht="23.1" customHeight="1" x14ac:dyDescent="0.25">
      <c r="B46" s="46" t="s">
        <v>73</v>
      </c>
      <c r="C46" s="50">
        <v>93</v>
      </c>
      <c r="D46" s="50">
        <v>1</v>
      </c>
      <c r="E46" s="50">
        <v>5</v>
      </c>
      <c r="F46" s="50">
        <v>0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7">
        <f t="shared" si="0"/>
        <v>102</v>
      </c>
      <c r="P46" s="17">
        <f t="shared" si="1"/>
        <v>122</v>
      </c>
      <c r="R46" s="19"/>
      <c r="S46" s="19"/>
      <c r="T46"/>
    </row>
    <row r="47" spans="2:32" ht="23.1" customHeight="1" x14ac:dyDescent="0.25">
      <c r="B47" s="46" t="s">
        <v>74</v>
      </c>
      <c r="C47" s="50">
        <v>59</v>
      </c>
      <c r="D47" s="50">
        <v>1</v>
      </c>
      <c r="E47" s="50">
        <v>4</v>
      </c>
      <c r="F47" s="50">
        <v>1</v>
      </c>
      <c r="G47" s="50">
        <v>0</v>
      </c>
      <c r="H47" s="50">
        <v>0</v>
      </c>
      <c r="I47" s="50">
        <v>4</v>
      </c>
      <c r="J47" s="50">
        <v>2</v>
      </c>
      <c r="K47" s="50">
        <v>0</v>
      </c>
      <c r="L47" s="50">
        <v>0</v>
      </c>
      <c r="M47" s="50">
        <v>17</v>
      </c>
      <c r="N47" s="50">
        <v>0</v>
      </c>
      <c r="O47" s="17">
        <f t="shared" si="0"/>
        <v>71</v>
      </c>
      <c r="P47" s="17">
        <f t="shared" si="1"/>
        <v>88</v>
      </c>
      <c r="R47" s="19"/>
      <c r="S47" s="19"/>
      <c r="T47"/>
    </row>
    <row r="48" spans="2:32" ht="23.1" customHeight="1" x14ac:dyDescent="0.25">
      <c r="B48" s="46" t="s">
        <v>75</v>
      </c>
      <c r="C48" s="50">
        <v>83</v>
      </c>
      <c r="D48" s="50">
        <v>4</v>
      </c>
      <c r="E48" s="50">
        <v>11</v>
      </c>
      <c r="F48" s="50">
        <v>1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43</v>
      </c>
      <c r="N48" s="50">
        <v>0</v>
      </c>
      <c r="O48" s="17">
        <f t="shared" si="0"/>
        <v>104</v>
      </c>
      <c r="P48" s="17">
        <f t="shared" si="1"/>
        <v>147</v>
      </c>
      <c r="R48" s="19"/>
      <c r="S48" s="19"/>
      <c r="T48"/>
    </row>
    <row r="49" spans="2:20" ht="23.1" customHeight="1" x14ac:dyDescent="0.25">
      <c r="B49" s="45" t="s">
        <v>76</v>
      </c>
      <c r="C49" s="50">
        <v>65</v>
      </c>
      <c r="D49" s="50">
        <v>3</v>
      </c>
      <c r="E49" s="50">
        <v>3</v>
      </c>
      <c r="F49" s="50">
        <v>0</v>
      </c>
      <c r="G49" s="50">
        <v>0</v>
      </c>
      <c r="H49" s="50">
        <v>0</v>
      </c>
      <c r="I49" s="50">
        <v>3</v>
      </c>
      <c r="J49" s="50">
        <v>0</v>
      </c>
      <c r="K49" s="50">
        <v>3</v>
      </c>
      <c r="L49" s="50">
        <v>0</v>
      </c>
      <c r="M49" s="50">
        <v>33</v>
      </c>
      <c r="N49" s="50">
        <v>0</v>
      </c>
      <c r="O49" s="17">
        <f t="shared" si="0"/>
        <v>77</v>
      </c>
      <c r="P49" s="17">
        <f t="shared" si="1"/>
        <v>110</v>
      </c>
      <c r="R49" s="19"/>
      <c r="S49" s="19"/>
      <c r="T49"/>
    </row>
    <row r="50" spans="2:20" ht="23.1" customHeight="1" x14ac:dyDescent="0.25">
      <c r="B50" s="46" t="s">
        <v>77</v>
      </c>
      <c r="C50" s="50">
        <v>70</v>
      </c>
      <c r="D50" s="50">
        <v>11</v>
      </c>
      <c r="E50" s="50">
        <v>6</v>
      </c>
      <c r="F50" s="50">
        <v>0</v>
      </c>
      <c r="G50" s="50">
        <v>1</v>
      </c>
      <c r="H50" s="50">
        <v>0</v>
      </c>
      <c r="I50" s="50">
        <v>8</v>
      </c>
      <c r="J50" s="50">
        <v>3</v>
      </c>
      <c r="K50" s="50">
        <v>0</v>
      </c>
      <c r="L50" s="50">
        <v>0</v>
      </c>
      <c r="M50" s="50">
        <v>32</v>
      </c>
      <c r="N50" s="50">
        <v>0</v>
      </c>
      <c r="O50" s="17">
        <f t="shared" si="0"/>
        <v>99</v>
      </c>
      <c r="P50" s="17">
        <f t="shared" si="1"/>
        <v>131</v>
      </c>
      <c r="R50" s="19"/>
      <c r="S50" s="19"/>
      <c r="T50"/>
    </row>
    <row r="51" spans="2:20" ht="23.1" customHeight="1" x14ac:dyDescent="0.25">
      <c r="B51" s="46" t="s">
        <v>78</v>
      </c>
      <c r="C51" s="50">
        <v>60</v>
      </c>
      <c r="D51" s="50">
        <v>3</v>
      </c>
      <c r="E51" s="50">
        <v>4</v>
      </c>
      <c r="F51" s="50">
        <v>1</v>
      </c>
      <c r="G51" s="50">
        <v>2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27</v>
      </c>
      <c r="N51" s="50">
        <v>0</v>
      </c>
      <c r="O51" s="17">
        <f t="shared" si="0"/>
        <v>72</v>
      </c>
      <c r="P51" s="17">
        <f t="shared" si="1"/>
        <v>99</v>
      </c>
      <c r="R51" s="19"/>
      <c r="S51" s="19"/>
      <c r="T51"/>
    </row>
    <row r="52" spans="2:20" ht="23.1" customHeight="1" x14ac:dyDescent="0.25">
      <c r="B52" s="46" t="s">
        <v>79</v>
      </c>
      <c r="C52" s="50">
        <v>61</v>
      </c>
      <c r="D52" s="50">
        <v>12</v>
      </c>
      <c r="E52" s="50">
        <v>8</v>
      </c>
      <c r="F52" s="50">
        <v>2</v>
      </c>
      <c r="G52" s="50">
        <v>1</v>
      </c>
      <c r="H52" s="50">
        <v>0</v>
      </c>
      <c r="I52" s="50">
        <v>4</v>
      </c>
      <c r="J52" s="50">
        <v>3</v>
      </c>
      <c r="K52" s="50">
        <v>0</v>
      </c>
      <c r="L52" s="50">
        <v>0</v>
      </c>
      <c r="M52" s="50">
        <v>28</v>
      </c>
      <c r="N52" s="50">
        <v>0</v>
      </c>
      <c r="O52" s="17">
        <f t="shared" si="0"/>
        <v>91</v>
      </c>
      <c r="P52" s="17">
        <f t="shared" si="1"/>
        <v>119</v>
      </c>
      <c r="R52" s="19"/>
      <c r="S52" s="19"/>
      <c r="T52"/>
    </row>
    <row r="53" spans="2:20" ht="23.1" customHeight="1" x14ac:dyDescent="0.25">
      <c r="B53" s="45" t="s">
        <v>80</v>
      </c>
      <c r="C53" s="50">
        <v>60</v>
      </c>
      <c r="D53" s="50">
        <v>14</v>
      </c>
      <c r="E53" s="50">
        <v>12</v>
      </c>
      <c r="F53" s="50">
        <v>1</v>
      </c>
      <c r="G53" s="50">
        <v>0</v>
      </c>
      <c r="H53" s="50">
        <v>1</v>
      </c>
      <c r="I53" s="50">
        <v>4</v>
      </c>
      <c r="J53" s="50">
        <v>0</v>
      </c>
      <c r="K53" s="50">
        <v>0</v>
      </c>
      <c r="L53" s="50">
        <v>0</v>
      </c>
      <c r="M53" s="50">
        <v>29</v>
      </c>
      <c r="N53" s="50">
        <v>0</v>
      </c>
      <c r="O53" s="17">
        <f t="shared" si="0"/>
        <v>92</v>
      </c>
      <c r="P53" s="17">
        <f t="shared" si="1"/>
        <v>121</v>
      </c>
      <c r="R53" s="19"/>
      <c r="S53" s="19"/>
      <c r="T53"/>
    </row>
    <row r="54" spans="2:20" ht="23.1" customHeight="1" x14ac:dyDescent="0.25">
      <c r="B54" s="45" t="s">
        <v>81</v>
      </c>
      <c r="C54" s="50">
        <v>68</v>
      </c>
      <c r="D54" s="50">
        <v>1</v>
      </c>
      <c r="E54" s="50">
        <v>5</v>
      </c>
      <c r="F54" s="50">
        <v>0</v>
      </c>
      <c r="G54" s="50">
        <v>0</v>
      </c>
      <c r="H54" s="50">
        <v>0</v>
      </c>
      <c r="I54" s="50">
        <v>9</v>
      </c>
      <c r="J54" s="50">
        <v>0</v>
      </c>
      <c r="K54" s="50">
        <v>0</v>
      </c>
      <c r="L54" s="50">
        <v>0</v>
      </c>
      <c r="M54" s="50">
        <v>30</v>
      </c>
      <c r="N54" s="50">
        <v>0</v>
      </c>
      <c r="O54" s="17">
        <f t="shared" si="0"/>
        <v>83</v>
      </c>
      <c r="P54" s="17">
        <f t="shared" si="1"/>
        <v>113</v>
      </c>
      <c r="R54" s="19"/>
      <c r="S54" s="19"/>
      <c r="T54"/>
    </row>
    <row r="55" spans="2:20" ht="23.1" customHeight="1" x14ac:dyDescent="0.25">
      <c r="B55" s="45" t="s">
        <v>82</v>
      </c>
      <c r="C55" s="50">
        <v>63</v>
      </c>
      <c r="D55" s="50">
        <v>5</v>
      </c>
      <c r="E55" s="50">
        <v>13</v>
      </c>
      <c r="F55" s="50">
        <v>2</v>
      </c>
      <c r="G55" s="50">
        <v>0</v>
      </c>
      <c r="H55" s="50">
        <v>0</v>
      </c>
      <c r="I55" s="50">
        <v>3</v>
      </c>
      <c r="J55" s="50">
        <v>1</v>
      </c>
      <c r="K55" s="50">
        <v>0</v>
      </c>
      <c r="L55" s="50">
        <v>0</v>
      </c>
      <c r="M55" s="50">
        <v>46</v>
      </c>
      <c r="N55" s="50">
        <v>0</v>
      </c>
      <c r="O55" s="17">
        <f t="shared" si="0"/>
        <v>87</v>
      </c>
      <c r="P55" s="17">
        <f t="shared" si="1"/>
        <v>133</v>
      </c>
      <c r="R55" s="19"/>
      <c r="S55" s="19"/>
      <c r="T55"/>
    </row>
    <row r="56" spans="2:20" ht="23.1" customHeight="1" x14ac:dyDescent="0.25">
      <c r="B56" s="45" t="s">
        <v>83</v>
      </c>
      <c r="C56" s="50">
        <v>79</v>
      </c>
      <c r="D56" s="50">
        <v>2</v>
      </c>
      <c r="E56" s="50">
        <v>9</v>
      </c>
      <c r="F56" s="50">
        <v>2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51</v>
      </c>
      <c r="N56" s="50">
        <v>0</v>
      </c>
      <c r="O56" s="17">
        <f t="shared" si="0"/>
        <v>95</v>
      </c>
      <c r="P56" s="17">
        <f t="shared" si="1"/>
        <v>146</v>
      </c>
      <c r="R56" s="19"/>
      <c r="S56" s="19"/>
      <c r="T56"/>
    </row>
    <row r="57" spans="2:20" ht="23.1" customHeight="1" x14ac:dyDescent="0.25">
      <c r="B57" s="45" t="s">
        <v>84</v>
      </c>
      <c r="C57" s="50">
        <v>53</v>
      </c>
      <c r="D57" s="50">
        <v>0</v>
      </c>
      <c r="E57" s="50">
        <v>6</v>
      </c>
      <c r="F57" s="50">
        <v>2</v>
      </c>
      <c r="G57" s="50">
        <v>1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37</v>
      </c>
      <c r="N57" s="50">
        <v>0</v>
      </c>
      <c r="O57" s="17">
        <f t="shared" si="0"/>
        <v>64</v>
      </c>
      <c r="P57" s="17">
        <f t="shared" si="1"/>
        <v>101</v>
      </c>
      <c r="R57" s="19"/>
      <c r="S57" s="19"/>
      <c r="T57"/>
    </row>
    <row r="58" spans="2:20" ht="23.1" customHeight="1" x14ac:dyDescent="0.25">
      <c r="B58" s="45" t="s">
        <v>99</v>
      </c>
      <c r="C58" s="50">
        <v>40</v>
      </c>
      <c r="D58" s="50">
        <v>7</v>
      </c>
      <c r="E58" s="50">
        <v>2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18</v>
      </c>
      <c r="N58" s="50">
        <v>0</v>
      </c>
      <c r="O58" s="17">
        <f t="shared" si="0"/>
        <v>50</v>
      </c>
      <c r="P58" s="17">
        <f t="shared" si="1"/>
        <v>68</v>
      </c>
      <c r="R58" s="19"/>
      <c r="S58" s="19"/>
      <c r="T58"/>
    </row>
    <row r="59" spans="2:20" ht="23.1" customHeight="1" x14ac:dyDescent="0.25">
      <c r="B59" s="45" t="s">
        <v>100</v>
      </c>
      <c r="C59" s="50">
        <v>32</v>
      </c>
      <c r="D59" s="50">
        <v>12</v>
      </c>
      <c r="E59" s="50">
        <v>5</v>
      </c>
      <c r="F59" s="50">
        <v>3</v>
      </c>
      <c r="G59" s="50">
        <v>0</v>
      </c>
      <c r="H59" s="50">
        <v>0</v>
      </c>
      <c r="I59" s="50">
        <v>2</v>
      </c>
      <c r="J59" s="50">
        <v>3</v>
      </c>
      <c r="K59" s="50">
        <v>0</v>
      </c>
      <c r="L59" s="50">
        <v>0</v>
      </c>
      <c r="M59" s="50">
        <v>23</v>
      </c>
      <c r="N59" s="50">
        <v>0</v>
      </c>
      <c r="O59" s="17">
        <f t="shared" si="0"/>
        <v>57</v>
      </c>
      <c r="P59" s="17">
        <f t="shared" si="1"/>
        <v>80</v>
      </c>
      <c r="R59" s="19"/>
      <c r="S59" s="19"/>
      <c r="T59"/>
    </row>
    <row r="60" spans="2:20" ht="23.1" customHeight="1" x14ac:dyDescent="0.25">
      <c r="B60" s="45" t="s">
        <v>101</v>
      </c>
      <c r="C60" s="50">
        <v>51</v>
      </c>
      <c r="D60" s="50">
        <v>14</v>
      </c>
      <c r="E60" s="50">
        <v>8</v>
      </c>
      <c r="F60" s="50">
        <v>2</v>
      </c>
      <c r="G60" s="50">
        <v>1</v>
      </c>
      <c r="H60" s="50">
        <v>0</v>
      </c>
      <c r="I60" s="50">
        <v>7</v>
      </c>
      <c r="J60" s="50">
        <v>0</v>
      </c>
      <c r="K60" s="50">
        <v>1</v>
      </c>
      <c r="L60" s="50">
        <v>0</v>
      </c>
      <c r="M60" s="50">
        <v>29</v>
      </c>
      <c r="N60" s="50">
        <v>0</v>
      </c>
      <c r="O60" s="17">
        <f t="shared" si="0"/>
        <v>84</v>
      </c>
      <c r="P60" s="17">
        <f t="shared" si="1"/>
        <v>113</v>
      </c>
      <c r="R60" s="19"/>
      <c r="S60" s="19"/>
      <c r="T60"/>
    </row>
    <row r="61" spans="2:20" ht="23.1" customHeight="1" x14ac:dyDescent="0.25">
      <c r="B61" s="45" t="s">
        <v>102</v>
      </c>
      <c r="C61" s="50">
        <v>50</v>
      </c>
      <c r="D61" s="50">
        <v>13</v>
      </c>
      <c r="E61" s="50">
        <v>4</v>
      </c>
      <c r="F61" s="50">
        <v>3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43</v>
      </c>
      <c r="N61" s="50">
        <v>0</v>
      </c>
      <c r="O61" s="17">
        <f t="shared" si="0"/>
        <v>72</v>
      </c>
      <c r="P61" s="17">
        <f t="shared" si="1"/>
        <v>115</v>
      </c>
      <c r="R61" s="19"/>
      <c r="S61" s="19"/>
      <c r="T61"/>
    </row>
    <row r="62" spans="2:20" ht="23.1" customHeight="1" x14ac:dyDescent="0.25">
      <c r="B62" s="45" t="s">
        <v>107</v>
      </c>
      <c r="C62" s="50">
        <v>57</v>
      </c>
      <c r="D62" s="50">
        <v>10</v>
      </c>
      <c r="E62" s="50">
        <v>3</v>
      </c>
      <c r="F62" s="50">
        <v>1</v>
      </c>
      <c r="G62" s="50">
        <v>2</v>
      </c>
      <c r="H62" s="50">
        <v>0</v>
      </c>
      <c r="I62" s="50">
        <v>3</v>
      </c>
      <c r="J62" s="50">
        <v>3</v>
      </c>
      <c r="K62" s="50">
        <v>2</v>
      </c>
      <c r="L62" s="50">
        <v>0</v>
      </c>
      <c r="M62" s="50">
        <v>35</v>
      </c>
      <c r="N62" s="50">
        <v>0</v>
      </c>
      <c r="O62" s="17">
        <f t="shared" si="0"/>
        <v>81</v>
      </c>
      <c r="P62" s="17">
        <f t="shared" si="1"/>
        <v>116</v>
      </c>
      <c r="R62" s="19"/>
      <c r="S62" s="19"/>
      <c r="T62"/>
    </row>
    <row r="63" spans="2:20" ht="23.1" customHeight="1" x14ac:dyDescent="0.25">
      <c r="B63" s="45" t="s">
        <v>108</v>
      </c>
      <c r="C63" s="50">
        <v>36</v>
      </c>
      <c r="D63" s="50">
        <v>6</v>
      </c>
      <c r="E63" s="50">
        <v>5</v>
      </c>
      <c r="F63" s="50">
        <v>2</v>
      </c>
      <c r="G63" s="50">
        <v>0</v>
      </c>
      <c r="H63" s="50">
        <v>0</v>
      </c>
      <c r="I63" s="50">
        <v>3</v>
      </c>
      <c r="J63" s="50">
        <v>0</v>
      </c>
      <c r="K63" s="50">
        <v>0</v>
      </c>
      <c r="L63" s="50">
        <v>0</v>
      </c>
      <c r="M63" s="50">
        <v>36</v>
      </c>
      <c r="N63" s="50">
        <v>0</v>
      </c>
      <c r="O63" s="17">
        <f t="shared" si="0"/>
        <v>52</v>
      </c>
      <c r="P63" s="17">
        <f t="shared" si="1"/>
        <v>88</v>
      </c>
      <c r="R63" s="19"/>
      <c r="S63" s="19"/>
      <c r="T63"/>
    </row>
    <row r="64" spans="2:20" ht="23.1" customHeight="1" x14ac:dyDescent="0.25">
      <c r="B64" s="45" t="s">
        <v>109</v>
      </c>
      <c r="C64" s="50">
        <v>36</v>
      </c>
      <c r="D64" s="50">
        <v>7</v>
      </c>
      <c r="E64" s="50">
        <v>3</v>
      </c>
      <c r="F64" s="50">
        <v>3</v>
      </c>
      <c r="G64" s="50">
        <v>1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29</v>
      </c>
      <c r="N64" s="50">
        <v>0</v>
      </c>
      <c r="O64" s="17">
        <f t="shared" si="0"/>
        <v>51</v>
      </c>
      <c r="P64" s="17">
        <f t="shared" si="1"/>
        <v>80</v>
      </c>
      <c r="R64" s="19"/>
      <c r="S64" s="19"/>
      <c r="T64"/>
    </row>
    <row r="65" spans="2:20" ht="23.1" customHeight="1" x14ac:dyDescent="0.25">
      <c r="B65" s="45" t="s">
        <v>158</v>
      </c>
      <c r="C65" s="50">
        <v>46</v>
      </c>
      <c r="D65" s="50">
        <v>15</v>
      </c>
      <c r="E65" s="50">
        <v>2</v>
      </c>
      <c r="F65" s="50">
        <v>1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30</v>
      </c>
      <c r="N65" s="50">
        <v>0</v>
      </c>
      <c r="O65" s="17">
        <f t="shared" si="0"/>
        <v>64</v>
      </c>
      <c r="P65" s="17">
        <f t="shared" si="1"/>
        <v>94</v>
      </c>
      <c r="R65" s="19"/>
      <c r="S65" s="19"/>
      <c r="T65"/>
    </row>
    <row r="66" spans="2:20" ht="23.1" customHeight="1" x14ac:dyDescent="0.25">
      <c r="B66" s="45" t="s">
        <v>103</v>
      </c>
      <c r="C66" s="50">
        <v>27</v>
      </c>
      <c r="D66" s="50">
        <v>10</v>
      </c>
      <c r="E66" s="50">
        <v>4</v>
      </c>
      <c r="F66" s="50">
        <v>2</v>
      </c>
      <c r="G66" s="50">
        <v>0</v>
      </c>
      <c r="H66" s="50">
        <v>0</v>
      </c>
      <c r="I66" s="50">
        <v>2</v>
      </c>
      <c r="J66" s="50">
        <v>3</v>
      </c>
      <c r="K66" s="50">
        <v>1</v>
      </c>
      <c r="L66" s="50">
        <v>0</v>
      </c>
      <c r="M66" s="50">
        <v>15</v>
      </c>
      <c r="N66" s="50">
        <v>0</v>
      </c>
      <c r="O66" s="17">
        <f t="shared" si="0"/>
        <v>49</v>
      </c>
      <c r="P66" s="17">
        <f t="shared" si="1"/>
        <v>64</v>
      </c>
      <c r="R66" s="19"/>
      <c r="S66" s="19"/>
      <c r="T66"/>
    </row>
    <row r="67" spans="2:20" ht="23.1" customHeight="1" x14ac:dyDescent="0.25">
      <c r="B67" s="45" t="s">
        <v>104</v>
      </c>
      <c r="C67" s="50">
        <v>19</v>
      </c>
      <c r="D67" s="50">
        <v>10</v>
      </c>
      <c r="E67" s="50">
        <v>3</v>
      </c>
      <c r="F67" s="50">
        <v>0</v>
      </c>
      <c r="G67" s="50">
        <v>1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16</v>
      </c>
      <c r="N67" s="50">
        <v>0</v>
      </c>
      <c r="O67" s="17">
        <f t="shared" si="0"/>
        <v>35</v>
      </c>
      <c r="P67" s="17">
        <f t="shared" si="1"/>
        <v>51</v>
      </c>
      <c r="R67" s="19"/>
      <c r="S67" s="19"/>
      <c r="T67"/>
    </row>
    <row r="68" spans="2:20" ht="23.1" customHeight="1" x14ac:dyDescent="0.25">
      <c r="B68" s="45" t="s">
        <v>105</v>
      </c>
      <c r="C68" s="50">
        <v>41</v>
      </c>
      <c r="D68" s="50">
        <v>7</v>
      </c>
      <c r="E68" s="50">
        <v>2</v>
      </c>
      <c r="F68" s="50">
        <v>0</v>
      </c>
      <c r="G68" s="50">
        <v>0</v>
      </c>
      <c r="H68" s="50">
        <v>0</v>
      </c>
      <c r="I68" s="50">
        <v>2</v>
      </c>
      <c r="J68" s="50">
        <v>1</v>
      </c>
      <c r="K68" s="50">
        <v>1</v>
      </c>
      <c r="L68" s="50">
        <v>0</v>
      </c>
      <c r="M68" s="50">
        <v>19</v>
      </c>
      <c r="N68" s="50">
        <v>0</v>
      </c>
      <c r="O68" s="17">
        <f t="shared" si="0"/>
        <v>54</v>
      </c>
      <c r="P68" s="17">
        <f t="shared" si="1"/>
        <v>73</v>
      </c>
      <c r="R68" s="19"/>
      <c r="S68" s="19"/>
      <c r="T68"/>
    </row>
    <row r="69" spans="2:20" ht="23.1" customHeight="1" x14ac:dyDescent="0.25">
      <c r="B69" s="45" t="s">
        <v>106</v>
      </c>
      <c r="C69" s="50">
        <v>16</v>
      </c>
      <c r="D69" s="50">
        <v>2</v>
      </c>
      <c r="E69" s="50">
        <v>1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7">
        <f t="shared" si="0"/>
        <v>21</v>
      </c>
      <c r="P69" s="17">
        <f t="shared" si="1"/>
        <v>23</v>
      </c>
      <c r="R69" s="19"/>
      <c r="S69" s="19"/>
      <c r="T69"/>
    </row>
    <row r="70" spans="2:20" ht="23.1" customHeight="1" x14ac:dyDescent="0.25">
      <c r="B70" s="45" t="s">
        <v>110</v>
      </c>
      <c r="C70" s="50">
        <v>26</v>
      </c>
      <c r="D70" s="50">
        <v>5</v>
      </c>
      <c r="E70" s="50">
        <v>5</v>
      </c>
      <c r="F70" s="50">
        <v>2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20</v>
      </c>
      <c r="N70" s="50">
        <v>0</v>
      </c>
      <c r="O70" s="17">
        <f t="shared" si="0"/>
        <v>39</v>
      </c>
      <c r="P70" s="17">
        <f t="shared" si="1"/>
        <v>59</v>
      </c>
      <c r="R70" s="19"/>
      <c r="S70" s="19"/>
      <c r="T70"/>
    </row>
    <row r="71" spans="2:20" ht="23.1" customHeight="1" x14ac:dyDescent="0.25">
      <c r="B71" s="45" t="s">
        <v>111</v>
      </c>
      <c r="C71" s="50">
        <v>33</v>
      </c>
      <c r="D71" s="50">
        <v>5</v>
      </c>
      <c r="E71" s="50">
        <v>4</v>
      </c>
      <c r="F71" s="50">
        <v>3</v>
      </c>
      <c r="G71" s="50">
        <v>1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12</v>
      </c>
      <c r="N71" s="50">
        <v>0</v>
      </c>
      <c r="O71" s="17">
        <f t="shared" si="0"/>
        <v>46</v>
      </c>
      <c r="P71" s="17">
        <f t="shared" si="1"/>
        <v>58</v>
      </c>
      <c r="R71" s="19"/>
      <c r="S71" s="19"/>
      <c r="T71"/>
    </row>
    <row r="72" spans="2:20" ht="23.1" customHeight="1" x14ac:dyDescent="0.25">
      <c r="B72" s="45" t="s">
        <v>112</v>
      </c>
      <c r="C72" s="50">
        <v>28</v>
      </c>
      <c r="D72" s="50">
        <v>8</v>
      </c>
      <c r="E72" s="50">
        <v>0</v>
      </c>
      <c r="F72" s="50">
        <v>0</v>
      </c>
      <c r="G72" s="50">
        <v>1</v>
      </c>
      <c r="H72" s="50">
        <v>0</v>
      </c>
      <c r="I72" s="50">
        <v>0</v>
      </c>
      <c r="J72" s="50">
        <v>2</v>
      </c>
      <c r="K72" s="50">
        <v>0</v>
      </c>
      <c r="L72" s="50">
        <v>0</v>
      </c>
      <c r="M72" s="50">
        <v>19</v>
      </c>
      <c r="N72" s="50">
        <v>0</v>
      </c>
      <c r="O72" s="17">
        <f t="shared" si="0"/>
        <v>39</v>
      </c>
      <c r="P72" s="17">
        <f t="shared" si="1"/>
        <v>58</v>
      </c>
      <c r="R72" s="19"/>
      <c r="S72" s="19"/>
      <c r="T72"/>
    </row>
    <row r="73" spans="2:20" ht="23.1" customHeight="1" x14ac:dyDescent="0.25">
      <c r="B73" s="45" t="s">
        <v>113</v>
      </c>
      <c r="C73" s="50">
        <v>16</v>
      </c>
      <c r="D73" s="50">
        <v>7</v>
      </c>
      <c r="E73" s="50">
        <v>2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9</v>
      </c>
      <c r="N73" s="50">
        <v>0</v>
      </c>
      <c r="O73" s="17">
        <f t="shared" si="0"/>
        <v>26</v>
      </c>
      <c r="P73" s="17">
        <f t="shared" si="1"/>
        <v>35</v>
      </c>
      <c r="R73" s="19"/>
      <c r="S73" s="19"/>
      <c r="T73"/>
    </row>
    <row r="74" spans="2:20" ht="23.1" customHeight="1" x14ac:dyDescent="0.25">
      <c r="B74" s="45" t="s">
        <v>114</v>
      </c>
      <c r="C74" s="50">
        <v>20</v>
      </c>
      <c r="D74" s="50">
        <v>10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14</v>
      </c>
      <c r="N74" s="50">
        <v>0</v>
      </c>
      <c r="O74" s="17">
        <f t="shared" ref="O74:O105" si="35">SUM(C74:L74,N74)</f>
        <v>32</v>
      </c>
      <c r="P74" s="17">
        <f t="shared" ref="P74:P105" si="36">SUM(C74:N74)</f>
        <v>46</v>
      </c>
      <c r="R74" s="19"/>
      <c r="S74" s="19"/>
      <c r="T74"/>
    </row>
    <row r="75" spans="2:20" ht="23.1" customHeight="1" x14ac:dyDescent="0.25">
      <c r="B75" s="45" t="s">
        <v>115</v>
      </c>
      <c r="C75" s="50">
        <v>22</v>
      </c>
      <c r="D75" s="50">
        <v>6</v>
      </c>
      <c r="E75" s="50">
        <v>1</v>
      </c>
      <c r="F75" s="50">
        <v>2</v>
      </c>
      <c r="G75" s="50">
        <v>0</v>
      </c>
      <c r="H75" s="50">
        <v>1</v>
      </c>
      <c r="I75" s="50">
        <v>0</v>
      </c>
      <c r="J75" s="50">
        <v>0</v>
      </c>
      <c r="K75" s="50">
        <v>0</v>
      </c>
      <c r="L75" s="50">
        <v>0</v>
      </c>
      <c r="M75" s="50">
        <v>11</v>
      </c>
      <c r="N75" s="50">
        <v>0</v>
      </c>
      <c r="O75" s="17">
        <f t="shared" si="35"/>
        <v>32</v>
      </c>
      <c r="P75" s="17">
        <f t="shared" si="36"/>
        <v>43</v>
      </c>
      <c r="R75" s="19"/>
      <c r="S75" s="19"/>
      <c r="T75"/>
    </row>
    <row r="76" spans="2:20" ht="23.1" customHeight="1" x14ac:dyDescent="0.25">
      <c r="B76" s="45" t="s">
        <v>116</v>
      </c>
      <c r="C76" s="50">
        <v>8</v>
      </c>
      <c r="D76" s="50">
        <v>2</v>
      </c>
      <c r="E76" s="50">
        <v>1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7">
        <f t="shared" si="35"/>
        <v>12</v>
      </c>
      <c r="P76" s="17">
        <f t="shared" si="36"/>
        <v>16</v>
      </c>
      <c r="R76" s="19"/>
      <c r="S76" s="19"/>
      <c r="T76"/>
    </row>
    <row r="77" spans="2:20" ht="23.1" customHeight="1" x14ac:dyDescent="0.25">
      <c r="B77" s="45" t="s">
        <v>117</v>
      </c>
      <c r="C77" s="50">
        <v>18</v>
      </c>
      <c r="D77" s="50">
        <v>1</v>
      </c>
      <c r="E77" s="50">
        <v>2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12</v>
      </c>
      <c r="N77" s="50">
        <v>0</v>
      </c>
      <c r="O77" s="17">
        <f t="shared" si="35"/>
        <v>21</v>
      </c>
      <c r="P77" s="17">
        <f t="shared" si="36"/>
        <v>33</v>
      </c>
      <c r="R77" s="19"/>
      <c r="S77" s="19"/>
      <c r="T77"/>
    </row>
    <row r="78" spans="2:20" ht="23.1" customHeight="1" x14ac:dyDescent="0.25">
      <c r="B78" s="46" t="s">
        <v>118</v>
      </c>
      <c r="C78" s="50">
        <v>23</v>
      </c>
      <c r="D78" s="50">
        <v>5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2</v>
      </c>
      <c r="L78" s="50">
        <v>0</v>
      </c>
      <c r="M78" s="50">
        <v>11</v>
      </c>
      <c r="N78" s="50">
        <v>0</v>
      </c>
      <c r="O78" s="17">
        <f t="shared" si="35"/>
        <v>31</v>
      </c>
      <c r="P78" s="17">
        <f t="shared" si="36"/>
        <v>42</v>
      </c>
      <c r="R78" s="19"/>
      <c r="S78" s="19"/>
      <c r="T78"/>
    </row>
    <row r="79" spans="2:20" ht="23.1" customHeight="1" x14ac:dyDescent="0.25">
      <c r="B79" s="45" t="s">
        <v>119</v>
      </c>
      <c r="C79" s="50">
        <v>5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7">
        <f t="shared" si="35"/>
        <v>7</v>
      </c>
      <c r="P79" s="17">
        <f t="shared" si="36"/>
        <v>10</v>
      </c>
      <c r="R79" s="19"/>
      <c r="S79" s="19"/>
      <c r="T79"/>
    </row>
    <row r="80" spans="2:20" ht="23.1" customHeight="1" x14ac:dyDescent="0.25">
      <c r="B80" s="47" t="s">
        <v>120</v>
      </c>
      <c r="C80" s="50">
        <v>7</v>
      </c>
      <c r="D80" s="50">
        <v>4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</v>
      </c>
      <c r="N80" s="50">
        <v>0</v>
      </c>
      <c r="O80" s="17">
        <f t="shared" si="35"/>
        <v>12</v>
      </c>
      <c r="P80" s="17">
        <f t="shared" si="36"/>
        <v>16</v>
      </c>
      <c r="R80" s="19"/>
      <c r="S80" s="19"/>
      <c r="T80"/>
    </row>
    <row r="81" spans="2:20" ht="23.1" customHeight="1" x14ac:dyDescent="0.25">
      <c r="B81" s="45" t="s">
        <v>121</v>
      </c>
      <c r="C81" s="50">
        <v>7</v>
      </c>
      <c r="D81" s="50">
        <v>2</v>
      </c>
      <c r="E81" s="50">
        <v>1</v>
      </c>
      <c r="F81" s="50">
        <v>1</v>
      </c>
      <c r="G81" s="50">
        <v>0</v>
      </c>
      <c r="H81" s="50">
        <v>0</v>
      </c>
      <c r="I81" s="50">
        <v>2</v>
      </c>
      <c r="J81" s="50">
        <v>0</v>
      </c>
      <c r="K81" s="50">
        <v>0</v>
      </c>
      <c r="L81" s="50">
        <v>0</v>
      </c>
      <c r="M81" s="50">
        <v>10</v>
      </c>
      <c r="N81" s="50">
        <v>0</v>
      </c>
      <c r="O81" s="17">
        <f t="shared" si="35"/>
        <v>13</v>
      </c>
      <c r="P81" s="17">
        <f t="shared" si="36"/>
        <v>23</v>
      </c>
      <c r="R81" s="19"/>
      <c r="S81" s="19"/>
      <c r="T81"/>
    </row>
    <row r="82" spans="2:20" ht="23.1" customHeight="1" x14ac:dyDescent="0.25">
      <c r="B82" s="46" t="s">
        <v>122</v>
      </c>
      <c r="C82" s="50">
        <v>5</v>
      </c>
      <c r="D82" s="50">
        <v>2</v>
      </c>
      <c r="E82" s="50">
        <v>1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7">
        <f t="shared" si="35"/>
        <v>9</v>
      </c>
      <c r="P82" s="17">
        <f t="shared" si="36"/>
        <v>10</v>
      </c>
      <c r="R82" s="19"/>
      <c r="S82" s="19"/>
      <c r="T82"/>
    </row>
    <row r="83" spans="2:20" ht="23.1" customHeight="1" x14ac:dyDescent="0.25">
      <c r="B83" s="45" t="s">
        <v>123</v>
      </c>
      <c r="C83" s="50">
        <v>3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2</v>
      </c>
      <c r="N83" s="50">
        <v>0</v>
      </c>
      <c r="O83" s="17">
        <f t="shared" si="35"/>
        <v>4</v>
      </c>
      <c r="P83" s="17">
        <f t="shared" si="36"/>
        <v>6</v>
      </c>
      <c r="R83" s="19"/>
      <c r="S83" s="19"/>
      <c r="T83"/>
    </row>
    <row r="84" spans="2:20" ht="23.1" customHeight="1" x14ac:dyDescent="0.25">
      <c r="B84" s="47" t="s">
        <v>124</v>
      </c>
      <c r="C84" s="50">
        <v>5</v>
      </c>
      <c r="D84" s="50">
        <v>0</v>
      </c>
      <c r="E84" s="50">
        <v>0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7</v>
      </c>
      <c r="N84" s="50">
        <v>0</v>
      </c>
      <c r="O84" s="17">
        <f t="shared" si="35"/>
        <v>7</v>
      </c>
      <c r="P84" s="17">
        <f t="shared" si="36"/>
        <v>14</v>
      </c>
      <c r="R84" s="19"/>
      <c r="S84" s="19"/>
      <c r="T84"/>
    </row>
    <row r="85" spans="2:20" ht="23.1" customHeight="1" x14ac:dyDescent="0.25">
      <c r="B85" s="45" t="s">
        <v>125</v>
      </c>
      <c r="C85" s="50">
        <v>4</v>
      </c>
      <c r="D85" s="50">
        <v>3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7">
        <f t="shared" si="35"/>
        <v>8</v>
      </c>
      <c r="P85" s="17">
        <f t="shared" si="36"/>
        <v>11</v>
      </c>
      <c r="R85" s="19"/>
      <c r="S85" s="19"/>
      <c r="T85"/>
    </row>
    <row r="86" spans="2:20" ht="23.1" customHeight="1" x14ac:dyDescent="0.25">
      <c r="B86" s="46" t="s">
        <v>126</v>
      </c>
      <c r="C86" s="50">
        <v>12</v>
      </c>
      <c r="D86" s="50">
        <v>4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7">
        <f t="shared" si="35"/>
        <v>17</v>
      </c>
      <c r="P86" s="17">
        <f t="shared" si="36"/>
        <v>20</v>
      </c>
      <c r="R86" s="19"/>
      <c r="S86" s="19"/>
      <c r="T86"/>
    </row>
    <row r="87" spans="2:20" ht="23.1" customHeight="1" x14ac:dyDescent="0.25">
      <c r="B87" s="45" t="s">
        <v>127</v>
      </c>
      <c r="C87" s="50">
        <v>3</v>
      </c>
      <c r="D87" s="50">
        <v>2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7">
        <f t="shared" si="35"/>
        <v>7</v>
      </c>
      <c r="P87" s="17">
        <f t="shared" si="36"/>
        <v>9</v>
      </c>
      <c r="R87" s="19"/>
      <c r="S87" s="19"/>
      <c r="T87"/>
    </row>
    <row r="88" spans="2:20" ht="23.1" customHeight="1" x14ac:dyDescent="0.25">
      <c r="B88" s="47" t="s">
        <v>128</v>
      </c>
      <c r="C88" s="50">
        <v>4</v>
      </c>
      <c r="D88" s="50">
        <v>2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7">
        <f t="shared" si="35"/>
        <v>7</v>
      </c>
      <c r="P88" s="17">
        <f t="shared" si="36"/>
        <v>12</v>
      </c>
      <c r="R88" s="19"/>
      <c r="S88" s="19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7">
        <f t="shared" si="35"/>
        <v>4</v>
      </c>
      <c r="P89" s="17">
        <f t="shared" si="36"/>
        <v>5</v>
      </c>
      <c r="R89" s="19"/>
      <c r="S89" s="19"/>
      <c r="T89"/>
    </row>
    <row r="90" spans="2:20" ht="23.1" customHeight="1" x14ac:dyDescent="0.25">
      <c r="B90" s="46" t="s">
        <v>130</v>
      </c>
      <c r="C90" s="50">
        <v>2</v>
      </c>
      <c r="D90" s="50">
        <v>2</v>
      </c>
      <c r="E90" s="50">
        <v>0</v>
      </c>
      <c r="F90" s="50">
        <v>2</v>
      </c>
      <c r="G90" s="50">
        <v>1</v>
      </c>
      <c r="H90" s="50">
        <v>1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7">
        <f t="shared" si="35"/>
        <v>8</v>
      </c>
      <c r="P90" s="17">
        <f t="shared" si="36"/>
        <v>11</v>
      </c>
      <c r="R90" s="19"/>
      <c r="S90" s="19"/>
      <c r="T90"/>
    </row>
    <row r="91" spans="2:20" ht="23.1" customHeight="1" x14ac:dyDescent="0.25">
      <c r="B91" s="45" t="s">
        <v>131</v>
      </c>
      <c r="C91" s="50">
        <v>1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2</v>
      </c>
      <c r="N91" s="50">
        <v>0</v>
      </c>
      <c r="O91" s="17">
        <f t="shared" si="35"/>
        <v>3</v>
      </c>
      <c r="P91" s="17">
        <f t="shared" si="36"/>
        <v>5</v>
      </c>
      <c r="R91" s="19"/>
      <c r="S91" s="19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7">
        <f t="shared" si="35"/>
        <v>1</v>
      </c>
      <c r="P92" s="17">
        <f t="shared" si="36"/>
        <v>1</v>
      </c>
      <c r="R92" s="19"/>
      <c r="S92" s="19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1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4</v>
      </c>
      <c r="N93" s="50">
        <v>0</v>
      </c>
      <c r="O93" s="17">
        <f t="shared" si="35"/>
        <v>3</v>
      </c>
      <c r="P93" s="17">
        <f t="shared" si="36"/>
        <v>7</v>
      </c>
      <c r="R93" s="19"/>
      <c r="S93" s="19"/>
      <c r="T93"/>
    </row>
    <row r="94" spans="2:20" ht="23.1" customHeight="1" x14ac:dyDescent="0.25">
      <c r="B94" s="46" t="s">
        <v>134</v>
      </c>
      <c r="C94" s="50">
        <v>3</v>
      </c>
      <c r="D94" s="50">
        <v>0</v>
      </c>
      <c r="E94" s="50">
        <v>2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7">
        <f t="shared" si="35"/>
        <v>6</v>
      </c>
      <c r="P94" s="17">
        <f t="shared" si="36"/>
        <v>9</v>
      </c>
      <c r="R94" s="19"/>
      <c r="S94" s="19"/>
      <c r="T94"/>
    </row>
    <row r="95" spans="2:20" ht="23.1" customHeight="1" x14ac:dyDescent="0.25">
      <c r="B95" s="45" t="s">
        <v>135</v>
      </c>
      <c r="C95" s="50">
        <v>2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7">
        <f t="shared" si="35"/>
        <v>3</v>
      </c>
      <c r="P95" s="17">
        <f t="shared" si="36"/>
        <v>4</v>
      </c>
      <c r="R95" s="19"/>
      <c r="S95" s="19"/>
      <c r="T95"/>
    </row>
    <row r="96" spans="2:20" ht="23.1" customHeight="1" x14ac:dyDescent="0.25">
      <c r="B96" s="47" t="s">
        <v>136</v>
      </c>
      <c r="C96" s="50">
        <v>2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7">
        <f t="shared" si="35"/>
        <v>3</v>
      </c>
      <c r="P96" s="17">
        <f t="shared" si="36"/>
        <v>4</v>
      </c>
      <c r="R96" s="19"/>
      <c r="S96" s="19"/>
      <c r="T96"/>
    </row>
    <row r="97" spans="2:20" ht="23.1" customHeight="1" x14ac:dyDescent="0.25">
      <c r="B97" s="45" t="s">
        <v>137</v>
      </c>
      <c r="C97" s="50">
        <v>3</v>
      </c>
      <c r="D97" s="50">
        <v>2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7">
        <f t="shared" si="35"/>
        <v>5</v>
      </c>
      <c r="P97" s="17">
        <f t="shared" si="36"/>
        <v>5</v>
      </c>
      <c r="R97" s="19"/>
      <c r="S97" s="19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7">
        <f t="shared" si="35"/>
        <v>2</v>
      </c>
      <c r="P98" s="17">
        <f t="shared" si="36"/>
        <v>2</v>
      </c>
      <c r="R98" s="19"/>
      <c r="S98" s="19"/>
      <c r="T98"/>
    </row>
    <row r="99" spans="2:20" ht="23.1" customHeight="1" x14ac:dyDescent="0.25">
      <c r="B99" s="45" t="s">
        <v>139</v>
      </c>
      <c r="C99" s="50">
        <v>1</v>
      </c>
      <c r="D99" s="50">
        <v>1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7">
        <f t="shared" si="35"/>
        <v>2</v>
      </c>
      <c r="P99" s="17">
        <f t="shared" si="36"/>
        <v>2</v>
      </c>
      <c r="R99" s="19"/>
      <c r="S99" s="19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7">
        <f t="shared" si="35"/>
        <v>2</v>
      </c>
      <c r="P100" s="17">
        <f t="shared" si="36"/>
        <v>5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7">
        <f t="shared" si="35"/>
        <v>1</v>
      </c>
      <c r="P101" s="17">
        <f t="shared" si="36"/>
        <v>3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3</v>
      </c>
      <c r="D102" s="50">
        <v>2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7">
        <f t="shared" si="35"/>
        <v>6</v>
      </c>
      <c r="P102" s="17">
        <f t="shared" si="36"/>
        <v>9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2</v>
      </c>
      <c r="D103" s="50">
        <v>3</v>
      </c>
      <c r="E103" s="50">
        <v>2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3</v>
      </c>
      <c r="N103" s="50">
        <v>0</v>
      </c>
      <c r="O103" s="17">
        <f t="shared" si="35"/>
        <v>9</v>
      </c>
      <c r="P103" s="17">
        <f t="shared" si="36"/>
        <v>12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10</v>
      </c>
      <c r="D104" s="50">
        <v>0</v>
      </c>
      <c r="E104" s="50">
        <v>1</v>
      </c>
      <c r="F104" s="50">
        <v>0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8</v>
      </c>
      <c r="N104" s="50">
        <v>0</v>
      </c>
      <c r="O104" s="17">
        <f t="shared" si="35"/>
        <v>12</v>
      </c>
      <c r="P104" s="17">
        <f t="shared" si="36"/>
        <v>20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14</v>
      </c>
      <c r="D105" s="50">
        <v>1</v>
      </c>
      <c r="E105" s="50">
        <v>1</v>
      </c>
      <c r="F105" s="50">
        <v>2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9</v>
      </c>
      <c r="N105" s="50">
        <v>0</v>
      </c>
      <c r="O105" s="17">
        <f t="shared" si="35"/>
        <v>18</v>
      </c>
      <c r="P105" s="17">
        <f t="shared" si="36"/>
        <v>27</v>
      </c>
      <c r="R105" s="19"/>
      <c r="S105" s="19"/>
      <c r="T105"/>
    </row>
    <row r="106" spans="2:20" ht="23.1" customHeight="1" x14ac:dyDescent="0.25">
      <c r="B106" s="53" t="s">
        <v>18</v>
      </c>
      <c r="C106" s="16">
        <f>SUM(C10:C105)</f>
        <v>3233</v>
      </c>
      <c r="D106" s="16">
        <f t="shared" ref="D106:P106" si="37">SUM(D10:D105)</f>
        <v>359</v>
      </c>
      <c r="E106" s="16">
        <f t="shared" si="37"/>
        <v>301</v>
      </c>
      <c r="F106" s="16">
        <f t="shared" si="37"/>
        <v>93</v>
      </c>
      <c r="G106" s="16">
        <f t="shared" si="37"/>
        <v>28</v>
      </c>
      <c r="H106" s="16">
        <f t="shared" si="37"/>
        <v>6</v>
      </c>
      <c r="I106" s="16">
        <f t="shared" si="37"/>
        <v>178</v>
      </c>
      <c r="J106" s="16">
        <f t="shared" si="37"/>
        <v>82</v>
      </c>
      <c r="K106" s="16">
        <f t="shared" si="37"/>
        <v>25</v>
      </c>
      <c r="L106" s="16">
        <f t="shared" si="37"/>
        <v>0</v>
      </c>
      <c r="M106" s="16">
        <f t="shared" si="37"/>
        <v>2041</v>
      </c>
      <c r="N106" s="16">
        <f t="shared" si="37"/>
        <v>1</v>
      </c>
      <c r="O106" s="16">
        <f t="shared" si="37"/>
        <v>4306</v>
      </c>
      <c r="P106" s="16">
        <f t="shared" si="37"/>
        <v>6347</v>
      </c>
      <c r="R106" s="19"/>
      <c r="S106" s="19"/>
      <c r="T106"/>
    </row>
    <row r="107" spans="2:20" ht="23.1" customHeight="1" x14ac:dyDescent="0.25">
      <c r="B107" s="53" t="s">
        <v>93</v>
      </c>
      <c r="C107" s="43">
        <f t="shared" ref="C107:N107" si="38">C106/$P$106</f>
        <v>0.50937450764140535</v>
      </c>
      <c r="D107" s="43">
        <f t="shared" si="38"/>
        <v>5.6562155348983775E-2</v>
      </c>
      <c r="E107" s="43">
        <f t="shared" si="38"/>
        <v>4.7423979832991965E-2</v>
      </c>
      <c r="F107" s="43">
        <f t="shared" si="38"/>
        <v>1.4652591775642036E-2</v>
      </c>
      <c r="G107" s="43">
        <f t="shared" si="38"/>
        <v>4.4115330077201826E-3</v>
      </c>
      <c r="H107" s="43">
        <f t="shared" si="38"/>
        <v>9.453285016543249E-4</v>
      </c>
      <c r="I107" s="43">
        <f t="shared" si="38"/>
        <v>2.8044745549078303E-2</v>
      </c>
      <c r="J107" s="43">
        <f t="shared" si="38"/>
        <v>1.2919489522609106E-2</v>
      </c>
      <c r="K107" s="43">
        <f t="shared" si="38"/>
        <v>3.9388687568930204E-3</v>
      </c>
      <c r="L107" s="43">
        <f t="shared" si="38"/>
        <v>0</v>
      </c>
      <c r="M107" s="43">
        <f t="shared" si="38"/>
        <v>0.32156924531274617</v>
      </c>
      <c r="N107" s="43">
        <f t="shared" si="38"/>
        <v>1.5755475027572083E-4</v>
      </c>
      <c r="R107" s="19"/>
      <c r="S107" s="19"/>
      <c r="T107"/>
    </row>
    <row r="108" spans="2:20" ht="23.1" customHeight="1" x14ac:dyDescent="0.25">
      <c r="B108" s="54" t="s">
        <v>94</v>
      </c>
      <c r="C108" s="44">
        <f>C106/$O$106</f>
        <v>0.75081281932187649</v>
      </c>
      <c r="D108" s="44">
        <f t="shared" ref="D108:N108" si="39">D106/$O$106</f>
        <v>8.3372039015327457E-2</v>
      </c>
      <c r="E108" s="44">
        <f t="shared" si="39"/>
        <v>6.9902461681374831E-2</v>
      </c>
      <c r="F108" s="44">
        <f t="shared" si="39"/>
        <v>2.1597770552717138E-2</v>
      </c>
      <c r="G108" s="44">
        <f t="shared" si="39"/>
        <v>6.5025545750116119E-3</v>
      </c>
      <c r="H108" s="44">
        <f t="shared" si="39"/>
        <v>1.3934045517882026E-3</v>
      </c>
      <c r="I108" s="44">
        <f t="shared" si="39"/>
        <v>4.1337668369716675E-2</v>
      </c>
      <c r="J108" s="44">
        <f t="shared" si="39"/>
        <v>1.9043195541105434E-2</v>
      </c>
      <c r="K108" s="44">
        <f t="shared" si="39"/>
        <v>5.8058522991175105E-3</v>
      </c>
      <c r="L108" s="44">
        <f t="shared" si="39"/>
        <v>0</v>
      </c>
      <c r="M108" s="44"/>
      <c r="N108" s="44">
        <f t="shared" si="39"/>
        <v>2.3223409196470042E-4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1:32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1:32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1:32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1:32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1:32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A1:AF174"/>
  <sheetViews>
    <sheetView view="pageBreakPreview" topLeftCell="A81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3" t="str">
        <f>'[2]23.09.19 Bweya- Kajansi'!C3:G3</f>
        <v>MCC-C2-STNO 56 -Munyonyo spur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180</v>
      </c>
      <c r="F5" s="41" t="s">
        <v>1</v>
      </c>
      <c r="G5" s="71" t="str">
        <f>'[2]27.09 Kajansi-Bweya-24h'!G5:H5</f>
        <v>Munyonyo Spur RD</v>
      </c>
      <c r="H5" s="72"/>
      <c r="I5" s="14"/>
      <c r="J5" s="2" t="s">
        <v>5</v>
      </c>
      <c r="K5" s="71" t="str">
        <f>'[2]27.09 Kajansi-Bweya-24h'!K5:L5</f>
        <v>Akello Rosette / Kasoma John Paul</v>
      </c>
      <c r="L5" s="72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1" t="str">
        <f>'[2]23.09.19 Bweya- Kajansi'!D6:E6</f>
        <v>BWEYA</v>
      </c>
      <c r="E6" s="72"/>
      <c r="F6" s="2" t="s">
        <v>2</v>
      </c>
      <c r="G6" s="71" t="str">
        <f>'[2]23.09.19 Bweya- Kajansi'!G6:H6</f>
        <v>KAJANSI</v>
      </c>
      <c r="H6" s="72"/>
      <c r="J6" s="2" t="s">
        <v>21</v>
      </c>
      <c r="K6" s="71" t="str">
        <f>'[2]27.09 Kajansi-Bweya-24h'!K6:L6</f>
        <v>Beatrice</v>
      </c>
      <c r="L6" s="72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17</v>
      </c>
      <c r="D10" s="50">
        <v>2</v>
      </c>
      <c r="E10" s="50">
        <v>1</v>
      </c>
      <c r="F10" s="50">
        <v>4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26</v>
      </c>
      <c r="N10" s="50">
        <v>0</v>
      </c>
      <c r="O10" s="17">
        <f t="shared" ref="O10:O73" si="0">SUM(C10:L10,N10)</f>
        <v>25</v>
      </c>
      <c r="P10" s="17">
        <f t="shared" ref="P10:P73" si="1">SUM(C10:N10)</f>
        <v>51</v>
      </c>
      <c r="R10" s="1" t="s">
        <v>6</v>
      </c>
      <c r="S10" s="17">
        <f t="shared" ref="S10:AF10" si="2">SUM(C10:C13)</f>
        <v>83</v>
      </c>
      <c r="T10" s="17">
        <f t="shared" si="2"/>
        <v>21</v>
      </c>
      <c r="U10" s="17">
        <f t="shared" si="2"/>
        <v>6</v>
      </c>
      <c r="V10" s="17">
        <f t="shared" si="2"/>
        <v>7</v>
      </c>
      <c r="W10" s="17">
        <f t="shared" si="2"/>
        <v>0</v>
      </c>
      <c r="X10" s="17">
        <f t="shared" si="2"/>
        <v>1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124</v>
      </c>
      <c r="AD10" s="17">
        <f t="shared" si="2"/>
        <v>0</v>
      </c>
      <c r="AE10" s="31">
        <f t="shared" si="2"/>
        <v>125</v>
      </c>
      <c r="AF10" s="31">
        <f t="shared" si="2"/>
        <v>249</v>
      </c>
    </row>
    <row r="11" spans="2:32" s="6" customFormat="1" ht="23.1" customHeight="1" x14ac:dyDescent="0.25">
      <c r="B11" s="45" t="s">
        <v>38</v>
      </c>
      <c r="C11" s="50">
        <v>25</v>
      </c>
      <c r="D11" s="50">
        <v>7</v>
      </c>
      <c r="E11" s="50">
        <v>1</v>
      </c>
      <c r="F11" s="50">
        <v>1</v>
      </c>
      <c r="G11" s="50">
        <v>0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33</v>
      </c>
      <c r="N11" s="50">
        <v>0</v>
      </c>
      <c r="O11" s="17">
        <f t="shared" si="0"/>
        <v>38</v>
      </c>
      <c r="P11" s="17">
        <f t="shared" si="1"/>
        <v>71</v>
      </c>
      <c r="R11" s="1" t="s">
        <v>7</v>
      </c>
      <c r="S11" s="17">
        <f t="shared" ref="S11:AF11" si="3">SUM(C14:C17)</f>
        <v>107</v>
      </c>
      <c r="T11" s="17">
        <f t="shared" si="3"/>
        <v>40</v>
      </c>
      <c r="U11" s="17">
        <f t="shared" si="3"/>
        <v>10</v>
      </c>
      <c r="V11" s="17">
        <f t="shared" si="3"/>
        <v>7</v>
      </c>
      <c r="W11" s="17">
        <f t="shared" si="3"/>
        <v>2</v>
      </c>
      <c r="X11" s="17">
        <f t="shared" si="3"/>
        <v>0</v>
      </c>
      <c r="Y11" s="17">
        <f t="shared" si="3"/>
        <v>8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192</v>
      </c>
      <c r="AD11" s="17">
        <f t="shared" si="3"/>
        <v>0</v>
      </c>
      <c r="AE11" s="31">
        <f t="shared" si="3"/>
        <v>178</v>
      </c>
      <c r="AF11" s="31">
        <f t="shared" si="3"/>
        <v>370</v>
      </c>
    </row>
    <row r="12" spans="2:32" ht="23.1" customHeight="1" x14ac:dyDescent="0.25">
      <c r="B12" s="45" t="s">
        <v>39</v>
      </c>
      <c r="C12" s="50">
        <v>20</v>
      </c>
      <c r="D12" s="50">
        <v>5</v>
      </c>
      <c r="E12" s="50">
        <v>1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36</v>
      </c>
      <c r="N12" s="50">
        <v>0</v>
      </c>
      <c r="O12" s="17">
        <f t="shared" si="0"/>
        <v>29</v>
      </c>
      <c r="P12" s="17">
        <f t="shared" si="1"/>
        <v>65</v>
      </c>
      <c r="R12" s="1" t="s">
        <v>8</v>
      </c>
      <c r="S12" s="17">
        <f t="shared" ref="S12:AF12" si="4">SUM(C18:C21)</f>
        <v>101</v>
      </c>
      <c r="T12" s="17">
        <f t="shared" si="4"/>
        <v>35</v>
      </c>
      <c r="U12" s="17">
        <f t="shared" si="4"/>
        <v>16</v>
      </c>
      <c r="V12" s="17">
        <f t="shared" si="4"/>
        <v>8</v>
      </c>
      <c r="W12" s="17">
        <f t="shared" si="4"/>
        <v>2</v>
      </c>
      <c r="X12" s="17">
        <f t="shared" si="4"/>
        <v>0</v>
      </c>
      <c r="Y12" s="17">
        <f t="shared" si="4"/>
        <v>18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169</v>
      </c>
      <c r="AD12" s="17">
        <f t="shared" si="4"/>
        <v>0</v>
      </c>
      <c r="AE12" s="31">
        <f t="shared" si="4"/>
        <v>182</v>
      </c>
      <c r="AF12" s="31">
        <f t="shared" si="4"/>
        <v>351</v>
      </c>
    </row>
    <row r="13" spans="2:32" ht="23.1" customHeight="1" x14ac:dyDescent="0.25">
      <c r="B13" s="45" t="s">
        <v>40</v>
      </c>
      <c r="C13" s="50">
        <v>21</v>
      </c>
      <c r="D13" s="50">
        <v>7</v>
      </c>
      <c r="E13" s="50">
        <v>3</v>
      </c>
      <c r="F13" s="50">
        <v>0</v>
      </c>
      <c r="G13" s="50">
        <v>0</v>
      </c>
      <c r="H13" s="50">
        <v>1</v>
      </c>
      <c r="I13" s="50">
        <v>1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7">
        <f t="shared" si="0"/>
        <v>33</v>
      </c>
      <c r="P13" s="17">
        <f t="shared" si="1"/>
        <v>62</v>
      </c>
      <c r="R13" s="1" t="s">
        <v>9</v>
      </c>
      <c r="S13" s="17">
        <f t="shared" ref="S13:AF13" si="5">SUM(C22:C25)</f>
        <v>133</v>
      </c>
      <c r="T13" s="17">
        <f t="shared" si="5"/>
        <v>60</v>
      </c>
      <c r="U13" s="17">
        <f t="shared" si="5"/>
        <v>14</v>
      </c>
      <c r="V13" s="17">
        <f t="shared" si="5"/>
        <v>7</v>
      </c>
      <c r="W13" s="17">
        <f t="shared" si="5"/>
        <v>1</v>
      </c>
      <c r="X13" s="17">
        <f t="shared" si="5"/>
        <v>0</v>
      </c>
      <c r="Y13" s="17">
        <f t="shared" si="5"/>
        <v>18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157</v>
      </c>
      <c r="AD13" s="17">
        <f t="shared" si="5"/>
        <v>0</v>
      </c>
      <c r="AE13" s="31">
        <f t="shared" si="5"/>
        <v>235</v>
      </c>
      <c r="AF13" s="31">
        <f t="shared" si="5"/>
        <v>392</v>
      </c>
    </row>
    <row r="14" spans="2:32" ht="23.1" customHeight="1" x14ac:dyDescent="0.25">
      <c r="B14" s="45" t="s">
        <v>41</v>
      </c>
      <c r="C14" s="50">
        <v>30</v>
      </c>
      <c r="D14" s="50">
        <v>12</v>
      </c>
      <c r="E14" s="50">
        <v>3</v>
      </c>
      <c r="F14" s="50">
        <v>3</v>
      </c>
      <c r="G14" s="50">
        <v>1</v>
      </c>
      <c r="H14" s="50">
        <v>0</v>
      </c>
      <c r="I14" s="50">
        <v>3</v>
      </c>
      <c r="J14" s="50">
        <v>0</v>
      </c>
      <c r="K14" s="50">
        <v>1</v>
      </c>
      <c r="L14" s="50">
        <v>0</v>
      </c>
      <c r="M14" s="50">
        <v>40</v>
      </c>
      <c r="N14" s="50">
        <v>0</v>
      </c>
      <c r="O14" s="17">
        <f t="shared" si="0"/>
        <v>53</v>
      </c>
      <c r="P14" s="17">
        <f t="shared" si="1"/>
        <v>93</v>
      </c>
      <c r="R14" s="1" t="s">
        <v>10</v>
      </c>
      <c r="S14" s="17">
        <f t="shared" ref="S14:AF14" si="6">SUM(C26:C29)</f>
        <v>172</v>
      </c>
      <c r="T14" s="17">
        <f t="shared" si="6"/>
        <v>67</v>
      </c>
      <c r="U14" s="17">
        <f t="shared" si="6"/>
        <v>14</v>
      </c>
      <c r="V14" s="17">
        <f t="shared" si="6"/>
        <v>13</v>
      </c>
      <c r="W14" s="17">
        <f t="shared" si="6"/>
        <v>0</v>
      </c>
      <c r="X14" s="17">
        <f t="shared" si="6"/>
        <v>1</v>
      </c>
      <c r="Y14" s="17">
        <f t="shared" si="6"/>
        <v>15</v>
      </c>
      <c r="Z14" s="17">
        <f t="shared" si="6"/>
        <v>1</v>
      </c>
      <c r="AA14" s="17">
        <f t="shared" si="6"/>
        <v>1</v>
      </c>
      <c r="AB14" s="17">
        <f t="shared" si="6"/>
        <v>1</v>
      </c>
      <c r="AC14" s="17">
        <f t="shared" si="6"/>
        <v>146</v>
      </c>
      <c r="AD14" s="17">
        <f t="shared" si="6"/>
        <v>0</v>
      </c>
      <c r="AE14" s="31">
        <f t="shared" si="6"/>
        <v>285</v>
      </c>
      <c r="AF14" s="31">
        <f t="shared" si="6"/>
        <v>431</v>
      </c>
    </row>
    <row r="15" spans="2:32" ht="23.1" customHeight="1" x14ac:dyDescent="0.25">
      <c r="B15" s="45" t="s">
        <v>42</v>
      </c>
      <c r="C15" s="50">
        <v>25</v>
      </c>
      <c r="D15" s="50">
        <v>7</v>
      </c>
      <c r="E15" s="50">
        <v>3</v>
      </c>
      <c r="F15" s="50">
        <v>1</v>
      </c>
      <c r="G15" s="50">
        <v>0</v>
      </c>
      <c r="H15" s="50">
        <v>0</v>
      </c>
      <c r="I15" s="50">
        <v>3</v>
      </c>
      <c r="J15" s="50">
        <v>1</v>
      </c>
      <c r="K15" s="50">
        <v>1</v>
      </c>
      <c r="L15" s="50">
        <v>0</v>
      </c>
      <c r="M15" s="50">
        <v>61</v>
      </c>
      <c r="N15" s="50">
        <v>0</v>
      </c>
      <c r="O15" s="17">
        <f t="shared" si="0"/>
        <v>41</v>
      </c>
      <c r="P15" s="17">
        <f t="shared" si="1"/>
        <v>102</v>
      </c>
      <c r="R15" s="1" t="s">
        <v>11</v>
      </c>
      <c r="S15" s="17">
        <f t="shared" ref="S15:AF15" si="7">SUM(C30:C33)</f>
        <v>144</v>
      </c>
      <c r="T15" s="17">
        <f t="shared" si="7"/>
        <v>59</v>
      </c>
      <c r="U15" s="17">
        <f t="shared" si="7"/>
        <v>16</v>
      </c>
      <c r="V15" s="17">
        <f t="shared" si="7"/>
        <v>10</v>
      </c>
      <c r="W15" s="17">
        <f t="shared" si="7"/>
        <v>0</v>
      </c>
      <c r="X15" s="17">
        <f t="shared" si="7"/>
        <v>1</v>
      </c>
      <c r="Y15" s="17">
        <f t="shared" si="7"/>
        <v>15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141</v>
      </c>
      <c r="AD15" s="17">
        <f t="shared" si="7"/>
        <v>0</v>
      </c>
      <c r="AE15" s="31">
        <f t="shared" si="7"/>
        <v>248</v>
      </c>
      <c r="AF15" s="31">
        <f t="shared" si="7"/>
        <v>389</v>
      </c>
    </row>
    <row r="16" spans="2:32" ht="23.1" customHeight="1" x14ac:dyDescent="0.25">
      <c r="B16" s="45" t="s">
        <v>43</v>
      </c>
      <c r="C16" s="50">
        <v>22</v>
      </c>
      <c r="D16" s="50">
        <v>11</v>
      </c>
      <c r="E16" s="50">
        <v>2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49</v>
      </c>
      <c r="N16" s="50">
        <v>0</v>
      </c>
      <c r="O16" s="17">
        <f t="shared" si="0"/>
        <v>36</v>
      </c>
      <c r="P16" s="17">
        <f t="shared" si="1"/>
        <v>85</v>
      </c>
      <c r="R16" s="1" t="s">
        <v>12</v>
      </c>
      <c r="S16" s="17">
        <f t="shared" ref="S16:AF16" si="8">SUM(C34:C37)</f>
        <v>165</v>
      </c>
      <c r="T16" s="17">
        <f t="shared" si="8"/>
        <v>50</v>
      </c>
      <c r="U16" s="17">
        <f t="shared" si="8"/>
        <v>22</v>
      </c>
      <c r="V16" s="17">
        <f t="shared" si="8"/>
        <v>10</v>
      </c>
      <c r="W16" s="17">
        <f t="shared" si="8"/>
        <v>1</v>
      </c>
      <c r="X16" s="17">
        <f t="shared" si="8"/>
        <v>3</v>
      </c>
      <c r="Y16" s="17">
        <f t="shared" si="8"/>
        <v>24</v>
      </c>
      <c r="Z16" s="17">
        <f t="shared" si="8"/>
        <v>1</v>
      </c>
      <c r="AA16" s="17">
        <f t="shared" si="8"/>
        <v>2</v>
      </c>
      <c r="AB16" s="17">
        <f t="shared" si="8"/>
        <v>0</v>
      </c>
      <c r="AC16" s="17">
        <f t="shared" si="8"/>
        <v>137</v>
      </c>
      <c r="AD16" s="17">
        <f t="shared" si="8"/>
        <v>0</v>
      </c>
      <c r="AE16" s="31">
        <f t="shared" si="8"/>
        <v>278</v>
      </c>
      <c r="AF16" s="31">
        <f t="shared" si="8"/>
        <v>415</v>
      </c>
    </row>
    <row r="17" spans="2:32" ht="23.1" customHeight="1" x14ac:dyDescent="0.25">
      <c r="B17" s="45" t="s">
        <v>44</v>
      </c>
      <c r="C17" s="50">
        <v>30</v>
      </c>
      <c r="D17" s="50">
        <v>10</v>
      </c>
      <c r="E17" s="50">
        <v>2</v>
      </c>
      <c r="F17" s="50">
        <v>2</v>
      </c>
      <c r="G17" s="50">
        <v>1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42</v>
      </c>
      <c r="N17" s="50">
        <v>0</v>
      </c>
      <c r="O17" s="17">
        <f t="shared" si="0"/>
        <v>48</v>
      </c>
      <c r="P17" s="17">
        <f t="shared" si="1"/>
        <v>90</v>
      </c>
      <c r="R17" s="1" t="s">
        <v>13</v>
      </c>
      <c r="S17" s="17">
        <f t="shared" ref="S17:AF17" si="9">SUM(C38:C41)</f>
        <v>164</v>
      </c>
      <c r="T17" s="17">
        <f t="shared" si="9"/>
        <v>46</v>
      </c>
      <c r="U17" s="17">
        <f t="shared" si="9"/>
        <v>16</v>
      </c>
      <c r="V17" s="17">
        <f t="shared" si="9"/>
        <v>7</v>
      </c>
      <c r="W17" s="17">
        <f t="shared" si="9"/>
        <v>0</v>
      </c>
      <c r="X17" s="17">
        <f t="shared" si="9"/>
        <v>1</v>
      </c>
      <c r="Y17" s="17">
        <f t="shared" si="9"/>
        <v>22</v>
      </c>
      <c r="Z17" s="17">
        <f t="shared" si="9"/>
        <v>2</v>
      </c>
      <c r="AA17" s="17">
        <f t="shared" si="9"/>
        <v>2</v>
      </c>
      <c r="AB17" s="17">
        <f t="shared" si="9"/>
        <v>0</v>
      </c>
      <c r="AC17" s="17">
        <f t="shared" si="9"/>
        <v>137</v>
      </c>
      <c r="AD17" s="17">
        <f t="shared" si="9"/>
        <v>0</v>
      </c>
      <c r="AE17" s="31">
        <f t="shared" si="9"/>
        <v>260</v>
      </c>
      <c r="AF17" s="31">
        <f t="shared" si="9"/>
        <v>397</v>
      </c>
    </row>
    <row r="18" spans="2:32" ht="23.1" customHeight="1" x14ac:dyDescent="0.25">
      <c r="B18" s="45" t="s">
        <v>45</v>
      </c>
      <c r="C18" s="50">
        <v>28</v>
      </c>
      <c r="D18" s="50">
        <v>10</v>
      </c>
      <c r="E18" s="50">
        <v>4</v>
      </c>
      <c r="F18" s="50">
        <v>2</v>
      </c>
      <c r="G18" s="50">
        <v>1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38</v>
      </c>
      <c r="N18" s="50">
        <v>0</v>
      </c>
      <c r="O18" s="17">
        <f t="shared" si="0"/>
        <v>50</v>
      </c>
      <c r="P18" s="17">
        <f t="shared" si="1"/>
        <v>88</v>
      </c>
      <c r="R18" s="1" t="s">
        <v>14</v>
      </c>
      <c r="S18" s="17">
        <f t="shared" ref="S18:AF18" si="10">SUM(C42:C45)</f>
        <v>147</v>
      </c>
      <c r="T18" s="17">
        <f t="shared" si="10"/>
        <v>44</v>
      </c>
      <c r="U18" s="17">
        <f t="shared" si="10"/>
        <v>20</v>
      </c>
      <c r="V18" s="17">
        <f t="shared" si="10"/>
        <v>9</v>
      </c>
      <c r="W18" s="17">
        <f t="shared" si="10"/>
        <v>1</v>
      </c>
      <c r="X18" s="17">
        <f t="shared" si="10"/>
        <v>1</v>
      </c>
      <c r="Y18" s="17">
        <f t="shared" si="10"/>
        <v>17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117</v>
      </c>
      <c r="AD18" s="17">
        <f t="shared" si="10"/>
        <v>0</v>
      </c>
      <c r="AE18" s="31">
        <f t="shared" si="10"/>
        <v>240</v>
      </c>
      <c r="AF18" s="31">
        <f t="shared" si="10"/>
        <v>357</v>
      </c>
    </row>
    <row r="19" spans="2:32" ht="23.1" customHeight="1" x14ac:dyDescent="0.25">
      <c r="B19" s="45" t="s">
        <v>46</v>
      </c>
      <c r="C19" s="50">
        <v>17</v>
      </c>
      <c r="D19" s="50">
        <v>4</v>
      </c>
      <c r="E19" s="50">
        <v>5</v>
      </c>
      <c r="F19" s="50">
        <v>3</v>
      </c>
      <c r="G19" s="50">
        <v>0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50">
        <v>54</v>
      </c>
      <c r="N19" s="50">
        <v>0</v>
      </c>
      <c r="O19" s="17">
        <f t="shared" si="0"/>
        <v>34</v>
      </c>
      <c r="P19" s="17">
        <f t="shared" si="1"/>
        <v>88</v>
      </c>
      <c r="R19" s="1" t="s">
        <v>15</v>
      </c>
      <c r="S19" s="17">
        <f t="shared" ref="S19:AF19" si="11">SUM(C46:C49)</f>
        <v>163</v>
      </c>
      <c r="T19" s="17">
        <f t="shared" si="11"/>
        <v>29</v>
      </c>
      <c r="U19" s="17">
        <f t="shared" si="11"/>
        <v>19</v>
      </c>
      <c r="V19" s="17">
        <f t="shared" si="11"/>
        <v>4</v>
      </c>
      <c r="W19" s="17">
        <f t="shared" si="11"/>
        <v>2</v>
      </c>
      <c r="X19" s="17">
        <f t="shared" si="11"/>
        <v>0</v>
      </c>
      <c r="Y19" s="17">
        <f t="shared" si="11"/>
        <v>23</v>
      </c>
      <c r="Z19" s="17">
        <f t="shared" si="11"/>
        <v>5</v>
      </c>
      <c r="AA19" s="17">
        <f t="shared" si="11"/>
        <v>2</v>
      </c>
      <c r="AB19" s="17">
        <f t="shared" si="11"/>
        <v>0</v>
      </c>
      <c r="AC19" s="17">
        <f t="shared" si="11"/>
        <v>165</v>
      </c>
      <c r="AD19" s="17">
        <f t="shared" si="11"/>
        <v>0</v>
      </c>
      <c r="AE19" s="31">
        <f t="shared" si="11"/>
        <v>247</v>
      </c>
      <c r="AF19" s="31">
        <f t="shared" si="11"/>
        <v>412</v>
      </c>
    </row>
    <row r="20" spans="2:32" ht="23.1" customHeight="1" x14ac:dyDescent="0.25">
      <c r="B20" s="45" t="s">
        <v>47</v>
      </c>
      <c r="C20" s="50">
        <v>26</v>
      </c>
      <c r="D20" s="50">
        <v>10</v>
      </c>
      <c r="E20" s="50">
        <v>3</v>
      </c>
      <c r="F20" s="50">
        <v>0</v>
      </c>
      <c r="G20" s="50">
        <v>0</v>
      </c>
      <c r="H20" s="50">
        <v>0</v>
      </c>
      <c r="I20" s="50">
        <v>4</v>
      </c>
      <c r="J20" s="50">
        <v>0</v>
      </c>
      <c r="K20" s="50">
        <v>1</v>
      </c>
      <c r="L20" s="50">
        <v>0</v>
      </c>
      <c r="M20" s="50">
        <v>43</v>
      </c>
      <c r="N20" s="50">
        <v>0</v>
      </c>
      <c r="O20" s="17">
        <f t="shared" si="0"/>
        <v>44</v>
      </c>
      <c r="P20" s="17">
        <f t="shared" si="1"/>
        <v>87</v>
      </c>
      <c r="R20" s="1" t="s">
        <v>16</v>
      </c>
      <c r="S20" s="17">
        <f t="shared" ref="S20:AF20" si="12">SUM(C50:C53)</f>
        <v>167</v>
      </c>
      <c r="T20" s="17">
        <f t="shared" si="12"/>
        <v>33</v>
      </c>
      <c r="U20" s="17">
        <f t="shared" si="12"/>
        <v>11</v>
      </c>
      <c r="V20" s="17">
        <f t="shared" si="12"/>
        <v>4</v>
      </c>
      <c r="W20" s="17">
        <f t="shared" si="12"/>
        <v>2</v>
      </c>
      <c r="X20" s="17">
        <f t="shared" si="12"/>
        <v>1</v>
      </c>
      <c r="Y20" s="17">
        <f t="shared" si="12"/>
        <v>12</v>
      </c>
      <c r="Z20" s="17">
        <f t="shared" si="12"/>
        <v>6</v>
      </c>
      <c r="AA20" s="17">
        <f t="shared" si="12"/>
        <v>1</v>
      </c>
      <c r="AB20" s="17">
        <f t="shared" si="12"/>
        <v>1</v>
      </c>
      <c r="AC20" s="17">
        <f t="shared" si="12"/>
        <v>126</v>
      </c>
      <c r="AD20" s="17">
        <f t="shared" si="12"/>
        <v>0</v>
      </c>
      <c r="AE20" s="31">
        <f t="shared" si="12"/>
        <v>238</v>
      </c>
      <c r="AF20" s="31">
        <f t="shared" si="12"/>
        <v>364</v>
      </c>
    </row>
    <row r="21" spans="2:32" ht="23.1" customHeight="1" x14ac:dyDescent="0.25">
      <c r="B21" s="45" t="s">
        <v>48</v>
      </c>
      <c r="C21" s="50">
        <v>30</v>
      </c>
      <c r="D21" s="50">
        <v>11</v>
      </c>
      <c r="E21" s="50">
        <v>4</v>
      </c>
      <c r="F21" s="50">
        <v>3</v>
      </c>
      <c r="G21" s="50">
        <v>1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34</v>
      </c>
      <c r="N21" s="50">
        <v>0</v>
      </c>
      <c r="O21" s="17">
        <f t="shared" si="0"/>
        <v>54</v>
      </c>
      <c r="P21" s="17">
        <f t="shared" si="1"/>
        <v>88</v>
      </c>
      <c r="R21" s="36" t="s">
        <v>20</v>
      </c>
      <c r="S21" s="34">
        <f t="shared" ref="S21:AF21" si="13">SUM(C54:C57)</f>
        <v>173</v>
      </c>
      <c r="T21" s="17">
        <f t="shared" si="13"/>
        <v>54</v>
      </c>
      <c r="U21" s="17">
        <f t="shared" si="13"/>
        <v>18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155</v>
      </c>
      <c r="AD21" s="17">
        <f t="shared" si="13"/>
        <v>0</v>
      </c>
      <c r="AE21" s="31">
        <f t="shared" si="13"/>
        <v>262</v>
      </c>
      <c r="AF21" s="31">
        <f t="shared" si="13"/>
        <v>417</v>
      </c>
    </row>
    <row r="22" spans="2:32" ht="23.1" customHeight="1" x14ac:dyDescent="0.25">
      <c r="B22" s="45" t="s">
        <v>49</v>
      </c>
      <c r="C22" s="50">
        <v>27</v>
      </c>
      <c r="D22" s="50">
        <v>15</v>
      </c>
      <c r="E22" s="50">
        <v>1</v>
      </c>
      <c r="F22" s="50">
        <v>1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36</v>
      </c>
      <c r="N22" s="50">
        <v>0</v>
      </c>
      <c r="O22" s="17">
        <f t="shared" si="0"/>
        <v>49</v>
      </c>
      <c r="P22" s="17">
        <f t="shared" si="1"/>
        <v>85</v>
      </c>
      <c r="R22" s="36" t="s">
        <v>146</v>
      </c>
      <c r="S22" s="34">
        <f>SUM(C58:C61)</f>
        <v>182</v>
      </c>
      <c r="T22" s="34">
        <f t="shared" ref="T22:AF22" si="14">SUM(D58:D61)</f>
        <v>46</v>
      </c>
      <c r="U22" s="34">
        <f t="shared" si="14"/>
        <v>16</v>
      </c>
      <c r="V22" s="34">
        <f t="shared" si="14"/>
        <v>4</v>
      </c>
      <c r="W22" s="34">
        <f t="shared" si="14"/>
        <v>1</v>
      </c>
      <c r="X22" s="34">
        <f t="shared" si="14"/>
        <v>1</v>
      </c>
      <c r="Y22" s="34">
        <f t="shared" si="14"/>
        <v>18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135</v>
      </c>
      <c r="AD22" s="34">
        <f t="shared" si="14"/>
        <v>0</v>
      </c>
      <c r="AE22" s="31">
        <f t="shared" si="14"/>
        <v>268</v>
      </c>
      <c r="AF22" s="31">
        <f t="shared" si="14"/>
        <v>403</v>
      </c>
    </row>
    <row r="23" spans="2:32" ht="23.1" customHeight="1" x14ac:dyDescent="0.25">
      <c r="B23" s="45" t="s">
        <v>50</v>
      </c>
      <c r="C23" s="50">
        <v>42</v>
      </c>
      <c r="D23" s="50">
        <v>17</v>
      </c>
      <c r="E23" s="50">
        <v>5</v>
      </c>
      <c r="F23" s="50">
        <v>0</v>
      </c>
      <c r="G23" s="50">
        <v>1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34</v>
      </c>
      <c r="N23" s="50">
        <v>0</v>
      </c>
      <c r="O23" s="17">
        <f t="shared" si="0"/>
        <v>71</v>
      </c>
      <c r="P23" s="17">
        <f t="shared" si="1"/>
        <v>105</v>
      </c>
      <c r="R23" s="36" t="s">
        <v>147</v>
      </c>
      <c r="S23" s="34">
        <f>SUM(C62:C65)</f>
        <v>169</v>
      </c>
      <c r="T23" s="34">
        <f t="shared" ref="T23:AF23" si="15">SUM(D62:D65)</f>
        <v>40</v>
      </c>
      <c r="U23" s="34">
        <f t="shared" si="15"/>
        <v>15</v>
      </c>
      <c r="V23" s="34">
        <f t="shared" si="15"/>
        <v>8</v>
      </c>
      <c r="W23" s="34">
        <f t="shared" si="15"/>
        <v>0</v>
      </c>
      <c r="X23" s="34">
        <f t="shared" si="15"/>
        <v>0</v>
      </c>
      <c r="Y23" s="34">
        <f t="shared" si="15"/>
        <v>7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144</v>
      </c>
      <c r="AD23" s="34">
        <f t="shared" si="15"/>
        <v>0</v>
      </c>
      <c r="AE23" s="31">
        <f t="shared" si="15"/>
        <v>239</v>
      </c>
      <c r="AF23" s="31">
        <f t="shared" si="15"/>
        <v>383</v>
      </c>
    </row>
    <row r="24" spans="2:32" ht="23.1" customHeight="1" x14ac:dyDescent="0.25">
      <c r="B24" s="45" t="s">
        <v>51</v>
      </c>
      <c r="C24" s="50">
        <v>25</v>
      </c>
      <c r="D24" s="50">
        <v>9</v>
      </c>
      <c r="E24" s="50">
        <v>4</v>
      </c>
      <c r="F24" s="50">
        <v>4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45</v>
      </c>
      <c r="N24" s="50">
        <v>0</v>
      </c>
      <c r="O24" s="17">
        <f t="shared" si="0"/>
        <v>46</v>
      </c>
      <c r="P24" s="17">
        <f t="shared" si="1"/>
        <v>91</v>
      </c>
      <c r="R24" s="36" t="s">
        <v>148</v>
      </c>
      <c r="S24" s="34">
        <f>SUM(C66:C69)</f>
        <v>191</v>
      </c>
      <c r="T24" s="34">
        <f t="shared" ref="T24:AF24" si="16">SUM(D66:D69)</f>
        <v>40</v>
      </c>
      <c r="U24" s="34">
        <f t="shared" si="16"/>
        <v>20</v>
      </c>
      <c r="V24" s="34">
        <f t="shared" si="16"/>
        <v>7</v>
      </c>
      <c r="W24" s="34">
        <f t="shared" si="16"/>
        <v>2</v>
      </c>
      <c r="X24" s="34">
        <f t="shared" si="16"/>
        <v>1</v>
      </c>
      <c r="Y24" s="34">
        <f t="shared" si="16"/>
        <v>9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81</v>
      </c>
      <c r="AD24" s="34">
        <f t="shared" si="16"/>
        <v>0</v>
      </c>
      <c r="AE24" s="31">
        <f t="shared" si="16"/>
        <v>271</v>
      </c>
      <c r="AF24" s="31">
        <f t="shared" si="16"/>
        <v>352</v>
      </c>
    </row>
    <row r="25" spans="2:32" ht="23.1" customHeight="1" x14ac:dyDescent="0.25">
      <c r="B25" s="45" t="s">
        <v>52</v>
      </c>
      <c r="C25" s="50">
        <v>39</v>
      </c>
      <c r="D25" s="50">
        <v>19</v>
      </c>
      <c r="E25" s="50">
        <v>4</v>
      </c>
      <c r="F25" s="50">
        <v>2</v>
      </c>
      <c r="G25" s="50">
        <v>0</v>
      </c>
      <c r="H25" s="50">
        <v>0</v>
      </c>
      <c r="I25" s="50">
        <v>4</v>
      </c>
      <c r="J25" s="50">
        <v>0</v>
      </c>
      <c r="K25" s="50">
        <v>1</v>
      </c>
      <c r="L25" s="50">
        <v>0</v>
      </c>
      <c r="M25" s="50">
        <v>42</v>
      </c>
      <c r="N25" s="50">
        <v>0</v>
      </c>
      <c r="O25" s="17">
        <f t="shared" si="0"/>
        <v>69</v>
      </c>
      <c r="P25" s="17">
        <f t="shared" si="1"/>
        <v>111</v>
      </c>
      <c r="R25" s="36" t="s">
        <v>149</v>
      </c>
      <c r="S25" s="34">
        <f>SUM(C70:C73)</f>
        <v>141</v>
      </c>
      <c r="T25" s="34">
        <f t="shared" ref="T25:AF25" si="17">SUM(D70:D73)</f>
        <v>44</v>
      </c>
      <c r="U25" s="34">
        <f t="shared" si="17"/>
        <v>10</v>
      </c>
      <c r="V25" s="34">
        <f t="shared" si="17"/>
        <v>9</v>
      </c>
      <c r="W25" s="34">
        <f t="shared" si="17"/>
        <v>1</v>
      </c>
      <c r="X25" s="34">
        <f t="shared" si="17"/>
        <v>0</v>
      </c>
      <c r="Y25" s="34">
        <f t="shared" si="17"/>
        <v>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51</v>
      </c>
      <c r="AD25" s="34">
        <f t="shared" si="17"/>
        <v>0</v>
      </c>
      <c r="AE25" s="31">
        <f t="shared" si="17"/>
        <v>210</v>
      </c>
      <c r="AF25" s="31">
        <f t="shared" si="17"/>
        <v>261</v>
      </c>
    </row>
    <row r="26" spans="2:32" ht="23.1" customHeight="1" x14ac:dyDescent="0.25">
      <c r="B26" s="45" t="s">
        <v>53</v>
      </c>
      <c r="C26" s="50">
        <v>42</v>
      </c>
      <c r="D26" s="50">
        <v>11</v>
      </c>
      <c r="E26" s="50">
        <v>5</v>
      </c>
      <c r="F26" s="50">
        <v>2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1</v>
      </c>
      <c r="M26" s="50">
        <v>41</v>
      </c>
      <c r="N26" s="50">
        <v>0</v>
      </c>
      <c r="O26" s="17">
        <f t="shared" si="0"/>
        <v>65</v>
      </c>
      <c r="P26" s="17">
        <f t="shared" si="1"/>
        <v>106</v>
      </c>
      <c r="R26" s="36" t="s">
        <v>150</v>
      </c>
      <c r="S26" s="34">
        <f>SUM(C74:C77)</f>
        <v>108</v>
      </c>
      <c r="T26" s="34">
        <f t="shared" ref="T26:AF26" si="18">SUM(D74:D77)</f>
        <v>40</v>
      </c>
      <c r="U26" s="34">
        <f t="shared" si="18"/>
        <v>17</v>
      </c>
      <c r="V26" s="34">
        <f t="shared" si="18"/>
        <v>9</v>
      </c>
      <c r="W26" s="34">
        <f t="shared" si="18"/>
        <v>0</v>
      </c>
      <c r="X26" s="34">
        <f t="shared" si="18"/>
        <v>2</v>
      </c>
      <c r="Y26" s="34">
        <f t="shared" si="18"/>
        <v>6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43</v>
      </c>
      <c r="AD26" s="34">
        <f t="shared" si="18"/>
        <v>0</v>
      </c>
      <c r="AE26" s="31">
        <f t="shared" si="18"/>
        <v>182</v>
      </c>
      <c r="AF26" s="31">
        <f t="shared" si="18"/>
        <v>225</v>
      </c>
    </row>
    <row r="27" spans="2:32" ht="23.1" customHeight="1" x14ac:dyDescent="0.25">
      <c r="B27" s="45" t="s">
        <v>54</v>
      </c>
      <c r="C27" s="50">
        <v>34</v>
      </c>
      <c r="D27" s="50">
        <v>17</v>
      </c>
      <c r="E27" s="50">
        <v>0</v>
      </c>
      <c r="F27" s="50">
        <v>2</v>
      </c>
      <c r="G27" s="50">
        <v>0</v>
      </c>
      <c r="H27" s="50">
        <v>1</v>
      </c>
      <c r="I27" s="50">
        <v>4</v>
      </c>
      <c r="J27" s="50">
        <v>0</v>
      </c>
      <c r="K27" s="50">
        <v>0</v>
      </c>
      <c r="L27" s="50">
        <v>0</v>
      </c>
      <c r="M27" s="50">
        <v>31</v>
      </c>
      <c r="N27" s="50">
        <v>0</v>
      </c>
      <c r="O27" s="17">
        <f t="shared" si="0"/>
        <v>58</v>
      </c>
      <c r="P27" s="17">
        <f t="shared" si="1"/>
        <v>89</v>
      </c>
      <c r="R27" s="36" t="s">
        <v>151</v>
      </c>
      <c r="S27" s="34">
        <f>SUM(C78:C81)</f>
        <v>61</v>
      </c>
      <c r="T27" s="34">
        <f t="shared" ref="T27:AF27" si="19">SUM(D78:D81)</f>
        <v>20</v>
      </c>
      <c r="U27" s="34">
        <f t="shared" si="19"/>
        <v>8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23</v>
      </c>
      <c r="AD27" s="34">
        <f t="shared" si="19"/>
        <v>0</v>
      </c>
      <c r="AE27" s="31">
        <f t="shared" si="19"/>
        <v>94</v>
      </c>
      <c r="AF27" s="31">
        <f t="shared" si="19"/>
        <v>117</v>
      </c>
    </row>
    <row r="28" spans="2:32" ht="23.1" customHeight="1" x14ac:dyDescent="0.25">
      <c r="B28" s="45" t="s">
        <v>55</v>
      </c>
      <c r="C28" s="50">
        <v>55</v>
      </c>
      <c r="D28" s="50">
        <v>26</v>
      </c>
      <c r="E28" s="50">
        <v>3</v>
      </c>
      <c r="F28" s="50">
        <v>5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35</v>
      </c>
      <c r="N28" s="50">
        <v>0</v>
      </c>
      <c r="O28" s="17">
        <f t="shared" si="0"/>
        <v>93</v>
      </c>
      <c r="P28" s="17">
        <f t="shared" si="1"/>
        <v>128</v>
      </c>
      <c r="R28" s="36" t="s">
        <v>152</v>
      </c>
      <c r="S28" s="34">
        <f>SUM(C82:C85)</f>
        <v>31</v>
      </c>
      <c r="T28" s="34">
        <f t="shared" ref="T28:AF28" si="20">SUM(D82:D85)</f>
        <v>11</v>
      </c>
      <c r="U28" s="34">
        <f t="shared" si="20"/>
        <v>4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14</v>
      </c>
      <c r="AD28" s="34">
        <f t="shared" si="20"/>
        <v>0</v>
      </c>
      <c r="AE28" s="31">
        <f t="shared" si="20"/>
        <v>51</v>
      </c>
      <c r="AF28" s="31">
        <f t="shared" si="20"/>
        <v>65</v>
      </c>
    </row>
    <row r="29" spans="2:32" ht="23.1" customHeight="1" x14ac:dyDescent="0.25">
      <c r="B29" s="45" t="s">
        <v>56</v>
      </c>
      <c r="C29" s="50">
        <v>41</v>
      </c>
      <c r="D29" s="50">
        <v>13</v>
      </c>
      <c r="E29" s="50">
        <v>6</v>
      </c>
      <c r="F29" s="50">
        <v>4</v>
      </c>
      <c r="G29" s="50">
        <v>0</v>
      </c>
      <c r="H29" s="50">
        <v>0</v>
      </c>
      <c r="I29" s="50">
        <v>3</v>
      </c>
      <c r="J29" s="50">
        <v>1</v>
      </c>
      <c r="K29" s="50">
        <v>1</v>
      </c>
      <c r="L29" s="50">
        <v>0</v>
      </c>
      <c r="M29" s="50">
        <v>39</v>
      </c>
      <c r="N29" s="50">
        <v>0</v>
      </c>
      <c r="O29" s="17">
        <f t="shared" si="0"/>
        <v>69</v>
      </c>
      <c r="P29" s="17">
        <f t="shared" si="1"/>
        <v>108</v>
      </c>
      <c r="R29" s="36" t="s">
        <v>153</v>
      </c>
      <c r="S29" s="34">
        <f>SUM(C86:C89)</f>
        <v>13</v>
      </c>
      <c r="T29" s="34">
        <f t="shared" ref="T29:AF29" si="21">SUM(D86:D89)</f>
        <v>10</v>
      </c>
      <c r="U29" s="34">
        <f t="shared" si="21"/>
        <v>2</v>
      </c>
      <c r="V29" s="34">
        <f t="shared" si="21"/>
        <v>1</v>
      </c>
      <c r="W29" s="34">
        <f t="shared" si="21"/>
        <v>1</v>
      </c>
      <c r="X29" s="34">
        <f t="shared" si="21"/>
        <v>1</v>
      </c>
      <c r="Y29" s="34">
        <f t="shared" si="21"/>
        <v>1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12</v>
      </c>
      <c r="AD29" s="34">
        <f t="shared" si="21"/>
        <v>0</v>
      </c>
      <c r="AE29" s="31">
        <f t="shared" si="21"/>
        <v>30</v>
      </c>
      <c r="AF29" s="31">
        <f t="shared" si="21"/>
        <v>42</v>
      </c>
    </row>
    <row r="30" spans="2:32" ht="23.1" customHeight="1" x14ac:dyDescent="0.25">
      <c r="B30" s="45" t="s">
        <v>57</v>
      </c>
      <c r="C30" s="50">
        <v>32</v>
      </c>
      <c r="D30" s="50">
        <v>16</v>
      </c>
      <c r="E30" s="50">
        <v>3</v>
      </c>
      <c r="F30" s="50">
        <v>1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32</v>
      </c>
      <c r="N30" s="50">
        <v>0</v>
      </c>
      <c r="O30" s="17">
        <f t="shared" si="0"/>
        <v>56</v>
      </c>
      <c r="P30" s="17">
        <f t="shared" si="1"/>
        <v>88</v>
      </c>
      <c r="R30" s="36" t="s">
        <v>154</v>
      </c>
      <c r="S30" s="34">
        <f>SUM(C90:C93)</f>
        <v>6</v>
      </c>
      <c r="T30" s="34">
        <f t="shared" ref="T30:AF30" si="22">SUM(D90:D93)</f>
        <v>3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11</v>
      </c>
      <c r="AF30" s="31">
        <f t="shared" si="22"/>
        <v>16</v>
      </c>
    </row>
    <row r="31" spans="2:32" ht="23.1" customHeight="1" x14ac:dyDescent="0.25">
      <c r="B31" s="46" t="s">
        <v>58</v>
      </c>
      <c r="C31" s="50">
        <v>50</v>
      </c>
      <c r="D31" s="50">
        <v>14</v>
      </c>
      <c r="E31" s="50">
        <v>5</v>
      </c>
      <c r="F31" s="50">
        <v>4</v>
      </c>
      <c r="G31" s="50">
        <v>0</v>
      </c>
      <c r="H31" s="50">
        <v>1</v>
      </c>
      <c r="I31" s="50">
        <v>3</v>
      </c>
      <c r="J31" s="50">
        <v>0</v>
      </c>
      <c r="K31" s="50">
        <v>2</v>
      </c>
      <c r="L31" s="50">
        <v>0</v>
      </c>
      <c r="M31" s="50">
        <v>36</v>
      </c>
      <c r="N31" s="50">
        <v>0</v>
      </c>
      <c r="O31" s="17">
        <f t="shared" si="0"/>
        <v>79</v>
      </c>
      <c r="P31" s="17">
        <f t="shared" si="1"/>
        <v>115</v>
      </c>
      <c r="R31" s="36" t="s">
        <v>155</v>
      </c>
      <c r="S31" s="34">
        <f>SUM(C94:C97)</f>
        <v>12</v>
      </c>
      <c r="T31" s="34">
        <f t="shared" ref="T31:AF31" si="23">SUM(D94:D97)</f>
        <v>9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27</v>
      </c>
      <c r="AF31" s="31">
        <f t="shared" si="23"/>
        <v>34</v>
      </c>
    </row>
    <row r="32" spans="2:32" ht="23.1" customHeight="1" x14ac:dyDescent="0.25">
      <c r="B32" s="46" t="s">
        <v>59</v>
      </c>
      <c r="C32" s="50">
        <v>28</v>
      </c>
      <c r="D32" s="50">
        <v>14</v>
      </c>
      <c r="E32" s="50">
        <v>2</v>
      </c>
      <c r="F32" s="50">
        <v>1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0</v>
      </c>
      <c r="M32" s="50">
        <v>42</v>
      </c>
      <c r="N32" s="50">
        <v>0</v>
      </c>
      <c r="O32" s="17">
        <f t="shared" si="0"/>
        <v>51</v>
      </c>
      <c r="P32" s="17">
        <f t="shared" si="1"/>
        <v>93</v>
      </c>
      <c r="R32" s="55" t="s">
        <v>156</v>
      </c>
      <c r="S32" s="34">
        <f>SUM(C98:C101)</f>
        <v>7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2</v>
      </c>
      <c r="W32" s="34">
        <f t="shared" si="24"/>
        <v>1</v>
      </c>
      <c r="X32" s="34">
        <f t="shared" si="24"/>
        <v>0</v>
      </c>
      <c r="Y32" s="34">
        <f t="shared" si="24"/>
        <v>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12</v>
      </c>
      <c r="AD32" s="34">
        <f t="shared" si="24"/>
        <v>0</v>
      </c>
      <c r="AE32" s="31">
        <f t="shared" si="24"/>
        <v>16</v>
      </c>
      <c r="AF32" s="31">
        <f t="shared" si="24"/>
        <v>28</v>
      </c>
    </row>
    <row r="33" spans="2:32" ht="23.1" customHeight="1" x14ac:dyDescent="0.25">
      <c r="B33" s="45" t="s">
        <v>60</v>
      </c>
      <c r="C33" s="50">
        <v>34</v>
      </c>
      <c r="D33" s="50">
        <v>15</v>
      </c>
      <c r="E33" s="50">
        <v>6</v>
      </c>
      <c r="F33" s="50">
        <v>4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31</v>
      </c>
      <c r="N33" s="50">
        <v>0</v>
      </c>
      <c r="O33" s="17">
        <f t="shared" si="0"/>
        <v>62</v>
      </c>
      <c r="P33" s="17">
        <f t="shared" si="1"/>
        <v>93</v>
      </c>
      <c r="R33" s="55" t="s">
        <v>157</v>
      </c>
      <c r="S33" s="34">
        <f>SUM(C102:C105)</f>
        <v>18</v>
      </c>
      <c r="T33" s="34">
        <f t="shared" ref="T33:AF33" si="25">SUM(D102:D105)</f>
        <v>7</v>
      </c>
      <c r="U33" s="34">
        <f t="shared" si="25"/>
        <v>2</v>
      </c>
      <c r="V33" s="34">
        <f t="shared" si="25"/>
        <v>4</v>
      </c>
      <c r="W33" s="34">
        <f t="shared" si="25"/>
        <v>1</v>
      </c>
      <c r="X33" s="34">
        <f t="shared" si="25"/>
        <v>2</v>
      </c>
      <c r="Y33" s="34">
        <f t="shared" si="25"/>
        <v>4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58</v>
      </c>
      <c r="AD33" s="34">
        <f t="shared" si="25"/>
        <v>0</v>
      </c>
      <c r="AE33" s="31">
        <f t="shared" si="25"/>
        <v>39</v>
      </c>
      <c r="AF33" s="31">
        <f t="shared" si="25"/>
        <v>97</v>
      </c>
    </row>
    <row r="34" spans="2:32" ht="23.1" customHeight="1" x14ac:dyDescent="0.25">
      <c r="B34" s="46" t="s">
        <v>61</v>
      </c>
      <c r="C34" s="50">
        <v>33</v>
      </c>
      <c r="D34" s="50">
        <v>8</v>
      </c>
      <c r="E34" s="50">
        <v>7</v>
      </c>
      <c r="F34" s="50">
        <v>2</v>
      </c>
      <c r="G34" s="50">
        <v>0</v>
      </c>
      <c r="H34" s="50">
        <v>0</v>
      </c>
      <c r="I34" s="50">
        <v>10</v>
      </c>
      <c r="J34" s="50">
        <v>0</v>
      </c>
      <c r="K34" s="50">
        <v>0</v>
      </c>
      <c r="L34" s="50">
        <v>0</v>
      </c>
      <c r="M34" s="50">
        <v>35</v>
      </c>
      <c r="N34" s="50">
        <v>0</v>
      </c>
      <c r="O34" s="17">
        <f t="shared" si="0"/>
        <v>60</v>
      </c>
      <c r="P34" s="17">
        <f t="shared" si="1"/>
        <v>95</v>
      </c>
      <c r="R34" s="51" t="s">
        <v>90</v>
      </c>
      <c r="S34" s="52">
        <f t="shared" ref="S34:AF34" si="26">MAX(S10:S12)</f>
        <v>107</v>
      </c>
      <c r="T34" s="52">
        <f t="shared" si="26"/>
        <v>40</v>
      </c>
      <c r="U34" s="52">
        <f t="shared" si="26"/>
        <v>16</v>
      </c>
      <c r="V34" s="52">
        <f t="shared" si="26"/>
        <v>8</v>
      </c>
      <c r="W34" s="52">
        <f t="shared" si="26"/>
        <v>2</v>
      </c>
      <c r="X34" s="52">
        <f t="shared" si="26"/>
        <v>1</v>
      </c>
      <c r="Y34" s="52">
        <f t="shared" si="26"/>
        <v>18</v>
      </c>
      <c r="Z34" s="52">
        <f t="shared" si="26"/>
        <v>2</v>
      </c>
      <c r="AA34" s="52">
        <f t="shared" si="26"/>
        <v>2</v>
      </c>
      <c r="AB34" s="52">
        <f t="shared" si="26"/>
        <v>0</v>
      </c>
      <c r="AC34" s="52">
        <f t="shared" si="26"/>
        <v>192</v>
      </c>
      <c r="AD34" s="52">
        <f t="shared" si="26"/>
        <v>0</v>
      </c>
      <c r="AE34" s="40">
        <f t="shared" si="26"/>
        <v>182</v>
      </c>
      <c r="AF34" s="40">
        <f t="shared" si="26"/>
        <v>370</v>
      </c>
    </row>
    <row r="35" spans="2:32" ht="23.1" customHeight="1" x14ac:dyDescent="0.25">
      <c r="B35" s="46" t="s">
        <v>62</v>
      </c>
      <c r="C35" s="50">
        <v>48</v>
      </c>
      <c r="D35" s="50">
        <v>19</v>
      </c>
      <c r="E35" s="50">
        <v>6</v>
      </c>
      <c r="F35" s="50">
        <v>4</v>
      </c>
      <c r="G35" s="50">
        <v>1</v>
      </c>
      <c r="H35" s="50">
        <v>2</v>
      </c>
      <c r="I35" s="50">
        <v>5</v>
      </c>
      <c r="J35" s="50">
        <v>1</v>
      </c>
      <c r="K35" s="50">
        <v>1</v>
      </c>
      <c r="L35" s="50">
        <v>0</v>
      </c>
      <c r="M35" s="50">
        <v>29</v>
      </c>
      <c r="N35" s="50">
        <v>0</v>
      </c>
      <c r="O35" s="17">
        <f t="shared" si="0"/>
        <v>87</v>
      </c>
      <c r="P35" s="17">
        <f t="shared" si="1"/>
        <v>116</v>
      </c>
      <c r="R35" s="51" t="s">
        <v>91</v>
      </c>
      <c r="S35" s="52">
        <f t="shared" ref="S35:AF35" si="27">MAX(S13:S18)</f>
        <v>172</v>
      </c>
      <c r="T35" s="52">
        <f t="shared" si="27"/>
        <v>67</v>
      </c>
      <c r="U35" s="52">
        <f t="shared" si="27"/>
        <v>22</v>
      </c>
      <c r="V35" s="52">
        <f t="shared" si="27"/>
        <v>13</v>
      </c>
      <c r="W35" s="52">
        <f t="shared" si="27"/>
        <v>1</v>
      </c>
      <c r="X35" s="52">
        <f t="shared" si="27"/>
        <v>3</v>
      </c>
      <c r="Y35" s="52">
        <f t="shared" si="27"/>
        <v>24</v>
      </c>
      <c r="Z35" s="52">
        <f t="shared" si="27"/>
        <v>2</v>
      </c>
      <c r="AA35" s="52">
        <f t="shared" si="27"/>
        <v>2</v>
      </c>
      <c r="AB35" s="52">
        <f t="shared" si="27"/>
        <v>1</v>
      </c>
      <c r="AC35" s="52">
        <f t="shared" si="27"/>
        <v>157</v>
      </c>
      <c r="AD35" s="52">
        <f t="shared" si="27"/>
        <v>0</v>
      </c>
      <c r="AE35" s="40">
        <f t="shared" si="27"/>
        <v>285</v>
      </c>
      <c r="AF35" s="40">
        <f t="shared" si="27"/>
        <v>431</v>
      </c>
    </row>
    <row r="36" spans="2:32" ht="23.1" customHeight="1" x14ac:dyDescent="0.25">
      <c r="B36" s="46" t="s">
        <v>63</v>
      </c>
      <c r="C36" s="50">
        <v>45</v>
      </c>
      <c r="D36" s="50">
        <v>13</v>
      </c>
      <c r="E36" s="50">
        <v>5</v>
      </c>
      <c r="F36" s="50">
        <v>1</v>
      </c>
      <c r="G36" s="50">
        <v>0</v>
      </c>
      <c r="H36" s="50">
        <v>1</v>
      </c>
      <c r="I36" s="50">
        <v>3</v>
      </c>
      <c r="J36" s="50">
        <v>0</v>
      </c>
      <c r="K36" s="50">
        <v>0</v>
      </c>
      <c r="L36" s="50">
        <v>0</v>
      </c>
      <c r="M36" s="50">
        <v>39</v>
      </c>
      <c r="N36" s="50">
        <v>0</v>
      </c>
      <c r="O36" s="17">
        <f t="shared" si="0"/>
        <v>68</v>
      </c>
      <c r="P36" s="17">
        <f t="shared" si="1"/>
        <v>107</v>
      </c>
      <c r="R36" s="51" t="s">
        <v>92</v>
      </c>
      <c r="S36" s="52">
        <f t="shared" ref="S36:AF36" si="28">MAX(S19:S21)</f>
        <v>173</v>
      </c>
      <c r="T36" s="52">
        <f t="shared" si="28"/>
        <v>54</v>
      </c>
      <c r="U36" s="52">
        <f t="shared" si="28"/>
        <v>19</v>
      </c>
      <c r="V36" s="52">
        <f t="shared" si="28"/>
        <v>4</v>
      </c>
      <c r="W36" s="52">
        <f t="shared" si="28"/>
        <v>2</v>
      </c>
      <c r="X36" s="52">
        <f t="shared" si="28"/>
        <v>1</v>
      </c>
      <c r="Y36" s="52">
        <f t="shared" si="28"/>
        <v>23</v>
      </c>
      <c r="Z36" s="52">
        <f t="shared" si="28"/>
        <v>6</v>
      </c>
      <c r="AA36" s="52">
        <f t="shared" si="28"/>
        <v>2</v>
      </c>
      <c r="AB36" s="52">
        <f t="shared" si="28"/>
        <v>1</v>
      </c>
      <c r="AC36" s="52">
        <f t="shared" si="28"/>
        <v>165</v>
      </c>
      <c r="AD36" s="52">
        <f t="shared" si="28"/>
        <v>0</v>
      </c>
      <c r="AE36" s="40">
        <f t="shared" si="28"/>
        <v>262</v>
      </c>
      <c r="AF36" s="40">
        <f t="shared" si="28"/>
        <v>417</v>
      </c>
    </row>
    <row r="37" spans="2:32" ht="23.1" customHeight="1" x14ac:dyDescent="0.25">
      <c r="B37" s="45" t="s">
        <v>64</v>
      </c>
      <c r="C37" s="50">
        <v>39</v>
      </c>
      <c r="D37" s="50">
        <v>10</v>
      </c>
      <c r="E37" s="50">
        <v>4</v>
      </c>
      <c r="F37" s="50">
        <v>3</v>
      </c>
      <c r="G37" s="50">
        <v>0</v>
      </c>
      <c r="H37" s="50">
        <v>0</v>
      </c>
      <c r="I37" s="50">
        <v>6</v>
      </c>
      <c r="J37" s="50">
        <v>0</v>
      </c>
      <c r="K37" s="50">
        <v>1</v>
      </c>
      <c r="L37" s="50">
        <v>0</v>
      </c>
      <c r="M37" s="50">
        <v>34</v>
      </c>
      <c r="N37" s="50">
        <v>0</v>
      </c>
      <c r="O37" s="17">
        <f t="shared" si="0"/>
        <v>63</v>
      </c>
      <c r="P37" s="17">
        <f t="shared" si="1"/>
        <v>97</v>
      </c>
      <c r="R37" s="37" t="s">
        <v>85</v>
      </c>
      <c r="S37" s="35">
        <f t="shared" ref="S37:AF37" si="29">SUM(S10:S12)</f>
        <v>291</v>
      </c>
      <c r="T37" s="16">
        <f t="shared" si="29"/>
        <v>96</v>
      </c>
      <c r="U37" s="16">
        <f t="shared" si="29"/>
        <v>32</v>
      </c>
      <c r="V37" s="16">
        <f t="shared" si="29"/>
        <v>22</v>
      </c>
      <c r="W37" s="16">
        <f t="shared" si="29"/>
        <v>4</v>
      </c>
      <c r="X37" s="16">
        <f t="shared" si="29"/>
        <v>1</v>
      </c>
      <c r="Y37" s="16">
        <f t="shared" si="29"/>
        <v>32</v>
      </c>
      <c r="Z37" s="16">
        <f t="shared" si="29"/>
        <v>4</v>
      </c>
      <c r="AA37" s="16">
        <f t="shared" si="29"/>
        <v>3</v>
      </c>
      <c r="AB37" s="16">
        <f t="shared" si="29"/>
        <v>0</v>
      </c>
      <c r="AC37" s="16">
        <f t="shared" si="29"/>
        <v>485</v>
      </c>
      <c r="AD37" s="16">
        <f t="shared" si="29"/>
        <v>0</v>
      </c>
      <c r="AE37" s="32">
        <f t="shared" si="29"/>
        <v>485</v>
      </c>
      <c r="AF37" s="32">
        <f t="shared" si="29"/>
        <v>970</v>
      </c>
    </row>
    <row r="38" spans="2:32" ht="23.1" customHeight="1" x14ac:dyDescent="0.25">
      <c r="B38" s="46" t="s">
        <v>65</v>
      </c>
      <c r="C38" s="50">
        <v>49</v>
      </c>
      <c r="D38" s="50">
        <v>14</v>
      </c>
      <c r="E38" s="50">
        <v>2</v>
      </c>
      <c r="F38" s="50">
        <v>1</v>
      </c>
      <c r="G38" s="50">
        <v>0</v>
      </c>
      <c r="H38" s="50">
        <v>1</v>
      </c>
      <c r="I38" s="50">
        <v>5</v>
      </c>
      <c r="J38" s="50">
        <v>0</v>
      </c>
      <c r="K38" s="50">
        <v>1</v>
      </c>
      <c r="L38" s="50">
        <v>0</v>
      </c>
      <c r="M38" s="50">
        <v>39</v>
      </c>
      <c r="N38" s="50">
        <v>0</v>
      </c>
      <c r="O38" s="17">
        <f t="shared" si="0"/>
        <v>73</v>
      </c>
      <c r="P38" s="17">
        <f t="shared" si="1"/>
        <v>112</v>
      </c>
      <c r="R38" s="28" t="s">
        <v>86</v>
      </c>
      <c r="S38" s="16">
        <f t="shared" ref="S38:AF38" si="30">SUM(S13:S18)</f>
        <v>925</v>
      </c>
      <c r="T38" s="16">
        <f t="shared" si="30"/>
        <v>326</v>
      </c>
      <c r="U38" s="16">
        <f t="shared" si="30"/>
        <v>102</v>
      </c>
      <c r="V38" s="16">
        <f t="shared" si="30"/>
        <v>56</v>
      </c>
      <c r="W38" s="16">
        <f t="shared" si="30"/>
        <v>3</v>
      </c>
      <c r="X38" s="16">
        <f t="shared" si="30"/>
        <v>7</v>
      </c>
      <c r="Y38" s="16">
        <f t="shared" si="30"/>
        <v>111</v>
      </c>
      <c r="Z38" s="16">
        <f t="shared" si="30"/>
        <v>7</v>
      </c>
      <c r="AA38" s="16">
        <f t="shared" si="30"/>
        <v>8</v>
      </c>
      <c r="AB38" s="16">
        <f t="shared" si="30"/>
        <v>1</v>
      </c>
      <c r="AC38" s="16">
        <f t="shared" si="30"/>
        <v>835</v>
      </c>
      <c r="AD38" s="16">
        <f t="shared" si="30"/>
        <v>0</v>
      </c>
      <c r="AE38" s="32">
        <f t="shared" si="30"/>
        <v>1546</v>
      </c>
      <c r="AF38" s="32">
        <f t="shared" si="30"/>
        <v>2381</v>
      </c>
    </row>
    <row r="39" spans="2:32" ht="23.1" customHeight="1" x14ac:dyDescent="0.25">
      <c r="B39" s="46" t="s">
        <v>66</v>
      </c>
      <c r="C39" s="50">
        <v>39</v>
      </c>
      <c r="D39" s="50">
        <v>11</v>
      </c>
      <c r="E39" s="50">
        <v>8</v>
      </c>
      <c r="F39" s="50">
        <v>2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37</v>
      </c>
      <c r="N39" s="50">
        <v>0</v>
      </c>
      <c r="O39" s="17">
        <f t="shared" si="0"/>
        <v>64</v>
      </c>
      <c r="P39" s="17">
        <f t="shared" si="1"/>
        <v>101</v>
      </c>
      <c r="R39" s="29" t="s">
        <v>87</v>
      </c>
      <c r="S39" s="16">
        <f t="shared" ref="S39:AF39" si="31">SUM(S19:S21)</f>
        <v>503</v>
      </c>
      <c r="T39" s="16">
        <f t="shared" si="31"/>
        <v>116</v>
      </c>
      <c r="U39" s="16">
        <f t="shared" si="31"/>
        <v>48</v>
      </c>
      <c r="V39" s="16">
        <f t="shared" si="31"/>
        <v>12</v>
      </c>
      <c r="W39" s="16">
        <f t="shared" si="31"/>
        <v>4</v>
      </c>
      <c r="X39" s="16">
        <f t="shared" si="31"/>
        <v>1</v>
      </c>
      <c r="Y39" s="16">
        <f t="shared" si="31"/>
        <v>48</v>
      </c>
      <c r="Z39" s="16">
        <f t="shared" si="31"/>
        <v>11</v>
      </c>
      <c r="AA39" s="16">
        <f t="shared" si="31"/>
        <v>3</v>
      </c>
      <c r="AB39" s="16">
        <f t="shared" si="31"/>
        <v>1</v>
      </c>
      <c r="AC39" s="16">
        <f t="shared" si="31"/>
        <v>446</v>
      </c>
      <c r="AD39" s="16">
        <f t="shared" si="31"/>
        <v>0</v>
      </c>
      <c r="AE39" s="32">
        <f t="shared" si="31"/>
        <v>747</v>
      </c>
      <c r="AF39" s="32">
        <f t="shared" si="31"/>
        <v>1193</v>
      </c>
    </row>
    <row r="40" spans="2:32" ht="23.1" customHeight="1" x14ac:dyDescent="0.25">
      <c r="B40" s="46" t="s">
        <v>67</v>
      </c>
      <c r="C40" s="50">
        <v>45</v>
      </c>
      <c r="D40" s="50">
        <v>14</v>
      </c>
      <c r="E40" s="50">
        <v>2</v>
      </c>
      <c r="F40" s="50">
        <v>3</v>
      </c>
      <c r="G40" s="50">
        <v>0</v>
      </c>
      <c r="H40" s="50">
        <v>0</v>
      </c>
      <c r="I40" s="50">
        <v>7</v>
      </c>
      <c r="J40" s="50">
        <v>0</v>
      </c>
      <c r="K40" s="50">
        <v>0</v>
      </c>
      <c r="L40" s="50">
        <v>0</v>
      </c>
      <c r="M40" s="50">
        <v>29</v>
      </c>
      <c r="N40" s="50">
        <v>0</v>
      </c>
      <c r="O40" s="17">
        <f t="shared" si="0"/>
        <v>71</v>
      </c>
      <c r="P40" s="17">
        <f t="shared" si="1"/>
        <v>100</v>
      </c>
      <c r="R40" s="5" t="s">
        <v>17</v>
      </c>
      <c r="S40" s="16">
        <f t="shared" ref="S40:AF40" si="32">SUM(S10:S21)</f>
        <v>1719</v>
      </c>
      <c r="T40" s="16">
        <f t="shared" si="32"/>
        <v>538</v>
      </c>
      <c r="U40" s="16">
        <f t="shared" si="32"/>
        <v>182</v>
      </c>
      <c r="V40" s="16">
        <f t="shared" si="32"/>
        <v>90</v>
      </c>
      <c r="W40" s="16">
        <f t="shared" si="32"/>
        <v>11</v>
      </c>
      <c r="X40" s="16">
        <f t="shared" si="32"/>
        <v>9</v>
      </c>
      <c r="Y40" s="16">
        <f t="shared" si="32"/>
        <v>191</v>
      </c>
      <c r="Z40" s="16">
        <f t="shared" si="32"/>
        <v>22</v>
      </c>
      <c r="AA40" s="16">
        <f t="shared" si="32"/>
        <v>14</v>
      </c>
      <c r="AB40" s="16">
        <f t="shared" si="32"/>
        <v>2</v>
      </c>
      <c r="AC40" s="16">
        <f t="shared" si="32"/>
        <v>1766</v>
      </c>
      <c r="AD40" s="16">
        <f t="shared" si="32"/>
        <v>0</v>
      </c>
      <c r="AE40" s="32">
        <f t="shared" si="32"/>
        <v>2778</v>
      </c>
      <c r="AF40" s="32">
        <f t="shared" si="32"/>
        <v>4544</v>
      </c>
    </row>
    <row r="41" spans="2:32" ht="23.1" customHeight="1" x14ac:dyDescent="0.25">
      <c r="B41" s="45" t="s">
        <v>68</v>
      </c>
      <c r="C41" s="50">
        <v>31</v>
      </c>
      <c r="D41" s="50">
        <v>7</v>
      </c>
      <c r="E41" s="50">
        <v>4</v>
      </c>
      <c r="F41" s="50">
        <v>1</v>
      </c>
      <c r="G41" s="50">
        <v>0</v>
      </c>
      <c r="H41" s="50">
        <v>0</v>
      </c>
      <c r="I41" s="50">
        <v>7</v>
      </c>
      <c r="J41" s="50">
        <v>1</v>
      </c>
      <c r="K41" s="50">
        <v>1</v>
      </c>
      <c r="L41" s="50">
        <v>0</v>
      </c>
      <c r="M41" s="50">
        <v>32</v>
      </c>
      <c r="N41" s="50">
        <v>0</v>
      </c>
      <c r="O41" s="17">
        <f t="shared" si="0"/>
        <v>52</v>
      </c>
      <c r="P41" s="17">
        <f t="shared" si="1"/>
        <v>84</v>
      </c>
      <c r="R41" s="5" t="s">
        <v>159</v>
      </c>
      <c r="S41" s="16">
        <f>SUM(S10:S33)</f>
        <v>2658</v>
      </c>
      <c r="T41" s="16">
        <f t="shared" ref="T41:AF41" si="33">SUM(T10:T33)</f>
        <v>809</v>
      </c>
      <c r="U41" s="16">
        <f t="shared" si="33"/>
        <v>280</v>
      </c>
      <c r="V41" s="16">
        <f t="shared" si="33"/>
        <v>139</v>
      </c>
      <c r="W41" s="16">
        <f t="shared" si="33"/>
        <v>18</v>
      </c>
      <c r="X41" s="16">
        <f t="shared" si="33"/>
        <v>16</v>
      </c>
      <c r="Y41" s="16">
        <f t="shared" si="33"/>
        <v>254</v>
      </c>
      <c r="Z41" s="16">
        <f t="shared" si="33"/>
        <v>24</v>
      </c>
      <c r="AA41" s="16">
        <f t="shared" si="33"/>
        <v>16</v>
      </c>
      <c r="AB41" s="16">
        <f t="shared" si="33"/>
        <v>2</v>
      </c>
      <c r="AC41" s="16">
        <f t="shared" si="33"/>
        <v>2351</v>
      </c>
      <c r="AD41" s="16">
        <f t="shared" si="33"/>
        <v>0</v>
      </c>
      <c r="AE41" s="32">
        <f t="shared" si="33"/>
        <v>4216</v>
      </c>
      <c r="AF41" s="32">
        <f t="shared" si="33"/>
        <v>6567</v>
      </c>
    </row>
    <row r="42" spans="2:32" ht="23.1" customHeight="1" x14ac:dyDescent="0.25">
      <c r="B42" s="46" t="s">
        <v>69</v>
      </c>
      <c r="C42" s="50">
        <v>33</v>
      </c>
      <c r="D42" s="50">
        <v>12</v>
      </c>
      <c r="E42" s="50">
        <v>3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36</v>
      </c>
      <c r="N42" s="50">
        <v>0</v>
      </c>
      <c r="O42" s="17">
        <f t="shared" si="0"/>
        <v>51</v>
      </c>
      <c r="P42" s="17">
        <f t="shared" si="1"/>
        <v>87</v>
      </c>
      <c r="R42" s="5" t="s">
        <v>160</v>
      </c>
      <c r="S42" s="48">
        <f>S41/S40</f>
        <v>1.5462478184991273</v>
      </c>
      <c r="T42" s="48">
        <f t="shared" ref="T42:AF42" si="34">T41/T40</f>
        <v>1.503717472118959</v>
      </c>
      <c r="U42" s="48">
        <f t="shared" si="34"/>
        <v>1.5384615384615385</v>
      </c>
      <c r="V42" s="48">
        <f t="shared" si="34"/>
        <v>1.5444444444444445</v>
      </c>
      <c r="W42" s="48">
        <f t="shared" si="34"/>
        <v>1.6363636363636365</v>
      </c>
      <c r="X42" s="48">
        <f t="shared" si="34"/>
        <v>1.7777777777777777</v>
      </c>
      <c r="Y42" s="48">
        <f t="shared" si="34"/>
        <v>1.3298429319371727</v>
      </c>
      <c r="Z42" s="48">
        <f t="shared" si="34"/>
        <v>1.0909090909090908</v>
      </c>
      <c r="AA42" s="48">
        <f t="shared" si="34"/>
        <v>1.1428571428571428</v>
      </c>
      <c r="AB42" s="48">
        <f t="shared" si="34"/>
        <v>1</v>
      </c>
      <c r="AC42" s="48">
        <f t="shared" si="34"/>
        <v>1.3312570781426953</v>
      </c>
      <c r="AD42" s="48" t="e">
        <f t="shared" si="34"/>
        <v>#DIV/0!</v>
      </c>
      <c r="AE42" s="48">
        <f t="shared" si="34"/>
        <v>1.5176385889128869</v>
      </c>
      <c r="AF42" s="48">
        <f t="shared" si="34"/>
        <v>1.4452024647887325</v>
      </c>
    </row>
    <row r="43" spans="2:32" ht="23.1" customHeight="1" x14ac:dyDescent="0.25">
      <c r="B43" s="45" t="s">
        <v>70</v>
      </c>
      <c r="C43" s="50">
        <v>38</v>
      </c>
      <c r="D43" s="50">
        <v>9</v>
      </c>
      <c r="E43" s="50">
        <v>2</v>
      </c>
      <c r="F43" s="50">
        <v>6</v>
      </c>
      <c r="G43" s="50">
        <v>1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26</v>
      </c>
      <c r="N43" s="50">
        <v>0</v>
      </c>
      <c r="O43" s="17">
        <f t="shared" si="0"/>
        <v>60</v>
      </c>
      <c r="P43" s="17">
        <f t="shared" si="1"/>
        <v>86</v>
      </c>
      <c r="R43"/>
      <c r="S43" s="19"/>
      <c r="T43" s="19"/>
    </row>
    <row r="44" spans="2:32" ht="23.1" customHeight="1" x14ac:dyDescent="0.25">
      <c r="B44" s="47" t="s">
        <v>71</v>
      </c>
      <c r="C44" s="50">
        <v>21</v>
      </c>
      <c r="D44" s="50">
        <v>10</v>
      </c>
      <c r="E44" s="50">
        <v>2</v>
      </c>
      <c r="F44" s="50">
        <v>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23</v>
      </c>
      <c r="N44" s="50">
        <v>0</v>
      </c>
      <c r="O44" s="17">
        <f t="shared" si="0"/>
        <v>36</v>
      </c>
      <c r="P44" s="17">
        <f t="shared" si="1"/>
        <v>59</v>
      </c>
      <c r="R44"/>
      <c r="S44" s="19"/>
      <c r="T44" s="19"/>
    </row>
    <row r="45" spans="2:32" ht="23.1" customHeight="1" x14ac:dyDescent="0.25">
      <c r="B45" s="45" t="s">
        <v>72</v>
      </c>
      <c r="C45" s="50">
        <v>55</v>
      </c>
      <c r="D45" s="50">
        <v>13</v>
      </c>
      <c r="E45" s="50">
        <v>13</v>
      </c>
      <c r="F45" s="50">
        <v>1</v>
      </c>
      <c r="G45" s="50">
        <v>0</v>
      </c>
      <c r="H45" s="50">
        <v>1</v>
      </c>
      <c r="I45" s="50">
        <v>9</v>
      </c>
      <c r="J45" s="50">
        <v>1</v>
      </c>
      <c r="K45" s="50">
        <v>0</v>
      </c>
      <c r="L45" s="50">
        <v>0</v>
      </c>
      <c r="M45" s="50">
        <v>32</v>
      </c>
      <c r="N45" s="50">
        <v>0</v>
      </c>
      <c r="O45" s="17">
        <f t="shared" si="0"/>
        <v>93</v>
      </c>
      <c r="P45" s="17">
        <f t="shared" si="1"/>
        <v>125</v>
      </c>
      <c r="R45"/>
      <c r="S45" s="19"/>
      <c r="T45" s="19"/>
    </row>
    <row r="46" spans="2:32" ht="23.1" customHeight="1" x14ac:dyDescent="0.25">
      <c r="B46" s="46" t="s">
        <v>73</v>
      </c>
      <c r="C46" s="50">
        <v>45</v>
      </c>
      <c r="D46" s="50">
        <v>4</v>
      </c>
      <c r="E46" s="50">
        <v>5</v>
      </c>
      <c r="F46" s="50">
        <v>1</v>
      </c>
      <c r="G46" s="50">
        <v>1</v>
      </c>
      <c r="H46" s="50">
        <v>0</v>
      </c>
      <c r="I46" s="50">
        <v>7</v>
      </c>
      <c r="J46" s="50">
        <v>1</v>
      </c>
      <c r="K46" s="50">
        <v>1</v>
      </c>
      <c r="L46" s="50">
        <v>0</v>
      </c>
      <c r="M46" s="50">
        <v>38</v>
      </c>
      <c r="N46" s="50">
        <v>0</v>
      </c>
      <c r="O46" s="17">
        <f t="shared" si="0"/>
        <v>65</v>
      </c>
      <c r="P46" s="17">
        <f t="shared" si="1"/>
        <v>103</v>
      </c>
      <c r="R46" s="19"/>
      <c r="S46" s="19"/>
      <c r="T46"/>
    </row>
    <row r="47" spans="2:32" ht="23.1" customHeight="1" x14ac:dyDescent="0.25">
      <c r="B47" s="46" t="s">
        <v>74</v>
      </c>
      <c r="C47" s="50">
        <v>33</v>
      </c>
      <c r="D47" s="50">
        <v>8</v>
      </c>
      <c r="E47" s="50">
        <v>4</v>
      </c>
      <c r="F47" s="50">
        <v>0</v>
      </c>
      <c r="G47" s="50">
        <v>0</v>
      </c>
      <c r="H47" s="50">
        <v>0</v>
      </c>
      <c r="I47" s="50">
        <v>3</v>
      </c>
      <c r="J47" s="50">
        <v>1</v>
      </c>
      <c r="K47" s="50">
        <v>1</v>
      </c>
      <c r="L47" s="50">
        <v>0</v>
      </c>
      <c r="M47" s="50">
        <v>46</v>
      </c>
      <c r="N47" s="50">
        <v>0</v>
      </c>
      <c r="O47" s="17">
        <f t="shared" si="0"/>
        <v>50</v>
      </c>
      <c r="P47" s="17">
        <f t="shared" si="1"/>
        <v>96</v>
      </c>
      <c r="R47" s="19"/>
      <c r="S47" s="19"/>
      <c r="T47"/>
    </row>
    <row r="48" spans="2:32" ht="23.1" customHeight="1" x14ac:dyDescent="0.25">
      <c r="B48" s="46" t="s">
        <v>75</v>
      </c>
      <c r="C48" s="50">
        <v>42</v>
      </c>
      <c r="D48" s="50">
        <v>7</v>
      </c>
      <c r="E48" s="50">
        <v>6</v>
      </c>
      <c r="F48" s="50">
        <v>1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34</v>
      </c>
      <c r="N48" s="50">
        <v>0</v>
      </c>
      <c r="O48" s="17">
        <f t="shared" si="0"/>
        <v>60</v>
      </c>
      <c r="P48" s="17">
        <f t="shared" si="1"/>
        <v>94</v>
      </c>
      <c r="R48" s="19"/>
      <c r="S48" s="19"/>
      <c r="T48"/>
    </row>
    <row r="49" spans="2:20" ht="23.1" customHeight="1" x14ac:dyDescent="0.25">
      <c r="B49" s="45" t="s">
        <v>76</v>
      </c>
      <c r="C49" s="50">
        <v>43</v>
      </c>
      <c r="D49" s="50">
        <v>10</v>
      </c>
      <c r="E49" s="50">
        <v>4</v>
      </c>
      <c r="F49" s="50">
        <v>2</v>
      </c>
      <c r="G49" s="50">
        <v>1</v>
      </c>
      <c r="H49" s="50">
        <v>0</v>
      </c>
      <c r="I49" s="50">
        <v>10</v>
      </c>
      <c r="J49" s="50">
        <v>2</v>
      </c>
      <c r="K49" s="50">
        <v>0</v>
      </c>
      <c r="L49" s="50">
        <v>0</v>
      </c>
      <c r="M49" s="50">
        <v>47</v>
      </c>
      <c r="N49" s="50">
        <v>0</v>
      </c>
      <c r="O49" s="17">
        <f t="shared" si="0"/>
        <v>72</v>
      </c>
      <c r="P49" s="17">
        <f t="shared" si="1"/>
        <v>119</v>
      </c>
      <c r="R49" s="19"/>
      <c r="S49" s="19"/>
      <c r="T49"/>
    </row>
    <row r="50" spans="2:20" ht="23.1" customHeight="1" x14ac:dyDescent="0.25">
      <c r="B50" s="46" t="s">
        <v>77</v>
      </c>
      <c r="C50" s="50">
        <v>58</v>
      </c>
      <c r="D50" s="50">
        <v>7</v>
      </c>
      <c r="E50" s="50">
        <v>3</v>
      </c>
      <c r="F50" s="50">
        <v>1</v>
      </c>
      <c r="G50" s="50">
        <v>0</v>
      </c>
      <c r="H50" s="50">
        <v>1</v>
      </c>
      <c r="I50" s="50">
        <v>1</v>
      </c>
      <c r="J50" s="50">
        <v>4</v>
      </c>
      <c r="K50" s="50">
        <v>0</v>
      </c>
      <c r="L50" s="50">
        <v>0</v>
      </c>
      <c r="M50" s="50">
        <v>32</v>
      </c>
      <c r="N50" s="50">
        <v>0</v>
      </c>
      <c r="O50" s="17">
        <f t="shared" si="0"/>
        <v>75</v>
      </c>
      <c r="P50" s="17">
        <f t="shared" si="1"/>
        <v>107</v>
      </c>
      <c r="R50" s="19"/>
      <c r="S50" s="19"/>
      <c r="T50"/>
    </row>
    <row r="51" spans="2:20" ht="23.1" customHeight="1" x14ac:dyDescent="0.25">
      <c r="B51" s="46" t="s">
        <v>78</v>
      </c>
      <c r="C51" s="50">
        <v>41</v>
      </c>
      <c r="D51" s="50">
        <v>10</v>
      </c>
      <c r="E51" s="50">
        <v>5</v>
      </c>
      <c r="F51" s="50">
        <v>2</v>
      </c>
      <c r="G51" s="50">
        <v>0</v>
      </c>
      <c r="H51" s="50">
        <v>0</v>
      </c>
      <c r="I51" s="50">
        <v>6</v>
      </c>
      <c r="J51" s="50">
        <v>1</v>
      </c>
      <c r="K51" s="50">
        <v>1</v>
      </c>
      <c r="L51" s="50">
        <v>0</v>
      </c>
      <c r="M51" s="50">
        <v>33</v>
      </c>
      <c r="N51" s="50">
        <v>0</v>
      </c>
      <c r="O51" s="17">
        <f t="shared" si="0"/>
        <v>66</v>
      </c>
      <c r="P51" s="17">
        <f t="shared" si="1"/>
        <v>99</v>
      </c>
      <c r="R51" s="19"/>
      <c r="S51" s="19"/>
      <c r="T51"/>
    </row>
    <row r="52" spans="2:20" ht="23.1" customHeight="1" x14ac:dyDescent="0.25">
      <c r="B52" s="46" t="s">
        <v>79</v>
      </c>
      <c r="C52" s="50">
        <v>30</v>
      </c>
      <c r="D52" s="50">
        <v>7</v>
      </c>
      <c r="E52" s="50">
        <v>0</v>
      </c>
      <c r="F52" s="50">
        <v>1</v>
      </c>
      <c r="G52" s="50">
        <v>1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27</v>
      </c>
      <c r="N52" s="50">
        <v>0</v>
      </c>
      <c r="O52" s="17">
        <f t="shared" si="0"/>
        <v>40</v>
      </c>
      <c r="P52" s="17">
        <f t="shared" si="1"/>
        <v>67</v>
      </c>
      <c r="R52" s="19"/>
      <c r="S52" s="19"/>
      <c r="T52"/>
    </row>
    <row r="53" spans="2:20" ht="23.1" customHeight="1" x14ac:dyDescent="0.25">
      <c r="B53" s="45" t="s">
        <v>80</v>
      </c>
      <c r="C53" s="50">
        <v>38</v>
      </c>
      <c r="D53" s="50">
        <v>9</v>
      </c>
      <c r="E53" s="50">
        <v>3</v>
      </c>
      <c r="F53" s="50">
        <v>0</v>
      </c>
      <c r="G53" s="50">
        <v>1</v>
      </c>
      <c r="H53" s="50">
        <v>0</v>
      </c>
      <c r="I53" s="50">
        <v>5</v>
      </c>
      <c r="J53" s="50">
        <v>1</v>
      </c>
      <c r="K53" s="50">
        <v>0</v>
      </c>
      <c r="L53" s="50">
        <v>0</v>
      </c>
      <c r="M53" s="50">
        <v>34</v>
      </c>
      <c r="N53" s="50">
        <v>0</v>
      </c>
      <c r="O53" s="17">
        <f t="shared" si="0"/>
        <v>57</v>
      </c>
      <c r="P53" s="17">
        <f t="shared" si="1"/>
        <v>91</v>
      </c>
      <c r="R53" s="19"/>
      <c r="S53" s="19"/>
      <c r="T53"/>
    </row>
    <row r="54" spans="2:20" ht="23.1" customHeight="1" x14ac:dyDescent="0.25">
      <c r="B54" s="45" t="s">
        <v>81</v>
      </c>
      <c r="C54" s="50">
        <v>47</v>
      </c>
      <c r="D54" s="50">
        <v>27</v>
      </c>
      <c r="E54" s="50">
        <v>4</v>
      </c>
      <c r="F54" s="50">
        <v>3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41</v>
      </c>
      <c r="N54" s="50">
        <v>0</v>
      </c>
      <c r="O54" s="17">
        <f t="shared" si="0"/>
        <v>86</v>
      </c>
      <c r="P54" s="17">
        <f t="shared" si="1"/>
        <v>127</v>
      </c>
      <c r="R54" s="19"/>
      <c r="S54" s="19"/>
      <c r="T54"/>
    </row>
    <row r="55" spans="2:20" ht="23.1" customHeight="1" x14ac:dyDescent="0.25">
      <c r="B55" s="45" t="s">
        <v>82</v>
      </c>
      <c r="C55" s="50">
        <v>50</v>
      </c>
      <c r="D55" s="50">
        <v>9</v>
      </c>
      <c r="E55" s="50">
        <v>7</v>
      </c>
      <c r="F55" s="50">
        <v>0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42</v>
      </c>
      <c r="N55" s="50">
        <v>0</v>
      </c>
      <c r="O55" s="17">
        <f t="shared" si="0"/>
        <v>69</v>
      </c>
      <c r="P55" s="17">
        <f t="shared" si="1"/>
        <v>111</v>
      </c>
      <c r="R55" s="19"/>
      <c r="S55" s="19"/>
      <c r="T55"/>
    </row>
    <row r="56" spans="2:20" ht="23.1" customHeight="1" x14ac:dyDescent="0.25">
      <c r="B56" s="45" t="s">
        <v>83</v>
      </c>
      <c r="C56" s="50">
        <v>53</v>
      </c>
      <c r="D56" s="50">
        <v>12</v>
      </c>
      <c r="E56" s="50">
        <v>4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40</v>
      </c>
      <c r="N56" s="50">
        <v>0</v>
      </c>
      <c r="O56" s="17">
        <f t="shared" si="0"/>
        <v>71</v>
      </c>
      <c r="P56" s="17">
        <f t="shared" si="1"/>
        <v>111</v>
      </c>
      <c r="R56" s="19"/>
      <c r="S56" s="19"/>
      <c r="T56"/>
    </row>
    <row r="57" spans="2:20" ht="23.1" customHeight="1" x14ac:dyDescent="0.25">
      <c r="B57" s="45" t="s">
        <v>84</v>
      </c>
      <c r="C57" s="50">
        <v>23</v>
      </c>
      <c r="D57" s="50">
        <v>6</v>
      </c>
      <c r="E57" s="50">
        <v>3</v>
      </c>
      <c r="F57" s="50">
        <v>1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32</v>
      </c>
      <c r="N57" s="50">
        <v>0</v>
      </c>
      <c r="O57" s="17">
        <f t="shared" si="0"/>
        <v>36</v>
      </c>
      <c r="P57" s="17">
        <f t="shared" si="1"/>
        <v>68</v>
      </c>
      <c r="R57" s="19"/>
      <c r="S57" s="19"/>
      <c r="T57"/>
    </row>
    <row r="58" spans="2:20" ht="23.1" customHeight="1" x14ac:dyDescent="0.25">
      <c r="B58" s="45" t="s">
        <v>99</v>
      </c>
      <c r="C58" s="50">
        <v>46</v>
      </c>
      <c r="D58" s="50">
        <v>10</v>
      </c>
      <c r="E58" s="50">
        <v>8</v>
      </c>
      <c r="F58" s="50">
        <v>1</v>
      </c>
      <c r="G58" s="50">
        <v>0</v>
      </c>
      <c r="H58" s="50">
        <v>0</v>
      </c>
      <c r="I58" s="50">
        <v>6</v>
      </c>
      <c r="J58" s="50">
        <v>0</v>
      </c>
      <c r="K58" s="50">
        <v>0</v>
      </c>
      <c r="L58" s="50">
        <v>0</v>
      </c>
      <c r="M58" s="50">
        <v>30</v>
      </c>
      <c r="N58" s="50">
        <v>0</v>
      </c>
      <c r="O58" s="17">
        <f t="shared" si="0"/>
        <v>71</v>
      </c>
      <c r="P58" s="17">
        <f t="shared" si="1"/>
        <v>101</v>
      </c>
      <c r="R58" s="19"/>
      <c r="S58" s="19"/>
      <c r="T58"/>
    </row>
    <row r="59" spans="2:20" ht="23.1" customHeight="1" x14ac:dyDescent="0.25">
      <c r="B59" s="45" t="s">
        <v>100</v>
      </c>
      <c r="C59" s="50">
        <v>45</v>
      </c>
      <c r="D59" s="50">
        <v>12</v>
      </c>
      <c r="E59" s="50">
        <v>2</v>
      </c>
      <c r="F59" s="50">
        <v>2</v>
      </c>
      <c r="G59" s="50">
        <v>0</v>
      </c>
      <c r="H59" s="50">
        <v>0</v>
      </c>
      <c r="I59" s="50">
        <v>4</v>
      </c>
      <c r="J59" s="50">
        <v>0</v>
      </c>
      <c r="K59" s="50">
        <v>0</v>
      </c>
      <c r="L59" s="50">
        <v>0</v>
      </c>
      <c r="M59" s="50">
        <v>36</v>
      </c>
      <c r="N59" s="50">
        <v>0</v>
      </c>
      <c r="O59" s="17">
        <f t="shared" si="0"/>
        <v>65</v>
      </c>
      <c r="P59" s="17">
        <f t="shared" si="1"/>
        <v>101</v>
      </c>
      <c r="R59" s="19"/>
      <c r="S59" s="19"/>
      <c r="T59"/>
    </row>
    <row r="60" spans="2:20" ht="23.1" customHeight="1" x14ac:dyDescent="0.25">
      <c r="B60" s="45" t="s">
        <v>101</v>
      </c>
      <c r="C60" s="50">
        <v>48</v>
      </c>
      <c r="D60" s="50">
        <v>15</v>
      </c>
      <c r="E60" s="50">
        <v>4</v>
      </c>
      <c r="F60" s="50">
        <v>0</v>
      </c>
      <c r="G60" s="50">
        <v>0</v>
      </c>
      <c r="H60" s="50">
        <v>1</v>
      </c>
      <c r="I60" s="50">
        <v>5</v>
      </c>
      <c r="J60" s="50">
        <v>0</v>
      </c>
      <c r="K60" s="50">
        <v>0</v>
      </c>
      <c r="L60" s="50">
        <v>0</v>
      </c>
      <c r="M60" s="50">
        <v>32</v>
      </c>
      <c r="N60" s="50">
        <v>0</v>
      </c>
      <c r="O60" s="17">
        <f t="shared" si="0"/>
        <v>73</v>
      </c>
      <c r="P60" s="17">
        <f t="shared" si="1"/>
        <v>105</v>
      </c>
      <c r="R60" s="19"/>
      <c r="S60" s="19"/>
      <c r="T60"/>
    </row>
    <row r="61" spans="2:20" ht="23.1" customHeight="1" x14ac:dyDescent="0.25">
      <c r="B61" s="45" t="s">
        <v>102</v>
      </c>
      <c r="C61" s="50">
        <v>43</v>
      </c>
      <c r="D61" s="50">
        <v>9</v>
      </c>
      <c r="E61" s="50">
        <v>2</v>
      </c>
      <c r="F61" s="50">
        <v>1</v>
      </c>
      <c r="G61" s="50">
        <v>1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37</v>
      </c>
      <c r="N61" s="50">
        <v>0</v>
      </c>
      <c r="O61" s="17">
        <f t="shared" si="0"/>
        <v>59</v>
      </c>
      <c r="P61" s="17">
        <f t="shared" si="1"/>
        <v>96</v>
      </c>
      <c r="R61" s="19"/>
      <c r="S61" s="19"/>
      <c r="T61"/>
    </row>
    <row r="62" spans="2:20" ht="23.1" customHeight="1" x14ac:dyDescent="0.25">
      <c r="B62" s="45" t="s">
        <v>107</v>
      </c>
      <c r="C62" s="50">
        <v>51</v>
      </c>
      <c r="D62" s="50">
        <v>9</v>
      </c>
      <c r="E62" s="50">
        <v>4</v>
      </c>
      <c r="F62" s="50">
        <v>2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41</v>
      </c>
      <c r="N62" s="50">
        <v>0</v>
      </c>
      <c r="O62" s="17">
        <f t="shared" si="0"/>
        <v>69</v>
      </c>
      <c r="P62" s="17">
        <f t="shared" si="1"/>
        <v>110</v>
      </c>
      <c r="R62" s="19"/>
      <c r="S62" s="19"/>
      <c r="T62"/>
    </row>
    <row r="63" spans="2:20" ht="23.1" customHeight="1" x14ac:dyDescent="0.25">
      <c r="B63" s="45" t="s">
        <v>108</v>
      </c>
      <c r="C63" s="50">
        <v>57</v>
      </c>
      <c r="D63" s="50">
        <v>6</v>
      </c>
      <c r="E63" s="50">
        <v>2</v>
      </c>
      <c r="F63" s="50">
        <v>1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36</v>
      </c>
      <c r="N63" s="50">
        <v>0</v>
      </c>
      <c r="O63" s="17">
        <f t="shared" si="0"/>
        <v>67</v>
      </c>
      <c r="P63" s="17">
        <f t="shared" si="1"/>
        <v>103</v>
      </c>
      <c r="R63" s="19"/>
      <c r="S63" s="19"/>
      <c r="T63"/>
    </row>
    <row r="64" spans="2:20" ht="23.1" customHeight="1" x14ac:dyDescent="0.25">
      <c r="B64" s="45" t="s">
        <v>109</v>
      </c>
      <c r="C64" s="50">
        <v>25</v>
      </c>
      <c r="D64" s="50">
        <v>12</v>
      </c>
      <c r="E64" s="50">
        <v>2</v>
      </c>
      <c r="F64" s="50">
        <v>3</v>
      </c>
      <c r="G64" s="50">
        <v>0</v>
      </c>
      <c r="H64" s="50">
        <v>0</v>
      </c>
      <c r="I64" s="50">
        <v>3</v>
      </c>
      <c r="J64" s="50">
        <v>0</v>
      </c>
      <c r="K64" s="50">
        <v>0</v>
      </c>
      <c r="L64" s="50">
        <v>0</v>
      </c>
      <c r="M64" s="50">
        <v>32</v>
      </c>
      <c r="N64" s="50">
        <v>0</v>
      </c>
      <c r="O64" s="17">
        <f t="shared" si="0"/>
        <v>45</v>
      </c>
      <c r="P64" s="17">
        <f t="shared" si="1"/>
        <v>77</v>
      </c>
      <c r="R64" s="19"/>
      <c r="S64" s="19"/>
      <c r="T64"/>
    </row>
    <row r="65" spans="2:20" ht="23.1" customHeight="1" x14ac:dyDescent="0.25">
      <c r="B65" s="45" t="s">
        <v>158</v>
      </c>
      <c r="C65" s="50">
        <v>36</v>
      </c>
      <c r="D65" s="50">
        <v>13</v>
      </c>
      <c r="E65" s="50">
        <v>7</v>
      </c>
      <c r="F65" s="50">
        <v>2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35</v>
      </c>
      <c r="N65" s="50">
        <v>0</v>
      </c>
      <c r="O65" s="17">
        <f t="shared" si="0"/>
        <v>58</v>
      </c>
      <c r="P65" s="17">
        <f t="shared" si="1"/>
        <v>93</v>
      </c>
      <c r="R65" s="19"/>
      <c r="S65" s="19"/>
      <c r="T65"/>
    </row>
    <row r="66" spans="2:20" ht="23.1" customHeight="1" x14ac:dyDescent="0.25">
      <c r="B66" s="45" t="s">
        <v>103</v>
      </c>
      <c r="C66" s="50">
        <v>44</v>
      </c>
      <c r="D66" s="50">
        <v>20</v>
      </c>
      <c r="E66" s="50">
        <v>5</v>
      </c>
      <c r="F66" s="50">
        <v>4</v>
      </c>
      <c r="G66" s="50">
        <v>0</v>
      </c>
      <c r="H66" s="50">
        <v>1</v>
      </c>
      <c r="I66" s="50">
        <v>0</v>
      </c>
      <c r="J66" s="50">
        <v>0</v>
      </c>
      <c r="K66" s="50">
        <v>0</v>
      </c>
      <c r="L66" s="50">
        <v>0</v>
      </c>
      <c r="M66" s="50">
        <v>24</v>
      </c>
      <c r="N66" s="50">
        <v>0</v>
      </c>
      <c r="O66" s="17">
        <f t="shared" si="0"/>
        <v>74</v>
      </c>
      <c r="P66" s="17">
        <f t="shared" si="1"/>
        <v>98</v>
      </c>
      <c r="R66" s="19"/>
      <c r="S66" s="19"/>
      <c r="T66"/>
    </row>
    <row r="67" spans="2:20" ht="23.1" customHeight="1" x14ac:dyDescent="0.25">
      <c r="B67" s="45" t="s">
        <v>104</v>
      </c>
      <c r="C67" s="50">
        <v>48</v>
      </c>
      <c r="D67" s="50">
        <v>7</v>
      </c>
      <c r="E67" s="50">
        <v>3</v>
      </c>
      <c r="F67" s="50">
        <v>0</v>
      </c>
      <c r="G67" s="50">
        <v>0</v>
      </c>
      <c r="H67" s="50">
        <v>0</v>
      </c>
      <c r="I67" s="50">
        <v>3</v>
      </c>
      <c r="J67" s="50">
        <v>1</v>
      </c>
      <c r="K67" s="50">
        <v>0</v>
      </c>
      <c r="L67" s="50">
        <v>0</v>
      </c>
      <c r="M67" s="50">
        <v>21</v>
      </c>
      <c r="N67" s="50">
        <v>0</v>
      </c>
      <c r="O67" s="17">
        <f t="shared" si="0"/>
        <v>62</v>
      </c>
      <c r="P67" s="17">
        <f t="shared" si="1"/>
        <v>83</v>
      </c>
      <c r="R67" s="19"/>
      <c r="S67" s="19"/>
      <c r="T67"/>
    </row>
    <row r="68" spans="2:20" ht="23.1" customHeight="1" x14ac:dyDescent="0.25">
      <c r="B68" s="45" t="s">
        <v>105</v>
      </c>
      <c r="C68" s="50">
        <v>60</v>
      </c>
      <c r="D68" s="50">
        <v>8</v>
      </c>
      <c r="E68" s="50">
        <v>4</v>
      </c>
      <c r="F68" s="50">
        <v>2</v>
      </c>
      <c r="G68" s="50">
        <v>1</v>
      </c>
      <c r="H68" s="50">
        <v>0</v>
      </c>
      <c r="I68" s="50">
        <v>3</v>
      </c>
      <c r="J68" s="50">
        <v>0</v>
      </c>
      <c r="K68" s="50">
        <v>0</v>
      </c>
      <c r="L68" s="50">
        <v>0</v>
      </c>
      <c r="M68" s="50">
        <v>16</v>
      </c>
      <c r="N68" s="50">
        <v>0</v>
      </c>
      <c r="O68" s="17">
        <f t="shared" si="0"/>
        <v>78</v>
      </c>
      <c r="P68" s="17">
        <f t="shared" si="1"/>
        <v>94</v>
      </c>
      <c r="R68" s="19"/>
      <c r="S68" s="19"/>
      <c r="T68"/>
    </row>
    <row r="69" spans="2:20" ht="23.1" customHeight="1" x14ac:dyDescent="0.25">
      <c r="B69" s="45" t="s">
        <v>106</v>
      </c>
      <c r="C69" s="50">
        <v>39</v>
      </c>
      <c r="D69" s="50">
        <v>5</v>
      </c>
      <c r="E69" s="50">
        <v>8</v>
      </c>
      <c r="F69" s="50">
        <v>1</v>
      </c>
      <c r="G69" s="50">
        <v>1</v>
      </c>
      <c r="H69" s="50">
        <v>0</v>
      </c>
      <c r="I69" s="50">
        <v>3</v>
      </c>
      <c r="J69" s="50">
        <v>0</v>
      </c>
      <c r="K69" s="50">
        <v>0</v>
      </c>
      <c r="L69" s="50">
        <v>0</v>
      </c>
      <c r="M69" s="50">
        <v>20</v>
      </c>
      <c r="N69" s="50">
        <v>0</v>
      </c>
      <c r="O69" s="17">
        <f t="shared" si="0"/>
        <v>57</v>
      </c>
      <c r="P69" s="17">
        <f t="shared" si="1"/>
        <v>77</v>
      </c>
      <c r="R69" s="19"/>
      <c r="S69" s="19"/>
      <c r="T69"/>
    </row>
    <row r="70" spans="2:20" ht="23.1" customHeight="1" x14ac:dyDescent="0.25">
      <c r="B70" s="45" t="s">
        <v>110</v>
      </c>
      <c r="C70" s="50">
        <v>50</v>
      </c>
      <c r="D70" s="50">
        <v>14</v>
      </c>
      <c r="E70" s="50">
        <v>2</v>
      </c>
      <c r="F70" s="50">
        <v>4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17</v>
      </c>
      <c r="N70" s="50">
        <v>0</v>
      </c>
      <c r="O70" s="17">
        <f t="shared" si="0"/>
        <v>72</v>
      </c>
      <c r="P70" s="17">
        <f t="shared" si="1"/>
        <v>89</v>
      </c>
      <c r="R70" s="19"/>
      <c r="S70" s="19"/>
      <c r="T70"/>
    </row>
    <row r="71" spans="2:20" ht="23.1" customHeight="1" x14ac:dyDescent="0.25">
      <c r="B71" s="45" t="s">
        <v>111</v>
      </c>
      <c r="C71" s="50">
        <v>42</v>
      </c>
      <c r="D71" s="50">
        <v>8</v>
      </c>
      <c r="E71" s="50">
        <v>1</v>
      </c>
      <c r="F71" s="50">
        <v>2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8</v>
      </c>
      <c r="N71" s="50">
        <v>0</v>
      </c>
      <c r="O71" s="17">
        <f t="shared" si="0"/>
        <v>55</v>
      </c>
      <c r="P71" s="17">
        <f t="shared" si="1"/>
        <v>63</v>
      </c>
      <c r="R71" s="19"/>
      <c r="S71" s="19"/>
      <c r="T71"/>
    </row>
    <row r="72" spans="2:20" ht="23.1" customHeight="1" x14ac:dyDescent="0.25">
      <c r="B72" s="45" t="s">
        <v>112</v>
      </c>
      <c r="C72" s="50">
        <v>27</v>
      </c>
      <c r="D72" s="50">
        <v>11</v>
      </c>
      <c r="E72" s="50">
        <v>4</v>
      </c>
      <c r="F72" s="50">
        <v>1</v>
      </c>
      <c r="G72" s="50">
        <v>1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13</v>
      </c>
      <c r="N72" s="50">
        <v>0</v>
      </c>
      <c r="O72" s="17">
        <f t="shared" si="0"/>
        <v>44</v>
      </c>
      <c r="P72" s="17">
        <f t="shared" si="1"/>
        <v>57</v>
      </c>
      <c r="R72" s="19"/>
      <c r="S72" s="19"/>
      <c r="T72"/>
    </row>
    <row r="73" spans="2:20" ht="23.1" customHeight="1" x14ac:dyDescent="0.25">
      <c r="B73" s="45" t="s">
        <v>113</v>
      </c>
      <c r="C73" s="50">
        <v>22</v>
      </c>
      <c r="D73" s="50">
        <v>11</v>
      </c>
      <c r="E73" s="50">
        <v>3</v>
      </c>
      <c r="F73" s="50">
        <v>2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13</v>
      </c>
      <c r="N73" s="50">
        <v>0</v>
      </c>
      <c r="O73" s="17">
        <f t="shared" si="0"/>
        <v>39</v>
      </c>
      <c r="P73" s="17">
        <f t="shared" si="1"/>
        <v>52</v>
      </c>
      <c r="R73" s="19"/>
      <c r="S73" s="19"/>
      <c r="T73"/>
    </row>
    <row r="74" spans="2:20" ht="23.1" customHeight="1" x14ac:dyDescent="0.25">
      <c r="B74" s="45" t="s">
        <v>114</v>
      </c>
      <c r="C74" s="50">
        <v>27</v>
      </c>
      <c r="D74" s="50">
        <v>11</v>
      </c>
      <c r="E74" s="50">
        <v>5</v>
      </c>
      <c r="F74" s="50">
        <v>2</v>
      </c>
      <c r="G74" s="50">
        <v>0</v>
      </c>
      <c r="H74" s="50">
        <v>1</v>
      </c>
      <c r="I74" s="50">
        <v>4</v>
      </c>
      <c r="J74" s="50">
        <v>0</v>
      </c>
      <c r="K74" s="50">
        <v>0</v>
      </c>
      <c r="L74" s="50">
        <v>0</v>
      </c>
      <c r="M74" s="50">
        <v>15</v>
      </c>
      <c r="N74" s="50">
        <v>0</v>
      </c>
      <c r="O74" s="17">
        <f t="shared" ref="O74:O105" si="35">SUM(C74:L74,N74)</f>
        <v>50</v>
      </c>
      <c r="P74" s="17">
        <f t="shared" ref="P74:P105" si="36">SUM(C74:N74)</f>
        <v>65</v>
      </c>
      <c r="R74" s="19"/>
      <c r="S74" s="19"/>
      <c r="T74"/>
    </row>
    <row r="75" spans="2:20" ht="23.1" customHeight="1" x14ac:dyDescent="0.25">
      <c r="B75" s="45" t="s">
        <v>115</v>
      </c>
      <c r="C75" s="50">
        <v>24</v>
      </c>
      <c r="D75" s="50">
        <v>7</v>
      </c>
      <c r="E75" s="50">
        <v>5</v>
      </c>
      <c r="F75" s="50">
        <v>2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8</v>
      </c>
      <c r="N75" s="50">
        <v>0</v>
      </c>
      <c r="O75" s="17">
        <f t="shared" si="35"/>
        <v>39</v>
      </c>
      <c r="P75" s="17">
        <f t="shared" si="36"/>
        <v>47</v>
      </c>
      <c r="R75" s="19"/>
      <c r="S75" s="19"/>
      <c r="T75"/>
    </row>
    <row r="76" spans="2:20" ht="23.1" customHeight="1" x14ac:dyDescent="0.25">
      <c r="B76" s="45" t="s">
        <v>116</v>
      </c>
      <c r="C76" s="50">
        <v>34</v>
      </c>
      <c r="D76" s="50">
        <v>11</v>
      </c>
      <c r="E76" s="50">
        <v>7</v>
      </c>
      <c r="F76" s="50">
        <v>3</v>
      </c>
      <c r="G76" s="50">
        <v>0</v>
      </c>
      <c r="H76" s="50">
        <v>1</v>
      </c>
      <c r="I76" s="50">
        <v>1</v>
      </c>
      <c r="J76" s="50">
        <v>0</v>
      </c>
      <c r="K76" s="50">
        <v>0</v>
      </c>
      <c r="L76" s="50">
        <v>0</v>
      </c>
      <c r="M76" s="50">
        <v>10</v>
      </c>
      <c r="N76" s="50">
        <v>0</v>
      </c>
      <c r="O76" s="17">
        <f t="shared" si="35"/>
        <v>57</v>
      </c>
      <c r="P76" s="17">
        <f t="shared" si="36"/>
        <v>67</v>
      </c>
      <c r="R76" s="19"/>
      <c r="S76" s="19"/>
      <c r="T76"/>
    </row>
    <row r="77" spans="2:20" ht="23.1" customHeight="1" x14ac:dyDescent="0.25">
      <c r="B77" s="45" t="s">
        <v>117</v>
      </c>
      <c r="C77" s="50">
        <v>23</v>
      </c>
      <c r="D77" s="50">
        <v>11</v>
      </c>
      <c r="E77" s="50">
        <v>0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10</v>
      </c>
      <c r="N77" s="50">
        <v>0</v>
      </c>
      <c r="O77" s="17">
        <f t="shared" si="35"/>
        <v>36</v>
      </c>
      <c r="P77" s="17">
        <f t="shared" si="36"/>
        <v>46</v>
      </c>
      <c r="R77" s="19"/>
      <c r="S77" s="19"/>
      <c r="T77"/>
    </row>
    <row r="78" spans="2:20" ht="23.1" customHeight="1" x14ac:dyDescent="0.25">
      <c r="B78" s="46" t="s">
        <v>118</v>
      </c>
      <c r="C78" s="50">
        <v>19</v>
      </c>
      <c r="D78" s="50">
        <v>7</v>
      </c>
      <c r="E78" s="50">
        <v>3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9</v>
      </c>
      <c r="N78" s="50">
        <v>0</v>
      </c>
      <c r="O78" s="17">
        <f t="shared" si="35"/>
        <v>30</v>
      </c>
      <c r="P78" s="17">
        <f t="shared" si="36"/>
        <v>39</v>
      </c>
      <c r="R78" s="19"/>
      <c r="S78" s="19"/>
      <c r="T78"/>
    </row>
    <row r="79" spans="2:20" ht="23.1" customHeight="1" x14ac:dyDescent="0.25">
      <c r="B79" s="45" t="s">
        <v>119</v>
      </c>
      <c r="C79" s="50">
        <v>17</v>
      </c>
      <c r="D79" s="50">
        <v>6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9</v>
      </c>
      <c r="N79" s="50">
        <v>0</v>
      </c>
      <c r="O79" s="17">
        <f t="shared" si="35"/>
        <v>24</v>
      </c>
      <c r="P79" s="17">
        <f t="shared" si="36"/>
        <v>33</v>
      </c>
      <c r="R79" s="19"/>
      <c r="S79" s="19"/>
      <c r="T79"/>
    </row>
    <row r="80" spans="2:20" ht="23.1" customHeight="1" x14ac:dyDescent="0.25">
      <c r="B80" s="47" t="s">
        <v>120</v>
      </c>
      <c r="C80" s="50">
        <v>13</v>
      </c>
      <c r="D80" s="50">
        <v>5</v>
      </c>
      <c r="E80" s="50">
        <v>2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1</v>
      </c>
      <c r="L80" s="50">
        <v>0</v>
      </c>
      <c r="M80" s="50">
        <v>1</v>
      </c>
      <c r="N80" s="50">
        <v>0</v>
      </c>
      <c r="O80" s="17">
        <f t="shared" si="35"/>
        <v>22</v>
      </c>
      <c r="P80" s="17">
        <f t="shared" si="36"/>
        <v>23</v>
      </c>
      <c r="R80" s="19"/>
      <c r="S80" s="19"/>
      <c r="T80"/>
    </row>
    <row r="81" spans="2:20" ht="23.1" customHeight="1" x14ac:dyDescent="0.25">
      <c r="B81" s="45" t="s">
        <v>121</v>
      </c>
      <c r="C81" s="50">
        <v>12</v>
      </c>
      <c r="D81" s="50">
        <v>2</v>
      </c>
      <c r="E81" s="50">
        <v>2</v>
      </c>
      <c r="F81" s="50">
        <v>2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4</v>
      </c>
      <c r="N81" s="50">
        <v>0</v>
      </c>
      <c r="O81" s="17">
        <f t="shared" si="35"/>
        <v>18</v>
      </c>
      <c r="P81" s="17">
        <f t="shared" si="36"/>
        <v>22</v>
      </c>
      <c r="R81" s="19"/>
      <c r="S81" s="19"/>
      <c r="T81"/>
    </row>
    <row r="82" spans="2:20" ht="23.1" customHeight="1" x14ac:dyDescent="0.25">
      <c r="B82" s="46" t="s">
        <v>122</v>
      </c>
      <c r="C82" s="50">
        <v>10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</v>
      </c>
      <c r="N82" s="50">
        <v>0</v>
      </c>
      <c r="O82" s="17">
        <f t="shared" si="35"/>
        <v>11</v>
      </c>
      <c r="P82" s="17">
        <f t="shared" si="36"/>
        <v>14</v>
      </c>
      <c r="R82" s="19"/>
      <c r="S82" s="19"/>
      <c r="T82"/>
    </row>
    <row r="83" spans="2:20" ht="23.1" customHeight="1" x14ac:dyDescent="0.25">
      <c r="B83" s="45" t="s">
        <v>123</v>
      </c>
      <c r="C83" s="50">
        <v>3</v>
      </c>
      <c r="D83" s="50">
        <v>2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7">
        <f t="shared" si="35"/>
        <v>6</v>
      </c>
      <c r="P83" s="17">
        <f t="shared" si="36"/>
        <v>9</v>
      </c>
      <c r="R83" s="19"/>
      <c r="S83" s="19"/>
      <c r="T83"/>
    </row>
    <row r="84" spans="2:20" ht="23.1" customHeight="1" x14ac:dyDescent="0.25">
      <c r="B84" s="47" t="s">
        <v>124</v>
      </c>
      <c r="C84" s="50">
        <v>6</v>
      </c>
      <c r="D84" s="50">
        <v>5</v>
      </c>
      <c r="E84" s="50">
        <v>4</v>
      </c>
      <c r="F84" s="50">
        <v>1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4</v>
      </c>
      <c r="N84" s="50">
        <v>0</v>
      </c>
      <c r="O84" s="17">
        <f t="shared" si="35"/>
        <v>17</v>
      </c>
      <c r="P84" s="17">
        <f t="shared" si="36"/>
        <v>21</v>
      </c>
      <c r="R84" s="19"/>
      <c r="S84" s="19"/>
      <c r="T84"/>
    </row>
    <row r="85" spans="2:20" ht="23.1" customHeight="1" x14ac:dyDescent="0.25">
      <c r="B85" s="45" t="s">
        <v>125</v>
      </c>
      <c r="C85" s="50">
        <v>12</v>
      </c>
      <c r="D85" s="50">
        <v>3</v>
      </c>
      <c r="E85" s="50">
        <v>0</v>
      </c>
      <c r="F85" s="50">
        <v>0</v>
      </c>
      <c r="G85" s="50">
        <v>0</v>
      </c>
      <c r="H85" s="50">
        <v>0</v>
      </c>
      <c r="I85" s="50">
        <v>2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7">
        <f t="shared" si="35"/>
        <v>17</v>
      </c>
      <c r="P85" s="17">
        <f t="shared" si="36"/>
        <v>21</v>
      </c>
      <c r="R85" s="19"/>
      <c r="S85" s="19"/>
      <c r="T85"/>
    </row>
    <row r="86" spans="2:20" ht="23.1" customHeight="1" x14ac:dyDescent="0.25">
      <c r="B86" s="46" t="s">
        <v>126</v>
      </c>
      <c r="C86" s="50">
        <v>2</v>
      </c>
      <c r="D86" s="50">
        <v>4</v>
      </c>
      <c r="E86" s="50">
        <v>0</v>
      </c>
      <c r="F86" s="50">
        <v>0</v>
      </c>
      <c r="G86" s="50">
        <v>1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5</v>
      </c>
      <c r="N86" s="50">
        <v>0</v>
      </c>
      <c r="O86" s="17">
        <f t="shared" si="35"/>
        <v>8</v>
      </c>
      <c r="P86" s="17">
        <f t="shared" si="36"/>
        <v>13</v>
      </c>
      <c r="R86" s="19"/>
      <c r="S86" s="19"/>
      <c r="T86"/>
    </row>
    <row r="87" spans="2:20" ht="23.1" customHeight="1" x14ac:dyDescent="0.25">
      <c r="B87" s="45" t="s">
        <v>127</v>
      </c>
      <c r="C87" s="50">
        <v>1</v>
      </c>
      <c r="D87" s="50">
        <v>3</v>
      </c>
      <c r="E87" s="50">
        <v>1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7">
        <f t="shared" si="35"/>
        <v>6</v>
      </c>
      <c r="P87" s="17">
        <f t="shared" si="36"/>
        <v>7</v>
      </c>
      <c r="R87" s="19"/>
      <c r="S87" s="19"/>
      <c r="T87"/>
    </row>
    <row r="88" spans="2:20" ht="23.1" customHeight="1" x14ac:dyDescent="0.25">
      <c r="B88" s="47" t="s">
        <v>128</v>
      </c>
      <c r="C88" s="50">
        <v>5</v>
      </c>
      <c r="D88" s="50">
        <v>2</v>
      </c>
      <c r="E88" s="50">
        <v>1</v>
      </c>
      <c r="F88" s="50">
        <v>1</v>
      </c>
      <c r="G88" s="50">
        <v>0</v>
      </c>
      <c r="H88" s="50">
        <v>1</v>
      </c>
      <c r="I88" s="50">
        <v>0</v>
      </c>
      <c r="J88" s="50">
        <v>0</v>
      </c>
      <c r="K88" s="50">
        <v>0</v>
      </c>
      <c r="L88" s="50">
        <v>0</v>
      </c>
      <c r="M88" s="50">
        <v>2</v>
      </c>
      <c r="N88" s="50">
        <v>0</v>
      </c>
      <c r="O88" s="17">
        <f t="shared" si="35"/>
        <v>10</v>
      </c>
      <c r="P88" s="17">
        <f t="shared" si="36"/>
        <v>12</v>
      </c>
      <c r="R88" s="19"/>
      <c r="S88" s="19"/>
      <c r="T88"/>
    </row>
    <row r="89" spans="2:20" ht="23.1" customHeight="1" x14ac:dyDescent="0.25">
      <c r="B89" s="45" t="s">
        <v>129</v>
      </c>
      <c r="C89" s="50">
        <v>5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4</v>
      </c>
      <c r="N89" s="50">
        <v>0</v>
      </c>
      <c r="O89" s="17">
        <f t="shared" si="35"/>
        <v>6</v>
      </c>
      <c r="P89" s="17">
        <f t="shared" si="36"/>
        <v>10</v>
      </c>
      <c r="R89" s="19"/>
      <c r="S89" s="19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7">
        <f t="shared" si="35"/>
        <v>2</v>
      </c>
      <c r="P90" s="17">
        <f t="shared" si="36"/>
        <v>3</v>
      </c>
      <c r="R90" s="19"/>
      <c r="S90" s="19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7">
        <f t="shared" si="35"/>
        <v>2</v>
      </c>
      <c r="P91" s="17">
        <f t="shared" si="36"/>
        <v>2</v>
      </c>
      <c r="R91" s="19"/>
      <c r="S91" s="19"/>
      <c r="T91"/>
    </row>
    <row r="92" spans="2:20" ht="23.1" customHeight="1" x14ac:dyDescent="0.25">
      <c r="B92" s="47" t="s">
        <v>132</v>
      </c>
      <c r="C92" s="50">
        <v>3</v>
      </c>
      <c r="D92" s="50">
        <v>3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7">
        <f t="shared" si="35"/>
        <v>7</v>
      </c>
      <c r="P92" s="17">
        <f t="shared" si="36"/>
        <v>8</v>
      </c>
      <c r="R92" s="19"/>
      <c r="S92" s="19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7">
        <f t="shared" si="35"/>
        <v>0</v>
      </c>
      <c r="P93" s="17">
        <f t="shared" si="36"/>
        <v>3</v>
      </c>
      <c r="R93" s="19"/>
      <c r="S93" s="19"/>
      <c r="T93"/>
    </row>
    <row r="94" spans="2:20" ht="23.1" customHeight="1" x14ac:dyDescent="0.25">
      <c r="B94" s="46" t="s">
        <v>134</v>
      </c>
      <c r="C94" s="50">
        <v>2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7">
        <f t="shared" si="35"/>
        <v>3</v>
      </c>
      <c r="P94" s="17">
        <f t="shared" si="36"/>
        <v>5</v>
      </c>
      <c r="R94" s="19"/>
      <c r="S94" s="19"/>
      <c r="T94"/>
    </row>
    <row r="95" spans="2:20" ht="23.1" customHeight="1" x14ac:dyDescent="0.25">
      <c r="B95" s="45" t="s">
        <v>135</v>
      </c>
      <c r="C95" s="50">
        <v>2</v>
      </c>
      <c r="D95" s="50">
        <v>2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7">
        <f t="shared" si="35"/>
        <v>5</v>
      </c>
      <c r="P95" s="17">
        <f t="shared" si="36"/>
        <v>6</v>
      </c>
      <c r="R95" s="19"/>
      <c r="S95" s="19"/>
      <c r="T95"/>
    </row>
    <row r="96" spans="2:20" ht="23.1" customHeight="1" x14ac:dyDescent="0.25">
      <c r="B96" s="47" t="s">
        <v>136</v>
      </c>
      <c r="C96" s="50">
        <v>2</v>
      </c>
      <c r="D96" s="50">
        <v>3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7">
        <f t="shared" si="35"/>
        <v>6</v>
      </c>
      <c r="P96" s="17">
        <f t="shared" si="36"/>
        <v>9</v>
      </c>
      <c r="R96" s="19"/>
      <c r="S96" s="19"/>
      <c r="T96"/>
    </row>
    <row r="97" spans="2:20" ht="23.1" customHeight="1" x14ac:dyDescent="0.25">
      <c r="B97" s="45" t="s">
        <v>137</v>
      </c>
      <c r="C97" s="50">
        <v>6</v>
      </c>
      <c r="D97" s="50">
        <v>3</v>
      </c>
      <c r="E97" s="50">
        <v>1</v>
      </c>
      <c r="F97" s="50">
        <v>1</v>
      </c>
      <c r="G97" s="50">
        <v>0</v>
      </c>
      <c r="H97" s="50">
        <v>0</v>
      </c>
      <c r="I97" s="50">
        <v>2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7">
        <f t="shared" si="35"/>
        <v>13</v>
      </c>
      <c r="P97" s="17">
        <f t="shared" si="36"/>
        <v>14</v>
      </c>
      <c r="R97" s="19"/>
      <c r="S97" s="19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7">
        <f t="shared" si="35"/>
        <v>3</v>
      </c>
      <c r="P98" s="17">
        <f t="shared" si="36"/>
        <v>5</v>
      </c>
      <c r="R98" s="19"/>
      <c r="S98" s="19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7">
        <f t="shared" si="35"/>
        <v>3</v>
      </c>
      <c r="P99" s="17">
        <f t="shared" si="36"/>
        <v>7</v>
      </c>
      <c r="R99" s="19"/>
      <c r="S99" s="19"/>
      <c r="T99"/>
    </row>
    <row r="100" spans="2:20" ht="23.1" customHeight="1" x14ac:dyDescent="0.25">
      <c r="B100" s="47" t="s">
        <v>140</v>
      </c>
      <c r="C100" s="50">
        <v>1</v>
      </c>
      <c r="D100" s="50">
        <v>1</v>
      </c>
      <c r="E100" s="50">
        <v>0</v>
      </c>
      <c r="F100" s="50">
        <v>1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7">
        <f t="shared" si="35"/>
        <v>5</v>
      </c>
      <c r="P100" s="17">
        <f t="shared" si="36"/>
        <v>6</v>
      </c>
      <c r="R100" s="19"/>
      <c r="S100" s="19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0</v>
      </c>
      <c r="F101" s="50">
        <v>1</v>
      </c>
      <c r="G101" s="50">
        <v>1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5</v>
      </c>
      <c r="N101" s="50">
        <v>0</v>
      </c>
      <c r="O101" s="17">
        <f t="shared" si="35"/>
        <v>5</v>
      </c>
      <c r="P101" s="17">
        <f t="shared" si="36"/>
        <v>10</v>
      </c>
      <c r="R101" s="19"/>
      <c r="S101" s="19"/>
      <c r="T101"/>
    </row>
    <row r="102" spans="2:20" ht="23.1" customHeight="1" x14ac:dyDescent="0.25">
      <c r="B102" s="46" t="s">
        <v>142</v>
      </c>
      <c r="C102" s="50">
        <v>7</v>
      </c>
      <c r="D102" s="50">
        <v>1</v>
      </c>
      <c r="E102" s="50">
        <v>1</v>
      </c>
      <c r="F102" s="50">
        <v>1</v>
      </c>
      <c r="G102" s="50">
        <v>0</v>
      </c>
      <c r="H102" s="50">
        <v>0</v>
      </c>
      <c r="I102" s="50">
        <v>3</v>
      </c>
      <c r="J102" s="50">
        <v>0</v>
      </c>
      <c r="K102" s="50">
        <v>0</v>
      </c>
      <c r="L102" s="50">
        <v>0</v>
      </c>
      <c r="M102" s="50">
        <v>9</v>
      </c>
      <c r="N102" s="50">
        <v>0</v>
      </c>
      <c r="O102" s="17">
        <f t="shared" si="35"/>
        <v>13</v>
      </c>
      <c r="P102" s="17">
        <f t="shared" si="36"/>
        <v>22</v>
      </c>
      <c r="R102" s="19"/>
      <c r="S102" s="19"/>
      <c r="T102"/>
    </row>
    <row r="103" spans="2:20" ht="23.1" customHeight="1" x14ac:dyDescent="0.25">
      <c r="B103" s="45" t="s">
        <v>143</v>
      </c>
      <c r="C103" s="50">
        <v>3</v>
      </c>
      <c r="D103" s="50">
        <v>1</v>
      </c>
      <c r="E103" s="50">
        <v>0</v>
      </c>
      <c r="F103" s="50">
        <v>0</v>
      </c>
      <c r="G103" s="50">
        <v>0</v>
      </c>
      <c r="H103" s="50">
        <v>1</v>
      </c>
      <c r="I103" s="50">
        <v>0</v>
      </c>
      <c r="J103" s="50">
        <v>0</v>
      </c>
      <c r="K103" s="50">
        <v>0</v>
      </c>
      <c r="L103" s="50">
        <v>0</v>
      </c>
      <c r="M103" s="50">
        <v>7</v>
      </c>
      <c r="N103" s="50">
        <v>0</v>
      </c>
      <c r="O103" s="17">
        <f t="shared" si="35"/>
        <v>5</v>
      </c>
      <c r="P103" s="17">
        <f t="shared" si="36"/>
        <v>12</v>
      </c>
      <c r="R103" s="19"/>
      <c r="S103" s="19"/>
      <c r="T103"/>
    </row>
    <row r="104" spans="2:20" ht="23.1" customHeight="1" x14ac:dyDescent="0.25">
      <c r="B104" s="47" t="s">
        <v>144</v>
      </c>
      <c r="C104" s="50">
        <v>2</v>
      </c>
      <c r="D104" s="50">
        <v>3</v>
      </c>
      <c r="E104" s="50">
        <v>1</v>
      </c>
      <c r="F104" s="50">
        <v>2</v>
      </c>
      <c r="G104" s="50">
        <v>1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24</v>
      </c>
      <c r="N104" s="50">
        <v>0</v>
      </c>
      <c r="O104" s="17">
        <f t="shared" si="35"/>
        <v>10</v>
      </c>
      <c r="P104" s="17">
        <f t="shared" si="36"/>
        <v>34</v>
      </c>
      <c r="R104" s="19"/>
      <c r="S104" s="19"/>
      <c r="T104"/>
    </row>
    <row r="105" spans="2:20" ht="23.1" customHeight="1" x14ac:dyDescent="0.25">
      <c r="B105" s="45" t="s">
        <v>145</v>
      </c>
      <c r="C105" s="50">
        <v>6</v>
      </c>
      <c r="D105" s="50">
        <v>2</v>
      </c>
      <c r="E105" s="50">
        <v>0</v>
      </c>
      <c r="F105" s="50">
        <v>1</v>
      </c>
      <c r="G105" s="50">
        <v>0</v>
      </c>
      <c r="H105" s="50">
        <v>1</v>
      </c>
      <c r="I105" s="50">
        <v>0</v>
      </c>
      <c r="J105" s="50">
        <v>1</v>
      </c>
      <c r="K105" s="50">
        <v>0</v>
      </c>
      <c r="L105" s="50">
        <v>0</v>
      </c>
      <c r="M105" s="50">
        <v>18</v>
      </c>
      <c r="N105" s="50">
        <v>0</v>
      </c>
      <c r="O105" s="17">
        <f t="shared" si="35"/>
        <v>11</v>
      </c>
      <c r="P105" s="17">
        <f t="shared" si="36"/>
        <v>29</v>
      </c>
      <c r="R105" s="19"/>
      <c r="S105" s="19"/>
      <c r="T105"/>
    </row>
    <row r="106" spans="2:20" ht="23.1" customHeight="1" x14ac:dyDescent="0.25">
      <c r="B106" s="53" t="s">
        <v>18</v>
      </c>
      <c r="C106" s="16">
        <f>SUM(C10:C105)</f>
        <v>2658</v>
      </c>
      <c r="D106" s="16">
        <f t="shared" ref="D106:P106" si="37">SUM(D10:D105)</f>
        <v>809</v>
      </c>
      <c r="E106" s="16">
        <f t="shared" si="37"/>
        <v>280</v>
      </c>
      <c r="F106" s="16">
        <f t="shared" si="37"/>
        <v>139</v>
      </c>
      <c r="G106" s="16">
        <f t="shared" si="37"/>
        <v>18</v>
      </c>
      <c r="H106" s="16">
        <f t="shared" si="37"/>
        <v>16</v>
      </c>
      <c r="I106" s="16">
        <f t="shared" si="37"/>
        <v>254</v>
      </c>
      <c r="J106" s="16">
        <f t="shared" si="37"/>
        <v>24</v>
      </c>
      <c r="K106" s="16">
        <f t="shared" si="37"/>
        <v>16</v>
      </c>
      <c r="L106" s="16">
        <f t="shared" si="37"/>
        <v>2</v>
      </c>
      <c r="M106" s="16">
        <f t="shared" si="37"/>
        <v>2351</v>
      </c>
      <c r="N106" s="16">
        <f t="shared" si="37"/>
        <v>0</v>
      </c>
      <c r="O106" s="16">
        <f t="shared" si="37"/>
        <v>4216</v>
      </c>
      <c r="P106" s="16">
        <f t="shared" si="37"/>
        <v>6567</v>
      </c>
      <c r="R106" s="19"/>
      <c r="S106" s="19"/>
      <c r="T106"/>
    </row>
    <row r="107" spans="2:20" ht="23.1" customHeight="1" x14ac:dyDescent="0.25">
      <c r="B107" s="53" t="s">
        <v>93</v>
      </c>
      <c r="C107" s="43">
        <f t="shared" ref="C107:N107" si="38">C106/$P$106</f>
        <v>0.40475102786660577</v>
      </c>
      <c r="D107" s="43">
        <f t="shared" si="38"/>
        <v>0.12319171615654027</v>
      </c>
      <c r="E107" s="43">
        <f t="shared" si="38"/>
        <v>4.2637429572102939E-2</v>
      </c>
      <c r="F107" s="43">
        <f t="shared" si="38"/>
        <v>2.1166438251865389E-2</v>
      </c>
      <c r="G107" s="43">
        <f t="shared" si="38"/>
        <v>2.7409776153494748E-3</v>
      </c>
      <c r="H107" s="43">
        <f t="shared" si="38"/>
        <v>2.4364245469773106E-3</v>
      </c>
      <c r="I107" s="43">
        <f t="shared" si="38"/>
        <v>3.8678239683264809E-2</v>
      </c>
      <c r="J107" s="43">
        <f t="shared" si="38"/>
        <v>3.6546368204659662E-3</v>
      </c>
      <c r="K107" s="43">
        <f t="shared" si="38"/>
        <v>2.4364245469773106E-3</v>
      </c>
      <c r="L107" s="43">
        <f t="shared" si="38"/>
        <v>3.0455306837216383E-4</v>
      </c>
      <c r="M107" s="43">
        <f t="shared" si="38"/>
        <v>0.35800213187147861</v>
      </c>
      <c r="N107" s="43">
        <f t="shared" si="38"/>
        <v>0</v>
      </c>
      <c r="R107" s="19"/>
      <c r="S107" s="19"/>
      <c r="T107"/>
    </row>
    <row r="108" spans="2:20" ht="23.1" customHeight="1" x14ac:dyDescent="0.25">
      <c r="B108" s="54" t="s">
        <v>94</v>
      </c>
      <c r="C108" s="44">
        <f>C106/$O$106</f>
        <v>0.6304554079696395</v>
      </c>
      <c r="D108" s="44">
        <f t="shared" ref="D108:N108" si="39">D106/$O$106</f>
        <v>0.19188804554079697</v>
      </c>
      <c r="E108" s="44">
        <f t="shared" si="39"/>
        <v>6.6413662239089177E-2</v>
      </c>
      <c r="F108" s="44">
        <f t="shared" si="39"/>
        <v>3.2969639468690699E-2</v>
      </c>
      <c r="G108" s="44">
        <f t="shared" si="39"/>
        <v>4.2694497153700191E-3</v>
      </c>
      <c r="H108" s="44">
        <f t="shared" si="39"/>
        <v>3.7950664136622392E-3</v>
      </c>
      <c r="I108" s="44">
        <f t="shared" si="39"/>
        <v>6.0246679316888048E-2</v>
      </c>
      <c r="J108" s="44">
        <f t="shared" si="39"/>
        <v>5.6925996204933585E-3</v>
      </c>
      <c r="K108" s="44">
        <f t="shared" si="39"/>
        <v>3.7950664136622392E-3</v>
      </c>
      <c r="L108" s="44">
        <f t="shared" si="39"/>
        <v>4.743833017077799E-4</v>
      </c>
      <c r="M108" s="44"/>
      <c r="N108" s="44">
        <f t="shared" si="39"/>
        <v>0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19"/>
      <c r="T121" s="19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7" customFormat="1" ht="23.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19"/>
      <c r="T122" s="19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7" customFormat="1" ht="23.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19"/>
      <c r="T123" s="19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7" customFormat="1" ht="23.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19"/>
      <c r="T124" s="19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1:32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1:32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1:32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topLeftCell="A34" zoomScale="60" workbookViewId="0">
      <selection activeCell="P6" sqref="P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3" t="str">
        <f>'[2]23.09.19 Kajansi -Bweya'!C3:G3</f>
        <v>MCC-C2-STNO 56 -Munyonyo spur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tr">
        <f>'[2]29.09 Bweya-Kajansi'!D5</f>
        <v>29.09.19</v>
      </c>
      <c r="F5" s="41" t="s">
        <v>1</v>
      </c>
      <c r="G5" s="71" t="str">
        <f>'[2]29.09 Bweya-Kajansi'!G5:H5</f>
        <v>Munyonyo Spur RD</v>
      </c>
      <c r="H5" s="72"/>
      <c r="I5" s="14"/>
      <c r="J5" s="2" t="s">
        <v>5</v>
      </c>
      <c r="K5" s="71" t="str">
        <f>'[2]29.09 Bweya-Kajansi'!K5:L5</f>
        <v>Akello Rosette / Kasoma John Paul</v>
      </c>
      <c r="L5" s="72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1" t="str">
        <f>'[2]23.09.19 Kajansi -Bweya'!D6:E6</f>
        <v>KAJANSI</v>
      </c>
      <c r="E6" s="72"/>
      <c r="F6" s="2" t="s">
        <v>2</v>
      </c>
      <c r="G6" s="71" t="str">
        <f>'[2]23.09.19 Kajansi -Bweya'!G6:H6</f>
        <v>BWEYA</v>
      </c>
      <c r="H6" s="72"/>
      <c r="J6" s="2" t="s">
        <v>21</v>
      </c>
      <c r="K6" s="71" t="str">
        <f>'[2]29.09 Bweya-Kajansi'!K6:L6</f>
        <v>Beatrice</v>
      </c>
      <c r="L6" s="72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7">
        <f t="shared" ref="O10:O57" si="0">SUM(C10:L10,N10)</f>
        <v>5</v>
      </c>
      <c r="P10" s="17">
        <f t="shared" ref="P10:P57" si="1">SUM(C10:N10)</f>
        <v>14</v>
      </c>
      <c r="R10" s="1" t="s">
        <v>6</v>
      </c>
      <c r="S10" s="17">
        <f t="shared" ref="S10:AF10" si="2">SUM(C10:C13)</f>
        <v>50</v>
      </c>
      <c r="T10" s="17">
        <f t="shared" si="2"/>
        <v>2</v>
      </c>
      <c r="U10" s="17">
        <f t="shared" si="2"/>
        <v>5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3</v>
      </c>
      <c r="AA10" s="17">
        <f t="shared" si="2"/>
        <v>2</v>
      </c>
      <c r="AB10" s="17">
        <f t="shared" si="2"/>
        <v>0</v>
      </c>
      <c r="AC10" s="17">
        <f t="shared" si="2"/>
        <v>92</v>
      </c>
      <c r="AD10" s="17">
        <f t="shared" si="2"/>
        <v>0</v>
      </c>
      <c r="AE10" s="31">
        <f t="shared" si="2"/>
        <v>70</v>
      </c>
      <c r="AF10" s="31">
        <f t="shared" si="2"/>
        <v>162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26</v>
      </c>
      <c r="N11" s="50">
        <v>0</v>
      </c>
      <c r="O11" s="17">
        <f t="shared" si="0"/>
        <v>19</v>
      </c>
      <c r="P11" s="17">
        <f t="shared" si="1"/>
        <v>45</v>
      </c>
      <c r="R11" s="1" t="s">
        <v>7</v>
      </c>
      <c r="S11" s="17">
        <f t="shared" ref="S11:AF11" si="3">SUM(C14:C17)</f>
        <v>49</v>
      </c>
      <c r="T11" s="17">
        <f t="shared" si="3"/>
        <v>3</v>
      </c>
      <c r="U11" s="17">
        <f t="shared" si="3"/>
        <v>11</v>
      </c>
      <c r="V11" s="17">
        <f t="shared" si="3"/>
        <v>6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94</v>
      </c>
      <c r="AD11" s="17">
        <f t="shared" si="3"/>
        <v>0</v>
      </c>
      <c r="AE11" s="31">
        <f t="shared" si="3"/>
        <v>80</v>
      </c>
      <c r="AF11" s="31">
        <f t="shared" si="3"/>
        <v>174</v>
      </c>
    </row>
    <row r="12" spans="2:32" ht="23.1" customHeight="1" x14ac:dyDescent="0.25">
      <c r="B12" s="23" t="s">
        <v>39</v>
      </c>
      <c r="C12" s="50">
        <v>6</v>
      </c>
      <c r="D12" s="50">
        <v>1</v>
      </c>
      <c r="E12" s="50">
        <v>2</v>
      </c>
      <c r="F12" s="50">
        <v>1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25</v>
      </c>
      <c r="N12" s="50">
        <v>0</v>
      </c>
      <c r="O12" s="17">
        <f t="shared" si="0"/>
        <v>13</v>
      </c>
      <c r="P12" s="17">
        <f t="shared" si="1"/>
        <v>38</v>
      </c>
      <c r="R12" s="1" t="s">
        <v>8</v>
      </c>
      <c r="S12" s="17">
        <f t="shared" ref="S12:AF12" si="4">SUM(C18:C21)</f>
        <v>73</v>
      </c>
      <c r="T12" s="17">
        <f t="shared" si="4"/>
        <v>17</v>
      </c>
      <c r="U12" s="17">
        <f t="shared" si="4"/>
        <v>13</v>
      </c>
      <c r="V12" s="17">
        <f t="shared" si="4"/>
        <v>8</v>
      </c>
      <c r="W12" s="17">
        <f t="shared" si="4"/>
        <v>1</v>
      </c>
      <c r="X12" s="17">
        <f t="shared" si="4"/>
        <v>0</v>
      </c>
      <c r="Y12" s="17">
        <f t="shared" si="4"/>
        <v>12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130</v>
      </c>
      <c r="AD12" s="17">
        <f t="shared" si="4"/>
        <v>0</v>
      </c>
      <c r="AE12" s="31">
        <f t="shared" si="4"/>
        <v>127</v>
      </c>
      <c r="AF12" s="31">
        <f t="shared" si="4"/>
        <v>257</v>
      </c>
    </row>
    <row r="13" spans="2:32" ht="23.1" customHeight="1" x14ac:dyDescent="0.25">
      <c r="B13" s="23" t="s">
        <v>40</v>
      </c>
      <c r="C13" s="50">
        <v>24</v>
      </c>
      <c r="D13" s="50">
        <v>1</v>
      </c>
      <c r="E13" s="50">
        <v>1</v>
      </c>
      <c r="F13" s="50">
        <v>2</v>
      </c>
      <c r="G13" s="50">
        <v>0</v>
      </c>
      <c r="H13" s="50">
        <v>0</v>
      </c>
      <c r="I13" s="50">
        <v>1</v>
      </c>
      <c r="J13" s="50">
        <v>2</v>
      </c>
      <c r="K13" s="50">
        <v>2</v>
      </c>
      <c r="L13" s="50">
        <v>0</v>
      </c>
      <c r="M13" s="50">
        <v>32</v>
      </c>
      <c r="N13" s="50">
        <v>0</v>
      </c>
      <c r="O13" s="17">
        <f t="shared" si="0"/>
        <v>33</v>
      </c>
      <c r="P13" s="17">
        <f t="shared" si="1"/>
        <v>65</v>
      </c>
      <c r="R13" s="1" t="s">
        <v>9</v>
      </c>
      <c r="S13" s="17">
        <f t="shared" ref="S13:AF13" si="5">SUM(C22:C25)</f>
        <v>91</v>
      </c>
      <c r="T13" s="17">
        <f t="shared" si="5"/>
        <v>20</v>
      </c>
      <c r="U13" s="17">
        <f t="shared" si="5"/>
        <v>8</v>
      </c>
      <c r="V13" s="17">
        <f t="shared" si="5"/>
        <v>4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5</v>
      </c>
      <c r="AA13" s="17">
        <f t="shared" si="5"/>
        <v>1</v>
      </c>
      <c r="AB13" s="17">
        <f t="shared" si="5"/>
        <v>0</v>
      </c>
      <c r="AC13" s="17">
        <f t="shared" si="5"/>
        <v>77</v>
      </c>
      <c r="AD13" s="17">
        <f t="shared" si="5"/>
        <v>0</v>
      </c>
      <c r="AE13" s="31">
        <f t="shared" si="5"/>
        <v>140</v>
      </c>
      <c r="AF13" s="31">
        <f t="shared" si="5"/>
        <v>217</v>
      </c>
    </row>
    <row r="14" spans="2:32" ht="23.1" customHeight="1" x14ac:dyDescent="0.25">
      <c r="B14" s="23" t="s">
        <v>41</v>
      </c>
      <c r="C14" s="50">
        <v>8</v>
      </c>
      <c r="D14" s="50">
        <v>0</v>
      </c>
      <c r="E14" s="50">
        <v>3</v>
      </c>
      <c r="F14" s="50">
        <v>2</v>
      </c>
      <c r="G14" s="50">
        <v>1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20</v>
      </c>
      <c r="N14" s="50">
        <v>0</v>
      </c>
      <c r="O14" s="17">
        <f t="shared" si="0"/>
        <v>16</v>
      </c>
      <c r="P14" s="17">
        <f t="shared" si="1"/>
        <v>36</v>
      </c>
      <c r="R14" s="1" t="s">
        <v>10</v>
      </c>
      <c r="S14" s="17">
        <f t="shared" ref="S14:AF14" si="6">SUM(C26:C29)</f>
        <v>112</v>
      </c>
      <c r="T14" s="17">
        <f t="shared" si="6"/>
        <v>10</v>
      </c>
      <c r="U14" s="17">
        <f t="shared" si="6"/>
        <v>5</v>
      </c>
      <c r="V14" s="17">
        <f t="shared" si="6"/>
        <v>1</v>
      </c>
      <c r="W14" s="17">
        <f t="shared" si="6"/>
        <v>2</v>
      </c>
      <c r="X14" s="17">
        <f t="shared" si="6"/>
        <v>0</v>
      </c>
      <c r="Y14" s="17">
        <f t="shared" si="6"/>
        <v>11</v>
      </c>
      <c r="Z14" s="17">
        <f t="shared" si="6"/>
        <v>3</v>
      </c>
      <c r="AA14" s="17">
        <f t="shared" si="6"/>
        <v>4</v>
      </c>
      <c r="AB14" s="17">
        <f t="shared" si="6"/>
        <v>0</v>
      </c>
      <c r="AC14" s="17">
        <f t="shared" si="6"/>
        <v>129</v>
      </c>
      <c r="AD14" s="17">
        <f t="shared" si="6"/>
        <v>0</v>
      </c>
      <c r="AE14" s="31">
        <f t="shared" si="6"/>
        <v>148</v>
      </c>
      <c r="AF14" s="31">
        <f t="shared" si="6"/>
        <v>277</v>
      </c>
    </row>
    <row r="15" spans="2:32" ht="23.1" customHeight="1" x14ac:dyDescent="0.25">
      <c r="B15" s="23" t="s">
        <v>42</v>
      </c>
      <c r="C15" s="50">
        <v>8</v>
      </c>
      <c r="D15" s="50">
        <v>1</v>
      </c>
      <c r="E15" s="50">
        <v>1</v>
      </c>
      <c r="F15" s="50">
        <v>2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7">
        <f t="shared" si="0"/>
        <v>15</v>
      </c>
      <c r="P15" s="17">
        <f t="shared" si="1"/>
        <v>23</v>
      </c>
      <c r="R15" s="1" t="s">
        <v>11</v>
      </c>
      <c r="S15" s="17">
        <f t="shared" ref="S15:AF15" si="7">SUM(C30:C33)</f>
        <v>153</v>
      </c>
      <c r="T15" s="17">
        <f t="shared" si="7"/>
        <v>10</v>
      </c>
      <c r="U15" s="17">
        <f t="shared" si="7"/>
        <v>6</v>
      </c>
      <c r="V15" s="17">
        <f t="shared" si="7"/>
        <v>1</v>
      </c>
      <c r="W15" s="17">
        <f t="shared" si="7"/>
        <v>2</v>
      </c>
      <c r="X15" s="17">
        <f t="shared" si="7"/>
        <v>0</v>
      </c>
      <c r="Y15" s="17">
        <f t="shared" si="7"/>
        <v>11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61</v>
      </c>
      <c r="AD15" s="17">
        <f t="shared" si="7"/>
        <v>0</v>
      </c>
      <c r="AE15" s="31">
        <f t="shared" si="7"/>
        <v>187</v>
      </c>
      <c r="AF15" s="31">
        <f t="shared" si="7"/>
        <v>248</v>
      </c>
    </row>
    <row r="16" spans="2:32" ht="23.1" customHeight="1" x14ac:dyDescent="0.25">
      <c r="B16" s="23" t="s">
        <v>43</v>
      </c>
      <c r="C16" s="50">
        <v>14</v>
      </c>
      <c r="D16" s="50">
        <v>2</v>
      </c>
      <c r="E16" s="50">
        <v>4</v>
      </c>
      <c r="F16" s="50">
        <v>1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35</v>
      </c>
      <c r="N16" s="50">
        <v>0</v>
      </c>
      <c r="O16" s="17">
        <f t="shared" si="0"/>
        <v>23</v>
      </c>
      <c r="P16" s="17">
        <f t="shared" si="1"/>
        <v>58</v>
      </c>
      <c r="R16" s="1" t="s">
        <v>12</v>
      </c>
      <c r="S16" s="17">
        <f t="shared" ref="S16:AF16" si="8">SUM(C34:C37)</f>
        <v>175</v>
      </c>
      <c r="T16" s="17">
        <f t="shared" si="8"/>
        <v>21</v>
      </c>
      <c r="U16" s="17">
        <f t="shared" si="8"/>
        <v>18</v>
      </c>
      <c r="V16" s="17">
        <f t="shared" si="8"/>
        <v>2</v>
      </c>
      <c r="W16" s="17">
        <f t="shared" si="8"/>
        <v>3</v>
      </c>
      <c r="X16" s="17">
        <f t="shared" si="8"/>
        <v>1</v>
      </c>
      <c r="Y16" s="17">
        <f t="shared" si="8"/>
        <v>15</v>
      </c>
      <c r="Z16" s="17">
        <f t="shared" si="8"/>
        <v>4</v>
      </c>
      <c r="AA16" s="17">
        <f t="shared" si="8"/>
        <v>2</v>
      </c>
      <c r="AB16" s="17">
        <f t="shared" si="8"/>
        <v>0</v>
      </c>
      <c r="AC16" s="17">
        <f t="shared" si="8"/>
        <v>84</v>
      </c>
      <c r="AD16" s="17">
        <f t="shared" si="8"/>
        <v>0</v>
      </c>
      <c r="AE16" s="31">
        <f t="shared" si="8"/>
        <v>241</v>
      </c>
      <c r="AF16" s="31">
        <f t="shared" si="8"/>
        <v>325</v>
      </c>
    </row>
    <row r="17" spans="2:32" ht="23.1" customHeight="1" x14ac:dyDescent="0.25">
      <c r="B17" s="23" t="s">
        <v>44</v>
      </c>
      <c r="C17" s="50">
        <v>19</v>
      </c>
      <c r="D17" s="50">
        <v>0</v>
      </c>
      <c r="E17" s="50">
        <v>3</v>
      </c>
      <c r="F17" s="50">
        <v>1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31</v>
      </c>
      <c r="N17" s="50">
        <v>0</v>
      </c>
      <c r="O17" s="17">
        <f t="shared" si="0"/>
        <v>26</v>
      </c>
      <c r="P17" s="17">
        <f t="shared" si="1"/>
        <v>57</v>
      </c>
      <c r="R17" s="1" t="s">
        <v>13</v>
      </c>
      <c r="S17" s="17">
        <f t="shared" ref="S17:AF17" si="9">SUM(C38:C41)</f>
        <v>224</v>
      </c>
      <c r="T17" s="17">
        <f t="shared" si="9"/>
        <v>28</v>
      </c>
      <c r="U17" s="17">
        <f t="shared" si="9"/>
        <v>16</v>
      </c>
      <c r="V17" s="17">
        <f t="shared" si="9"/>
        <v>9</v>
      </c>
      <c r="W17" s="17">
        <f t="shared" si="9"/>
        <v>2</v>
      </c>
      <c r="X17" s="17">
        <f t="shared" si="9"/>
        <v>0</v>
      </c>
      <c r="Y17" s="17">
        <f t="shared" si="9"/>
        <v>7</v>
      </c>
      <c r="Z17" s="17">
        <f t="shared" si="9"/>
        <v>6</v>
      </c>
      <c r="AA17" s="17">
        <f t="shared" si="9"/>
        <v>1</v>
      </c>
      <c r="AB17" s="17">
        <f t="shared" si="9"/>
        <v>0</v>
      </c>
      <c r="AC17" s="17">
        <f t="shared" si="9"/>
        <v>130</v>
      </c>
      <c r="AD17" s="17">
        <f t="shared" si="9"/>
        <v>0</v>
      </c>
      <c r="AE17" s="31">
        <f t="shared" si="9"/>
        <v>293</v>
      </c>
      <c r="AF17" s="31">
        <f t="shared" si="9"/>
        <v>423</v>
      </c>
    </row>
    <row r="18" spans="2:32" ht="23.1" customHeight="1" x14ac:dyDescent="0.25">
      <c r="B18" s="23" t="s">
        <v>45</v>
      </c>
      <c r="C18" s="50">
        <v>11</v>
      </c>
      <c r="D18" s="50">
        <v>5</v>
      </c>
      <c r="E18" s="50">
        <v>1</v>
      </c>
      <c r="F18" s="50">
        <v>1</v>
      </c>
      <c r="G18" s="50">
        <v>0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32</v>
      </c>
      <c r="N18" s="50">
        <v>0</v>
      </c>
      <c r="O18" s="17">
        <f t="shared" si="0"/>
        <v>23</v>
      </c>
      <c r="P18" s="17">
        <f t="shared" si="1"/>
        <v>55</v>
      </c>
      <c r="R18" s="1" t="s">
        <v>14</v>
      </c>
      <c r="S18" s="17">
        <f t="shared" ref="S18:AF18" si="10">SUM(C42:C45)</f>
        <v>260</v>
      </c>
      <c r="T18" s="17">
        <f t="shared" si="10"/>
        <v>21</v>
      </c>
      <c r="U18" s="17">
        <f t="shared" si="10"/>
        <v>27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12</v>
      </c>
      <c r="AA18" s="17">
        <f t="shared" si="10"/>
        <v>2</v>
      </c>
      <c r="AB18" s="17">
        <f t="shared" si="10"/>
        <v>0</v>
      </c>
      <c r="AC18" s="17">
        <f t="shared" si="10"/>
        <v>148</v>
      </c>
      <c r="AD18" s="17">
        <f t="shared" si="10"/>
        <v>0</v>
      </c>
      <c r="AE18" s="31">
        <f t="shared" si="10"/>
        <v>334</v>
      </c>
      <c r="AF18" s="31">
        <f t="shared" si="10"/>
        <v>482</v>
      </c>
    </row>
    <row r="19" spans="2:32" ht="23.1" customHeight="1" x14ac:dyDescent="0.25">
      <c r="B19" s="23" t="s">
        <v>46</v>
      </c>
      <c r="C19" s="50">
        <v>23</v>
      </c>
      <c r="D19" s="50">
        <v>5</v>
      </c>
      <c r="E19" s="50">
        <v>5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1</v>
      </c>
      <c r="L19" s="50">
        <v>0</v>
      </c>
      <c r="M19" s="50">
        <v>41</v>
      </c>
      <c r="N19" s="50">
        <v>0</v>
      </c>
      <c r="O19" s="17">
        <f t="shared" si="0"/>
        <v>38</v>
      </c>
      <c r="P19" s="17">
        <f t="shared" si="1"/>
        <v>79</v>
      </c>
      <c r="R19" s="1" t="s">
        <v>15</v>
      </c>
      <c r="S19" s="17">
        <f t="shared" ref="S19:AF19" si="11">SUM(C46:C49)</f>
        <v>239</v>
      </c>
      <c r="T19" s="17">
        <f t="shared" si="11"/>
        <v>35</v>
      </c>
      <c r="U19" s="17">
        <f t="shared" si="11"/>
        <v>26</v>
      </c>
      <c r="V19" s="17">
        <f t="shared" si="11"/>
        <v>12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13</v>
      </c>
      <c r="AA19" s="17">
        <f t="shared" si="11"/>
        <v>0</v>
      </c>
      <c r="AB19" s="17">
        <f t="shared" si="11"/>
        <v>0</v>
      </c>
      <c r="AC19" s="17">
        <f t="shared" si="11"/>
        <v>135</v>
      </c>
      <c r="AD19" s="17">
        <f t="shared" si="11"/>
        <v>0</v>
      </c>
      <c r="AE19" s="31">
        <f t="shared" si="11"/>
        <v>337</v>
      </c>
      <c r="AF19" s="31">
        <f t="shared" si="11"/>
        <v>472</v>
      </c>
    </row>
    <row r="20" spans="2:32" ht="23.1" customHeight="1" x14ac:dyDescent="0.25">
      <c r="B20" s="23" t="s">
        <v>47</v>
      </c>
      <c r="C20" s="50">
        <v>22</v>
      </c>
      <c r="D20" s="50">
        <v>3</v>
      </c>
      <c r="E20" s="50">
        <v>4</v>
      </c>
      <c r="F20" s="50">
        <v>1</v>
      </c>
      <c r="G20" s="50">
        <v>0</v>
      </c>
      <c r="H20" s="50">
        <v>0</v>
      </c>
      <c r="I20" s="50">
        <v>2</v>
      </c>
      <c r="J20" s="50">
        <v>1</v>
      </c>
      <c r="K20" s="50">
        <v>0</v>
      </c>
      <c r="L20" s="50">
        <v>0</v>
      </c>
      <c r="M20" s="50">
        <v>27</v>
      </c>
      <c r="N20" s="50">
        <v>0</v>
      </c>
      <c r="O20" s="17">
        <f t="shared" si="0"/>
        <v>33</v>
      </c>
      <c r="P20" s="17">
        <f t="shared" si="1"/>
        <v>60</v>
      </c>
      <c r="R20" s="1" t="s">
        <v>16</v>
      </c>
      <c r="S20" s="17">
        <f t="shared" ref="S20:AF20" si="12">SUM(C50:C53)</f>
        <v>293</v>
      </c>
      <c r="T20" s="17">
        <f t="shared" si="12"/>
        <v>25</v>
      </c>
      <c r="U20" s="17">
        <f t="shared" si="12"/>
        <v>21</v>
      </c>
      <c r="V20" s="17">
        <f t="shared" si="12"/>
        <v>13</v>
      </c>
      <c r="W20" s="17">
        <f t="shared" si="12"/>
        <v>3</v>
      </c>
      <c r="X20" s="17">
        <f t="shared" si="12"/>
        <v>1</v>
      </c>
      <c r="Y20" s="17">
        <f t="shared" si="12"/>
        <v>14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178</v>
      </c>
      <c r="AD20" s="17">
        <f t="shared" si="12"/>
        <v>0</v>
      </c>
      <c r="AE20" s="31">
        <f t="shared" si="12"/>
        <v>374</v>
      </c>
      <c r="AF20" s="31">
        <f t="shared" si="12"/>
        <v>552</v>
      </c>
    </row>
    <row r="21" spans="2:32" ht="23.1" customHeight="1" x14ac:dyDescent="0.25">
      <c r="B21" s="23" t="s">
        <v>48</v>
      </c>
      <c r="C21" s="50">
        <v>17</v>
      </c>
      <c r="D21" s="50">
        <v>4</v>
      </c>
      <c r="E21" s="50">
        <v>3</v>
      </c>
      <c r="F21" s="50">
        <v>3</v>
      </c>
      <c r="G21" s="50">
        <v>1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30</v>
      </c>
      <c r="N21" s="50">
        <v>0</v>
      </c>
      <c r="O21" s="17">
        <f t="shared" si="0"/>
        <v>33</v>
      </c>
      <c r="P21" s="17">
        <f t="shared" si="1"/>
        <v>63</v>
      </c>
      <c r="R21" s="36" t="s">
        <v>20</v>
      </c>
      <c r="S21" s="34">
        <f t="shared" ref="S21:AF21" si="13">SUM(C54:C57)</f>
        <v>373</v>
      </c>
      <c r="T21" s="17">
        <f t="shared" si="13"/>
        <v>23</v>
      </c>
      <c r="U21" s="17">
        <f t="shared" si="13"/>
        <v>25</v>
      </c>
      <c r="V21" s="17">
        <f t="shared" si="13"/>
        <v>7</v>
      </c>
      <c r="W21" s="17">
        <f t="shared" si="13"/>
        <v>2</v>
      </c>
      <c r="X21" s="17">
        <f t="shared" si="13"/>
        <v>0</v>
      </c>
      <c r="Y21" s="17">
        <f t="shared" si="13"/>
        <v>8</v>
      </c>
      <c r="Z21" s="17">
        <f t="shared" si="13"/>
        <v>8</v>
      </c>
      <c r="AA21" s="17">
        <f t="shared" si="13"/>
        <v>2</v>
      </c>
      <c r="AB21" s="17">
        <f t="shared" si="13"/>
        <v>0</v>
      </c>
      <c r="AC21" s="17">
        <f t="shared" si="13"/>
        <v>158</v>
      </c>
      <c r="AD21" s="17">
        <f t="shared" si="13"/>
        <v>0</v>
      </c>
      <c r="AE21" s="31">
        <f t="shared" si="13"/>
        <v>448</v>
      </c>
      <c r="AF21" s="31">
        <f t="shared" si="13"/>
        <v>606</v>
      </c>
    </row>
    <row r="22" spans="2:32" ht="23.1" customHeight="1" x14ac:dyDescent="0.25">
      <c r="B22" s="23" t="s">
        <v>49</v>
      </c>
      <c r="C22" s="50">
        <v>22</v>
      </c>
      <c r="D22" s="50">
        <v>7</v>
      </c>
      <c r="E22" s="50">
        <v>1</v>
      </c>
      <c r="F22" s="50">
        <v>1</v>
      </c>
      <c r="G22" s="50">
        <v>0</v>
      </c>
      <c r="H22" s="50">
        <v>0</v>
      </c>
      <c r="I22" s="50">
        <v>2</v>
      </c>
      <c r="J22" s="50">
        <v>1</v>
      </c>
      <c r="K22" s="50">
        <v>1</v>
      </c>
      <c r="L22" s="50">
        <v>0</v>
      </c>
      <c r="M22" s="50">
        <v>23</v>
      </c>
      <c r="N22" s="50">
        <v>0</v>
      </c>
      <c r="O22" s="17">
        <f t="shared" si="0"/>
        <v>35</v>
      </c>
      <c r="P22" s="17">
        <f t="shared" si="1"/>
        <v>58</v>
      </c>
      <c r="R22" s="51" t="s">
        <v>90</v>
      </c>
      <c r="S22" s="52">
        <f>MAX(S10:S12)</f>
        <v>73</v>
      </c>
      <c r="T22" s="52">
        <f t="shared" ref="T22:AF22" si="14">MAX(T10:T12)</f>
        <v>17</v>
      </c>
      <c r="U22" s="52">
        <f t="shared" si="14"/>
        <v>13</v>
      </c>
      <c r="V22" s="52">
        <f t="shared" si="14"/>
        <v>8</v>
      </c>
      <c r="W22" s="52">
        <f t="shared" si="14"/>
        <v>1</v>
      </c>
      <c r="X22" s="52">
        <f t="shared" si="14"/>
        <v>0</v>
      </c>
      <c r="Y22" s="52">
        <f t="shared" si="14"/>
        <v>12</v>
      </c>
      <c r="Z22" s="52">
        <f t="shared" si="14"/>
        <v>3</v>
      </c>
      <c r="AA22" s="52">
        <f t="shared" si="14"/>
        <v>2</v>
      </c>
      <c r="AB22" s="52">
        <f t="shared" si="14"/>
        <v>0</v>
      </c>
      <c r="AC22" s="52">
        <f t="shared" si="14"/>
        <v>130</v>
      </c>
      <c r="AD22" s="52">
        <f t="shared" si="14"/>
        <v>0</v>
      </c>
      <c r="AE22" s="40">
        <f t="shared" si="14"/>
        <v>127</v>
      </c>
      <c r="AF22" s="40">
        <f t="shared" si="14"/>
        <v>257</v>
      </c>
    </row>
    <row r="23" spans="2:32" ht="23.1" customHeight="1" x14ac:dyDescent="0.25">
      <c r="B23" s="23" t="s">
        <v>50</v>
      </c>
      <c r="C23" s="50">
        <v>18</v>
      </c>
      <c r="D23" s="50">
        <v>1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9</v>
      </c>
      <c r="N23" s="50">
        <v>0</v>
      </c>
      <c r="O23" s="17">
        <f t="shared" si="0"/>
        <v>22</v>
      </c>
      <c r="P23" s="17">
        <f t="shared" si="1"/>
        <v>31</v>
      </c>
      <c r="R23" s="51" t="s">
        <v>91</v>
      </c>
      <c r="S23" s="52">
        <f>MAX(S13:S18)</f>
        <v>260</v>
      </c>
      <c r="T23" s="52">
        <f t="shared" ref="T23:AF23" si="15">MAX(T13:T18)</f>
        <v>28</v>
      </c>
      <c r="U23" s="52">
        <f t="shared" si="15"/>
        <v>27</v>
      </c>
      <c r="V23" s="52">
        <f t="shared" si="15"/>
        <v>9</v>
      </c>
      <c r="W23" s="52">
        <f t="shared" si="15"/>
        <v>3</v>
      </c>
      <c r="X23" s="52">
        <f t="shared" si="15"/>
        <v>1</v>
      </c>
      <c r="Y23" s="52">
        <f t="shared" si="15"/>
        <v>15</v>
      </c>
      <c r="Z23" s="52">
        <f t="shared" si="15"/>
        <v>12</v>
      </c>
      <c r="AA23" s="52">
        <f t="shared" si="15"/>
        <v>4</v>
      </c>
      <c r="AB23" s="52">
        <f t="shared" si="15"/>
        <v>0</v>
      </c>
      <c r="AC23" s="52">
        <f t="shared" si="15"/>
        <v>148</v>
      </c>
      <c r="AD23" s="52">
        <f t="shared" si="15"/>
        <v>0</v>
      </c>
      <c r="AE23" s="40">
        <f t="shared" si="15"/>
        <v>334</v>
      </c>
      <c r="AF23" s="40">
        <f t="shared" si="15"/>
        <v>482</v>
      </c>
    </row>
    <row r="24" spans="2:32" ht="23.1" customHeight="1" x14ac:dyDescent="0.25">
      <c r="B24" s="23" t="s">
        <v>51</v>
      </c>
      <c r="C24" s="50">
        <v>21</v>
      </c>
      <c r="D24" s="50">
        <v>9</v>
      </c>
      <c r="E24" s="50">
        <v>5</v>
      </c>
      <c r="F24" s="50">
        <v>3</v>
      </c>
      <c r="G24" s="50">
        <v>0</v>
      </c>
      <c r="H24" s="50">
        <v>0</v>
      </c>
      <c r="I24" s="50">
        <v>5</v>
      </c>
      <c r="J24" s="50">
        <v>1</v>
      </c>
      <c r="K24" s="50">
        <v>0</v>
      </c>
      <c r="L24" s="50">
        <v>0</v>
      </c>
      <c r="M24" s="50">
        <v>27</v>
      </c>
      <c r="N24" s="50">
        <v>0</v>
      </c>
      <c r="O24" s="17">
        <f t="shared" si="0"/>
        <v>44</v>
      </c>
      <c r="P24" s="17">
        <f t="shared" si="1"/>
        <v>71</v>
      </c>
      <c r="R24" s="51" t="s">
        <v>92</v>
      </c>
      <c r="S24" s="52">
        <f>MAX(S19:S21)</f>
        <v>373</v>
      </c>
      <c r="T24" s="52">
        <f t="shared" ref="T24:AF24" si="16">MAX(T19:T21)</f>
        <v>35</v>
      </c>
      <c r="U24" s="52">
        <f t="shared" si="16"/>
        <v>26</v>
      </c>
      <c r="V24" s="52">
        <f t="shared" si="16"/>
        <v>13</v>
      </c>
      <c r="W24" s="52">
        <f t="shared" si="16"/>
        <v>3</v>
      </c>
      <c r="X24" s="52">
        <f t="shared" si="16"/>
        <v>1</v>
      </c>
      <c r="Y24" s="52">
        <f t="shared" si="16"/>
        <v>14</v>
      </c>
      <c r="Z24" s="52">
        <f t="shared" si="16"/>
        <v>13</v>
      </c>
      <c r="AA24" s="52">
        <f t="shared" si="16"/>
        <v>2</v>
      </c>
      <c r="AB24" s="52">
        <f t="shared" si="16"/>
        <v>0</v>
      </c>
      <c r="AC24" s="52">
        <f t="shared" si="16"/>
        <v>178</v>
      </c>
      <c r="AD24" s="52">
        <f t="shared" si="16"/>
        <v>0</v>
      </c>
      <c r="AE24" s="40">
        <f t="shared" si="16"/>
        <v>448</v>
      </c>
      <c r="AF24" s="40">
        <f t="shared" si="16"/>
        <v>606</v>
      </c>
    </row>
    <row r="25" spans="2:32" ht="23.1" customHeight="1" x14ac:dyDescent="0.25">
      <c r="B25" s="23" t="s">
        <v>52</v>
      </c>
      <c r="C25" s="50">
        <v>30</v>
      </c>
      <c r="D25" s="50">
        <v>3</v>
      </c>
      <c r="E25" s="50">
        <v>1</v>
      </c>
      <c r="F25" s="50">
        <v>0</v>
      </c>
      <c r="G25" s="50">
        <v>1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18</v>
      </c>
      <c r="N25" s="50">
        <v>0</v>
      </c>
      <c r="O25" s="17">
        <f t="shared" si="0"/>
        <v>39</v>
      </c>
      <c r="P25" s="17">
        <f t="shared" si="1"/>
        <v>57</v>
      </c>
      <c r="R25" s="37" t="s">
        <v>85</v>
      </c>
      <c r="S25" s="35">
        <f t="shared" ref="S25:AF25" si="17">SUM(S10:S12)</f>
        <v>172</v>
      </c>
      <c r="T25" s="16">
        <f t="shared" si="17"/>
        <v>22</v>
      </c>
      <c r="U25" s="16">
        <f t="shared" si="17"/>
        <v>29</v>
      </c>
      <c r="V25" s="16">
        <f t="shared" si="17"/>
        <v>17</v>
      </c>
      <c r="W25" s="16">
        <f t="shared" si="17"/>
        <v>2</v>
      </c>
      <c r="X25" s="16">
        <f t="shared" si="17"/>
        <v>0</v>
      </c>
      <c r="Y25" s="16">
        <f t="shared" si="17"/>
        <v>24</v>
      </c>
      <c r="Z25" s="16">
        <f t="shared" si="17"/>
        <v>7</v>
      </c>
      <c r="AA25" s="16">
        <f t="shared" si="17"/>
        <v>4</v>
      </c>
      <c r="AB25" s="16">
        <f t="shared" si="17"/>
        <v>0</v>
      </c>
      <c r="AC25" s="16">
        <f t="shared" si="17"/>
        <v>316</v>
      </c>
      <c r="AD25" s="16">
        <f t="shared" si="17"/>
        <v>0</v>
      </c>
      <c r="AE25" s="32">
        <f t="shared" si="17"/>
        <v>277</v>
      </c>
      <c r="AF25" s="32">
        <f t="shared" si="17"/>
        <v>593</v>
      </c>
    </row>
    <row r="26" spans="2:32" ht="23.1" customHeight="1" x14ac:dyDescent="0.25">
      <c r="B26" s="23" t="s">
        <v>53</v>
      </c>
      <c r="C26" s="50">
        <v>20</v>
      </c>
      <c r="D26" s="50">
        <v>2</v>
      </c>
      <c r="E26" s="50">
        <v>1</v>
      </c>
      <c r="F26" s="50">
        <v>0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19</v>
      </c>
      <c r="N26" s="50">
        <v>0</v>
      </c>
      <c r="O26" s="17">
        <f t="shared" si="0"/>
        <v>27</v>
      </c>
      <c r="P26" s="17">
        <f t="shared" si="1"/>
        <v>46</v>
      </c>
      <c r="R26" s="28" t="s">
        <v>86</v>
      </c>
      <c r="S26" s="16">
        <f t="shared" ref="S26:AF26" si="18">SUM(S13:S18)</f>
        <v>1015</v>
      </c>
      <c r="T26" s="16">
        <f t="shared" si="18"/>
        <v>110</v>
      </c>
      <c r="U26" s="16">
        <f t="shared" si="18"/>
        <v>80</v>
      </c>
      <c r="V26" s="16">
        <f t="shared" si="18"/>
        <v>21</v>
      </c>
      <c r="W26" s="16">
        <f t="shared" si="18"/>
        <v>10</v>
      </c>
      <c r="X26" s="16">
        <f t="shared" si="18"/>
        <v>1</v>
      </c>
      <c r="Y26" s="16">
        <f t="shared" si="18"/>
        <v>62</v>
      </c>
      <c r="Z26" s="16">
        <f t="shared" si="18"/>
        <v>34</v>
      </c>
      <c r="AA26" s="16">
        <f t="shared" si="18"/>
        <v>10</v>
      </c>
      <c r="AB26" s="16">
        <f t="shared" si="18"/>
        <v>0</v>
      </c>
      <c r="AC26" s="16">
        <f t="shared" si="18"/>
        <v>629</v>
      </c>
      <c r="AD26" s="16">
        <f t="shared" si="18"/>
        <v>0</v>
      </c>
      <c r="AE26" s="32">
        <f t="shared" si="18"/>
        <v>1343</v>
      </c>
      <c r="AF26" s="32">
        <f t="shared" si="18"/>
        <v>1972</v>
      </c>
    </row>
    <row r="27" spans="2:32" ht="23.1" customHeight="1" x14ac:dyDescent="0.25">
      <c r="B27" s="23" t="s">
        <v>54</v>
      </c>
      <c r="C27" s="50">
        <v>27</v>
      </c>
      <c r="D27" s="50">
        <v>4</v>
      </c>
      <c r="E27" s="50">
        <v>4</v>
      </c>
      <c r="F27" s="50">
        <v>0</v>
      </c>
      <c r="G27" s="50">
        <v>1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33</v>
      </c>
      <c r="N27" s="50">
        <v>0</v>
      </c>
      <c r="O27" s="17">
        <f t="shared" si="0"/>
        <v>37</v>
      </c>
      <c r="P27" s="17">
        <f t="shared" si="1"/>
        <v>70</v>
      </c>
      <c r="R27" s="29" t="s">
        <v>87</v>
      </c>
      <c r="S27" s="16">
        <f t="shared" ref="S27:AF27" si="19">SUM(S19:S21)</f>
        <v>905</v>
      </c>
      <c r="T27" s="16">
        <f t="shared" si="19"/>
        <v>83</v>
      </c>
      <c r="U27" s="16">
        <f t="shared" si="19"/>
        <v>72</v>
      </c>
      <c r="V27" s="16">
        <f t="shared" si="19"/>
        <v>32</v>
      </c>
      <c r="W27" s="16">
        <f t="shared" si="19"/>
        <v>6</v>
      </c>
      <c r="X27" s="16">
        <f t="shared" si="19"/>
        <v>1</v>
      </c>
      <c r="Y27" s="16">
        <f t="shared" si="19"/>
        <v>33</v>
      </c>
      <c r="Z27" s="16">
        <f t="shared" si="19"/>
        <v>24</v>
      </c>
      <c r="AA27" s="16">
        <f t="shared" si="19"/>
        <v>3</v>
      </c>
      <c r="AB27" s="16">
        <f t="shared" si="19"/>
        <v>0</v>
      </c>
      <c r="AC27" s="16">
        <f t="shared" si="19"/>
        <v>471</v>
      </c>
      <c r="AD27" s="16">
        <f t="shared" si="19"/>
        <v>0</v>
      </c>
      <c r="AE27" s="32">
        <f t="shared" si="19"/>
        <v>1159</v>
      </c>
      <c r="AF27" s="32">
        <f t="shared" si="19"/>
        <v>1630</v>
      </c>
    </row>
    <row r="28" spans="2:32" ht="23.1" customHeight="1" x14ac:dyDescent="0.25">
      <c r="B28" s="23" t="s">
        <v>55</v>
      </c>
      <c r="C28" s="50">
        <v>44</v>
      </c>
      <c r="D28" s="50">
        <v>3</v>
      </c>
      <c r="E28" s="50">
        <v>0</v>
      </c>
      <c r="F28" s="50">
        <v>0</v>
      </c>
      <c r="G28" s="50">
        <v>1</v>
      </c>
      <c r="H28" s="50">
        <v>0</v>
      </c>
      <c r="I28" s="50">
        <v>4</v>
      </c>
      <c r="J28" s="50">
        <v>2</v>
      </c>
      <c r="K28" s="50">
        <v>2</v>
      </c>
      <c r="L28" s="50">
        <v>0</v>
      </c>
      <c r="M28" s="50">
        <v>44</v>
      </c>
      <c r="N28" s="50">
        <v>0</v>
      </c>
      <c r="O28" s="17">
        <f t="shared" si="0"/>
        <v>56</v>
      </c>
      <c r="P28" s="17">
        <f t="shared" si="1"/>
        <v>100</v>
      </c>
      <c r="R28" s="5" t="s">
        <v>17</v>
      </c>
      <c r="S28" s="16">
        <f t="shared" ref="S28:AF28" si="20">SUM(S10:S21)</f>
        <v>2092</v>
      </c>
      <c r="T28" s="16">
        <f t="shared" si="20"/>
        <v>215</v>
      </c>
      <c r="U28" s="16">
        <f t="shared" si="20"/>
        <v>181</v>
      </c>
      <c r="V28" s="16">
        <f t="shared" si="20"/>
        <v>70</v>
      </c>
      <c r="W28" s="16">
        <f t="shared" si="20"/>
        <v>18</v>
      </c>
      <c r="X28" s="16">
        <f t="shared" si="20"/>
        <v>2</v>
      </c>
      <c r="Y28" s="16">
        <f t="shared" si="20"/>
        <v>119</v>
      </c>
      <c r="Z28" s="16">
        <f t="shared" si="20"/>
        <v>65</v>
      </c>
      <c r="AA28" s="16">
        <f t="shared" si="20"/>
        <v>17</v>
      </c>
      <c r="AB28" s="16">
        <f t="shared" si="20"/>
        <v>0</v>
      </c>
      <c r="AC28" s="16">
        <f t="shared" si="20"/>
        <v>1416</v>
      </c>
      <c r="AD28" s="16">
        <f t="shared" si="20"/>
        <v>0</v>
      </c>
      <c r="AE28" s="32">
        <f t="shared" si="20"/>
        <v>2779</v>
      </c>
      <c r="AF28" s="32">
        <f t="shared" si="20"/>
        <v>4195</v>
      </c>
    </row>
    <row r="29" spans="2:32" ht="23.1" customHeight="1" x14ac:dyDescent="0.25">
      <c r="B29" s="23" t="s">
        <v>56</v>
      </c>
      <c r="C29" s="50">
        <v>21</v>
      </c>
      <c r="D29" s="50">
        <v>1</v>
      </c>
      <c r="E29" s="50">
        <v>0</v>
      </c>
      <c r="F29" s="50">
        <v>1</v>
      </c>
      <c r="G29" s="50">
        <v>0</v>
      </c>
      <c r="H29" s="50">
        <v>0</v>
      </c>
      <c r="I29" s="50">
        <v>2</v>
      </c>
      <c r="J29" s="50">
        <v>1</v>
      </c>
      <c r="K29" s="50">
        <v>2</v>
      </c>
      <c r="L29" s="50">
        <v>0</v>
      </c>
      <c r="M29" s="50">
        <v>33</v>
      </c>
      <c r="N29" s="50">
        <v>0</v>
      </c>
      <c r="O29" s="17">
        <f t="shared" si="0"/>
        <v>28</v>
      </c>
      <c r="P29" s="17">
        <f t="shared" si="1"/>
        <v>61</v>
      </c>
      <c r="R29"/>
      <c r="S29" s="20"/>
      <c r="T29" s="19"/>
    </row>
    <row r="30" spans="2:32" ht="23.1" customHeight="1" x14ac:dyDescent="0.25">
      <c r="B30" s="23" t="s">
        <v>57</v>
      </c>
      <c r="C30" s="50">
        <v>34</v>
      </c>
      <c r="D30" s="50">
        <v>4</v>
      </c>
      <c r="E30" s="50">
        <v>2</v>
      </c>
      <c r="F30" s="50">
        <v>0</v>
      </c>
      <c r="G30" s="50">
        <v>0</v>
      </c>
      <c r="H30" s="50">
        <v>0</v>
      </c>
      <c r="I30" s="50">
        <v>5</v>
      </c>
      <c r="J30" s="50">
        <v>2</v>
      </c>
      <c r="K30" s="50">
        <v>0</v>
      </c>
      <c r="L30" s="50">
        <v>0</v>
      </c>
      <c r="M30" s="50">
        <v>33</v>
      </c>
      <c r="N30" s="50">
        <v>0</v>
      </c>
      <c r="O30" s="17">
        <f t="shared" si="0"/>
        <v>47</v>
      </c>
      <c r="P30" s="17">
        <f t="shared" si="1"/>
        <v>80</v>
      </c>
      <c r="R30"/>
      <c r="S30" s="19"/>
      <c r="T30" s="19"/>
    </row>
    <row r="31" spans="2:32" ht="23.1" customHeight="1" x14ac:dyDescent="0.25">
      <c r="B31" s="24" t="s">
        <v>58</v>
      </c>
      <c r="C31" s="50">
        <v>32</v>
      </c>
      <c r="D31" s="50">
        <v>3</v>
      </c>
      <c r="E31" s="50">
        <v>2</v>
      </c>
      <c r="F31" s="50">
        <v>0</v>
      </c>
      <c r="G31" s="50">
        <v>1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7">
        <f t="shared" si="0"/>
        <v>41</v>
      </c>
      <c r="P31" s="17">
        <f t="shared" si="1"/>
        <v>48</v>
      </c>
      <c r="R31"/>
      <c r="S31" s="19"/>
      <c r="T31" s="19"/>
    </row>
    <row r="32" spans="2:32" ht="23.1" customHeight="1" x14ac:dyDescent="0.25">
      <c r="B32" s="24" t="s">
        <v>59</v>
      </c>
      <c r="C32" s="50">
        <v>41</v>
      </c>
      <c r="D32" s="50">
        <v>2</v>
      </c>
      <c r="E32" s="50">
        <v>2</v>
      </c>
      <c r="F32" s="50">
        <v>0</v>
      </c>
      <c r="G32" s="50">
        <v>1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11</v>
      </c>
      <c r="N32" s="50">
        <v>0</v>
      </c>
      <c r="O32" s="17">
        <f t="shared" si="0"/>
        <v>49</v>
      </c>
      <c r="P32" s="17">
        <f t="shared" si="1"/>
        <v>60</v>
      </c>
      <c r="R32"/>
      <c r="S32" s="19"/>
      <c r="T32" s="19"/>
    </row>
    <row r="33" spans="2:20" ht="23.1" customHeight="1" x14ac:dyDescent="0.25">
      <c r="B33" s="23" t="s">
        <v>60</v>
      </c>
      <c r="C33" s="50">
        <v>46</v>
      </c>
      <c r="D33" s="50">
        <v>1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10</v>
      </c>
      <c r="N33" s="50">
        <v>0</v>
      </c>
      <c r="O33" s="17">
        <f t="shared" si="0"/>
        <v>50</v>
      </c>
      <c r="P33" s="17">
        <f t="shared" si="1"/>
        <v>60</v>
      </c>
      <c r="R33"/>
      <c r="S33" s="19"/>
      <c r="T33" s="19"/>
    </row>
    <row r="34" spans="2:20" ht="23.1" customHeight="1" x14ac:dyDescent="0.25">
      <c r="B34" s="24" t="s">
        <v>61</v>
      </c>
      <c r="C34" s="50">
        <v>40</v>
      </c>
      <c r="D34" s="50">
        <v>6</v>
      </c>
      <c r="E34" s="50">
        <v>1</v>
      </c>
      <c r="F34" s="50">
        <v>1</v>
      </c>
      <c r="G34" s="50">
        <v>2</v>
      </c>
      <c r="H34" s="50">
        <v>1</v>
      </c>
      <c r="I34" s="50">
        <v>2</v>
      </c>
      <c r="J34" s="50">
        <v>1</v>
      </c>
      <c r="K34" s="50">
        <v>0</v>
      </c>
      <c r="L34" s="50">
        <v>0</v>
      </c>
      <c r="M34" s="50">
        <v>7</v>
      </c>
      <c r="N34" s="50">
        <v>0</v>
      </c>
      <c r="O34" s="17">
        <f t="shared" si="0"/>
        <v>54</v>
      </c>
      <c r="P34" s="17">
        <f t="shared" si="1"/>
        <v>61</v>
      </c>
      <c r="R34"/>
      <c r="S34" s="19"/>
      <c r="T34" s="19"/>
    </row>
    <row r="35" spans="2:20" ht="23.1" customHeight="1" x14ac:dyDescent="0.25">
      <c r="B35" s="24" t="s">
        <v>62</v>
      </c>
      <c r="C35" s="50">
        <v>36</v>
      </c>
      <c r="D35" s="50">
        <v>4</v>
      </c>
      <c r="E35" s="50">
        <v>4</v>
      </c>
      <c r="F35" s="50">
        <v>0</v>
      </c>
      <c r="G35" s="50">
        <v>1</v>
      </c>
      <c r="H35" s="50">
        <v>0</v>
      </c>
      <c r="I35" s="50">
        <v>4</v>
      </c>
      <c r="J35" s="50">
        <v>1</v>
      </c>
      <c r="K35" s="50">
        <v>1</v>
      </c>
      <c r="L35" s="50">
        <v>0</v>
      </c>
      <c r="M35" s="50">
        <v>23</v>
      </c>
      <c r="N35" s="50">
        <v>0</v>
      </c>
      <c r="O35" s="17">
        <f t="shared" si="0"/>
        <v>51</v>
      </c>
      <c r="P35" s="17">
        <f t="shared" si="1"/>
        <v>74</v>
      </c>
      <c r="R35"/>
      <c r="S35" s="19"/>
      <c r="T35" s="19"/>
    </row>
    <row r="36" spans="2:20" ht="23.1" customHeight="1" x14ac:dyDescent="0.25">
      <c r="B36" s="24" t="s">
        <v>63</v>
      </c>
      <c r="C36" s="50">
        <v>47</v>
      </c>
      <c r="D36" s="50">
        <v>5</v>
      </c>
      <c r="E36" s="50">
        <v>8</v>
      </c>
      <c r="F36" s="50">
        <v>0</v>
      </c>
      <c r="G36" s="50">
        <v>0</v>
      </c>
      <c r="H36" s="50">
        <v>0</v>
      </c>
      <c r="I36" s="50">
        <v>5</v>
      </c>
      <c r="J36" s="50">
        <v>2</v>
      </c>
      <c r="K36" s="50">
        <v>0</v>
      </c>
      <c r="L36" s="50">
        <v>0</v>
      </c>
      <c r="M36" s="50">
        <v>30</v>
      </c>
      <c r="N36" s="50">
        <v>0</v>
      </c>
      <c r="O36" s="17">
        <f t="shared" si="0"/>
        <v>67</v>
      </c>
      <c r="P36" s="17">
        <f t="shared" si="1"/>
        <v>97</v>
      </c>
      <c r="R36"/>
      <c r="S36" s="19"/>
      <c r="T36" s="19"/>
    </row>
    <row r="37" spans="2:20" ht="23.1" customHeight="1" x14ac:dyDescent="0.25">
      <c r="B37" s="23" t="s">
        <v>64</v>
      </c>
      <c r="C37" s="50">
        <v>52</v>
      </c>
      <c r="D37" s="50">
        <v>6</v>
      </c>
      <c r="E37" s="50">
        <v>5</v>
      </c>
      <c r="F37" s="50">
        <v>1</v>
      </c>
      <c r="G37" s="50">
        <v>0</v>
      </c>
      <c r="H37" s="50">
        <v>0</v>
      </c>
      <c r="I37" s="50">
        <v>4</v>
      </c>
      <c r="J37" s="50">
        <v>0</v>
      </c>
      <c r="K37" s="50">
        <v>1</v>
      </c>
      <c r="L37" s="50">
        <v>0</v>
      </c>
      <c r="M37" s="50">
        <v>24</v>
      </c>
      <c r="N37" s="50">
        <v>0</v>
      </c>
      <c r="O37" s="17">
        <f t="shared" si="0"/>
        <v>69</v>
      </c>
      <c r="P37" s="17">
        <f t="shared" si="1"/>
        <v>93</v>
      </c>
      <c r="R37"/>
      <c r="S37" s="19"/>
      <c r="T37" s="19"/>
    </row>
    <row r="38" spans="2:20" ht="23.1" customHeight="1" x14ac:dyDescent="0.25">
      <c r="B38" s="24" t="s">
        <v>65</v>
      </c>
      <c r="C38" s="50">
        <v>56</v>
      </c>
      <c r="D38" s="50">
        <v>9</v>
      </c>
      <c r="E38" s="50">
        <v>4</v>
      </c>
      <c r="F38" s="50">
        <v>0</v>
      </c>
      <c r="G38" s="50">
        <v>1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30</v>
      </c>
      <c r="N38" s="50">
        <v>0</v>
      </c>
      <c r="O38" s="17">
        <f t="shared" si="0"/>
        <v>71</v>
      </c>
      <c r="P38" s="17">
        <f t="shared" si="1"/>
        <v>101</v>
      </c>
      <c r="R38"/>
      <c r="S38" s="19"/>
      <c r="T38" s="19"/>
    </row>
    <row r="39" spans="2:20" ht="23.1" customHeight="1" x14ac:dyDescent="0.25">
      <c r="B39" s="24" t="s">
        <v>66</v>
      </c>
      <c r="C39" s="50">
        <v>57</v>
      </c>
      <c r="D39" s="50">
        <v>5</v>
      </c>
      <c r="E39" s="50">
        <v>6</v>
      </c>
      <c r="F39" s="50">
        <v>2</v>
      </c>
      <c r="G39" s="50">
        <v>1</v>
      </c>
      <c r="H39" s="50">
        <v>0</v>
      </c>
      <c r="I39" s="50">
        <v>2</v>
      </c>
      <c r="J39" s="50">
        <v>2</v>
      </c>
      <c r="K39" s="50">
        <v>0</v>
      </c>
      <c r="L39" s="50">
        <v>0</v>
      </c>
      <c r="M39" s="50">
        <v>27</v>
      </c>
      <c r="N39" s="50">
        <v>0</v>
      </c>
      <c r="O39" s="17">
        <f t="shared" si="0"/>
        <v>75</v>
      </c>
      <c r="P39" s="17">
        <f t="shared" si="1"/>
        <v>102</v>
      </c>
      <c r="R39"/>
      <c r="S39" s="19"/>
      <c r="T39" s="19"/>
    </row>
    <row r="40" spans="2:20" ht="23.1" customHeight="1" x14ac:dyDescent="0.25">
      <c r="B40" s="24" t="s">
        <v>67</v>
      </c>
      <c r="C40" s="50">
        <v>53</v>
      </c>
      <c r="D40" s="50">
        <v>8</v>
      </c>
      <c r="E40" s="50">
        <v>3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35</v>
      </c>
      <c r="N40" s="50">
        <v>0</v>
      </c>
      <c r="O40" s="17">
        <f t="shared" si="0"/>
        <v>67</v>
      </c>
      <c r="P40" s="17">
        <f t="shared" si="1"/>
        <v>102</v>
      </c>
      <c r="R40"/>
      <c r="S40" s="19"/>
      <c r="T40" s="19"/>
    </row>
    <row r="41" spans="2:20" ht="23.1" customHeight="1" x14ac:dyDescent="0.25">
      <c r="B41" s="23" t="s">
        <v>68</v>
      </c>
      <c r="C41" s="50">
        <v>58</v>
      </c>
      <c r="D41" s="50">
        <v>6</v>
      </c>
      <c r="E41" s="50">
        <v>3</v>
      </c>
      <c r="F41" s="50">
        <v>5</v>
      </c>
      <c r="G41" s="50">
        <v>0</v>
      </c>
      <c r="H41" s="50">
        <v>0</v>
      </c>
      <c r="I41" s="50">
        <v>3</v>
      </c>
      <c r="J41" s="50">
        <v>4</v>
      </c>
      <c r="K41" s="50">
        <v>1</v>
      </c>
      <c r="L41" s="50">
        <v>0</v>
      </c>
      <c r="M41" s="50">
        <v>38</v>
      </c>
      <c r="N41" s="50">
        <v>0</v>
      </c>
      <c r="O41" s="17">
        <f t="shared" si="0"/>
        <v>80</v>
      </c>
      <c r="P41" s="17">
        <f t="shared" si="1"/>
        <v>118</v>
      </c>
      <c r="R41"/>
      <c r="S41" s="19"/>
      <c r="T41" s="19"/>
    </row>
    <row r="42" spans="2:20" ht="23.1" customHeight="1" x14ac:dyDescent="0.25">
      <c r="B42" s="24" t="s">
        <v>69</v>
      </c>
      <c r="C42" s="50">
        <v>63</v>
      </c>
      <c r="D42" s="50">
        <v>4</v>
      </c>
      <c r="E42" s="50">
        <v>8</v>
      </c>
      <c r="F42" s="50">
        <v>1</v>
      </c>
      <c r="G42" s="50">
        <v>0</v>
      </c>
      <c r="H42" s="50">
        <v>0</v>
      </c>
      <c r="I42" s="50">
        <v>3</v>
      </c>
      <c r="J42" s="50">
        <v>3</v>
      </c>
      <c r="K42" s="50">
        <v>2</v>
      </c>
      <c r="L42" s="50">
        <v>0</v>
      </c>
      <c r="M42" s="50">
        <v>32</v>
      </c>
      <c r="N42" s="50">
        <v>0</v>
      </c>
      <c r="O42" s="17">
        <f t="shared" si="0"/>
        <v>84</v>
      </c>
      <c r="P42" s="17">
        <f t="shared" si="1"/>
        <v>116</v>
      </c>
      <c r="R42"/>
      <c r="S42" s="19"/>
      <c r="T42" s="19"/>
    </row>
    <row r="43" spans="2:20" ht="23.1" customHeight="1" x14ac:dyDescent="0.25">
      <c r="B43" s="23" t="s">
        <v>70</v>
      </c>
      <c r="C43" s="50">
        <v>66</v>
      </c>
      <c r="D43" s="50">
        <v>6</v>
      </c>
      <c r="E43" s="50">
        <v>11</v>
      </c>
      <c r="F43" s="50">
        <v>0</v>
      </c>
      <c r="G43" s="50">
        <v>0</v>
      </c>
      <c r="H43" s="50">
        <v>0</v>
      </c>
      <c r="I43" s="50">
        <v>3</v>
      </c>
      <c r="J43" s="50">
        <v>4</v>
      </c>
      <c r="K43" s="50">
        <v>0</v>
      </c>
      <c r="L43" s="50">
        <v>0</v>
      </c>
      <c r="M43" s="50">
        <v>47</v>
      </c>
      <c r="N43" s="50">
        <v>0</v>
      </c>
      <c r="O43" s="17">
        <f t="shared" si="0"/>
        <v>90</v>
      </c>
      <c r="P43" s="17">
        <f t="shared" si="1"/>
        <v>137</v>
      </c>
      <c r="R43"/>
      <c r="S43" s="19"/>
      <c r="T43" s="19"/>
    </row>
    <row r="44" spans="2:20" ht="23.1" customHeight="1" x14ac:dyDescent="0.25">
      <c r="B44" s="25" t="s">
        <v>71</v>
      </c>
      <c r="C44" s="50">
        <v>72</v>
      </c>
      <c r="D44" s="50">
        <v>3</v>
      </c>
      <c r="E44" s="50">
        <v>3</v>
      </c>
      <c r="F44" s="50">
        <v>2</v>
      </c>
      <c r="G44" s="50">
        <v>0</v>
      </c>
      <c r="H44" s="50">
        <v>0</v>
      </c>
      <c r="I44" s="50">
        <v>1</v>
      </c>
      <c r="J44" s="50">
        <v>4</v>
      </c>
      <c r="K44" s="50">
        <v>0</v>
      </c>
      <c r="L44" s="50">
        <v>0</v>
      </c>
      <c r="M44" s="50">
        <v>30</v>
      </c>
      <c r="N44" s="50">
        <v>0</v>
      </c>
      <c r="O44" s="17">
        <f t="shared" si="0"/>
        <v>85</v>
      </c>
      <c r="P44" s="17">
        <f t="shared" si="1"/>
        <v>115</v>
      </c>
      <c r="R44"/>
      <c r="S44" s="19"/>
      <c r="T44" s="19"/>
    </row>
    <row r="45" spans="2:20" ht="23.1" customHeight="1" x14ac:dyDescent="0.25">
      <c r="B45" s="23" t="s">
        <v>72</v>
      </c>
      <c r="C45" s="50">
        <v>59</v>
      </c>
      <c r="D45" s="50">
        <v>8</v>
      </c>
      <c r="E45" s="50">
        <v>5</v>
      </c>
      <c r="F45" s="50">
        <v>1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39</v>
      </c>
      <c r="N45" s="50">
        <v>0</v>
      </c>
      <c r="O45" s="17">
        <f t="shared" si="0"/>
        <v>75</v>
      </c>
      <c r="P45" s="17">
        <f t="shared" si="1"/>
        <v>114</v>
      </c>
      <c r="R45"/>
      <c r="S45" s="19"/>
      <c r="T45" s="19"/>
    </row>
    <row r="46" spans="2:20" ht="23.1" customHeight="1" x14ac:dyDescent="0.25">
      <c r="B46" s="24" t="s">
        <v>73</v>
      </c>
      <c r="C46" s="50">
        <v>58</v>
      </c>
      <c r="D46" s="50">
        <v>7</v>
      </c>
      <c r="E46" s="50">
        <v>7</v>
      </c>
      <c r="F46" s="50">
        <v>2</v>
      </c>
      <c r="G46" s="50">
        <v>0</v>
      </c>
      <c r="H46" s="50">
        <v>0</v>
      </c>
      <c r="I46" s="50">
        <v>4</v>
      </c>
      <c r="J46" s="50">
        <v>6</v>
      </c>
      <c r="K46" s="50">
        <v>0</v>
      </c>
      <c r="L46" s="50">
        <v>0</v>
      </c>
      <c r="M46" s="50">
        <v>44</v>
      </c>
      <c r="N46" s="50">
        <v>0</v>
      </c>
      <c r="O46" s="17">
        <f t="shared" si="0"/>
        <v>84</v>
      </c>
      <c r="P46" s="17">
        <f t="shared" si="1"/>
        <v>128</v>
      </c>
      <c r="R46" s="19"/>
      <c r="S46" s="19"/>
      <c r="T46"/>
    </row>
    <row r="47" spans="2:20" ht="23.1" customHeight="1" x14ac:dyDescent="0.25">
      <c r="B47" s="24" t="s">
        <v>74</v>
      </c>
      <c r="C47" s="50">
        <v>65</v>
      </c>
      <c r="D47" s="50">
        <v>8</v>
      </c>
      <c r="E47" s="50">
        <v>9</v>
      </c>
      <c r="F47" s="50">
        <v>5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31</v>
      </c>
      <c r="N47" s="50">
        <v>0</v>
      </c>
      <c r="O47" s="17">
        <f t="shared" si="0"/>
        <v>92</v>
      </c>
      <c r="P47" s="17">
        <f t="shared" si="1"/>
        <v>123</v>
      </c>
      <c r="R47" s="19"/>
      <c r="S47" s="19"/>
      <c r="T47"/>
    </row>
    <row r="48" spans="2:20" ht="23.1" customHeight="1" x14ac:dyDescent="0.25">
      <c r="B48" s="24" t="s">
        <v>75</v>
      </c>
      <c r="C48" s="50">
        <v>56</v>
      </c>
      <c r="D48" s="50">
        <v>9</v>
      </c>
      <c r="E48" s="50">
        <v>5</v>
      </c>
      <c r="F48" s="50">
        <v>1</v>
      </c>
      <c r="G48" s="50">
        <v>1</v>
      </c>
      <c r="H48" s="50">
        <v>0</v>
      </c>
      <c r="I48" s="50">
        <v>1</v>
      </c>
      <c r="J48" s="50">
        <v>5</v>
      </c>
      <c r="K48" s="50">
        <v>0</v>
      </c>
      <c r="L48" s="50">
        <v>0</v>
      </c>
      <c r="M48" s="50">
        <v>27</v>
      </c>
      <c r="N48" s="50">
        <v>0</v>
      </c>
      <c r="O48" s="17">
        <f t="shared" si="0"/>
        <v>78</v>
      </c>
      <c r="P48" s="17">
        <f t="shared" si="1"/>
        <v>105</v>
      </c>
      <c r="R48" s="19"/>
      <c r="S48" s="19"/>
      <c r="T48"/>
    </row>
    <row r="49" spans="2:20" ht="23.1" customHeight="1" x14ac:dyDescent="0.25">
      <c r="B49" s="23" t="s">
        <v>76</v>
      </c>
      <c r="C49" s="50">
        <v>60</v>
      </c>
      <c r="D49" s="50">
        <v>11</v>
      </c>
      <c r="E49" s="50">
        <v>5</v>
      </c>
      <c r="F49" s="50">
        <v>4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33</v>
      </c>
      <c r="N49" s="50">
        <v>0</v>
      </c>
      <c r="O49" s="17">
        <f t="shared" si="0"/>
        <v>83</v>
      </c>
      <c r="P49" s="17">
        <f t="shared" si="1"/>
        <v>116</v>
      </c>
      <c r="R49" s="19"/>
      <c r="S49" s="19"/>
      <c r="T49"/>
    </row>
    <row r="50" spans="2:20" ht="23.1" customHeight="1" x14ac:dyDescent="0.25">
      <c r="B50" s="24" t="s">
        <v>77</v>
      </c>
      <c r="C50" s="50">
        <v>69</v>
      </c>
      <c r="D50" s="50">
        <v>6</v>
      </c>
      <c r="E50" s="50">
        <v>6</v>
      </c>
      <c r="F50" s="50">
        <v>5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43</v>
      </c>
      <c r="N50" s="50">
        <v>0</v>
      </c>
      <c r="O50" s="17">
        <f t="shared" si="0"/>
        <v>87</v>
      </c>
      <c r="P50" s="17">
        <f t="shared" si="1"/>
        <v>130</v>
      </c>
      <c r="R50" s="19"/>
      <c r="S50" s="19"/>
      <c r="T50"/>
    </row>
    <row r="51" spans="2:20" ht="23.1" customHeight="1" x14ac:dyDescent="0.25">
      <c r="B51" s="24" t="s">
        <v>78</v>
      </c>
      <c r="C51" s="50">
        <v>82</v>
      </c>
      <c r="D51" s="50">
        <v>9</v>
      </c>
      <c r="E51" s="50">
        <v>4</v>
      </c>
      <c r="F51" s="50">
        <v>2</v>
      </c>
      <c r="G51" s="50">
        <v>2</v>
      </c>
      <c r="H51" s="50">
        <v>1</v>
      </c>
      <c r="I51" s="50">
        <v>6</v>
      </c>
      <c r="J51" s="50">
        <v>0</v>
      </c>
      <c r="K51" s="50">
        <v>0</v>
      </c>
      <c r="L51" s="50">
        <v>0</v>
      </c>
      <c r="M51" s="50">
        <v>43</v>
      </c>
      <c r="N51" s="50">
        <v>0</v>
      </c>
      <c r="O51" s="17">
        <f t="shared" si="0"/>
        <v>106</v>
      </c>
      <c r="P51" s="17">
        <f t="shared" si="1"/>
        <v>149</v>
      </c>
      <c r="R51" s="19"/>
      <c r="S51" s="19"/>
      <c r="T51"/>
    </row>
    <row r="52" spans="2:20" ht="23.1" customHeight="1" x14ac:dyDescent="0.25">
      <c r="B52" s="24" t="s">
        <v>79</v>
      </c>
      <c r="C52" s="50">
        <v>75</v>
      </c>
      <c r="D52" s="50">
        <v>3</v>
      </c>
      <c r="E52" s="50">
        <v>6</v>
      </c>
      <c r="F52" s="50">
        <v>3</v>
      </c>
      <c r="G52" s="50">
        <v>1</v>
      </c>
      <c r="H52" s="50">
        <v>0</v>
      </c>
      <c r="I52" s="50">
        <v>0</v>
      </c>
      <c r="J52" s="50">
        <v>2</v>
      </c>
      <c r="K52" s="50">
        <v>1</v>
      </c>
      <c r="L52" s="50">
        <v>0</v>
      </c>
      <c r="M52" s="50">
        <v>40</v>
      </c>
      <c r="N52" s="50">
        <v>0</v>
      </c>
      <c r="O52" s="17">
        <f t="shared" si="0"/>
        <v>91</v>
      </c>
      <c r="P52" s="17">
        <f t="shared" si="1"/>
        <v>131</v>
      </c>
      <c r="R52" s="19"/>
      <c r="S52" s="19"/>
      <c r="T52"/>
    </row>
    <row r="53" spans="2:20" ht="23.1" customHeight="1" x14ac:dyDescent="0.25">
      <c r="B53" s="23" t="s">
        <v>80</v>
      </c>
      <c r="C53" s="50">
        <v>67</v>
      </c>
      <c r="D53" s="50">
        <v>7</v>
      </c>
      <c r="E53" s="50">
        <v>5</v>
      </c>
      <c r="F53" s="50">
        <v>3</v>
      </c>
      <c r="G53" s="50">
        <v>0</v>
      </c>
      <c r="H53" s="50">
        <v>0</v>
      </c>
      <c r="I53" s="50">
        <v>7</v>
      </c>
      <c r="J53" s="50">
        <v>1</v>
      </c>
      <c r="K53" s="50">
        <v>0</v>
      </c>
      <c r="L53" s="50">
        <v>0</v>
      </c>
      <c r="M53" s="50">
        <v>52</v>
      </c>
      <c r="N53" s="50">
        <v>0</v>
      </c>
      <c r="O53" s="17">
        <f t="shared" si="0"/>
        <v>90</v>
      </c>
      <c r="P53" s="17">
        <f t="shared" si="1"/>
        <v>142</v>
      </c>
      <c r="R53" s="19"/>
      <c r="S53" s="19"/>
      <c r="T53"/>
    </row>
    <row r="54" spans="2:20" ht="23.1" customHeight="1" x14ac:dyDescent="0.25">
      <c r="B54" s="23" t="s">
        <v>81</v>
      </c>
      <c r="C54" s="50">
        <v>79</v>
      </c>
      <c r="D54" s="50">
        <v>3</v>
      </c>
      <c r="E54" s="50">
        <v>10</v>
      </c>
      <c r="F54" s="50">
        <v>2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43</v>
      </c>
      <c r="N54" s="50">
        <v>0</v>
      </c>
      <c r="O54" s="17">
        <f t="shared" si="0"/>
        <v>96</v>
      </c>
      <c r="P54" s="17">
        <f t="shared" si="1"/>
        <v>139</v>
      </c>
      <c r="R54" s="19"/>
      <c r="S54" s="19"/>
      <c r="T54"/>
    </row>
    <row r="55" spans="2:20" ht="23.1" customHeight="1" x14ac:dyDescent="0.25">
      <c r="B55" s="23" t="s">
        <v>82</v>
      </c>
      <c r="C55" s="50">
        <v>89</v>
      </c>
      <c r="D55" s="50">
        <v>9</v>
      </c>
      <c r="E55" s="50">
        <v>6</v>
      </c>
      <c r="F55" s="50">
        <v>2</v>
      </c>
      <c r="G55" s="50">
        <v>0</v>
      </c>
      <c r="H55" s="50">
        <v>0</v>
      </c>
      <c r="I55" s="50">
        <v>1</v>
      </c>
      <c r="J55" s="50">
        <v>3</v>
      </c>
      <c r="K55" s="50">
        <v>1</v>
      </c>
      <c r="L55" s="50">
        <v>0</v>
      </c>
      <c r="M55" s="50">
        <v>33</v>
      </c>
      <c r="N55" s="50">
        <v>0</v>
      </c>
      <c r="O55" s="17">
        <f t="shared" si="0"/>
        <v>111</v>
      </c>
      <c r="P55" s="17">
        <f t="shared" si="1"/>
        <v>144</v>
      </c>
      <c r="R55" s="19"/>
      <c r="S55" s="19"/>
      <c r="T55"/>
    </row>
    <row r="56" spans="2:20" ht="23.1" customHeight="1" x14ac:dyDescent="0.25">
      <c r="B56" s="23" t="s">
        <v>83</v>
      </c>
      <c r="C56" s="50">
        <v>100</v>
      </c>
      <c r="D56" s="50">
        <v>8</v>
      </c>
      <c r="E56" s="50">
        <v>4</v>
      </c>
      <c r="F56" s="50">
        <v>1</v>
      </c>
      <c r="G56" s="50">
        <v>1</v>
      </c>
      <c r="H56" s="50">
        <v>0</v>
      </c>
      <c r="I56" s="50">
        <v>0</v>
      </c>
      <c r="J56" s="50">
        <v>2</v>
      </c>
      <c r="K56" s="50">
        <v>0</v>
      </c>
      <c r="L56" s="50">
        <v>0</v>
      </c>
      <c r="M56" s="50">
        <v>41</v>
      </c>
      <c r="N56" s="50">
        <v>0</v>
      </c>
      <c r="O56" s="17">
        <f t="shared" si="0"/>
        <v>116</v>
      </c>
      <c r="P56" s="17">
        <f t="shared" si="1"/>
        <v>157</v>
      </c>
      <c r="R56" s="19"/>
      <c r="S56" s="19"/>
      <c r="T56"/>
    </row>
    <row r="57" spans="2:20" ht="23.1" customHeight="1" x14ac:dyDescent="0.25">
      <c r="B57" s="23" t="s">
        <v>84</v>
      </c>
      <c r="C57" s="50">
        <v>105</v>
      </c>
      <c r="D57" s="50">
        <v>3</v>
      </c>
      <c r="E57" s="50">
        <v>5</v>
      </c>
      <c r="F57" s="50">
        <v>2</v>
      </c>
      <c r="G57" s="50">
        <v>0</v>
      </c>
      <c r="H57" s="50">
        <v>0</v>
      </c>
      <c r="I57" s="50">
        <v>6</v>
      </c>
      <c r="J57" s="50">
        <v>3</v>
      </c>
      <c r="K57" s="50">
        <v>1</v>
      </c>
      <c r="L57" s="50">
        <v>0</v>
      </c>
      <c r="M57" s="50">
        <v>41</v>
      </c>
      <c r="N57" s="50">
        <v>0</v>
      </c>
      <c r="O57" s="17">
        <f t="shared" si="0"/>
        <v>125</v>
      </c>
      <c r="P57" s="17">
        <f t="shared" si="1"/>
        <v>166</v>
      </c>
      <c r="R57" s="19"/>
      <c r="S57" s="19"/>
      <c r="T57"/>
    </row>
    <row r="58" spans="2:20" ht="23.1" customHeight="1" x14ac:dyDescent="0.25">
      <c r="B58" s="53" t="s">
        <v>18</v>
      </c>
      <c r="C58" s="16">
        <f t="shared" ref="C58:P58" si="21">SUM(C10:C57)</f>
        <v>2092</v>
      </c>
      <c r="D58" s="16">
        <f t="shared" si="21"/>
        <v>215</v>
      </c>
      <c r="E58" s="16">
        <f t="shared" si="21"/>
        <v>181</v>
      </c>
      <c r="F58" s="16">
        <f t="shared" si="21"/>
        <v>70</v>
      </c>
      <c r="G58" s="16">
        <f t="shared" si="21"/>
        <v>18</v>
      </c>
      <c r="H58" s="16">
        <f t="shared" si="21"/>
        <v>2</v>
      </c>
      <c r="I58" s="16">
        <f t="shared" si="21"/>
        <v>119</v>
      </c>
      <c r="J58" s="16">
        <f t="shared" si="21"/>
        <v>65</v>
      </c>
      <c r="K58" s="16">
        <f t="shared" si="21"/>
        <v>17</v>
      </c>
      <c r="L58" s="16">
        <f t="shared" si="21"/>
        <v>0</v>
      </c>
      <c r="M58" s="16">
        <f t="shared" si="21"/>
        <v>1416</v>
      </c>
      <c r="N58" s="16">
        <f t="shared" si="21"/>
        <v>0</v>
      </c>
      <c r="O58" s="16">
        <f t="shared" si="21"/>
        <v>2779</v>
      </c>
      <c r="P58" s="16">
        <f t="shared" si="21"/>
        <v>4195</v>
      </c>
      <c r="R58" s="19"/>
      <c r="S58" s="19"/>
      <c r="T58"/>
    </row>
    <row r="59" spans="2:20" ht="23.1" customHeight="1" x14ac:dyDescent="0.25">
      <c r="B59" s="53" t="s">
        <v>93</v>
      </c>
      <c r="C59" s="43">
        <f t="shared" ref="C59:N59" si="22">C58/$P$58</f>
        <v>0.49868891537544696</v>
      </c>
      <c r="D59" s="43">
        <f t="shared" si="22"/>
        <v>5.1251489868891539E-2</v>
      </c>
      <c r="E59" s="43">
        <f t="shared" si="22"/>
        <v>4.3146603098927296E-2</v>
      </c>
      <c r="F59" s="43">
        <f t="shared" si="22"/>
        <v>1.6686531585220502E-2</v>
      </c>
      <c r="G59" s="43">
        <f t="shared" si="22"/>
        <v>4.2908224076281289E-3</v>
      </c>
      <c r="H59" s="43">
        <f t="shared" si="22"/>
        <v>4.7675804529201431E-4</v>
      </c>
      <c r="I59" s="43">
        <f t="shared" si="22"/>
        <v>2.836710369487485E-2</v>
      </c>
      <c r="J59" s="43">
        <f t="shared" si="22"/>
        <v>1.5494636471990465E-2</v>
      </c>
      <c r="K59" s="43">
        <f t="shared" si="22"/>
        <v>4.0524433849821219E-3</v>
      </c>
      <c r="L59" s="43">
        <f t="shared" si="22"/>
        <v>0</v>
      </c>
      <c r="M59" s="43">
        <f t="shared" si="22"/>
        <v>0.33754469606674614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54" t="s">
        <v>94</v>
      </c>
      <c r="C60" s="44">
        <f>C58/$O$58</f>
        <v>0.75278877293990643</v>
      </c>
      <c r="D60" s="44">
        <f t="shared" ref="D60:N60" si="23">D58/$O$58</f>
        <v>7.7365958978049654E-2</v>
      </c>
      <c r="E60" s="44">
        <f t="shared" si="23"/>
        <v>6.5131342209427845E-2</v>
      </c>
      <c r="F60" s="44">
        <f t="shared" si="23"/>
        <v>2.5188916876574308E-2</v>
      </c>
      <c r="G60" s="44">
        <f t="shared" si="23"/>
        <v>6.4771500539762506E-3</v>
      </c>
      <c r="H60" s="44">
        <f t="shared" si="23"/>
        <v>7.1968333933069444E-4</v>
      </c>
      <c r="I60" s="44">
        <f t="shared" si="23"/>
        <v>4.2821158690176324E-2</v>
      </c>
      <c r="J60" s="44">
        <f t="shared" si="23"/>
        <v>2.3389708528247573E-2</v>
      </c>
      <c r="K60" s="44">
        <f t="shared" si="23"/>
        <v>6.1173083843109035E-3</v>
      </c>
      <c r="L60" s="44">
        <f t="shared" si="23"/>
        <v>0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26"/>
  <sheetViews>
    <sheetView view="pageBreakPreview" topLeftCell="A31" zoomScale="60" workbookViewId="0">
      <selection activeCell="S7" sqref="S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73" t="str">
        <f>'[2]23.09.19 Bweya- Kajansi'!C3:G3</f>
        <v>MCC-C2-STNO 56 -Munyonyo spur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  <c r="R3"/>
      <c r="S3" s="19"/>
      <c r="T3" s="19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R4"/>
      <c r="S4" s="19"/>
      <c r="T4" s="19"/>
    </row>
    <row r="5" spans="2:32" ht="20.100000000000001" customHeight="1" x14ac:dyDescent="0.25">
      <c r="C5" s="2" t="s">
        <v>3</v>
      </c>
      <c r="D5" s="36" t="s">
        <v>181</v>
      </c>
      <c r="F5" s="41" t="s">
        <v>1</v>
      </c>
      <c r="G5" s="71" t="str">
        <f>'[2]28.09 Kajansi-Bweya-24h'!G5:H5</f>
        <v>Munyonyo Spur RD</v>
      </c>
      <c r="H5" s="72"/>
      <c r="I5" s="14"/>
      <c r="J5" s="2" t="s">
        <v>5</v>
      </c>
      <c r="K5" s="71" t="str">
        <f>'[2]28.09 Kajansi-Bweya-24h'!K5:L5</f>
        <v>Akello Rosette / Kasoma John Paul</v>
      </c>
      <c r="L5" s="72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71" t="str">
        <f>'[2]23.09.19 Bweya- Kajansi'!D6:E6</f>
        <v>BWEYA</v>
      </c>
      <c r="E6" s="72"/>
      <c r="F6" s="2" t="s">
        <v>2</v>
      </c>
      <c r="G6" s="71" t="str">
        <f>'[2]23.09.19 Bweya- Kajansi'!G6:H6</f>
        <v>KAJANSI</v>
      </c>
      <c r="H6" s="72"/>
      <c r="J6" s="2" t="s">
        <v>21</v>
      </c>
      <c r="K6" s="71" t="str">
        <f>'[2]28.09 Kajansi-Bweya-24h'!K6:L6</f>
        <v>Beatrice</v>
      </c>
      <c r="L6" s="72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0" t="s">
        <v>88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</v>
      </c>
      <c r="D10" s="50">
        <v>3</v>
      </c>
      <c r="E10" s="50">
        <v>1</v>
      </c>
      <c r="F10" s="50">
        <v>1</v>
      </c>
      <c r="G10" s="50">
        <v>0</v>
      </c>
      <c r="H10" s="50">
        <v>1</v>
      </c>
      <c r="I10" s="50">
        <v>5</v>
      </c>
      <c r="J10" s="50">
        <v>0</v>
      </c>
      <c r="K10" s="50">
        <v>0</v>
      </c>
      <c r="L10" s="50">
        <v>0</v>
      </c>
      <c r="M10" s="50">
        <v>17</v>
      </c>
      <c r="N10" s="50">
        <v>0</v>
      </c>
      <c r="O10" s="17">
        <f t="shared" ref="O10:O57" si="0">SUM(C10:L10,N10)</f>
        <v>20</v>
      </c>
      <c r="P10" s="17">
        <f t="shared" ref="P10:P57" si="1">SUM(C10:N10)</f>
        <v>37</v>
      </c>
      <c r="R10" s="1" t="s">
        <v>6</v>
      </c>
      <c r="S10" s="17">
        <f t="shared" ref="S10:AF10" si="2">SUM(C10:C13)</f>
        <v>70</v>
      </c>
      <c r="T10" s="17">
        <f t="shared" si="2"/>
        <v>6</v>
      </c>
      <c r="U10" s="17">
        <f t="shared" si="2"/>
        <v>9</v>
      </c>
      <c r="V10" s="17">
        <f t="shared" si="2"/>
        <v>9</v>
      </c>
      <c r="W10" s="17">
        <f t="shared" si="2"/>
        <v>0</v>
      </c>
      <c r="X10" s="17">
        <f t="shared" si="2"/>
        <v>2</v>
      </c>
      <c r="Y10" s="17">
        <f t="shared" si="2"/>
        <v>9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95</v>
      </c>
      <c r="AD10" s="17">
        <f t="shared" si="2"/>
        <v>0</v>
      </c>
      <c r="AE10" s="31">
        <f t="shared" si="2"/>
        <v>109</v>
      </c>
      <c r="AF10" s="31">
        <f t="shared" si="2"/>
        <v>204</v>
      </c>
    </row>
    <row r="11" spans="2:32" s="6" customFormat="1" ht="23.1" customHeight="1" x14ac:dyDescent="0.25">
      <c r="B11" s="23" t="s">
        <v>38</v>
      </c>
      <c r="C11" s="50">
        <v>8</v>
      </c>
      <c r="D11" s="50">
        <v>2</v>
      </c>
      <c r="E11" s="50">
        <v>2</v>
      </c>
      <c r="F11" s="50">
        <v>2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18</v>
      </c>
      <c r="N11" s="50">
        <v>0</v>
      </c>
      <c r="O11" s="17">
        <f t="shared" si="0"/>
        <v>15</v>
      </c>
      <c r="P11" s="17">
        <f t="shared" si="1"/>
        <v>33</v>
      </c>
      <c r="R11" s="1" t="s">
        <v>7</v>
      </c>
      <c r="S11" s="17">
        <f t="shared" ref="S11:AF11" si="3">SUM(C14:C17)</f>
        <v>99</v>
      </c>
      <c r="T11" s="17">
        <f t="shared" si="3"/>
        <v>19</v>
      </c>
      <c r="U11" s="17">
        <f t="shared" si="3"/>
        <v>9</v>
      </c>
      <c r="V11" s="17">
        <f t="shared" si="3"/>
        <v>12</v>
      </c>
      <c r="W11" s="17">
        <f t="shared" si="3"/>
        <v>1</v>
      </c>
      <c r="X11" s="17">
        <f t="shared" si="3"/>
        <v>1</v>
      </c>
      <c r="Y11" s="17">
        <f t="shared" si="3"/>
        <v>8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117</v>
      </c>
      <c r="AD11" s="17">
        <f t="shared" si="3"/>
        <v>0</v>
      </c>
      <c r="AE11" s="31">
        <f t="shared" si="3"/>
        <v>152</v>
      </c>
      <c r="AF11" s="31">
        <f t="shared" si="3"/>
        <v>269</v>
      </c>
    </row>
    <row r="12" spans="2:32" ht="23.1" customHeight="1" x14ac:dyDescent="0.25">
      <c r="B12" s="23" t="s">
        <v>39</v>
      </c>
      <c r="C12" s="50">
        <v>24</v>
      </c>
      <c r="D12" s="50">
        <v>0</v>
      </c>
      <c r="E12" s="50">
        <v>4</v>
      </c>
      <c r="F12" s="50">
        <v>2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30</v>
      </c>
      <c r="N12" s="50">
        <v>0</v>
      </c>
      <c r="O12" s="17">
        <f t="shared" si="0"/>
        <v>31</v>
      </c>
      <c r="P12" s="17">
        <f t="shared" si="1"/>
        <v>61</v>
      </c>
      <c r="R12" s="1" t="s">
        <v>8</v>
      </c>
      <c r="S12" s="17">
        <f t="shared" ref="S12:AF12" si="4">SUM(C18:C21)</f>
        <v>118</v>
      </c>
      <c r="T12" s="17">
        <f t="shared" si="4"/>
        <v>46</v>
      </c>
      <c r="U12" s="17">
        <f t="shared" si="4"/>
        <v>20</v>
      </c>
      <c r="V12" s="17">
        <f t="shared" si="4"/>
        <v>11</v>
      </c>
      <c r="W12" s="17">
        <f t="shared" si="4"/>
        <v>2</v>
      </c>
      <c r="X12" s="17">
        <f t="shared" si="4"/>
        <v>1</v>
      </c>
      <c r="Y12" s="17">
        <f t="shared" si="4"/>
        <v>18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138</v>
      </c>
      <c r="AD12" s="17">
        <f t="shared" si="4"/>
        <v>0</v>
      </c>
      <c r="AE12" s="31">
        <f t="shared" si="4"/>
        <v>218</v>
      </c>
      <c r="AF12" s="31">
        <f t="shared" si="4"/>
        <v>356</v>
      </c>
    </row>
    <row r="13" spans="2:32" ht="23.1" customHeight="1" x14ac:dyDescent="0.25">
      <c r="B13" s="23" t="s">
        <v>40</v>
      </c>
      <c r="C13" s="50">
        <v>29</v>
      </c>
      <c r="D13" s="50">
        <v>1</v>
      </c>
      <c r="E13" s="50">
        <v>2</v>
      </c>
      <c r="F13" s="50">
        <v>4</v>
      </c>
      <c r="G13" s="50">
        <v>0</v>
      </c>
      <c r="H13" s="50">
        <v>1</v>
      </c>
      <c r="I13" s="50">
        <v>3</v>
      </c>
      <c r="J13" s="50">
        <v>3</v>
      </c>
      <c r="K13" s="50">
        <v>0</v>
      </c>
      <c r="L13" s="50">
        <v>0</v>
      </c>
      <c r="M13" s="50">
        <v>30</v>
      </c>
      <c r="N13" s="50">
        <v>0</v>
      </c>
      <c r="O13" s="17">
        <f t="shared" si="0"/>
        <v>43</v>
      </c>
      <c r="P13" s="17">
        <f t="shared" si="1"/>
        <v>73</v>
      </c>
      <c r="R13" s="1" t="s">
        <v>9</v>
      </c>
      <c r="S13" s="17">
        <f t="shared" ref="S13:AF13" si="5">SUM(C22:C25)</f>
        <v>125</v>
      </c>
      <c r="T13" s="17">
        <f t="shared" si="5"/>
        <v>65</v>
      </c>
      <c r="U13" s="17">
        <f t="shared" si="5"/>
        <v>18</v>
      </c>
      <c r="V13" s="17">
        <f t="shared" si="5"/>
        <v>12</v>
      </c>
      <c r="W13" s="17">
        <f t="shared" si="5"/>
        <v>2</v>
      </c>
      <c r="X13" s="17">
        <f t="shared" si="5"/>
        <v>0</v>
      </c>
      <c r="Y13" s="17">
        <f t="shared" si="5"/>
        <v>10</v>
      </c>
      <c r="Z13" s="17">
        <f t="shared" si="5"/>
        <v>0</v>
      </c>
      <c r="AA13" s="17">
        <f t="shared" si="5"/>
        <v>1</v>
      </c>
      <c r="AB13" s="17">
        <f t="shared" si="5"/>
        <v>0</v>
      </c>
      <c r="AC13" s="17">
        <f t="shared" si="5"/>
        <v>134</v>
      </c>
      <c r="AD13" s="17">
        <f t="shared" si="5"/>
        <v>0</v>
      </c>
      <c r="AE13" s="31">
        <f t="shared" si="5"/>
        <v>233</v>
      </c>
      <c r="AF13" s="31">
        <f t="shared" si="5"/>
        <v>367</v>
      </c>
    </row>
    <row r="14" spans="2:32" ht="23.1" customHeight="1" x14ac:dyDescent="0.25">
      <c r="B14" s="23" t="s">
        <v>41</v>
      </c>
      <c r="C14" s="50">
        <v>10</v>
      </c>
      <c r="D14" s="50">
        <v>3</v>
      </c>
      <c r="E14" s="50">
        <v>1</v>
      </c>
      <c r="F14" s="50">
        <v>4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21</v>
      </c>
      <c r="N14" s="50">
        <v>0</v>
      </c>
      <c r="O14" s="17">
        <f t="shared" si="0"/>
        <v>19</v>
      </c>
      <c r="P14" s="17">
        <f t="shared" si="1"/>
        <v>40</v>
      </c>
      <c r="R14" s="1" t="s">
        <v>10</v>
      </c>
      <c r="S14" s="17">
        <f t="shared" ref="S14:AF14" si="6">SUM(C26:C29)</f>
        <v>149</v>
      </c>
      <c r="T14" s="17">
        <f t="shared" si="6"/>
        <v>49</v>
      </c>
      <c r="U14" s="17">
        <f t="shared" si="6"/>
        <v>15</v>
      </c>
      <c r="V14" s="17">
        <f t="shared" si="6"/>
        <v>10</v>
      </c>
      <c r="W14" s="17">
        <f t="shared" si="6"/>
        <v>0</v>
      </c>
      <c r="X14" s="17">
        <f t="shared" si="6"/>
        <v>3</v>
      </c>
      <c r="Y14" s="17">
        <f t="shared" si="6"/>
        <v>5</v>
      </c>
      <c r="Z14" s="17">
        <f t="shared" si="6"/>
        <v>0</v>
      </c>
      <c r="AA14" s="17">
        <f t="shared" si="6"/>
        <v>2</v>
      </c>
      <c r="AB14" s="17">
        <f t="shared" si="6"/>
        <v>0</v>
      </c>
      <c r="AC14" s="17">
        <f t="shared" si="6"/>
        <v>145</v>
      </c>
      <c r="AD14" s="17">
        <f t="shared" si="6"/>
        <v>0</v>
      </c>
      <c r="AE14" s="31">
        <f t="shared" si="6"/>
        <v>233</v>
      </c>
      <c r="AF14" s="31">
        <f t="shared" si="6"/>
        <v>378</v>
      </c>
    </row>
    <row r="15" spans="2:32" ht="23.1" customHeight="1" x14ac:dyDescent="0.25">
      <c r="B15" s="23" t="s">
        <v>42</v>
      </c>
      <c r="C15" s="50">
        <v>27</v>
      </c>
      <c r="D15" s="50">
        <v>8</v>
      </c>
      <c r="E15" s="50">
        <v>3</v>
      </c>
      <c r="F15" s="50">
        <v>3</v>
      </c>
      <c r="G15" s="50">
        <v>0</v>
      </c>
      <c r="H15" s="50">
        <v>1</v>
      </c>
      <c r="I15" s="50">
        <v>2</v>
      </c>
      <c r="J15" s="50">
        <v>0</v>
      </c>
      <c r="K15" s="50">
        <v>0</v>
      </c>
      <c r="L15" s="50">
        <v>0</v>
      </c>
      <c r="M15" s="50">
        <v>33</v>
      </c>
      <c r="N15" s="50">
        <v>0</v>
      </c>
      <c r="O15" s="17">
        <f t="shared" si="0"/>
        <v>44</v>
      </c>
      <c r="P15" s="17">
        <f t="shared" si="1"/>
        <v>77</v>
      </c>
      <c r="R15" s="1" t="s">
        <v>11</v>
      </c>
      <c r="S15" s="17">
        <f t="shared" ref="S15:AF15" si="7">SUM(C30:C33)</f>
        <v>176</v>
      </c>
      <c r="T15" s="17">
        <f t="shared" si="7"/>
        <v>47</v>
      </c>
      <c r="U15" s="17">
        <f t="shared" si="7"/>
        <v>10</v>
      </c>
      <c r="V15" s="17">
        <f t="shared" si="7"/>
        <v>11</v>
      </c>
      <c r="W15" s="17">
        <f t="shared" si="7"/>
        <v>3</v>
      </c>
      <c r="X15" s="17">
        <f t="shared" si="7"/>
        <v>1</v>
      </c>
      <c r="Y15" s="17">
        <f t="shared" si="7"/>
        <v>15</v>
      </c>
      <c r="Z15" s="17">
        <f t="shared" si="7"/>
        <v>2</v>
      </c>
      <c r="AA15" s="17">
        <f t="shared" si="7"/>
        <v>2</v>
      </c>
      <c r="AB15" s="17">
        <f t="shared" si="7"/>
        <v>0</v>
      </c>
      <c r="AC15" s="17">
        <f t="shared" si="7"/>
        <v>78</v>
      </c>
      <c r="AD15" s="17">
        <f t="shared" si="7"/>
        <v>0</v>
      </c>
      <c r="AE15" s="31">
        <f t="shared" si="7"/>
        <v>267</v>
      </c>
      <c r="AF15" s="31">
        <f t="shared" si="7"/>
        <v>345</v>
      </c>
    </row>
    <row r="16" spans="2:32" ht="23.1" customHeight="1" x14ac:dyDescent="0.25">
      <c r="B16" s="23" t="s">
        <v>43</v>
      </c>
      <c r="C16" s="50">
        <v>36</v>
      </c>
      <c r="D16" s="50">
        <v>1</v>
      </c>
      <c r="E16" s="50">
        <v>2</v>
      </c>
      <c r="F16" s="50">
        <v>3</v>
      </c>
      <c r="G16" s="50">
        <v>0</v>
      </c>
      <c r="H16" s="50">
        <v>0</v>
      </c>
      <c r="I16" s="50">
        <v>1</v>
      </c>
      <c r="J16" s="50">
        <v>3</v>
      </c>
      <c r="K16" s="50">
        <v>0</v>
      </c>
      <c r="L16" s="50">
        <v>0</v>
      </c>
      <c r="M16" s="50">
        <v>33</v>
      </c>
      <c r="N16" s="50">
        <v>0</v>
      </c>
      <c r="O16" s="17">
        <f t="shared" si="0"/>
        <v>46</v>
      </c>
      <c r="P16" s="17">
        <f t="shared" si="1"/>
        <v>79</v>
      </c>
      <c r="R16" s="1" t="s">
        <v>12</v>
      </c>
      <c r="S16" s="17">
        <f t="shared" ref="S16:AF16" si="8">SUM(C34:C37)</f>
        <v>138</v>
      </c>
      <c r="T16" s="17">
        <f t="shared" si="8"/>
        <v>84</v>
      </c>
      <c r="U16" s="17">
        <f t="shared" si="8"/>
        <v>29</v>
      </c>
      <c r="V16" s="17">
        <f t="shared" si="8"/>
        <v>11</v>
      </c>
      <c r="W16" s="17">
        <f t="shared" si="8"/>
        <v>0</v>
      </c>
      <c r="X16" s="17">
        <f t="shared" si="8"/>
        <v>2</v>
      </c>
      <c r="Y16" s="17">
        <f t="shared" si="8"/>
        <v>13</v>
      </c>
      <c r="Z16" s="17">
        <f t="shared" si="8"/>
        <v>1</v>
      </c>
      <c r="AA16" s="17">
        <f t="shared" si="8"/>
        <v>1</v>
      </c>
      <c r="AB16" s="17">
        <f t="shared" si="8"/>
        <v>0</v>
      </c>
      <c r="AC16" s="17">
        <f t="shared" si="8"/>
        <v>119</v>
      </c>
      <c r="AD16" s="17">
        <f t="shared" si="8"/>
        <v>0</v>
      </c>
      <c r="AE16" s="31">
        <f t="shared" si="8"/>
        <v>279</v>
      </c>
      <c r="AF16" s="31">
        <f t="shared" si="8"/>
        <v>398</v>
      </c>
    </row>
    <row r="17" spans="2:32" ht="23.1" customHeight="1" x14ac:dyDescent="0.25">
      <c r="B17" s="23" t="s">
        <v>44</v>
      </c>
      <c r="C17" s="50">
        <v>26</v>
      </c>
      <c r="D17" s="50">
        <v>7</v>
      </c>
      <c r="E17" s="50">
        <v>3</v>
      </c>
      <c r="F17" s="50">
        <v>2</v>
      </c>
      <c r="G17" s="50">
        <v>1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30</v>
      </c>
      <c r="N17" s="50">
        <v>0</v>
      </c>
      <c r="O17" s="17">
        <f t="shared" si="0"/>
        <v>43</v>
      </c>
      <c r="P17" s="17">
        <f t="shared" si="1"/>
        <v>73</v>
      </c>
      <c r="R17" s="1" t="s">
        <v>13</v>
      </c>
      <c r="S17" s="17">
        <f t="shared" ref="S17:AF17" si="9">SUM(C38:C41)</f>
        <v>177</v>
      </c>
      <c r="T17" s="17">
        <f t="shared" si="9"/>
        <v>50</v>
      </c>
      <c r="U17" s="17">
        <f t="shared" si="9"/>
        <v>19</v>
      </c>
      <c r="V17" s="17">
        <f t="shared" si="9"/>
        <v>4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2</v>
      </c>
      <c r="AA17" s="17">
        <f t="shared" si="9"/>
        <v>0</v>
      </c>
      <c r="AB17" s="17">
        <f t="shared" si="9"/>
        <v>2</v>
      </c>
      <c r="AC17" s="17">
        <f t="shared" si="9"/>
        <v>134</v>
      </c>
      <c r="AD17" s="17">
        <f t="shared" si="9"/>
        <v>0</v>
      </c>
      <c r="AE17" s="31">
        <f t="shared" si="9"/>
        <v>268</v>
      </c>
      <c r="AF17" s="31">
        <f t="shared" si="9"/>
        <v>402</v>
      </c>
    </row>
    <row r="18" spans="2:32" ht="23.1" customHeight="1" x14ac:dyDescent="0.25">
      <c r="B18" s="23" t="s">
        <v>45</v>
      </c>
      <c r="C18" s="50">
        <v>35</v>
      </c>
      <c r="D18" s="50">
        <v>15</v>
      </c>
      <c r="E18" s="50">
        <v>6</v>
      </c>
      <c r="F18" s="50">
        <v>4</v>
      </c>
      <c r="G18" s="50">
        <v>0</v>
      </c>
      <c r="H18" s="50">
        <v>1</v>
      </c>
      <c r="I18" s="50">
        <v>7</v>
      </c>
      <c r="J18" s="50">
        <v>0</v>
      </c>
      <c r="K18" s="50">
        <v>0</v>
      </c>
      <c r="L18" s="50">
        <v>0</v>
      </c>
      <c r="M18" s="50">
        <v>41</v>
      </c>
      <c r="N18" s="50">
        <v>0</v>
      </c>
      <c r="O18" s="17">
        <f t="shared" si="0"/>
        <v>68</v>
      </c>
      <c r="P18" s="17">
        <f t="shared" si="1"/>
        <v>109</v>
      </c>
      <c r="R18" s="1" t="s">
        <v>14</v>
      </c>
      <c r="S18" s="17">
        <f t="shared" ref="S18:AF18" si="10">SUM(C42:C45)</f>
        <v>202</v>
      </c>
      <c r="T18" s="17">
        <f t="shared" si="10"/>
        <v>33</v>
      </c>
      <c r="U18" s="17">
        <f t="shared" si="10"/>
        <v>14</v>
      </c>
      <c r="V18" s="17">
        <f t="shared" si="10"/>
        <v>4</v>
      </c>
      <c r="W18" s="17">
        <f t="shared" si="10"/>
        <v>0</v>
      </c>
      <c r="X18" s="17">
        <f t="shared" si="10"/>
        <v>1</v>
      </c>
      <c r="Y18" s="17">
        <f t="shared" si="10"/>
        <v>13</v>
      </c>
      <c r="Z18" s="17">
        <f t="shared" si="10"/>
        <v>5</v>
      </c>
      <c r="AA18" s="17">
        <f t="shared" si="10"/>
        <v>1</v>
      </c>
      <c r="AB18" s="17">
        <f t="shared" si="10"/>
        <v>0</v>
      </c>
      <c r="AC18" s="17">
        <f t="shared" si="10"/>
        <v>176</v>
      </c>
      <c r="AD18" s="17">
        <f t="shared" si="10"/>
        <v>0</v>
      </c>
      <c r="AE18" s="31">
        <f t="shared" si="10"/>
        <v>273</v>
      </c>
      <c r="AF18" s="31">
        <f t="shared" si="10"/>
        <v>449</v>
      </c>
    </row>
    <row r="19" spans="2:32" ht="23.1" customHeight="1" x14ac:dyDescent="0.25">
      <c r="B19" s="23" t="s">
        <v>46</v>
      </c>
      <c r="C19" s="50">
        <v>27</v>
      </c>
      <c r="D19" s="50">
        <v>12</v>
      </c>
      <c r="E19" s="50">
        <v>5</v>
      </c>
      <c r="F19" s="50">
        <v>2</v>
      </c>
      <c r="G19" s="50">
        <v>2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50">
        <v>30</v>
      </c>
      <c r="N19" s="50">
        <v>0</v>
      </c>
      <c r="O19" s="17">
        <f t="shared" si="0"/>
        <v>53</v>
      </c>
      <c r="P19" s="17">
        <f t="shared" si="1"/>
        <v>83</v>
      </c>
      <c r="R19" s="1" t="s">
        <v>15</v>
      </c>
      <c r="S19" s="17">
        <f t="shared" ref="S19:AF19" si="11">SUM(C46:C49)</f>
        <v>142</v>
      </c>
      <c r="T19" s="17">
        <f t="shared" si="11"/>
        <v>63</v>
      </c>
      <c r="U19" s="17">
        <f t="shared" si="11"/>
        <v>21</v>
      </c>
      <c r="V19" s="17">
        <f t="shared" si="11"/>
        <v>11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175</v>
      </c>
      <c r="AD19" s="17">
        <f t="shared" si="11"/>
        <v>0</v>
      </c>
      <c r="AE19" s="31">
        <f t="shared" si="11"/>
        <v>252</v>
      </c>
      <c r="AF19" s="31">
        <f t="shared" si="11"/>
        <v>427</v>
      </c>
    </row>
    <row r="20" spans="2:32" ht="23.1" customHeight="1" x14ac:dyDescent="0.25">
      <c r="B20" s="23" t="s">
        <v>47</v>
      </c>
      <c r="C20" s="50">
        <v>36</v>
      </c>
      <c r="D20" s="50">
        <v>14</v>
      </c>
      <c r="E20" s="50">
        <v>2</v>
      </c>
      <c r="F20" s="50">
        <v>5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31</v>
      </c>
      <c r="N20" s="50">
        <v>0</v>
      </c>
      <c r="O20" s="17">
        <f t="shared" si="0"/>
        <v>58</v>
      </c>
      <c r="P20" s="17">
        <f t="shared" si="1"/>
        <v>89</v>
      </c>
      <c r="R20" s="1" t="s">
        <v>16</v>
      </c>
      <c r="S20" s="17">
        <f t="shared" ref="S20:AF20" si="12">SUM(C50:C53)</f>
        <v>165</v>
      </c>
      <c r="T20" s="17">
        <f t="shared" si="12"/>
        <v>47</v>
      </c>
      <c r="U20" s="17">
        <f t="shared" si="12"/>
        <v>13</v>
      </c>
      <c r="V20" s="17">
        <f t="shared" si="12"/>
        <v>13</v>
      </c>
      <c r="W20" s="17">
        <f t="shared" si="12"/>
        <v>0</v>
      </c>
      <c r="X20" s="17">
        <f t="shared" si="12"/>
        <v>0</v>
      </c>
      <c r="Y20" s="17">
        <f t="shared" si="12"/>
        <v>15</v>
      </c>
      <c r="Z20" s="17">
        <f t="shared" si="12"/>
        <v>6</v>
      </c>
      <c r="AA20" s="17">
        <f t="shared" si="12"/>
        <v>3</v>
      </c>
      <c r="AB20" s="17">
        <f t="shared" si="12"/>
        <v>0</v>
      </c>
      <c r="AC20" s="17">
        <f t="shared" si="12"/>
        <v>136</v>
      </c>
      <c r="AD20" s="17">
        <f t="shared" si="12"/>
        <v>0</v>
      </c>
      <c r="AE20" s="31">
        <f t="shared" si="12"/>
        <v>262</v>
      </c>
      <c r="AF20" s="31">
        <f t="shared" si="12"/>
        <v>398</v>
      </c>
    </row>
    <row r="21" spans="2:32" ht="23.1" customHeight="1" x14ac:dyDescent="0.25">
      <c r="B21" s="23" t="s">
        <v>48</v>
      </c>
      <c r="C21" s="50">
        <v>20</v>
      </c>
      <c r="D21" s="50">
        <v>5</v>
      </c>
      <c r="E21" s="50">
        <v>7</v>
      </c>
      <c r="F21" s="50">
        <v>0</v>
      </c>
      <c r="G21" s="50">
        <v>0</v>
      </c>
      <c r="H21" s="50">
        <v>0</v>
      </c>
      <c r="I21" s="50">
        <v>5</v>
      </c>
      <c r="J21" s="50">
        <v>1</v>
      </c>
      <c r="K21" s="50">
        <v>1</v>
      </c>
      <c r="L21" s="50">
        <v>0</v>
      </c>
      <c r="M21" s="50">
        <v>36</v>
      </c>
      <c r="N21" s="50">
        <v>0</v>
      </c>
      <c r="O21" s="17">
        <f t="shared" si="0"/>
        <v>39</v>
      </c>
      <c r="P21" s="17">
        <f t="shared" si="1"/>
        <v>75</v>
      </c>
      <c r="R21" s="36" t="s">
        <v>20</v>
      </c>
      <c r="S21" s="34">
        <f t="shared" ref="S21:AF21" si="13">SUM(C54:C57)</f>
        <v>196</v>
      </c>
      <c r="T21" s="17">
        <f t="shared" si="13"/>
        <v>51</v>
      </c>
      <c r="U21" s="17">
        <f t="shared" si="13"/>
        <v>22</v>
      </c>
      <c r="V21" s="17">
        <f t="shared" si="13"/>
        <v>12</v>
      </c>
      <c r="W21" s="17">
        <f t="shared" si="13"/>
        <v>2</v>
      </c>
      <c r="X21" s="17">
        <f t="shared" si="13"/>
        <v>2</v>
      </c>
      <c r="Y21" s="17">
        <f t="shared" si="13"/>
        <v>15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178</v>
      </c>
      <c r="AD21" s="17">
        <f t="shared" si="13"/>
        <v>0</v>
      </c>
      <c r="AE21" s="31">
        <f t="shared" si="13"/>
        <v>302</v>
      </c>
      <c r="AF21" s="31">
        <f t="shared" si="13"/>
        <v>480</v>
      </c>
    </row>
    <row r="22" spans="2:32" ht="23.1" customHeight="1" x14ac:dyDescent="0.25">
      <c r="B22" s="23" t="s">
        <v>49</v>
      </c>
      <c r="C22" s="50">
        <v>37</v>
      </c>
      <c r="D22" s="50">
        <v>20</v>
      </c>
      <c r="E22" s="50">
        <v>3</v>
      </c>
      <c r="F22" s="50">
        <v>2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40</v>
      </c>
      <c r="N22" s="50">
        <v>0</v>
      </c>
      <c r="O22" s="17">
        <f t="shared" si="0"/>
        <v>64</v>
      </c>
      <c r="P22" s="17">
        <f t="shared" si="1"/>
        <v>104</v>
      </c>
      <c r="R22" s="51" t="s">
        <v>90</v>
      </c>
      <c r="S22" s="52">
        <f>MAX(S10:S12)</f>
        <v>118</v>
      </c>
      <c r="T22" s="52">
        <f t="shared" ref="T22:AF22" si="14">MAX(T10:T12)</f>
        <v>46</v>
      </c>
      <c r="U22" s="52">
        <f t="shared" si="14"/>
        <v>20</v>
      </c>
      <c r="V22" s="52">
        <f t="shared" si="14"/>
        <v>12</v>
      </c>
      <c r="W22" s="52">
        <f t="shared" si="14"/>
        <v>2</v>
      </c>
      <c r="X22" s="52">
        <f t="shared" si="14"/>
        <v>2</v>
      </c>
      <c r="Y22" s="52">
        <f t="shared" si="14"/>
        <v>18</v>
      </c>
      <c r="Z22" s="52">
        <f t="shared" si="14"/>
        <v>4</v>
      </c>
      <c r="AA22" s="52">
        <f t="shared" si="14"/>
        <v>1</v>
      </c>
      <c r="AB22" s="52">
        <f t="shared" si="14"/>
        <v>0</v>
      </c>
      <c r="AC22" s="52">
        <f t="shared" si="14"/>
        <v>138</v>
      </c>
      <c r="AD22" s="52">
        <f t="shared" si="14"/>
        <v>0</v>
      </c>
      <c r="AE22" s="40">
        <f t="shared" si="14"/>
        <v>218</v>
      </c>
      <c r="AF22" s="40">
        <f t="shared" si="14"/>
        <v>356</v>
      </c>
    </row>
    <row r="23" spans="2:32" ht="23.1" customHeight="1" x14ac:dyDescent="0.25">
      <c r="B23" s="23" t="s">
        <v>50</v>
      </c>
      <c r="C23" s="50">
        <v>38</v>
      </c>
      <c r="D23" s="50">
        <v>17</v>
      </c>
      <c r="E23" s="50">
        <v>4</v>
      </c>
      <c r="F23" s="50">
        <v>2</v>
      </c>
      <c r="G23" s="50">
        <v>1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41</v>
      </c>
      <c r="N23" s="50">
        <v>0</v>
      </c>
      <c r="O23" s="17">
        <f t="shared" si="0"/>
        <v>63</v>
      </c>
      <c r="P23" s="17">
        <f t="shared" si="1"/>
        <v>104</v>
      </c>
      <c r="R23" s="51" t="s">
        <v>91</v>
      </c>
      <c r="S23" s="52">
        <f>MAX(S13:S18)</f>
        <v>202</v>
      </c>
      <c r="T23" s="52">
        <f t="shared" ref="T23:AF23" si="15">MAX(T13:T18)</f>
        <v>84</v>
      </c>
      <c r="U23" s="52">
        <f t="shared" si="15"/>
        <v>29</v>
      </c>
      <c r="V23" s="52">
        <f t="shared" si="15"/>
        <v>12</v>
      </c>
      <c r="W23" s="52">
        <f t="shared" si="15"/>
        <v>3</v>
      </c>
      <c r="X23" s="52">
        <f t="shared" si="15"/>
        <v>3</v>
      </c>
      <c r="Y23" s="52">
        <f t="shared" si="15"/>
        <v>15</v>
      </c>
      <c r="Z23" s="52">
        <f t="shared" si="15"/>
        <v>5</v>
      </c>
      <c r="AA23" s="52">
        <f t="shared" si="15"/>
        <v>2</v>
      </c>
      <c r="AB23" s="52">
        <f t="shared" si="15"/>
        <v>2</v>
      </c>
      <c r="AC23" s="52">
        <f t="shared" si="15"/>
        <v>176</v>
      </c>
      <c r="AD23" s="52">
        <f t="shared" si="15"/>
        <v>0</v>
      </c>
      <c r="AE23" s="40">
        <f t="shared" si="15"/>
        <v>279</v>
      </c>
      <c r="AF23" s="40">
        <f t="shared" si="15"/>
        <v>449</v>
      </c>
    </row>
    <row r="24" spans="2:32" ht="23.1" customHeight="1" x14ac:dyDescent="0.25">
      <c r="B24" s="23" t="s">
        <v>51</v>
      </c>
      <c r="C24" s="50">
        <v>22</v>
      </c>
      <c r="D24" s="50">
        <v>12</v>
      </c>
      <c r="E24" s="50">
        <v>6</v>
      </c>
      <c r="F24" s="50">
        <v>3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29</v>
      </c>
      <c r="N24" s="50">
        <v>0</v>
      </c>
      <c r="O24" s="17">
        <f t="shared" si="0"/>
        <v>46</v>
      </c>
      <c r="P24" s="17">
        <f t="shared" si="1"/>
        <v>75</v>
      </c>
      <c r="R24" s="51" t="s">
        <v>92</v>
      </c>
      <c r="S24" s="52">
        <f>MAX(S19:S21)</f>
        <v>196</v>
      </c>
      <c r="T24" s="52">
        <f t="shared" ref="T24:AF24" si="16">MAX(T19:T21)</f>
        <v>63</v>
      </c>
      <c r="U24" s="52">
        <f t="shared" si="16"/>
        <v>22</v>
      </c>
      <c r="V24" s="52">
        <f t="shared" si="16"/>
        <v>13</v>
      </c>
      <c r="W24" s="52">
        <f t="shared" si="16"/>
        <v>2</v>
      </c>
      <c r="X24" s="52">
        <f t="shared" si="16"/>
        <v>2</v>
      </c>
      <c r="Y24" s="52">
        <f t="shared" si="16"/>
        <v>15</v>
      </c>
      <c r="Z24" s="52">
        <f t="shared" si="16"/>
        <v>6</v>
      </c>
      <c r="AA24" s="52">
        <f t="shared" si="16"/>
        <v>3</v>
      </c>
      <c r="AB24" s="52">
        <f t="shared" si="16"/>
        <v>0</v>
      </c>
      <c r="AC24" s="52">
        <f t="shared" si="16"/>
        <v>178</v>
      </c>
      <c r="AD24" s="52">
        <f t="shared" si="16"/>
        <v>0</v>
      </c>
      <c r="AE24" s="40">
        <f t="shared" si="16"/>
        <v>302</v>
      </c>
      <c r="AF24" s="40">
        <f t="shared" si="16"/>
        <v>480</v>
      </c>
    </row>
    <row r="25" spans="2:32" ht="23.1" customHeight="1" x14ac:dyDescent="0.25">
      <c r="B25" s="23" t="s">
        <v>52</v>
      </c>
      <c r="C25" s="50">
        <v>28</v>
      </c>
      <c r="D25" s="50">
        <v>16</v>
      </c>
      <c r="E25" s="50">
        <v>5</v>
      </c>
      <c r="F25" s="50">
        <v>5</v>
      </c>
      <c r="G25" s="50">
        <v>1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24</v>
      </c>
      <c r="N25" s="50">
        <v>0</v>
      </c>
      <c r="O25" s="17">
        <f t="shared" si="0"/>
        <v>60</v>
      </c>
      <c r="P25" s="17">
        <f t="shared" si="1"/>
        <v>84</v>
      </c>
      <c r="R25" s="37" t="s">
        <v>85</v>
      </c>
      <c r="S25" s="35">
        <f t="shared" ref="S25:AF25" si="17">SUM(S10:S12)</f>
        <v>287</v>
      </c>
      <c r="T25" s="16">
        <f t="shared" si="17"/>
        <v>71</v>
      </c>
      <c r="U25" s="16">
        <f t="shared" si="17"/>
        <v>38</v>
      </c>
      <c r="V25" s="16">
        <f t="shared" si="17"/>
        <v>32</v>
      </c>
      <c r="W25" s="16">
        <f t="shared" si="17"/>
        <v>3</v>
      </c>
      <c r="X25" s="16">
        <f t="shared" si="17"/>
        <v>4</v>
      </c>
      <c r="Y25" s="16">
        <f t="shared" si="17"/>
        <v>35</v>
      </c>
      <c r="Z25" s="16">
        <f t="shared" si="17"/>
        <v>8</v>
      </c>
      <c r="AA25" s="16">
        <f t="shared" si="17"/>
        <v>1</v>
      </c>
      <c r="AB25" s="16">
        <f t="shared" si="17"/>
        <v>0</v>
      </c>
      <c r="AC25" s="16">
        <f t="shared" si="17"/>
        <v>350</v>
      </c>
      <c r="AD25" s="16">
        <f t="shared" si="17"/>
        <v>0</v>
      </c>
      <c r="AE25" s="32">
        <f t="shared" si="17"/>
        <v>479</v>
      </c>
      <c r="AF25" s="32">
        <f t="shared" si="17"/>
        <v>829</v>
      </c>
    </row>
    <row r="26" spans="2:32" ht="23.1" customHeight="1" x14ac:dyDescent="0.25">
      <c r="B26" s="23" t="s">
        <v>53</v>
      </c>
      <c r="C26" s="50">
        <v>41</v>
      </c>
      <c r="D26" s="50">
        <v>15</v>
      </c>
      <c r="E26" s="50">
        <v>10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45</v>
      </c>
      <c r="N26" s="50">
        <v>0</v>
      </c>
      <c r="O26" s="17">
        <f t="shared" si="0"/>
        <v>68</v>
      </c>
      <c r="P26" s="17">
        <f t="shared" si="1"/>
        <v>113</v>
      </c>
      <c r="R26" s="28" t="s">
        <v>86</v>
      </c>
      <c r="S26" s="16">
        <f t="shared" ref="S26:AF26" si="18">SUM(S13:S18)</f>
        <v>967</v>
      </c>
      <c r="T26" s="16">
        <f t="shared" si="18"/>
        <v>328</v>
      </c>
      <c r="U26" s="16">
        <f t="shared" si="18"/>
        <v>105</v>
      </c>
      <c r="V26" s="16">
        <f t="shared" si="18"/>
        <v>52</v>
      </c>
      <c r="W26" s="16">
        <f t="shared" si="18"/>
        <v>5</v>
      </c>
      <c r="X26" s="16">
        <f t="shared" si="18"/>
        <v>7</v>
      </c>
      <c r="Y26" s="16">
        <f t="shared" si="18"/>
        <v>70</v>
      </c>
      <c r="Z26" s="16">
        <f t="shared" si="18"/>
        <v>10</v>
      </c>
      <c r="AA26" s="16">
        <f t="shared" si="18"/>
        <v>7</v>
      </c>
      <c r="AB26" s="16">
        <f t="shared" si="18"/>
        <v>2</v>
      </c>
      <c r="AC26" s="16">
        <f t="shared" si="18"/>
        <v>786</v>
      </c>
      <c r="AD26" s="16">
        <f t="shared" si="18"/>
        <v>0</v>
      </c>
      <c r="AE26" s="32">
        <f t="shared" si="18"/>
        <v>1553</v>
      </c>
      <c r="AF26" s="32">
        <f t="shared" si="18"/>
        <v>2339</v>
      </c>
    </row>
    <row r="27" spans="2:32" ht="23.1" customHeight="1" x14ac:dyDescent="0.25">
      <c r="B27" s="23" t="s">
        <v>54</v>
      </c>
      <c r="C27" s="50">
        <v>36</v>
      </c>
      <c r="D27" s="50">
        <v>11</v>
      </c>
      <c r="E27" s="50">
        <v>2</v>
      </c>
      <c r="F27" s="50">
        <v>2</v>
      </c>
      <c r="G27" s="50">
        <v>0</v>
      </c>
      <c r="H27" s="50">
        <v>1</v>
      </c>
      <c r="I27" s="50">
        <v>1</v>
      </c>
      <c r="J27" s="50">
        <v>0</v>
      </c>
      <c r="K27" s="50">
        <v>1</v>
      </c>
      <c r="L27" s="50">
        <v>0</v>
      </c>
      <c r="M27" s="50">
        <v>39</v>
      </c>
      <c r="N27" s="50">
        <v>0</v>
      </c>
      <c r="O27" s="17">
        <f t="shared" si="0"/>
        <v>54</v>
      </c>
      <c r="P27" s="17">
        <f t="shared" si="1"/>
        <v>93</v>
      </c>
      <c r="R27" s="29" t="s">
        <v>87</v>
      </c>
      <c r="S27" s="16">
        <f t="shared" ref="S27:AF27" si="19">SUM(S19:S21)</f>
        <v>503</v>
      </c>
      <c r="T27" s="16">
        <f t="shared" si="19"/>
        <v>161</v>
      </c>
      <c r="U27" s="16">
        <f t="shared" si="19"/>
        <v>56</v>
      </c>
      <c r="V27" s="16">
        <f t="shared" si="19"/>
        <v>36</v>
      </c>
      <c r="W27" s="16">
        <f t="shared" si="19"/>
        <v>2</v>
      </c>
      <c r="X27" s="16">
        <f t="shared" si="19"/>
        <v>2</v>
      </c>
      <c r="Y27" s="16">
        <f t="shared" si="19"/>
        <v>43</v>
      </c>
      <c r="Z27" s="16">
        <f t="shared" si="19"/>
        <v>9</v>
      </c>
      <c r="AA27" s="16">
        <f t="shared" si="19"/>
        <v>4</v>
      </c>
      <c r="AB27" s="16">
        <f t="shared" si="19"/>
        <v>0</v>
      </c>
      <c r="AC27" s="16">
        <f t="shared" si="19"/>
        <v>489</v>
      </c>
      <c r="AD27" s="16">
        <f t="shared" si="19"/>
        <v>0</v>
      </c>
      <c r="AE27" s="32">
        <f t="shared" si="19"/>
        <v>816</v>
      </c>
      <c r="AF27" s="32">
        <f t="shared" si="19"/>
        <v>1305</v>
      </c>
    </row>
    <row r="28" spans="2:32" ht="23.1" customHeight="1" x14ac:dyDescent="0.25">
      <c r="B28" s="23" t="s">
        <v>55</v>
      </c>
      <c r="C28" s="50">
        <v>47</v>
      </c>
      <c r="D28" s="50">
        <v>14</v>
      </c>
      <c r="E28" s="50">
        <v>1</v>
      </c>
      <c r="F28" s="50">
        <v>4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35</v>
      </c>
      <c r="N28" s="50">
        <v>0</v>
      </c>
      <c r="O28" s="17">
        <f t="shared" si="0"/>
        <v>69</v>
      </c>
      <c r="P28" s="17">
        <f t="shared" si="1"/>
        <v>104</v>
      </c>
      <c r="R28" s="5" t="s">
        <v>17</v>
      </c>
      <c r="S28" s="16">
        <f t="shared" ref="S28:AF28" si="20">SUM(S10:S21)</f>
        <v>1757</v>
      </c>
      <c r="T28" s="16">
        <f t="shared" si="20"/>
        <v>560</v>
      </c>
      <c r="U28" s="16">
        <f t="shared" si="20"/>
        <v>199</v>
      </c>
      <c r="V28" s="16">
        <f t="shared" si="20"/>
        <v>120</v>
      </c>
      <c r="W28" s="16">
        <f t="shared" si="20"/>
        <v>10</v>
      </c>
      <c r="X28" s="16">
        <f t="shared" si="20"/>
        <v>13</v>
      </c>
      <c r="Y28" s="16">
        <f t="shared" si="20"/>
        <v>148</v>
      </c>
      <c r="Z28" s="16">
        <f t="shared" si="20"/>
        <v>27</v>
      </c>
      <c r="AA28" s="16">
        <f t="shared" si="20"/>
        <v>12</v>
      </c>
      <c r="AB28" s="16">
        <f t="shared" si="20"/>
        <v>2</v>
      </c>
      <c r="AC28" s="16">
        <f t="shared" si="20"/>
        <v>1625</v>
      </c>
      <c r="AD28" s="16">
        <f t="shared" si="20"/>
        <v>0</v>
      </c>
      <c r="AE28" s="32">
        <f t="shared" si="20"/>
        <v>2848</v>
      </c>
      <c r="AF28" s="32">
        <f t="shared" si="20"/>
        <v>4473</v>
      </c>
    </row>
    <row r="29" spans="2:32" ht="23.1" customHeight="1" x14ac:dyDescent="0.25">
      <c r="B29" s="23" t="s">
        <v>56</v>
      </c>
      <c r="C29" s="50">
        <v>25</v>
      </c>
      <c r="D29" s="50">
        <v>9</v>
      </c>
      <c r="E29" s="50">
        <v>2</v>
      </c>
      <c r="F29" s="50">
        <v>3</v>
      </c>
      <c r="G29" s="50">
        <v>0</v>
      </c>
      <c r="H29" s="50">
        <v>2</v>
      </c>
      <c r="I29" s="50">
        <v>1</v>
      </c>
      <c r="J29" s="50">
        <v>0</v>
      </c>
      <c r="K29" s="50">
        <v>0</v>
      </c>
      <c r="L29" s="50">
        <v>0</v>
      </c>
      <c r="M29" s="50">
        <v>26</v>
      </c>
      <c r="N29" s="50">
        <v>0</v>
      </c>
      <c r="O29" s="17">
        <f t="shared" si="0"/>
        <v>42</v>
      </c>
      <c r="P29" s="17">
        <f t="shared" si="1"/>
        <v>68</v>
      </c>
      <c r="R29"/>
      <c r="S29" s="20"/>
      <c r="T29" s="19"/>
    </row>
    <row r="30" spans="2:32" ht="23.1" customHeight="1" x14ac:dyDescent="0.25">
      <c r="B30" s="23" t="s">
        <v>57</v>
      </c>
      <c r="C30" s="50">
        <v>45</v>
      </c>
      <c r="D30" s="50">
        <v>18</v>
      </c>
      <c r="E30" s="50">
        <v>3</v>
      </c>
      <c r="F30" s="50">
        <v>6</v>
      </c>
      <c r="G30" s="50">
        <v>1</v>
      </c>
      <c r="H30" s="50">
        <v>0</v>
      </c>
      <c r="I30" s="50">
        <v>6</v>
      </c>
      <c r="J30" s="50">
        <v>1</v>
      </c>
      <c r="K30" s="50">
        <v>1</v>
      </c>
      <c r="L30" s="50">
        <v>0</v>
      </c>
      <c r="M30" s="50">
        <v>27</v>
      </c>
      <c r="N30" s="50">
        <v>0</v>
      </c>
      <c r="O30" s="17">
        <f t="shared" si="0"/>
        <v>81</v>
      </c>
      <c r="P30" s="17">
        <f t="shared" si="1"/>
        <v>108</v>
      </c>
      <c r="R30"/>
      <c r="S30" s="19"/>
      <c r="T30" s="19"/>
    </row>
    <row r="31" spans="2:32" ht="23.1" customHeight="1" x14ac:dyDescent="0.25">
      <c r="B31" s="24" t="s">
        <v>58</v>
      </c>
      <c r="C31" s="50">
        <v>42</v>
      </c>
      <c r="D31" s="50">
        <v>16</v>
      </c>
      <c r="E31" s="50">
        <v>2</v>
      </c>
      <c r="F31" s="50">
        <v>3</v>
      </c>
      <c r="G31" s="50">
        <v>2</v>
      </c>
      <c r="H31" s="50">
        <v>1</v>
      </c>
      <c r="I31" s="50">
        <v>5</v>
      </c>
      <c r="J31" s="50">
        <v>1</v>
      </c>
      <c r="K31" s="50">
        <v>1</v>
      </c>
      <c r="L31" s="50">
        <v>0</v>
      </c>
      <c r="M31" s="50">
        <v>23</v>
      </c>
      <c r="N31" s="50">
        <v>0</v>
      </c>
      <c r="O31" s="17">
        <f t="shared" si="0"/>
        <v>73</v>
      </c>
      <c r="P31" s="17">
        <f t="shared" si="1"/>
        <v>96</v>
      </c>
      <c r="R31"/>
      <c r="S31" s="19"/>
      <c r="T31" s="19"/>
    </row>
    <row r="32" spans="2:32" ht="23.1" customHeight="1" x14ac:dyDescent="0.25">
      <c r="B32" s="24" t="s">
        <v>59</v>
      </c>
      <c r="C32" s="50">
        <v>40</v>
      </c>
      <c r="D32" s="50">
        <v>4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7">
        <f t="shared" si="0"/>
        <v>47</v>
      </c>
      <c r="P32" s="17">
        <f t="shared" si="1"/>
        <v>58</v>
      </c>
      <c r="R32"/>
      <c r="S32" s="19"/>
      <c r="T32" s="19"/>
    </row>
    <row r="33" spans="2:20" ht="23.1" customHeight="1" x14ac:dyDescent="0.25">
      <c r="B33" s="23" t="s">
        <v>60</v>
      </c>
      <c r="C33" s="50">
        <v>49</v>
      </c>
      <c r="D33" s="50">
        <v>9</v>
      </c>
      <c r="E33" s="50">
        <v>3</v>
      </c>
      <c r="F33" s="50">
        <v>2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7">
        <f t="shared" si="0"/>
        <v>66</v>
      </c>
      <c r="P33" s="17">
        <f t="shared" si="1"/>
        <v>83</v>
      </c>
      <c r="R33"/>
      <c r="S33" s="19"/>
      <c r="T33" s="19"/>
    </row>
    <row r="34" spans="2:20" ht="23.1" customHeight="1" x14ac:dyDescent="0.25">
      <c r="B34" s="24" t="s">
        <v>61</v>
      </c>
      <c r="C34" s="50">
        <v>33</v>
      </c>
      <c r="D34" s="50">
        <v>25</v>
      </c>
      <c r="E34" s="50">
        <v>16</v>
      </c>
      <c r="F34" s="50">
        <v>2</v>
      </c>
      <c r="G34" s="50">
        <v>0</v>
      </c>
      <c r="H34" s="50">
        <v>0</v>
      </c>
      <c r="I34" s="50">
        <v>4</v>
      </c>
      <c r="J34" s="50">
        <v>0</v>
      </c>
      <c r="K34" s="50">
        <v>0</v>
      </c>
      <c r="L34" s="50">
        <v>0</v>
      </c>
      <c r="M34" s="50">
        <v>23</v>
      </c>
      <c r="N34" s="50">
        <v>0</v>
      </c>
      <c r="O34" s="17">
        <f t="shared" si="0"/>
        <v>80</v>
      </c>
      <c r="P34" s="17">
        <f t="shared" si="1"/>
        <v>103</v>
      </c>
      <c r="R34"/>
      <c r="S34" s="19"/>
      <c r="T34" s="19"/>
    </row>
    <row r="35" spans="2:20" ht="23.1" customHeight="1" x14ac:dyDescent="0.25">
      <c r="B35" s="24" t="s">
        <v>62</v>
      </c>
      <c r="C35" s="50">
        <v>37</v>
      </c>
      <c r="D35" s="50">
        <v>23</v>
      </c>
      <c r="E35" s="50">
        <v>6</v>
      </c>
      <c r="F35" s="50">
        <v>2</v>
      </c>
      <c r="G35" s="50">
        <v>0</v>
      </c>
      <c r="H35" s="50">
        <v>1</v>
      </c>
      <c r="I35" s="50">
        <v>4</v>
      </c>
      <c r="J35" s="50">
        <v>1</v>
      </c>
      <c r="K35" s="50">
        <v>0</v>
      </c>
      <c r="L35" s="50">
        <v>0</v>
      </c>
      <c r="M35" s="50">
        <v>27</v>
      </c>
      <c r="N35" s="50">
        <v>0</v>
      </c>
      <c r="O35" s="17">
        <f t="shared" si="0"/>
        <v>74</v>
      </c>
      <c r="P35" s="17">
        <f t="shared" si="1"/>
        <v>101</v>
      </c>
      <c r="R35"/>
      <c r="S35" s="19"/>
      <c r="T35" s="19"/>
    </row>
    <row r="36" spans="2:20" ht="23.1" customHeight="1" x14ac:dyDescent="0.25">
      <c r="B36" s="24" t="s">
        <v>63</v>
      </c>
      <c r="C36" s="50">
        <v>38</v>
      </c>
      <c r="D36" s="50">
        <v>21</v>
      </c>
      <c r="E36" s="50">
        <v>3</v>
      </c>
      <c r="F36" s="50">
        <v>1</v>
      </c>
      <c r="G36" s="50">
        <v>0</v>
      </c>
      <c r="H36" s="50">
        <v>1</v>
      </c>
      <c r="I36" s="50">
        <v>4</v>
      </c>
      <c r="J36" s="50">
        <v>0</v>
      </c>
      <c r="K36" s="50">
        <v>0</v>
      </c>
      <c r="L36" s="50">
        <v>0</v>
      </c>
      <c r="M36" s="50">
        <v>33</v>
      </c>
      <c r="N36" s="50">
        <v>0</v>
      </c>
      <c r="O36" s="17">
        <f t="shared" si="0"/>
        <v>68</v>
      </c>
      <c r="P36" s="17">
        <f t="shared" si="1"/>
        <v>101</v>
      </c>
      <c r="R36"/>
      <c r="S36" s="19"/>
      <c r="T36" s="19"/>
    </row>
    <row r="37" spans="2:20" ht="23.1" customHeight="1" x14ac:dyDescent="0.25">
      <c r="B37" s="23" t="s">
        <v>64</v>
      </c>
      <c r="C37" s="50">
        <v>30</v>
      </c>
      <c r="D37" s="50">
        <v>15</v>
      </c>
      <c r="E37" s="50">
        <v>4</v>
      </c>
      <c r="F37" s="50">
        <v>6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0</v>
      </c>
      <c r="M37" s="50">
        <v>36</v>
      </c>
      <c r="N37" s="50">
        <v>0</v>
      </c>
      <c r="O37" s="17">
        <f t="shared" si="0"/>
        <v>57</v>
      </c>
      <c r="P37" s="17">
        <f t="shared" si="1"/>
        <v>93</v>
      </c>
      <c r="R37"/>
      <c r="S37" s="19"/>
      <c r="T37" s="19"/>
    </row>
    <row r="38" spans="2:20" ht="23.1" customHeight="1" x14ac:dyDescent="0.25">
      <c r="B38" s="24" t="s">
        <v>65</v>
      </c>
      <c r="C38" s="50">
        <v>40</v>
      </c>
      <c r="D38" s="50">
        <v>8</v>
      </c>
      <c r="E38" s="50">
        <v>3</v>
      </c>
      <c r="F38" s="50">
        <v>2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2</v>
      </c>
      <c r="M38" s="50">
        <v>29</v>
      </c>
      <c r="N38" s="50">
        <v>0</v>
      </c>
      <c r="O38" s="17">
        <f t="shared" si="0"/>
        <v>60</v>
      </c>
      <c r="P38" s="17">
        <f t="shared" si="1"/>
        <v>89</v>
      </c>
      <c r="R38"/>
      <c r="S38" s="19"/>
      <c r="T38" s="19"/>
    </row>
    <row r="39" spans="2:20" ht="23.1" customHeight="1" x14ac:dyDescent="0.25">
      <c r="B39" s="24" t="s">
        <v>66</v>
      </c>
      <c r="C39" s="50">
        <v>40</v>
      </c>
      <c r="D39" s="50">
        <v>15</v>
      </c>
      <c r="E39" s="50">
        <v>4</v>
      </c>
      <c r="F39" s="50">
        <v>1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32</v>
      </c>
      <c r="N39" s="50">
        <v>0</v>
      </c>
      <c r="O39" s="17">
        <f t="shared" si="0"/>
        <v>65</v>
      </c>
      <c r="P39" s="17">
        <f t="shared" si="1"/>
        <v>97</v>
      </c>
      <c r="R39"/>
      <c r="S39" s="19"/>
      <c r="T39" s="19"/>
    </row>
    <row r="40" spans="2:20" ht="23.1" customHeight="1" x14ac:dyDescent="0.25">
      <c r="B40" s="24" t="s">
        <v>67</v>
      </c>
      <c r="C40" s="50">
        <v>37</v>
      </c>
      <c r="D40" s="50">
        <v>15</v>
      </c>
      <c r="E40" s="50">
        <v>7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31</v>
      </c>
      <c r="N40" s="50">
        <v>0</v>
      </c>
      <c r="O40" s="17">
        <f t="shared" si="0"/>
        <v>60</v>
      </c>
      <c r="P40" s="17">
        <f t="shared" si="1"/>
        <v>91</v>
      </c>
      <c r="R40"/>
      <c r="S40" s="19"/>
      <c r="T40" s="19"/>
    </row>
    <row r="41" spans="2:20" ht="23.1" customHeight="1" x14ac:dyDescent="0.25">
      <c r="B41" s="23" t="s">
        <v>68</v>
      </c>
      <c r="C41" s="50">
        <v>60</v>
      </c>
      <c r="D41" s="50">
        <v>12</v>
      </c>
      <c r="E41" s="50">
        <v>5</v>
      </c>
      <c r="F41" s="50">
        <v>1</v>
      </c>
      <c r="G41" s="50">
        <v>0</v>
      </c>
      <c r="H41" s="50">
        <v>0</v>
      </c>
      <c r="I41" s="50">
        <v>4</v>
      </c>
      <c r="J41" s="50">
        <v>1</v>
      </c>
      <c r="K41" s="50">
        <v>0</v>
      </c>
      <c r="L41" s="50">
        <v>0</v>
      </c>
      <c r="M41" s="50">
        <v>42</v>
      </c>
      <c r="N41" s="50">
        <v>0</v>
      </c>
      <c r="O41" s="17">
        <f t="shared" si="0"/>
        <v>83</v>
      </c>
      <c r="P41" s="17">
        <f t="shared" si="1"/>
        <v>125</v>
      </c>
      <c r="R41"/>
      <c r="S41" s="19"/>
      <c r="T41" s="19"/>
    </row>
    <row r="42" spans="2:20" ht="23.1" customHeight="1" x14ac:dyDescent="0.25">
      <c r="B42" s="24" t="s">
        <v>69</v>
      </c>
      <c r="C42" s="50">
        <v>54</v>
      </c>
      <c r="D42" s="50">
        <v>12</v>
      </c>
      <c r="E42" s="50">
        <v>2</v>
      </c>
      <c r="F42" s="50">
        <v>0</v>
      </c>
      <c r="G42" s="50">
        <v>0</v>
      </c>
      <c r="H42" s="50">
        <v>1</v>
      </c>
      <c r="I42" s="50">
        <v>1</v>
      </c>
      <c r="J42" s="50">
        <v>1</v>
      </c>
      <c r="K42" s="50">
        <v>0</v>
      </c>
      <c r="L42" s="50">
        <v>0</v>
      </c>
      <c r="M42" s="50">
        <v>37</v>
      </c>
      <c r="N42" s="50">
        <v>0</v>
      </c>
      <c r="O42" s="17">
        <f t="shared" si="0"/>
        <v>71</v>
      </c>
      <c r="P42" s="17">
        <f t="shared" si="1"/>
        <v>108</v>
      </c>
      <c r="R42"/>
      <c r="S42" s="19"/>
      <c r="T42" s="19"/>
    </row>
    <row r="43" spans="2:20" ht="23.1" customHeight="1" x14ac:dyDescent="0.25">
      <c r="B43" s="23" t="s">
        <v>70</v>
      </c>
      <c r="C43" s="50">
        <v>48</v>
      </c>
      <c r="D43" s="50">
        <v>4</v>
      </c>
      <c r="E43" s="50">
        <v>4</v>
      </c>
      <c r="F43" s="50">
        <v>0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55</v>
      </c>
      <c r="N43" s="50">
        <v>0</v>
      </c>
      <c r="O43" s="17">
        <f t="shared" si="0"/>
        <v>61</v>
      </c>
      <c r="P43" s="17">
        <f t="shared" si="1"/>
        <v>116</v>
      </c>
      <c r="R43"/>
      <c r="S43" s="19"/>
      <c r="T43" s="19"/>
    </row>
    <row r="44" spans="2:20" ht="23.1" customHeight="1" x14ac:dyDescent="0.25">
      <c r="B44" s="25" t="s">
        <v>71</v>
      </c>
      <c r="C44" s="50">
        <v>51</v>
      </c>
      <c r="D44" s="50">
        <v>5</v>
      </c>
      <c r="E44" s="50">
        <v>3</v>
      </c>
      <c r="F44" s="50">
        <v>2</v>
      </c>
      <c r="G44" s="50">
        <v>0</v>
      </c>
      <c r="H44" s="50">
        <v>0</v>
      </c>
      <c r="I44" s="50">
        <v>3</v>
      </c>
      <c r="J44" s="50">
        <v>2</v>
      </c>
      <c r="K44" s="50">
        <v>1</v>
      </c>
      <c r="L44" s="50">
        <v>0</v>
      </c>
      <c r="M44" s="50">
        <v>43</v>
      </c>
      <c r="N44" s="50">
        <v>0</v>
      </c>
      <c r="O44" s="17">
        <f t="shared" si="0"/>
        <v>67</v>
      </c>
      <c r="P44" s="17">
        <f t="shared" si="1"/>
        <v>110</v>
      </c>
      <c r="R44"/>
      <c r="S44" s="19"/>
      <c r="T44" s="19"/>
    </row>
    <row r="45" spans="2:20" ht="23.1" customHeight="1" x14ac:dyDescent="0.25">
      <c r="B45" s="23" t="s">
        <v>72</v>
      </c>
      <c r="C45" s="50">
        <v>49</v>
      </c>
      <c r="D45" s="50">
        <v>12</v>
      </c>
      <c r="E45" s="50">
        <v>5</v>
      </c>
      <c r="F45" s="50">
        <v>2</v>
      </c>
      <c r="G45" s="50">
        <v>0</v>
      </c>
      <c r="H45" s="50">
        <v>0</v>
      </c>
      <c r="I45" s="50">
        <v>5</v>
      </c>
      <c r="J45" s="50">
        <v>1</v>
      </c>
      <c r="K45" s="50">
        <v>0</v>
      </c>
      <c r="L45" s="50">
        <v>0</v>
      </c>
      <c r="M45" s="50">
        <v>41</v>
      </c>
      <c r="N45" s="50">
        <v>0</v>
      </c>
      <c r="O45" s="17">
        <f t="shared" si="0"/>
        <v>74</v>
      </c>
      <c r="P45" s="17">
        <f t="shared" si="1"/>
        <v>115</v>
      </c>
      <c r="R45"/>
      <c r="S45" s="19"/>
      <c r="T45" s="19"/>
    </row>
    <row r="46" spans="2:20" ht="23.1" customHeight="1" x14ac:dyDescent="0.25">
      <c r="B46" s="24" t="s">
        <v>73</v>
      </c>
      <c r="C46" s="50">
        <v>34</v>
      </c>
      <c r="D46" s="50">
        <v>14</v>
      </c>
      <c r="E46" s="50">
        <v>7</v>
      </c>
      <c r="F46" s="50">
        <v>2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32</v>
      </c>
      <c r="N46" s="50">
        <v>0</v>
      </c>
      <c r="O46" s="17">
        <f t="shared" si="0"/>
        <v>59</v>
      </c>
      <c r="P46" s="17">
        <f t="shared" si="1"/>
        <v>91</v>
      </c>
      <c r="R46" s="19"/>
      <c r="S46" s="19"/>
      <c r="T46"/>
    </row>
    <row r="47" spans="2:20" ht="23.1" customHeight="1" x14ac:dyDescent="0.25">
      <c r="B47" s="24" t="s">
        <v>74</v>
      </c>
      <c r="C47" s="50">
        <v>33</v>
      </c>
      <c r="D47" s="50">
        <v>19</v>
      </c>
      <c r="E47" s="50">
        <v>5</v>
      </c>
      <c r="F47" s="50">
        <v>4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45</v>
      </c>
      <c r="N47" s="50">
        <v>0</v>
      </c>
      <c r="O47" s="17">
        <f t="shared" si="0"/>
        <v>65</v>
      </c>
      <c r="P47" s="17">
        <f t="shared" si="1"/>
        <v>110</v>
      </c>
      <c r="R47" s="19"/>
      <c r="S47" s="19"/>
      <c r="T47"/>
    </row>
    <row r="48" spans="2:20" ht="23.1" customHeight="1" x14ac:dyDescent="0.25">
      <c r="B48" s="24" t="s">
        <v>75</v>
      </c>
      <c r="C48" s="50">
        <v>38</v>
      </c>
      <c r="D48" s="50">
        <v>15</v>
      </c>
      <c r="E48" s="50">
        <v>4</v>
      </c>
      <c r="F48" s="50">
        <v>2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48</v>
      </c>
      <c r="N48" s="50">
        <v>0</v>
      </c>
      <c r="O48" s="17">
        <f t="shared" si="0"/>
        <v>62</v>
      </c>
      <c r="P48" s="17">
        <f t="shared" si="1"/>
        <v>110</v>
      </c>
      <c r="R48" s="19"/>
      <c r="S48" s="19"/>
      <c r="T48"/>
    </row>
    <row r="49" spans="2:20" ht="23.1" customHeight="1" x14ac:dyDescent="0.25">
      <c r="B49" s="23" t="s">
        <v>76</v>
      </c>
      <c r="C49" s="50">
        <v>37</v>
      </c>
      <c r="D49" s="50">
        <v>15</v>
      </c>
      <c r="E49" s="50">
        <v>5</v>
      </c>
      <c r="F49" s="50">
        <v>3</v>
      </c>
      <c r="G49" s="50">
        <v>0</v>
      </c>
      <c r="H49" s="50">
        <v>0</v>
      </c>
      <c r="I49" s="50">
        <v>5</v>
      </c>
      <c r="J49" s="50">
        <v>1</v>
      </c>
      <c r="K49" s="50">
        <v>0</v>
      </c>
      <c r="L49" s="50">
        <v>0</v>
      </c>
      <c r="M49" s="50">
        <v>50</v>
      </c>
      <c r="N49" s="50">
        <v>0</v>
      </c>
      <c r="O49" s="17">
        <f t="shared" si="0"/>
        <v>66</v>
      </c>
      <c r="P49" s="17">
        <f t="shared" si="1"/>
        <v>116</v>
      </c>
      <c r="R49" s="19"/>
      <c r="S49" s="19"/>
      <c r="T49"/>
    </row>
    <row r="50" spans="2:20" ht="23.1" customHeight="1" x14ac:dyDescent="0.25">
      <c r="B50" s="24" t="s">
        <v>77</v>
      </c>
      <c r="C50" s="50">
        <v>42</v>
      </c>
      <c r="D50" s="50">
        <v>16</v>
      </c>
      <c r="E50" s="50">
        <v>3</v>
      </c>
      <c r="F50" s="50">
        <v>4</v>
      </c>
      <c r="G50" s="50">
        <v>0</v>
      </c>
      <c r="H50" s="50">
        <v>0</v>
      </c>
      <c r="I50" s="50">
        <v>4</v>
      </c>
      <c r="J50" s="50">
        <v>1</v>
      </c>
      <c r="K50" s="50">
        <v>2</v>
      </c>
      <c r="L50" s="50">
        <v>0</v>
      </c>
      <c r="M50" s="50">
        <v>36</v>
      </c>
      <c r="N50" s="50">
        <v>0</v>
      </c>
      <c r="O50" s="17">
        <f t="shared" si="0"/>
        <v>72</v>
      </c>
      <c r="P50" s="17">
        <f t="shared" si="1"/>
        <v>108</v>
      </c>
      <c r="R50" s="19"/>
      <c r="S50" s="19"/>
      <c r="T50"/>
    </row>
    <row r="51" spans="2:20" ht="23.1" customHeight="1" x14ac:dyDescent="0.25">
      <c r="B51" s="24" t="s">
        <v>78</v>
      </c>
      <c r="C51" s="50">
        <v>43</v>
      </c>
      <c r="D51" s="50">
        <v>16</v>
      </c>
      <c r="E51" s="50">
        <v>1</v>
      </c>
      <c r="F51" s="50">
        <v>2</v>
      </c>
      <c r="G51" s="50">
        <v>0</v>
      </c>
      <c r="H51" s="50">
        <v>0</v>
      </c>
      <c r="I51" s="50">
        <v>3</v>
      </c>
      <c r="J51" s="50">
        <v>3</v>
      </c>
      <c r="K51" s="50">
        <v>0</v>
      </c>
      <c r="L51" s="50">
        <v>0</v>
      </c>
      <c r="M51" s="50">
        <v>27</v>
      </c>
      <c r="N51" s="50">
        <v>0</v>
      </c>
      <c r="O51" s="17">
        <f t="shared" si="0"/>
        <v>68</v>
      </c>
      <c r="P51" s="17">
        <f t="shared" si="1"/>
        <v>95</v>
      </c>
      <c r="R51" s="19"/>
      <c r="S51" s="19"/>
      <c r="T51"/>
    </row>
    <row r="52" spans="2:20" ht="23.1" customHeight="1" x14ac:dyDescent="0.25">
      <c r="B52" s="24" t="s">
        <v>79</v>
      </c>
      <c r="C52" s="50">
        <v>29</v>
      </c>
      <c r="D52" s="50">
        <v>11</v>
      </c>
      <c r="E52" s="50">
        <v>4</v>
      </c>
      <c r="F52" s="50">
        <v>4</v>
      </c>
      <c r="G52" s="50">
        <v>0</v>
      </c>
      <c r="H52" s="50">
        <v>0</v>
      </c>
      <c r="I52" s="50">
        <v>6</v>
      </c>
      <c r="J52" s="50">
        <v>0</v>
      </c>
      <c r="K52" s="50">
        <v>1</v>
      </c>
      <c r="L52" s="50">
        <v>0</v>
      </c>
      <c r="M52" s="50">
        <v>40</v>
      </c>
      <c r="N52" s="50">
        <v>0</v>
      </c>
      <c r="O52" s="17">
        <f t="shared" si="0"/>
        <v>55</v>
      </c>
      <c r="P52" s="17">
        <f t="shared" si="1"/>
        <v>95</v>
      </c>
      <c r="R52" s="19"/>
      <c r="S52" s="19"/>
      <c r="T52"/>
    </row>
    <row r="53" spans="2:20" ht="23.1" customHeight="1" x14ac:dyDescent="0.25">
      <c r="B53" s="23" t="s">
        <v>80</v>
      </c>
      <c r="C53" s="50">
        <v>51</v>
      </c>
      <c r="D53" s="50">
        <v>4</v>
      </c>
      <c r="E53" s="50">
        <v>5</v>
      </c>
      <c r="F53" s="50">
        <v>3</v>
      </c>
      <c r="G53" s="50">
        <v>0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33</v>
      </c>
      <c r="N53" s="50">
        <v>0</v>
      </c>
      <c r="O53" s="17">
        <f t="shared" si="0"/>
        <v>67</v>
      </c>
      <c r="P53" s="17">
        <f t="shared" si="1"/>
        <v>100</v>
      </c>
      <c r="R53" s="19"/>
      <c r="S53" s="19"/>
      <c r="T53"/>
    </row>
    <row r="54" spans="2:20" ht="23.1" customHeight="1" x14ac:dyDescent="0.25">
      <c r="B54" s="23" t="s">
        <v>81</v>
      </c>
      <c r="C54" s="50">
        <v>54</v>
      </c>
      <c r="D54" s="50">
        <v>8</v>
      </c>
      <c r="E54" s="50">
        <v>8</v>
      </c>
      <c r="F54" s="50">
        <v>4</v>
      </c>
      <c r="G54" s="50">
        <v>1</v>
      </c>
      <c r="H54" s="50">
        <v>1</v>
      </c>
      <c r="I54" s="50">
        <v>4</v>
      </c>
      <c r="J54" s="50">
        <v>0</v>
      </c>
      <c r="K54" s="50">
        <v>1</v>
      </c>
      <c r="L54" s="50">
        <v>0</v>
      </c>
      <c r="M54" s="50">
        <v>48</v>
      </c>
      <c r="N54" s="50">
        <v>0</v>
      </c>
      <c r="O54" s="17">
        <f t="shared" si="0"/>
        <v>81</v>
      </c>
      <c r="P54" s="17">
        <f t="shared" si="1"/>
        <v>129</v>
      </c>
      <c r="R54" s="19"/>
      <c r="S54" s="19"/>
      <c r="T54"/>
    </row>
    <row r="55" spans="2:20" ht="23.1" customHeight="1" x14ac:dyDescent="0.25">
      <c r="B55" s="23" t="s">
        <v>82</v>
      </c>
      <c r="C55" s="50">
        <v>56</v>
      </c>
      <c r="D55" s="50">
        <v>15</v>
      </c>
      <c r="E55" s="50">
        <v>4</v>
      </c>
      <c r="F55" s="50">
        <v>4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38</v>
      </c>
      <c r="N55" s="50">
        <v>0</v>
      </c>
      <c r="O55" s="17">
        <f t="shared" si="0"/>
        <v>84</v>
      </c>
      <c r="P55" s="17">
        <f t="shared" si="1"/>
        <v>122</v>
      </c>
      <c r="R55" s="19"/>
      <c r="S55" s="19"/>
      <c r="T55"/>
    </row>
    <row r="56" spans="2:20" ht="23.1" customHeight="1" x14ac:dyDescent="0.25">
      <c r="B56" s="23" t="s">
        <v>83</v>
      </c>
      <c r="C56" s="50">
        <v>41</v>
      </c>
      <c r="D56" s="50">
        <v>14</v>
      </c>
      <c r="E56" s="50">
        <v>7</v>
      </c>
      <c r="F56" s="50">
        <v>1</v>
      </c>
      <c r="G56" s="50">
        <v>0</v>
      </c>
      <c r="H56" s="50">
        <v>1</v>
      </c>
      <c r="I56" s="50">
        <v>3</v>
      </c>
      <c r="J56" s="50">
        <v>0</v>
      </c>
      <c r="K56" s="50">
        <v>0</v>
      </c>
      <c r="L56" s="50">
        <v>0</v>
      </c>
      <c r="M56" s="50">
        <v>36</v>
      </c>
      <c r="N56" s="50">
        <v>0</v>
      </c>
      <c r="O56" s="17">
        <f t="shared" si="0"/>
        <v>67</v>
      </c>
      <c r="P56" s="17">
        <f t="shared" si="1"/>
        <v>103</v>
      </c>
      <c r="R56" s="19"/>
      <c r="S56" s="19"/>
      <c r="T56"/>
    </row>
    <row r="57" spans="2:20" ht="23.1" customHeight="1" x14ac:dyDescent="0.25">
      <c r="B57" s="23" t="s">
        <v>84</v>
      </c>
      <c r="C57" s="50">
        <v>45</v>
      </c>
      <c r="D57" s="50">
        <v>14</v>
      </c>
      <c r="E57" s="50">
        <v>3</v>
      </c>
      <c r="F57" s="50">
        <v>3</v>
      </c>
      <c r="G57" s="50">
        <v>1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56</v>
      </c>
      <c r="N57" s="50">
        <v>0</v>
      </c>
      <c r="O57" s="17">
        <f t="shared" si="0"/>
        <v>70</v>
      </c>
      <c r="P57" s="17">
        <f t="shared" si="1"/>
        <v>126</v>
      </c>
      <c r="R57" s="19"/>
      <c r="S57" s="19"/>
      <c r="T57"/>
    </row>
    <row r="58" spans="2:20" ht="23.1" customHeight="1" x14ac:dyDescent="0.25">
      <c r="B58" s="53" t="s">
        <v>18</v>
      </c>
      <c r="C58" s="16">
        <f t="shared" ref="C58:P58" si="21">SUM(C10:C57)</f>
        <v>1757</v>
      </c>
      <c r="D58" s="16">
        <f t="shared" si="21"/>
        <v>560</v>
      </c>
      <c r="E58" s="16">
        <f t="shared" si="21"/>
        <v>199</v>
      </c>
      <c r="F58" s="16">
        <f t="shared" si="21"/>
        <v>120</v>
      </c>
      <c r="G58" s="16">
        <f t="shared" si="21"/>
        <v>10</v>
      </c>
      <c r="H58" s="16">
        <f t="shared" si="21"/>
        <v>13</v>
      </c>
      <c r="I58" s="16">
        <f t="shared" si="21"/>
        <v>148</v>
      </c>
      <c r="J58" s="16">
        <f t="shared" si="21"/>
        <v>27</v>
      </c>
      <c r="K58" s="16">
        <f t="shared" si="21"/>
        <v>12</v>
      </c>
      <c r="L58" s="16">
        <f t="shared" si="21"/>
        <v>2</v>
      </c>
      <c r="M58" s="16">
        <f t="shared" si="21"/>
        <v>1625</v>
      </c>
      <c r="N58" s="16">
        <f t="shared" si="21"/>
        <v>0</v>
      </c>
      <c r="O58" s="16">
        <f t="shared" si="21"/>
        <v>2848</v>
      </c>
      <c r="P58" s="16">
        <f t="shared" si="21"/>
        <v>4473</v>
      </c>
      <c r="R58" s="19"/>
      <c r="S58" s="19"/>
      <c r="T58"/>
    </row>
    <row r="59" spans="2:20" ht="23.1" customHeight="1" x14ac:dyDescent="0.25">
      <c r="B59" s="53" t="s">
        <v>93</v>
      </c>
      <c r="C59" s="43">
        <f t="shared" ref="C59:N59" si="22">C58/$P$58</f>
        <v>0.39280125195618154</v>
      </c>
      <c r="D59" s="43">
        <f t="shared" si="22"/>
        <v>0.12519561815336464</v>
      </c>
      <c r="E59" s="43">
        <f t="shared" si="22"/>
        <v>4.4489157165213504E-2</v>
      </c>
      <c r="F59" s="43">
        <f t="shared" si="22"/>
        <v>2.6827632461435279E-2</v>
      </c>
      <c r="G59" s="43">
        <f t="shared" si="22"/>
        <v>2.2356360384529397E-3</v>
      </c>
      <c r="H59" s="43">
        <f t="shared" si="22"/>
        <v>2.9063268499888218E-3</v>
      </c>
      <c r="I59" s="43">
        <f t="shared" si="22"/>
        <v>3.3087413369103508E-2</v>
      </c>
      <c r="J59" s="43">
        <f t="shared" si="22"/>
        <v>6.0362173038229373E-3</v>
      </c>
      <c r="K59" s="43">
        <f t="shared" si="22"/>
        <v>2.6827632461435278E-3</v>
      </c>
      <c r="L59" s="43">
        <f t="shared" si="22"/>
        <v>4.47127207690588E-4</v>
      </c>
      <c r="M59" s="43">
        <f t="shared" si="22"/>
        <v>0.36329085624860274</v>
      </c>
      <c r="N59" s="43">
        <f t="shared" si="22"/>
        <v>0</v>
      </c>
      <c r="R59" s="19"/>
      <c r="S59" s="19"/>
      <c r="T59"/>
    </row>
    <row r="60" spans="2:20" ht="23.1" customHeight="1" x14ac:dyDescent="0.25">
      <c r="B60" s="54" t="s">
        <v>94</v>
      </c>
      <c r="C60" s="44">
        <f>C58/$O$58</f>
        <v>0.6169241573033708</v>
      </c>
      <c r="D60" s="44">
        <f t="shared" ref="D60:N60" si="23">D58/$O$58</f>
        <v>0.19662921348314608</v>
      </c>
      <c r="E60" s="44">
        <f t="shared" si="23"/>
        <v>6.9873595505617975E-2</v>
      </c>
      <c r="F60" s="44">
        <f t="shared" si="23"/>
        <v>4.2134831460674156E-2</v>
      </c>
      <c r="G60" s="44">
        <f t="shared" si="23"/>
        <v>3.5112359550561797E-3</v>
      </c>
      <c r="H60" s="44">
        <f t="shared" si="23"/>
        <v>4.5646067415730336E-3</v>
      </c>
      <c r="I60" s="44">
        <f t="shared" si="23"/>
        <v>5.1966292134831463E-2</v>
      </c>
      <c r="J60" s="44">
        <f t="shared" si="23"/>
        <v>9.480337078651686E-3</v>
      </c>
      <c r="K60" s="44">
        <f t="shared" si="23"/>
        <v>4.2134831460674156E-3</v>
      </c>
      <c r="L60" s="44">
        <f t="shared" si="23"/>
        <v>7.0224719101123594E-4</v>
      </c>
      <c r="M60" s="44"/>
      <c r="N60" s="44">
        <f t="shared" si="23"/>
        <v>0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R82"/>
      <c r="S82" s="19"/>
      <c r="T82" s="19"/>
    </row>
    <row r="83" spans="2:20" ht="20.100000000000001" customHeight="1" x14ac:dyDescent="0.25">
      <c r="R83"/>
      <c r="S83" s="19"/>
      <c r="T83" s="19"/>
    </row>
    <row r="84" spans="2:20" ht="20.100000000000001" customHeight="1" x14ac:dyDescent="0.25">
      <c r="R84"/>
      <c r="S84" s="19"/>
      <c r="T84" s="19"/>
    </row>
    <row r="85" spans="2:20" ht="20.100000000000001" customHeight="1" x14ac:dyDescent="0.25">
      <c r="R85"/>
      <c r="S85" s="19"/>
      <c r="T85" s="19"/>
    </row>
    <row r="86" spans="2:20" ht="20.100000000000001" customHeight="1" x14ac:dyDescent="0.25">
      <c r="R86"/>
      <c r="S86" s="19"/>
      <c r="T86" s="19"/>
    </row>
    <row r="87" spans="2:20" ht="20.100000000000001" customHeight="1" x14ac:dyDescent="0.25">
      <c r="R87"/>
      <c r="S87" s="19"/>
      <c r="T87" s="19"/>
    </row>
    <row r="88" spans="2:20" ht="20.100000000000001" customHeight="1" x14ac:dyDescent="0.25">
      <c r="R88"/>
      <c r="S88" s="19"/>
      <c r="T88" s="19"/>
    </row>
    <row r="89" spans="2:20" ht="20.100000000000001" customHeight="1" x14ac:dyDescent="0.25">
      <c r="R89"/>
      <c r="S89" s="19"/>
      <c r="T89" s="19"/>
    </row>
    <row r="90" spans="2:20" ht="20.100000000000001" customHeight="1" x14ac:dyDescent="0.25">
      <c r="R90"/>
      <c r="S90" s="19"/>
      <c r="T90" s="19"/>
    </row>
    <row r="91" spans="2:20" ht="20.100000000000001" customHeight="1" x14ac:dyDescent="0.25">
      <c r="R91"/>
      <c r="S91" s="19"/>
      <c r="T91" s="19"/>
    </row>
    <row r="92" spans="2:20" ht="20.100000000000001" customHeight="1" x14ac:dyDescent="0.25">
      <c r="R92"/>
      <c r="S92" s="19"/>
      <c r="T92" s="19"/>
    </row>
    <row r="93" spans="2:20" ht="20.100000000000001" customHeight="1" x14ac:dyDescent="0.25">
      <c r="R93"/>
      <c r="S93" s="19"/>
      <c r="T93" s="19"/>
    </row>
    <row r="94" spans="2:20" ht="20.100000000000001" customHeight="1" x14ac:dyDescent="0.25">
      <c r="R94"/>
      <c r="S94" s="19"/>
      <c r="T94" s="19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tabSelected="1" view="pageBreakPreview" topLeftCell="G55" zoomScale="60" workbookViewId="0">
      <selection activeCell="W101" sqref="W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9" t="str">
        <f>'29.09 Bweya-Kajansi'!C3:G3</f>
        <v>MCC-C2-STNO 56 -Munyonyo spur</v>
      </c>
      <c r="D3" s="69"/>
      <c r="E3" s="69"/>
      <c r="F3" s="69"/>
      <c r="G3" s="6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4" t="s">
        <v>162</v>
      </c>
      <c r="E5" s="75"/>
      <c r="F5" s="41" t="s">
        <v>1</v>
      </c>
      <c r="G5" s="71" t="str">
        <f>'29.09 Kajansi-Bweya'!G5:H5</f>
        <v>Munyonyo Spur RD</v>
      </c>
      <c r="H5" s="72"/>
      <c r="I5" s="14"/>
      <c r="J5" s="2" t="s">
        <v>5</v>
      </c>
      <c r="K5" s="71" t="str">
        <f>'29.09 Kajansi-Bweya'!K5:L5</f>
        <v>Akello Rosette / Kasoma John Paul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'29.09 Kajansi-Bweya'!D6:E6</f>
        <v>KAJANSI</v>
      </c>
      <c r="E6" s="72"/>
      <c r="F6" s="2" t="s">
        <v>2</v>
      </c>
      <c r="G6" s="71" t="str">
        <f>'29.09 Kajansi-Bweya'!G6:H6</f>
        <v>BWEYA</v>
      </c>
      <c r="H6" s="72"/>
      <c r="J6" s="2" t="s">
        <v>21</v>
      </c>
      <c r="K6" s="71" t="str">
        <f>'29.09 Kajansi-Bweya'!K6:L6</f>
        <v>Beatrice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AVERAGE('23.09.19 Bweya- Kajansi'!C10,'24.09 Bweya-Kajansi'!C10,'25.09 Bweya-Kajansi'!C10,'27.09 Munyonyo-Kajansi'!C10,'26.09 Munyonyo-Kajansi-24h'!C10,'28.09 Kajansi-Bweya-24h'!C10,'29.09 Kajansi-Bweya'!C10)</f>
        <v>26.142857142857142</v>
      </c>
      <c r="D10" s="49">
        <f>AVERAGE('23.09.19 Bweya- Kajansi'!D10,'24.09 Bweya-Kajansi'!D10,'25.09 Bweya-Kajansi'!D10,'27.09 Munyonyo-Kajansi'!D10,'26.09 Munyonyo-Kajansi-24h'!D10,'28.09 Kajansi-Bweya-24h'!D10,'29.09 Kajansi-Bweya'!D10)</f>
        <v>4.7142857142857144</v>
      </c>
      <c r="E10" s="49">
        <f>AVERAGE('23.09.19 Bweya- Kajansi'!E10,'24.09 Bweya-Kajansi'!E10,'25.09 Bweya-Kajansi'!E10,'27.09 Munyonyo-Kajansi'!E10,'26.09 Munyonyo-Kajansi-24h'!E10,'28.09 Kajansi-Bweya-24h'!E10,'29.09 Kajansi-Bweya'!E10)</f>
        <v>2</v>
      </c>
      <c r="F10" s="49">
        <f>AVERAGE('23.09.19 Bweya- Kajansi'!F10,'24.09 Bweya-Kajansi'!F10,'25.09 Bweya-Kajansi'!F10,'27.09 Munyonyo-Kajansi'!F10,'26.09 Munyonyo-Kajansi-24h'!F10,'28.09 Kajansi-Bweya-24h'!F10,'29.09 Kajansi-Bweya'!F10)</f>
        <v>1.5714285714285714</v>
      </c>
      <c r="G10" s="49">
        <f>AVERAGE('23.09.19 Bweya- Kajansi'!G10,'24.09 Bweya-Kajansi'!G10,'25.09 Bweya-Kajansi'!G10,'27.09 Munyonyo-Kajansi'!G10,'26.09 Munyonyo-Kajansi-24h'!G10,'28.09 Kajansi-Bweya-24h'!G10,'29.09 Kajansi-Bweya'!G10)</f>
        <v>0.14285714285714285</v>
      </c>
      <c r="H10" s="49">
        <f>AVERAGE('23.09.19 Bweya- Kajansi'!H10,'24.09 Bweya-Kajansi'!H10,'25.09 Bweya-Kajansi'!H10,'27.09 Munyonyo-Kajansi'!H10,'26.09 Munyonyo-Kajansi-24h'!H10,'28.09 Kajansi-Bweya-24h'!H10,'29.09 Kajansi-Bweya'!H10)</f>
        <v>0</v>
      </c>
      <c r="I10" s="49">
        <f>AVERAGE('23.09.19 Bweya- Kajansi'!I10,'24.09 Bweya-Kajansi'!I10,'25.09 Bweya-Kajansi'!I10,'27.09 Munyonyo-Kajansi'!I10,'26.09 Munyonyo-Kajansi-24h'!I10,'28.09 Kajansi-Bweya-24h'!I10,'29.09 Kajansi-Bweya'!I10)</f>
        <v>1.7142857142857142</v>
      </c>
      <c r="J10" s="49">
        <f>AVERAGE('23.09.19 Bweya- Kajansi'!J10,'24.09 Bweya-Kajansi'!J10,'25.09 Bweya-Kajansi'!J10,'27.09 Munyonyo-Kajansi'!J10,'26.09 Munyonyo-Kajansi-24h'!J10,'28.09 Kajansi-Bweya-24h'!J10,'29.09 Kajansi-Bweya'!J10)</f>
        <v>0.14285714285714285</v>
      </c>
      <c r="K10" s="49">
        <f>AVERAGE('23.09.19 Bweya- Kajansi'!K10,'24.09 Bweya-Kajansi'!K10,'25.09 Bweya-Kajansi'!K10,'27.09 Munyonyo-Kajansi'!K10,'26.09 Munyonyo-Kajansi-24h'!K10,'28.09 Kajansi-Bweya-24h'!K10,'29.09 Kajansi-Bweya'!K10)</f>
        <v>0</v>
      </c>
      <c r="L10" s="49">
        <f>AVERAGE('23.09.19 Bweya- Kajansi'!L10,'24.09 Bweya-Kajansi'!L10,'25.09 Bweya-Kajansi'!L10,'27.09 Munyonyo-Kajansi'!L10,'26.09 Munyonyo-Kajansi-24h'!L10,'28.09 Kajansi-Bweya-24h'!L10,'29.09 Kajansi-Bweya'!L10)</f>
        <v>0</v>
      </c>
      <c r="M10" s="49">
        <f>AVERAGE('23.09.19 Bweya- Kajansi'!M10,'24.09 Bweya-Kajansi'!M10,'25.09 Bweya-Kajansi'!M10,'27.09 Munyonyo-Kajansi'!M10,'26.09 Munyonyo-Kajansi-24h'!M10,'28.09 Kajansi-Bweya-24h'!M10,'29.09 Kajansi-Bweya'!M10)</f>
        <v>30.142857142857142</v>
      </c>
      <c r="N10" s="49">
        <f>AVERAGE('23.09.19 Bweya- Kajansi'!N10,'24.09 Bweya-Kajansi'!N10,'25.09 Bweya-Kajansi'!N10,'27.09 Munyonyo-Kajansi'!N10,'26.09 Munyonyo-Kajansi-24h'!N10,'28.09 Kajansi-Bweya-24h'!N10,'29.09 Kajansi-Bweya'!N10)</f>
        <v>0</v>
      </c>
      <c r="O10" s="15">
        <f t="shared" ref="O10:O73" si="0">SUM(C10:L10,N10)</f>
        <v>36.428571428571438</v>
      </c>
      <c r="P10" s="15">
        <f t="shared" ref="P10:P73" si="1">SUM(C10:N10)</f>
        <v>66.571428571428584</v>
      </c>
      <c r="R10" s="1" t="s">
        <v>6</v>
      </c>
      <c r="S10" s="17">
        <f t="shared" ref="S10:AF10" si="2">SUM(C10:C13)</f>
        <v>98.714285714285722</v>
      </c>
      <c r="T10" s="17">
        <f t="shared" si="2"/>
        <v>22.857142857142861</v>
      </c>
      <c r="U10" s="17">
        <f t="shared" si="2"/>
        <v>7.7142857142857135</v>
      </c>
      <c r="V10" s="17">
        <f t="shared" si="2"/>
        <v>9.1428571428571423</v>
      </c>
      <c r="W10" s="17">
        <f t="shared" si="2"/>
        <v>0.5714285714285714</v>
      </c>
      <c r="X10" s="17">
        <f t="shared" si="2"/>
        <v>0.2857142857142857</v>
      </c>
      <c r="Y10" s="17">
        <f t="shared" si="2"/>
        <v>7.1428571428571432</v>
      </c>
      <c r="Z10" s="17">
        <f t="shared" si="2"/>
        <v>0.71428571428571419</v>
      </c>
      <c r="AA10" s="17">
        <f t="shared" si="2"/>
        <v>0.2857142857142857</v>
      </c>
      <c r="AB10" s="17">
        <f t="shared" si="2"/>
        <v>0</v>
      </c>
      <c r="AC10" s="17">
        <f t="shared" si="2"/>
        <v>144.14285714285717</v>
      </c>
      <c r="AD10" s="17">
        <f t="shared" si="2"/>
        <v>0</v>
      </c>
      <c r="AE10" s="31">
        <f t="shared" si="2"/>
        <v>147.42857142857144</v>
      </c>
      <c r="AF10" s="31">
        <f t="shared" si="2"/>
        <v>291.57142857142861</v>
      </c>
    </row>
    <row r="11" spans="2:32" s="6" customFormat="1" ht="23.1" customHeight="1" x14ac:dyDescent="0.25">
      <c r="B11" s="23" t="s">
        <v>38</v>
      </c>
      <c r="C11" s="49">
        <f>AVERAGE('23.09.19 Bweya- Kajansi'!C11,'24.09 Bweya-Kajansi'!C11,'25.09 Bweya-Kajansi'!C11,'27.09 Munyonyo-Kajansi'!C11,'26.09 Munyonyo-Kajansi-24h'!C11,'28.09 Kajansi-Bweya-24h'!C11,'29.09 Kajansi-Bweya'!C11)</f>
        <v>23.714285714285715</v>
      </c>
      <c r="D11" s="49">
        <f>AVERAGE('23.09.19 Bweya- Kajansi'!D11,'24.09 Bweya-Kajansi'!D11,'25.09 Bweya-Kajansi'!D11,'27.09 Munyonyo-Kajansi'!D11,'26.09 Munyonyo-Kajansi-24h'!D11,'28.09 Kajansi-Bweya-24h'!D11,'29.09 Kajansi-Bweya'!D11)</f>
        <v>6.7142857142857144</v>
      </c>
      <c r="E11" s="49">
        <f>AVERAGE('23.09.19 Bweya- Kajansi'!E11,'24.09 Bweya-Kajansi'!E11,'25.09 Bweya-Kajansi'!E11,'27.09 Munyonyo-Kajansi'!E11,'26.09 Munyonyo-Kajansi-24h'!E11,'28.09 Kajansi-Bweya-24h'!E11,'29.09 Kajansi-Bweya'!E11)</f>
        <v>2</v>
      </c>
      <c r="F11" s="49">
        <f>AVERAGE('23.09.19 Bweya- Kajansi'!F11,'24.09 Bweya-Kajansi'!F11,'25.09 Bweya-Kajansi'!F11,'27.09 Munyonyo-Kajansi'!F11,'26.09 Munyonyo-Kajansi-24h'!F11,'28.09 Kajansi-Bweya-24h'!F11,'29.09 Kajansi-Bweya'!F11)</f>
        <v>2.5714285714285716</v>
      </c>
      <c r="G11" s="49">
        <f>AVERAGE('23.09.19 Bweya- Kajansi'!G11,'24.09 Bweya-Kajansi'!G11,'25.09 Bweya-Kajansi'!G11,'27.09 Munyonyo-Kajansi'!G11,'26.09 Munyonyo-Kajansi-24h'!G11,'28.09 Kajansi-Bweya-24h'!G11,'29.09 Kajansi-Bweya'!G11)</f>
        <v>0</v>
      </c>
      <c r="H11" s="49">
        <f>AVERAGE('23.09.19 Bweya- Kajansi'!H11,'24.09 Bweya-Kajansi'!H11,'25.09 Bweya-Kajansi'!H11,'27.09 Munyonyo-Kajansi'!H11,'26.09 Munyonyo-Kajansi-24h'!H11,'28.09 Kajansi-Bweya-24h'!H11,'29.09 Kajansi-Bweya'!H11)</f>
        <v>0</v>
      </c>
      <c r="I11" s="49">
        <f>AVERAGE('23.09.19 Bweya- Kajansi'!I11,'24.09 Bweya-Kajansi'!I11,'25.09 Bweya-Kajansi'!I11,'27.09 Munyonyo-Kajansi'!I11,'26.09 Munyonyo-Kajansi-24h'!I11,'28.09 Kajansi-Bweya-24h'!I11,'29.09 Kajansi-Bweya'!I11)</f>
        <v>2.2857142857142856</v>
      </c>
      <c r="J11" s="49">
        <f>AVERAGE('23.09.19 Bweya- Kajansi'!J11,'24.09 Bweya-Kajansi'!J11,'25.09 Bweya-Kajansi'!J11,'27.09 Munyonyo-Kajansi'!J11,'26.09 Munyonyo-Kajansi-24h'!J11,'28.09 Kajansi-Bweya-24h'!J11,'29.09 Kajansi-Bweya'!J11)</f>
        <v>0.14285714285714285</v>
      </c>
      <c r="K11" s="49">
        <f>AVERAGE('23.09.19 Bweya- Kajansi'!K11,'24.09 Bweya-Kajansi'!K11,'25.09 Bweya-Kajansi'!K11,'27.09 Munyonyo-Kajansi'!K11,'26.09 Munyonyo-Kajansi-24h'!K11,'28.09 Kajansi-Bweya-24h'!K11,'29.09 Kajansi-Bweya'!K11)</f>
        <v>0</v>
      </c>
      <c r="L11" s="49">
        <f>AVERAGE('23.09.19 Bweya- Kajansi'!L11,'24.09 Bweya-Kajansi'!L11,'25.09 Bweya-Kajansi'!L11,'27.09 Munyonyo-Kajansi'!L11,'26.09 Munyonyo-Kajansi-24h'!L11,'28.09 Kajansi-Bweya-24h'!L11,'29.09 Kajansi-Bweya'!L11)</f>
        <v>0</v>
      </c>
      <c r="M11" s="49">
        <f>AVERAGE('23.09.19 Bweya- Kajansi'!M11,'24.09 Bweya-Kajansi'!M11,'25.09 Bweya-Kajansi'!M11,'27.09 Munyonyo-Kajansi'!M11,'26.09 Munyonyo-Kajansi-24h'!M11,'28.09 Kajansi-Bweya-24h'!M11,'29.09 Kajansi-Bweya'!M11)</f>
        <v>35.142857142857146</v>
      </c>
      <c r="N11" s="49">
        <f>AVERAGE('23.09.19 Bweya- Kajansi'!N11,'24.09 Bweya-Kajansi'!N11,'25.09 Bweya-Kajansi'!N11,'27.09 Munyonyo-Kajansi'!N11,'26.09 Munyonyo-Kajansi-24h'!N11,'28.09 Kajansi-Bweya-24h'!N11,'29.09 Kajansi-Bweya'!N11)</f>
        <v>0</v>
      </c>
      <c r="O11" s="15">
        <f t="shared" si="0"/>
        <v>37.428571428571431</v>
      </c>
      <c r="P11" s="15">
        <f t="shared" si="1"/>
        <v>72.571428571428584</v>
      </c>
      <c r="R11" s="1" t="s">
        <v>7</v>
      </c>
      <c r="S11" s="17">
        <f t="shared" ref="S11:AF11" si="3">SUM(C14:C17)</f>
        <v>102.42857142857143</v>
      </c>
      <c r="T11" s="17">
        <f t="shared" si="3"/>
        <v>23</v>
      </c>
      <c r="U11" s="17">
        <f t="shared" si="3"/>
        <v>13.142857142857144</v>
      </c>
      <c r="V11" s="17">
        <f t="shared" si="3"/>
        <v>5.4285714285714288</v>
      </c>
      <c r="W11" s="17">
        <f t="shared" si="3"/>
        <v>1</v>
      </c>
      <c r="X11" s="17">
        <f t="shared" si="3"/>
        <v>0.85714285714285698</v>
      </c>
      <c r="Y11" s="17">
        <f t="shared" si="3"/>
        <v>9.9999999999999982</v>
      </c>
      <c r="Z11" s="17">
        <f t="shared" si="3"/>
        <v>2.5714285714285712</v>
      </c>
      <c r="AA11" s="17">
        <f t="shared" si="3"/>
        <v>0.42857142857142855</v>
      </c>
      <c r="AB11" s="17">
        <f t="shared" si="3"/>
        <v>0</v>
      </c>
      <c r="AC11" s="17">
        <f t="shared" si="3"/>
        <v>160.14285714285714</v>
      </c>
      <c r="AD11" s="17">
        <f t="shared" si="3"/>
        <v>0</v>
      </c>
      <c r="AE11" s="31">
        <f t="shared" si="3"/>
        <v>158.85714285714289</v>
      </c>
      <c r="AF11" s="31">
        <f t="shared" si="3"/>
        <v>319</v>
      </c>
    </row>
    <row r="12" spans="2:32" ht="23.1" customHeight="1" x14ac:dyDescent="0.25">
      <c r="B12" s="23" t="s">
        <v>39</v>
      </c>
      <c r="C12" s="49">
        <f>AVERAGE('23.09.19 Bweya- Kajansi'!C12,'24.09 Bweya-Kajansi'!C12,'25.09 Bweya-Kajansi'!C12,'27.09 Munyonyo-Kajansi'!C12,'26.09 Munyonyo-Kajansi-24h'!C12,'28.09 Kajansi-Bweya-24h'!C12,'29.09 Kajansi-Bweya'!C12)</f>
        <v>23.142857142857142</v>
      </c>
      <c r="D12" s="49">
        <f>AVERAGE('23.09.19 Bweya- Kajansi'!D12,'24.09 Bweya-Kajansi'!D12,'25.09 Bweya-Kajansi'!D12,'27.09 Munyonyo-Kajansi'!D12,'26.09 Munyonyo-Kajansi-24h'!D12,'28.09 Kajansi-Bweya-24h'!D12,'29.09 Kajansi-Bweya'!D12)</f>
        <v>6</v>
      </c>
      <c r="E12" s="49">
        <f>AVERAGE('23.09.19 Bweya- Kajansi'!E12,'24.09 Bweya-Kajansi'!E12,'25.09 Bweya-Kajansi'!E12,'27.09 Munyonyo-Kajansi'!E12,'26.09 Munyonyo-Kajansi-24h'!E12,'28.09 Kajansi-Bweya-24h'!E12,'29.09 Kajansi-Bweya'!E12)</f>
        <v>1.5714285714285714</v>
      </c>
      <c r="F12" s="49">
        <f>AVERAGE('23.09.19 Bweya- Kajansi'!F12,'24.09 Bweya-Kajansi'!F12,'25.09 Bweya-Kajansi'!F12,'27.09 Munyonyo-Kajansi'!F12,'26.09 Munyonyo-Kajansi-24h'!F12,'28.09 Kajansi-Bweya-24h'!F12,'29.09 Kajansi-Bweya'!F12)</f>
        <v>2</v>
      </c>
      <c r="G12" s="49">
        <f>AVERAGE('23.09.19 Bweya- Kajansi'!G12,'24.09 Bweya-Kajansi'!G12,'25.09 Bweya-Kajansi'!G12,'27.09 Munyonyo-Kajansi'!G12,'26.09 Munyonyo-Kajansi-24h'!G12,'28.09 Kajansi-Bweya-24h'!G12,'29.09 Kajansi-Bweya'!G12)</f>
        <v>0.2857142857142857</v>
      </c>
      <c r="H12" s="49">
        <f>AVERAGE('23.09.19 Bweya- Kajansi'!H12,'24.09 Bweya-Kajansi'!H12,'25.09 Bweya-Kajansi'!H12,'27.09 Munyonyo-Kajansi'!H12,'26.09 Munyonyo-Kajansi-24h'!H12,'28.09 Kajansi-Bweya-24h'!H12,'29.09 Kajansi-Bweya'!H12)</f>
        <v>0</v>
      </c>
      <c r="I12" s="49">
        <f>AVERAGE('23.09.19 Bweya- Kajansi'!I12,'24.09 Bweya-Kajansi'!I12,'25.09 Bweya-Kajansi'!I12,'27.09 Munyonyo-Kajansi'!I12,'26.09 Munyonyo-Kajansi-24h'!I12,'28.09 Kajansi-Bweya-24h'!I12,'29.09 Kajansi-Bweya'!I12)</f>
        <v>1.7142857142857142</v>
      </c>
      <c r="J12" s="49">
        <f>AVERAGE('23.09.19 Bweya- Kajansi'!J12,'24.09 Bweya-Kajansi'!J12,'25.09 Bweya-Kajansi'!J12,'27.09 Munyonyo-Kajansi'!J12,'26.09 Munyonyo-Kajansi-24h'!J12,'28.09 Kajansi-Bweya-24h'!J12,'29.09 Kajansi-Bweya'!J12)</f>
        <v>0</v>
      </c>
      <c r="K12" s="49">
        <f>AVERAGE('23.09.19 Bweya- Kajansi'!K12,'24.09 Bweya-Kajansi'!K12,'25.09 Bweya-Kajansi'!K12,'27.09 Munyonyo-Kajansi'!K12,'26.09 Munyonyo-Kajansi-24h'!K12,'28.09 Kajansi-Bweya-24h'!K12,'29.09 Kajansi-Bweya'!K12)</f>
        <v>0</v>
      </c>
      <c r="L12" s="49">
        <f>AVERAGE('23.09.19 Bweya- Kajansi'!L12,'24.09 Bweya-Kajansi'!L12,'25.09 Bweya-Kajansi'!L12,'27.09 Munyonyo-Kajansi'!L12,'26.09 Munyonyo-Kajansi-24h'!L12,'28.09 Kajansi-Bweya-24h'!L12,'29.09 Kajansi-Bweya'!L12)</f>
        <v>0</v>
      </c>
      <c r="M12" s="49">
        <f>AVERAGE('23.09.19 Bweya- Kajansi'!M12,'24.09 Bweya-Kajansi'!M12,'25.09 Bweya-Kajansi'!M12,'27.09 Munyonyo-Kajansi'!M12,'26.09 Munyonyo-Kajansi-24h'!M12,'28.09 Kajansi-Bweya-24h'!M12,'29.09 Kajansi-Bweya'!M12)</f>
        <v>38.285714285714285</v>
      </c>
      <c r="N12" s="49">
        <f>AVERAGE('23.09.19 Bweya- Kajansi'!N12,'24.09 Bweya-Kajansi'!N12,'25.09 Bweya-Kajansi'!N12,'27.09 Munyonyo-Kajansi'!N12,'26.09 Munyonyo-Kajansi-24h'!N12,'28.09 Kajansi-Bweya-24h'!N12,'29.09 Kajansi-Bweya'!N12)</f>
        <v>0</v>
      </c>
      <c r="O12" s="15">
        <f t="shared" si="0"/>
        <v>34.714285714285715</v>
      </c>
      <c r="P12" s="15">
        <f t="shared" si="1"/>
        <v>73</v>
      </c>
      <c r="R12" s="1" t="s">
        <v>8</v>
      </c>
      <c r="S12" s="17">
        <f t="shared" ref="S12:AF12" si="4">SUM(C18:C21)</f>
        <v>87.857142857142847</v>
      </c>
      <c r="T12" s="17">
        <f t="shared" si="4"/>
        <v>23.714285714285715</v>
      </c>
      <c r="U12" s="17">
        <f t="shared" si="4"/>
        <v>15.714285714285715</v>
      </c>
      <c r="V12" s="17">
        <f t="shared" si="4"/>
        <v>5.8571428571428577</v>
      </c>
      <c r="W12" s="17">
        <f t="shared" si="4"/>
        <v>1</v>
      </c>
      <c r="X12" s="17">
        <f t="shared" si="4"/>
        <v>0.2857142857142857</v>
      </c>
      <c r="Y12" s="17">
        <f t="shared" si="4"/>
        <v>13.857142857142858</v>
      </c>
      <c r="Z12" s="17">
        <f t="shared" si="4"/>
        <v>2.2857142857142856</v>
      </c>
      <c r="AA12" s="17">
        <f t="shared" si="4"/>
        <v>0.42857142857142855</v>
      </c>
      <c r="AB12" s="17">
        <f t="shared" si="4"/>
        <v>0.2857142857142857</v>
      </c>
      <c r="AC12" s="17">
        <f t="shared" si="4"/>
        <v>137.71428571428572</v>
      </c>
      <c r="AD12" s="17">
        <f t="shared" si="4"/>
        <v>0</v>
      </c>
      <c r="AE12" s="31">
        <f t="shared" si="4"/>
        <v>151.28571428571431</v>
      </c>
      <c r="AF12" s="31">
        <f t="shared" si="4"/>
        <v>289</v>
      </c>
    </row>
    <row r="13" spans="2:32" ht="23.1" customHeight="1" x14ac:dyDescent="0.25">
      <c r="B13" s="23" t="s">
        <v>40</v>
      </c>
      <c r="C13" s="49">
        <f>AVERAGE('23.09.19 Bweya- Kajansi'!C13,'24.09 Bweya-Kajansi'!C13,'25.09 Bweya-Kajansi'!C13,'27.09 Munyonyo-Kajansi'!C13,'26.09 Munyonyo-Kajansi-24h'!C13,'28.09 Kajansi-Bweya-24h'!C13,'29.09 Kajansi-Bweya'!C13)</f>
        <v>25.714285714285715</v>
      </c>
      <c r="D13" s="49">
        <f>AVERAGE('23.09.19 Bweya- Kajansi'!D13,'24.09 Bweya-Kajansi'!D13,'25.09 Bweya-Kajansi'!D13,'27.09 Munyonyo-Kajansi'!D13,'26.09 Munyonyo-Kajansi-24h'!D13,'28.09 Kajansi-Bweya-24h'!D13,'29.09 Kajansi-Bweya'!D13)</f>
        <v>5.4285714285714288</v>
      </c>
      <c r="E13" s="49">
        <f>AVERAGE('23.09.19 Bweya- Kajansi'!E13,'24.09 Bweya-Kajansi'!E13,'25.09 Bweya-Kajansi'!E13,'27.09 Munyonyo-Kajansi'!E13,'26.09 Munyonyo-Kajansi-24h'!E13,'28.09 Kajansi-Bweya-24h'!E13,'29.09 Kajansi-Bweya'!E13)</f>
        <v>2.1428571428571428</v>
      </c>
      <c r="F13" s="49">
        <f>AVERAGE('23.09.19 Bweya- Kajansi'!F13,'24.09 Bweya-Kajansi'!F13,'25.09 Bweya-Kajansi'!F13,'27.09 Munyonyo-Kajansi'!F13,'26.09 Munyonyo-Kajansi-24h'!F13,'28.09 Kajansi-Bweya-24h'!F13,'29.09 Kajansi-Bweya'!F13)</f>
        <v>3</v>
      </c>
      <c r="G13" s="49">
        <f>AVERAGE('23.09.19 Bweya- Kajansi'!G13,'24.09 Bweya-Kajansi'!G13,'25.09 Bweya-Kajansi'!G13,'27.09 Munyonyo-Kajansi'!G13,'26.09 Munyonyo-Kajansi-24h'!G13,'28.09 Kajansi-Bweya-24h'!G13,'29.09 Kajansi-Bweya'!G13)</f>
        <v>0.14285714285714285</v>
      </c>
      <c r="H13" s="49">
        <f>AVERAGE('23.09.19 Bweya- Kajansi'!H13,'24.09 Bweya-Kajansi'!H13,'25.09 Bweya-Kajansi'!H13,'27.09 Munyonyo-Kajansi'!H13,'26.09 Munyonyo-Kajansi-24h'!H13,'28.09 Kajansi-Bweya-24h'!H13,'29.09 Kajansi-Bweya'!H13)</f>
        <v>0.2857142857142857</v>
      </c>
      <c r="I13" s="49">
        <f>AVERAGE('23.09.19 Bweya- Kajansi'!I13,'24.09 Bweya-Kajansi'!I13,'25.09 Bweya-Kajansi'!I13,'27.09 Munyonyo-Kajansi'!I13,'26.09 Munyonyo-Kajansi-24h'!I13,'28.09 Kajansi-Bweya-24h'!I13,'29.09 Kajansi-Bweya'!I13)</f>
        <v>1.4285714285714286</v>
      </c>
      <c r="J13" s="49">
        <f>AVERAGE('23.09.19 Bweya- Kajansi'!J13,'24.09 Bweya-Kajansi'!J13,'25.09 Bweya-Kajansi'!J13,'27.09 Munyonyo-Kajansi'!J13,'26.09 Munyonyo-Kajansi-24h'!J13,'28.09 Kajansi-Bweya-24h'!J13,'29.09 Kajansi-Bweya'!J13)</f>
        <v>0.42857142857142855</v>
      </c>
      <c r="K13" s="49">
        <f>AVERAGE('23.09.19 Bweya- Kajansi'!K13,'24.09 Bweya-Kajansi'!K13,'25.09 Bweya-Kajansi'!K13,'27.09 Munyonyo-Kajansi'!K13,'26.09 Munyonyo-Kajansi-24h'!K13,'28.09 Kajansi-Bweya-24h'!K13,'29.09 Kajansi-Bweya'!K13)</f>
        <v>0.2857142857142857</v>
      </c>
      <c r="L13" s="49">
        <f>AVERAGE('23.09.19 Bweya- Kajansi'!L13,'24.09 Bweya-Kajansi'!L13,'25.09 Bweya-Kajansi'!L13,'27.09 Munyonyo-Kajansi'!L13,'26.09 Munyonyo-Kajansi-24h'!L13,'28.09 Kajansi-Bweya-24h'!L13,'29.09 Kajansi-Bweya'!L13)</f>
        <v>0</v>
      </c>
      <c r="M13" s="49">
        <f>AVERAGE('23.09.19 Bweya- Kajansi'!M13,'24.09 Bweya-Kajansi'!M13,'25.09 Bweya-Kajansi'!M13,'27.09 Munyonyo-Kajansi'!M13,'26.09 Munyonyo-Kajansi-24h'!M13,'28.09 Kajansi-Bweya-24h'!M13,'29.09 Kajansi-Bweya'!M13)</f>
        <v>40.571428571428569</v>
      </c>
      <c r="N13" s="49">
        <f>AVERAGE('23.09.19 Bweya- Kajansi'!N13,'24.09 Bweya-Kajansi'!N13,'25.09 Bweya-Kajansi'!N13,'27.09 Munyonyo-Kajansi'!N13,'26.09 Munyonyo-Kajansi-24h'!N13,'28.09 Kajansi-Bweya-24h'!N13,'29.09 Kajansi-Bweya'!N13)</f>
        <v>0</v>
      </c>
      <c r="O13" s="15">
        <f t="shared" si="0"/>
        <v>38.857142857142868</v>
      </c>
      <c r="P13" s="15">
        <f t="shared" si="1"/>
        <v>79.428571428571445</v>
      </c>
      <c r="R13" s="1" t="s">
        <v>9</v>
      </c>
      <c r="S13" s="17">
        <f t="shared" ref="S13:AF13" si="5">SUM(C22:C25)</f>
        <v>92</v>
      </c>
      <c r="T13" s="17">
        <f t="shared" si="5"/>
        <v>24.571428571428569</v>
      </c>
      <c r="U13" s="17">
        <f t="shared" si="5"/>
        <v>12.571428571428571</v>
      </c>
      <c r="V13" s="17">
        <f t="shared" si="5"/>
        <v>6.2857142857142856</v>
      </c>
      <c r="W13" s="17">
        <f t="shared" si="5"/>
        <v>0.99999999999999989</v>
      </c>
      <c r="X13" s="17">
        <f t="shared" si="5"/>
        <v>0.5714285714285714</v>
      </c>
      <c r="Y13" s="17">
        <f t="shared" si="5"/>
        <v>13.142857142857142</v>
      </c>
      <c r="Z13" s="17">
        <f t="shared" si="5"/>
        <v>2.7142857142857144</v>
      </c>
      <c r="AA13" s="17">
        <f t="shared" si="5"/>
        <v>0.2857142857142857</v>
      </c>
      <c r="AB13" s="17">
        <f t="shared" si="5"/>
        <v>0</v>
      </c>
      <c r="AC13" s="17">
        <f t="shared" si="5"/>
        <v>131</v>
      </c>
      <c r="AD13" s="17">
        <f t="shared" si="5"/>
        <v>0</v>
      </c>
      <c r="AE13" s="31">
        <f t="shared" si="5"/>
        <v>153.14285714285717</v>
      </c>
      <c r="AF13" s="31">
        <f t="shared" si="5"/>
        <v>284.14285714285717</v>
      </c>
    </row>
    <row r="14" spans="2:32" ht="23.1" customHeight="1" x14ac:dyDescent="0.25">
      <c r="B14" s="23" t="s">
        <v>41</v>
      </c>
      <c r="C14" s="49">
        <f>AVERAGE('23.09.19 Bweya- Kajansi'!C14,'24.09 Bweya-Kajansi'!C14,'25.09 Bweya-Kajansi'!C14,'27.09 Munyonyo-Kajansi'!C14,'26.09 Munyonyo-Kajansi-24h'!C14,'28.09 Kajansi-Bweya-24h'!C14,'29.09 Kajansi-Bweya'!C14)</f>
        <v>24.857142857142858</v>
      </c>
      <c r="D14" s="49">
        <f>AVERAGE('23.09.19 Bweya- Kajansi'!D14,'24.09 Bweya-Kajansi'!D14,'25.09 Bweya-Kajansi'!D14,'27.09 Munyonyo-Kajansi'!D14,'26.09 Munyonyo-Kajansi-24h'!D14,'28.09 Kajansi-Bweya-24h'!D14,'29.09 Kajansi-Bweya'!D14)</f>
        <v>3.1428571428571428</v>
      </c>
      <c r="E14" s="49">
        <f>AVERAGE('23.09.19 Bweya- Kajansi'!E14,'24.09 Bweya-Kajansi'!E14,'25.09 Bweya-Kajansi'!E14,'27.09 Munyonyo-Kajansi'!E14,'26.09 Munyonyo-Kajansi-24h'!E14,'28.09 Kajansi-Bweya-24h'!E14,'29.09 Kajansi-Bweya'!E14)</f>
        <v>2.7142857142857144</v>
      </c>
      <c r="F14" s="49">
        <f>AVERAGE('23.09.19 Bweya- Kajansi'!F14,'24.09 Bweya-Kajansi'!F14,'25.09 Bweya-Kajansi'!F14,'27.09 Munyonyo-Kajansi'!F14,'26.09 Munyonyo-Kajansi-24h'!F14,'28.09 Kajansi-Bweya-24h'!F14,'29.09 Kajansi-Bweya'!F14)</f>
        <v>1.8571428571428572</v>
      </c>
      <c r="G14" s="49">
        <f>AVERAGE('23.09.19 Bweya- Kajansi'!G14,'24.09 Bweya-Kajansi'!G14,'25.09 Bweya-Kajansi'!G14,'27.09 Munyonyo-Kajansi'!G14,'26.09 Munyonyo-Kajansi-24h'!G14,'28.09 Kajansi-Bweya-24h'!G14,'29.09 Kajansi-Bweya'!G14)</f>
        <v>0.2857142857142857</v>
      </c>
      <c r="H14" s="49">
        <f>AVERAGE('23.09.19 Bweya- Kajansi'!H14,'24.09 Bweya-Kajansi'!H14,'25.09 Bweya-Kajansi'!H14,'27.09 Munyonyo-Kajansi'!H14,'26.09 Munyonyo-Kajansi-24h'!H14,'28.09 Kajansi-Bweya-24h'!H14,'29.09 Kajansi-Bweya'!H14)</f>
        <v>0.2857142857142857</v>
      </c>
      <c r="I14" s="49">
        <f>AVERAGE('23.09.19 Bweya- Kajansi'!I14,'24.09 Bweya-Kajansi'!I14,'25.09 Bweya-Kajansi'!I14,'27.09 Munyonyo-Kajansi'!I14,'26.09 Munyonyo-Kajansi-24h'!I14,'28.09 Kajansi-Bweya-24h'!I14,'29.09 Kajansi-Bweya'!I14)</f>
        <v>3.2857142857142856</v>
      </c>
      <c r="J14" s="49">
        <f>AVERAGE('23.09.19 Bweya- Kajansi'!J14,'24.09 Bweya-Kajansi'!J14,'25.09 Bweya-Kajansi'!J14,'27.09 Munyonyo-Kajansi'!J14,'26.09 Munyonyo-Kajansi-24h'!J14,'28.09 Kajansi-Bweya-24h'!J14,'29.09 Kajansi-Bweya'!J14)</f>
        <v>0.7142857142857143</v>
      </c>
      <c r="K14" s="49">
        <f>AVERAGE('23.09.19 Bweya- Kajansi'!K14,'24.09 Bweya-Kajansi'!K14,'25.09 Bweya-Kajansi'!K14,'27.09 Munyonyo-Kajansi'!K14,'26.09 Munyonyo-Kajansi-24h'!K14,'28.09 Kajansi-Bweya-24h'!K14,'29.09 Kajansi-Bweya'!K14)</f>
        <v>0</v>
      </c>
      <c r="L14" s="49">
        <f>AVERAGE('23.09.19 Bweya- Kajansi'!L14,'24.09 Bweya-Kajansi'!L14,'25.09 Bweya-Kajansi'!L14,'27.09 Munyonyo-Kajansi'!L14,'26.09 Munyonyo-Kajansi-24h'!L14,'28.09 Kajansi-Bweya-24h'!L14,'29.09 Kajansi-Bweya'!L14)</f>
        <v>0</v>
      </c>
      <c r="M14" s="49">
        <f>AVERAGE('23.09.19 Bweya- Kajansi'!M14,'24.09 Bweya-Kajansi'!M14,'25.09 Bweya-Kajansi'!M14,'27.09 Munyonyo-Kajansi'!M14,'26.09 Munyonyo-Kajansi-24h'!M14,'28.09 Kajansi-Bweya-24h'!M14,'29.09 Kajansi-Bweya'!M14)</f>
        <v>39</v>
      </c>
      <c r="N14" s="49">
        <f>AVERAGE('23.09.19 Bweya- Kajansi'!N14,'24.09 Bweya-Kajansi'!N14,'25.09 Bweya-Kajansi'!N14,'27.09 Munyonyo-Kajansi'!N14,'26.09 Munyonyo-Kajansi-24h'!N14,'28.09 Kajansi-Bweya-24h'!N14,'29.09 Kajansi-Bweya'!N14)</f>
        <v>0</v>
      </c>
      <c r="O14" s="15">
        <f t="shared" si="0"/>
        <v>37.142857142857139</v>
      </c>
      <c r="P14" s="15">
        <f t="shared" si="1"/>
        <v>76.142857142857139</v>
      </c>
      <c r="R14" s="1" t="s">
        <v>10</v>
      </c>
      <c r="S14" s="17">
        <f t="shared" ref="S14:AF14" si="6">SUM(C26:C29)</f>
        <v>100.71428571428571</v>
      </c>
      <c r="T14" s="17">
        <f t="shared" si="6"/>
        <v>16.857142857142858</v>
      </c>
      <c r="U14" s="17">
        <f t="shared" si="6"/>
        <v>13.142857142857144</v>
      </c>
      <c r="V14" s="17">
        <f t="shared" si="6"/>
        <v>6.4285714285714288</v>
      </c>
      <c r="W14" s="17">
        <f t="shared" si="6"/>
        <v>0.99999999999999989</v>
      </c>
      <c r="X14" s="17">
        <f t="shared" si="6"/>
        <v>0.5714285714285714</v>
      </c>
      <c r="Y14" s="17">
        <f t="shared" si="6"/>
        <v>13.714285714285715</v>
      </c>
      <c r="Z14" s="17">
        <f t="shared" si="6"/>
        <v>2.8571428571428572</v>
      </c>
      <c r="AA14" s="17">
        <f t="shared" si="6"/>
        <v>1.1428571428571428</v>
      </c>
      <c r="AB14" s="17">
        <f t="shared" si="6"/>
        <v>0.14285714285714285</v>
      </c>
      <c r="AC14" s="17">
        <f t="shared" si="6"/>
        <v>125.28571428571428</v>
      </c>
      <c r="AD14" s="17">
        <f t="shared" si="6"/>
        <v>0.14285714285714285</v>
      </c>
      <c r="AE14" s="31">
        <f t="shared" si="6"/>
        <v>156.71428571428572</v>
      </c>
      <c r="AF14" s="31">
        <f t="shared" si="6"/>
        <v>282</v>
      </c>
    </row>
    <row r="15" spans="2:32" ht="23.1" customHeight="1" x14ac:dyDescent="0.25">
      <c r="B15" s="23" t="s">
        <v>42</v>
      </c>
      <c r="C15" s="49">
        <f>AVERAGE('23.09.19 Bweya- Kajansi'!C15,'24.09 Bweya-Kajansi'!C15,'25.09 Bweya-Kajansi'!C15,'27.09 Munyonyo-Kajansi'!C15,'26.09 Munyonyo-Kajansi-24h'!C15,'28.09 Kajansi-Bweya-24h'!C15,'29.09 Kajansi-Bweya'!C15)</f>
        <v>22.857142857142858</v>
      </c>
      <c r="D15" s="49">
        <f>AVERAGE('23.09.19 Bweya- Kajansi'!D15,'24.09 Bweya-Kajansi'!D15,'25.09 Bweya-Kajansi'!D15,'27.09 Munyonyo-Kajansi'!D15,'26.09 Munyonyo-Kajansi-24h'!D15,'28.09 Kajansi-Bweya-24h'!D15,'29.09 Kajansi-Bweya'!D15)</f>
        <v>6.5714285714285712</v>
      </c>
      <c r="E15" s="49">
        <f>AVERAGE('23.09.19 Bweya- Kajansi'!E15,'24.09 Bweya-Kajansi'!E15,'25.09 Bweya-Kajansi'!E15,'27.09 Munyonyo-Kajansi'!E15,'26.09 Munyonyo-Kajansi-24h'!E15,'28.09 Kajansi-Bweya-24h'!E15,'29.09 Kajansi-Bweya'!E15)</f>
        <v>3.5714285714285716</v>
      </c>
      <c r="F15" s="49">
        <f>AVERAGE('23.09.19 Bweya- Kajansi'!F15,'24.09 Bweya-Kajansi'!F15,'25.09 Bweya-Kajansi'!F15,'27.09 Munyonyo-Kajansi'!F15,'26.09 Munyonyo-Kajansi-24h'!F15,'28.09 Kajansi-Bweya-24h'!F15,'29.09 Kajansi-Bweya'!F15)</f>
        <v>1.4285714285714286</v>
      </c>
      <c r="G15" s="49">
        <f>AVERAGE('23.09.19 Bweya- Kajansi'!G15,'24.09 Bweya-Kajansi'!G15,'25.09 Bweya-Kajansi'!G15,'27.09 Munyonyo-Kajansi'!G15,'26.09 Munyonyo-Kajansi-24h'!G15,'28.09 Kajansi-Bweya-24h'!G15,'29.09 Kajansi-Bweya'!G15)</f>
        <v>0.2857142857142857</v>
      </c>
      <c r="H15" s="49">
        <f>AVERAGE('23.09.19 Bweya- Kajansi'!H15,'24.09 Bweya-Kajansi'!H15,'25.09 Bweya-Kajansi'!H15,'27.09 Munyonyo-Kajansi'!H15,'26.09 Munyonyo-Kajansi-24h'!H15,'28.09 Kajansi-Bweya-24h'!H15,'29.09 Kajansi-Bweya'!H15)</f>
        <v>0.14285714285714285</v>
      </c>
      <c r="I15" s="49">
        <f>AVERAGE('23.09.19 Bweya- Kajansi'!I15,'24.09 Bweya-Kajansi'!I15,'25.09 Bweya-Kajansi'!I15,'27.09 Munyonyo-Kajansi'!I15,'26.09 Munyonyo-Kajansi-24h'!I15,'28.09 Kajansi-Bweya-24h'!I15,'29.09 Kajansi-Bweya'!I15)</f>
        <v>2.4285714285714284</v>
      </c>
      <c r="J15" s="49">
        <f>AVERAGE('23.09.19 Bweya- Kajansi'!J15,'24.09 Bweya-Kajansi'!J15,'25.09 Bweya-Kajansi'!J15,'27.09 Munyonyo-Kajansi'!J15,'26.09 Munyonyo-Kajansi-24h'!J15,'28.09 Kajansi-Bweya-24h'!J15,'29.09 Kajansi-Bweya'!J15)</f>
        <v>0.2857142857142857</v>
      </c>
      <c r="K15" s="49">
        <f>AVERAGE('23.09.19 Bweya- Kajansi'!K15,'24.09 Bweya-Kajansi'!K15,'25.09 Bweya-Kajansi'!K15,'27.09 Munyonyo-Kajansi'!K15,'26.09 Munyonyo-Kajansi-24h'!K15,'28.09 Kajansi-Bweya-24h'!K15,'29.09 Kajansi-Bweya'!K15)</f>
        <v>0</v>
      </c>
      <c r="L15" s="49">
        <f>AVERAGE('23.09.19 Bweya- Kajansi'!L15,'24.09 Bweya-Kajansi'!L15,'25.09 Bweya-Kajansi'!L15,'27.09 Munyonyo-Kajansi'!L15,'26.09 Munyonyo-Kajansi-24h'!L15,'28.09 Kajansi-Bweya-24h'!L15,'29.09 Kajansi-Bweya'!L15)</f>
        <v>0</v>
      </c>
      <c r="M15" s="49">
        <f>AVERAGE('23.09.19 Bweya- Kajansi'!M15,'24.09 Bweya-Kajansi'!M15,'25.09 Bweya-Kajansi'!M15,'27.09 Munyonyo-Kajansi'!M15,'26.09 Munyonyo-Kajansi-24h'!M15,'28.09 Kajansi-Bweya-24h'!M15,'29.09 Kajansi-Bweya'!M15)</f>
        <v>34.428571428571431</v>
      </c>
      <c r="N15" s="49">
        <f>AVERAGE('23.09.19 Bweya- Kajansi'!N15,'24.09 Bweya-Kajansi'!N15,'25.09 Bweya-Kajansi'!N15,'27.09 Munyonyo-Kajansi'!N15,'26.09 Munyonyo-Kajansi-24h'!N15,'28.09 Kajansi-Bweya-24h'!N15,'29.09 Kajansi-Bweya'!N15)</f>
        <v>0</v>
      </c>
      <c r="O15" s="15">
        <f t="shared" si="0"/>
        <v>37.571428571428577</v>
      </c>
      <c r="P15" s="15">
        <f t="shared" si="1"/>
        <v>72</v>
      </c>
      <c r="R15" s="1" t="s">
        <v>11</v>
      </c>
      <c r="S15" s="17">
        <f t="shared" ref="S15:AF15" si="7">SUM(C30:C33)</f>
        <v>113.14285714285714</v>
      </c>
      <c r="T15" s="17">
        <f t="shared" si="7"/>
        <v>22.571428571428569</v>
      </c>
      <c r="U15" s="17">
        <f t="shared" si="7"/>
        <v>12.428571428571429</v>
      </c>
      <c r="V15" s="17">
        <f t="shared" si="7"/>
        <v>5.1428571428571423</v>
      </c>
      <c r="W15" s="17">
        <f t="shared" si="7"/>
        <v>0.5714285714285714</v>
      </c>
      <c r="X15" s="17">
        <f t="shared" si="7"/>
        <v>0</v>
      </c>
      <c r="Y15" s="17">
        <f t="shared" si="7"/>
        <v>14.142857142857142</v>
      </c>
      <c r="Z15" s="17">
        <f t="shared" si="7"/>
        <v>5.2857142857142847</v>
      </c>
      <c r="AA15" s="17">
        <f t="shared" si="7"/>
        <v>0.5714285714285714</v>
      </c>
      <c r="AB15" s="17">
        <f t="shared" si="7"/>
        <v>0.42857142857142855</v>
      </c>
      <c r="AC15" s="17">
        <f t="shared" si="7"/>
        <v>108.14285714285714</v>
      </c>
      <c r="AD15" s="17">
        <f t="shared" si="7"/>
        <v>0</v>
      </c>
      <c r="AE15" s="31">
        <f t="shared" si="7"/>
        <v>174.28571428571431</v>
      </c>
      <c r="AF15" s="31">
        <f t="shared" si="7"/>
        <v>282.42857142857144</v>
      </c>
    </row>
    <row r="16" spans="2:32" ht="23.1" customHeight="1" x14ac:dyDescent="0.25">
      <c r="B16" s="23" t="s">
        <v>43</v>
      </c>
      <c r="C16" s="49">
        <f>AVERAGE('23.09.19 Bweya- Kajansi'!C16,'24.09 Bweya-Kajansi'!C16,'25.09 Bweya-Kajansi'!C16,'27.09 Munyonyo-Kajansi'!C16,'26.09 Munyonyo-Kajansi-24h'!C16,'28.09 Kajansi-Bweya-24h'!C16,'29.09 Kajansi-Bweya'!C16)</f>
        <v>26.714285714285715</v>
      </c>
      <c r="D16" s="49">
        <f>AVERAGE('23.09.19 Bweya- Kajansi'!D16,'24.09 Bweya-Kajansi'!D16,'25.09 Bweya-Kajansi'!D16,'27.09 Munyonyo-Kajansi'!D16,'26.09 Munyonyo-Kajansi-24h'!D16,'28.09 Kajansi-Bweya-24h'!D16,'29.09 Kajansi-Bweya'!D16)</f>
        <v>8.5714285714285712</v>
      </c>
      <c r="E16" s="49">
        <f>AVERAGE('23.09.19 Bweya- Kajansi'!E16,'24.09 Bweya-Kajansi'!E16,'25.09 Bweya-Kajansi'!E16,'27.09 Munyonyo-Kajansi'!E16,'26.09 Munyonyo-Kajansi-24h'!E16,'28.09 Kajansi-Bweya-24h'!E16,'29.09 Kajansi-Bweya'!E16)</f>
        <v>3.4285714285714284</v>
      </c>
      <c r="F16" s="49">
        <f>AVERAGE('23.09.19 Bweya- Kajansi'!F16,'24.09 Bweya-Kajansi'!F16,'25.09 Bweya-Kajansi'!F16,'27.09 Munyonyo-Kajansi'!F16,'26.09 Munyonyo-Kajansi-24h'!F16,'28.09 Kajansi-Bweya-24h'!F16,'29.09 Kajansi-Bweya'!F16)</f>
        <v>1.1428571428571428</v>
      </c>
      <c r="G16" s="49">
        <f>AVERAGE('23.09.19 Bweya- Kajansi'!G16,'24.09 Bweya-Kajansi'!G16,'25.09 Bweya-Kajansi'!G16,'27.09 Munyonyo-Kajansi'!G16,'26.09 Munyonyo-Kajansi-24h'!G16,'28.09 Kajansi-Bweya-24h'!G16,'29.09 Kajansi-Bweya'!G16)</f>
        <v>0.2857142857142857</v>
      </c>
      <c r="H16" s="49">
        <f>AVERAGE('23.09.19 Bweya- Kajansi'!H16,'24.09 Bweya-Kajansi'!H16,'25.09 Bweya-Kajansi'!H16,'27.09 Munyonyo-Kajansi'!H16,'26.09 Munyonyo-Kajansi-24h'!H16,'28.09 Kajansi-Bweya-24h'!H16,'29.09 Kajansi-Bweya'!H16)</f>
        <v>0.2857142857142857</v>
      </c>
      <c r="I16" s="49">
        <f>AVERAGE('23.09.19 Bweya- Kajansi'!I16,'24.09 Bweya-Kajansi'!I16,'25.09 Bweya-Kajansi'!I16,'27.09 Munyonyo-Kajansi'!I16,'26.09 Munyonyo-Kajansi-24h'!I16,'28.09 Kajansi-Bweya-24h'!I16,'29.09 Kajansi-Bweya'!I16)</f>
        <v>2.5714285714285716</v>
      </c>
      <c r="J16" s="49">
        <f>AVERAGE('23.09.19 Bweya- Kajansi'!J16,'24.09 Bweya-Kajansi'!J16,'25.09 Bweya-Kajansi'!J16,'27.09 Munyonyo-Kajansi'!J16,'26.09 Munyonyo-Kajansi-24h'!J16,'28.09 Kajansi-Bweya-24h'!J16,'29.09 Kajansi-Bweya'!J16)</f>
        <v>1.1428571428571428</v>
      </c>
      <c r="K16" s="49">
        <f>AVERAGE('23.09.19 Bweya- Kajansi'!K16,'24.09 Bweya-Kajansi'!K16,'25.09 Bweya-Kajansi'!K16,'27.09 Munyonyo-Kajansi'!K16,'26.09 Munyonyo-Kajansi-24h'!K16,'28.09 Kajansi-Bweya-24h'!K16,'29.09 Kajansi-Bweya'!K16)</f>
        <v>0</v>
      </c>
      <c r="L16" s="49">
        <f>AVERAGE('23.09.19 Bweya- Kajansi'!L16,'24.09 Bweya-Kajansi'!L16,'25.09 Bweya-Kajansi'!L16,'27.09 Munyonyo-Kajansi'!L16,'26.09 Munyonyo-Kajansi-24h'!L16,'28.09 Kajansi-Bweya-24h'!L16,'29.09 Kajansi-Bweya'!L16)</f>
        <v>0</v>
      </c>
      <c r="M16" s="49">
        <f>AVERAGE('23.09.19 Bweya- Kajansi'!M16,'24.09 Bweya-Kajansi'!M16,'25.09 Bweya-Kajansi'!M16,'27.09 Munyonyo-Kajansi'!M16,'26.09 Munyonyo-Kajansi-24h'!M16,'28.09 Kajansi-Bweya-24h'!M16,'29.09 Kajansi-Bweya'!M16)</f>
        <v>45.571428571428569</v>
      </c>
      <c r="N16" s="49">
        <f>AVERAGE('23.09.19 Bweya- Kajansi'!N16,'24.09 Bweya-Kajansi'!N16,'25.09 Bweya-Kajansi'!N16,'27.09 Munyonyo-Kajansi'!N16,'26.09 Munyonyo-Kajansi-24h'!N16,'28.09 Kajansi-Bweya-24h'!N16,'29.09 Kajansi-Bweya'!N16)</f>
        <v>0</v>
      </c>
      <c r="O16" s="15">
        <f t="shared" si="0"/>
        <v>44.142857142857146</v>
      </c>
      <c r="P16" s="15">
        <f t="shared" si="1"/>
        <v>89.714285714285722</v>
      </c>
      <c r="R16" s="1" t="s">
        <v>12</v>
      </c>
      <c r="S16" s="17">
        <f t="shared" ref="S16:AF16" si="8">SUM(C34:C37)</f>
        <v>120.42857142857142</v>
      </c>
      <c r="T16" s="17">
        <f t="shared" si="8"/>
        <v>30.428571428571431</v>
      </c>
      <c r="U16" s="17">
        <f t="shared" si="8"/>
        <v>17.714285714285715</v>
      </c>
      <c r="V16" s="17">
        <f t="shared" si="8"/>
        <v>4.4285714285714288</v>
      </c>
      <c r="W16" s="17">
        <f t="shared" si="8"/>
        <v>2.2857142857142856</v>
      </c>
      <c r="X16" s="17">
        <f t="shared" si="8"/>
        <v>0.14285714285714285</v>
      </c>
      <c r="Y16" s="17">
        <f t="shared" si="8"/>
        <v>18.857142857142854</v>
      </c>
      <c r="Z16" s="17">
        <f t="shared" si="8"/>
        <v>3.1428571428571432</v>
      </c>
      <c r="AA16" s="17">
        <f t="shared" si="8"/>
        <v>0.71428571428571419</v>
      </c>
      <c r="AB16" s="17">
        <f t="shared" si="8"/>
        <v>0</v>
      </c>
      <c r="AC16" s="17">
        <f t="shared" si="8"/>
        <v>105.42857142857143</v>
      </c>
      <c r="AD16" s="17">
        <f t="shared" si="8"/>
        <v>0</v>
      </c>
      <c r="AE16" s="31">
        <f t="shared" si="8"/>
        <v>198.14285714285717</v>
      </c>
      <c r="AF16" s="31">
        <f t="shared" si="8"/>
        <v>303.57142857142861</v>
      </c>
    </row>
    <row r="17" spans="2:32" ht="23.1" customHeight="1" x14ac:dyDescent="0.25">
      <c r="B17" s="23" t="s">
        <v>44</v>
      </c>
      <c r="C17" s="49">
        <f>AVERAGE('23.09.19 Bweya- Kajansi'!C17,'24.09 Bweya-Kajansi'!C17,'25.09 Bweya-Kajansi'!C17,'27.09 Munyonyo-Kajansi'!C17,'26.09 Munyonyo-Kajansi-24h'!C17,'28.09 Kajansi-Bweya-24h'!C17,'29.09 Kajansi-Bweya'!C17)</f>
        <v>28</v>
      </c>
      <c r="D17" s="49">
        <f>AVERAGE('23.09.19 Bweya- Kajansi'!D17,'24.09 Bweya-Kajansi'!D17,'25.09 Bweya-Kajansi'!D17,'27.09 Munyonyo-Kajansi'!D17,'26.09 Munyonyo-Kajansi-24h'!D17,'28.09 Kajansi-Bweya-24h'!D17,'29.09 Kajansi-Bweya'!D17)</f>
        <v>4.7142857142857144</v>
      </c>
      <c r="E17" s="49">
        <f>AVERAGE('23.09.19 Bweya- Kajansi'!E17,'24.09 Bweya-Kajansi'!E17,'25.09 Bweya-Kajansi'!E17,'27.09 Munyonyo-Kajansi'!E17,'26.09 Munyonyo-Kajansi-24h'!E17,'28.09 Kajansi-Bweya-24h'!E17,'29.09 Kajansi-Bweya'!E17)</f>
        <v>3.4285714285714284</v>
      </c>
      <c r="F17" s="49">
        <f>AVERAGE('23.09.19 Bweya- Kajansi'!F17,'24.09 Bweya-Kajansi'!F17,'25.09 Bweya-Kajansi'!F17,'27.09 Munyonyo-Kajansi'!F17,'26.09 Munyonyo-Kajansi-24h'!F17,'28.09 Kajansi-Bweya-24h'!F17,'29.09 Kajansi-Bweya'!F17)</f>
        <v>1</v>
      </c>
      <c r="G17" s="49">
        <f>AVERAGE('23.09.19 Bweya- Kajansi'!G17,'24.09 Bweya-Kajansi'!G17,'25.09 Bweya-Kajansi'!G17,'27.09 Munyonyo-Kajansi'!G17,'26.09 Munyonyo-Kajansi-24h'!G17,'28.09 Kajansi-Bweya-24h'!G17,'29.09 Kajansi-Bweya'!G17)</f>
        <v>0.14285714285714285</v>
      </c>
      <c r="H17" s="49">
        <f>AVERAGE('23.09.19 Bweya- Kajansi'!H17,'24.09 Bweya-Kajansi'!H17,'25.09 Bweya-Kajansi'!H17,'27.09 Munyonyo-Kajansi'!H17,'26.09 Munyonyo-Kajansi-24h'!H17,'28.09 Kajansi-Bweya-24h'!H17,'29.09 Kajansi-Bweya'!H17)</f>
        <v>0.14285714285714285</v>
      </c>
      <c r="I17" s="49">
        <f>AVERAGE('23.09.19 Bweya- Kajansi'!I17,'24.09 Bweya-Kajansi'!I17,'25.09 Bweya-Kajansi'!I17,'27.09 Munyonyo-Kajansi'!I17,'26.09 Munyonyo-Kajansi-24h'!I17,'28.09 Kajansi-Bweya-24h'!I17,'29.09 Kajansi-Bweya'!I17)</f>
        <v>1.7142857142857142</v>
      </c>
      <c r="J17" s="49">
        <f>AVERAGE('23.09.19 Bweya- Kajansi'!J17,'24.09 Bweya-Kajansi'!J17,'25.09 Bweya-Kajansi'!J17,'27.09 Munyonyo-Kajansi'!J17,'26.09 Munyonyo-Kajansi-24h'!J17,'28.09 Kajansi-Bweya-24h'!J17,'29.09 Kajansi-Bweya'!J17)</f>
        <v>0.42857142857142855</v>
      </c>
      <c r="K17" s="49">
        <f>AVERAGE('23.09.19 Bweya- Kajansi'!K17,'24.09 Bweya-Kajansi'!K17,'25.09 Bweya-Kajansi'!K17,'27.09 Munyonyo-Kajansi'!K17,'26.09 Munyonyo-Kajansi-24h'!K17,'28.09 Kajansi-Bweya-24h'!K17,'29.09 Kajansi-Bweya'!K17)</f>
        <v>0.42857142857142855</v>
      </c>
      <c r="L17" s="49">
        <f>AVERAGE('23.09.19 Bweya- Kajansi'!L17,'24.09 Bweya-Kajansi'!L17,'25.09 Bweya-Kajansi'!L17,'27.09 Munyonyo-Kajansi'!L17,'26.09 Munyonyo-Kajansi-24h'!L17,'28.09 Kajansi-Bweya-24h'!L17,'29.09 Kajansi-Bweya'!L17)</f>
        <v>0</v>
      </c>
      <c r="M17" s="49">
        <f>AVERAGE('23.09.19 Bweya- Kajansi'!M17,'24.09 Bweya-Kajansi'!M17,'25.09 Bweya-Kajansi'!M17,'27.09 Munyonyo-Kajansi'!M17,'26.09 Munyonyo-Kajansi-24h'!M17,'28.09 Kajansi-Bweya-24h'!M17,'29.09 Kajansi-Bweya'!M17)</f>
        <v>41.142857142857146</v>
      </c>
      <c r="N17" s="49">
        <f>AVERAGE('23.09.19 Bweya- Kajansi'!N17,'24.09 Bweya-Kajansi'!N17,'25.09 Bweya-Kajansi'!N17,'27.09 Munyonyo-Kajansi'!N17,'26.09 Munyonyo-Kajansi-24h'!N17,'28.09 Kajansi-Bweya-24h'!N17,'29.09 Kajansi-Bweya'!N17)</f>
        <v>0</v>
      </c>
      <c r="O17" s="15">
        <f t="shared" si="0"/>
        <v>40.000000000000014</v>
      </c>
      <c r="P17" s="15">
        <f t="shared" si="1"/>
        <v>81.142857142857167</v>
      </c>
      <c r="R17" s="1" t="s">
        <v>13</v>
      </c>
      <c r="S17" s="17">
        <f t="shared" ref="S17:AF17" si="9">SUM(C38:C41)</f>
        <v>127.42857142857144</v>
      </c>
      <c r="T17" s="17">
        <f t="shared" si="9"/>
        <v>82.285714285714278</v>
      </c>
      <c r="U17" s="17">
        <f t="shared" si="9"/>
        <v>13.571428571428571</v>
      </c>
      <c r="V17" s="17">
        <f t="shared" si="9"/>
        <v>5.8571428571428577</v>
      </c>
      <c r="W17" s="17">
        <f t="shared" si="9"/>
        <v>1.1428571428571428</v>
      </c>
      <c r="X17" s="17">
        <f t="shared" si="9"/>
        <v>0.42857142857142855</v>
      </c>
      <c r="Y17" s="17">
        <f t="shared" si="9"/>
        <v>16.285714285714285</v>
      </c>
      <c r="Z17" s="17">
        <f t="shared" si="9"/>
        <v>2.4285714285714288</v>
      </c>
      <c r="AA17" s="17">
        <f t="shared" si="9"/>
        <v>0.8571428571428571</v>
      </c>
      <c r="AB17" s="17">
        <f t="shared" si="9"/>
        <v>0.2857142857142857</v>
      </c>
      <c r="AC17" s="17">
        <f t="shared" si="9"/>
        <v>118.14285714285714</v>
      </c>
      <c r="AD17" s="17">
        <f t="shared" si="9"/>
        <v>0</v>
      </c>
      <c r="AE17" s="31">
        <f t="shared" si="9"/>
        <v>250.57142857142858</v>
      </c>
      <c r="AF17" s="31">
        <f t="shared" si="9"/>
        <v>368.71428571428578</v>
      </c>
    </row>
    <row r="18" spans="2:32" ht="23.1" customHeight="1" x14ac:dyDescent="0.25">
      <c r="B18" s="23" t="s">
        <v>45</v>
      </c>
      <c r="C18" s="49">
        <f>AVERAGE('23.09.19 Bweya- Kajansi'!C18,'24.09 Bweya-Kajansi'!C18,'25.09 Bweya-Kajansi'!C18,'27.09 Munyonyo-Kajansi'!C18,'26.09 Munyonyo-Kajansi-24h'!C18,'28.09 Kajansi-Bweya-24h'!C18,'29.09 Kajansi-Bweya'!C18)</f>
        <v>19.857142857142858</v>
      </c>
      <c r="D18" s="49">
        <f>AVERAGE('23.09.19 Bweya- Kajansi'!D18,'24.09 Bweya-Kajansi'!D18,'25.09 Bweya-Kajansi'!D18,'27.09 Munyonyo-Kajansi'!D18,'26.09 Munyonyo-Kajansi-24h'!D18,'28.09 Kajansi-Bweya-24h'!D18,'29.09 Kajansi-Bweya'!D18)</f>
        <v>6.5714285714285712</v>
      </c>
      <c r="E18" s="49">
        <f>AVERAGE('23.09.19 Bweya- Kajansi'!E18,'24.09 Bweya-Kajansi'!E18,'25.09 Bweya-Kajansi'!E18,'27.09 Munyonyo-Kajansi'!E18,'26.09 Munyonyo-Kajansi-24h'!E18,'28.09 Kajansi-Bweya-24h'!E18,'29.09 Kajansi-Bweya'!E18)</f>
        <v>4.8571428571428568</v>
      </c>
      <c r="F18" s="49">
        <f>AVERAGE('23.09.19 Bweya- Kajansi'!F18,'24.09 Bweya-Kajansi'!F18,'25.09 Bweya-Kajansi'!F18,'27.09 Munyonyo-Kajansi'!F18,'26.09 Munyonyo-Kajansi-24h'!F18,'28.09 Kajansi-Bweya-24h'!F18,'29.09 Kajansi-Bweya'!F18)</f>
        <v>2.1428571428571428</v>
      </c>
      <c r="G18" s="49">
        <f>AVERAGE('23.09.19 Bweya- Kajansi'!G18,'24.09 Bweya-Kajansi'!G18,'25.09 Bweya-Kajansi'!G18,'27.09 Munyonyo-Kajansi'!G18,'26.09 Munyonyo-Kajansi-24h'!G18,'28.09 Kajansi-Bweya-24h'!G18,'29.09 Kajansi-Bweya'!G18)</f>
        <v>0</v>
      </c>
      <c r="H18" s="49">
        <f>AVERAGE('23.09.19 Bweya- Kajansi'!H18,'24.09 Bweya-Kajansi'!H18,'25.09 Bweya-Kajansi'!H18,'27.09 Munyonyo-Kajansi'!H18,'26.09 Munyonyo-Kajansi-24h'!H18,'28.09 Kajansi-Bweya-24h'!H18,'29.09 Kajansi-Bweya'!H18)</f>
        <v>0.14285714285714285</v>
      </c>
      <c r="I18" s="49">
        <f>AVERAGE('23.09.19 Bweya- Kajansi'!I18,'24.09 Bweya-Kajansi'!I18,'25.09 Bweya-Kajansi'!I18,'27.09 Munyonyo-Kajansi'!I18,'26.09 Munyonyo-Kajansi-24h'!I18,'28.09 Kajansi-Bweya-24h'!I18,'29.09 Kajansi-Bweya'!I18)</f>
        <v>4.2857142857142856</v>
      </c>
      <c r="J18" s="49">
        <f>AVERAGE('23.09.19 Bweya- Kajansi'!J18,'24.09 Bweya-Kajansi'!J18,'25.09 Bweya-Kajansi'!J18,'27.09 Munyonyo-Kajansi'!J18,'26.09 Munyonyo-Kajansi-24h'!J18,'28.09 Kajansi-Bweya-24h'!J18,'29.09 Kajansi-Bweya'!J18)</f>
        <v>0.2857142857142857</v>
      </c>
      <c r="K18" s="49">
        <f>AVERAGE('23.09.19 Bweya- Kajansi'!K18,'24.09 Bweya-Kajansi'!K18,'25.09 Bweya-Kajansi'!K18,'27.09 Munyonyo-Kajansi'!K18,'26.09 Munyonyo-Kajansi-24h'!K18,'28.09 Kajansi-Bweya-24h'!K18,'29.09 Kajansi-Bweya'!K18)</f>
        <v>0</v>
      </c>
      <c r="L18" s="49">
        <f>AVERAGE('23.09.19 Bweya- Kajansi'!L18,'24.09 Bweya-Kajansi'!L18,'25.09 Bweya-Kajansi'!L18,'27.09 Munyonyo-Kajansi'!L18,'26.09 Munyonyo-Kajansi-24h'!L18,'28.09 Kajansi-Bweya-24h'!L18,'29.09 Kajansi-Bweya'!L18)</f>
        <v>0</v>
      </c>
      <c r="M18" s="49">
        <f>AVERAGE('23.09.19 Bweya- Kajansi'!M18,'24.09 Bweya-Kajansi'!M18,'25.09 Bweya-Kajansi'!M18,'27.09 Munyonyo-Kajansi'!M18,'26.09 Munyonyo-Kajansi-24h'!M18,'28.09 Kajansi-Bweya-24h'!M18,'29.09 Kajansi-Bweya'!M18)</f>
        <v>34.428571428571431</v>
      </c>
      <c r="N18" s="49">
        <f>AVERAGE('23.09.19 Bweya- Kajansi'!N18,'24.09 Bweya-Kajansi'!N18,'25.09 Bweya-Kajansi'!N18,'27.09 Munyonyo-Kajansi'!N18,'26.09 Munyonyo-Kajansi-24h'!N18,'28.09 Kajansi-Bweya-24h'!N18,'29.09 Kajansi-Bweya'!N18)</f>
        <v>0</v>
      </c>
      <c r="O18" s="15">
        <f t="shared" si="0"/>
        <v>38.142857142857146</v>
      </c>
      <c r="P18" s="15">
        <f t="shared" si="1"/>
        <v>72.571428571428584</v>
      </c>
      <c r="R18" s="1" t="s">
        <v>14</v>
      </c>
      <c r="S18" s="17">
        <f t="shared" ref="S18:AF18" si="10">SUM(C42:C45)</f>
        <v>134.57142857142858</v>
      </c>
      <c r="T18" s="17">
        <f t="shared" si="10"/>
        <v>21.857142857142858</v>
      </c>
      <c r="U18" s="17">
        <f t="shared" si="10"/>
        <v>14</v>
      </c>
      <c r="V18" s="17">
        <f t="shared" si="10"/>
        <v>6.5714285714285721</v>
      </c>
      <c r="W18" s="17">
        <f t="shared" si="10"/>
        <v>0.42857142857142855</v>
      </c>
      <c r="X18" s="17">
        <f t="shared" si="10"/>
        <v>0</v>
      </c>
      <c r="Y18" s="17">
        <f t="shared" si="10"/>
        <v>13.428571428571429</v>
      </c>
      <c r="Z18" s="17">
        <f t="shared" si="10"/>
        <v>2.8571428571428572</v>
      </c>
      <c r="AA18" s="17">
        <f t="shared" si="10"/>
        <v>0.42857142857142855</v>
      </c>
      <c r="AB18" s="17">
        <f t="shared" si="10"/>
        <v>0.14285714285714285</v>
      </c>
      <c r="AC18" s="17">
        <f t="shared" si="10"/>
        <v>114.42857142857143</v>
      </c>
      <c r="AD18" s="17">
        <f t="shared" si="10"/>
        <v>0</v>
      </c>
      <c r="AE18" s="31">
        <f t="shared" si="10"/>
        <v>194.28571428571431</v>
      </c>
      <c r="AF18" s="31">
        <f t="shared" si="10"/>
        <v>308.71428571428572</v>
      </c>
    </row>
    <row r="19" spans="2:32" ht="23.1" customHeight="1" x14ac:dyDescent="0.25">
      <c r="B19" s="23" t="s">
        <v>46</v>
      </c>
      <c r="C19" s="49">
        <f>AVERAGE('23.09.19 Bweya- Kajansi'!C19,'24.09 Bweya-Kajansi'!C19,'25.09 Bweya-Kajansi'!C19,'27.09 Munyonyo-Kajansi'!C19,'26.09 Munyonyo-Kajansi-24h'!C19,'28.09 Kajansi-Bweya-24h'!C19,'29.09 Kajansi-Bweya'!C19)</f>
        <v>20.285714285714285</v>
      </c>
      <c r="D19" s="49">
        <f>AVERAGE('23.09.19 Bweya- Kajansi'!D19,'24.09 Bweya-Kajansi'!D19,'25.09 Bweya-Kajansi'!D19,'27.09 Munyonyo-Kajansi'!D19,'26.09 Munyonyo-Kajansi-24h'!D19,'28.09 Kajansi-Bweya-24h'!D19,'29.09 Kajansi-Bweya'!D19)</f>
        <v>6.2857142857142856</v>
      </c>
      <c r="E19" s="49">
        <f>AVERAGE('23.09.19 Bweya- Kajansi'!E19,'24.09 Bweya-Kajansi'!E19,'25.09 Bweya-Kajansi'!E19,'27.09 Munyonyo-Kajansi'!E19,'26.09 Munyonyo-Kajansi-24h'!E19,'28.09 Kajansi-Bweya-24h'!E19,'29.09 Kajansi-Bweya'!E19)</f>
        <v>5</v>
      </c>
      <c r="F19" s="49">
        <f>AVERAGE('23.09.19 Bweya- Kajansi'!F19,'24.09 Bweya-Kajansi'!F19,'25.09 Bweya-Kajansi'!F19,'27.09 Munyonyo-Kajansi'!F19,'26.09 Munyonyo-Kajansi-24h'!F19,'28.09 Kajansi-Bweya-24h'!F19,'29.09 Kajansi-Bweya'!F19)</f>
        <v>1</v>
      </c>
      <c r="G19" s="49">
        <f>AVERAGE('23.09.19 Bweya- Kajansi'!G19,'24.09 Bweya-Kajansi'!G19,'25.09 Bweya-Kajansi'!G19,'27.09 Munyonyo-Kajansi'!G19,'26.09 Munyonyo-Kajansi-24h'!G19,'28.09 Kajansi-Bweya-24h'!G19,'29.09 Kajansi-Bweya'!G19)</f>
        <v>0.5714285714285714</v>
      </c>
      <c r="H19" s="49">
        <f>AVERAGE('23.09.19 Bweya- Kajansi'!H19,'24.09 Bweya-Kajansi'!H19,'25.09 Bweya-Kajansi'!H19,'27.09 Munyonyo-Kajansi'!H19,'26.09 Munyonyo-Kajansi-24h'!H19,'28.09 Kajansi-Bweya-24h'!H19,'29.09 Kajansi-Bweya'!H19)</f>
        <v>0</v>
      </c>
      <c r="I19" s="49">
        <f>AVERAGE('23.09.19 Bweya- Kajansi'!I19,'24.09 Bweya-Kajansi'!I19,'25.09 Bweya-Kajansi'!I19,'27.09 Munyonyo-Kajansi'!I19,'26.09 Munyonyo-Kajansi-24h'!I19,'28.09 Kajansi-Bweya-24h'!I19,'29.09 Kajansi-Bweya'!I19)</f>
        <v>2.8571428571428572</v>
      </c>
      <c r="J19" s="49">
        <f>AVERAGE('23.09.19 Bweya- Kajansi'!J19,'24.09 Bweya-Kajansi'!J19,'25.09 Bweya-Kajansi'!J19,'27.09 Munyonyo-Kajansi'!J19,'26.09 Munyonyo-Kajansi-24h'!J19,'28.09 Kajansi-Bweya-24h'!J19,'29.09 Kajansi-Bweya'!J19)</f>
        <v>0.5714285714285714</v>
      </c>
      <c r="K19" s="49">
        <f>AVERAGE('23.09.19 Bweya- Kajansi'!K19,'24.09 Bweya-Kajansi'!K19,'25.09 Bweya-Kajansi'!K19,'27.09 Munyonyo-Kajansi'!K19,'26.09 Munyonyo-Kajansi-24h'!K19,'28.09 Kajansi-Bweya-24h'!K19,'29.09 Kajansi-Bweya'!K19)</f>
        <v>0.14285714285714285</v>
      </c>
      <c r="L19" s="49">
        <f>AVERAGE('23.09.19 Bweya- Kajansi'!L19,'24.09 Bweya-Kajansi'!L19,'25.09 Bweya-Kajansi'!L19,'27.09 Munyonyo-Kajansi'!L19,'26.09 Munyonyo-Kajansi-24h'!L19,'28.09 Kajansi-Bweya-24h'!L19,'29.09 Kajansi-Bweya'!L19)</f>
        <v>0</v>
      </c>
      <c r="M19" s="49">
        <f>AVERAGE('23.09.19 Bweya- Kajansi'!M19,'24.09 Bweya-Kajansi'!M19,'25.09 Bweya-Kajansi'!M19,'27.09 Munyonyo-Kajansi'!M19,'26.09 Munyonyo-Kajansi-24h'!M19,'28.09 Kajansi-Bweya-24h'!M19,'29.09 Kajansi-Bweya'!M19)</f>
        <v>36</v>
      </c>
      <c r="N19" s="49">
        <f>AVERAGE('23.09.19 Bweya- Kajansi'!N19,'24.09 Bweya-Kajansi'!N19,'25.09 Bweya-Kajansi'!N19,'27.09 Munyonyo-Kajansi'!N19,'26.09 Munyonyo-Kajansi-24h'!N19,'28.09 Kajansi-Bweya-24h'!N19,'29.09 Kajansi-Bweya'!N19)</f>
        <v>0</v>
      </c>
      <c r="O19" s="15">
        <f t="shared" si="0"/>
        <v>36.714285714285708</v>
      </c>
      <c r="P19" s="15">
        <f t="shared" si="1"/>
        <v>72.714285714285708</v>
      </c>
      <c r="R19" s="1" t="s">
        <v>15</v>
      </c>
      <c r="S19" s="17">
        <f t="shared" ref="S19:AF19" si="11">SUM(C46:C49)</f>
        <v>148.71428571428572</v>
      </c>
      <c r="T19" s="17">
        <f t="shared" si="11"/>
        <v>26.285714285714285</v>
      </c>
      <c r="U19" s="17">
        <f t="shared" si="11"/>
        <v>15.428571428571431</v>
      </c>
      <c r="V19" s="17">
        <f t="shared" si="11"/>
        <v>8.7142857142857153</v>
      </c>
      <c r="W19" s="17">
        <f t="shared" si="11"/>
        <v>1</v>
      </c>
      <c r="X19" s="17">
        <f t="shared" si="11"/>
        <v>0.42857142857142855</v>
      </c>
      <c r="Y19" s="17">
        <f t="shared" si="11"/>
        <v>15.428571428571431</v>
      </c>
      <c r="Z19" s="17">
        <f t="shared" si="11"/>
        <v>4.4285714285714288</v>
      </c>
      <c r="AA19" s="17">
        <f t="shared" si="11"/>
        <v>0.71428571428571419</v>
      </c>
      <c r="AB19" s="17">
        <f t="shared" si="11"/>
        <v>0.2857142857142857</v>
      </c>
      <c r="AC19" s="17">
        <f t="shared" si="11"/>
        <v>117.57142857142857</v>
      </c>
      <c r="AD19" s="17">
        <f t="shared" si="11"/>
        <v>0</v>
      </c>
      <c r="AE19" s="31">
        <f t="shared" si="11"/>
        <v>221.42857142857147</v>
      </c>
      <c r="AF19" s="31">
        <f t="shared" si="11"/>
        <v>339</v>
      </c>
    </row>
    <row r="20" spans="2:32" ht="23.1" customHeight="1" x14ac:dyDescent="0.25">
      <c r="B20" s="23" t="s">
        <v>47</v>
      </c>
      <c r="C20" s="49">
        <f>AVERAGE('23.09.19 Bweya- Kajansi'!C20,'24.09 Bweya-Kajansi'!C20,'25.09 Bweya-Kajansi'!C20,'27.09 Munyonyo-Kajansi'!C20,'26.09 Munyonyo-Kajansi-24h'!C20,'28.09 Kajansi-Bweya-24h'!C20,'29.09 Kajansi-Bweya'!C20)</f>
        <v>25.285714285714285</v>
      </c>
      <c r="D20" s="49">
        <f>AVERAGE('23.09.19 Bweya- Kajansi'!D20,'24.09 Bweya-Kajansi'!D20,'25.09 Bweya-Kajansi'!D20,'27.09 Munyonyo-Kajansi'!D20,'26.09 Munyonyo-Kajansi-24h'!D20,'28.09 Kajansi-Bweya-24h'!D20,'29.09 Kajansi-Bweya'!D20)</f>
        <v>5.4285714285714288</v>
      </c>
      <c r="E20" s="49">
        <f>AVERAGE('23.09.19 Bweya- Kajansi'!E20,'24.09 Bweya-Kajansi'!E20,'25.09 Bweya-Kajansi'!E20,'27.09 Munyonyo-Kajansi'!E20,'26.09 Munyonyo-Kajansi-24h'!E20,'28.09 Kajansi-Bweya-24h'!E20,'29.09 Kajansi-Bweya'!E20)</f>
        <v>3.1428571428571428</v>
      </c>
      <c r="F20" s="49">
        <f>AVERAGE('23.09.19 Bweya- Kajansi'!F20,'24.09 Bweya-Kajansi'!F20,'25.09 Bweya-Kajansi'!F20,'27.09 Munyonyo-Kajansi'!F20,'26.09 Munyonyo-Kajansi-24h'!F20,'28.09 Kajansi-Bweya-24h'!F20,'29.09 Kajansi-Bweya'!F20)</f>
        <v>1.2857142857142858</v>
      </c>
      <c r="G20" s="49">
        <f>AVERAGE('23.09.19 Bweya- Kajansi'!G20,'24.09 Bweya-Kajansi'!G20,'25.09 Bweya-Kajansi'!G20,'27.09 Munyonyo-Kajansi'!G20,'26.09 Munyonyo-Kajansi-24h'!G20,'28.09 Kajansi-Bweya-24h'!G20,'29.09 Kajansi-Bweya'!G20)</f>
        <v>0.2857142857142857</v>
      </c>
      <c r="H20" s="49">
        <f>AVERAGE('23.09.19 Bweya- Kajansi'!H20,'24.09 Bweya-Kajansi'!H20,'25.09 Bweya-Kajansi'!H20,'27.09 Munyonyo-Kajansi'!H20,'26.09 Munyonyo-Kajansi-24h'!H20,'28.09 Kajansi-Bweya-24h'!H20,'29.09 Kajansi-Bweya'!H20)</f>
        <v>0</v>
      </c>
      <c r="I20" s="49">
        <f>AVERAGE('23.09.19 Bweya- Kajansi'!I20,'24.09 Bweya-Kajansi'!I20,'25.09 Bweya-Kajansi'!I20,'27.09 Munyonyo-Kajansi'!I20,'26.09 Munyonyo-Kajansi-24h'!I20,'28.09 Kajansi-Bweya-24h'!I20,'29.09 Kajansi-Bweya'!I20)</f>
        <v>3.4285714285714284</v>
      </c>
      <c r="J20" s="49">
        <f>AVERAGE('23.09.19 Bweya- Kajansi'!J20,'24.09 Bweya-Kajansi'!J20,'25.09 Bweya-Kajansi'!J20,'27.09 Munyonyo-Kajansi'!J20,'26.09 Munyonyo-Kajansi-24h'!J20,'28.09 Kajansi-Bweya-24h'!J20,'29.09 Kajansi-Bweya'!J20)</f>
        <v>0.2857142857142857</v>
      </c>
      <c r="K20" s="49">
        <f>AVERAGE('23.09.19 Bweya- Kajansi'!K20,'24.09 Bweya-Kajansi'!K20,'25.09 Bweya-Kajansi'!K20,'27.09 Munyonyo-Kajansi'!K20,'26.09 Munyonyo-Kajansi-24h'!K20,'28.09 Kajansi-Bweya-24h'!K20,'29.09 Kajansi-Bweya'!K20)</f>
        <v>0.2857142857142857</v>
      </c>
      <c r="L20" s="49">
        <f>AVERAGE('23.09.19 Bweya- Kajansi'!L20,'24.09 Bweya-Kajansi'!L20,'25.09 Bweya-Kajansi'!L20,'27.09 Munyonyo-Kajansi'!L20,'26.09 Munyonyo-Kajansi-24h'!L20,'28.09 Kajansi-Bweya-24h'!L20,'29.09 Kajansi-Bweya'!L20)</f>
        <v>0.2857142857142857</v>
      </c>
      <c r="M20" s="49">
        <f>AVERAGE('23.09.19 Bweya- Kajansi'!M20,'24.09 Bweya-Kajansi'!M20,'25.09 Bweya-Kajansi'!M20,'27.09 Munyonyo-Kajansi'!M20,'26.09 Munyonyo-Kajansi-24h'!M20,'28.09 Kajansi-Bweya-24h'!M20,'29.09 Kajansi-Bweya'!M20)</f>
        <v>32.142857142857146</v>
      </c>
      <c r="N20" s="49">
        <f>AVERAGE('23.09.19 Bweya- Kajansi'!N20,'24.09 Bweya-Kajansi'!N20,'25.09 Bweya-Kajansi'!N20,'27.09 Munyonyo-Kajansi'!N20,'26.09 Munyonyo-Kajansi-24h'!N20,'28.09 Kajansi-Bweya-24h'!N20,'29.09 Kajansi-Bweya'!N20)</f>
        <v>0</v>
      </c>
      <c r="O20" s="15">
        <f t="shared" si="0"/>
        <v>39.714285714285715</v>
      </c>
      <c r="P20" s="15">
        <f t="shared" si="1"/>
        <v>71.857142857142861</v>
      </c>
      <c r="R20" s="1" t="s">
        <v>16</v>
      </c>
      <c r="S20" s="17">
        <f t="shared" ref="S20:AF20" si="12">SUM(C50:C53)</f>
        <v>167</v>
      </c>
      <c r="T20" s="17">
        <f t="shared" si="12"/>
        <v>35.714285714285715</v>
      </c>
      <c r="U20" s="17">
        <f t="shared" si="12"/>
        <v>19.571428571428573</v>
      </c>
      <c r="V20" s="17">
        <f t="shared" si="12"/>
        <v>9.4285714285714288</v>
      </c>
      <c r="W20" s="17">
        <f t="shared" si="12"/>
        <v>3.1428571428571428</v>
      </c>
      <c r="X20" s="17">
        <f t="shared" si="12"/>
        <v>1.7142857142857144</v>
      </c>
      <c r="Y20" s="17">
        <f t="shared" si="12"/>
        <v>16.571428571428573</v>
      </c>
      <c r="Z20" s="17">
        <f t="shared" si="12"/>
        <v>3.8571428571428568</v>
      </c>
      <c r="AA20" s="17">
        <f t="shared" si="12"/>
        <v>0.5714285714285714</v>
      </c>
      <c r="AB20" s="17">
        <f t="shared" si="12"/>
        <v>0.2857142857142857</v>
      </c>
      <c r="AC20" s="17">
        <f t="shared" si="12"/>
        <v>149.85714285714286</v>
      </c>
      <c r="AD20" s="17">
        <f t="shared" si="12"/>
        <v>0</v>
      </c>
      <c r="AE20" s="31">
        <f t="shared" si="12"/>
        <v>257.85714285714283</v>
      </c>
      <c r="AF20" s="31">
        <f t="shared" si="12"/>
        <v>407.71428571428567</v>
      </c>
    </row>
    <row r="21" spans="2:32" ht="23.1" customHeight="1" x14ac:dyDescent="0.25">
      <c r="B21" s="23" t="s">
        <v>48</v>
      </c>
      <c r="C21" s="49">
        <f>AVERAGE('23.09.19 Bweya- Kajansi'!C21,'24.09 Bweya-Kajansi'!C21,'25.09 Bweya-Kajansi'!C21,'27.09 Munyonyo-Kajansi'!C21,'26.09 Munyonyo-Kajansi-24h'!C21,'28.09 Kajansi-Bweya-24h'!C21,'29.09 Kajansi-Bweya'!C21)</f>
        <v>22.428571428571427</v>
      </c>
      <c r="D21" s="49">
        <f>AVERAGE('23.09.19 Bweya- Kajansi'!D21,'24.09 Bweya-Kajansi'!D21,'25.09 Bweya-Kajansi'!D21,'27.09 Munyonyo-Kajansi'!D21,'26.09 Munyonyo-Kajansi-24h'!D21,'28.09 Kajansi-Bweya-24h'!D21,'29.09 Kajansi-Bweya'!D21)</f>
        <v>5.4285714285714288</v>
      </c>
      <c r="E21" s="49">
        <f>AVERAGE('23.09.19 Bweya- Kajansi'!E21,'24.09 Bweya-Kajansi'!E21,'25.09 Bweya-Kajansi'!E21,'27.09 Munyonyo-Kajansi'!E21,'26.09 Munyonyo-Kajansi-24h'!E21,'28.09 Kajansi-Bweya-24h'!E21,'29.09 Kajansi-Bweya'!E21)</f>
        <v>2.7142857142857144</v>
      </c>
      <c r="F21" s="49">
        <f>AVERAGE('23.09.19 Bweya- Kajansi'!F21,'24.09 Bweya-Kajansi'!F21,'25.09 Bweya-Kajansi'!F21,'27.09 Munyonyo-Kajansi'!F21,'26.09 Munyonyo-Kajansi-24h'!F21,'28.09 Kajansi-Bweya-24h'!F21,'29.09 Kajansi-Bweya'!F21)</f>
        <v>1.4285714285714286</v>
      </c>
      <c r="G21" s="49">
        <f>AVERAGE('23.09.19 Bweya- Kajansi'!G21,'24.09 Bweya-Kajansi'!G21,'25.09 Bweya-Kajansi'!G21,'27.09 Munyonyo-Kajansi'!G21,'26.09 Munyonyo-Kajansi-24h'!G21,'28.09 Kajansi-Bweya-24h'!G21,'29.09 Kajansi-Bweya'!G21)</f>
        <v>0.14285714285714285</v>
      </c>
      <c r="H21" s="49">
        <f>AVERAGE('23.09.19 Bweya- Kajansi'!H21,'24.09 Bweya-Kajansi'!H21,'25.09 Bweya-Kajansi'!H21,'27.09 Munyonyo-Kajansi'!H21,'26.09 Munyonyo-Kajansi-24h'!H21,'28.09 Kajansi-Bweya-24h'!H21,'29.09 Kajansi-Bweya'!H21)</f>
        <v>0.14285714285714285</v>
      </c>
      <c r="I21" s="49">
        <f>AVERAGE('23.09.19 Bweya- Kajansi'!I21,'24.09 Bweya-Kajansi'!I21,'25.09 Bweya-Kajansi'!I21,'27.09 Munyonyo-Kajansi'!I21,'26.09 Munyonyo-Kajansi-24h'!I21,'28.09 Kajansi-Bweya-24h'!I21,'29.09 Kajansi-Bweya'!I21)</f>
        <v>3.2857142857142856</v>
      </c>
      <c r="J21" s="49">
        <f>AVERAGE('23.09.19 Bweya- Kajansi'!J21,'24.09 Bweya-Kajansi'!J21,'25.09 Bweya-Kajansi'!J21,'27.09 Munyonyo-Kajansi'!J21,'26.09 Munyonyo-Kajansi-24h'!J21,'28.09 Kajansi-Bweya-24h'!J21,'29.09 Kajansi-Bweya'!J21)</f>
        <v>1.1428571428571428</v>
      </c>
      <c r="K21" s="49">
        <f>AVERAGE('23.09.19 Bweya- Kajansi'!K21,'24.09 Bweya-Kajansi'!K21,'25.09 Bweya-Kajansi'!K21,'27.09 Munyonyo-Kajansi'!K21,'26.09 Munyonyo-Kajansi-24h'!K21,'28.09 Kajansi-Bweya-24h'!K21,'29.09 Kajansi-Bweya'!K21)</f>
        <v>0</v>
      </c>
      <c r="L21" s="49">
        <f>AVERAGE('23.09.19 Bweya- Kajansi'!L21,'24.09 Bweya-Kajansi'!L21,'25.09 Bweya-Kajansi'!L21,'27.09 Munyonyo-Kajansi'!L21,'26.09 Munyonyo-Kajansi-24h'!L21,'28.09 Kajansi-Bweya-24h'!L21,'29.09 Kajansi-Bweya'!L21)</f>
        <v>0</v>
      </c>
      <c r="M21" s="49">
        <f>AVERAGE('23.09.19 Bweya- Kajansi'!M21,'24.09 Bweya-Kajansi'!M21,'25.09 Bweya-Kajansi'!M21,'27.09 Munyonyo-Kajansi'!M21,'26.09 Munyonyo-Kajansi-24h'!M21,'28.09 Kajansi-Bweya-24h'!M21,'29.09 Kajansi-Bweya'!M21)</f>
        <v>35.142857142857146</v>
      </c>
      <c r="N21" s="49">
        <f>AVERAGE('23.09.19 Bweya- Kajansi'!N21,'24.09 Bweya-Kajansi'!N21,'25.09 Bweya-Kajansi'!N21,'27.09 Munyonyo-Kajansi'!N21,'26.09 Munyonyo-Kajansi-24h'!N21,'28.09 Kajansi-Bweya-24h'!N21,'29.09 Kajansi-Bweya'!N21)</f>
        <v>0</v>
      </c>
      <c r="O21" s="15">
        <f t="shared" si="0"/>
        <v>36.714285714285715</v>
      </c>
      <c r="P21" s="15">
        <f t="shared" si="1"/>
        <v>71.857142857142861</v>
      </c>
      <c r="R21" s="36" t="s">
        <v>20</v>
      </c>
      <c r="S21" s="34">
        <f t="shared" ref="S21:AF21" si="13">SUM(C54:C57)</f>
        <v>181.42857142857142</v>
      </c>
      <c r="T21" s="17">
        <f t="shared" si="13"/>
        <v>30</v>
      </c>
      <c r="U21" s="17">
        <f t="shared" si="13"/>
        <v>21.285714285714285</v>
      </c>
      <c r="V21" s="17">
        <f t="shared" si="13"/>
        <v>9.7142857142857135</v>
      </c>
      <c r="W21" s="17">
        <f t="shared" si="13"/>
        <v>2.1428571428571428</v>
      </c>
      <c r="X21" s="17">
        <f t="shared" si="13"/>
        <v>0.2857142857142857</v>
      </c>
      <c r="Y21" s="17">
        <f t="shared" si="13"/>
        <v>13</v>
      </c>
      <c r="Z21" s="17">
        <f t="shared" si="13"/>
        <v>2.2857142857142856</v>
      </c>
      <c r="AA21" s="17">
        <f t="shared" si="13"/>
        <v>0.71428571428571419</v>
      </c>
      <c r="AB21" s="17">
        <f t="shared" si="13"/>
        <v>0.14285714285714285</v>
      </c>
      <c r="AC21" s="17">
        <f t="shared" si="13"/>
        <v>157.57142857142856</v>
      </c>
      <c r="AD21" s="17">
        <f t="shared" si="13"/>
        <v>0</v>
      </c>
      <c r="AE21" s="31">
        <f t="shared" si="13"/>
        <v>260.99999999999994</v>
      </c>
      <c r="AF21" s="31">
        <f t="shared" si="13"/>
        <v>418.57142857142856</v>
      </c>
    </row>
    <row r="22" spans="2:32" ht="23.1" customHeight="1" x14ac:dyDescent="0.25">
      <c r="B22" s="23" t="s">
        <v>49</v>
      </c>
      <c r="C22" s="49">
        <f>AVERAGE('23.09.19 Bweya- Kajansi'!C22,'24.09 Bweya-Kajansi'!C22,'25.09 Bweya-Kajansi'!C22,'27.09 Munyonyo-Kajansi'!C22,'26.09 Munyonyo-Kajansi-24h'!C22,'28.09 Kajansi-Bweya-24h'!C22,'29.09 Kajansi-Bweya'!C22)</f>
        <v>22.571428571428573</v>
      </c>
      <c r="D22" s="49">
        <f>AVERAGE('23.09.19 Bweya- Kajansi'!D22,'24.09 Bweya-Kajansi'!D22,'25.09 Bweya-Kajansi'!D22,'27.09 Munyonyo-Kajansi'!D22,'26.09 Munyonyo-Kajansi-24h'!D22,'28.09 Kajansi-Bweya-24h'!D22,'29.09 Kajansi-Bweya'!D22)</f>
        <v>5.8571428571428568</v>
      </c>
      <c r="E22" s="49">
        <f>AVERAGE('23.09.19 Bweya- Kajansi'!E22,'24.09 Bweya-Kajansi'!E22,'25.09 Bweya-Kajansi'!E22,'27.09 Munyonyo-Kajansi'!E22,'26.09 Munyonyo-Kajansi-24h'!E22,'28.09 Kajansi-Bweya-24h'!E22,'29.09 Kajansi-Bweya'!E22)</f>
        <v>2.8571428571428572</v>
      </c>
      <c r="F22" s="49">
        <f>AVERAGE('23.09.19 Bweya- Kajansi'!F22,'24.09 Bweya-Kajansi'!F22,'25.09 Bweya-Kajansi'!F22,'27.09 Munyonyo-Kajansi'!F22,'26.09 Munyonyo-Kajansi-24h'!F22,'28.09 Kajansi-Bweya-24h'!F22,'29.09 Kajansi-Bweya'!F22)</f>
        <v>1.8571428571428572</v>
      </c>
      <c r="G22" s="49">
        <f>AVERAGE('23.09.19 Bweya- Kajansi'!G22,'24.09 Bweya-Kajansi'!G22,'25.09 Bweya-Kajansi'!G22,'27.09 Munyonyo-Kajansi'!G22,'26.09 Munyonyo-Kajansi-24h'!G22,'28.09 Kajansi-Bweya-24h'!G22,'29.09 Kajansi-Bweya'!G22)</f>
        <v>0.14285714285714285</v>
      </c>
      <c r="H22" s="49">
        <f>AVERAGE('23.09.19 Bweya- Kajansi'!H22,'24.09 Bweya-Kajansi'!H22,'25.09 Bweya-Kajansi'!H22,'27.09 Munyonyo-Kajansi'!H22,'26.09 Munyonyo-Kajansi-24h'!H22,'28.09 Kajansi-Bweya-24h'!H22,'29.09 Kajansi-Bweya'!H22)</f>
        <v>0.42857142857142855</v>
      </c>
      <c r="I22" s="49">
        <f>AVERAGE('23.09.19 Bweya- Kajansi'!I22,'24.09 Bweya-Kajansi'!I22,'25.09 Bweya-Kajansi'!I22,'27.09 Munyonyo-Kajansi'!I22,'26.09 Munyonyo-Kajansi-24h'!I22,'28.09 Kajansi-Bweya-24h'!I22,'29.09 Kajansi-Bweya'!I22)</f>
        <v>3.4285714285714284</v>
      </c>
      <c r="J22" s="49">
        <f>AVERAGE('23.09.19 Bweya- Kajansi'!J22,'24.09 Bweya-Kajansi'!J22,'25.09 Bweya-Kajansi'!J22,'27.09 Munyonyo-Kajansi'!J22,'26.09 Munyonyo-Kajansi-24h'!J22,'28.09 Kajansi-Bweya-24h'!J22,'29.09 Kajansi-Bweya'!J22)</f>
        <v>0.5714285714285714</v>
      </c>
      <c r="K22" s="49">
        <f>AVERAGE('23.09.19 Bweya- Kajansi'!K22,'24.09 Bweya-Kajansi'!K22,'25.09 Bweya-Kajansi'!K22,'27.09 Munyonyo-Kajansi'!K22,'26.09 Munyonyo-Kajansi-24h'!K22,'28.09 Kajansi-Bweya-24h'!K22,'29.09 Kajansi-Bweya'!K22)</f>
        <v>0.14285714285714285</v>
      </c>
      <c r="L22" s="49">
        <f>AVERAGE('23.09.19 Bweya- Kajansi'!L22,'24.09 Bweya-Kajansi'!L22,'25.09 Bweya-Kajansi'!L22,'27.09 Munyonyo-Kajansi'!L22,'26.09 Munyonyo-Kajansi-24h'!L22,'28.09 Kajansi-Bweya-24h'!L22,'29.09 Kajansi-Bweya'!L22)</f>
        <v>0</v>
      </c>
      <c r="M22" s="49">
        <f>AVERAGE('23.09.19 Bweya- Kajansi'!M22,'24.09 Bweya-Kajansi'!M22,'25.09 Bweya-Kajansi'!M22,'27.09 Munyonyo-Kajansi'!M22,'26.09 Munyonyo-Kajansi-24h'!M22,'28.09 Kajansi-Bweya-24h'!M22,'29.09 Kajansi-Bweya'!M22)</f>
        <v>32.714285714285715</v>
      </c>
      <c r="N22" s="49">
        <f>AVERAGE('23.09.19 Bweya- Kajansi'!N22,'24.09 Bweya-Kajansi'!N22,'25.09 Bweya-Kajansi'!N22,'27.09 Munyonyo-Kajansi'!N22,'26.09 Munyonyo-Kajansi-24h'!N22,'28.09 Kajansi-Bweya-24h'!N22,'29.09 Kajansi-Bweya'!N22)</f>
        <v>0</v>
      </c>
      <c r="O22" s="15">
        <f t="shared" si="0"/>
        <v>37.857142857142868</v>
      </c>
      <c r="P22" s="15">
        <f t="shared" si="1"/>
        <v>70.571428571428584</v>
      </c>
      <c r="R22" s="1" t="s">
        <v>146</v>
      </c>
      <c r="S22" s="34">
        <f>SUM(C58:C61)</f>
        <v>152.5</v>
      </c>
      <c r="T22" s="34">
        <f t="shared" ref="T22:AF22" si="14">SUM(D58:D61)</f>
        <v>49.5</v>
      </c>
      <c r="U22" s="34">
        <f t="shared" si="14"/>
        <v>18.5</v>
      </c>
      <c r="V22" s="34">
        <f t="shared" si="14"/>
        <v>7.5</v>
      </c>
      <c r="W22" s="34">
        <f t="shared" si="14"/>
        <v>0.5</v>
      </c>
      <c r="X22" s="34">
        <f t="shared" si="14"/>
        <v>0.5</v>
      </c>
      <c r="Y22" s="34">
        <f t="shared" si="14"/>
        <v>18.5</v>
      </c>
      <c r="Z22" s="34">
        <f t="shared" si="14"/>
        <v>2</v>
      </c>
      <c r="AA22" s="34">
        <f t="shared" si="14"/>
        <v>0.5</v>
      </c>
      <c r="AB22" s="34">
        <f t="shared" si="14"/>
        <v>0</v>
      </c>
      <c r="AC22" s="34">
        <f t="shared" si="14"/>
        <v>145.5</v>
      </c>
      <c r="AD22" s="34">
        <f t="shared" si="14"/>
        <v>0</v>
      </c>
      <c r="AE22" s="31">
        <f t="shared" si="14"/>
        <v>250</v>
      </c>
      <c r="AF22" s="31">
        <f t="shared" si="14"/>
        <v>395.5</v>
      </c>
    </row>
    <row r="23" spans="2:32" ht="23.1" customHeight="1" x14ac:dyDescent="0.25">
      <c r="B23" s="23" t="s">
        <v>50</v>
      </c>
      <c r="C23" s="49">
        <f>AVERAGE('23.09.19 Bweya- Kajansi'!C23,'24.09 Bweya-Kajansi'!C23,'25.09 Bweya-Kajansi'!C23,'27.09 Munyonyo-Kajansi'!C23,'26.09 Munyonyo-Kajansi-24h'!C23,'28.09 Kajansi-Bweya-24h'!C23,'29.09 Kajansi-Bweya'!C23)</f>
        <v>24.571428571428573</v>
      </c>
      <c r="D23" s="49">
        <f>AVERAGE('23.09.19 Bweya- Kajansi'!D23,'24.09 Bweya-Kajansi'!D23,'25.09 Bweya-Kajansi'!D23,'27.09 Munyonyo-Kajansi'!D23,'26.09 Munyonyo-Kajansi-24h'!D23,'28.09 Kajansi-Bweya-24h'!D23,'29.09 Kajansi-Bweya'!D23)</f>
        <v>7.5714285714285712</v>
      </c>
      <c r="E23" s="49">
        <f>AVERAGE('23.09.19 Bweya- Kajansi'!E23,'24.09 Bweya-Kajansi'!E23,'25.09 Bweya-Kajansi'!E23,'27.09 Munyonyo-Kajansi'!E23,'26.09 Munyonyo-Kajansi-24h'!E23,'28.09 Kajansi-Bweya-24h'!E23,'29.09 Kajansi-Bweya'!E23)</f>
        <v>3</v>
      </c>
      <c r="F23" s="49">
        <f>AVERAGE('23.09.19 Bweya- Kajansi'!F23,'24.09 Bweya-Kajansi'!F23,'25.09 Bweya-Kajansi'!F23,'27.09 Munyonyo-Kajansi'!F23,'26.09 Munyonyo-Kajansi-24h'!F23,'28.09 Kajansi-Bweya-24h'!F23,'29.09 Kajansi-Bweya'!F23)</f>
        <v>2</v>
      </c>
      <c r="G23" s="49">
        <f>AVERAGE('23.09.19 Bweya- Kajansi'!G23,'24.09 Bweya-Kajansi'!G23,'25.09 Bweya-Kajansi'!G23,'27.09 Munyonyo-Kajansi'!G23,'26.09 Munyonyo-Kajansi-24h'!G23,'28.09 Kajansi-Bweya-24h'!G23,'29.09 Kajansi-Bweya'!G23)</f>
        <v>0.5714285714285714</v>
      </c>
      <c r="H23" s="49">
        <f>AVERAGE('23.09.19 Bweya- Kajansi'!H23,'24.09 Bweya-Kajansi'!H23,'25.09 Bweya-Kajansi'!H23,'27.09 Munyonyo-Kajansi'!H23,'26.09 Munyonyo-Kajansi-24h'!H23,'28.09 Kajansi-Bweya-24h'!H23,'29.09 Kajansi-Bweya'!H23)</f>
        <v>0.14285714285714285</v>
      </c>
      <c r="I23" s="49">
        <f>AVERAGE('23.09.19 Bweya- Kajansi'!I23,'24.09 Bweya-Kajansi'!I23,'25.09 Bweya-Kajansi'!I23,'27.09 Munyonyo-Kajansi'!I23,'26.09 Munyonyo-Kajansi-24h'!I23,'28.09 Kajansi-Bweya-24h'!I23,'29.09 Kajansi-Bweya'!I23)</f>
        <v>1.2857142857142858</v>
      </c>
      <c r="J23" s="49">
        <f>AVERAGE('23.09.19 Bweya- Kajansi'!J23,'24.09 Bweya-Kajansi'!J23,'25.09 Bweya-Kajansi'!J23,'27.09 Munyonyo-Kajansi'!J23,'26.09 Munyonyo-Kajansi-24h'!J23,'28.09 Kajansi-Bweya-24h'!J23,'29.09 Kajansi-Bweya'!J23)</f>
        <v>0.42857142857142855</v>
      </c>
      <c r="K23" s="49">
        <f>AVERAGE('23.09.19 Bweya- Kajansi'!K23,'24.09 Bweya-Kajansi'!K23,'25.09 Bweya-Kajansi'!K23,'27.09 Munyonyo-Kajansi'!K23,'26.09 Munyonyo-Kajansi-24h'!K23,'28.09 Kajansi-Bweya-24h'!K23,'29.09 Kajansi-Bweya'!K23)</f>
        <v>0</v>
      </c>
      <c r="L23" s="49">
        <f>AVERAGE('23.09.19 Bweya- Kajansi'!L23,'24.09 Bweya-Kajansi'!L23,'25.09 Bweya-Kajansi'!L23,'27.09 Munyonyo-Kajansi'!L23,'26.09 Munyonyo-Kajansi-24h'!L23,'28.09 Kajansi-Bweya-24h'!L23,'29.09 Kajansi-Bweya'!L23)</f>
        <v>0</v>
      </c>
      <c r="M23" s="49">
        <f>AVERAGE('23.09.19 Bweya- Kajansi'!M23,'24.09 Bweya-Kajansi'!M23,'25.09 Bweya-Kajansi'!M23,'27.09 Munyonyo-Kajansi'!M23,'26.09 Munyonyo-Kajansi-24h'!M23,'28.09 Kajansi-Bweya-24h'!M23,'29.09 Kajansi-Bweya'!M23)</f>
        <v>33.142857142857146</v>
      </c>
      <c r="N23" s="49">
        <f>AVERAGE('23.09.19 Bweya- Kajansi'!N23,'24.09 Bweya-Kajansi'!N23,'25.09 Bweya-Kajansi'!N23,'27.09 Munyonyo-Kajansi'!N23,'26.09 Munyonyo-Kajansi-24h'!N23,'28.09 Kajansi-Bweya-24h'!N23,'29.09 Kajansi-Bweya'!N23)</f>
        <v>0</v>
      </c>
      <c r="O23" s="15">
        <f t="shared" si="0"/>
        <v>39.571428571428577</v>
      </c>
      <c r="P23" s="15">
        <f t="shared" si="1"/>
        <v>72.714285714285722</v>
      </c>
      <c r="R23" s="1" t="s">
        <v>147</v>
      </c>
      <c r="S23" s="34">
        <f>SUM(C62:C65)</f>
        <v>140</v>
      </c>
      <c r="T23" s="34">
        <f t="shared" ref="T23:AF23" si="15">SUM(D62:D65)</f>
        <v>36</v>
      </c>
      <c r="U23" s="34">
        <f t="shared" si="15"/>
        <v>17</v>
      </c>
      <c r="V23" s="34">
        <f t="shared" si="15"/>
        <v>9</v>
      </c>
      <c r="W23" s="34">
        <f t="shared" si="15"/>
        <v>0</v>
      </c>
      <c r="X23" s="34">
        <f t="shared" si="15"/>
        <v>0</v>
      </c>
      <c r="Y23" s="34">
        <f t="shared" si="15"/>
        <v>8.5</v>
      </c>
      <c r="Z23" s="34">
        <f t="shared" si="15"/>
        <v>1.5</v>
      </c>
      <c r="AA23" s="34">
        <f t="shared" si="15"/>
        <v>1</v>
      </c>
      <c r="AB23" s="34">
        <f t="shared" si="15"/>
        <v>0</v>
      </c>
      <c r="AC23" s="34">
        <f t="shared" si="15"/>
        <v>143</v>
      </c>
      <c r="AD23" s="34">
        <f t="shared" si="15"/>
        <v>0</v>
      </c>
      <c r="AE23" s="31">
        <f t="shared" si="15"/>
        <v>213</v>
      </c>
      <c r="AF23" s="31">
        <f t="shared" si="15"/>
        <v>356</v>
      </c>
    </row>
    <row r="24" spans="2:32" ht="23.1" customHeight="1" x14ac:dyDescent="0.25">
      <c r="B24" s="23" t="s">
        <v>51</v>
      </c>
      <c r="C24" s="49">
        <f>AVERAGE('23.09.19 Bweya- Kajansi'!C24,'24.09 Bweya-Kajansi'!C24,'25.09 Bweya-Kajansi'!C24,'27.09 Munyonyo-Kajansi'!C24,'26.09 Munyonyo-Kajansi-24h'!C24,'28.09 Kajansi-Bweya-24h'!C24,'29.09 Kajansi-Bweya'!C24)</f>
        <v>21.142857142857142</v>
      </c>
      <c r="D24" s="49">
        <f>AVERAGE('23.09.19 Bweya- Kajansi'!D24,'24.09 Bweya-Kajansi'!D24,'25.09 Bweya-Kajansi'!D24,'27.09 Munyonyo-Kajansi'!D24,'26.09 Munyonyo-Kajansi-24h'!D24,'28.09 Kajansi-Bweya-24h'!D24,'29.09 Kajansi-Bweya'!D24)</f>
        <v>5.8571428571428568</v>
      </c>
      <c r="E24" s="49">
        <f>AVERAGE('23.09.19 Bweya- Kajansi'!E24,'24.09 Bweya-Kajansi'!E24,'25.09 Bweya-Kajansi'!E24,'27.09 Munyonyo-Kajansi'!E24,'26.09 Munyonyo-Kajansi-24h'!E24,'28.09 Kajansi-Bweya-24h'!E24,'29.09 Kajansi-Bweya'!E24)</f>
        <v>4.5714285714285712</v>
      </c>
      <c r="F24" s="49">
        <f>AVERAGE('23.09.19 Bweya- Kajansi'!F24,'24.09 Bweya-Kajansi'!F24,'25.09 Bweya-Kajansi'!F24,'27.09 Munyonyo-Kajansi'!F24,'26.09 Munyonyo-Kajansi-24h'!F24,'28.09 Kajansi-Bweya-24h'!F24,'29.09 Kajansi-Bweya'!F24)</f>
        <v>1.1428571428571428</v>
      </c>
      <c r="G24" s="49">
        <f>AVERAGE('23.09.19 Bweya- Kajansi'!G24,'24.09 Bweya-Kajansi'!G24,'25.09 Bweya-Kajansi'!G24,'27.09 Munyonyo-Kajansi'!G24,'26.09 Munyonyo-Kajansi-24h'!G24,'28.09 Kajansi-Bweya-24h'!G24,'29.09 Kajansi-Bweya'!G24)</f>
        <v>0</v>
      </c>
      <c r="H24" s="49">
        <f>AVERAGE('23.09.19 Bweya- Kajansi'!H24,'24.09 Bweya-Kajansi'!H24,'25.09 Bweya-Kajansi'!H24,'27.09 Munyonyo-Kajansi'!H24,'26.09 Munyonyo-Kajansi-24h'!H24,'28.09 Kajansi-Bweya-24h'!H24,'29.09 Kajansi-Bweya'!H24)</f>
        <v>0</v>
      </c>
      <c r="I24" s="49">
        <f>AVERAGE('23.09.19 Bweya- Kajansi'!I24,'24.09 Bweya-Kajansi'!I24,'25.09 Bweya-Kajansi'!I24,'27.09 Munyonyo-Kajansi'!I24,'26.09 Munyonyo-Kajansi-24h'!I24,'28.09 Kajansi-Bweya-24h'!I24,'29.09 Kajansi-Bweya'!I24)</f>
        <v>4.1428571428571432</v>
      </c>
      <c r="J24" s="49">
        <f>AVERAGE('23.09.19 Bweya- Kajansi'!J24,'24.09 Bweya-Kajansi'!J24,'25.09 Bweya-Kajansi'!J24,'27.09 Munyonyo-Kajansi'!J24,'26.09 Munyonyo-Kajansi-24h'!J24,'28.09 Kajansi-Bweya-24h'!J24,'29.09 Kajansi-Bweya'!J24)</f>
        <v>0.5714285714285714</v>
      </c>
      <c r="K24" s="49">
        <f>AVERAGE('23.09.19 Bweya- Kajansi'!K24,'24.09 Bweya-Kajansi'!K24,'25.09 Bweya-Kajansi'!K24,'27.09 Munyonyo-Kajansi'!K24,'26.09 Munyonyo-Kajansi-24h'!K24,'28.09 Kajansi-Bweya-24h'!K24,'29.09 Kajansi-Bweya'!K24)</f>
        <v>0</v>
      </c>
      <c r="L24" s="49">
        <f>AVERAGE('23.09.19 Bweya- Kajansi'!L24,'24.09 Bweya-Kajansi'!L24,'25.09 Bweya-Kajansi'!L24,'27.09 Munyonyo-Kajansi'!L24,'26.09 Munyonyo-Kajansi-24h'!L24,'28.09 Kajansi-Bweya-24h'!L24,'29.09 Kajansi-Bweya'!L24)</f>
        <v>0</v>
      </c>
      <c r="M24" s="49">
        <f>AVERAGE('23.09.19 Bweya- Kajansi'!M24,'24.09 Bweya-Kajansi'!M24,'25.09 Bweya-Kajansi'!M24,'27.09 Munyonyo-Kajansi'!M24,'26.09 Munyonyo-Kajansi-24h'!M24,'28.09 Kajansi-Bweya-24h'!M24,'29.09 Kajansi-Bweya'!M24)</f>
        <v>33.857142857142854</v>
      </c>
      <c r="N24" s="49">
        <f>AVERAGE('23.09.19 Bweya- Kajansi'!N24,'24.09 Bweya-Kajansi'!N24,'25.09 Bweya-Kajansi'!N24,'27.09 Munyonyo-Kajansi'!N24,'26.09 Munyonyo-Kajansi-24h'!N24,'28.09 Kajansi-Bweya-24h'!N24,'29.09 Kajansi-Bweya'!N24)</f>
        <v>0</v>
      </c>
      <c r="O24" s="15">
        <f t="shared" si="0"/>
        <v>37.428571428571431</v>
      </c>
      <c r="P24" s="15">
        <f t="shared" si="1"/>
        <v>71.285714285714278</v>
      </c>
      <c r="R24" s="1" t="s">
        <v>148</v>
      </c>
      <c r="S24" s="34">
        <f>SUM(C66:C69)</f>
        <v>158</v>
      </c>
      <c r="T24" s="34">
        <f t="shared" ref="T24:AF24" si="16">SUM(D66:D69)</f>
        <v>40</v>
      </c>
      <c r="U24" s="34">
        <f t="shared" si="16"/>
        <v>15</v>
      </c>
      <c r="V24" s="34">
        <f t="shared" si="16"/>
        <v>4.5</v>
      </c>
      <c r="W24" s="34">
        <f t="shared" si="16"/>
        <v>1.5</v>
      </c>
      <c r="X24" s="34">
        <f t="shared" si="16"/>
        <v>0.5</v>
      </c>
      <c r="Y24" s="34">
        <f t="shared" si="16"/>
        <v>5</v>
      </c>
      <c r="Z24" s="34">
        <f t="shared" si="16"/>
        <v>2</v>
      </c>
      <c r="AA24" s="34">
        <f t="shared" si="16"/>
        <v>0</v>
      </c>
      <c r="AB24" s="34">
        <f t="shared" si="16"/>
        <v>0.5</v>
      </c>
      <c r="AC24" s="34">
        <f t="shared" si="16"/>
        <v>79</v>
      </c>
      <c r="AD24" s="34">
        <f t="shared" si="16"/>
        <v>0</v>
      </c>
      <c r="AE24" s="31">
        <f t="shared" si="16"/>
        <v>227</v>
      </c>
      <c r="AF24" s="31">
        <f t="shared" si="16"/>
        <v>306</v>
      </c>
    </row>
    <row r="25" spans="2:32" ht="23.1" customHeight="1" x14ac:dyDescent="0.25">
      <c r="B25" s="23" t="s">
        <v>52</v>
      </c>
      <c r="C25" s="49">
        <f>AVERAGE('23.09.19 Bweya- Kajansi'!C25,'24.09 Bweya-Kajansi'!C25,'25.09 Bweya-Kajansi'!C25,'27.09 Munyonyo-Kajansi'!C25,'26.09 Munyonyo-Kajansi-24h'!C25,'28.09 Kajansi-Bweya-24h'!C25,'29.09 Kajansi-Bweya'!C25)</f>
        <v>23.714285714285715</v>
      </c>
      <c r="D25" s="49">
        <f>AVERAGE('23.09.19 Bweya- Kajansi'!D25,'24.09 Bweya-Kajansi'!D25,'25.09 Bweya-Kajansi'!D25,'27.09 Munyonyo-Kajansi'!D25,'26.09 Munyonyo-Kajansi-24h'!D25,'28.09 Kajansi-Bweya-24h'!D25,'29.09 Kajansi-Bweya'!D25)</f>
        <v>5.2857142857142856</v>
      </c>
      <c r="E25" s="49">
        <f>AVERAGE('23.09.19 Bweya- Kajansi'!E25,'24.09 Bweya-Kajansi'!E25,'25.09 Bweya-Kajansi'!E25,'27.09 Munyonyo-Kajansi'!E25,'26.09 Munyonyo-Kajansi-24h'!E25,'28.09 Kajansi-Bweya-24h'!E25,'29.09 Kajansi-Bweya'!E25)</f>
        <v>2.1428571428571428</v>
      </c>
      <c r="F25" s="49">
        <f>AVERAGE('23.09.19 Bweya- Kajansi'!F25,'24.09 Bweya-Kajansi'!F25,'25.09 Bweya-Kajansi'!F25,'27.09 Munyonyo-Kajansi'!F25,'26.09 Munyonyo-Kajansi-24h'!F25,'28.09 Kajansi-Bweya-24h'!F25,'29.09 Kajansi-Bweya'!F25)</f>
        <v>1.2857142857142858</v>
      </c>
      <c r="G25" s="49">
        <f>AVERAGE('23.09.19 Bweya- Kajansi'!G25,'24.09 Bweya-Kajansi'!G25,'25.09 Bweya-Kajansi'!G25,'27.09 Munyonyo-Kajansi'!G25,'26.09 Munyonyo-Kajansi-24h'!G25,'28.09 Kajansi-Bweya-24h'!G25,'29.09 Kajansi-Bweya'!G25)</f>
        <v>0.2857142857142857</v>
      </c>
      <c r="H25" s="49">
        <f>AVERAGE('23.09.19 Bweya- Kajansi'!H25,'24.09 Bweya-Kajansi'!H25,'25.09 Bweya-Kajansi'!H25,'27.09 Munyonyo-Kajansi'!H25,'26.09 Munyonyo-Kajansi-24h'!H25,'28.09 Kajansi-Bweya-24h'!H25,'29.09 Kajansi-Bweya'!H25)</f>
        <v>0</v>
      </c>
      <c r="I25" s="49">
        <f>AVERAGE('23.09.19 Bweya- Kajansi'!I25,'24.09 Bweya-Kajansi'!I25,'25.09 Bweya-Kajansi'!I25,'27.09 Munyonyo-Kajansi'!I25,'26.09 Munyonyo-Kajansi-24h'!I25,'28.09 Kajansi-Bweya-24h'!I25,'29.09 Kajansi-Bweya'!I25)</f>
        <v>4.2857142857142856</v>
      </c>
      <c r="J25" s="49">
        <f>AVERAGE('23.09.19 Bweya- Kajansi'!J25,'24.09 Bweya-Kajansi'!J25,'25.09 Bweya-Kajansi'!J25,'27.09 Munyonyo-Kajansi'!J25,'26.09 Munyonyo-Kajansi-24h'!J25,'28.09 Kajansi-Bweya-24h'!J25,'29.09 Kajansi-Bweya'!J25)</f>
        <v>1.1428571428571428</v>
      </c>
      <c r="K25" s="49">
        <f>AVERAGE('23.09.19 Bweya- Kajansi'!K25,'24.09 Bweya-Kajansi'!K25,'25.09 Bweya-Kajansi'!K25,'27.09 Munyonyo-Kajansi'!K25,'26.09 Munyonyo-Kajansi-24h'!K25,'28.09 Kajansi-Bweya-24h'!K25,'29.09 Kajansi-Bweya'!K25)</f>
        <v>0.14285714285714285</v>
      </c>
      <c r="L25" s="49">
        <f>AVERAGE('23.09.19 Bweya- Kajansi'!L25,'24.09 Bweya-Kajansi'!L25,'25.09 Bweya-Kajansi'!L25,'27.09 Munyonyo-Kajansi'!L25,'26.09 Munyonyo-Kajansi-24h'!L25,'28.09 Kajansi-Bweya-24h'!L25,'29.09 Kajansi-Bweya'!L25)</f>
        <v>0</v>
      </c>
      <c r="M25" s="49">
        <f>AVERAGE('23.09.19 Bweya- Kajansi'!M25,'24.09 Bweya-Kajansi'!M25,'25.09 Bweya-Kajansi'!M25,'27.09 Munyonyo-Kajansi'!M25,'26.09 Munyonyo-Kajansi-24h'!M25,'28.09 Kajansi-Bweya-24h'!M25,'29.09 Kajansi-Bweya'!M25)</f>
        <v>31.285714285714285</v>
      </c>
      <c r="N25" s="49">
        <f>AVERAGE('23.09.19 Bweya- Kajansi'!N25,'24.09 Bweya-Kajansi'!N25,'25.09 Bweya-Kajansi'!N25,'27.09 Munyonyo-Kajansi'!N25,'26.09 Munyonyo-Kajansi-24h'!N25,'28.09 Kajansi-Bweya-24h'!N25,'29.09 Kajansi-Bweya'!N25)</f>
        <v>0</v>
      </c>
      <c r="O25" s="15">
        <f t="shared" si="0"/>
        <v>38.285714285714292</v>
      </c>
      <c r="P25" s="15">
        <f t="shared" si="1"/>
        <v>69.571428571428584</v>
      </c>
      <c r="R25" s="1" t="s">
        <v>149</v>
      </c>
      <c r="S25" s="34">
        <f>SUM(C70:C73)</f>
        <v>112.5</v>
      </c>
      <c r="T25" s="34">
        <f t="shared" ref="T25:AF25" si="17">SUM(D70:D73)</f>
        <v>37.5</v>
      </c>
      <c r="U25" s="34">
        <f t="shared" si="17"/>
        <v>10.5</v>
      </c>
      <c r="V25" s="34">
        <f t="shared" si="17"/>
        <v>7.5</v>
      </c>
      <c r="W25" s="34">
        <f t="shared" si="17"/>
        <v>1</v>
      </c>
      <c r="X25" s="34">
        <f t="shared" si="17"/>
        <v>0</v>
      </c>
      <c r="Y25" s="34">
        <f t="shared" si="17"/>
        <v>4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48.5</v>
      </c>
      <c r="AD25" s="34">
        <f t="shared" si="17"/>
        <v>0</v>
      </c>
      <c r="AE25" s="31">
        <f t="shared" si="17"/>
        <v>173</v>
      </c>
      <c r="AF25" s="31">
        <f t="shared" si="17"/>
        <v>221.5</v>
      </c>
    </row>
    <row r="26" spans="2:32" ht="23.1" customHeight="1" x14ac:dyDescent="0.25">
      <c r="B26" s="23" t="s">
        <v>53</v>
      </c>
      <c r="C26" s="49">
        <f>AVERAGE('23.09.19 Bweya- Kajansi'!C26,'24.09 Bweya-Kajansi'!C26,'25.09 Bweya-Kajansi'!C26,'27.09 Munyonyo-Kajansi'!C26,'26.09 Munyonyo-Kajansi-24h'!C26,'28.09 Kajansi-Bweya-24h'!C26,'29.09 Kajansi-Bweya'!C26)</f>
        <v>20.571428571428573</v>
      </c>
      <c r="D26" s="49">
        <f>AVERAGE('23.09.19 Bweya- Kajansi'!D26,'24.09 Bweya-Kajansi'!D26,'25.09 Bweya-Kajansi'!D26,'27.09 Munyonyo-Kajansi'!D26,'26.09 Munyonyo-Kajansi-24h'!D26,'28.09 Kajansi-Bweya-24h'!D26,'29.09 Kajansi-Bweya'!D26)</f>
        <v>4.4285714285714288</v>
      </c>
      <c r="E26" s="49">
        <f>AVERAGE('23.09.19 Bweya- Kajansi'!E26,'24.09 Bweya-Kajansi'!E26,'25.09 Bweya-Kajansi'!E26,'27.09 Munyonyo-Kajansi'!E26,'26.09 Munyonyo-Kajansi-24h'!E26,'28.09 Kajansi-Bweya-24h'!E26,'29.09 Kajansi-Bweya'!E26)</f>
        <v>4.4285714285714288</v>
      </c>
      <c r="F26" s="49">
        <f>AVERAGE('23.09.19 Bweya- Kajansi'!F26,'24.09 Bweya-Kajansi'!F26,'25.09 Bweya-Kajansi'!F26,'27.09 Munyonyo-Kajansi'!F26,'26.09 Munyonyo-Kajansi-24h'!F26,'28.09 Kajansi-Bweya-24h'!F26,'29.09 Kajansi-Bweya'!F26)</f>
        <v>0.8571428571428571</v>
      </c>
      <c r="G26" s="49">
        <f>AVERAGE('23.09.19 Bweya- Kajansi'!G26,'24.09 Bweya-Kajansi'!G26,'25.09 Bweya-Kajansi'!G26,'27.09 Munyonyo-Kajansi'!G26,'26.09 Munyonyo-Kajansi-24h'!G26,'28.09 Kajansi-Bweya-24h'!G26,'29.09 Kajansi-Bweya'!G26)</f>
        <v>0.2857142857142857</v>
      </c>
      <c r="H26" s="49">
        <f>AVERAGE('23.09.19 Bweya- Kajansi'!H26,'24.09 Bweya-Kajansi'!H26,'25.09 Bweya-Kajansi'!H26,'27.09 Munyonyo-Kajansi'!H26,'26.09 Munyonyo-Kajansi-24h'!H26,'28.09 Kajansi-Bweya-24h'!H26,'29.09 Kajansi-Bweya'!H26)</f>
        <v>0</v>
      </c>
      <c r="I26" s="49">
        <f>AVERAGE('23.09.19 Bweya- Kajansi'!I26,'24.09 Bweya-Kajansi'!I26,'25.09 Bweya-Kajansi'!I26,'27.09 Munyonyo-Kajansi'!I26,'26.09 Munyonyo-Kajansi-24h'!I26,'28.09 Kajansi-Bweya-24h'!I26,'29.09 Kajansi-Bweya'!I26)</f>
        <v>3</v>
      </c>
      <c r="J26" s="49">
        <f>AVERAGE('23.09.19 Bweya- Kajansi'!J26,'24.09 Bweya-Kajansi'!J26,'25.09 Bweya-Kajansi'!J26,'27.09 Munyonyo-Kajansi'!J26,'26.09 Munyonyo-Kajansi-24h'!J26,'28.09 Kajansi-Bweya-24h'!J26,'29.09 Kajansi-Bweya'!J26)</f>
        <v>0.2857142857142857</v>
      </c>
      <c r="K26" s="49">
        <f>AVERAGE('23.09.19 Bweya- Kajansi'!K26,'24.09 Bweya-Kajansi'!K26,'25.09 Bweya-Kajansi'!K26,'27.09 Munyonyo-Kajansi'!K26,'26.09 Munyonyo-Kajansi-24h'!K26,'28.09 Kajansi-Bweya-24h'!K26,'29.09 Kajansi-Bweya'!K26)</f>
        <v>0.14285714285714285</v>
      </c>
      <c r="L26" s="49">
        <f>AVERAGE('23.09.19 Bweya- Kajansi'!L26,'24.09 Bweya-Kajansi'!L26,'25.09 Bweya-Kajansi'!L26,'27.09 Munyonyo-Kajansi'!L26,'26.09 Munyonyo-Kajansi-24h'!L26,'28.09 Kajansi-Bweya-24h'!L26,'29.09 Kajansi-Bweya'!L26)</f>
        <v>0.14285714285714285</v>
      </c>
      <c r="M26" s="49">
        <f>AVERAGE('23.09.19 Bweya- Kajansi'!M26,'24.09 Bweya-Kajansi'!M26,'25.09 Bweya-Kajansi'!M26,'27.09 Munyonyo-Kajansi'!M26,'26.09 Munyonyo-Kajansi-24h'!M26,'28.09 Kajansi-Bweya-24h'!M26,'29.09 Kajansi-Bweya'!M26)</f>
        <v>30</v>
      </c>
      <c r="N26" s="49">
        <f>AVERAGE('23.09.19 Bweya- Kajansi'!N26,'24.09 Bweya-Kajansi'!N26,'25.09 Bweya-Kajansi'!N26,'27.09 Munyonyo-Kajansi'!N26,'26.09 Munyonyo-Kajansi-24h'!N26,'28.09 Kajansi-Bweya-24h'!N26,'29.09 Kajansi-Bweya'!N26)</f>
        <v>0.14285714285714285</v>
      </c>
      <c r="O26" s="15">
        <f t="shared" si="0"/>
        <v>34.285714285714292</v>
      </c>
      <c r="P26" s="15">
        <f t="shared" si="1"/>
        <v>64.285714285714278</v>
      </c>
      <c r="R26" s="1" t="s">
        <v>150</v>
      </c>
      <c r="S26" s="34">
        <f>SUM(C74:C77)</f>
        <v>73.5</v>
      </c>
      <c r="T26" s="34">
        <f t="shared" ref="T26:AF26" si="18">SUM(D74:D77)</f>
        <v>28.5</v>
      </c>
      <c r="U26" s="34">
        <f t="shared" si="18"/>
        <v>8.5</v>
      </c>
      <c r="V26" s="34">
        <f t="shared" si="18"/>
        <v>6</v>
      </c>
      <c r="W26" s="34">
        <f t="shared" si="18"/>
        <v>0</v>
      </c>
      <c r="X26" s="34">
        <f t="shared" si="18"/>
        <v>1</v>
      </c>
      <c r="Y26" s="34">
        <f t="shared" si="18"/>
        <v>4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35</v>
      </c>
      <c r="AD26" s="34">
        <f t="shared" si="18"/>
        <v>0</v>
      </c>
      <c r="AE26" s="31">
        <f t="shared" si="18"/>
        <v>122</v>
      </c>
      <c r="AF26" s="31">
        <f t="shared" si="18"/>
        <v>157</v>
      </c>
    </row>
    <row r="27" spans="2:32" ht="23.1" customHeight="1" x14ac:dyDescent="0.25">
      <c r="B27" s="23" t="s">
        <v>54</v>
      </c>
      <c r="C27" s="49">
        <f>AVERAGE('23.09.19 Bweya- Kajansi'!C27,'24.09 Bweya-Kajansi'!C27,'25.09 Bweya-Kajansi'!C27,'27.09 Munyonyo-Kajansi'!C27,'26.09 Munyonyo-Kajansi-24h'!C27,'28.09 Kajansi-Bweya-24h'!C27,'29.09 Kajansi-Bweya'!C27)</f>
        <v>28.428571428571427</v>
      </c>
      <c r="D27" s="49">
        <f>AVERAGE('23.09.19 Bweya- Kajansi'!D27,'24.09 Bweya-Kajansi'!D27,'25.09 Bweya-Kajansi'!D27,'27.09 Munyonyo-Kajansi'!D27,'26.09 Munyonyo-Kajansi-24h'!D27,'28.09 Kajansi-Bweya-24h'!D27,'29.09 Kajansi-Bweya'!D27)</f>
        <v>4.5714285714285712</v>
      </c>
      <c r="E27" s="49">
        <f>AVERAGE('23.09.19 Bweya- Kajansi'!E27,'24.09 Bweya-Kajansi'!E27,'25.09 Bweya-Kajansi'!E27,'27.09 Munyonyo-Kajansi'!E27,'26.09 Munyonyo-Kajansi-24h'!E27,'28.09 Kajansi-Bweya-24h'!E27,'29.09 Kajansi-Bweya'!E27)</f>
        <v>4</v>
      </c>
      <c r="F27" s="49">
        <f>AVERAGE('23.09.19 Bweya- Kajansi'!F27,'24.09 Bweya-Kajansi'!F27,'25.09 Bweya-Kajansi'!F27,'27.09 Munyonyo-Kajansi'!F27,'26.09 Munyonyo-Kajansi-24h'!F27,'28.09 Kajansi-Bweya-24h'!F27,'29.09 Kajansi-Bweya'!F27)</f>
        <v>1.7142857142857142</v>
      </c>
      <c r="G27" s="49">
        <f>AVERAGE('23.09.19 Bweya- Kajansi'!G27,'24.09 Bweya-Kajansi'!G27,'25.09 Bweya-Kajansi'!G27,'27.09 Munyonyo-Kajansi'!G27,'26.09 Munyonyo-Kajansi-24h'!G27,'28.09 Kajansi-Bweya-24h'!G27,'29.09 Kajansi-Bweya'!G27)</f>
        <v>0.14285714285714285</v>
      </c>
      <c r="H27" s="49">
        <f>AVERAGE('23.09.19 Bweya- Kajansi'!H27,'24.09 Bweya-Kajansi'!H27,'25.09 Bweya-Kajansi'!H27,'27.09 Munyonyo-Kajansi'!H27,'26.09 Munyonyo-Kajansi-24h'!H27,'28.09 Kajansi-Bweya-24h'!H27,'29.09 Kajansi-Bweya'!H27)</f>
        <v>0.5714285714285714</v>
      </c>
      <c r="I27" s="49">
        <f>AVERAGE('23.09.19 Bweya- Kajansi'!I27,'24.09 Bweya-Kajansi'!I27,'25.09 Bweya-Kajansi'!I27,'27.09 Munyonyo-Kajansi'!I27,'26.09 Munyonyo-Kajansi-24h'!I27,'28.09 Kajansi-Bweya-24h'!I27,'29.09 Kajansi-Bweya'!I27)</f>
        <v>2.8571428571428572</v>
      </c>
      <c r="J27" s="49">
        <f>AVERAGE('23.09.19 Bweya- Kajansi'!J27,'24.09 Bweya-Kajansi'!J27,'25.09 Bweya-Kajansi'!J27,'27.09 Munyonyo-Kajansi'!J27,'26.09 Munyonyo-Kajansi-24h'!J27,'28.09 Kajansi-Bweya-24h'!J27,'29.09 Kajansi-Bweya'!J27)</f>
        <v>0.5714285714285714</v>
      </c>
      <c r="K27" s="49">
        <f>AVERAGE('23.09.19 Bweya- Kajansi'!K27,'24.09 Bweya-Kajansi'!K27,'25.09 Bweya-Kajansi'!K27,'27.09 Munyonyo-Kajansi'!K27,'26.09 Munyonyo-Kajansi-24h'!K27,'28.09 Kajansi-Bweya-24h'!K27,'29.09 Kajansi-Bweya'!K27)</f>
        <v>0.14285714285714285</v>
      </c>
      <c r="L27" s="49">
        <f>AVERAGE('23.09.19 Bweya- Kajansi'!L27,'24.09 Bweya-Kajansi'!L27,'25.09 Bweya-Kajansi'!L27,'27.09 Munyonyo-Kajansi'!L27,'26.09 Munyonyo-Kajansi-24h'!L27,'28.09 Kajansi-Bweya-24h'!L27,'29.09 Kajansi-Bweya'!L27)</f>
        <v>0</v>
      </c>
      <c r="M27" s="49">
        <f>AVERAGE('23.09.19 Bweya- Kajansi'!M27,'24.09 Bweya-Kajansi'!M27,'25.09 Bweya-Kajansi'!M27,'27.09 Munyonyo-Kajansi'!M27,'26.09 Munyonyo-Kajansi-24h'!M27,'28.09 Kajansi-Bweya-24h'!M27,'29.09 Kajansi-Bweya'!M27)</f>
        <v>32.428571428571431</v>
      </c>
      <c r="N27" s="49">
        <f>AVERAGE('23.09.19 Bweya- Kajansi'!N27,'24.09 Bweya-Kajansi'!N27,'25.09 Bweya-Kajansi'!N27,'27.09 Munyonyo-Kajansi'!N27,'26.09 Munyonyo-Kajansi-24h'!N27,'28.09 Kajansi-Bweya-24h'!N27,'29.09 Kajansi-Bweya'!N27)</f>
        <v>0</v>
      </c>
      <c r="O27" s="15">
        <f t="shared" si="0"/>
        <v>43</v>
      </c>
      <c r="P27" s="15">
        <f t="shared" si="1"/>
        <v>75.428571428571431</v>
      </c>
      <c r="R27" s="1" t="s">
        <v>151</v>
      </c>
      <c r="S27" s="34">
        <f>SUM(C78:C81)</f>
        <v>36.5</v>
      </c>
      <c r="T27" s="34">
        <f t="shared" ref="T27:AF27" si="19">SUM(D78:D81)</f>
        <v>14.5</v>
      </c>
      <c r="U27" s="34">
        <f t="shared" si="19"/>
        <v>5</v>
      </c>
      <c r="V27" s="34">
        <f t="shared" si="19"/>
        <v>2.5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0.5</v>
      </c>
      <c r="AB27" s="34">
        <f t="shared" si="19"/>
        <v>0</v>
      </c>
      <c r="AC27" s="34">
        <f t="shared" si="19"/>
        <v>17.5</v>
      </c>
      <c r="AD27" s="34">
        <f t="shared" si="19"/>
        <v>0</v>
      </c>
      <c r="AE27" s="31">
        <f t="shared" si="19"/>
        <v>60</v>
      </c>
      <c r="AF27" s="31">
        <f t="shared" si="19"/>
        <v>77.5</v>
      </c>
    </row>
    <row r="28" spans="2:32" ht="23.1" customHeight="1" x14ac:dyDescent="0.25">
      <c r="B28" s="23" t="s">
        <v>55</v>
      </c>
      <c r="C28" s="49">
        <f>AVERAGE('23.09.19 Bweya- Kajansi'!C28,'24.09 Bweya-Kajansi'!C28,'25.09 Bweya-Kajansi'!C28,'27.09 Munyonyo-Kajansi'!C28,'26.09 Munyonyo-Kajansi-24h'!C28,'28.09 Kajansi-Bweya-24h'!C28,'29.09 Kajansi-Bweya'!C28)</f>
        <v>26.571428571428573</v>
      </c>
      <c r="D28" s="49">
        <f>AVERAGE('23.09.19 Bweya- Kajansi'!D28,'24.09 Bweya-Kajansi'!D28,'25.09 Bweya-Kajansi'!D28,'27.09 Munyonyo-Kajansi'!D28,'26.09 Munyonyo-Kajansi-24h'!D28,'28.09 Kajansi-Bweya-24h'!D28,'29.09 Kajansi-Bweya'!D28)</f>
        <v>4.8571428571428568</v>
      </c>
      <c r="E28" s="49">
        <f>AVERAGE('23.09.19 Bweya- Kajansi'!E28,'24.09 Bweya-Kajansi'!E28,'25.09 Bweya-Kajansi'!E28,'27.09 Munyonyo-Kajansi'!E28,'26.09 Munyonyo-Kajansi-24h'!E28,'28.09 Kajansi-Bweya-24h'!E28,'29.09 Kajansi-Bweya'!E28)</f>
        <v>2.2857142857142856</v>
      </c>
      <c r="F28" s="49">
        <f>AVERAGE('23.09.19 Bweya- Kajansi'!F28,'24.09 Bweya-Kajansi'!F28,'25.09 Bweya-Kajansi'!F28,'27.09 Munyonyo-Kajansi'!F28,'26.09 Munyonyo-Kajansi-24h'!F28,'28.09 Kajansi-Bweya-24h'!F28,'29.09 Kajansi-Bweya'!F28)</f>
        <v>2</v>
      </c>
      <c r="G28" s="49">
        <f>AVERAGE('23.09.19 Bweya- Kajansi'!G28,'24.09 Bweya-Kajansi'!G28,'25.09 Bweya-Kajansi'!G28,'27.09 Munyonyo-Kajansi'!G28,'26.09 Munyonyo-Kajansi-24h'!G28,'28.09 Kajansi-Bweya-24h'!G28,'29.09 Kajansi-Bweya'!G28)</f>
        <v>0.2857142857142857</v>
      </c>
      <c r="H28" s="49">
        <f>AVERAGE('23.09.19 Bweya- Kajansi'!H28,'24.09 Bweya-Kajansi'!H28,'25.09 Bweya-Kajansi'!H28,'27.09 Munyonyo-Kajansi'!H28,'26.09 Munyonyo-Kajansi-24h'!H28,'28.09 Kajansi-Bweya-24h'!H28,'29.09 Kajansi-Bweya'!H28)</f>
        <v>0</v>
      </c>
      <c r="I28" s="49">
        <f>AVERAGE('23.09.19 Bweya- Kajansi'!I28,'24.09 Bweya-Kajansi'!I28,'25.09 Bweya-Kajansi'!I28,'27.09 Munyonyo-Kajansi'!I28,'26.09 Munyonyo-Kajansi-24h'!I28,'28.09 Kajansi-Bweya-24h'!I28,'29.09 Kajansi-Bweya'!I28)</f>
        <v>3.5714285714285716</v>
      </c>
      <c r="J28" s="49">
        <f>AVERAGE('23.09.19 Bweya- Kajansi'!J28,'24.09 Bweya-Kajansi'!J28,'25.09 Bweya-Kajansi'!J28,'27.09 Munyonyo-Kajansi'!J28,'26.09 Munyonyo-Kajansi-24h'!J28,'28.09 Kajansi-Bweya-24h'!J28,'29.09 Kajansi-Bweya'!J28)</f>
        <v>1</v>
      </c>
      <c r="K28" s="49">
        <f>AVERAGE('23.09.19 Bweya- Kajansi'!K28,'24.09 Bweya-Kajansi'!K28,'25.09 Bweya-Kajansi'!K28,'27.09 Munyonyo-Kajansi'!K28,'26.09 Munyonyo-Kajansi-24h'!K28,'28.09 Kajansi-Bweya-24h'!K28,'29.09 Kajansi-Bweya'!K28)</f>
        <v>0.42857142857142855</v>
      </c>
      <c r="L28" s="49">
        <f>AVERAGE('23.09.19 Bweya- Kajansi'!L28,'24.09 Bweya-Kajansi'!L28,'25.09 Bweya-Kajansi'!L28,'27.09 Munyonyo-Kajansi'!L28,'26.09 Munyonyo-Kajansi-24h'!L28,'28.09 Kajansi-Bweya-24h'!L28,'29.09 Kajansi-Bweya'!L28)</f>
        <v>0</v>
      </c>
      <c r="M28" s="49">
        <f>AVERAGE('23.09.19 Bweya- Kajansi'!M28,'24.09 Bweya-Kajansi'!M28,'25.09 Bweya-Kajansi'!M28,'27.09 Munyonyo-Kajansi'!M28,'26.09 Munyonyo-Kajansi-24h'!M28,'28.09 Kajansi-Bweya-24h'!M28,'29.09 Kajansi-Bweya'!M28)</f>
        <v>34.857142857142854</v>
      </c>
      <c r="N28" s="49">
        <f>AVERAGE('23.09.19 Bweya- Kajansi'!N28,'24.09 Bweya-Kajansi'!N28,'25.09 Bweya-Kajansi'!N28,'27.09 Munyonyo-Kajansi'!N28,'26.09 Munyonyo-Kajansi-24h'!N28,'28.09 Kajansi-Bweya-24h'!N28,'29.09 Kajansi-Bweya'!N28)</f>
        <v>0</v>
      </c>
      <c r="O28" s="15">
        <f t="shared" si="0"/>
        <v>41</v>
      </c>
      <c r="P28" s="15">
        <f t="shared" si="1"/>
        <v>75.857142857142861</v>
      </c>
      <c r="R28" s="1" t="s">
        <v>152</v>
      </c>
      <c r="S28" s="34">
        <f>SUM(C82:C85)</f>
        <v>18.5</v>
      </c>
      <c r="T28" s="34">
        <f t="shared" ref="T28:AF28" si="20">SUM(D82:D85)</f>
        <v>10.5</v>
      </c>
      <c r="U28" s="34">
        <f t="shared" si="20"/>
        <v>3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0.5</v>
      </c>
      <c r="AB28" s="34">
        <f t="shared" si="20"/>
        <v>0</v>
      </c>
      <c r="AC28" s="34">
        <f t="shared" si="20"/>
        <v>11.5</v>
      </c>
      <c r="AD28" s="34">
        <f t="shared" si="20"/>
        <v>0</v>
      </c>
      <c r="AE28" s="31">
        <f t="shared" si="20"/>
        <v>35.5</v>
      </c>
      <c r="AF28" s="31">
        <f t="shared" si="20"/>
        <v>47</v>
      </c>
    </row>
    <row r="29" spans="2:32" ht="23.1" customHeight="1" x14ac:dyDescent="0.25">
      <c r="B29" s="23" t="s">
        <v>56</v>
      </c>
      <c r="C29" s="49">
        <f>AVERAGE('23.09.19 Bweya- Kajansi'!C29,'24.09 Bweya-Kajansi'!C29,'25.09 Bweya-Kajansi'!C29,'27.09 Munyonyo-Kajansi'!C29,'26.09 Munyonyo-Kajansi-24h'!C29,'28.09 Kajansi-Bweya-24h'!C29,'29.09 Kajansi-Bweya'!C29)</f>
        <v>25.142857142857142</v>
      </c>
      <c r="D29" s="49">
        <f>AVERAGE('23.09.19 Bweya- Kajansi'!D29,'24.09 Bweya-Kajansi'!D29,'25.09 Bweya-Kajansi'!D29,'27.09 Munyonyo-Kajansi'!D29,'26.09 Munyonyo-Kajansi-24h'!D29,'28.09 Kajansi-Bweya-24h'!D29,'29.09 Kajansi-Bweya'!D29)</f>
        <v>3</v>
      </c>
      <c r="E29" s="49">
        <f>AVERAGE('23.09.19 Bweya- Kajansi'!E29,'24.09 Bweya-Kajansi'!E29,'25.09 Bweya-Kajansi'!E29,'27.09 Munyonyo-Kajansi'!E29,'26.09 Munyonyo-Kajansi-24h'!E29,'28.09 Kajansi-Bweya-24h'!E29,'29.09 Kajansi-Bweya'!E29)</f>
        <v>2.4285714285714284</v>
      </c>
      <c r="F29" s="49">
        <f>AVERAGE('23.09.19 Bweya- Kajansi'!F29,'24.09 Bweya-Kajansi'!F29,'25.09 Bweya-Kajansi'!F29,'27.09 Munyonyo-Kajansi'!F29,'26.09 Munyonyo-Kajansi-24h'!F29,'28.09 Kajansi-Bweya-24h'!F29,'29.09 Kajansi-Bweya'!F29)</f>
        <v>1.8571428571428572</v>
      </c>
      <c r="G29" s="49">
        <f>AVERAGE('23.09.19 Bweya- Kajansi'!G29,'24.09 Bweya-Kajansi'!G29,'25.09 Bweya-Kajansi'!G29,'27.09 Munyonyo-Kajansi'!G29,'26.09 Munyonyo-Kajansi-24h'!G29,'28.09 Kajansi-Bweya-24h'!G29,'29.09 Kajansi-Bweya'!G29)</f>
        <v>0.2857142857142857</v>
      </c>
      <c r="H29" s="49">
        <f>AVERAGE('23.09.19 Bweya- Kajansi'!H29,'24.09 Bweya-Kajansi'!H29,'25.09 Bweya-Kajansi'!H29,'27.09 Munyonyo-Kajansi'!H29,'26.09 Munyonyo-Kajansi-24h'!H29,'28.09 Kajansi-Bweya-24h'!H29,'29.09 Kajansi-Bweya'!H29)</f>
        <v>0</v>
      </c>
      <c r="I29" s="49">
        <f>AVERAGE('23.09.19 Bweya- Kajansi'!I29,'24.09 Bweya-Kajansi'!I29,'25.09 Bweya-Kajansi'!I29,'27.09 Munyonyo-Kajansi'!I29,'26.09 Munyonyo-Kajansi-24h'!I29,'28.09 Kajansi-Bweya-24h'!I29,'29.09 Kajansi-Bweya'!I29)</f>
        <v>4.2857142857142856</v>
      </c>
      <c r="J29" s="49">
        <f>AVERAGE('23.09.19 Bweya- Kajansi'!J29,'24.09 Bweya-Kajansi'!J29,'25.09 Bweya-Kajansi'!J29,'27.09 Munyonyo-Kajansi'!J29,'26.09 Munyonyo-Kajansi-24h'!J29,'28.09 Kajansi-Bweya-24h'!J29,'29.09 Kajansi-Bweya'!J29)</f>
        <v>1</v>
      </c>
      <c r="K29" s="49">
        <f>AVERAGE('23.09.19 Bweya- Kajansi'!K29,'24.09 Bweya-Kajansi'!K29,'25.09 Bweya-Kajansi'!K29,'27.09 Munyonyo-Kajansi'!K29,'26.09 Munyonyo-Kajansi-24h'!K29,'28.09 Kajansi-Bweya-24h'!K29,'29.09 Kajansi-Bweya'!K29)</f>
        <v>0.42857142857142855</v>
      </c>
      <c r="L29" s="49">
        <f>AVERAGE('23.09.19 Bweya- Kajansi'!L29,'24.09 Bweya-Kajansi'!L29,'25.09 Bweya-Kajansi'!L29,'27.09 Munyonyo-Kajansi'!L29,'26.09 Munyonyo-Kajansi-24h'!L29,'28.09 Kajansi-Bweya-24h'!L29,'29.09 Kajansi-Bweya'!L29)</f>
        <v>0</v>
      </c>
      <c r="M29" s="49">
        <f>AVERAGE('23.09.19 Bweya- Kajansi'!M29,'24.09 Bweya-Kajansi'!M29,'25.09 Bweya-Kajansi'!M29,'27.09 Munyonyo-Kajansi'!M29,'26.09 Munyonyo-Kajansi-24h'!M29,'28.09 Kajansi-Bweya-24h'!M29,'29.09 Kajansi-Bweya'!M29)</f>
        <v>28</v>
      </c>
      <c r="N29" s="49">
        <f>AVERAGE('23.09.19 Bweya- Kajansi'!N29,'24.09 Bweya-Kajansi'!N29,'25.09 Bweya-Kajansi'!N29,'27.09 Munyonyo-Kajansi'!N29,'26.09 Munyonyo-Kajansi-24h'!N29,'28.09 Kajansi-Bweya-24h'!N29,'29.09 Kajansi-Bweya'!N29)</f>
        <v>0</v>
      </c>
      <c r="O29" s="15">
        <f t="shared" si="0"/>
        <v>38.428571428571423</v>
      </c>
      <c r="P29" s="15">
        <f t="shared" si="1"/>
        <v>66.428571428571416</v>
      </c>
      <c r="R29" s="1" t="s">
        <v>153</v>
      </c>
      <c r="S29" s="34">
        <f>SUM(C86:C89)</f>
        <v>12</v>
      </c>
      <c r="T29" s="34">
        <f t="shared" ref="T29:AF29" si="21">SUM(D86:D89)</f>
        <v>5.5</v>
      </c>
      <c r="U29" s="34">
        <f t="shared" si="21"/>
        <v>1</v>
      </c>
      <c r="V29" s="34">
        <f t="shared" si="21"/>
        <v>2.5</v>
      </c>
      <c r="W29" s="34">
        <f t="shared" si="21"/>
        <v>0.5</v>
      </c>
      <c r="X29" s="34">
        <f t="shared" si="21"/>
        <v>1</v>
      </c>
      <c r="Y29" s="34">
        <f t="shared" si="21"/>
        <v>1</v>
      </c>
      <c r="Z29" s="34">
        <f t="shared" si="21"/>
        <v>0</v>
      </c>
      <c r="AA29" s="34">
        <f t="shared" si="21"/>
        <v>0.5</v>
      </c>
      <c r="AB29" s="34">
        <f t="shared" si="21"/>
        <v>0</v>
      </c>
      <c r="AC29" s="34">
        <f t="shared" si="21"/>
        <v>9.5</v>
      </c>
      <c r="AD29" s="34">
        <f t="shared" si="21"/>
        <v>0</v>
      </c>
      <c r="AE29" s="31">
        <f t="shared" si="21"/>
        <v>24</v>
      </c>
      <c r="AF29" s="31">
        <f t="shared" si="21"/>
        <v>33.5</v>
      </c>
    </row>
    <row r="30" spans="2:32" ht="23.1" customHeight="1" x14ac:dyDescent="0.25">
      <c r="B30" s="23" t="s">
        <v>57</v>
      </c>
      <c r="C30" s="49">
        <f>AVERAGE('23.09.19 Bweya- Kajansi'!C30,'24.09 Bweya-Kajansi'!C30,'25.09 Bweya-Kajansi'!C30,'27.09 Munyonyo-Kajansi'!C30,'26.09 Munyonyo-Kajansi-24h'!C30,'28.09 Kajansi-Bweya-24h'!C30,'29.09 Kajansi-Bweya'!C30)</f>
        <v>26.428571428571427</v>
      </c>
      <c r="D30" s="49">
        <f>AVERAGE('23.09.19 Bweya- Kajansi'!D30,'24.09 Bweya-Kajansi'!D30,'25.09 Bweya-Kajansi'!D30,'27.09 Munyonyo-Kajansi'!D30,'26.09 Munyonyo-Kajansi-24h'!D30,'28.09 Kajansi-Bweya-24h'!D30,'29.09 Kajansi-Bweya'!D30)</f>
        <v>4.8571428571428568</v>
      </c>
      <c r="E30" s="49">
        <f>AVERAGE('23.09.19 Bweya- Kajansi'!E30,'24.09 Bweya-Kajansi'!E30,'25.09 Bweya-Kajansi'!E30,'27.09 Munyonyo-Kajansi'!E30,'26.09 Munyonyo-Kajansi-24h'!E30,'28.09 Kajansi-Bweya-24h'!E30,'29.09 Kajansi-Bweya'!E30)</f>
        <v>3.8571428571428572</v>
      </c>
      <c r="F30" s="49">
        <f>AVERAGE('23.09.19 Bweya- Kajansi'!F30,'24.09 Bweya-Kajansi'!F30,'25.09 Bweya-Kajansi'!F30,'27.09 Munyonyo-Kajansi'!F30,'26.09 Munyonyo-Kajansi-24h'!F30,'28.09 Kajansi-Bweya-24h'!F30,'29.09 Kajansi-Bweya'!F30)</f>
        <v>1.8571428571428572</v>
      </c>
      <c r="G30" s="49">
        <f>AVERAGE('23.09.19 Bweya- Kajansi'!G30,'24.09 Bweya-Kajansi'!G30,'25.09 Bweya-Kajansi'!G30,'27.09 Munyonyo-Kajansi'!G30,'26.09 Munyonyo-Kajansi-24h'!G30,'28.09 Kajansi-Bweya-24h'!G30,'29.09 Kajansi-Bweya'!G30)</f>
        <v>0.14285714285714285</v>
      </c>
      <c r="H30" s="49">
        <f>AVERAGE('23.09.19 Bweya- Kajansi'!H30,'24.09 Bweya-Kajansi'!H30,'25.09 Bweya-Kajansi'!H30,'27.09 Munyonyo-Kajansi'!H30,'26.09 Munyonyo-Kajansi-24h'!H30,'28.09 Kajansi-Bweya-24h'!H30,'29.09 Kajansi-Bweya'!H30)</f>
        <v>0</v>
      </c>
      <c r="I30" s="49">
        <f>AVERAGE('23.09.19 Bweya- Kajansi'!I30,'24.09 Bweya-Kajansi'!I30,'25.09 Bweya-Kajansi'!I30,'27.09 Munyonyo-Kajansi'!I30,'26.09 Munyonyo-Kajansi-24h'!I30,'28.09 Kajansi-Bweya-24h'!I30,'29.09 Kajansi-Bweya'!I30)</f>
        <v>4.1428571428571432</v>
      </c>
      <c r="J30" s="49">
        <f>AVERAGE('23.09.19 Bweya- Kajansi'!J30,'24.09 Bweya-Kajansi'!J30,'25.09 Bweya-Kajansi'!J30,'27.09 Munyonyo-Kajansi'!J30,'26.09 Munyonyo-Kajansi-24h'!J30,'28.09 Kajansi-Bweya-24h'!J30,'29.09 Kajansi-Bweya'!J30)</f>
        <v>1.2857142857142858</v>
      </c>
      <c r="K30" s="49">
        <f>AVERAGE('23.09.19 Bweya- Kajansi'!K30,'24.09 Bweya-Kajansi'!K30,'25.09 Bweya-Kajansi'!K30,'27.09 Munyonyo-Kajansi'!K30,'26.09 Munyonyo-Kajansi-24h'!K30,'28.09 Kajansi-Bweya-24h'!K30,'29.09 Kajansi-Bweya'!K30)</f>
        <v>0.14285714285714285</v>
      </c>
      <c r="L30" s="49">
        <f>AVERAGE('23.09.19 Bweya- Kajansi'!L30,'24.09 Bweya-Kajansi'!L30,'25.09 Bweya-Kajansi'!L30,'27.09 Munyonyo-Kajansi'!L30,'26.09 Munyonyo-Kajansi-24h'!L30,'28.09 Kajansi-Bweya-24h'!L30,'29.09 Kajansi-Bweya'!L30)</f>
        <v>0.42857142857142855</v>
      </c>
      <c r="M30" s="49">
        <f>AVERAGE('23.09.19 Bweya- Kajansi'!M30,'24.09 Bweya-Kajansi'!M30,'25.09 Bweya-Kajansi'!M30,'27.09 Munyonyo-Kajansi'!M30,'26.09 Munyonyo-Kajansi-24h'!M30,'28.09 Kajansi-Bweya-24h'!M30,'29.09 Kajansi-Bweya'!M30)</f>
        <v>29.571428571428573</v>
      </c>
      <c r="N30" s="49">
        <f>AVERAGE('23.09.19 Bweya- Kajansi'!N30,'24.09 Bweya-Kajansi'!N30,'25.09 Bweya-Kajansi'!N30,'27.09 Munyonyo-Kajansi'!N30,'26.09 Munyonyo-Kajansi-24h'!N30,'28.09 Kajansi-Bweya-24h'!N30,'29.09 Kajansi-Bweya'!N30)</f>
        <v>0</v>
      </c>
      <c r="O30" s="15">
        <f t="shared" si="0"/>
        <v>43.142857142857146</v>
      </c>
      <c r="P30" s="15">
        <f t="shared" si="1"/>
        <v>72.714285714285722</v>
      </c>
      <c r="R30" s="1" t="s">
        <v>154</v>
      </c>
      <c r="S30" s="34">
        <f>SUM(C90:C93)</f>
        <v>7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4.5</v>
      </c>
      <c r="AD30" s="34">
        <f t="shared" si="22"/>
        <v>0</v>
      </c>
      <c r="AE30" s="31">
        <f t="shared" si="22"/>
        <v>11</v>
      </c>
      <c r="AF30" s="31">
        <f t="shared" si="22"/>
        <v>15.5</v>
      </c>
    </row>
    <row r="31" spans="2:32" ht="23.1" customHeight="1" x14ac:dyDescent="0.25">
      <c r="B31" s="24" t="s">
        <v>58</v>
      </c>
      <c r="C31" s="49">
        <f>AVERAGE('23.09.19 Bweya- Kajansi'!C31,'24.09 Bweya-Kajansi'!C31,'25.09 Bweya-Kajansi'!C31,'27.09 Munyonyo-Kajansi'!C31,'26.09 Munyonyo-Kajansi-24h'!C31,'28.09 Kajansi-Bweya-24h'!C31,'29.09 Kajansi-Bweya'!C31)</f>
        <v>27</v>
      </c>
      <c r="D31" s="49">
        <f>AVERAGE('23.09.19 Bweya- Kajansi'!D31,'24.09 Bweya-Kajansi'!D31,'25.09 Bweya-Kajansi'!D31,'27.09 Munyonyo-Kajansi'!D31,'26.09 Munyonyo-Kajansi-24h'!D31,'28.09 Kajansi-Bweya-24h'!D31,'29.09 Kajansi-Bweya'!D31)</f>
        <v>5.5714285714285712</v>
      </c>
      <c r="E31" s="49">
        <f>AVERAGE('23.09.19 Bweya- Kajansi'!E31,'24.09 Bweya-Kajansi'!E31,'25.09 Bweya-Kajansi'!E31,'27.09 Munyonyo-Kajansi'!E31,'26.09 Munyonyo-Kajansi-24h'!E31,'28.09 Kajansi-Bweya-24h'!E31,'29.09 Kajansi-Bweya'!E31)</f>
        <v>2.2857142857142856</v>
      </c>
      <c r="F31" s="49">
        <f>AVERAGE('23.09.19 Bweya- Kajansi'!F31,'24.09 Bweya-Kajansi'!F31,'25.09 Bweya-Kajansi'!F31,'27.09 Munyonyo-Kajansi'!F31,'26.09 Munyonyo-Kajansi-24h'!F31,'28.09 Kajansi-Bweya-24h'!F31,'29.09 Kajansi-Bweya'!F31)</f>
        <v>1.1428571428571428</v>
      </c>
      <c r="G31" s="49">
        <f>AVERAGE('23.09.19 Bweya- Kajansi'!G31,'24.09 Bweya-Kajansi'!G31,'25.09 Bweya-Kajansi'!G31,'27.09 Munyonyo-Kajansi'!G31,'26.09 Munyonyo-Kajansi-24h'!G31,'28.09 Kajansi-Bweya-24h'!G31,'29.09 Kajansi-Bweya'!G31)</f>
        <v>0.14285714285714285</v>
      </c>
      <c r="H31" s="49">
        <f>AVERAGE('23.09.19 Bweya- Kajansi'!H31,'24.09 Bweya-Kajansi'!H31,'25.09 Bweya-Kajansi'!H31,'27.09 Munyonyo-Kajansi'!H31,'26.09 Munyonyo-Kajansi-24h'!H31,'28.09 Kajansi-Bweya-24h'!H31,'29.09 Kajansi-Bweya'!H31)</f>
        <v>0</v>
      </c>
      <c r="I31" s="49">
        <f>AVERAGE('23.09.19 Bweya- Kajansi'!I31,'24.09 Bweya-Kajansi'!I31,'25.09 Bweya-Kajansi'!I31,'27.09 Munyonyo-Kajansi'!I31,'26.09 Munyonyo-Kajansi-24h'!I31,'28.09 Kajansi-Bweya-24h'!I31,'29.09 Kajansi-Bweya'!I31)</f>
        <v>3.2857142857142856</v>
      </c>
      <c r="J31" s="49">
        <f>AVERAGE('23.09.19 Bweya- Kajansi'!J31,'24.09 Bweya-Kajansi'!J31,'25.09 Bweya-Kajansi'!J31,'27.09 Munyonyo-Kajansi'!J31,'26.09 Munyonyo-Kajansi-24h'!J31,'28.09 Kajansi-Bweya-24h'!J31,'29.09 Kajansi-Bweya'!J31)</f>
        <v>0.8571428571428571</v>
      </c>
      <c r="K31" s="49">
        <f>AVERAGE('23.09.19 Bweya- Kajansi'!K31,'24.09 Bweya-Kajansi'!K31,'25.09 Bweya-Kajansi'!K31,'27.09 Munyonyo-Kajansi'!K31,'26.09 Munyonyo-Kajansi-24h'!K31,'28.09 Kajansi-Bweya-24h'!K31,'29.09 Kajansi-Bweya'!K31)</f>
        <v>0.14285714285714285</v>
      </c>
      <c r="L31" s="49">
        <f>AVERAGE('23.09.19 Bweya- Kajansi'!L31,'24.09 Bweya-Kajansi'!L31,'25.09 Bweya-Kajansi'!L31,'27.09 Munyonyo-Kajansi'!L31,'26.09 Munyonyo-Kajansi-24h'!L31,'28.09 Kajansi-Bweya-24h'!L31,'29.09 Kajansi-Bweya'!L31)</f>
        <v>0</v>
      </c>
      <c r="M31" s="49">
        <f>AVERAGE('23.09.19 Bweya- Kajansi'!M31,'24.09 Bweya-Kajansi'!M31,'25.09 Bweya-Kajansi'!M31,'27.09 Munyonyo-Kajansi'!M31,'26.09 Munyonyo-Kajansi-24h'!M31,'28.09 Kajansi-Bweya-24h'!M31,'29.09 Kajansi-Bweya'!M31)</f>
        <v>25.571428571428573</v>
      </c>
      <c r="N31" s="49">
        <f>AVERAGE('23.09.19 Bweya- Kajansi'!N31,'24.09 Bweya-Kajansi'!N31,'25.09 Bweya-Kajansi'!N31,'27.09 Munyonyo-Kajansi'!N31,'26.09 Munyonyo-Kajansi-24h'!N31,'28.09 Kajansi-Bweya-24h'!N31,'29.09 Kajansi-Bweya'!N31)</f>
        <v>0</v>
      </c>
      <c r="O31" s="15">
        <f t="shared" si="0"/>
        <v>40.428571428571431</v>
      </c>
      <c r="P31" s="15">
        <f t="shared" si="1"/>
        <v>66</v>
      </c>
      <c r="R31" s="1" t="s">
        <v>155</v>
      </c>
      <c r="S31" s="34">
        <f>SUM(C94:C97)</f>
        <v>10.5</v>
      </c>
      <c r="T31" s="34">
        <f t="shared" ref="T31:AF31" si="23">SUM(D94:D97)</f>
        <v>6</v>
      </c>
      <c r="U31" s="34">
        <f t="shared" si="23"/>
        <v>2.5</v>
      </c>
      <c r="V31" s="34">
        <f t="shared" si="23"/>
        <v>0.5</v>
      </c>
      <c r="W31" s="34">
        <f t="shared" si="23"/>
        <v>0.5</v>
      </c>
      <c r="X31" s="34">
        <f t="shared" si="23"/>
        <v>0</v>
      </c>
      <c r="Y31" s="34">
        <f t="shared" si="23"/>
        <v>1.5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22</v>
      </c>
      <c r="AF31" s="31">
        <f t="shared" si="23"/>
        <v>27</v>
      </c>
    </row>
    <row r="32" spans="2:32" ht="23.1" customHeight="1" x14ac:dyDescent="0.25">
      <c r="B32" s="24" t="s">
        <v>59</v>
      </c>
      <c r="C32" s="49">
        <f>AVERAGE('23.09.19 Bweya- Kajansi'!C32,'24.09 Bweya-Kajansi'!C32,'25.09 Bweya-Kajansi'!C32,'27.09 Munyonyo-Kajansi'!C32,'26.09 Munyonyo-Kajansi-24h'!C32,'28.09 Kajansi-Bweya-24h'!C32,'29.09 Kajansi-Bweya'!C32)</f>
        <v>31.142857142857142</v>
      </c>
      <c r="D32" s="49">
        <f>AVERAGE('23.09.19 Bweya- Kajansi'!D32,'24.09 Bweya-Kajansi'!D32,'25.09 Bweya-Kajansi'!D32,'27.09 Munyonyo-Kajansi'!D32,'26.09 Munyonyo-Kajansi-24h'!D32,'28.09 Kajansi-Bweya-24h'!D32,'29.09 Kajansi-Bweya'!D32)</f>
        <v>5.2857142857142856</v>
      </c>
      <c r="E32" s="49">
        <f>AVERAGE('23.09.19 Bweya- Kajansi'!E32,'24.09 Bweya-Kajansi'!E32,'25.09 Bweya-Kajansi'!E32,'27.09 Munyonyo-Kajansi'!E32,'26.09 Munyonyo-Kajansi-24h'!E32,'28.09 Kajansi-Bweya-24h'!E32,'29.09 Kajansi-Bweya'!E32)</f>
        <v>3.8571428571428572</v>
      </c>
      <c r="F32" s="49">
        <f>AVERAGE('23.09.19 Bweya- Kajansi'!F32,'24.09 Bweya-Kajansi'!F32,'25.09 Bweya-Kajansi'!F32,'27.09 Munyonyo-Kajansi'!F32,'26.09 Munyonyo-Kajansi-24h'!F32,'28.09 Kajansi-Bweya-24h'!F32,'29.09 Kajansi-Bweya'!F32)</f>
        <v>1</v>
      </c>
      <c r="G32" s="49">
        <f>AVERAGE('23.09.19 Bweya- Kajansi'!G32,'24.09 Bweya-Kajansi'!G32,'25.09 Bweya-Kajansi'!G32,'27.09 Munyonyo-Kajansi'!G32,'26.09 Munyonyo-Kajansi-24h'!G32,'28.09 Kajansi-Bweya-24h'!G32,'29.09 Kajansi-Bweya'!G32)</f>
        <v>0.2857142857142857</v>
      </c>
      <c r="H32" s="49">
        <f>AVERAGE('23.09.19 Bweya- Kajansi'!H32,'24.09 Bweya-Kajansi'!H32,'25.09 Bweya-Kajansi'!H32,'27.09 Munyonyo-Kajansi'!H32,'26.09 Munyonyo-Kajansi-24h'!H32,'28.09 Kajansi-Bweya-24h'!H32,'29.09 Kajansi-Bweya'!H32)</f>
        <v>0</v>
      </c>
      <c r="I32" s="49">
        <f>AVERAGE('23.09.19 Bweya- Kajansi'!I32,'24.09 Bweya-Kajansi'!I32,'25.09 Bweya-Kajansi'!I32,'27.09 Munyonyo-Kajansi'!I32,'26.09 Munyonyo-Kajansi-24h'!I32,'28.09 Kajansi-Bweya-24h'!I32,'29.09 Kajansi-Bweya'!I32)</f>
        <v>4.5714285714285712</v>
      </c>
      <c r="J32" s="49">
        <f>AVERAGE('23.09.19 Bweya- Kajansi'!J32,'24.09 Bweya-Kajansi'!J32,'25.09 Bweya-Kajansi'!J32,'27.09 Munyonyo-Kajansi'!J32,'26.09 Munyonyo-Kajansi-24h'!J32,'28.09 Kajansi-Bweya-24h'!J32,'29.09 Kajansi-Bweya'!J32)</f>
        <v>2</v>
      </c>
      <c r="K32" s="49">
        <f>AVERAGE('23.09.19 Bweya- Kajansi'!K32,'24.09 Bweya-Kajansi'!K32,'25.09 Bweya-Kajansi'!K32,'27.09 Munyonyo-Kajansi'!K32,'26.09 Munyonyo-Kajansi-24h'!K32,'28.09 Kajansi-Bweya-24h'!K32,'29.09 Kajansi-Bweya'!K32)</f>
        <v>0.14285714285714285</v>
      </c>
      <c r="L32" s="49">
        <f>AVERAGE('23.09.19 Bweya- Kajansi'!L32,'24.09 Bweya-Kajansi'!L32,'25.09 Bweya-Kajansi'!L32,'27.09 Munyonyo-Kajansi'!L32,'26.09 Munyonyo-Kajansi-24h'!L32,'28.09 Kajansi-Bweya-24h'!L32,'29.09 Kajansi-Bweya'!L32)</f>
        <v>0</v>
      </c>
      <c r="M32" s="49">
        <f>AVERAGE('23.09.19 Bweya- Kajansi'!M32,'24.09 Bweya-Kajansi'!M32,'25.09 Bweya-Kajansi'!M32,'27.09 Munyonyo-Kajansi'!M32,'26.09 Munyonyo-Kajansi-24h'!M32,'28.09 Kajansi-Bweya-24h'!M32,'29.09 Kajansi-Bweya'!M32)</f>
        <v>27</v>
      </c>
      <c r="N32" s="49">
        <f>AVERAGE('23.09.19 Bweya- Kajansi'!N32,'24.09 Bweya-Kajansi'!N32,'25.09 Bweya-Kajansi'!N32,'27.09 Munyonyo-Kajansi'!N32,'26.09 Munyonyo-Kajansi-24h'!N32,'28.09 Kajansi-Bweya-24h'!N32,'29.09 Kajansi-Bweya'!N32)</f>
        <v>0</v>
      </c>
      <c r="O32" s="15">
        <f t="shared" si="0"/>
        <v>48.285714285714285</v>
      </c>
      <c r="P32" s="15">
        <f t="shared" si="1"/>
        <v>75.285714285714278</v>
      </c>
      <c r="R32" s="1" t="s">
        <v>156</v>
      </c>
      <c r="S32" s="34">
        <f>SUM(C98:C101)</f>
        <v>12.5</v>
      </c>
      <c r="T32" s="34">
        <f t="shared" ref="T32:AF32" si="24">SUM(D98:D101)</f>
        <v>3</v>
      </c>
      <c r="U32" s="34">
        <f t="shared" si="24"/>
        <v>1</v>
      </c>
      <c r="V32" s="34">
        <f t="shared" si="24"/>
        <v>2.5</v>
      </c>
      <c r="W32" s="34">
        <f t="shared" si="24"/>
        <v>1</v>
      </c>
      <c r="X32" s="34">
        <f t="shared" si="24"/>
        <v>0</v>
      </c>
      <c r="Y32" s="34">
        <f t="shared" si="24"/>
        <v>3.5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9.5</v>
      </c>
      <c r="AD32" s="34">
        <f t="shared" si="24"/>
        <v>0</v>
      </c>
      <c r="AE32" s="31">
        <f t="shared" si="24"/>
        <v>24.5</v>
      </c>
      <c r="AF32" s="31">
        <f t="shared" si="24"/>
        <v>34</v>
      </c>
    </row>
    <row r="33" spans="2:32" ht="23.1" customHeight="1" x14ac:dyDescent="0.25">
      <c r="B33" s="23" t="s">
        <v>60</v>
      </c>
      <c r="C33" s="49">
        <f>AVERAGE('23.09.19 Bweya- Kajansi'!C33,'24.09 Bweya-Kajansi'!C33,'25.09 Bweya-Kajansi'!C33,'27.09 Munyonyo-Kajansi'!C33,'26.09 Munyonyo-Kajansi-24h'!C33,'28.09 Kajansi-Bweya-24h'!C33,'29.09 Kajansi-Bweya'!C33)</f>
        <v>28.571428571428573</v>
      </c>
      <c r="D33" s="49">
        <f>AVERAGE('23.09.19 Bweya- Kajansi'!D33,'24.09 Bweya-Kajansi'!D33,'25.09 Bweya-Kajansi'!D33,'27.09 Munyonyo-Kajansi'!D33,'26.09 Munyonyo-Kajansi-24h'!D33,'28.09 Kajansi-Bweya-24h'!D33,'29.09 Kajansi-Bweya'!D33)</f>
        <v>6.8571428571428568</v>
      </c>
      <c r="E33" s="49">
        <f>AVERAGE('23.09.19 Bweya- Kajansi'!E33,'24.09 Bweya-Kajansi'!E33,'25.09 Bweya-Kajansi'!E33,'27.09 Munyonyo-Kajansi'!E33,'26.09 Munyonyo-Kajansi-24h'!E33,'28.09 Kajansi-Bweya-24h'!E33,'29.09 Kajansi-Bweya'!E33)</f>
        <v>2.4285714285714284</v>
      </c>
      <c r="F33" s="49">
        <f>AVERAGE('23.09.19 Bweya- Kajansi'!F33,'24.09 Bweya-Kajansi'!F33,'25.09 Bweya-Kajansi'!F33,'27.09 Munyonyo-Kajansi'!F33,'26.09 Munyonyo-Kajansi-24h'!F33,'28.09 Kajansi-Bweya-24h'!F33,'29.09 Kajansi-Bweya'!F33)</f>
        <v>1.1428571428571428</v>
      </c>
      <c r="G33" s="49">
        <f>AVERAGE('23.09.19 Bweya- Kajansi'!G33,'24.09 Bweya-Kajansi'!G33,'25.09 Bweya-Kajansi'!G33,'27.09 Munyonyo-Kajansi'!G33,'26.09 Munyonyo-Kajansi-24h'!G33,'28.09 Kajansi-Bweya-24h'!G33,'29.09 Kajansi-Bweya'!G33)</f>
        <v>0</v>
      </c>
      <c r="H33" s="49">
        <f>AVERAGE('23.09.19 Bweya- Kajansi'!H33,'24.09 Bweya-Kajansi'!H33,'25.09 Bweya-Kajansi'!H33,'27.09 Munyonyo-Kajansi'!H33,'26.09 Munyonyo-Kajansi-24h'!H33,'28.09 Kajansi-Bweya-24h'!H33,'29.09 Kajansi-Bweya'!H33)</f>
        <v>0</v>
      </c>
      <c r="I33" s="49">
        <f>AVERAGE('23.09.19 Bweya- Kajansi'!I33,'24.09 Bweya-Kajansi'!I33,'25.09 Bweya-Kajansi'!I33,'27.09 Munyonyo-Kajansi'!I33,'26.09 Munyonyo-Kajansi-24h'!I33,'28.09 Kajansi-Bweya-24h'!I33,'29.09 Kajansi-Bweya'!I33)</f>
        <v>2.1428571428571428</v>
      </c>
      <c r="J33" s="49">
        <f>AVERAGE('23.09.19 Bweya- Kajansi'!J33,'24.09 Bweya-Kajansi'!J33,'25.09 Bweya-Kajansi'!J33,'27.09 Munyonyo-Kajansi'!J33,'26.09 Munyonyo-Kajansi-24h'!J33,'28.09 Kajansi-Bweya-24h'!J33,'29.09 Kajansi-Bweya'!J33)</f>
        <v>1.1428571428571428</v>
      </c>
      <c r="K33" s="49">
        <f>AVERAGE('23.09.19 Bweya- Kajansi'!K33,'24.09 Bweya-Kajansi'!K33,'25.09 Bweya-Kajansi'!K33,'27.09 Munyonyo-Kajansi'!K33,'26.09 Munyonyo-Kajansi-24h'!K33,'28.09 Kajansi-Bweya-24h'!K33,'29.09 Kajansi-Bweya'!K33)</f>
        <v>0.14285714285714285</v>
      </c>
      <c r="L33" s="49">
        <f>AVERAGE('23.09.19 Bweya- Kajansi'!L33,'24.09 Bweya-Kajansi'!L33,'25.09 Bweya-Kajansi'!L33,'27.09 Munyonyo-Kajansi'!L33,'26.09 Munyonyo-Kajansi-24h'!L33,'28.09 Kajansi-Bweya-24h'!L33,'29.09 Kajansi-Bweya'!L33)</f>
        <v>0</v>
      </c>
      <c r="M33" s="49">
        <f>AVERAGE('23.09.19 Bweya- Kajansi'!M33,'24.09 Bweya-Kajansi'!M33,'25.09 Bweya-Kajansi'!M33,'27.09 Munyonyo-Kajansi'!M33,'26.09 Munyonyo-Kajansi-24h'!M33,'28.09 Kajansi-Bweya-24h'!M33,'29.09 Kajansi-Bweya'!M33)</f>
        <v>26</v>
      </c>
      <c r="N33" s="49">
        <f>AVERAGE('23.09.19 Bweya- Kajansi'!N33,'24.09 Bweya-Kajansi'!N33,'25.09 Bweya-Kajansi'!N33,'27.09 Munyonyo-Kajansi'!N33,'26.09 Munyonyo-Kajansi-24h'!N33,'28.09 Kajansi-Bweya-24h'!N33,'29.09 Kajansi-Bweya'!N33)</f>
        <v>0</v>
      </c>
      <c r="O33" s="15">
        <f t="shared" si="0"/>
        <v>42.428571428571445</v>
      </c>
      <c r="P33" s="15">
        <f t="shared" si="1"/>
        <v>68.428571428571445</v>
      </c>
      <c r="R33" s="1" t="s">
        <v>157</v>
      </c>
      <c r="S33" s="34">
        <f>SUM(C102:C105)</f>
        <v>56</v>
      </c>
      <c r="T33" s="34">
        <f t="shared" ref="T33:AF33" si="25">SUM(D102:D105)</f>
        <v>9</v>
      </c>
      <c r="U33" s="34">
        <f t="shared" si="25"/>
        <v>5</v>
      </c>
      <c r="V33" s="34">
        <f t="shared" si="25"/>
        <v>5.5</v>
      </c>
      <c r="W33" s="34">
        <f t="shared" si="25"/>
        <v>1.5</v>
      </c>
      <c r="X33" s="34">
        <f t="shared" si="25"/>
        <v>2</v>
      </c>
      <c r="Y33" s="34">
        <f t="shared" si="25"/>
        <v>4.5</v>
      </c>
      <c r="Z33" s="34">
        <f t="shared" si="25"/>
        <v>1.5</v>
      </c>
      <c r="AA33" s="34">
        <f t="shared" si="25"/>
        <v>0</v>
      </c>
      <c r="AB33" s="34">
        <f t="shared" si="25"/>
        <v>0</v>
      </c>
      <c r="AC33" s="34">
        <f t="shared" si="25"/>
        <v>64.5</v>
      </c>
      <c r="AD33" s="34">
        <f t="shared" si="25"/>
        <v>0</v>
      </c>
      <c r="AE33" s="31">
        <f t="shared" si="25"/>
        <v>85</v>
      </c>
      <c r="AF33" s="31">
        <f t="shared" si="25"/>
        <v>149.5</v>
      </c>
    </row>
    <row r="34" spans="2:32" ht="23.1" customHeight="1" x14ac:dyDescent="0.25">
      <c r="B34" s="24" t="s">
        <v>61</v>
      </c>
      <c r="C34" s="49">
        <f>AVERAGE('23.09.19 Bweya- Kajansi'!C34,'24.09 Bweya-Kajansi'!C34,'25.09 Bweya-Kajansi'!C34,'27.09 Munyonyo-Kajansi'!C34,'26.09 Munyonyo-Kajansi-24h'!C34,'28.09 Kajansi-Bweya-24h'!C34,'29.09 Kajansi-Bweya'!C34)</f>
        <v>31.285714285714285</v>
      </c>
      <c r="D34" s="49">
        <f>AVERAGE('23.09.19 Bweya- Kajansi'!D34,'24.09 Bweya-Kajansi'!D34,'25.09 Bweya-Kajansi'!D34,'27.09 Munyonyo-Kajansi'!D34,'26.09 Munyonyo-Kajansi-24h'!D34,'28.09 Kajansi-Bweya-24h'!D34,'29.09 Kajansi-Bweya'!D34)</f>
        <v>8.1428571428571423</v>
      </c>
      <c r="E34" s="49">
        <f>AVERAGE('23.09.19 Bweya- Kajansi'!E34,'24.09 Bweya-Kajansi'!E34,'25.09 Bweya-Kajansi'!E34,'27.09 Munyonyo-Kajansi'!E34,'26.09 Munyonyo-Kajansi-24h'!E34,'28.09 Kajansi-Bweya-24h'!E34,'29.09 Kajansi-Bweya'!E34)</f>
        <v>3.5714285714285716</v>
      </c>
      <c r="F34" s="49">
        <f>AVERAGE('23.09.19 Bweya- Kajansi'!F34,'24.09 Bweya-Kajansi'!F34,'25.09 Bweya-Kajansi'!F34,'27.09 Munyonyo-Kajansi'!F34,'26.09 Munyonyo-Kajansi-24h'!F34,'28.09 Kajansi-Bweya-24h'!F34,'29.09 Kajansi-Bweya'!F34)</f>
        <v>1</v>
      </c>
      <c r="G34" s="49">
        <f>AVERAGE('23.09.19 Bweya- Kajansi'!G34,'24.09 Bweya-Kajansi'!G34,'25.09 Bweya-Kajansi'!G34,'27.09 Munyonyo-Kajansi'!G34,'26.09 Munyonyo-Kajansi-24h'!G34,'28.09 Kajansi-Bweya-24h'!G34,'29.09 Kajansi-Bweya'!G34)</f>
        <v>1</v>
      </c>
      <c r="H34" s="49">
        <f>AVERAGE('23.09.19 Bweya- Kajansi'!H34,'24.09 Bweya-Kajansi'!H34,'25.09 Bweya-Kajansi'!H34,'27.09 Munyonyo-Kajansi'!H34,'26.09 Munyonyo-Kajansi-24h'!H34,'28.09 Kajansi-Bweya-24h'!H34,'29.09 Kajansi-Bweya'!H34)</f>
        <v>0.14285714285714285</v>
      </c>
      <c r="I34" s="49">
        <f>AVERAGE('23.09.19 Bweya- Kajansi'!I34,'24.09 Bweya-Kajansi'!I34,'25.09 Bweya-Kajansi'!I34,'27.09 Munyonyo-Kajansi'!I34,'26.09 Munyonyo-Kajansi-24h'!I34,'28.09 Kajansi-Bweya-24h'!I34,'29.09 Kajansi-Bweya'!I34)</f>
        <v>4</v>
      </c>
      <c r="J34" s="49">
        <f>AVERAGE('23.09.19 Bweya- Kajansi'!J34,'24.09 Bweya-Kajansi'!J34,'25.09 Bweya-Kajansi'!J34,'27.09 Munyonyo-Kajansi'!J34,'26.09 Munyonyo-Kajansi-24h'!J34,'28.09 Kajansi-Bweya-24h'!J34,'29.09 Kajansi-Bweya'!J34)</f>
        <v>0.7142857142857143</v>
      </c>
      <c r="K34" s="49">
        <f>AVERAGE('23.09.19 Bweya- Kajansi'!K34,'24.09 Bweya-Kajansi'!K34,'25.09 Bweya-Kajansi'!K34,'27.09 Munyonyo-Kajansi'!K34,'26.09 Munyonyo-Kajansi-24h'!K34,'28.09 Kajansi-Bweya-24h'!K34,'29.09 Kajansi-Bweya'!K34)</f>
        <v>0</v>
      </c>
      <c r="L34" s="49">
        <f>AVERAGE('23.09.19 Bweya- Kajansi'!L34,'24.09 Bweya-Kajansi'!L34,'25.09 Bweya-Kajansi'!L34,'27.09 Munyonyo-Kajansi'!L34,'26.09 Munyonyo-Kajansi-24h'!L34,'28.09 Kajansi-Bweya-24h'!L34,'29.09 Kajansi-Bweya'!L34)</f>
        <v>0</v>
      </c>
      <c r="M34" s="49">
        <f>AVERAGE('23.09.19 Bweya- Kajansi'!M34,'24.09 Bweya-Kajansi'!M34,'25.09 Bweya-Kajansi'!M34,'27.09 Munyonyo-Kajansi'!M34,'26.09 Munyonyo-Kajansi-24h'!M34,'28.09 Kajansi-Bweya-24h'!M34,'29.09 Kajansi-Bweya'!M34)</f>
        <v>21.857142857142858</v>
      </c>
      <c r="N34" s="49">
        <f>AVERAGE('23.09.19 Bweya- Kajansi'!N34,'24.09 Bweya-Kajansi'!N34,'25.09 Bweya-Kajansi'!N34,'27.09 Munyonyo-Kajansi'!N34,'26.09 Munyonyo-Kajansi-24h'!N34,'28.09 Kajansi-Bweya-24h'!N34,'29.09 Kajansi-Bweya'!N34)</f>
        <v>0</v>
      </c>
      <c r="O34" s="15">
        <f t="shared" si="0"/>
        <v>49.857142857142861</v>
      </c>
      <c r="P34" s="15">
        <f t="shared" si="1"/>
        <v>71.714285714285722</v>
      </c>
      <c r="R34" s="51" t="s">
        <v>90</v>
      </c>
      <c r="S34" s="52">
        <f t="shared" ref="S34:AF34" si="26">MAX(S10:S12)</f>
        <v>102.42857142857143</v>
      </c>
      <c r="T34" s="52">
        <f t="shared" si="26"/>
        <v>23.714285714285715</v>
      </c>
      <c r="U34" s="52">
        <f t="shared" si="26"/>
        <v>15.714285714285715</v>
      </c>
      <c r="V34" s="52">
        <f t="shared" si="26"/>
        <v>9.1428571428571423</v>
      </c>
      <c r="W34" s="52">
        <f t="shared" si="26"/>
        <v>1</v>
      </c>
      <c r="X34" s="52">
        <f t="shared" si="26"/>
        <v>0.85714285714285698</v>
      </c>
      <c r="Y34" s="52">
        <f t="shared" si="26"/>
        <v>13.857142857142858</v>
      </c>
      <c r="Z34" s="52">
        <f t="shared" si="26"/>
        <v>2.5714285714285712</v>
      </c>
      <c r="AA34" s="52">
        <f t="shared" si="26"/>
        <v>0.42857142857142855</v>
      </c>
      <c r="AB34" s="52">
        <f t="shared" si="26"/>
        <v>0.2857142857142857</v>
      </c>
      <c r="AC34" s="52">
        <f t="shared" si="26"/>
        <v>160.14285714285714</v>
      </c>
      <c r="AD34" s="52">
        <f t="shared" si="26"/>
        <v>0</v>
      </c>
      <c r="AE34" s="40">
        <f t="shared" si="26"/>
        <v>158.85714285714289</v>
      </c>
      <c r="AF34" s="40">
        <f t="shared" si="26"/>
        <v>319</v>
      </c>
    </row>
    <row r="35" spans="2:32" ht="23.1" customHeight="1" x14ac:dyDescent="0.25">
      <c r="B35" s="24" t="s">
        <v>62</v>
      </c>
      <c r="C35" s="49">
        <f>AVERAGE('23.09.19 Bweya- Kajansi'!C35,'24.09 Bweya-Kajansi'!C35,'25.09 Bweya-Kajansi'!C35,'27.09 Munyonyo-Kajansi'!C35,'26.09 Munyonyo-Kajansi-24h'!C35,'28.09 Kajansi-Bweya-24h'!C35,'29.09 Kajansi-Bweya'!C35)</f>
        <v>26.285714285714285</v>
      </c>
      <c r="D35" s="49">
        <f>AVERAGE('23.09.19 Bweya- Kajansi'!D35,'24.09 Bweya-Kajansi'!D35,'25.09 Bweya-Kajansi'!D35,'27.09 Munyonyo-Kajansi'!D35,'26.09 Munyonyo-Kajansi-24h'!D35,'28.09 Kajansi-Bweya-24h'!D35,'29.09 Kajansi-Bweya'!D35)</f>
        <v>6.4285714285714288</v>
      </c>
      <c r="E35" s="49">
        <f>AVERAGE('23.09.19 Bweya- Kajansi'!E35,'24.09 Bweya-Kajansi'!E35,'25.09 Bweya-Kajansi'!E35,'27.09 Munyonyo-Kajansi'!E35,'26.09 Munyonyo-Kajansi-24h'!E35,'28.09 Kajansi-Bweya-24h'!E35,'29.09 Kajansi-Bweya'!E35)</f>
        <v>4.1428571428571432</v>
      </c>
      <c r="F35" s="49">
        <f>AVERAGE('23.09.19 Bweya- Kajansi'!F35,'24.09 Bweya-Kajansi'!F35,'25.09 Bweya-Kajansi'!F35,'27.09 Munyonyo-Kajansi'!F35,'26.09 Munyonyo-Kajansi-24h'!F35,'28.09 Kajansi-Bweya-24h'!F35,'29.09 Kajansi-Bweya'!F35)</f>
        <v>1.2857142857142858</v>
      </c>
      <c r="G35" s="49">
        <f>AVERAGE('23.09.19 Bweya- Kajansi'!G35,'24.09 Bweya-Kajansi'!G35,'25.09 Bweya-Kajansi'!G35,'27.09 Munyonyo-Kajansi'!G35,'26.09 Munyonyo-Kajansi-24h'!G35,'28.09 Kajansi-Bweya-24h'!G35,'29.09 Kajansi-Bweya'!G35)</f>
        <v>0.42857142857142855</v>
      </c>
      <c r="H35" s="49">
        <f>AVERAGE('23.09.19 Bweya- Kajansi'!H35,'24.09 Bweya-Kajansi'!H35,'25.09 Bweya-Kajansi'!H35,'27.09 Munyonyo-Kajansi'!H35,'26.09 Munyonyo-Kajansi-24h'!H35,'28.09 Kajansi-Bweya-24h'!H35,'29.09 Kajansi-Bweya'!H35)</f>
        <v>0</v>
      </c>
      <c r="I35" s="49">
        <f>AVERAGE('23.09.19 Bweya- Kajansi'!I35,'24.09 Bweya-Kajansi'!I35,'25.09 Bweya-Kajansi'!I35,'27.09 Munyonyo-Kajansi'!I35,'26.09 Munyonyo-Kajansi-24h'!I35,'28.09 Kajansi-Bweya-24h'!I35,'29.09 Kajansi-Bweya'!I35)</f>
        <v>4.2857142857142856</v>
      </c>
      <c r="J35" s="49">
        <f>AVERAGE('23.09.19 Bweya- Kajansi'!J35,'24.09 Bweya-Kajansi'!J35,'25.09 Bweya-Kajansi'!J35,'27.09 Munyonyo-Kajansi'!J35,'26.09 Munyonyo-Kajansi-24h'!J35,'28.09 Kajansi-Bweya-24h'!J35,'29.09 Kajansi-Bweya'!J35)</f>
        <v>0.7142857142857143</v>
      </c>
      <c r="K35" s="49">
        <f>AVERAGE('23.09.19 Bweya- Kajansi'!K35,'24.09 Bweya-Kajansi'!K35,'25.09 Bweya-Kajansi'!K35,'27.09 Munyonyo-Kajansi'!K35,'26.09 Munyonyo-Kajansi-24h'!K35,'28.09 Kajansi-Bweya-24h'!K35,'29.09 Kajansi-Bweya'!K35)</f>
        <v>0.14285714285714285</v>
      </c>
      <c r="L35" s="49">
        <f>AVERAGE('23.09.19 Bweya- Kajansi'!L35,'24.09 Bweya-Kajansi'!L35,'25.09 Bweya-Kajansi'!L35,'27.09 Munyonyo-Kajansi'!L35,'26.09 Munyonyo-Kajansi-24h'!L35,'28.09 Kajansi-Bweya-24h'!L35,'29.09 Kajansi-Bweya'!L35)</f>
        <v>0</v>
      </c>
      <c r="M35" s="49">
        <f>AVERAGE('23.09.19 Bweya- Kajansi'!M35,'24.09 Bweya-Kajansi'!M35,'25.09 Bweya-Kajansi'!M35,'27.09 Munyonyo-Kajansi'!M35,'26.09 Munyonyo-Kajansi-24h'!M35,'28.09 Kajansi-Bweya-24h'!M35,'29.09 Kajansi-Bweya'!M35)</f>
        <v>24.714285714285715</v>
      </c>
      <c r="N35" s="49">
        <f>AVERAGE('23.09.19 Bweya- Kajansi'!N35,'24.09 Bweya-Kajansi'!N35,'25.09 Bweya-Kajansi'!N35,'27.09 Munyonyo-Kajansi'!N35,'26.09 Munyonyo-Kajansi-24h'!N35,'28.09 Kajansi-Bweya-24h'!N35,'29.09 Kajansi-Bweya'!N35)</f>
        <v>0</v>
      </c>
      <c r="O35" s="15">
        <f t="shared" si="0"/>
        <v>43.714285714285722</v>
      </c>
      <c r="P35" s="15">
        <f t="shared" si="1"/>
        <v>68.428571428571445</v>
      </c>
      <c r="R35" s="51" t="s">
        <v>91</v>
      </c>
      <c r="S35" s="52">
        <f t="shared" ref="S35:AF35" si="27">MAX(S13:S18)</f>
        <v>134.57142857142858</v>
      </c>
      <c r="T35" s="52">
        <f t="shared" si="27"/>
        <v>82.285714285714278</v>
      </c>
      <c r="U35" s="52">
        <f t="shared" si="27"/>
        <v>17.714285714285715</v>
      </c>
      <c r="V35" s="52">
        <f t="shared" si="27"/>
        <v>6.5714285714285721</v>
      </c>
      <c r="W35" s="52">
        <f t="shared" si="27"/>
        <v>2.2857142857142856</v>
      </c>
      <c r="X35" s="52">
        <f t="shared" si="27"/>
        <v>0.5714285714285714</v>
      </c>
      <c r="Y35" s="52">
        <f t="shared" si="27"/>
        <v>18.857142857142854</v>
      </c>
      <c r="Z35" s="52">
        <f t="shared" si="27"/>
        <v>5.2857142857142847</v>
      </c>
      <c r="AA35" s="52">
        <f t="shared" si="27"/>
        <v>1.1428571428571428</v>
      </c>
      <c r="AB35" s="52">
        <f t="shared" si="27"/>
        <v>0.42857142857142855</v>
      </c>
      <c r="AC35" s="52">
        <f t="shared" si="27"/>
        <v>131</v>
      </c>
      <c r="AD35" s="52">
        <f t="shared" si="27"/>
        <v>0.14285714285714285</v>
      </c>
      <c r="AE35" s="40">
        <f t="shared" si="27"/>
        <v>250.57142857142858</v>
      </c>
      <c r="AF35" s="40">
        <f t="shared" si="27"/>
        <v>368.71428571428578</v>
      </c>
    </row>
    <row r="36" spans="2:32" ht="23.1" customHeight="1" x14ac:dyDescent="0.25">
      <c r="B36" s="24" t="s">
        <v>63</v>
      </c>
      <c r="C36" s="49">
        <f>AVERAGE('23.09.19 Bweya- Kajansi'!C36,'24.09 Bweya-Kajansi'!C36,'25.09 Bweya-Kajansi'!C36,'27.09 Munyonyo-Kajansi'!C36,'26.09 Munyonyo-Kajansi-24h'!C36,'28.09 Kajansi-Bweya-24h'!C36,'29.09 Kajansi-Bweya'!C36)</f>
        <v>29</v>
      </c>
      <c r="D36" s="49">
        <f>AVERAGE('23.09.19 Bweya- Kajansi'!D36,'24.09 Bweya-Kajansi'!D36,'25.09 Bweya-Kajansi'!D36,'27.09 Munyonyo-Kajansi'!D36,'26.09 Munyonyo-Kajansi-24h'!D36,'28.09 Kajansi-Bweya-24h'!D36,'29.09 Kajansi-Bweya'!D36)</f>
        <v>7.1428571428571432</v>
      </c>
      <c r="E36" s="49">
        <f>AVERAGE('23.09.19 Bweya- Kajansi'!E36,'24.09 Bweya-Kajansi'!E36,'25.09 Bweya-Kajansi'!E36,'27.09 Munyonyo-Kajansi'!E36,'26.09 Munyonyo-Kajansi-24h'!E36,'28.09 Kajansi-Bweya-24h'!E36,'29.09 Kajansi-Bweya'!E36)</f>
        <v>4.7142857142857144</v>
      </c>
      <c r="F36" s="49">
        <f>AVERAGE('23.09.19 Bweya- Kajansi'!F36,'24.09 Bweya-Kajansi'!F36,'25.09 Bweya-Kajansi'!F36,'27.09 Munyonyo-Kajansi'!F36,'26.09 Munyonyo-Kajansi-24h'!F36,'28.09 Kajansi-Bweya-24h'!F36,'29.09 Kajansi-Bweya'!F36)</f>
        <v>1.4285714285714286</v>
      </c>
      <c r="G36" s="49">
        <f>AVERAGE('23.09.19 Bweya- Kajansi'!G36,'24.09 Bweya-Kajansi'!G36,'25.09 Bweya-Kajansi'!G36,'27.09 Munyonyo-Kajansi'!G36,'26.09 Munyonyo-Kajansi-24h'!G36,'28.09 Kajansi-Bweya-24h'!G36,'29.09 Kajansi-Bweya'!G36)</f>
        <v>0.42857142857142855</v>
      </c>
      <c r="H36" s="49">
        <f>AVERAGE('23.09.19 Bweya- Kajansi'!H36,'24.09 Bweya-Kajansi'!H36,'25.09 Bweya-Kajansi'!H36,'27.09 Munyonyo-Kajansi'!H36,'26.09 Munyonyo-Kajansi-24h'!H36,'28.09 Kajansi-Bweya-24h'!H36,'29.09 Kajansi-Bweya'!H36)</f>
        <v>0</v>
      </c>
      <c r="I36" s="49">
        <f>AVERAGE('23.09.19 Bweya- Kajansi'!I36,'24.09 Bweya-Kajansi'!I36,'25.09 Bweya-Kajansi'!I36,'27.09 Munyonyo-Kajansi'!I36,'26.09 Munyonyo-Kajansi-24h'!I36,'28.09 Kajansi-Bweya-24h'!I36,'29.09 Kajansi-Bweya'!I36)</f>
        <v>5</v>
      </c>
      <c r="J36" s="49">
        <f>AVERAGE('23.09.19 Bweya- Kajansi'!J36,'24.09 Bweya-Kajansi'!J36,'25.09 Bweya-Kajansi'!J36,'27.09 Munyonyo-Kajansi'!J36,'26.09 Munyonyo-Kajansi-24h'!J36,'28.09 Kajansi-Bweya-24h'!J36,'29.09 Kajansi-Bweya'!J36)</f>
        <v>1</v>
      </c>
      <c r="K36" s="49">
        <f>AVERAGE('23.09.19 Bweya- Kajansi'!K36,'24.09 Bweya-Kajansi'!K36,'25.09 Bweya-Kajansi'!K36,'27.09 Munyonyo-Kajansi'!K36,'26.09 Munyonyo-Kajansi-24h'!K36,'28.09 Kajansi-Bweya-24h'!K36,'29.09 Kajansi-Bweya'!K36)</f>
        <v>0.2857142857142857</v>
      </c>
      <c r="L36" s="49">
        <f>AVERAGE('23.09.19 Bweya- Kajansi'!L36,'24.09 Bweya-Kajansi'!L36,'25.09 Bweya-Kajansi'!L36,'27.09 Munyonyo-Kajansi'!L36,'26.09 Munyonyo-Kajansi-24h'!L36,'28.09 Kajansi-Bweya-24h'!L36,'29.09 Kajansi-Bweya'!L36)</f>
        <v>0</v>
      </c>
      <c r="M36" s="49">
        <f>AVERAGE('23.09.19 Bweya- Kajansi'!M36,'24.09 Bweya-Kajansi'!M36,'25.09 Bweya-Kajansi'!M36,'27.09 Munyonyo-Kajansi'!M36,'26.09 Munyonyo-Kajansi-24h'!M36,'28.09 Kajansi-Bweya-24h'!M36,'29.09 Kajansi-Bweya'!M36)</f>
        <v>32.428571428571431</v>
      </c>
      <c r="N36" s="49">
        <f>AVERAGE('23.09.19 Bweya- Kajansi'!N36,'24.09 Bweya-Kajansi'!N36,'25.09 Bweya-Kajansi'!N36,'27.09 Munyonyo-Kajansi'!N36,'26.09 Munyonyo-Kajansi-24h'!N36,'28.09 Kajansi-Bweya-24h'!N36,'29.09 Kajansi-Bweya'!N36)</f>
        <v>0</v>
      </c>
      <c r="O36" s="15">
        <f t="shared" si="0"/>
        <v>49.000000000000007</v>
      </c>
      <c r="P36" s="15">
        <f t="shared" si="1"/>
        <v>81.428571428571445</v>
      </c>
      <c r="R36" s="51" t="s">
        <v>92</v>
      </c>
      <c r="S36" s="52">
        <f t="shared" ref="S36:AF36" si="28">MAX(S19:S21)</f>
        <v>181.42857142857142</v>
      </c>
      <c r="T36" s="52">
        <f t="shared" si="28"/>
        <v>35.714285714285715</v>
      </c>
      <c r="U36" s="52">
        <f t="shared" si="28"/>
        <v>21.285714285714285</v>
      </c>
      <c r="V36" s="52">
        <f t="shared" si="28"/>
        <v>9.7142857142857135</v>
      </c>
      <c r="W36" s="52">
        <f t="shared" si="28"/>
        <v>3.1428571428571428</v>
      </c>
      <c r="X36" s="52">
        <f t="shared" si="28"/>
        <v>1.7142857142857144</v>
      </c>
      <c r="Y36" s="52">
        <f t="shared" si="28"/>
        <v>16.571428571428573</v>
      </c>
      <c r="Z36" s="52">
        <f t="shared" si="28"/>
        <v>4.4285714285714288</v>
      </c>
      <c r="AA36" s="52">
        <f t="shared" si="28"/>
        <v>0.71428571428571419</v>
      </c>
      <c r="AB36" s="52">
        <f t="shared" si="28"/>
        <v>0.2857142857142857</v>
      </c>
      <c r="AC36" s="52">
        <f t="shared" si="28"/>
        <v>157.57142857142856</v>
      </c>
      <c r="AD36" s="52">
        <f t="shared" si="28"/>
        <v>0</v>
      </c>
      <c r="AE36" s="40">
        <f t="shared" si="28"/>
        <v>260.99999999999994</v>
      </c>
      <c r="AF36" s="40">
        <f t="shared" si="28"/>
        <v>418.57142857142856</v>
      </c>
    </row>
    <row r="37" spans="2:32" ht="23.1" customHeight="1" x14ac:dyDescent="0.25">
      <c r="B37" s="23" t="s">
        <v>64</v>
      </c>
      <c r="C37" s="49">
        <f>AVERAGE('23.09.19 Bweya- Kajansi'!C37,'24.09 Bweya-Kajansi'!C37,'25.09 Bweya-Kajansi'!C37,'27.09 Munyonyo-Kajansi'!C37,'26.09 Munyonyo-Kajansi-24h'!C37,'28.09 Kajansi-Bweya-24h'!C37,'29.09 Kajansi-Bweya'!C37)</f>
        <v>33.857142857142854</v>
      </c>
      <c r="D37" s="49">
        <f>AVERAGE('23.09.19 Bweya- Kajansi'!D37,'24.09 Bweya-Kajansi'!D37,'25.09 Bweya-Kajansi'!D37,'27.09 Munyonyo-Kajansi'!D37,'26.09 Munyonyo-Kajansi-24h'!D37,'28.09 Kajansi-Bweya-24h'!D37,'29.09 Kajansi-Bweya'!D37)</f>
        <v>8.7142857142857135</v>
      </c>
      <c r="E37" s="49">
        <f>AVERAGE('23.09.19 Bweya- Kajansi'!E37,'24.09 Bweya-Kajansi'!E37,'25.09 Bweya-Kajansi'!E37,'27.09 Munyonyo-Kajansi'!E37,'26.09 Munyonyo-Kajansi-24h'!E37,'28.09 Kajansi-Bweya-24h'!E37,'29.09 Kajansi-Bweya'!E37)</f>
        <v>5.2857142857142856</v>
      </c>
      <c r="F37" s="49">
        <f>AVERAGE('23.09.19 Bweya- Kajansi'!F37,'24.09 Bweya-Kajansi'!F37,'25.09 Bweya-Kajansi'!F37,'27.09 Munyonyo-Kajansi'!F37,'26.09 Munyonyo-Kajansi-24h'!F37,'28.09 Kajansi-Bweya-24h'!F37,'29.09 Kajansi-Bweya'!F37)</f>
        <v>0.7142857142857143</v>
      </c>
      <c r="G37" s="49">
        <f>AVERAGE('23.09.19 Bweya- Kajansi'!G37,'24.09 Bweya-Kajansi'!G37,'25.09 Bweya-Kajansi'!G37,'27.09 Munyonyo-Kajansi'!G37,'26.09 Munyonyo-Kajansi-24h'!G37,'28.09 Kajansi-Bweya-24h'!G37,'29.09 Kajansi-Bweya'!G37)</f>
        <v>0.42857142857142855</v>
      </c>
      <c r="H37" s="49">
        <f>AVERAGE('23.09.19 Bweya- Kajansi'!H37,'24.09 Bweya-Kajansi'!H37,'25.09 Bweya-Kajansi'!H37,'27.09 Munyonyo-Kajansi'!H37,'26.09 Munyonyo-Kajansi-24h'!H37,'28.09 Kajansi-Bweya-24h'!H37,'29.09 Kajansi-Bweya'!H37)</f>
        <v>0</v>
      </c>
      <c r="I37" s="49">
        <f>AVERAGE('23.09.19 Bweya- Kajansi'!I37,'24.09 Bweya-Kajansi'!I37,'25.09 Bweya-Kajansi'!I37,'27.09 Munyonyo-Kajansi'!I37,'26.09 Munyonyo-Kajansi-24h'!I37,'28.09 Kajansi-Bweya-24h'!I37,'29.09 Kajansi-Bweya'!I37)</f>
        <v>5.5714285714285712</v>
      </c>
      <c r="J37" s="49">
        <f>AVERAGE('23.09.19 Bweya- Kajansi'!J37,'24.09 Bweya-Kajansi'!J37,'25.09 Bweya-Kajansi'!J37,'27.09 Munyonyo-Kajansi'!J37,'26.09 Munyonyo-Kajansi-24h'!J37,'28.09 Kajansi-Bweya-24h'!J37,'29.09 Kajansi-Bweya'!J37)</f>
        <v>0.7142857142857143</v>
      </c>
      <c r="K37" s="49">
        <f>AVERAGE('23.09.19 Bweya- Kajansi'!K37,'24.09 Bweya-Kajansi'!K37,'25.09 Bweya-Kajansi'!K37,'27.09 Munyonyo-Kajansi'!K37,'26.09 Munyonyo-Kajansi-24h'!K37,'28.09 Kajansi-Bweya-24h'!K37,'29.09 Kajansi-Bweya'!K37)</f>
        <v>0.2857142857142857</v>
      </c>
      <c r="L37" s="49">
        <f>AVERAGE('23.09.19 Bweya- Kajansi'!L37,'24.09 Bweya-Kajansi'!L37,'25.09 Bweya-Kajansi'!L37,'27.09 Munyonyo-Kajansi'!L37,'26.09 Munyonyo-Kajansi-24h'!L37,'28.09 Kajansi-Bweya-24h'!L37,'29.09 Kajansi-Bweya'!L37)</f>
        <v>0</v>
      </c>
      <c r="M37" s="49">
        <f>AVERAGE('23.09.19 Bweya- Kajansi'!M37,'24.09 Bweya-Kajansi'!M37,'25.09 Bweya-Kajansi'!M37,'27.09 Munyonyo-Kajansi'!M37,'26.09 Munyonyo-Kajansi-24h'!M37,'28.09 Kajansi-Bweya-24h'!M37,'29.09 Kajansi-Bweya'!M37)</f>
        <v>26.428571428571427</v>
      </c>
      <c r="N37" s="49">
        <f>AVERAGE('23.09.19 Bweya- Kajansi'!N37,'24.09 Bweya-Kajansi'!N37,'25.09 Bweya-Kajansi'!N37,'27.09 Munyonyo-Kajansi'!N37,'26.09 Munyonyo-Kajansi-24h'!N37,'28.09 Kajansi-Bweya-24h'!N37,'29.09 Kajansi-Bweya'!N37)</f>
        <v>0</v>
      </c>
      <c r="O37" s="15">
        <f t="shared" si="0"/>
        <v>55.571428571428569</v>
      </c>
      <c r="P37" s="15">
        <f t="shared" si="1"/>
        <v>82</v>
      </c>
      <c r="R37" s="37" t="s">
        <v>85</v>
      </c>
      <c r="S37" s="57">
        <f t="shared" ref="S37:AF37" si="29">SUM(S10:S12)</f>
        <v>289</v>
      </c>
      <c r="T37" s="58">
        <f t="shared" si="29"/>
        <v>69.571428571428584</v>
      </c>
      <c r="U37" s="58">
        <f t="shared" si="29"/>
        <v>36.571428571428569</v>
      </c>
      <c r="V37" s="58">
        <f t="shared" si="29"/>
        <v>20.428571428571431</v>
      </c>
      <c r="W37" s="58">
        <f t="shared" si="29"/>
        <v>2.5714285714285712</v>
      </c>
      <c r="X37" s="58">
        <f t="shared" si="29"/>
        <v>1.4285714285714284</v>
      </c>
      <c r="Y37" s="58">
        <f t="shared" si="29"/>
        <v>31</v>
      </c>
      <c r="Z37" s="58">
        <f t="shared" si="29"/>
        <v>5.5714285714285712</v>
      </c>
      <c r="AA37" s="58">
        <f t="shared" si="29"/>
        <v>1.1428571428571428</v>
      </c>
      <c r="AB37" s="58">
        <f t="shared" si="29"/>
        <v>0.2857142857142857</v>
      </c>
      <c r="AC37" s="58">
        <f t="shared" si="29"/>
        <v>442.00000000000006</v>
      </c>
      <c r="AD37" s="58">
        <f t="shared" si="29"/>
        <v>0</v>
      </c>
      <c r="AE37" s="59">
        <f t="shared" si="29"/>
        <v>457.57142857142867</v>
      </c>
      <c r="AF37" s="59">
        <f t="shared" si="29"/>
        <v>899.57142857142867</v>
      </c>
    </row>
    <row r="38" spans="2:32" ht="23.1" customHeight="1" x14ac:dyDescent="0.25">
      <c r="B38" s="24" t="s">
        <v>65</v>
      </c>
      <c r="C38" s="49">
        <f>AVERAGE('23.09.19 Bweya- Kajansi'!C38,'24.09 Bweya-Kajansi'!C38,'25.09 Bweya-Kajansi'!C38,'27.09 Munyonyo-Kajansi'!C38,'26.09 Munyonyo-Kajansi-24h'!C38,'28.09 Kajansi-Bweya-24h'!C38,'29.09 Kajansi-Bweya'!C38)</f>
        <v>33.142857142857146</v>
      </c>
      <c r="D38" s="49">
        <f>AVERAGE('23.09.19 Bweya- Kajansi'!D38,'24.09 Bweya-Kajansi'!D38,'25.09 Bweya-Kajansi'!D38,'27.09 Munyonyo-Kajansi'!D38,'26.09 Munyonyo-Kajansi-24h'!D38,'28.09 Kajansi-Bweya-24h'!D38,'29.09 Kajansi-Bweya'!D38)</f>
        <v>7.8571428571428568</v>
      </c>
      <c r="E38" s="49">
        <f>AVERAGE('23.09.19 Bweya- Kajansi'!E38,'24.09 Bweya-Kajansi'!E38,'25.09 Bweya-Kajansi'!E38,'27.09 Munyonyo-Kajansi'!E38,'26.09 Munyonyo-Kajansi-24h'!E38,'28.09 Kajansi-Bweya-24h'!E38,'29.09 Kajansi-Bweya'!E38)</f>
        <v>2.8571428571428572</v>
      </c>
      <c r="F38" s="49">
        <f>AVERAGE('23.09.19 Bweya- Kajansi'!F38,'24.09 Bweya-Kajansi'!F38,'25.09 Bweya-Kajansi'!F38,'27.09 Munyonyo-Kajansi'!F38,'26.09 Munyonyo-Kajansi-24h'!F38,'28.09 Kajansi-Bweya-24h'!F38,'29.09 Kajansi-Bweya'!F38)</f>
        <v>1</v>
      </c>
      <c r="G38" s="49">
        <f>AVERAGE('23.09.19 Bweya- Kajansi'!G38,'24.09 Bweya-Kajansi'!G38,'25.09 Bweya-Kajansi'!G38,'27.09 Munyonyo-Kajansi'!G38,'26.09 Munyonyo-Kajansi-24h'!G38,'28.09 Kajansi-Bweya-24h'!G38,'29.09 Kajansi-Bweya'!G38)</f>
        <v>0.2857142857142857</v>
      </c>
      <c r="H38" s="49">
        <f>AVERAGE('23.09.19 Bweya- Kajansi'!H38,'24.09 Bweya-Kajansi'!H38,'25.09 Bweya-Kajansi'!H38,'27.09 Munyonyo-Kajansi'!H38,'26.09 Munyonyo-Kajansi-24h'!H38,'28.09 Kajansi-Bweya-24h'!H38,'29.09 Kajansi-Bweya'!H38)</f>
        <v>0.14285714285714285</v>
      </c>
      <c r="I38" s="49">
        <f>AVERAGE('23.09.19 Bweya- Kajansi'!I38,'24.09 Bweya-Kajansi'!I38,'25.09 Bweya-Kajansi'!I38,'27.09 Munyonyo-Kajansi'!I38,'26.09 Munyonyo-Kajansi-24h'!I38,'28.09 Kajansi-Bweya-24h'!I38,'29.09 Kajansi-Bweya'!I38)</f>
        <v>3.2857142857142856</v>
      </c>
      <c r="J38" s="49">
        <f>AVERAGE('23.09.19 Bweya- Kajansi'!J38,'24.09 Bweya-Kajansi'!J38,'25.09 Bweya-Kajansi'!J38,'27.09 Munyonyo-Kajansi'!J38,'26.09 Munyonyo-Kajansi-24h'!J38,'28.09 Kajansi-Bweya-24h'!J38,'29.09 Kajansi-Bweya'!J38)</f>
        <v>0.42857142857142855</v>
      </c>
      <c r="K38" s="49">
        <f>AVERAGE('23.09.19 Bweya- Kajansi'!K38,'24.09 Bweya-Kajansi'!K38,'25.09 Bweya-Kajansi'!K38,'27.09 Munyonyo-Kajansi'!K38,'26.09 Munyonyo-Kajansi-24h'!K38,'28.09 Kajansi-Bweya-24h'!K38,'29.09 Kajansi-Bweya'!K38)</f>
        <v>0.5714285714285714</v>
      </c>
      <c r="L38" s="49">
        <f>AVERAGE('23.09.19 Bweya- Kajansi'!L38,'24.09 Bweya-Kajansi'!L38,'25.09 Bweya-Kajansi'!L38,'27.09 Munyonyo-Kajansi'!L38,'26.09 Munyonyo-Kajansi-24h'!L38,'28.09 Kajansi-Bweya-24h'!L38,'29.09 Kajansi-Bweya'!L38)</f>
        <v>0</v>
      </c>
      <c r="M38" s="49">
        <f>AVERAGE('23.09.19 Bweya- Kajansi'!M38,'24.09 Bweya-Kajansi'!M38,'25.09 Bweya-Kajansi'!M38,'27.09 Munyonyo-Kajansi'!M38,'26.09 Munyonyo-Kajansi-24h'!M38,'28.09 Kajansi-Bweya-24h'!M38,'29.09 Kajansi-Bweya'!M38)</f>
        <v>28.857142857142858</v>
      </c>
      <c r="N38" s="49">
        <f>AVERAGE('23.09.19 Bweya- Kajansi'!N38,'24.09 Bweya-Kajansi'!N38,'25.09 Bweya-Kajansi'!N38,'27.09 Munyonyo-Kajansi'!N38,'26.09 Munyonyo-Kajansi-24h'!N38,'28.09 Kajansi-Bweya-24h'!N38,'29.09 Kajansi-Bweya'!N38)</f>
        <v>0</v>
      </c>
      <c r="O38" s="15">
        <f t="shared" si="0"/>
        <v>49.571428571428569</v>
      </c>
      <c r="P38" s="15">
        <f t="shared" si="1"/>
        <v>78.428571428571431</v>
      </c>
      <c r="R38" s="28" t="s">
        <v>86</v>
      </c>
      <c r="S38" s="58">
        <f t="shared" ref="S38:AF38" si="30">SUM(S13:S18)</f>
        <v>688.28571428571433</v>
      </c>
      <c r="T38" s="58">
        <f t="shared" si="30"/>
        <v>198.57142857142858</v>
      </c>
      <c r="U38" s="58">
        <f t="shared" si="30"/>
        <v>83.428571428571431</v>
      </c>
      <c r="V38" s="58">
        <f t="shared" si="30"/>
        <v>34.714285714285715</v>
      </c>
      <c r="W38" s="58">
        <f t="shared" si="30"/>
        <v>6.4285714285714288</v>
      </c>
      <c r="X38" s="58">
        <f t="shared" si="30"/>
        <v>1.7142857142857142</v>
      </c>
      <c r="Y38" s="58">
        <f t="shared" si="30"/>
        <v>89.571428571428569</v>
      </c>
      <c r="Z38" s="58">
        <f t="shared" si="30"/>
        <v>19.285714285714288</v>
      </c>
      <c r="AA38" s="58">
        <f t="shared" si="30"/>
        <v>3.9999999999999996</v>
      </c>
      <c r="AB38" s="58">
        <f t="shared" si="30"/>
        <v>1</v>
      </c>
      <c r="AC38" s="58">
        <f t="shared" si="30"/>
        <v>702.42857142857144</v>
      </c>
      <c r="AD38" s="58">
        <f t="shared" si="30"/>
        <v>0.14285714285714285</v>
      </c>
      <c r="AE38" s="59">
        <f t="shared" si="30"/>
        <v>1127.1428571428573</v>
      </c>
      <c r="AF38" s="59">
        <f t="shared" si="30"/>
        <v>1829.5714285714287</v>
      </c>
    </row>
    <row r="39" spans="2:32" ht="23.1" customHeight="1" x14ac:dyDescent="0.25">
      <c r="B39" s="24" t="s">
        <v>66</v>
      </c>
      <c r="C39" s="49">
        <f>AVERAGE('23.09.19 Bweya- Kajansi'!C39,'24.09 Bweya-Kajansi'!C39,'25.09 Bweya-Kajansi'!C39,'27.09 Munyonyo-Kajansi'!C39,'26.09 Munyonyo-Kajansi-24h'!C39,'28.09 Kajansi-Bweya-24h'!C39,'29.09 Kajansi-Bweya'!C39)</f>
        <v>29.571428571428573</v>
      </c>
      <c r="D39" s="49">
        <f>AVERAGE('23.09.19 Bweya- Kajansi'!D39,'24.09 Bweya-Kajansi'!D39,'25.09 Bweya-Kajansi'!D39,'27.09 Munyonyo-Kajansi'!D39,'26.09 Munyonyo-Kajansi-24h'!D39,'28.09 Kajansi-Bweya-24h'!D39,'29.09 Kajansi-Bweya'!D39)</f>
        <v>4.7142857142857144</v>
      </c>
      <c r="E39" s="49">
        <f>AVERAGE('23.09.19 Bweya- Kajansi'!E39,'24.09 Bweya-Kajansi'!E39,'25.09 Bweya-Kajansi'!E39,'27.09 Munyonyo-Kajansi'!E39,'26.09 Munyonyo-Kajansi-24h'!E39,'28.09 Kajansi-Bweya-24h'!E39,'29.09 Kajansi-Bweya'!E39)</f>
        <v>3.1428571428571428</v>
      </c>
      <c r="F39" s="49">
        <f>AVERAGE('23.09.19 Bweya- Kajansi'!F39,'24.09 Bweya-Kajansi'!F39,'25.09 Bweya-Kajansi'!F39,'27.09 Munyonyo-Kajansi'!F39,'26.09 Munyonyo-Kajansi-24h'!F39,'28.09 Kajansi-Bweya-24h'!F39,'29.09 Kajansi-Bweya'!F39)</f>
        <v>1.7142857142857142</v>
      </c>
      <c r="G39" s="49">
        <f>AVERAGE('23.09.19 Bweya- Kajansi'!G39,'24.09 Bweya-Kajansi'!G39,'25.09 Bweya-Kajansi'!G39,'27.09 Munyonyo-Kajansi'!G39,'26.09 Munyonyo-Kajansi-24h'!G39,'28.09 Kajansi-Bweya-24h'!G39,'29.09 Kajansi-Bweya'!G39)</f>
        <v>0.14285714285714285</v>
      </c>
      <c r="H39" s="49">
        <f>AVERAGE('23.09.19 Bweya- Kajansi'!H39,'24.09 Bweya-Kajansi'!H39,'25.09 Bweya-Kajansi'!H39,'27.09 Munyonyo-Kajansi'!H39,'26.09 Munyonyo-Kajansi-24h'!H39,'28.09 Kajansi-Bweya-24h'!H39,'29.09 Kajansi-Bweya'!H39)</f>
        <v>0.14285714285714285</v>
      </c>
      <c r="I39" s="49">
        <f>AVERAGE('23.09.19 Bweya- Kajansi'!I39,'24.09 Bweya-Kajansi'!I39,'25.09 Bweya-Kajansi'!I39,'27.09 Munyonyo-Kajansi'!I39,'26.09 Munyonyo-Kajansi-24h'!I39,'28.09 Kajansi-Bweya-24h'!I39,'29.09 Kajansi-Bweya'!I39)</f>
        <v>3.4285714285714284</v>
      </c>
      <c r="J39" s="49">
        <f>AVERAGE('23.09.19 Bweya- Kajansi'!J39,'24.09 Bweya-Kajansi'!J39,'25.09 Bweya-Kajansi'!J39,'27.09 Munyonyo-Kajansi'!J39,'26.09 Munyonyo-Kajansi-24h'!J39,'28.09 Kajansi-Bweya-24h'!J39,'29.09 Kajansi-Bweya'!J39)</f>
        <v>0.5714285714285714</v>
      </c>
      <c r="K39" s="49">
        <f>AVERAGE('23.09.19 Bweya- Kajansi'!K39,'24.09 Bweya-Kajansi'!K39,'25.09 Bweya-Kajansi'!K39,'27.09 Munyonyo-Kajansi'!K39,'26.09 Munyonyo-Kajansi-24h'!K39,'28.09 Kajansi-Bweya-24h'!K39,'29.09 Kajansi-Bweya'!K39)</f>
        <v>0</v>
      </c>
      <c r="L39" s="49">
        <f>AVERAGE('23.09.19 Bweya- Kajansi'!L39,'24.09 Bweya-Kajansi'!L39,'25.09 Bweya-Kajansi'!L39,'27.09 Munyonyo-Kajansi'!L39,'26.09 Munyonyo-Kajansi-24h'!L39,'28.09 Kajansi-Bweya-24h'!L39,'29.09 Kajansi-Bweya'!L39)</f>
        <v>0.14285714285714285</v>
      </c>
      <c r="M39" s="49">
        <f>AVERAGE('23.09.19 Bweya- Kajansi'!M39,'24.09 Bweya-Kajansi'!M39,'25.09 Bweya-Kajansi'!M39,'27.09 Munyonyo-Kajansi'!M39,'26.09 Munyonyo-Kajansi-24h'!M39,'28.09 Kajansi-Bweya-24h'!M39,'29.09 Kajansi-Bweya'!M39)</f>
        <v>30.571428571428573</v>
      </c>
      <c r="N39" s="49">
        <f>AVERAGE('23.09.19 Bweya- Kajansi'!N39,'24.09 Bweya-Kajansi'!N39,'25.09 Bweya-Kajansi'!N39,'27.09 Munyonyo-Kajansi'!N39,'26.09 Munyonyo-Kajansi-24h'!N39,'28.09 Kajansi-Bweya-24h'!N39,'29.09 Kajansi-Bweya'!N39)</f>
        <v>0</v>
      </c>
      <c r="O39" s="15">
        <f t="shared" si="0"/>
        <v>43.571428571428584</v>
      </c>
      <c r="P39" s="15">
        <f t="shared" si="1"/>
        <v>74.142857142857153</v>
      </c>
      <c r="R39" s="29" t="s">
        <v>87</v>
      </c>
      <c r="S39" s="58">
        <f t="shared" ref="S39:AF39" si="31">SUM(S19:S21)</f>
        <v>497.14285714285711</v>
      </c>
      <c r="T39" s="58">
        <f t="shared" si="31"/>
        <v>92</v>
      </c>
      <c r="U39" s="58">
        <f t="shared" si="31"/>
        <v>56.285714285714285</v>
      </c>
      <c r="V39" s="58">
        <f t="shared" si="31"/>
        <v>27.857142857142861</v>
      </c>
      <c r="W39" s="58">
        <f t="shared" si="31"/>
        <v>6.2857142857142847</v>
      </c>
      <c r="X39" s="58">
        <f t="shared" si="31"/>
        <v>2.4285714285714284</v>
      </c>
      <c r="Y39" s="58">
        <f t="shared" si="31"/>
        <v>45</v>
      </c>
      <c r="Z39" s="58">
        <f t="shared" si="31"/>
        <v>10.571428571428569</v>
      </c>
      <c r="AA39" s="58">
        <f t="shared" si="31"/>
        <v>1.9999999999999998</v>
      </c>
      <c r="AB39" s="58">
        <f t="shared" si="31"/>
        <v>0.71428571428571419</v>
      </c>
      <c r="AC39" s="58">
        <f t="shared" si="31"/>
        <v>425</v>
      </c>
      <c r="AD39" s="58">
        <f t="shared" si="31"/>
        <v>0</v>
      </c>
      <c r="AE39" s="59">
        <f t="shared" si="31"/>
        <v>740.28571428571422</v>
      </c>
      <c r="AF39" s="59">
        <f t="shared" si="31"/>
        <v>1165.2857142857142</v>
      </c>
    </row>
    <row r="40" spans="2:32" ht="23.1" customHeight="1" x14ac:dyDescent="0.25">
      <c r="B40" s="24" t="s">
        <v>67</v>
      </c>
      <c r="C40" s="49">
        <f>AVERAGE('23.09.19 Bweya- Kajansi'!C40,'24.09 Bweya-Kajansi'!C40,'25.09 Bweya-Kajansi'!C40,'27.09 Munyonyo-Kajansi'!C40,'26.09 Munyonyo-Kajansi-24h'!C40,'28.09 Kajansi-Bweya-24h'!C40,'29.09 Kajansi-Bweya'!C40)</f>
        <v>31.714285714285715</v>
      </c>
      <c r="D40" s="49">
        <f>AVERAGE('23.09.19 Bweya- Kajansi'!D40,'24.09 Bweya-Kajansi'!D40,'25.09 Bweya-Kajansi'!D40,'27.09 Munyonyo-Kajansi'!D40,'26.09 Munyonyo-Kajansi-24h'!D40,'28.09 Kajansi-Bweya-24h'!D40,'29.09 Kajansi-Bweya'!D40)</f>
        <v>63</v>
      </c>
      <c r="E40" s="49">
        <f>AVERAGE('23.09.19 Bweya- Kajansi'!E40,'24.09 Bweya-Kajansi'!E40,'25.09 Bweya-Kajansi'!E40,'27.09 Munyonyo-Kajansi'!E40,'26.09 Munyonyo-Kajansi-24h'!E40,'28.09 Kajansi-Bweya-24h'!E40,'29.09 Kajansi-Bweya'!E40)</f>
        <v>4.1428571428571432</v>
      </c>
      <c r="F40" s="49">
        <f>AVERAGE('23.09.19 Bweya- Kajansi'!F40,'24.09 Bweya-Kajansi'!F40,'25.09 Bweya-Kajansi'!F40,'27.09 Munyonyo-Kajansi'!F40,'26.09 Munyonyo-Kajansi-24h'!F40,'28.09 Kajansi-Bweya-24h'!F40,'29.09 Kajansi-Bweya'!F40)</f>
        <v>1</v>
      </c>
      <c r="G40" s="49">
        <f>AVERAGE('23.09.19 Bweya- Kajansi'!G40,'24.09 Bweya-Kajansi'!G40,'25.09 Bweya-Kajansi'!G40,'27.09 Munyonyo-Kajansi'!G40,'26.09 Munyonyo-Kajansi-24h'!G40,'28.09 Kajansi-Bweya-24h'!G40,'29.09 Kajansi-Bweya'!G40)</f>
        <v>0.42857142857142855</v>
      </c>
      <c r="H40" s="49">
        <f>AVERAGE('23.09.19 Bweya- Kajansi'!H40,'24.09 Bweya-Kajansi'!H40,'25.09 Bweya-Kajansi'!H40,'27.09 Munyonyo-Kajansi'!H40,'26.09 Munyonyo-Kajansi-24h'!H40,'28.09 Kajansi-Bweya-24h'!H40,'29.09 Kajansi-Bweya'!H40)</f>
        <v>0</v>
      </c>
      <c r="I40" s="49">
        <f>AVERAGE('23.09.19 Bweya- Kajansi'!I40,'24.09 Bweya-Kajansi'!I40,'25.09 Bweya-Kajansi'!I40,'27.09 Munyonyo-Kajansi'!I40,'26.09 Munyonyo-Kajansi-24h'!I40,'28.09 Kajansi-Bweya-24h'!I40,'29.09 Kajansi-Bweya'!I40)</f>
        <v>4.1428571428571432</v>
      </c>
      <c r="J40" s="49">
        <f>AVERAGE('23.09.19 Bweya- Kajansi'!J40,'24.09 Bweya-Kajansi'!J40,'25.09 Bweya-Kajansi'!J40,'27.09 Munyonyo-Kajansi'!J40,'26.09 Munyonyo-Kajansi-24h'!J40,'28.09 Kajansi-Bweya-24h'!J40,'29.09 Kajansi-Bweya'!J40)</f>
        <v>0.7142857142857143</v>
      </c>
      <c r="K40" s="49">
        <f>AVERAGE('23.09.19 Bweya- Kajansi'!K40,'24.09 Bweya-Kajansi'!K40,'25.09 Bweya-Kajansi'!K40,'27.09 Munyonyo-Kajansi'!K40,'26.09 Munyonyo-Kajansi-24h'!K40,'28.09 Kajansi-Bweya-24h'!K40,'29.09 Kajansi-Bweya'!K40)</f>
        <v>0</v>
      </c>
      <c r="L40" s="49">
        <f>AVERAGE('23.09.19 Bweya- Kajansi'!L40,'24.09 Bweya-Kajansi'!L40,'25.09 Bweya-Kajansi'!L40,'27.09 Munyonyo-Kajansi'!L40,'26.09 Munyonyo-Kajansi-24h'!L40,'28.09 Kajansi-Bweya-24h'!L40,'29.09 Kajansi-Bweya'!L40)</f>
        <v>0</v>
      </c>
      <c r="M40" s="49">
        <f>AVERAGE('23.09.19 Bweya- Kajansi'!M40,'24.09 Bweya-Kajansi'!M40,'25.09 Bweya-Kajansi'!M40,'27.09 Munyonyo-Kajansi'!M40,'26.09 Munyonyo-Kajansi-24h'!M40,'28.09 Kajansi-Bweya-24h'!M40,'29.09 Kajansi-Bweya'!M40)</f>
        <v>28.142857142857142</v>
      </c>
      <c r="N40" s="49">
        <f>AVERAGE('23.09.19 Bweya- Kajansi'!N40,'24.09 Bweya-Kajansi'!N40,'25.09 Bweya-Kajansi'!N40,'27.09 Munyonyo-Kajansi'!N40,'26.09 Munyonyo-Kajansi-24h'!N40,'28.09 Kajansi-Bweya-24h'!N40,'29.09 Kajansi-Bweya'!N40)</f>
        <v>0</v>
      </c>
      <c r="O40" s="15">
        <f t="shared" si="0"/>
        <v>105.14285714285714</v>
      </c>
      <c r="P40" s="15">
        <f t="shared" si="1"/>
        <v>133.28571428571428</v>
      </c>
      <c r="R40" s="5" t="s">
        <v>17</v>
      </c>
      <c r="S40" s="58">
        <f t="shared" ref="S40:AF40" si="32">SUM(S10:S21)</f>
        <v>1474.4285714285713</v>
      </c>
      <c r="T40" s="58">
        <f t="shared" si="32"/>
        <v>360.14285714285711</v>
      </c>
      <c r="U40" s="58">
        <f t="shared" si="32"/>
        <v>176.28571428571428</v>
      </c>
      <c r="V40" s="58">
        <f t="shared" si="32"/>
        <v>83</v>
      </c>
      <c r="W40" s="58">
        <f t="shared" si="32"/>
        <v>15.285714285714285</v>
      </c>
      <c r="X40" s="58">
        <f t="shared" si="32"/>
        <v>5.5714285714285703</v>
      </c>
      <c r="Y40" s="58">
        <f t="shared" si="32"/>
        <v>165.57142857142858</v>
      </c>
      <c r="Z40" s="58">
        <f t="shared" si="32"/>
        <v>35.428571428571423</v>
      </c>
      <c r="AA40" s="58">
        <f t="shared" si="32"/>
        <v>7.1428571428571423</v>
      </c>
      <c r="AB40" s="58">
        <f t="shared" si="32"/>
        <v>1.9999999999999996</v>
      </c>
      <c r="AC40" s="58">
        <f t="shared" si="32"/>
        <v>1569.4285714285716</v>
      </c>
      <c r="AD40" s="58">
        <f t="shared" si="32"/>
        <v>0.14285714285714285</v>
      </c>
      <c r="AE40" s="59">
        <f t="shared" si="32"/>
        <v>2325.0000000000005</v>
      </c>
      <c r="AF40" s="59">
        <f t="shared" si="32"/>
        <v>3894.4285714285716</v>
      </c>
    </row>
    <row r="41" spans="2:32" ht="23.1" customHeight="1" x14ac:dyDescent="0.25">
      <c r="B41" s="23" t="s">
        <v>68</v>
      </c>
      <c r="C41" s="49">
        <f>AVERAGE('23.09.19 Bweya- Kajansi'!C41,'24.09 Bweya-Kajansi'!C41,'25.09 Bweya-Kajansi'!C41,'27.09 Munyonyo-Kajansi'!C41,'26.09 Munyonyo-Kajansi-24h'!C41,'28.09 Kajansi-Bweya-24h'!C41,'29.09 Kajansi-Bweya'!C41)</f>
        <v>33</v>
      </c>
      <c r="D41" s="49">
        <f>AVERAGE('23.09.19 Bweya- Kajansi'!D41,'24.09 Bweya-Kajansi'!D41,'25.09 Bweya-Kajansi'!D41,'27.09 Munyonyo-Kajansi'!D41,'26.09 Munyonyo-Kajansi-24h'!D41,'28.09 Kajansi-Bweya-24h'!D41,'29.09 Kajansi-Bweya'!D41)</f>
        <v>6.7142857142857144</v>
      </c>
      <c r="E41" s="49">
        <f>AVERAGE('23.09.19 Bweya- Kajansi'!E41,'24.09 Bweya-Kajansi'!E41,'25.09 Bweya-Kajansi'!E41,'27.09 Munyonyo-Kajansi'!E41,'26.09 Munyonyo-Kajansi-24h'!E41,'28.09 Kajansi-Bweya-24h'!E41,'29.09 Kajansi-Bweya'!E41)</f>
        <v>3.4285714285714284</v>
      </c>
      <c r="F41" s="49">
        <f>AVERAGE('23.09.19 Bweya- Kajansi'!F41,'24.09 Bweya-Kajansi'!F41,'25.09 Bweya-Kajansi'!F41,'27.09 Munyonyo-Kajansi'!F41,'26.09 Munyonyo-Kajansi-24h'!F41,'28.09 Kajansi-Bweya-24h'!F41,'29.09 Kajansi-Bweya'!F41)</f>
        <v>2.1428571428571428</v>
      </c>
      <c r="G41" s="49">
        <f>AVERAGE('23.09.19 Bweya- Kajansi'!G41,'24.09 Bweya-Kajansi'!G41,'25.09 Bweya-Kajansi'!G41,'27.09 Munyonyo-Kajansi'!G41,'26.09 Munyonyo-Kajansi-24h'!G41,'28.09 Kajansi-Bweya-24h'!G41,'29.09 Kajansi-Bweya'!G41)</f>
        <v>0.2857142857142857</v>
      </c>
      <c r="H41" s="49">
        <f>AVERAGE('23.09.19 Bweya- Kajansi'!H41,'24.09 Bweya-Kajansi'!H41,'25.09 Bweya-Kajansi'!H41,'27.09 Munyonyo-Kajansi'!H41,'26.09 Munyonyo-Kajansi-24h'!H41,'28.09 Kajansi-Bweya-24h'!H41,'29.09 Kajansi-Bweya'!H41)</f>
        <v>0.14285714285714285</v>
      </c>
      <c r="I41" s="49">
        <f>AVERAGE('23.09.19 Bweya- Kajansi'!I41,'24.09 Bweya-Kajansi'!I41,'25.09 Bweya-Kajansi'!I41,'27.09 Munyonyo-Kajansi'!I41,'26.09 Munyonyo-Kajansi-24h'!I41,'28.09 Kajansi-Bweya-24h'!I41,'29.09 Kajansi-Bweya'!I41)</f>
        <v>5.4285714285714288</v>
      </c>
      <c r="J41" s="49">
        <f>AVERAGE('23.09.19 Bweya- Kajansi'!J41,'24.09 Bweya-Kajansi'!J41,'25.09 Bweya-Kajansi'!J41,'27.09 Munyonyo-Kajansi'!J41,'26.09 Munyonyo-Kajansi-24h'!J41,'28.09 Kajansi-Bweya-24h'!J41,'29.09 Kajansi-Bweya'!J41)</f>
        <v>0.7142857142857143</v>
      </c>
      <c r="K41" s="49">
        <f>AVERAGE('23.09.19 Bweya- Kajansi'!K41,'24.09 Bweya-Kajansi'!K41,'25.09 Bweya-Kajansi'!K41,'27.09 Munyonyo-Kajansi'!K41,'26.09 Munyonyo-Kajansi-24h'!K41,'28.09 Kajansi-Bweya-24h'!K41,'29.09 Kajansi-Bweya'!K41)</f>
        <v>0.2857142857142857</v>
      </c>
      <c r="L41" s="49">
        <f>AVERAGE('23.09.19 Bweya- Kajansi'!L41,'24.09 Bweya-Kajansi'!L41,'25.09 Bweya-Kajansi'!L41,'27.09 Munyonyo-Kajansi'!L41,'26.09 Munyonyo-Kajansi-24h'!L41,'28.09 Kajansi-Bweya-24h'!L41,'29.09 Kajansi-Bweya'!L41)</f>
        <v>0.14285714285714285</v>
      </c>
      <c r="M41" s="49">
        <f>AVERAGE('23.09.19 Bweya- Kajansi'!M41,'24.09 Bweya-Kajansi'!M41,'25.09 Bweya-Kajansi'!M41,'27.09 Munyonyo-Kajansi'!M41,'26.09 Munyonyo-Kajansi-24h'!M41,'28.09 Kajansi-Bweya-24h'!M41,'29.09 Kajansi-Bweya'!M41)</f>
        <v>30.571428571428573</v>
      </c>
      <c r="N41" s="49">
        <f>AVERAGE('23.09.19 Bweya- Kajansi'!N41,'24.09 Bweya-Kajansi'!N41,'25.09 Bweya-Kajansi'!N41,'27.09 Munyonyo-Kajansi'!N41,'26.09 Munyonyo-Kajansi-24h'!N41,'28.09 Kajansi-Bweya-24h'!N41,'29.09 Kajansi-Bweya'!N41)</f>
        <v>0</v>
      </c>
      <c r="O41" s="15">
        <f t="shared" si="0"/>
        <v>52.285714285714299</v>
      </c>
      <c r="P41" s="15">
        <f t="shared" si="1"/>
        <v>82.857142857142875</v>
      </c>
      <c r="R41" s="5" t="s">
        <v>185</v>
      </c>
      <c r="S41" s="58">
        <f>SUM(S10:S33)</f>
        <v>2263.9285714285716</v>
      </c>
      <c r="T41" s="58">
        <f t="shared" ref="T41:AD41" si="33">SUM(T10:T33)</f>
        <v>602.14285714285711</v>
      </c>
      <c r="U41" s="58">
        <f t="shared" si="33"/>
        <v>264.28571428571428</v>
      </c>
      <c r="V41" s="58">
        <f t="shared" si="33"/>
        <v>132.5</v>
      </c>
      <c r="W41" s="58">
        <f t="shared" si="33"/>
        <v>21.785714285714285</v>
      </c>
      <c r="X41" s="58">
        <f t="shared" si="33"/>
        <v>10.571428571428569</v>
      </c>
      <c r="Y41" s="58">
        <f t="shared" si="33"/>
        <v>219.57142857142858</v>
      </c>
      <c r="Z41" s="58">
        <f t="shared" si="33"/>
        <v>44.428571428571423</v>
      </c>
      <c r="AA41" s="58">
        <f t="shared" si="33"/>
        <v>10.142857142857142</v>
      </c>
      <c r="AB41" s="58">
        <f t="shared" si="33"/>
        <v>2.4999999999999996</v>
      </c>
      <c r="AC41" s="58">
        <f t="shared" si="33"/>
        <v>2142.4285714285716</v>
      </c>
      <c r="AD41" s="58">
        <f t="shared" si="33"/>
        <v>0.14285714285714285</v>
      </c>
      <c r="AE41" s="59">
        <f>SUM(AE10:AE33)</f>
        <v>3572.0000000000005</v>
      </c>
      <c r="AF41" s="59">
        <f>SUM(AF10:AF33)</f>
        <v>5714.4285714285716</v>
      </c>
    </row>
    <row r="42" spans="2:32" ht="23.1" customHeight="1" x14ac:dyDescent="0.25">
      <c r="B42" s="24" t="s">
        <v>69</v>
      </c>
      <c r="C42" s="49">
        <f>AVERAGE('23.09.19 Bweya- Kajansi'!C42,'24.09 Bweya-Kajansi'!C42,'25.09 Bweya-Kajansi'!C42,'27.09 Munyonyo-Kajansi'!C42,'26.09 Munyonyo-Kajansi-24h'!C42,'28.09 Kajansi-Bweya-24h'!C42,'29.09 Kajansi-Bweya'!C42)</f>
        <v>34.428571428571431</v>
      </c>
      <c r="D42" s="49">
        <f>AVERAGE('23.09.19 Bweya- Kajansi'!D42,'24.09 Bweya-Kajansi'!D42,'25.09 Bweya-Kajansi'!D42,'27.09 Munyonyo-Kajansi'!D42,'26.09 Munyonyo-Kajansi-24h'!D42,'28.09 Kajansi-Bweya-24h'!D42,'29.09 Kajansi-Bweya'!D42)</f>
        <v>5.5714285714285712</v>
      </c>
      <c r="E42" s="49">
        <f>AVERAGE('23.09.19 Bweya- Kajansi'!E42,'24.09 Bweya-Kajansi'!E42,'25.09 Bweya-Kajansi'!E42,'27.09 Munyonyo-Kajansi'!E42,'26.09 Munyonyo-Kajansi-24h'!E42,'28.09 Kajansi-Bweya-24h'!E42,'29.09 Kajansi-Bweya'!E42)</f>
        <v>4.1428571428571432</v>
      </c>
      <c r="F42" s="49">
        <f>AVERAGE('23.09.19 Bweya- Kajansi'!F42,'24.09 Bweya-Kajansi'!F42,'25.09 Bweya-Kajansi'!F42,'27.09 Munyonyo-Kajansi'!F42,'26.09 Munyonyo-Kajansi-24h'!F42,'28.09 Kajansi-Bweya-24h'!F42,'29.09 Kajansi-Bweya'!F42)</f>
        <v>1.7142857142857142</v>
      </c>
      <c r="G42" s="49">
        <f>AVERAGE('23.09.19 Bweya- Kajansi'!G42,'24.09 Bweya-Kajansi'!G42,'25.09 Bweya-Kajansi'!G42,'27.09 Munyonyo-Kajansi'!G42,'26.09 Munyonyo-Kajansi-24h'!G42,'28.09 Kajansi-Bweya-24h'!G42,'29.09 Kajansi-Bweya'!G42)</f>
        <v>0</v>
      </c>
      <c r="H42" s="49">
        <f>AVERAGE('23.09.19 Bweya- Kajansi'!H42,'24.09 Bweya-Kajansi'!H42,'25.09 Bweya-Kajansi'!H42,'27.09 Munyonyo-Kajansi'!H42,'26.09 Munyonyo-Kajansi-24h'!H42,'28.09 Kajansi-Bweya-24h'!H42,'29.09 Kajansi-Bweya'!H42)</f>
        <v>0</v>
      </c>
      <c r="I42" s="49">
        <f>AVERAGE('23.09.19 Bweya- Kajansi'!I42,'24.09 Bweya-Kajansi'!I42,'25.09 Bweya-Kajansi'!I42,'27.09 Munyonyo-Kajansi'!I42,'26.09 Munyonyo-Kajansi-24h'!I42,'28.09 Kajansi-Bweya-24h'!I42,'29.09 Kajansi-Bweya'!I42)</f>
        <v>3.5714285714285716</v>
      </c>
      <c r="J42" s="49">
        <f>AVERAGE('23.09.19 Bweya- Kajansi'!J42,'24.09 Bweya-Kajansi'!J42,'25.09 Bweya-Kajansi'!J42,'27.09 Munyonyo-Kajansi'!J42,'26.09 Munyonyo-Kajansi-24h'!J42,'28.09 Kajansi-Bweya-24h'!J42,'29.09 Kajansi-Bweya'!J42)</f>
        <v>0.7142857142857143</v>
      </c>
      <c r="K42" s="49">
        <f>AVERAGE('23.09.19 Bweya- Kajansi'!K42,'24.09 Bweya-Kajansi'!K42,'25.09 Bweya-Kajansi'!K42,'27.09 Munyonyo-Kajansi'!K42,'26.09 Munyonyo-Kajansi-24h'!K42,'28.09 Kajansi-Bweya-24h'!K42,'29.09 Kajansi-Bweya'!K42)</f>
        <v>0.2857142857142857</v>
      </c>
      <c r="L42" s="49">
        <f>AVERAGE('23.09.19 Bweya- Kajansi'!L42,'24.09 Bweya-Kajansi'!L42,'25.09 Bweya-Kajansi'!L42,'27.09 Munyonyo-Kajansi'!L42,'26.09 Munyonyo-Kajansi-24h'!L42,'28.09 Kajansi-Bweya-24h'!L42,'29.09 Kajansi-Bweya'!L42)</f>
        <v>0</v>
      </c>
      <c r="M42" s="49">
        <f>AVERAGE('23.09.19 Bweya- Kajansi'!M42,'24.09 Bweya-Kajansi'!M42,'25.09 Bweya-Kajansi'!M42,'27.09 Munyonyo-Kajansi'!M42,'26.09 Munyonyo-Kajansi-24h'!M42,'28.09 Kajansi-Bweya-24h'!M42,'29.09 Kajansi-Bweya'!M42)</f>
        <v>28</v>
      </c>
      <c r="N42" s="49">
        <f>AVERAGE('23.09.19 Bweya- Kajansi'!N42,'24.09 Bweya-Kajansi'!N42,'25.09 Bweya-Kajansi'!N42,'27.09 Munyonyo-Kajansi'!N42,'26.09 Munyonyo-Kajansi-24h'!N42,'28.09 Kajansi-Bweya-24h'!N42,'29.09 Kajansi-Bweya'!N42)</f>
        <v>0</v>
      </c>
      <c r="O42" s="15">
        <f t="shared" si="0"/>
        <v>50.428571428571431</v>
      </c>
      <c r="P42" s="15">
        <f t="shared" si="1"/>
        <v>78.428571428571431</v>
      </c>
      <c r="R42" s="5" t="s">
        <v>160</v>
      </c>
      <c r="S42" s="48">
        <f>S41/S40</f>
        <v>1.5354616800697609</v>
      </c>
      <c r="T42" s="48">
        <f t="shared" ref="T42:AF42" si="34">T41/T40</f>
        <v>1.671955573185244</v>
      </c>
      <c r="U42" s="48">
        <f t="shared" si="34"/>
        <v>1.4991896272285252</v>
      </c>
      <c r="V42" s="48">
        <f t="shared" si="34"/>
        <v>1.5963855421686748</v>
      </c>
      <c r="W42" s="48">
        <f t="shared" si="34"/>
        <v>1.4252336448598131</v>
      </c>
      <c r="X42" s="48">
        <f t="shared" si="34"/>
        <v>1.8974358974358974</v>
      </c>
      <c r="Y42" s="48">
        <f t="shared" si="34"/>
        <v>1.3261432269197584</v>
      </c>
      <c r="Z42" s="48">
        <f t="shared" si="34"/>
        <v>1.2540322580645162</v>
      </c>
      <c r="AA42" s="48">
        <f t="shared" si="34"/>
        <v>1.42</v>
      </c>
      <c r="AB42" s="48">
        <f t="shared" si="34"/>
        <v>1.25</v>
      </c>
      <c r="AC42" s="48">
        <f t="shared" si="34"/>
        <v>1.3651010376843256</v>
      </c>
      <c r="AD42" s="48">
        <f t="shared" si="34"/>
        <v>1</v>
      </c>
      <c r="AE42" s="60">
        <f t="shared" si="34"/>
        <v>1.5363440860215052</v>
      </c>
      <c r="AF42" s="60">
        <f t="shared" si="34"/>
        <v>1.4673342870767763</v>
      </c>
    </row>
    <row r="43" spans="2:32" ht="23.1" customHeight="1" x14ac:dyDescent="0.25">
      <c r="B43" s="23" t="s">
        <v>70</v>
      </c>
      <c r="C43" s="49">
        <f>AVERAGE('23.09.19 Bweya- Kajansi'!C43,'24.09 Bweya-Kajansi'!C43,'25.09 Bweya-Kajansi'!C43,'27.09 Munyonyo-Kajansi'!C43,'26.09 Munyonyo-Kajansi-24h'!C43,'28.09 Kajansi-Bweya-24h'!C43,'29.09 Kajansi-Bweya'!C43)</f>
        <v>33.142857142857146</v>
      </c>
      <c r="D43" s="49">
        <f>AVERAGE('23.09.19 Bweya- Kajansi'!D43,'24.09 Bweya-Kajansi'!D43,'25.09 Bweya-Kajansi'!D43,'27.09 Munyonyo-Kajansi'!D43,'26.09 Munyonyo-Kajansi-24h'!D43,'28.09 Kajansi-Bweya-24h'!D43,'29.09 Kajansi-Bweya'!D43)</f>
        <v>4.5714285714285712</v>
      </c>
      <c r="E43" s="49">
        <f>AVERAGE('23.09.19 Bweya- Kajansi'!E43,'24.09 Bweya-Kajansi'!E43,'25.09 Bweya-Kajansi'!E43,'27.09 Munyonyo-Kajansi'!E43,'26.09 Munyonyo-Kajansi-24h'!E43,'28.09 Kajansi-Bweya-24h'!E43,'29.09 Kajansi-Bweya'!E43)</f>
        <v>4.1428571428571432</v>
      </c>
      <c r="F43" s="49">
        <f>AVERAGE('23.09.19 Bweya- Kajansi'!F43,'24.09 Bweya-Kajansi'!F43,'25.09 Bweya-Kajansi'!F43,'27.09 Munyonyo-Kajansi'!F43,'26.09 Munyonyo-Kajansi-24h'!F43,'28.09 Kajansi-Bweya-24h'!F43,'29.09 Kajansi-Bweya'!F43)</f>
        <v>1.2857142857142858</v>
      </c>
      <c r="G43" s="49">
        <f>AVERAGE('23.09.19 Bweya- Kajansi'!G43,'24.09 Bweya-Kajansi'!G43,'25.09 Bweya-Kajansi'!G43,'27.09 Munyonyo-Kajansi'!G43,'26.09 Munyonyo-Kajansi-24h'!G43,'28.09 Kajansi-Bweya-24h'!G43,'29.09 Kajansi-Bweya'!G43)</f>
        <v>0</v>
      </c>
      <c r="H43" s="49">
        <f>AVERAGE('23.09.19 Bweya- Kajansi'!H43,'24.09 Bweya-Kajansi'!H43,'25.09 Bweya-Kajansi'!H43,'27.09 Munyonyo-Kajansi'!H43,'26.09 Munyonyo-Kajansi-24h'!H43,'28.09 Kajansi-Bweya-24h'!H43,'29.09 Kajansi-Bweya'!H43)</f>
        <v>0</v>
      </c>
      <c r="I43" s="49">
        <f>AVERAGE('23.09.19 Bweya- Kajansi'!I43,'24.09 Bweya-Kajansi'!I43,'25.09 Bweya-Kajansi'!I43,'27.09 Munyonyo-Kajansi'!I43,'26.09 Munyonyo-Kajansi-24h'!I43,'28.09 Kajansi-Bweya-24h'!I43,'29.09 Kajansi-Bweya'!I43)</f>
        <v>3.1428571428571428</v>
      </c>
      <c r="J43" s="49">
        <f>AVERAGE('23.09.19 Bweya- Kajansi'!J43,'24.09 Bweya-Kajansi'!J43,'25.09 Bweya-Kajansi'!J43,'27.09 Munyonyo-Kajansi'!J43,'26.09 Munyonyo-Kajansi-24h'!J43,'28.09 Kajansi-Bweya-24h'!J43,'29.09 Kajansi-Bweya'!J43)</f>
        <v>1</v>
      </c>
      <c r="K43" s="49">
        <f>AVERAGE('23.09.19 Bweya- Kajansi'!K43,'24.09 Bweya-Kajansi'!K43,'25.09 Bweya-Kajansi'!K43,'27.09 Munyonyo-Kajansi'!K43,'26.09 Munyonyo-Kajansi-24h'!K43,'28.09 Kajansi-Bweya-24h'!K43,'29.09 Kajansi-Bweya'!K43)</f>
        <v>0.14285714285714285</v>
      </c>
      <c r="L43" s="49">
        <f>AVERAGE('23.09.19 Bweya- Kajansi'!L43,'24.09 Bweya-Kajansi'!L43,'25.09 Bweya-Kajansi'!L43,'27.09 Munyonyo-Kajansi'!L43,'26.09 Munyonyo-Kajansi-24h'!L43,'28.09 Kajansi-Bweya-24h'!L43,'29.09 Kajansi-Bweya'!L43)</f>
        <v>0.14285714285714285</v>
      </c>
      <c r="M43" s="49">
        <f>AVERAGE('23.09.19 Bweya- Kajansi'!M43,'24.09 Bweya-Kajansi'!M43,'25.09 Bweya-Kajansi'!M43,'27.09 Munyonyo-Kajansi'!M43,'26.09 Munyonyo-Kajansi-24h'!M43,'28.09 Kajansi-Bweya-24h'!M43,'29.09 Kajansi-Bweya'!M43)</f>
        <v>31.571428571428573</v>
      </c>
      <c r="N43" s="49">
        <f>AVERAGE('23.09.19 Bweya- Kajansi'!N43,'24.09 Bweya-Kajansi'!N43,'25.09 Bweya-Kajansi'!N43,'27.09 Munyonyo-Kajansi'!N43,'26.09 Munyonyo-Kajansi-24h'!N43,'28.09 Kajansi-Bweya-24h'!N43,'29.09 Kajansi-Bweya'!N43)</f>
        <v>0</v>
      </c>
      <c r="O43" s="15">
        <f t="shared" si="0"/>
        <v>47.571428571428584</v>
      </c>
      <c r="P43" s="15">
        <f t="shared" si="1"/>
        <v>79.142857142857153</v>
      </c>
    </row>
    <row r="44" spans="2:32" ht="23.1" customHeight="1" x14ac:dyDescent="0.25">
      <c r="B44" s="25" t="s">
        <v>71</v>
      </c>
      <c r="C44" s="49">
        <f>AVERAGE('23.09.19 Bweya- Kajansi'!C44,'24.09 Bweya-Kajansi'!C44,'25.09 Bweya-Kajansi'!C44,'27.09 Munyonyo-Kajansi'!C44,'26.09 Munyonyo-Kajansi-24h'!C44,'28.09 Kajansi-Bweya-24h'!C44,'29.09 Kajansi-Bweya'!C44)</f>
        <v>31.285714285714285</v>
      </c>
      <c r="D44" s="49">
        <f>AVERAGE('23.09.19 Bweya- Kajansi'!D44,'24.09 Bweya-Kajansi'!D44,'25.09 Bweya-Kajansi'!D44,'27.09 Munyonyo-Kajansi'!D44,'26.09 Munyonyo-Kajansi-24h'!D44,'28.09 Kajansi-Bweya-24h'!D44,'29.09 Kajansi-Bweya'!D44)</f>
        <v>5.8571428571428568</v>
      </c>
      <c r="E44" s="49">
        <f>AVERAGE('23.09.19 Bweya- Kajansi'!E44,'24.09 Bweya-Kajansi'!E44,'25.09 Bweya-Kajansi'!E44,'27.09 Munyonyo-Kajansi'!E44,'26.09 Munyonyo-Kajansi-24h'!E44,'28.09 Kajansi-Bweya-24h'!E44,'29.09 Kajansi-Bweya'!E44)</f>
        <v>2.4285714285714284</v>
      </c>
      <c r="F44" s="49">
        <f>AVERAGE('23.09.19 Bweya- Kajansi'!F44,'24.09 Bweya-Kajansi'!F44,'25.09 Bweya-Kajansi'!F44,'27.09 Munyonyo-Kajansi'!F44,'26.09 Munyonyo-Kajansi-24h'!F44,'28.09 Kajansi-Bweya-24h'!F44,'29.09 Kajansi-Bweya'!F44)</f>
        <v>1.8571428571428572</v>
      </c>
      <c r="G44" s="49">
        <f>AVERAGE('23.09.19 Bweya- Kajansi'!G44,'24.09 Bweya-Kajansi'!G44,'25.09 Bweya-Kajansi'!G44,'27.09 Munyonyo-Kajansi'!G44,'26.09 Munyonyo-Kajansi-24h'!G44,'28.09 Kajansi-Bweya-24h'!G44,'29.09 Kajansi-Bweya'!G44)</f>
        <v>0.14285714285714285</v>
      </c>
      <c r="H44" s="49">
        <f>AVERAGE('23.09.19 Bweya- Kajansi'!H44,'24.09 Bweya-Kajansi'!H44,'25.09 Bweya-Kajansi'!H44,'27.09 Munyonyo-Kajansi'!H44,'26.09 Munyonyo-Kajansi-24h'!H44,'28.09 Kajansi-Bweya-24h'!H44,'29.09 Kajansi-Bweya'!H44)</f>
        <v>0</v>
      </c>
      <c r="I44" s="49">
        <f>AVERAGE('23.09.19 Bweya- Kajansi'!I44,'24.09 Bweya-Kajansi'!I44,'25.09 Bweya-Kajansi'!I44,'27.09 Munyonyo-Kajansi'!I44,'26.09 Munyonyo-Kajansi-24h'!I44,'28.09 Kajansi-Bweya-24h'!I44,'29.09 Kajansi-Bweya'!I44)</f>
        <v>3.7142857142857144</v>
      </c>
      <c r="J44" s="49">
        <f>AVERAGE('23.09.19 Bweya- Kajansi'!J44,'24.09 Bweya-Kajansi'!J44,'25.09 Bweya-Kajansi'!J44,'27.09 Munyonyo-Kajansi'!J44,'26.09 Munyonyo-Kajansi-24h'!J44,'28.09 Kajansi-Bweya-24h'!J44,'29.09 Kajansi-Bweya'!J44)</f>
        <v>0.8571428571428571</v>
      </c>
      <c r="K44" s="49">
        <f>AVERAGE('23.09.19 Bweya- Kajansi'!K44,'24.09 Bweya-Kajansi'!K44,'25.09 Bweya-Kajansi'!K44,'27.09 Munyonyo-Kajansi'!K44,'26.09 Munyonyo-Kajansi-24h'!K44,'28.09 Kajansi-Bweya-24h'!K44,'29.09 Kajansi-Bweya'!K44)</f>
        <v>0</v>
      </c>
      <c r="L44" s="49">
        <f>AVERAGE('23.09.19 Bweya- Kajansi'!L44,'24.09 Bweya-Kajansi'!L44,'25.09 Bweya-Kajansi'!L44,'27.09 Munyonyo-Kajansi'!L44,'26.09 Munyonyo-Kajansi-24h'!L44,'28.09 Kajansi-Bweya-24h'!L44,'29.09 Kajansi-Bweya'!L44)</f>
        <v>0</v>
      </c>
      <c r="M44" s="49">
        <f>AVERAGE('23.09.19 Bweya- Kajansi'!M44,'24.09 Bweya-Kajansi'!M44,'25.09 Bweya-Kajansi'!M44,'27.09 Munyonyo-Kajansi'!M44,'26.09 Munyonyo-Kajansi-24h'!M44,'28.09 Kajansi-Bweya-24h'!M44,'29.09 Kajansi-Bweya'!M44)</f>
        <v>25.857142857142858</v>
      </c>
      <c r="N44" s="49">
        <f>AVERAGE('23.09.19 Bweya- Kajansi'!N44,'24.09 Bweya-Kajansi'!N44,'25.09 Bweya-Kajansi'!N44,'27.09 Munyonyo-Kajansi'!N44,'26.09 Munyonyo-Kajansi-24h'!N44,'28.09 Kajansi-Bweya-24h'!N44,'29.09 Kajansi-Bweya'!N44)</f>
        <v>0</v>
      </c>
      <c r="O44" s="15">
        <f t="shared" si="0"/>
        <v>46.142857142857139</v>
      </c>
      <c r="P44" s="15">
        <f t="shared" si="1"/>
        <v>72</v>
      </c>
    </row>
    <row r="45" spans="2:32" ht="23.1" customHeight="1" x14ac:dyDescent="0.25">
      <c r="B45" s="23" t="s">
        <v>72</v>
      </c>
      <c r="C45" s="49">
        <f>AVERAGE('23.09.19 Bweya- Kajansi'!C45,'24.09 Bweya-Kajansi'!C45,'25.09 Bweya-Kajansi'!C45,'27.09 Munyonyo-Kajansi'!C45,'26.09 Munyonyo-Kajansi-24h'!C45,'28.09 Kajansi-Bweya-24h'!C45,'29.09 Kajansi-Bweya'!C45)</f>
        <v>35.714285714285715</v>
      </c>
      <c r="D45" s="49">
        <f>AVERAGE('23.09.19 Bweya- Kajansi'!D45,'24.09 Bweya-Kajansi'!D45,'25.09 Bweya-Kajansi'!D45,'27.09 Munyonyo-Kajansi'!D45,'26.09 Munyonyo-Kajansi-24h'!D45,'28.09 Kajansi-Bweya-24h'!D45,'29.09 Kajansi-Bweya'!D45)</f>
        <v>5.8571428571428568</v>
      </c>
      <c r="E45" s="49">
        <f>AVERAGE('23.09.19 Bweya- Kajansi'!E45,'24.09 Bweya-Kajansi'!E45,'25.09 Bweya-Kajansi'!E45,'27.09 Munyonyo-Kajansi'!E45,'26.09 Munyonyo-Kajansi-24h'!E45,'28.09 Kajansi-Bweya-24h'!E45,'29.09 Kajansi-Bweya'!E45)</f>
        <v>3.2857142857142856</v>
      </c>
      <c r="F45" s="49">
        <f>AVERAGE('23.09.19 Bweya- Kajansi'!F45,'24.09 Bweya-Kajansi'!F45,'25.09 Bweya-Kajansi'!F45,'27.09 Munyonyo-Kajansi'!F45,'26.09 Munyonyo-Kajansi-24h'!F45,'28.09 Kajansi-Bweya-24h'!F45,'29.09 Kajansi-Bweya'!F45)</f>
        <v>1.7142857142857142</v>
      </c>
      <c r="G45" s="49">
        <f>AVERAGE('23.09.19 Bweya- Kajansi'!G45,'24.09 Bweya-Kajansi'!G45,'25.09 Bweya-Kajansi'!G45,'27.09 Munyonyo-Kajansi'!G45,'26.09 Munyonyo-Kajansi-24h'!G45,'28.09 Kajansi-Bweya-24h'!G45,'29.09 Kajansi-Bweya'!G45)</f>
        <v>0.2857142857142857</v>
      </c>
      <c r="H45" s="49">
        <f>AVERAGE('23.09.19 Bweya- Kajansi'!H45,'24.09 Bweya-Kajansi'!H45,'25.09 Bweya-Kajansi'!H45,'27.09 Munyonyo-Kajansi'!H45,'26.09 Munyonyo-Kajansi-24h'!H45,'28.09 Kajansi-Bweya-24h'!H45,'29.09 Kajansi-Bweya'!H45)</f>
        <v>0</v>
      </c>
      <c r="I45" s="49">
        <f>AVERAGE('23.09.19 Bweya- Kajansi'!I45,'24.09 Bweya-Kajansi'!I45,'25.09 Bweya-Kajansi'!I45,'27.09 Munyonyo-Kajansi'!I45,'26.09 Munyonyo-Kajansi-24h'!I45,'28.09 Kajansi-Bweya-24h'!I45,'29.09 Kajansi-Bweya'!I45)</f>
        <v>3</v>
      </c>
      <c r="J45" s="49">
        <f>AVERAGE('23.09.19 Bweya- Kajansi'!J45,'24.09 Bweya-Kajansi'!J45,'25.09 Bweya-Kajansi'!J45,'27.09 Munyonyo-Kajansi'!J45,'26.09 Munyonyo-Kajansi-24h'!J45,'28.09 Kajansi-Bweya-24h'!J45,'29.09 Kajansi-Bweya'!J45)</f>
        <v>0.2857142857142857</v>
      </c>
      <c r="K45" s="49">
        <f>AVERAGE('23.09.19 Bweya- Kajansi'!K45,'24.09 Bweya-Kajansi'!K45,'25.09 Bweya-Kajansi'!K45,'27.09 Munyonyo-Kajansi'!K45,'26.09 Munyonyo-Kajansi-24h'!K45,'28.09 Kajansi-Bweya-24h'!K45,'29.09 Kajansi-Bweya'!K45)</f>
        <v>0</v>
      </c>
      <c r="L45" s="49">
        <f>AVERAGE('23.09.19 Bweya- Kajansi'!L45,'24.09 Bweya-Kajansi'!L45,'25.09 Bweya-Kajansi'!L45,'27.09 Munyonyo-Kajansi'!L45,'26.09 Munyonyo-Kajansi-24h'!L45,'28.09 Kajansi-Bweya-24h'!L45,'29.09 Kajansi-Bweya'!L45)</f>
        <v>0</v>
      </c>
      <c r="M45" s="49">
        <f>AVERAGE('23.09.19 Bweya- Kajansi'!M45,'24.09 Bweya-Kajansi'!M45,'25.09 Bweya-Kajansi'!M45,'27.09 Munyonyo-Kajansi'!M45,'26.09 Munyonyo-Kajansi-24h'!M45,'28.09 Kajansi-Bweya-24h'!M45,'29.09 Kajansi-Bweya'!M45)</f>
        <v>29</v>
      </c>
      <c r="N45" s="49">
        <f>AVERAGE('23.09.19 Bweya- Kajansi'!N45,'24.09 Bweya-Kajansi'!N45,'25.09 Bweya-Kajansi'!N45,'27.09 Munyonyo-Kajansi'!N45,'26.09 Munyonyo-Kajansi-24h'!N45,'28.09 Kajansi-Bweya-24h'!N45,'29.09 Kajansi-Bweya'!N45)</f>
        <v>0</v>
      </c>
      <c r="O45" s="15">
        <f t="shared" si="0"/>
        <v>50.142857142857139</v>
      </c>
      <c r="P45" s="15">
        <f t="shared" si="1"/>
        <v>79.142857142857139</v>
      </c>
    </row>
    <row r="46" spans="2:32" ht="23.1" customHeight="1" x14ac:dyDescent="0.25">
      <c r="B46" s="24" t="s">
        <v>73</v>
      </c>
      <c r="C46" s="49">
        <f>AVERAGE('23.09.19 Bweya- Kajansi'!C46,'24.09 Bweya-Kajansi'!C46,'25.09 Bweya-Kajansi'!C46,'27.09 Munyonyo-Kajansi'!C46,'26.09 Munyonyo-Kajansi-24h'!C46,'28.09 Kajansi-Bweya-24h'!C46,'29.09 Kajansi-Bweya'!C46)</f>
        <v>38.428571428571431</v>
      </c>
      <c r="D46" s="49">
        <f>AVERAGE('23.09.19 Bweya- Kajansi'!D46,'24.09 Bweya-Kajansi'!D46,'25.09 Bweya-Kajansi'!D46,'27.09 Munyonyo-Kajansi'!D46,'26.09 Munyonyo-Kajansi-24h'!D46,'28.09 Kajansi-Bweya-24h'!D46,'29.09 Kajansi-Bweya'!D46)</f>
        <v>5.4285714285714288</v>
      </c>
      <c r="E46" s="49">
        <f>AVERAGE('23.09.19 Bweya- Kajansi'!E46,'24.09 Bweya-Kajansi'!E46,'25.09 Bweya-Kajansi'!E46,'27.09 Munyonyo-Kajansi'!E46,'26.09 Munyonyo-Kajansi-24h'!E46,'28.09 Kajansi-Bweya-24h'!E46,'29.09 Kajansi-Bweya'!E46)</f>
        <v>4.1428571428571432</v>
      </c>
      <c r="F46" s="49">
        <f>AVERAGE('23.09.19 Bweya- Kajansi'!F46,'24.09 Bweya-Kajansi'!F46,'25.09 Bweya-Kajansi'!F46,'27.09 Munyonyo-Kajansi'!F46,'26.09 Munyonyo-Kajansi-24h'!F46,'28.09 Kajansi-Bweya-24h'!F46,'29.09 Kajansi-Bweya'!F46)</f>
        <v>1.2857142857142858</v>
      </c>
      <c r="G46" s="49">
        <f>AVERAGE('23.09.19 Bweya- Kajansi'!G46,'24.09 Bweya-Kajansi'!G46,'25.09 Bweya-Kajansi'!G46,'27.09 Munyonyo-Kajansi'!G46,'26.09 Munyonyo-Kajansi-24h'!G46,'28.09 Kajansi-Bweya-24h'!G46,'29.09 Kajansi-Bweya'!G46)</f>
        <v>0.42857142857142855</v>
      </c>
      <c r="H46" s="49">
        <f>AVERAGE('23.09.19 Bweya- Kajansi'!H46,'24.09 Bweya-Kajansi'!H46,'25.09 Bweya-Kajansi'!H46,'27.09 Munyonyo-Kajansi'!H46,'26.09 Munyonyo-Kajansi-24h'!H46,'28.09 Kajansi-Bweya-24h'!H46,'29.09 Kajansi-Bweya'!H46)</f>
        <v>0.14285714285714285</v>
      </c>
      <c r="I46" s="49">
        <f>AVERAGE('23.09.19 Bweya- Kajansi'!I46,'24.09 Bweya-Kajansi'!I46,'25.09 Bweya-Kajansi'!I46,'27.09 Munyonyo-Kajansi'!I46,'26.09 Munyonyo-Kajansi-24h'!I46,'28.09 Kajansi-Bweya-24h'!I46,'29.09 Kajansi-Bweya'!I46)</f>
        <v>3.5714285714285716</v>
      </c>
      <c r="J46" s="49">
        <f>AVERAGE('23.09.19 Bweya- Kajansi'!J46,'24.09 Bweya-Kajansi'!J46,'25.09 Bweya-Kajansi'!J46,'27.09 Munyonyo-Kajansi'!J46,'26.09 Munyonyo-Kajansi-24h'!J46,'28.09 Kajansi-Bweya-24h'!J46,'29.09 Kajansi-Bweya'!J46)</f>
        <v>0.8571428571428571</v>
      </c>
      <c r="K46" s="49">
        <f>AVERAGE('23.09.19 Bweya- Kajansi'!K46,'24.09 Bweya-Kajansi'!K46,'25.09 Bweya-Kajansi'!K46,'27.09 Munyonyo-Kajansi'!K46,'26.09 Munyonyo-Kajansi-24h'!K46,'28.09 Kajansi-Bweya-24h'!K46,'29.09 Kajansi-Bweya'!K46)</f>
        <v>0</v>
      </c>
      <c r="L46" s="49">
        <f>AVERAGE('23.09.19 Bweya- Kajansi'!L46,'24.09 Bweya-Kajansi'!L46,'25.09 Bweya-Kajansi'!L46,'27.09 Munyonyo-Kajansi'!L46,'26.09 Munyonyo-Kajansi-24h'!L46,'28.09 Kajansi-Bweya-24h'!L46,'29.09 Kajansi-Bweya'!L46)</f>
        <v>0</v>
      </c>
      <c r="M46" s="49">
        <f>AVERAGE('23.09.19 Bweya- Kajansi'!M46,'24.09 Bweya-Kajansi'!M46,'25.09 Bweya-Kajansi'!M46,'27.09 Munyonyo-Kajansi'!M46,'26.09 Munyonyo-Kajansi-24h'!M46,'28.09 Kajansi-Bweya-24h'!M46,'29.09 Kajansi-Bweya'!M46)</f>
        <v>31.428571428571427</v>
      </c>
      <c r="N46" s="49">
        <f>AVERAGE('23.09.19 Bweya- Kajansi'!N46,'24.09 Bweya-Kajansi'!N46,'25.09 Bweya-Kajansi'!N46,'27.09 Munyonyo-Kajansi'!N46,'26.09 Munyonyo-Kajansi-24h'!N46,'28.09 Kajansi-Bweya-24h'!N46,'29.09 Kajansi-Bweya'!N46)</f>
        <v>0</v>
      </c>
      <c r="O46" s="15">
        <f t="shared" si="0"/>
        <v>54.285714285714292</v>
      </c>
      <c r="P46" s="15">
        <f t="shared" si="1"/>
        <v>85.714285714285722</v>
      </c>
      <c r="R46" s="8"/>
      <c r="T46"/>
    </row>
    <row r="47" spans="2:32" ht="23.1" customHeight="1" x14ac:dyDescent="0.25">
      <c r="B47" s="24" t="s">
        <v>74</v>
      </c>
      <c r="C47" s="49">
        <f>AVERAGE('23.09.19 Bweya- Kajansi'!C47,'24.09 Bweya-Kajansi'!C47,'25.09 Bweya-Kajansi'!C47,'27.09 Munyonyo-Kajansi'!C47,'26.09 Munyonyo-Kajansi-24h'!C47,'28.09 Kajansi-Bweya-24h'!C47,'29.09 Kajansi-Bweya'!C47)</f>
        <v>35.714285714285715</v>
      </c>
      <c r="D47" s="49">
        <f>AVERAGE('23.09.19 Bweya- Kajansi'!D47,'24.09 Bweya-Kajansi'!D47,'25.09 Bweya-Kajansi'!D47,'27.09 Munyonyo-Kajansi'!D47,'26.09 Munyonyo-Kajansi-24h'!D47,'28.09 Kajansi-Bweya-24h'!D47,'29.09 Kajansi-Bweya'!D47)</f>
        <v>4.7142857142857144</v>
      </c>
      <c r="E47" s="49">
        <f>AVERAGE('23.09.19 Bweya- Kajansi'!E47,'24.09 Bweya-Kajansi'!E47,'25.09 Bweya-Kajansi'!E47,'27.09 Munyonyo-Kajansi'!E47,'26.09 Munyonyo-Kajansi-24h'!E47,'28.09 Kajansi-Bweya-24h'!E47,'29.09 Kajansi-Bweya'!E47)</f>
        <v>3.5714285714285716</v>
      </c>
      <c r="F47" s="49">
        <f>AVERAGE('23.09.19 Bweya- Kajansi'!F47,'24.09 Bweya-Kajansi'!F47,'25.09 Bweya-Kajansi'!F47,'27.09 Munyonyo-Kajansi'!F47,'26.09 Munyonyo-Kajansi-24h'!F47,'28.09 Kajansi-Bweya-24h'!F47,'29.09 Kajansi-Bweya'!F47)</f>
        <v>2.2857142857142856</v>
      </c>
      <c r="G47" s="49">
        <f>AVERAGE('23.09.19 Bweya- Kajansi'!G47,'24.09 Bweya-Kajansi'!G47,'25.09 Bweya-Kajansi'!G47,'27.09 Munyonyo-Kajansi'!G47,'26.09 Munyonyo-Kajansi-24h'!G47,'28.09 Kajansi-Bweya-24h'!G47,'29.09 Kajansi-Bweya'!G47)</f>
        <v>0.14285714285714285</v>
      </c>
      <c r="H47" s="49">
        <f>AVERAGE('23.09.19 Bweya- Kajansi'!H47,'24.09 Bweya-Kajansi'!H47,'25.09 Bweya-Kajansi'!H47,'27.09 Munyonyo-Kajansi'!H47,'26.09 Munyonyo-Kajansi-24h'!H47,'28.09 Kajansi-Bweya-24h'!H47,'29.09 Kajansi-Bweya'!H47)</f>
        <v>0</v>
      </c>
      <c r="I47" s="49">
        <f>AVERAGE('23.09.19 Bweya- Kajansi'!I47,'24.09 Bweya-Kajansi'!I47,'25.09 Bweya-Kajansi'!I47,'27.09 Munyonyo-Kajansi'!I47,'26.09 Munyonyo-Kajansi-24h'!I47,'28.09 Kajansi-Bweya-24h'!I47,'29.09 Kajansi-Bweya'!I47)</f>
        <v>3.5714285714285716</v>
      </c>
      <c r="J47" s="49">
        <f>AVERAGE('23.09.19 Bweya- Kajansi'!J47,'24.09 Bweya-Kajansi'!J47,'25.09 Bweya-Kajansi'!J47,'27.09 Munyonyo-Kajansi'!J47,'26.09 Munyonyo-Kajansi-24h'!J47,'28.09 Kajansi-Bweya-24h'!J47,'29.09 Kajansi-Bweya'!J47)</f>
        <v>0.7142857142857143</v>
      </c>
      <c r="K47" s="49">
        <f>AVERAGE('23.09.19 Bweya- Kajansi'!K47,'24.09 Bweya-Kajansi'!K47,'25.09 Bweya-Kajansi'!K47,'27.09 Munyonyo-Kajansi'!K47,'26.09 Munyonyo-Kajansi-24h'!K47,'28.09 Kajansi-Bweya-24h'!K47,'29.09 Kajansi-Bweya'!K47)</f>
        <v>0.14285714285714285</v>
      </c>
      <c r="L47" s="49">
        <f>AVERAGE('23.09.19 Bweya- Kajansi'!L47,'24.09 Bweya-Kajansi'!L47,'25.09 Bweya-Kajansi'!L47,'27.09 Munyonyo-Kajansi'!L47,'26.09 Munyonyo-Kajansi-24h'!L47,'28.09 Kajansi-Bweya-24h'!L47,'29.09 Kajansi-Bweya'!L47)</f>
        <v>0.14285714285714285</v>
      </c>
      <c r="M47" s="49">
        <f>AVERAGE('23.09.19 Bweya- Kajansi'!M47,'24.09 Bweya-Kajansi'!M47,'25.09 Bweya-Kajansi'!M47,'27.09 Munyonyo-Kajansi'!M47,'26.09 Munyonyo-Kajansi-24h'!M47,'28.09 Kajansi-Bweya-24h'!M47,'29.09 Kajansi-Bweya'!M47)</f>
        <v>28.428571428571427</v>
      </c>
      <c r="N47" s="49">
        <f>AVERAGE('23.09.19 Bweya- Kajansi'!N47,'24.09 Bweya-Kajansi'!N47,'25.09 Bweya-Kajansi'!N47,'27.09 Munyonyo-Kajansi'!N47,'26.09 Munyonyo-Kajansi-24h'!N47,'28.09 Kajansi-Bweya-24h'!N47,'29.09 Kajansi-Bweya'!N47)</f>
        <v>0</v>
      </c>
      <c r="O47" s="15">
        <f t="shared" si="0"/>
        <v>51.000000000000007</v>
      </c>
      <c r="P47" s="15">
        <f t="shared" si="1"/>
        <v>79.428571428571431</v>
      </c>
      <c r="R47" s="8"/>
      <c r="T47"/>
    </row>
    <row r="48" spans="2:32" ht="23.1" customHeight="1" x14ac:dyDescent="0.25">
      <c r="B48" s="24" t="s">
        <v>75</v>
      </c>
      <c r="C48" s="49">
        <f>AVERAGE('23.09.19 Bweya- Kajansi'!C48,'24.09 Bweya-Kajansi'!C48,'25.09 Bweya-Kajansi'!C48,'27.09 Munyonyo-Kajansi'!C48,'26.09 Munyonyo-Kajansi-24h'!C48,'28.09 Kajansi-Bweya-24h'!C48,'29.09 Kajansi-Bweya'!C48)</f>
        <v>38</v>
      </c>
      <c r="D48" s="49">
        <f>AVERAGE('23.09.19 Bweya- Kajansi'!D48,'24.09 Bweya-Kajansi'!D48,'25.09 Bweya-Kajansi'!D48,'27.09 Munyonyo-Kajansi'!D48,'26.09 Munyonyo-Kajansi-24h'!D48,'28.09 Kajansi-Bweya-24h'!D48,'29.09 Kajansi-Bweya'!D48)</f>
        <v>8.1428571428571423</v>
      </c>
      <c r="E48" s="49">
        <f>AVERAGE('23.09.19 Bweya- Kajansi'!E48,'24.09 Bweya-Kajansi'!E48,'25.09 Bweya-Kajansi'!E48,'27.09 Munyonyo-Kajansi'!E48,'26.09 Munyonyo-Kajansi-24h'!E48,'28.09 Kajansi-Bweya-24h'!E48,'29.09 Kajansi-Bweya'!E48)</f>
        <v>4.4285714285714288</v>
      </c>
      <c r="F48" s="49">
        <f>AVERAGE('23.09.19 Bweya- Kajansi'!F48,'24.09 Bweya-Kajansi'!F48,'25.09 Bweya-Kajansi'!F48,'27.09 Munyonyo-Kajansi'!F48,'26.09 Munyonyo-Kajansi-24h'!F48,'28.09 Kajansi-Bweya-24h'!F48,'29.09 Kajansi-Bweya'!F48)</f>
        <v>1.8571428571428572</v>
      </c>
      <c r="G48" s="49">
        <f>AVERAGE('23.09.19 Bweya- Kajansi'!G48,'24.09 Bweya-Kajansi'!G48,'25.09 Bweya-Kajansi'!G48,'27.09 Munyonyo-Kajansi'!G48,'26.09 Munyonyo-Kajansi-24h'!G48,'28.09 Kajansi-Bweya-24h'!G48,'29.09 Kajansi-Bweya'!G48)</f>
        <v>0.2857142857142857</v>
      </c>
      <c r="H48" s="49">
        <f>AVERAGE('23.09.19 Bweya- Kajansi'!H48,'24.09 Bweya-Kajansi'!H48,'25.09 Bweya-Kajansi'!H48,'27.09 Munyonyo-Kajansi'!H48,'26.09 Munyonyo-Kajansi-24h'!H48,'28.09 Kajansi-Bweya-24h'!H48,'29.09 Kajansi-Bweya'!H48)</f>
        <v>0.14285714285714285</v>
      </c>
      <c r="I48" s="49">
        <f>AVERAGE('23.09.19 Bweya- Kajansi'!I48,'24.09 Bweya-Kajansi'!I48,'25.09 Bweya-Kajansi'!I48,'27.09 Munyonyo-Kajansi'!I48,'26.09 Munyonyo-Kajansi-24h'!I48,'28.09 Kajansi-Bweya-24h'!I48,'29.09 Kajansi-Bweya'!I48)</f>
        <v>3.1428571428571428</v>
      </c>
      <c r="J48" s="49">
        <f>AVERAGE('23.09.19 Bweya- Kajansi'!J48,'24.09 Bweya-Kajansi'!J48,'25.09 Bweya-Kajansi'!J48,'27.09 Munyonyo-Kajansi'!J48,'26.09 Munyonyo-Kajansi-24h'!J48,'28.09 Kajansi-Bweya-24h'!J48,'29.09 Kajansi-Bweya'!J48)</f>
        <v>1.7142857142857142</v>
      </c>
      <c r="K48" s="49">
        <f>AVERAGE('23.09.19 Bweya- Kajansi'!K48,'24.09 Bweya-Kajansi'!K48,'25.09 Bweya-Kajansi'!K48,'27.09 Munyonyo-Kajansi'!K48,'26.09 Munyonyo-Kajansi-24h'!K48,'28.09 Kajansi-Bweya-24h'!K48,'29.09 Kajansi-Bweya'!K48)</f>
        <v>0</v>
      </c>
      <c r="L48" s="49">
        <f>AVERAGE('23.09.19 Bweya- Kajansi'!L48,'24.09 Bweya-Kajansi'!L48,'25.09 Bweya-Kajansi'!L48,'27.09 Munyonyo-Kajansi'!L48,'26.09 Munyonyo-Kajansi-24h'!L48,'28.09 Kajansi-Bweya-24h'!L48,'29.09 Kajansi-Bweya'!L48)</f>
        <v>0</v>
      </c>
      <c r="M48" s="49">
        <f>AVERAGE('23.09.19 Bweya- Kajansi'!M48,'24.09 Bweya-Kajansi'!M48,'25.09 Bweya-Kajansi'!M48,'27.09 Munyonyo-Kajansi'!M48,'26.09 Munyonyo-Kajansi-24h'!M48,'28.09 Kajansi-Bweya-24h'!M48,'29.09 Kajansi-Bweya'!M48)</f>
        <v>30.285714285714285</v>
      </c>
      <c r="N48" s="49">
        <f>AVERAGE('23.09.19 Bweya- Kajansi'!N48,'24.09 Bweya-Kajansi'!N48,'25.09 Bweya-Kajansi'!N48,'27.09 Munyonyo-Kajansi'!N48,'26.09 Munyonyo-Kajansi-24h'!N48,'28.09 Kajansi-Bweya-24h'!N48,'29.09 Kajansi-Bweya'!N48)</f>
        <v>0</v>
      </c>
      <c r="O48" s="15">
        <f t="shared" si="0"/>
        <v>57.714285714285715</v>
      </c>
      <c r="P48" s="15">
        <f t="shared" si="1"/>
        <v>88</v>
      </c>
      <c r="R48" s="8"/>
      <c r="T48"/>
    </row>
    <row r="49" spans="2:20" ht="23.1" customHeight="1" x14ac:dyDescent="0.25">
      <c r="B49" s="23" t="s">
        <v>76</v>
      </c>
      <c r="C49" s="49">
        <f>AVERAGE('23.09.19 Bweya- Kajansi'!C49,'24.09 Bweya-Kajansi'!C49,'25.09 Bweya-Kajansi'!C49,'27.09 Munyonyo-Kajansi'!C49,'26.09 Munyonyo-Kajansi-24h'!C49,'28.09 Kajansi-Bweya-24h'!C49,'29.09 Kajansi-Bweya'!C49)</f>
        <v>36.571428571428569</v>
      </c>
      <c r="D49" s="49">
        <f>AVERAGE('23.09.19 Bweya- Kajansi'!D49,'24.09 Bweya-Kajansi'!D49,'25.09 Bweya-Kajansi'!D49,'27.09 Munyonyo-Kajansi'!D49,'26.09 Munyonyo-Kajansi-24h'!D49,'28.09 Kajansi-Bweya-24h'!D49,'29.09 Kajansi-Bweya'!D49)</f>
        <v>8</v>
      </c>
      <c r="E49" s="49">
        <f>AVERAGE('23.09.19 Bweya- Kajansi'!E49,'24.09 Bweya-Kajansi'!E49,'25.09 Bweya-Kajansi'!E49,'27.09 Munyonyo-Kajansi'!E49,'26.09 Munyonyo-Kajansi-24h'!E49,'28.09 Kajansi-Bweya-24h'!E49,'29.09 Kajansi-Bweya'!E49)</f>
        <v>3.2857142857142856</v>
      </c>
      <c r="F49" s="49">
        <f>AVERAGE('23.09.19 Bweya- Kajansi'!F49,'24.09 Bweya-Kajansi'!F49,'25.09 Bweya-Kajansi'!F49,'27.09 Munyonyo-Kajansi'!F49,'26.09 Munyonyo-Kajansi-24h'!F49,'28.09 Kajansi-Bweya-24h'!F49,'29.09 Kajansi-Bweya'!F49)</f>
        <v>3.2857142857142856</v>
      </c>
      <c r="G49" s="49">
        <f>AVERAGE('23.09.19 Bweya- Kajansi'!G49,'24.09 Bweya-Kajansi'!G49,'25.09 Bweya-Kajansi'!G49,'27.09 Munyonyo-Kajansi'!G49,'26.09 Munyonyo-Kajansi-24h'!G49,'28.09 Kajansi-Bweya-24h'!G49,'29.09 Kajansi-Bweya'!G49)</f>
        <v>0.14285714285714285</v>
      </c>
      <c r="H49" s="49">
        <f>AVERAGE('23.09.19 Bweya- Kajansi'!H49,'24.09 Bweya-Kajansi'!H49,'25.09 Bweya-Kajansi'!H49,'27.09 Munyonyo-Kajansi'!H49,'26.09 Munyonyo-Kajansi-24h'!H49,'28.09 Kajansi-Bweya-24h'!H49,'29.09 Kajansi-Bweya'!H49)</f>
        <v>0.14285714285714285</v>
      </c>
      <c r="I49" s="49">
        <f>AVERAGE('23.09.19 Bweya- Kajansi'!I49,'24.09 Bweya-Kajansi'!I49,'25.09 Bweya-Kajansi'!I49,'27.09 Munyonyo-Kajansi'!I49,'26.09 Munyonyo-Kajansi-24h'!I49,'28.09 Kajansi-Bweya-24h'!I49,'29.09 Kajansi-Bweya'!I49)</f>
        <v>5.1428571428571432</v>
      </c>
      <c r="J49" s="49">
        <f>AVERAGE('23.09.19 Bweya- Kajansi'!J49,'24.09 Bweya-Kajansi'!J49,'25.09 Bweya-Kajansi'!J49,'27.09 Munyonyo-Kajansi'!J49,'26.09 Munyonyo-Kajansi-24h'!J49,'28.09 Kajansi-Bweya-24h'!J49,'29.09 Kajansi-Bweya'!J49)</f>
        <v>1.1428571428571428</v>
      </c>
      <c r="K49" s="49">
        <f>AVERAGE('23.09.19 Bweya- Kajansi'!K49,'24.09 Bweya-Kajansi'!K49,'25.09 Bweya-Kajansi'!K49,'27.09 Munyonyo-Kajansi'!K49,'26.09 Munyonyo-Kajansi-24h'!K49,'28.09 Kajansi-Bweya-24h'!K49,'29.09 Kajansi-Bweya'!K49)</f>
        <v>0.5714285714285714</v>
      </c>
      <c r="L49" s="49">
        <f>AVERAGE('23.09.19 Bweya- Kajansi'!L49,'24.09 Bweya-Kajansi'!L49,'25.09 Bweya-Kajansi'!L49,'27.09 Munyonyo-Kajansi'!L49,'26.09 Munyonyo-Kajansi-24h'!L49,'28.09 Kajansi-Bweya-24h'!L49,'29.09 Kajansi-Bweya'!L49)</f>
        <v>0.14285714285714285</v>
      </c>
      <c r="M49" s="49">
        <f>AVERAGE('23.09.19 Bweya- Kajansi'!M49,'24.09 Bweya-Kajansi'!M49,'25.09 Bweya-Kajansi'!M49,'27.09 Munyonyo-Kajansi'!M49,'26.09 Munyonyo-Kajansi-24h'!M49,'28.09 Kajansi-Bweya-24h'!M49,'29.09 Kajansi-Bweya'!M49)</f>
        <v>27.428571428571427</v>
      </c>
      <c r="N49" s="49">
        <f>AVERAGE('23.09.19 Bweya- Kajansi'!N49,'24.09 Bweya-Kajansi'!N49,'25.09 Bweya-Kajansi'!N49,'27.09 Munyonyo-Kajansi'!N49,'26.09 Munyonyo-Kajansi-24h'!N49,'28.09 Kajansi-Bweya-24h'!N49,'29.09 Kajansi-Bweya'!N49)</f>
        <v>0</v>
      </c>
      <c r="O49" s="15">
        <f t="shared" si="0"/>
        <v>58.428571428571438</v>
      </c>
      <c r="P49" s="15">
        <f t="shared" si="1"/>
        <v>85.857142857142861</v>
      </c>
      <c r="R49" s="8"/>
      <c r="T49"/>
    </row>
    <row r="50" spans="2:20" ht="23.1" customHeight="1" x14ac:dyDescent="0.25">
      <c r="B50" s="24" t="s">
        <v>77</v>
      </c>
      <c r="C50" s="49">
        <f>AVERAGE('23.09.19 Bweya- Kajansi'!C50,'24.09 Bweya-Kajansi'!C50,'25.09 Bweya-Kajansi'!C50,'27.09 Munyonyo-Kajansi'!C50,'26.09 Munyonyo-Kajansi-24h'!C50,'28.09 Kajansi-Bweya-24h'!C50,'29.09 Kajansi-Bweya'!C50)</f>
        <v>35.714285714285715</v>
      </c>
      <c r="D50" s="49">
        <f>AVERAGE('23.09.19 Bweya- Kajansi'!D50,'24.09 Bweya-Kajansi'!D50,'25.09 Bweya-Kajansi'!D50,'27.09 Munyonyo-Kajansi'!D50,'26.09 Munyonyo-Kajansi-24h'!D50,'28.09 Kajansi-Bweya-24h'!D50,'29.09 Kajansi-Bweya'!D50)</f>
        <v>9.8571428571428577</v>
      </c>
      <c r="E50" s="49">
        <f>AVERAGE('23.09.19 Bweya- Kajansi'!E50,'24.09 Bweya-Kajansi'!E50,'25.09 Bweya-Kajansi'!E50,'27.09 Munyonyo-Kajansi'!E50,'26.09 Munyonyo-Kajansi-24h'!E50,'28.09 Kajansi-Bweya-24h'!E50,'29.09 Kajansi-Bweya'!E50)</f>
        <v>5.4285714285714288</v>
      </c>
      <c r="F50" s="49">
        <f>AVERAGE('23.09.19 Bweya- Kajansi'!F50,'24.09 Bweya-Kajansi'!F50,'25.09 Bweya-Kajansi'!F50,'27.09 Munyonyo-Kajansi'!F50,'26.09 Munyonyo-Kajansi-24h'!F50,'28.09 Kajansi-Bweya-24h'!F50,'29.09 Kajansi-Bweya'!F50)</f>
        <v>2</v>
      </c>
      <c r="G50" s="49">
        <f>AVERAGE('23.09.19 Bweya- Kajansi'!G50,'24.09 Bweya-Kajansi'!G50,'25.09 Bweya-Kajansi'!G50,'27.09 Munyonyo-Kajansi'!G50,'26.09 Munyonyo-Kajansi-24h'!G50,'28.09 Kajansi-Bweya-24h'!G50,'29.09 Kajansi-Bweya'!G50)</f>
        <v>0.5714285714285714</v>
      </c>
      <c r="H50" s="49">
        <f>AVERAGE('23.09.19 Bweya- Kajansi'!H50,'24.09 Bweya-Kajansi'!H50,'25.09 Bweya-Kajansi'!H50,'27.09 Munyonyo-Kajansi'!H50,'26.09 Munyonyo-Kajansi-24h'!H50,'28.09 Kajansi-Bweya-24h'!H50,'29.09 Kajansi-Bweya'!H50)</f>
        <v>0.14285714285714285</v>
      </c>
      <c r="I50" s="49">
        <f>AVERAGE('23.09.19 Bweya- Kajansi'!I50,'24.09 Bweya-Kajansi'!I50,'25.09 Bweya-Kajansi'!I50,'27.09 Munyonyo-Kajansi'!I50,'26.09 Munyonyo-Kajansi-24h'!I50,'28.09 Kajansi-Bweya-24h'!I50,'29.09 Kajansi-Bweya'!I50)</f>
        <v>3</v>
      </c>
      <c r="J50" s="49">
        <f>AVERAGE('23.09.19 Bweya- Kajansi'!J50,'24.09 Bweya-Kajansi'!J50,'25.09 Bweya-Kajansi'!J50,'27.09 Munyonyo-Kajansi'!J50,'26.09 Munyonyo-Kajansi-24h'!J50,'28.09 Kajansi-Bweya-24h'!J50,'29.09 Kajansi-Bweya'!J50)</f>
        <v>1.1428571428571428</v>
      </c>
      <c r="K50" s="49">
        <f>AVERAGE('23.09.19 Bweya- Kajansi'!K50,'24.09 Bweya-Kajansi'!K50,'25.09 Bweya-Kajansi'!K50,'27.09 Munyonyo-Kajansi'!K50,'26.09 Munyonyo-Kajansi-24h'!K50,'28.09 Kajansi-Bweya-24h'!K50,'29.09 Kajansi-Bweya'!K50)</f>
        <v>0</v>
      </c>
      <c r="L50" s="49">
        <f>AVERAGE('23.09.19 Bweya- Kajansi'!L50,'24.09 Bweya-Kajansi'!L50,'25.09 Bweya-Kajansi'!L50,'27.09 Munyonyo-Kajansi'!L50,'26.09 Munyonyo-Kajansi-24h'!L50,'28.09 Kajansi-Bweya-24h'!L50,'29.09 Kajansi-Bweya'!L50)</f>
        <v>0</v>
      </c>
      <c r="M50" s="49">
        <f>AVERAGE('23.09.19 Bweya- Kajansi'!M50,'24.09 Bweya-Kajansi'!M50,'25.09 Bweya-Kajansi'!M50,'27.09 Munyonyo-Kajansi'!M50,'26.09 Munyonyo-Kajansi-24h'!M50,'28.09 Kajansi-Bweya-24h'!M50,'29.09 Kajansi-Bweya'!M50)</f>
        <v>35.714285714285715</v>
      </c>
      <c r="N50" s="49">
        <f>AVERAGE('23.09.19 Bweya- Kajansi'!N50,'24.09 Bweya-Kajansi'!N50,'25.09 Bweya-Kajansi'!N50,'27.09 Munyonyo-Kajansi'!N50,'26.09 Munyonyo-Kajansi-24h'!N50,'28.09 Kajansi-Bweya-24h'!N50,'29.09 Kajansi-Bweya'!N50)</f>
        <v>0</v>
      </c>
      <c r="O50" s="15">
        <f t="shared" si="0"/>
        <v>57.857142857142861</v>
      </c>
      <c r="P50" s="15">
        <f t="shared" si="1"/>
        <v>93.571428571428584</v>
      </c>
      <c r="R50" s="8"/>
      <c r="T50"/>
    </row>
    <row r="51" spans="2:20" ht="23.1" customHeight="1" x14ac:dyDescent="0.25">
      <c r="B51" s="24" t="s">
        <v>78</v>
      </c>
      <c r="C51" s="49">
        <f>AVERAGE('23.09.19 Bweya- Kajansi'!C51,'24.09 Bweya-Kajansi'!C51,'25.09 Bweya-Kajansi'!C51,'27.09 Munyonyo-Kajansi'!C51,'26.09 Munyonyo-Kajansi-24h'!C51,'28.09 Kajansi-Bweya-24h'!C51,'29.09 Kajansi-Bweya'!C51)</f>
        <v>45.428571428571431</v>
      </c>
      <c r="D51" s="49">
        <f>AVERAGE('23.09.19 Bweya- Kajansi'!D51,'24.09 Bweya-Kajansi'!D51,'25.09 Bweya-Kajansi'!D51,'27.09 Munyonyo-Kajansi'!D51,'26.09 Munyonyo-Kajansi-24h'!D51,'28.09 Kajansi-Bweya-24h'!D51,'29.09 Kajansi-Bweya'!D51)</f>
        <v>7.8571428571428568</v>
      </c>
      <c r="E51" s="49">
        <f>AVERAGE('23.09.19 Bweya- Kajansi'!E51,'24.09 Bweya-Kajansi'!E51,'25.09 Bweya-Kajansi'!E51,'27.09 Munyonyo-Kajansi'!E51,'26.09 Munyonyo-Kajansi-24h'!E51,'28.09 Kajansi-Bweya-24h'!E51,'29.09 Kajansi-Bweya'!E51)</f>
        <v>4.1428571428571432</v>
      </c>
      <c r="F51" s="49">
        <f>AVERAGE('23.09.19 Bweya- Kajansi'!F51,'24.09 Bweya-Kajansi'!F51,'25.09 Bweya-Kajansi'!F51,'27.09 Munyonyo-Kajansi'!F51,'26.09 Munyonyo-Kajansi-24h'!F51,'28.09 Kajansi-Bweya-24h'!F51,'29.09 Kajansi-Bweya'!F51)</f>
        <v>3</v>
      </c>
      <c r="G51" s="49">
        <f>AVERAGE('23.09.19 Bweya- Kajansi'!G51,'24.09 Bweya-Kajansi'!G51,'25.09 Bweya-Kajansi'!G51,'27.09 Munyonyo-Kajansi'!G51,'26.09 Munyonyo-Kajansi-24h'!G51,'28.09 Kajansi-Bweya-24h'!G51,'29.09 Kajansi-Bweya'!G51)</f>
        <v>0.7142857142857143</v>
      </c>
      <c r="H51" s="49">
        <f>AVERAGE('23.09.19 Bweya- Kajansi'!H51,'24.09 Bweya-Kajansi'!H51,'25.09 Bweya-Kajansi'!H51,'27.09 Munyonyo-Kajansi'!H51,'26.09 Munyonyo-Kajansi-24h'!H51,'28.09 Kajansi-Bweya-24h'!H51,'29.09 Kajansi-Bweya'!H51)</f>
        <v>0.14285714285714285</v>
      </c>
      <c r="I51" s="49">
        <f>AVERAGE('23.09.19 Bweya- Kajansi'!I51,'24.09 Bweya-Kajansi'!I51,'25.09 Bweya-Kajansi'!I51,'27.09 Munyonyo-Kajansi'!I51,'26.09 Munyonyo-Kajansi-24h'!I51,'28.09 Kajansi-Bweya-24h'!I51,'29.09 Kajansi-Bweya'!I51)</f>
        <v>5.7142857142857144</v>
      </c>
      <c r="J51" s="49">
        <f>AVERAGE('23.09.19 Bweya- Kajansi'!J51,'24.09 Bweya-Kajansi'!J51,'25.09 Bweya-Kajansi'!J51,'27.09 Munyonyo-Kajansi'!J51,'26.09 Munyonyo-Kajansi-24h'!J51,'28.09 Kajansi-Bweya-24h'!J51,'29.09 Kajansi-Bweya'!J51)</f>
        <v>0.7142857142857143</v>
      </c>
      <c r="K51" s="49">
        <f>AVERAGE('23.09.19 Bweya- Kajansi'!K51,'24.09 Bweya-Kajansi'!K51,'25.09 Bweya-Kajansi'!K51,'27.09 Munyonyo-Kajansi'!K51,'26.09 Munyonyo-Kajansi-24h'!K51,'28.09 Kajansi-Bweya-24h'!K51,'29.09 Kajansi-Bweya'!K51)</f>
        <v>0.2857142857142857</v>
      </c>
      <c r="L51" s="49">
        <f>AVERAGE('23.09.19 Bweya- Kajansi'!L51,'24.09 Bweya-Kajansi'!L51,'25.09 Bweya-Kajansi'!L51,'27.09 Munyonyo-Kajansi'!L51,'26.09 Munyonyo-Kajansi-24h'!L51,'28.09 Kajansi-Bweya-24h'!L51,'29.09 Kajansi-Bweya'!L51)</f>
        <v>0.14285714285714285</v>
      </c>
      <c r="M51" s="49">
        <f>AVERAGE('23.09.19 Bweya- Kajansi'!M51,'24.09 Bweya-Kajansi'!M51,'25.09 Bweya-Kajansi'!M51,'27.09 Munyonyo-Kajansi'!M51,'26.09 Munyonyo-Kajansi-24h'!M51,'28.09 Kajansi-Bweya-24h'!M51,'29.09 Kajansi-Bweya'!M51)</f>
        <v>38.857142857142854</v>
      </c>
      <c r="N51" s="49">
        <f>AVERAGE('23.09.19 Bweya- Kajansi'!N51,'24.09 Bweya-Kajansi'!N51,'25.09 Bweya-Kajansi'!N51,'27.09 Munyonyo-Kajansi'!N51,'26.09 Munyonyo-Kajansi-24h'!N51,'28.09 Kajansi-Bweya-24h'!N51,'29.09 Kajansi-Bweya'!N51)</f>
        <v>0</v>
      </c>
      <c r="O51" s="15">
        <f t="shared" si="0"/>
        <v>68.142857142857139</v>
      </c>
      <c r="P51" s="15">
        <f t="shared" si="1"/>
        <v>107</v>
      </c>
      <c r="R51" s="8"/>
      <c r="T51"/>
    </row>
    <row r="52" spans="2:20" ht="23.1" customHeight="1" x14ac:dyDescent="0.25">
      <c r="B52" s="24" t="s">
        <v>79</v>
      </c>
      <c r="C52" s="49">
        <f>AVERAGE('23.09.19 Bweya- Kajansi'!C52,'24.09 Bweya-Kajansi'!C52,'25.09 Bweya-Kajansi'!C52,'27.09 Munyonyo-Kajansi'!C52,'26.09 Munyonyo-Kajansi-24h'!C52,'28.09 Kajansi-Bweya-24h'!C52,'29.09 Kajansi-Bweya'!C52)</f>
        <v>43.285714285714285</v>
      </c>
      <c r="D52" s="49">
        <f>AVERAGE('23.09.19 Bweya- Kajansi'!D52,'24.09 Bweya-Kajansi'!D52,'25.09 Bweya-Kajansi'!D52,'27.09 Munyonyo-Kajansi'!D52,'26.09 Munyonyo-Kajansi-24h'!D52,'28.09 Kajansi-Bweya-24h'!D52,'29.09 Kajansi-Bweya'!D52)</f>
        <v>8.8571428571428577</v>
      </c>
      <c r="E52" s="49">
        <f>AVERAGE('23.09.19 Bweya- Kajansi'!E52,'24.09 Bweya-Kajansi'!E52,'25.09 Bweya-Kajansi'!E52,'27.09 Munyonyo-Kajansi'!E52,'26.09 Munyonyo-Kajansi-24h'!E52,'28.09 Kajansi-Bweya-24h'!E52,'29.09 Kajansi-Bweya'!E52)</f>
        <v>4.2857142857142856</v>
      </c>
      <c r="F52" s="49">
        <f>AVERAGE('23.09.19 Bweya- Kajansi'!F52,'24.09 Bweya-Kajansi'!F52,'25.09 Bweya-Kajansi'!F52,'27.09 Munyonyo-Kajansi'!F52,'26.09 Munyonyo-Kajansi-24h'!F52,'28.09 Kajansi-Bweya-24h'!F52,'29.09 Kajansi-Bweya'!F52)</f>
        <v>1.5714285714285714</v>
      </c>
      <c r="G52" s="49">
        <f>AVERAGE('23.09.19 Bweya- Kajansi'!G52,'24.09 Bweya-Kajansi'!G52,'25.09 Bweya-Kajansi'!G52,'27.09 Munyonyo-Kajansi'!G52,'26.09 Munyonyo-Kajansi-24h'!G52,'28.09 Kajansi-Bweya-24h'!G52,'29.09 Kajansi-Bweya'!G52)</f>
        <v>0.8571428571428571</v>
      </c>
      <c r="H52" s="49">
        <f>AVERAGE('23.09.19 Bweya- Kajansi'!H52,'24.09 Bweya-Kajansi'!H52,'25.09 Bweya-Kajansi'!H52,'27.09 Munyonyo-Kajansi'!H52,'26.09 Munyonyo-Kajansi-24h'!H52,'28.09 Kajansi-Bweya-24h'!H52,'29.09 Kajansi-Bweya'!H52)</f>
        <v>1.2857142857142858</v>
      </c>
      <c r="I52" s="49">
        <f>AVERAGE('23.09.19 Bweya- Kajansi'!I52,'24.09 Bweya-Kajansi'!I52,'25.09 Bweya-Kajansi'!I52,'27.09 Munyonyo-Kajansi'!I52,'26.09 Munyonyo-Kajansi-24h'!I52,'28.09 Kajansi-Bweya-24h'!I52,'29.09 Kajansi-Bweya'!I52)</f>
        <v>3.4285714285714284</v>
      </c>
      <c r="J52" s="49">
        <f>AVERAGE('23.09.19 Bweya- Kajansi'!J52,'24.09 Bweya-Kajansi'!J52,'25.09 Bweya-Kajansi'!J52,'27.09 Munyonyo-Kajansi'!J52,'26.09 Munyonyo-Kajansi-24h'!J52,'28.09 Kajansi-Bweya-24h'!J52,'29.09 Kajansi-Bweya'!J52)</f>
        <v>1.4285714285714286</v>
      </c>
      <c r="K52" s="49">
        <f>AVERAGE('23.09.19 Bweya- Kajansi'!K52,'24.09 Bweya-Kajansi'!K52,'25.09 Bweya-Kajansi'!K52,'27.09 Munyonyo-Kajansi'!K52,'26.09 Munyonyo-Kajansi-24h'!K52,'28.09 Kajansi-Bweya-24h'!K52,'29.09 Kajansi-Bweya'!K52)</f>
        <v>0.2857142857142857</v>
      </c>
      <c r="L52" s="49">
        <f>AVERAGE('23.09.19 Bweya- Kajansi'!L52,'24.09 Bweya-Kajansi'!L52,'25.09 Bweya-Kajansi'!L52,'27.09 Munyonyo-Kajansi'!L52,'26.09 Munyonyo-Kajansi-24h'!L52,'28.09 Kajansi-Bweya-24h'!L52,'29.09 Kajansi-Bweya'!L52)</f>
        <v>0</v>
      </c>
      <c r="M52" s="49">
        <f>AVERAGE('23.09.19 Bweya- Kajansi'!M52,'24.09 Bweya-Kajansi'!M52,'25.09 Bweya-Kajansi'!M52,'27.09 Munyonyo-Kajansi'!M52,'26.09 Munyonyo-Kajansi-24h'!M52,'28.09 Kajansi-Bweya-24h'!M52,'29.09 Kajansi-Bweya'!M52)</f>
        <v>36.428571428571431</v>
      </c>
      <c r="N52" s="49">
        <f>AVERAGE('23.09.19 Bweya- Kajansi'!N52,'24.09 Bweya-Kajansi'!N52,'25.09 Bweya-Kajansi'!N52,'27.09 Munyonyo-Kajansi'!N52,'26.09 Munyonyo-Kajansi-24h'!N52,'28.09 Kajansi-Bweya-24h'!N52,'29.09 Kajansi-Bweya'!N52)</f>
        <v>0</v>
      </c>
      <c r="O52" s="15">
        <f t="shared" si="0"/>
        <v>65.285714285714278</v>
      </c>
      <c r="P52" s="15">
        <f t="shared" si="1"/>
        <v>101.71428571428571</v>
      </c>
      <c r="R52" s="8"/>
      <c r="T52"/>
    </row>
    <row r="53" spans="2:20" ht="23.1" customHeight="1" x14ac:dyDescent="0.25">
      <c r="B53" s="23" t="s">
        <v>80</v>
      </c>
      <c r="C53" s="49">
        <f>AVERAGE('23.09.19 Bweya- Kajansi'!C53,'24.09 Bweya-Kajansi'!C53,'25.09 Bweya-Kajansi'!C53,'27.09 Munyonyo-Kajansi'!C53,'26.09 Munyonyo-Kajansi-24h'!C53,'28.09 Kajansi-Bweya-24h'!C53,'29.09 Kajansi-Bweya'!C53)</f>
        <v>42.571428571428569</v>
      </c>
      <c r="D53" s="49">
        <f>AVERAGE('23.09.19 Bweya- Kajansi'!D53,'24.09 Bweya-Kajansi'!D53,'25.09 Bweya-Kajansi'!D53,'27.09 Munyonyo-Kajansi'!D53,'26.09 Munyonyo-Kajansi-24h'!D53,'28.09 Kajansi-Bweya-24h'!D53,'29.09 Kajansi-Bweya'!D53)</f>
        <v>9.1428571428571423</v>
      </c>
      <c r="E53" s="49">
        <f>AVERAGE('23.09.19 Bweya- Kajansi'!E53,'24.09 Bweya-Kajansi'!E53,'25.09 Bweya-Kajansi'!E53,'27.09 Munyonyo-Kajansi'!E53,'26.09 Munyonyo-Kajansi-24h'!E53,'28.09 Kajansi-Bweya-24h'!E53,'29.09 Kajansi-Bweya'!E53)</f>
        <v>5.7142857142857144</v>
      </c>
      <c r="F53" s="49">
        <f>AVERAGE('23.09.19 Bweya- Kajansi'!F53,'24.09 Bweya-Kajansi'!F53,'25.09 Bweya-Kajansi'!F53,'27.09 Munyonyo-Kajansi'!F53,'26.09 Munyonyo-Kajansi-24h'!F53,'28.09 Kajansi-Bweya-24h'!F53,'29.09 Kajansi-Bweya'!F53)</f>
        <v>2.8571428571428572</v>
      </c>
      <c r="G53" s="49">
        <f>AVERAGE('23.09.19 Bweya- Kajansi'!G53,'24.09 Bweya-Kajansi'!G53,'25.09 Bweya-Kajansi'!G53,'27.09 Munyonyo-Kajansi'!G53,'26.09 Munyonyo-Kajansi-24h'!G53,'28.09 Kajansi-Bweya-24h'!G53,'29.09 Kajansi-Bweya'!G53)</f>
        <v>1</v>
      </c>
      <c r="H53" s="49">
        <f>AVERAGE('23.09.19 Bweya- Kajansi'!H53,'24.09 Bweya-Kajansi'!H53,'25.09 Bweya-Kajansi'!H53,'27.09 Munyonyo-Kajansi'!H53,'26.09 Munyonyo-Kajansi-24h'!H53,'28.09 Kajansi-Bweya-24h'!H53,'29.09 Kajansi-Bweya'!H53)</f>
        <v>0.14285714285714285</v>
      </c>
      <c r="I53" s="49">
        <f>AVERAGE('23.09.19 Bweya- Kajansi'!I53,'24.09 Bweya-Kajansi'!I53,'25.09 Bweya-Kajansi'!I53,'27.09 Munyonyo-Kajansi'!I53,'26.09 Munyonyo-Kajansi-24h'!I53,'28.09 Kajansi-Bweya-24h'!I53,'29.09 Kajansi-Bweya'!I53)</f>
        <v>4.4285714285714288</v>
      </c>
      <c r="J53" s="49">
        <f>AVERAGE('23.09.19 Bweya- Kajansi'!J53,'24.09 Bweya-Kajansi'!J53,'25.09 Bweya-Kajansi'!J53,'27.09 Munyonyo-Kajansi'!J53,'26.09 Munyonyo-Kajansi-24h'!J53,'28.09 Kajansi-Bweya-24h'!J53,'29.09 Kajansi-Bweya'!J53)</f>
        <v>0.5714285714285714</v>
      </c>
      <c r="K53" s="49">
        <f>AVERAGE('23.09.19 Bweya- Kajansi'!K53,'24.09 Bweya-Kajansi'!K53,'25.09 Bweya-Kajansi'!K53,'27.09 Munyonyo-Kajansi'!K53,'26.09 Munyonyo-Kajansi-24h'!K53,'28.09 Kajansi-Bweya-24h'!K53,'29.09 Kajansi-Bweya'!K53)</f>
        <v>0</v>
      </c>
      <c r="L53" s="49">
        <f>AVERAGE('23.09.19 Bweya- Kajansi'!L53,'24.09 Bweya-Kajansi'!L53,'25.09 Bweya-Kajansi'!L53,'27.09 Munyonyo-Kajansi'!L53,'26.09 Munyonyo-Kajansi-24h'!L53,'28.09 Kajansi-Bweya-24h'!L53,'29.09 Kajansi-Bweya'!L53)</f>
        <v>0.14285714285714285</v>
      </c>
      <c r="M53" s="49">
        <f>AVERAGE('23.09.19 Bweya- Kajansi'!M53,'24.09 Bweya-Kajansi'!M53,'25.09 Bweya-Kajansi'!M53,'27.09 Munyonyo-Kajansi'!M53,'26.09 Munyonyo-Kajansi-24h'!M53,'28.09 Kajansi-Bweya-24h'!M53,'29.09 Kajansi-Bweya'!M53)</f>
        <v>38.857142857142854</v>
      </c>
      <c r="N53" s="49">
        <f>AVERAGE('23.09.19 Bweya- Kajansi'!N53,'24.09 Bweya-Kajansi'!N53,'25.09 Bweya-Kajansi'!N53,'27.09 Munyonyo-Kajansi'!N53,'26.09 Munyonyo-Kajansi-24h'!N53,'28.09 Kajansi-Bweya-24h'!N53,'29.09 Kajansi-Bweya'!N53)</f>
        <v>0</v>
      </c>
      <c r="O53" s="15">
        <f t="shared" si="0"/>
        <v>66.571428571428555</v>
      </c>
      <c r="P53" s="15">
        <f t="shared" si="1"/>
        <v>105.42857142857142</v>
      </c>
      <c r="R53" s="8"/>
      <c r="T53"/>
    </row>
    <row r="54" spans="2:20" ht="23.1" customHeight="1" x14ac:dyDescent="0.25">
      <c r="B54" s="23" t="s">
        <v>81</v>
      </c>
      <c r="C54" s="49">
        <f>AVERAGE('23.09.19 Bweya- Kajansi'!C54,'24.09 Bweya-Kajansi'!C54,'25.09 Bweya-Kajansi'!C54,'27.09 Munyonyo-Kajansi'!C54,'26.09 Munyonyo-Kajansi-24h'!C54,'28.09 Kajansi-Bweya-24h'!C54,'29.09 Kajansi-Bweya'!C54)</f>
        <v>40.285714285714285</v>
      </c>
      <c r="D54" s="49">
        <f>AVERAGE('23.09.19 Bweya- Kajansi'!D54,'24.09 Bweya-Kajansi'!D54,'25.09 Bweya-Kajansi'!D54,'27.09 Munyonyo-Kajansi'!D54,'26.09 Munyonyo-Kajansi-24h'!D54,'28.09 Kajansi-Bweya-24h'!D54,'29.09 Kajansi-Bweya'!D54)</f>
        <v>6.2857142857142856</v>
      </c>
      <c r="E54" s="49">
        <f>AVERAGE('23.09.19 Bweya- Kajansi'!E54,'24.09 Bweya-Kajansi'!E54,'25.09 Bweya-Kajansi'!E54,'27.09 Munyonyo-Kajansi'!E54,'26.09 Munyonyo-Kajansi-24h'!E54,'28.09 Kajansi-Bweya-24h'!E54,'29.09 Kajansi-Bweya'!E54)</f>
        <v>5.4285714285714288</v>
      </c>
      <c r="F54" s="49">
        <f>AVERAGE('23.09.19 Bweya- Kajansi'!F54,'24.09 Bweya-Kajansi'!F54,'25.09 Bweya-Kajansi'!F54,'27.09 Munyonyo-Kajansi'!F54,'26.09 Munyonyo-Kajansi-24h'!F54,'28.09 Kajansi-Bweya-24h'!F54,'29.09 Kajansi-Bweya'!F54)</f>
        <v>2.8571428571428572</v>
      </c>
      <c r="G54" s="49">
        <f>AVERAGE('23.09.19 Bweya- Kajansi'!G54,'24.09 Bweya-Kajansi'!G54,'25.09 Bweya-Kajansi'!G54,'27.09 Munyonyo-Kajansi'!G54,'26.09 Munyonyo-Kajansi-24h'!G54,'28.09 Kajansi-Bweya-24h'!G54,'29.09 Kajansi-Bweya'!G54)</f>
        <v>0.7142857142857143</v>
      </c>
      <c r="H54" s="49">
        <f>AVERAGE('23.09.19 Bweya- Kajansi'!H54,'24.09 Bweya-Kajansi'!H54,'25.09 Bweya-Kajansi'!H54,'27.09 Munyonyo-Kajansi'!H54,'26.09 Munyonyo-Kajansi-24h'!H54,'28.09 Kajansi-Bweya-24h'!H54,'29.09 Kajansi-Bweya'!H54)</f>
        <v>0</v>
      </c>
      <c r="I54" s="49">
        <f>AVERAGE('23.09.19 Bweya- Kajansi'!I54,'24.09 Bweya-Kajansi'!I54,'25.09 Bweya-Kajansi'!I54,'27.09 Munyonyo-Kajansi'!I54,'26.09 Munyonyo-Kajansi-24h'!I54,'28.09 Kajansi-Bweya-24h'!I54,'29.09 Kajansi-Bweya'!I54)</f>
        <v>3.5714285714285716</v>
      </c>
      <c r="J54" s="49">
        <f>AVERAGE('23.09.19 Bweya- Kajansi'!J54,'24.09 Bweya-Kajansi'!J54,'25.09 Bweya-Kajansi'!J54,'27.09 Munyonyo-Kajansi'!J54,'26.09 Munyonyo-Kajansi-24h'!J54,'28.09 Kajansi-Bweya-24h'!J54,'29.09 Kajansi-Bweya'!J54)</f>
        <v>0.2857142857142857</v>
      </c>
      <c r="K54" s="49">
        <f>AVERAGE('23.09.19 Bweya- Kajansi'!K54,'24.09 Bweya-Kajansi'!K54,'25.09 Bweya-Kajansi'!K54,'27.09 Munyonyo-Kajansi'!K54,'26.09 Munyonyo-Kajansi-24h'!K54,'28.09 Kajansi-Bweya-24h'!K54,'29.09 Kajansi-Bweya'!K54)</f>
        <v>0.14285714285714285</v>
      </c>
      <c r="L54" s="49">
        <f>AVERAGE('23.09.19 Bweya- Kajansi'!L54,'24.09 Bweya-Kajansi'!L54,'25.09 Bweya-Kajansi'!L54,'27.09 Munyonyo-Kajansi'!L54,'26.09 Munyonyo-Kajansi-24h'!L54,'28.09 Kajansi-Bweya-24h'!L54,'29.09 Kajansi-Bweya'!L54)</f>
        <v>0</v>
      </c>
      <c r="M54" s="49">
        <f>AVERAGE('23.09.19 Bweya- Kajansi'!M54,'24.09 Bweya-Kajansi'!M54,'25.09 Bweya-Kajansi'!M54,'27.09 Munyonyo-Kajansi'!M54,'26.09 Munyonyo-Kajansi-24h'!M54,'28.09 Kajansi-Bweya-24h'!M54,'29.09 Kajansi-Bweya'!M54)</f>
        <v>34.428571428571431</v>
      </c>
      <c r="N54" s="49">
        <f>AVERAGE('23.09.19 Bweya- Kajansi'!N54,'24.09 Bweya-Kajansi'!N54,'25.09 Bweya-Kajansi'!N54,'27.09 Munyonyo-Kajansi'!N54,'26.09 Munyonyo-Kajansi-24h'!N54,'28.09 Kajansi-Bweya-24h'!N54,'29.09 Kajansi-Bweya'!N54)</f>
        <v>0</v>
      </c>
      <c r="O54" s="15">
        <f t="shared" si="0"/>
        <v>59.571428571428569</v>
      </c>
      <c r="P54" s="15">
        <f t="shared" si="1"/>
        <v>94</v>
      </c>
      <c r="R54" s="8"/>
      <c r="T54"/>
    </row>
    <row r="55" spans="2:20" ht="23.1" customHeight="1" x14ac:dyDescent="0.25">
      <c r="B55" s="23" t="s">
        <v>82</v>
      </c>
      <c r="C55" s="49">
        <f>AVERAGE('23.09.19 Bweya- Kajansi'!C55,'24.09 Bweya-Kajansi'!C55,'25.09 Bweya-Kajansi'!C55,'27.09 Munyonyo-Kajansi'!C55,'26.09 Munyonyo-Kajansi-24h'!C55,'28.09 Kajansi-Bweya-24h'!C55,'29.09 Kajansi-Bweya'!C55)</f>
        <v>45.571428571428569</v>
      </c>
      <c r="D55" s="49">
        <f>AVERAGE('23.09.19 Bweya- Kajansi'!D55,'24.09 Bweya-Kajansi'!D55,'25.09 Bweya-Kajansi'!D55,'27.09 Munyonyo-Kajansi'!D55,'26.09 Munyonyo-Kajansi-24h'!D55,'28.09 Kajansi-Bweya-24h'!D55,'29.09 Kajansi-Bweya'!D55)</f>
        <v>7.4285714285714288</v>
      </c>
      <c r="E55" s="49">
        <f>AVERAGE('23.09.19 Bweya- Kajansi'!E55,'24.09 Bweya-Kajansi'!E55,'25.09 Bweya-Kajansi'!E55,'27.09 Munyonyo-Kajansi'!E55,'26.09 Munyonyo-Kajansi-24h'!E55,'28.09 Kajansi-Bweya-24h'!E55,'29.09 Kajansi-Bweya'!E55)</f>
        <v>4.8571428571428568</v>
      </c>
      <c r="F55" s="49">
        <f>AVERAGE('23.09.19 Bweya- Kajansi'!F55,'24.09 Bweya-Kajansi'!F55,'25.09 Bweya-Kajansi'!F55,'27.09 Munyonyo-Kajansi'!F55,'26.09 Munyonyo-Kajansi-24h'!F55,'28.09 Kajansi-Bweya-24h'!F55,'29.09 Kajansi-Bweya'!F55)</f>
        <v>2.8571428571428572</v>
      </c>
      <c r="G55" s="49">
        <f>AVERAGE('23.09.19 Bweya- Kajansi'!G55,'24.09 Bweya-Kajansi'!G55,'25.09 Bweya-Kajansi'!G55,'27.09 Munyonyo-Kajansi'!G55,'26.09 Munyonyo-Kajansi-24h'!G55,'28.09 Kajansi-Bweya-24h'!G55,'29.09 Kajansi-Bweya'!G55)</f>
        <v>0.2857142857142857</v>
      </c>
      <c r="H55" s="49">
        <f>AVERAGE('23.09.19 Bweya- Kajansi'!H55,'24.09 Bweya-Kajansi'!H55,'25.09 Bweya-Kajansi'!H55,'27.09 Munyonyo-Kajansi'!H55,'26.09 Munyonyo-Kajansi-24h'!H55,'28.09 Kajansi-Bweya-24h'!H55,'29.09 Kajansi-Bweya'!H55)</f>
        <v>0.14285714285714285</v>
      </c>
      <c r="I55" s="49">
        <f>AVERAGE('23.09.19 Bweya- Kajansi'!I55,'24.09 Bweya-Kajansi'!I55,'25.09 Bweya-Kajansi'!I55,'27.09 Munyonyo-Kajansi'!I55,'26.09 Munyonyo-Kajansi-24h'!I55,'28.09 Kajansi-Bweya-24h'!I55,'29.09 Kajansi-Bweya'!I55)</f>
        <v>2.8571428571428572</v>
      </c>
      <c r="J55" s="49">
        <f>AVERAGE('23.09.19 Bweya- Kajansi'!J55,'24.09 Bweya-Kajansi'!J55,'25.09 Bweya-Kajansi'!J55,'27.09 Munyonyo-Kajansi'!J55,'26.09 Munyonyo-Kajansi-24h'!J55,'28.09 Kajansi-Bweya-24h'!J55,'29.09 Kajansi-Bweya'!J55)</f>
        <v>0.7142857142857143</v>
      </c>
      <c r="K55" s="49">
        <f>AVERAGE('23.09.19 Bweya- Kajansi'!K55,'24.09 Bweya-Kajansi'!K55,'25.09 Bweya-Kajansi'!K55,'27.09 Munyonyo-Kajansi'!K55,'26.09 Munyonyo-Kajansi-24h'!K55,'28.09 Kajansi-Bweya-24h'!K55,'29.09 Kajansi-Bweya'!K55)</f>
        <v>0.2857142857142857</v>
      </c>
      <c r="L55" s="49">
        <f>AVERAGE('23.09.19 Bweya- Kajansi'!L55,'24.09 Bweya-Kajansi'!L55,'25.09 Bweya-Kajansi'!L55,'27.09 Munyonyo-Kajansi'!L55,'26.09 Munyonyo-Kajansi-24h'!L55,'28.09 Kajansi-Bweya-24h'!L55,'29.09 Kajansi-Bweya'!L55)</f>
        <v>0</v>
      </c>
      <c r="M55" s="49">
        <f>AVERAGE('23.09.19 Bweya- Kajansi'!M55,'24.09 Bweya-Kajansi'!M55,'25.09 Bweya-Kajansi'!M55,'27.09 Munyonyo-Kajansi'!M55,'26.09 Munyonyo-Kajansi-24h'!M55,'28.09 Kajansi-Bweya-24h'!M55,'29.09 Kajansi-Bweya'!M55)</f>
        <v>40</v>
      </c>
      <c r="N55" s="49">
        <f>AVERAGE('23.09.19 Bweya- Kajansi'!N55,'24.09 Bweya-Kajansi'!N55,'25.09 Bweya-Kajansi'!N55,'27.09 Munyonyo-Kajansi'!N55,'26.09 Munyonyo-Kajansi-24h'!N55,'28.09 Kajansi-Bweya-24h'!N55,'29.09 Kajansi-Bweya'!N55)</f>
        <v>0</v>
      </c>
      <c r="O55" s="15">
        <f t="shared" si="0"/>
        <v>65</v>
      </c>
      <c r="P55" s="15">
        <f t="shared" si="1"/>
        <v>105</v>
      </c>
      <c r="R55" s="8"/>
      <c r="T55"/>
    </row>
    <row r="56" spans="2:20" ht="23.1" customHeight="1" x14ac:dyDescent="0.25">
      <c r="B56" s="23" t="s">
        <v>83</v>
      </c>
      <c r="C56" s="49">
        <f>AVERAGE('23.09.19 Bweya- Kajansi'!C56,'24.09 Bweya-Kajansi'!C56,'25.09 Bweya-Kajansi'!C56,'27.09 Munyonyo-Kajansi'!C56,'26.09 Munyonyo-Kajansi-24h'!C56,'28.09 Kajansi-Bweya-24h'!C56,'29.09 Kajansi-Bweya'!C56)</f>
        <v>50.428571428571431</v>
      </c>
      <c r="D56" s="49">
        <f>AVERAGE('23.09.19 Bweya- Kajansi'!D56,'24.09 Bweya-Kajansi'!D56,'25.09 Bweya-Kajansi'!D56,'27.09 Munyonyo-Kajansi'!D56,'26.09 Munyonyo-Kajansi-24h'!D56,'28.09 Kajansi-Bweya-24h'!D56,'29.09 Kajansi-Bweya'!D56)</f>
        <v>8.5714285714285712</v>
      </c>
      <c r="E56" s="49">
        <f>AVERAGE('23.09.19 Bweya- Kajansi'!E56,'24.09 Bweya-Kajansi'!E56,'25.09 Bweya-Kajansi'!E56,'27.09 Munyonyo-Kajansi'!E56,'26.09 Munyonyo-Kajansi-24h'!E56,'28.09 Kajansi-Bweya-24h'!E56,'29.09 Kajansi-Bweya'!E56)</f>
        <v>4.8571428571428568</v>
      </c>
      <c r="F56" s="49">
        <f>AVERAGE('23.09.19 Bweya- Kajansi'!F56,'24.09 Bweya-Kajansi'!F56,'25.09 Bweya-Kajansi'!F56,'27.09 Munyonyo-Kajansi'!F56,'26.09 Munyonyo-Kajansi-24h'!F56,'28.09 Kajansi-Bweya-24h'!F56,'29.09 Kajansi-Bweya'!F56)</f>
        <v>2.4285714285714284</v>
      </c>
      <c r="G56" s="49">
        <f>AVERAGE('23.09.19 Bweya- Kajansi'!G56,'24.09 Bweya-Kajansi'!G56,'25.09 Bweya-Kajansi'!G56,'27.09 Munyonyo-Kajansi'!G56,'26.09 Munyonyo-Kajansi-24h'!G56,'28.09 Kajansi-Bweya-24h'!G56,'29.09 Kajansi-Bweya'!G56)</f>
        <v>0.14285714285714285</v>
      </c>
      <c r="H56" s="49">
        <f>AVERAGE('23.09.19 Bweya- Kajansi'!H56,'24.09 Bweya-Kajansi'!H56,'25.09 Bweya-Kajansi'!H56,'27.09 Munyonyo-Kajansi'!H56,'26.09 Munyonyo-Kajansi-24h'!H56,'28.09 Kajansi-Bweya-24h'!H56,'29.09 Kajansi-Bweya'!H56)</f>
        <v>0.14285714285714285</v>
      </c>
      <c r="I56" s="49">
        <f>AVERAGE('23.09.19 Bweya- Kajansi'!I56,'24.09 Bweya-Kajansi'!I56,'25.09 Bweya-Kajansi'!I56,'27.09 Munyonyo-Kajansi'!I56,'26.09 Munyonyo-Kajansi-24h'!I56,'28.09 Kajansi-Bweya-24h'!I56,'29.09 Kajansi-Bweya'!I56)</f>
        <v>2.7142857142857144</v>
      </c>
      <c r="J56" s="49">
        <f>AVERAGE('23.09.19 Bweya- Kajansi'!J56,'24.09 Bweya-Kajansi'!J56,'25.09 Bweya-Kajansi'!J56,'27.09 Munyonyo-Kajansi'!J56,'26.09 Munyonyo-Kajansi-24h'!J56,'28.09 Kajansi-Bweya-24h'!J56,'29.09 Kajansi-Bweya'!J56)</f>
        <v>0.7142857142857143</v>
      </c>
      <c r="K56" s="49">
        <f>AVERAGE('23.09.19 Bweya- Kajansi'!K56,'24.09 Bweya-Kajansi'!K56,'25.09 Bweya-Kajansi'!K56,'27.09 Munyonyo-Kajansi'!K56,'26.09 Munyonyo-Kajansi-24h'!K56,'28.09 Kajansi-Bweya-24h'!K56,'29.09 Kajansi-Bweya'!K56)</f>
        <v>0</v>
      </c>
      <c r="L56" s="49">
        <f>AVERAGE('23.09.19 Bweya- Kajansi'!L56,'24.09 Bweya-Kajansi'!L56,'25.09 Bweya-Kajansi'!L56,'27.09 Munyonyo-Kajansi'!L56,'26.09 Munyonyo-Kajansi-24h'!L56,'28.09 Kajansi-Bweya-24h'!L56,'29.09 Kajansi-Bweya'!L56)</f>
        <v>0.14285714285714285</v>
      </c>
      <c r="M56" s="49">
        <f>AVERAGE('23.09.19 Bweya- Kajansi'!M56,'24.09 Bweya-Kajansi'!M56,'25.09 Bweya-Kajansi'!M56,'27.09 Munyonyo-Kajansi'!M56,'26.09 Munyonyo-Kajansi-24h'!M56,'28.09 Kajansi-Bweya-24h'!M56,'29.09 Kajansi-Bweya'!M56)</f>
        <v>44.714285714285715</v>
      </c>
      <c r="N56" s="49">
        <f>AVERAGE('23.09.19 Bweya- Kajansi'!N56,'24.09 Bweya-Kajansi'!N56,'25.09 Bweya-Kajansi'!N56,'27.09 Munyonyo-Kajansi'!N56,'26.09 Munyonyo-Kajansi-24h'!N56,'28.09 Kajansi-Bweya-24h'!N56,'29.09 Kajansi-Bweya'!N56)</f>
        <v>0</v>
      </c>
      <c r="O56" s="15">
        <f t="shared" si="0"/>
        <v>70.14285714285711</v>
      </c>
      <c r="P56" s="15">
        <f t="shared" si="1"/>
        <v>114.85714285714283</v>
      </c>
      <c r="R56" s="8"/>
      <c r="T56"/>
    </row>
    <row r="57" spans="2:20" ht="23.1" customHeight="1" x14ac:dyDescent="0.25">
      <c r="B57" s="23" t="s">
        <v>84</v>
      </c>
      <c r="C57" s="49">
        <f>AVERAGE('23.09.19 Bweya- Kajansi'!C57,'24.09 Bweya-Kajansi'!C57,'25.09 Bweya-Kajansi'!C57,'27.09 Munyonyo-Kajansi'!C57,'26.09 Munyonyo-Kajansi-24h'!C57,'28.09 Kajansi-Bweya-24h'!C57,'29.09 Kajansi-Bweya'!C57)</f>
        <v>45.142857142857146</v>
      </c>
      <c r="D57" s="49">
        <f>AVERAGE('23.09.19 Bweya- Kajansi'!D57,'24.09 Bweya-Kajansi'!D57,'25.09 Bweya-Kajansi'!D57,'27.09 Munyonyo-Kajansi'!D57,'26.09 Munyonyo-Kajansi-24h'!D57,'28.09 Kajansi-Bweya-24h'!D57,'29.09 Kajansi-Bweya'!D57)</f>
        <v>7.7142857142857144</v>
      </c>
      <c r="E57" s="49">
        <f>AVERAGE('23.09.19 Bweya- Kajansi'!E57,'24.09 Bweya-Kajansi'!E57,'25.09 Bweya-Kajansi'!E57,'27.09 Munyonyo-Kajansi'!E57,'26.09 Munyonyo-Kajansi-24h'!E57,'28.09 Kajansi-Bweya-24h'!E57,'29.09 Kajansi-Bweya'!E57)</f>
        <v>6.1428571428571432</v>
      </c>
      <c r="F57" s="49">
        <f>AVERAGE('23.09.19 Bweya- Kajansi'!F57,'24.09 Bweya-Kajansi'!F57,'25.09 Bweya-Kajansi'!F57,'27.09 Munyonyo-Kajansi'!F57,'26.09 Munyonyo-Kajansi-24h'!F57,'28.09 Kajansi-Bweya-24h'!F57,'29.09 Kajansi-Bweya'!F57)</f>
        <v>1.5714285714285714</v>
      </c>
      <c r="G57" s="49">
        <f>AVERAGE('23.09.19 Bweya- Kajansi'!G57,'24.09 Bweya-Kajansi'!G57,'25.09 Bweya-Kajansi'!G57,'27.09 Munyonyo-Kajansi'!G57,'26.09 Munyonyo-Kajansi-24h'!G57,'28.09 Kajansi-Bweya-24h'!G57,'29.09 Kajansi-Bweya'!G57)</f>
        <v>1</v>
      </c>
      <c r="H57" s="49">
        <f>AVERAGE('23.09.19 Bweya- Kajansi'!H57,'24.09 Bweya-Kajansi'!H57,'25.09 Bweya-Kajansi'!H57,'27.09 Munyonyo-Kajansi'!H57,'26.09 Munyonyo-Kajansi-24h'!H57,'28.09 Kajansi-Bweya-24h'!H57,'29.09 Kajansi-Bweya'!H57)</f>
        <v>0</v>
      </c>
      <c r="I57" s="49">
        <f>AVERAGE('23.09.19 Bweya- Kajansi'!I57,'24.09 Bweya-Kajansi'!I57,'25.09 Bweya-Kajansi'!I57,'27.09 Munyonyo-Kajansi'!I57,'26.09 Munyonyo-Kajansi-24h'!I57,'28.09 Kajansi-Bweya-24h'!I57,'29.09 Kajansi-Bweya'!I57)</f>
        <v>3.8571428571428572</v>
      </c>
      <c r="J57" s="49">
        <f>AVERAGE('23.09.19 Bweya- Kajansi'!J57,'24.09 Bweya-Kajansi'!J57,'25.09 Bweya-Kajansi'!J57,'27.09 Munyonyo-Kajansi'!J57,'26.09 Munyonyo-Kajansi-24h'!J57,'28.09 Kajansi-Bweya-24h'!J57,'29.09 Kajansi-Bweya'!J57)</f>
        <v>0.5714285714285714</v>
      </c>
      <c r="K57" s="49">
        <f>AVERAGE('23.09.19 Bweya- Kajansi'!K57,'24.09 Bweya-Kajansi'!K57,'25.09 Bweya-Kajansi'!K57,'27.09 Munyonyo-Kajansi'!K57,'26.09 Munyonyo-Kajansi-24h'!K57,'28.09 Kajansi-Bweya-24h'!K57,'29.09 Kajansi-Bweya'!K57)</f>
        <v>0.2857142857142857</v>
      </c>
      <c r="L57" s="49">
        <f>AVERAGE('23.09.19 Bweya- Kajansi'!L57,'24.09 Bweya-Kajansi'!L57,'25.09 Bweya-Kajansi'!L57,'27.09 Munyonyo-Kajansi'!L57,'26.09 Munyonyo-Kajansi-24h'!L57,'28.09 Kajansi-Bweya-24h'!L57,'29.09 Kajansi-Bweya'!L57)</f>
        <v>0</v>
      </c>
      <c r="M57" s="49">
        <f>AVERAGE('23.09.19 Bweya- Kajansi'!M57,'24.09 Bweya-Kajansi'!M57,'25.09 Bweya-Kajansi'!M57,'27.09 Munyonyo-Kajansi'!M57,'26.09 Munyonyo-Kajansi-24h'!M57,'28.09 Kajansi-Bweya-24h'!M57,'29.09 Kajansi-Bweya'!M57)</f>
        <v>38.428571428571431</v>
      </c>
      <c r="N57" s="49">
        <f>AVERAGE('23.09.19 Bweya- Kajansi'!N57,'24.09 Bweya-Kajansi'!N57,'25.09 Bweya-Kajansi'!N57,'27.09 Munyonyo-Kajansi'!N57,'26.09 Munyonyo-Kajansi-24h'!N57,'28.09 Kajansi-Bweya-24h'!N57,'29.09 Kajansi-Bweya'!N57)</f>
        <v>0</v>
      </c>
      <c r="O57" s="15">
        <f t="shared" si="0"/>
        <v>66.285714285714292</v>
      </c>
      <c r="P57" s="15">
        <f t="shared" si="1"/>
        <v>104.71428571428572</v>
      </c>
      <c r="R57" s="8"/>
      <c r="T57"/>
    </row>
    <row r="58" spans="2:20" ht="23.1" customHeight="1" x14ac:dyDescent="0.25">
      <c r="B58" s="23" t="s">
        <v>99</v>
      </c>
      <c r="C58" s="49">
        <f>AVERAGE('28.09 Bweya-Kajansi-24h'!C58,'26.09 Munyonyo-Kajansi-24h'!C58)</f>
        <v>31.5</v>
      </c>
      <c r="D58" s="49">
        <f>AVERAGE('28.09 Bweya-Kajansi-24h'!D58,'26.09 Munyonyo-Kajansi-24h'!D58)</f>
        <v>13.5</v>
      </c>
      <c r="E58" s="49">
        <f>AVERAGE('28.09 Bweya-Kajansi-24h'!E58,'26.09 Munyonyo-Kajansi-24h'!E58)</f>
        <v>5</v>
      </c>
      <c r="F58" s="49">
        <f>AVERAGE('28.09 Bweya-Kajansi-24h'!F58,'26.09 Munyonyo-Kajansi-24h'!F58)</f>
        <v>1</v>
      </c>
      <c r="G58" s="49">
        <f>AVERAGE('28.09 Bweya-Kajansi-24h'!G58,'26.09 Munyonyo-Kajansi-24h'!G58)</f>
        <v>0</v>
      </c>
      <c r="H58" s="49">
        <f>AVERAGE('28.09 Bweya-Kajansi-24h'!H58,'26.09 Munyonyo-Kajansi-24h'!H58)</f>
        <v>0</v>
      </c>
      <c r="I58" s="49">
        <f>AVERAGE('28.09 Bweya-Kajansi-24h'!I58,'26.09 Munyonyo-Kajansi-24h'!I58)</f>
        <v>4</v>
      </c>
      <c r="J58" s="49">
        <f>AVERAGE('28.09 Bweya-Kajansi-24h'!J58,'26.09 Munyonyo-Kajansi-24h'!J58)</f>
        <v>0.5</v>
      </c>
      <c r="K58" s="49">
        <f>AVERAGE('28.09 Bweya-Kajansi-24h'!K58,'26.09 Munyonyo-Kajansi-24h'!K58)</f>
        <v>0</v>
      </c>
      <c r="L58" s="49">
        <f>AVERAGE('28.09 Bweya-Kajansi-24h'!L58,'26.09 Munyonyo-Kajansi-24h'!L58)</f>
        <v>0</v>
      </c>
      <c r="M58" s="49">
        <f>AVERAGE('28.09 Bweya-Kajansi-24h'!M58,'26.09 Munyonyo-Kajansi-24h'!M58)</f>
        <v>28</v>
      </c>
      <c r="N58" s="49">
        <f>AVERAGE('28.09 Bweya-Kajansi-24h'!N58,'26.09 Munyonyo-Kajansi-24h'!N58)</f>
        <v>0</v>
      </c>
      <c r="O58" s="15">
        <f t="shared" si="0"/>
        <v>55.5</v>
      </c>
      <c r="P58" s="15">
        <f t="shared" si="1"/>
        <v>83.5</v>
      </c>
      <c r="R58" s="8"/>
      <c r="T58"/>
    </row>
    <row r="59" spans="2:20" ht="23.1" customHeight="1" x14ac:dyDescent="0.25">
      <c r="B59" s="23" t="s">
        <v>100</v>
      </c>
      <c r="C59" s="49">
        <f>AVERAGE('28.09 Bweya-Kajansi-24h'!C59,'26.09 Munyonyo-Kajansi-24h'!C59)</f>
        <v>38</v>
      </c>
      <c r="D59" s="49">
        <f>AVERAGE('28.09 Bweya-Kajansi-24h'!D59,'26.09 Munyonyo-Kajansi-24h'!D59)</f>
        <v>13</v>
      </c>
      <c r="E59" s="49">
        <f>AVERAGE('28.09 Bweya-Kajansi-24h'!E59,'26.09 Munyonyo-Kajansi-24h'!E59)</f>
        <v>4.5</v>
      </c>
      <c r="F59" s="49">
        <f>AVERAGE('28.09 Bweya-Kajansi-24h'!F59,'26.09 Munyonyo-Kajansi-24h'!F59)</f>
        <v>2</v>
      </c>
      <c r="G59" s="49">
        <f>AVERAGE('28.09 Bweya-Kajansi-24h'!G59,'26.09 Munyonyo-Kajansi-24h'!G59)</f>
        <v>0</v>
      </c>
      <c r="H59" s="49">
        <f>AVERAGE('28.09 Bweya-Kajansi-24h'!H59,'26.09 Munyonyo-Kajansi-24h'!H59)</f>
        <v>0</v>
      </c>
      <c r="I59" s="49">
        <f>AVERAGE('28.09 Bweya-Kajansi-24h'!I59,'26.09 Munyonyo-Kajansi-24h'!I59)</f>
        <v>3.5</v>
      </c>
      <c r="J59" s="49">
        <f>AVERAGE('28.09 Bweya-Kajansi-24h'!J59,'26.09 Munyonyo-Kajansi-24h'!J59)</f>
        <v>0.5</v>
      </c>
      <c r="K59" s="49">
        <f>AVERAGE('28.09 Bweya-Kajansi-24h'!K59,'26.09 Munyonyo-Kajansi-24h'!K59)</f>
        <v>0</v>
      </c>
      <c r="L59" s="49">
        <f>AVERAGE('28.09 Bweya-Kajansi-24h'!L59,'26.09 Munyonyo-Kajansi-24h'!L59)</f>
        <v>0</v>
      </c>
      <c r="M59" s="49">
        <f>AVERAGE('28.09 Bweya-Kajansi-24h'!M59,'26.09 Munyonyo-Kajansi-24h'!M59)</f>
        <v>39.5</v>
      </c>
      <c r="N59" s="49">
        <f>AVERAGE('28.09 Bweya-Kajansi-24h'!N59,'26.09 Munyonyo-Kajansi-24h'!N59)</f>
        <v>0</v>
      </c>
      <c r="O59" s="15">
        <f t="shared" si="0"/>
        <v>61.5</v>
      </c>
      <c r="P59" s="15">
        <f t="shared" si="1"/>
        <v>101</v>
      </c>
      <c r="R59" s="8"/>
      <c r="T59"/>
    </row>
    <row r="60" spans="2:20" ht="23.1" customHeight="1" x14ac:dyDescent="0.25">
      <c r="B60" s="23" t="s">
        <v>101</v>
      </c>
      <c r="C60" s="49">
        <f>AVERAGE('28.09 Bweya-Kajansi-24h'!C60,'26.09 Munyonyo-Kajansi-24h'!C60)</f>
        <v>45</v>
      </c>
      <c r="D60" s="49">
        <f>AVERAGE('28.09 Bweya-Kajansi-24h'!D60,'26.09 Munyonyo-Kajansi-24h'!D60)</f>
        <v>16</v>
      </c>
      <c r="E60" s="49">
        <f>AVERAGE('28.09 Bweya-Kajansi-24h'!E60,'26.09 Munyonyo-Kajansi-24h'!E60)</f>
        <v>6</v>
      </c>
      <c r="F60" s="49">
        <f>AVERAGE('28.09 Bweya-Kajansi-24h'!F60,'26.09 Munyonyo-Kajansi-24h'!F60)</f>
        <v>2.5</v>
      </c>
      <c r="G60" s="49">
        <f>AVERAGE('28.09 Bweya-Kajansi-24h'!G60,'26.09 Munyonyo-Kajansi-24h'!G60)</f>
        <v>0</v>
      </c>
      <c r="H60" s="49">
        <f>AVERAGE('28.09 Bweya-Kajansi-24h'!H60,'26.09 Munyonyo-Kajansi-24h'!H60)</f>
        <v>0.5</v>
      </c>
      <c r="I60" s="49">
        <f>AVERAGE('28.09 Bweya-Kajansi-24h'!I60,'26.09 Munyonyo-Kajansi-24h'!I60)</f>
        <v>7.5</v>
      </c>
      <c r="J60" s="49">
        <f>AVERAGE('28.09 Bweya-Kajansi-24h'!J60,'26.09 Munyonyo-Kajansi-24h'!J60)</f>
        <v>0.5</v>
      </c>
      <c r="K60" s="49">
        <f>AVERAGE('28.09 Bweya-Kajansi-24h'!K60,'26.09 Munyonyo-Kajansi-24h'!K60)</f>
        <v>0.5</v>
      </c>
      <c r="L60" s="49">
        <f>AVERAGE('28.09 Bweya-Kajansi-24h'!L60,'26.09 Munyonyo-Kajansi-24h'!L60)</f>
        <v>0</v>
      </c>
      <c r="M60" s="49">
        <f>AVERAGE('28.09 Bweya-Kajansi-24h'!M60,'26.09 Munyonyo-Kajansi-24h'!M60)</f>
        <v>35</v>
      </c>
      <c r="N60" s="49">
        <f>AVERAGE('28.09 Bweya-Kajansi-24h'!N60,'26.09 Munyonyo-Kajansi-24h'!N60)</f>
        <v>0</v>
      </c>
      <c r="O60" s="15">
        <f t="shared" si="0"/>
        <v>78.5</v>
      </c>
      <c r="P60" s="15">
        <f t="shared" si="1"/>
        <v>113.5</v>
      </c>
      <c r="R60" s="8"/>
      <c r="T60"/>
    </row>
    <row r="61" spans="2:20" ht="23.1" customHeight="1" x14ac:dyDescent="0.25">
      <c r="B61" s="23" t="s">
        <v>102</v>
      </c>
      <c r="C61" s="49">
        <f>AVERAGE('28.09 Bweya-Kajansi-24h'!C61,'26.09 Munyonyo-Kajansi-24h'!C61)</f>
        <v>38</v>
      </c>
      <c r="D61" s="49">
        <f>AVERAGE('28.09 Bweya-Kajansi-24h'!D61,'26.09 Munyonyo-Kajansi-24h'!D61)</f>
        <v>7</v>
      </c>
      <c r="E61" s="49">
        <f>AVERAGE('28.09 Bweya-Kajansi-24h'!E61,'26.09 Munyonyo-Kajansi-24h'!E61)</f>
        <v>3</v>
      </c>
      <c r="F61" s="49">
        <f>AVERAGE('28.09 Bweya-Kajansi-24h'!F61,'26.09 Munyonyo-Kajansi-24h'!F61)</f>
        <v>2</v>
      </c>
      <c r="G61" s="49">
        <f>AVERAGE('28.09 Bweya-Kajansi-24h'!G61,'26.09 Munyonyo-Kajansi-24h'!G61)</f>
        <v>0.5</v>
      </c>
      <c r="H61" s="49">
        <f>AVERAGE('28.09 Bweya-Kajansi-24h'!H61,'26.09 Munyonyo-Kajansi-24h'!H61)</f>
        <v>0</v>
      </c>
      <c r="I61" s="49">
        <f>AVERAGE('28.09 Bweya-Kajansi-24h'!I61,'26.09 Munyonyo-Kajansi-24h'!I61)</f>
        <v>3.5</v>
      </c>
      <c r="J61" s="49">
        <f>AVERAGE('28.09 Bweya-Kajansi-24h'!J61,'26.09 Munyonyo-Kajansi-24h'!J61)</f>
        <v>0.5</v>
      </c>
      <c r="K61" s="49">
        <f>AVERAGE('28.09 Bweya-Kajansi-24h'!K61,'26.09 Munyonyo-Kajansi-24h'!K61)</f>
        <v>0</v>
      </c>
      <c r="L61" s="49">
        <f>AVERAGE('28.09 Bweya-Kajansi-24h'!L61,'26.09 Munyonyo-Kajansi-24h'!L61)</f>
        <v>0</v>
      </c>
      <c r="M61" s="49">
        <f>AVERAGE('28.09 Bweya-Kajansi-24h'!M61,'26.09 Munyonyo-Kajansi-24h'!M61)</f>
        <v>43</v>
      </c>
      <c r="N61" s="49">
        <f>AVERAGE('28.09 Bweya-Kajansi-24h'!N61,'26.09 Munyonyo-Kajansi-24h'!N61)</f>
        <v>0</v>
      </c>
      <c r="O61" s="15">
        <f t="shared" si="0"/>
        <v>54.5</v>
      </c>
      <c r="P61" s="15">
        <f t="shared" si="1"/>
        <v>97.5</v>
      </c>
      <c r="R61" s="8"/>
      <c r="T61"/>
    </row>
    <row r="62" spans="2:20" ht="23.1" customHeight="1" x14ac:dyDescent="0.25">
      <c r="B62" s="23" t="s">
        <v>107</v>
      </c>
      <c r="C62" s="49">
        <f>AVERAGE('28.09 Bweya-Kajansi-24h'!C62,'26.09 Munyonyo-Kajansi-24h'!C62)</f>
        <v>41.5</v>
      </c>
      <c r="D62" s="49">
        <f>AVERAGE('28.09 Bweya-Kajansi-24h'!D62,'26.09 Munyonyo-Kajansi-24h'!D62)</f>
        <v>9.5</v>
      </c>
      <c r="E62" s="49">
        <f>AVERAGE('28.09 Bweya-Kajansi-24h'!E62,'26.09 Munyonyo-Kajansi-24h'!E62)</f>
        <v>3</v>
      </c>
      <c r="F62" s="49">
        <f>AVERAGE('28.09 Bweya-Kajansi-24h'!F62,'26.09 Munyonyo-Kajansi-24h'!F62)</f>
        <v>2</v>
      </c>
      <c r="G62" s="49">
        <f>AVERAGE('28.09 Bweya-Kajansi-24h'!G62,'26.09 Munyonyo-Kajansi-24h'!G62)</f>
        <v>0</v>
      </c>
      <c r="H62" s="49">
        <f>AVERAGE('28.09 Bweya-Kajansi-24h'!H62,'26.09 Munyonyo-Kajansi-24h'!H62)</f>
        <v>0</v>
      </c>
      <c r="I62" s="49">
        <f>AVERAGE('28.09 Bweya-Kajansi-24h'!I62,'26.09 Munyonyo-Kajansi-24h'!I62)</f>
        <v>4</v>
      </c>
      <c r="J62" s="49">
        <f>AVERAGE('28.09 Bweya-Kajansi-24h'!J62,'26.09 Munyonyo-Kajansi-24h'!J62)</f>
        <v>1</v>
      </c>
      <c r="K62" s="49">
        <f>AVERAGE('28.09 Bweya-Kajansi-24h'!K62,'26.09 Munyonyo-Kajansi-24h'!K62)</f>
        <v>0.5</v>
      </c>
      <c r="L62" s="49">
        <f>AVERAGE('28.09 Bweya-Kajansi-24h'!L62,'26.09 Munyonyo-Kajansi-24h'!L62)</f>
        <v>0</v>
      </c>
      <c r="M62" s="49">
        <f>AVERAGE('28.09 Bweya-Kajansi-24h'!M62,'26.09 Munyonyo-Kajansi-24h'!M62)</f>
        <v>37</v>
      </c>
      <c r="N62" s="49">
        <f>AVERAGE('28.09 Bweya-Kajansi-24h'!N62,'26.09 Munyonyo-Kajansi-24h'!N62)</f>
        <v>0</v>
      </c>
      <c r="O62" s="15">
        <f t="shared" si="0"/>
        <v>61.5</v>
      </c>
      <c r="P62" s="15">
        <f t="shared" si="1"/>
        <v>98.5</v>
      </c>
      <c r="R62" s="8"/>
      <c r="T62"/>
    </row>
    <row r="63" spans="2:20" ht="23.1" customHeight="1" x14ac:dyDescent="0.25">
      <c r="B63" s="23" t="s">
        <v>108</v>
      </c>
      <c r="C63" s="49">
        <f>AVERAGE('28.09 Bweya-Kajansi-24h'!C63,'26.09 Munyonyo-Kajansi-24h'!C63)</f>
        <v>46.5</v>
      </c>
      <c r="D63" s="49">
        <f>AVERAGE('28.09 Bweya-Kajansi-24h'!D63,'26.09 Munyonyo-Kajansi-24h'!D63)</f>
        <v>7.5</v>
      </c>
      <c r="E63" s="49">
        <f>AVERAGE('28.09 Bweya-Kajansi-24h'!E63,'26.09 Munyonyo-Kajansi-24h'!E63)</f>
        <v>6.5</v>
      </c>
      <c r="F63" s="49">
        <f>AVERAGE('28.09 Bweya-Kajansi-24h'!F63,'26.09 Munyonyo-Kajansi-24h'!F63)</f>
        <v>3</v>
      </c>
      <c r="G63" s="49">
        <f>AVERAGE('28.09 Bweya-Kajansi-24h'!G63,'26.09 Munyonyo-Kajansi-24h'!G63)</f>
        <v>0</v>
      </c>
      <c r="H63" s="49">
        <f>AVERAGE('28.09 Bweya-Kajansi-24h'!H63,'26.09 Munyonyo-Kajansi-24h'!H63)</f>
        <v>0</v>
      </c>
      <c r="I63" s="49">
        <f>AVERAGE('28.09 Bweya-Kajansi-24h'!I63,'26.09 Munyonyo-Kajansi-24h'!I63)</f>
        <v>1</v>
      </c>
      <c r="J63" s="49">
        <f>AVERAGE('28.09 Bweya-Kajansi-24h'!J63,'26.09 Munyonyo-Kajansi-24h'!J63)</f>
        <v>0</v>
      </c>
      <c r="K63" s="49">
        <f>AVERAGE('28.09 Bweya-Kajansi-24h'!K63,'26.09 Munyonyo-Kajansi-24h'!K63)</f>
        <v>0.5</v>
      </c>
      <c r="L63" s="49">
        <f>AVERAGE('28.09 Bweya-Kajansi-24h'!L63,'26.09 Munyonyo-Kajansi-24h'!L63)</f>
        <v>0</v>
      </c>
      <c r="M63" s="49">
        <f>AVERAGE('28.09 Bweya-Kajansi-24h'!M63,'26.09 Munyonyo-Kajansi-24h'!M63)</f>
        <v>35.5</v>
      </c>
      <c r="N63" s="49">
        <f>AVERAGE('28.09 Bweya-Kajansi-24h'!N63,'26.09 Munyonyo-Kajansi-24h'!N63)</f>
        <v>0</v>
      </c>
      <c r="O63" s="15">
        <f t="shared" si="0"/>
        <v>65</v>
      </c>
      <c r="P63" s="15">
        <f t="shared" si="1"/>
        <v>100.5</v>
      </c>
      <c r="R63" s="8"/>
      <c r="T63"/>
    </row>
    <row r="64" spans="2:20" ht="23.1" customHeight="1" x14ac:dyDescent="0.25">
      <c r="B64" s="23" t="s">
        <v>109</v>
      </c>
      <c r="C64" s="49">
        <f>AVERAGE('28.09 Bweya-Kajansi-24h'!C64,'26.09 Munyonyo-Kajansi-24h'!C64)</f>
        <v>23.5</v>
      </c>
      <c r="D64" s="49">
        <f>AVERAGE('28.09 Bweya-Kajansi-24h'!D64,'26.09 Munyonyo-Kajansi-24h'!D64)</f>
        <v>7</v>
      </c>
      <c r="E64" s="49">
        <f>AVERAGE('28.09 Bweya-Kajansi-24h'!E64,'26.09 Munyonyo-Kajansi-24h'!E64)</f>
        <v>3</v>
      </c>
      <c r="F64" s="49">
        <f>AVERAGE('28.09 Bweya-Kajansi-24h'!F64,'26.09 Munyonyo-Kajansi-24h'!F64)</f>
        <v>3</v>
      </c>
      <c r="G64" s="49">
        <f>AVERAGE('28.09 Bweya-Kajansi-24h'!G64,'26.09 Munyonyo-Kajansi-24h'!G64)</f>
        <v>0</v>
      </c>
      <c r="H64" s="49">
        <f>AVERAGE('28.09 Bweya-Kajansi-24h'!H64,'26.09 Munyonyo-Kajansi-24h'!H64)</f>
        <v>0</v>
      </c>
      <c r="I64" s="49">
        <f>AVERAGE('28.09 Bweya-Kajansi-24h'!I64,'26.09 Munyonyo-Kajansi-24h'!I64)</f>
        <v>3</v>
      </c>
      <c r="J64" s="49">
        <f>AVERAGE('28.09 Bweya-Kajansi-24h'!J64,'26.09 Munyonyo-Kajansi-24h'!J64)</f>
        <v>0</v>
      </c>
      <c r="K64" s="49">
        <f>AVERAGE('28.09 Bweya-Kajansi-24h'!K64,'26.09 Munyonyo-Kajansi-24h'!K64)</f>
        <v>0</v>
      </c>
      <c r="L64" s="49">
        <f>AVERAGE('28.09 Bweya-Kajansi-24h'!L64,'26.09 Munyonyo-Kajansi-24h'!L64)</f>
        <v>0</v>
      </c>
      <c r="M64" s="49">
        <f>AVERAGE('28.09 Bweya-Kajansi-24h'!M64,'26.09 Munyonyo-Kajansi-24h'!M64)</f>
        <v>29.5</v>
      </c>
      <c r="N64" s="49">
        <f>AVERAGE('28.09 Bweya-Kajansi-24h'!N64,'26.09 Munyonyo-Kajansi-24h'!N64)</f>
        <v>0</v>
      </c>
      <c r="O64" s="15">
        <f t="shared" si="0"/>
        <v>39.5</v>
      </c>
      <c r="P64" s="15">
        <f t="shared" si="1"/>
        <v>69</v>
      </c>
      <c r="R64" s="8"/>
      <c r="T64"/>
    </row>
    <row r="65" spans="2:20" ht="23.1" customHeight="1" x14ac:dyDescent="0.25">
      <c r="B65" s="23" t="s">
        <v>158</v>
      </c>
      <c r="C65" s="49">
        <f>AVERAGE('28.09 Bweya-Kajansi-24h'!C65,'26.09 Munyonyo-Kajansi-24h'!C65)</f>
        <v>28.5</v>
      </c>
      <c r="D65" s="49">
        <f>AVERAGE('28.09 Bweya-Kajansi-24h'!D65,'26.09 Munyonyo-Kajansi-24h'!D65)</f>
        <v>12</v>
      </c>
      <c r="E65" s="49">
        <f>AVERAGE('28.09 Bweya-Kajansi-24h'!E65,'26.09 Munyonyo-Kajansi-24h'!E65)</f>
        <v>4.5</v>
      </c>
      <c r="F65" s="49">
        <f>AVERAGE('28.09 Bweya-Kajansi-24h'!F65,'26.09 Munyonyo-Kajansi-24h'!F65)</f>
        <v>1</v>
      </c>
      <c r="G65" s="49">
        <f>AVERAGE('28.09 Bweya-Kajansi-24h'!G65,'26.09 Munyonyo-Kajansi-24h'!G65)</f>
        <v>0</v>
      </c>
      <c r="H65" s="49">
        <f>AVERAGE('28.09 Bweya-Kajansi-24h'!H65,'26.09 Munyonyo-Kajansi-24h'!H65)</f>
        <v>0</v>
      </c>
      <c r="I65" s="49">
        <f>AVERAGE('28.09 Bweya-Kajansi-24h'!I65,'26.09 Munyonyo-Kajansi-24h'!I65)</f>
        <v>0.5</v>
      </c>
      <c r="J65" s="49">
        <f>AVERAGE('28.09 Bweya-Kajansi-24h'!J65,'26.09 Munyonyo-Kajansi-24h'!J65)</f>
        <v>0.5</v>
      </c>
      <c r="K65" s="49">
        <f>AVERAGE('28.09 Bweya-Kajansi-24h'!K65,'26.09 Munyonyo-Kajansi-24h'!K65)</f>
        <v>0</v>
      </c>
      <c r="L65" s="49">
        <f>AVERAGE('28.09 Bweya-Kajansi-24h'!L65,'26.09 Munyonyo-Kajansi-24h'!L65)</f>
        <v>0</v>
      </c>
      <c r="M65" s="49">
        <f>AVERAGE('28.09 Bweya-Kajansi-24h'!M65,'26.09 Munyonyo-Kajansi-24h'!M65)</f>
        <v>41</v>
      </c>
      <c r="N65" s="49">
        <f>AVERAGE('28.09 Bweya-Kajansi-24h'!N65,'26.09 Munyonyo-Kajansi-24h'!N65)</f>
        <v>0</v>
      </c>
      <c r="O65" s="15">
        <f t="shared" si="0"/>
        <v>47</v>
      </c>
      <c r="P65" s="15">
        <f t="shared" si="1"/>
        <v>88</v>
      </c>
      <c r="R65" s="8"/>
      <c r="T65"/>
    </row>
    <row r="66" spans="2:20" ht="23.1" customHeight="1" x14ac:dyDescent="0.25">
      <c r="B66" s="23" t="s">
        <v>103</v>
      </c>
      <c r="C66" s="49">
        <f>AVERAGE('28.09 Bweya-Kajansi-24h'!C66,'26.09 Munyonyo-Kajansi-24h'!C66)</f>
        <v>44.5</v>
      </c>
      <c r="D66" s="49">
        <f>AVERAGE('28.09 Bweya-Kajansi-24h'!D66,'26.09 Munyonyo-Kajansi-24h'!D66)</f>
        <v>17.5</v>
      </c>
      <c r="E66" s="49">
        <f>AVERAGE('28.09 Bweya-Kajansi-24h'!E66,'26.09 Munyonyo-Kajansi-24h'!E66)</f>
        <v>4</v>
      </c>
      <c r="F66" s="49">
        <f>AVERAGE('28.09 Bweya-Kajansi-24h'!F66,'26.09 Munyonyo-Kajansi-24h'!F66)</f>
        <v>2</v>
      </c>
      <c r="G66" s="49">
        <f>AVERAGE('28.09 Bweya-Kajansi-24h'!G66,'26.09 Munyonyo-Kajansi-24h'!G66)</f>
        <v>0</v>
      </c>
      <c r="H66" s="49">
        <f>AVERAGE('28.09 Bweya-Kajansi-24h'!H66,'26.09 Munyonyo-Kajansi-24h'!H66)</f>
        <v>0.5</v>
      </c>
      <c r="I66" s="49">
        <f>AVERAGE('28.09 Bweya-Kajansi-24h'!I66,'26.09 Munyonyo-Kajansi-24h'!I66)</f>
        <v>0.5</v>
      </c>
      <c r="J66" s="49">
        <f>AVERAGE('28.09 Bweya-Kajansi-24h'!J66,'26.09 Munyonyo-Kajansi-24h'!J66)</f>
        <v>1</v>
      </c>
      <c r="K66" s="49">
        <f>AVERAGE('28.09 Bweya-Kajansi-24h'!K66,'26.09 Munyonyo-Kajansi-24h'!K66)</f>
        <v>0</v>
      </c>
      <c r="L66" s="49">
        <f>AVERAGE('28.09 Bweya-Kajansi-24h'!L66,'26.09 Munyonyo-Kajansi-24h'!L66)</f>
        <v>0</v>
      </c>
      <c r="M66" s="49">
        <f>AVERAGE('28.09 Bweya-Kajansi-24h'!M66,'26.09 Munyonyo-Kajansi-24h'!M66)</f>
        <v>25</v>
      </c>
      <c r="N66" s="49">
        <f>AVERAGE('28.09 Bweya-Kajansi-24h'!N66,'26.09 Munyonyo-Kajansi-24h'!N66)</f>
        <v>0</v>
      </c>
      <c r="O66" s="15">
        <f t="shared" si="0"/>
        <v>70</v>
      </c>
      <c r="P66" s="15">
        <f t="shared" si="1"/>
        <v>95</v>
      </c>
      <c r="R66" s="8"/>
      <c r="T66"/>
    </row>
    <row r="67" spans="2:20" ht="23.1" customHeight="1" x14ac:dyDescent="0.25">
      <c r="B67" s="23" t="s">
        <v>104</v>
      </c>
      <c r="C67" s="49">
        <f>AVERAGE('28.09 Bweya-Kajansi-24h'!C67,'26.09 Munyonyo-Kajansi-24h'!C67)</f>
        <v>36</v>
      </c>
      <c r="D67" s="49">
        <f>AVERAGE('28.09 Bweya-Kajansi-24h'!D67,'26.09 Munyonyo-Kajansi-24h'!D67)</f>
        <v>7</v>
      </c>
      <c r="E67" s="49">
        <f>AVERAGE('28.09 Bweya-Kajansi-24h'!E67,'26.09 Munyonyo-Kajansi-24h'!E67)</f>
        <v>2</v>
      </c>
      <c r="F67" s="49">
        <f>AVERAGE('28.09 Bweya-Kajansi-24h'!F67,'26.09 Munyonyo-Kajansi-24h'!F67)</f>
        <v>0</v>
      </c>
      <c r="G67" s="49">
        <f>AVERAGE('28.09 Bweya-Kajansi-24h'!G67,'26.09 Munyonyo-Kajansi-24h'!G67)</f>
        <v>0.5</v>
      </c>
      <c r="H67" s="49">
        <f>AVERAGE('28.09 Bweya-Kajansi-24h'!H67,'26.09 Munyonyo-Kajansi-24h'!H67)</f>
        <v>0</v>
      </c>
      <c r="I67" s="49">
        <f>AVERAGE('28.09 Bweya-Kajansi-24h'!I67,'26.09 Munyonyo-Kajansi-24h'!I67)</f>
        <v>1.5</v>
      </c>
      <c r="J67" s="49">
        <f>AVERAGE('28.09 Bweya-Kajansi-24h'!J67,'26.09 Munyonyo-Kajansi-24h'!J67)</f>
        <v>1</v>
      </c>
      <c r="K67" s="49">
        <f>AVERAGE('28.09 Bweya-Kajansi-24h'!K67,'26.09 Munyonyo-Kajansi-24h'!K67)</f>
        <v>0</v>
      </c>
      <c r="L67" s="49">
        <f>AVERAGE('28.09 Bweya-Kajansi-24h'!L67,'26.09 Munyonyo-Kajansi-24h'!L67)</f>
        <v>0.5</v>
      </c>
      <c r="M67" s="49">
        <f>AVERAGE('28.09 Bweya-Kajansi-24h'!M67,'26.09 Munyonyo-Kajansi-24h'!M67)</f>
        <v>19.5</v>
      </c>
      <c r="N67" s="49">
        <f>AVERAGE('28.09 Bweya-Kajansi-24h'!N67,'26.09 Munyonyo-Kajansi-24h'!N67)</f>
        <v>0</v>
      </c>
      <c r="O67" s="15">
        <f t="shared" si="0"/>
        <v>48.5</v>
      </c>
      <c r="P67" s="15">
        <f t="shared" si="1"/>
        <v>68</v>
      </c>
      <c r="R67" s="8"/>
      <c r="T67"/>
    </row>
    <row r="68" spans="2:20" ht="23.1" customHeight="1" x14ac:dyDescent="0.25">
      <c r="B68" s="23" t="s">
        <v>105</v>
      </c>
      <c r="C68" s="49">
        <f>AVERAGE('28.09 Bweya-Kajansi-24h'!C68,'26.09 Munyonyo-Kajansi-24h'!C68)</f>
        <v>45.5</v>
      </c>
      <c r="D68" s="49">
        <f>AVERAGE('28.09 Bweya-Kajansi-24h'!D68,'26.09 Munyonyo-Kajansi-24h'!D68)</f>
        <v>8.5</v>
      </c>
      <c r="E68" s="49">
        <f>AVERAGE('28.09 Bweya-Kajansi-24h'!E68,'26.09 Munyonyo-Kajansi-24h'!E68)</f>
        <v>3.5</v>
      </c>
      <c r="F68" s="49">
        <f>AVERAGE('28.09 Bweya-Kajansi-24h'!F68,'26.09 Munyonyo-Kajansi-24h'!F68)</f>
        <v>2</v>
      </c>
      <c r="G68" s="49">
        <f>AVERAGE('28.09 Bweya-Kajansi-24h'!G68,'26.09 Munyonyo-Kajansi-24h'!G68)</f>
        <v>0.5</v>
      </c>
      <c r="H68" s="49">
        <f>AVERAGE('28.09 Bweya-Kajansi-24h'!H68,'26.09 Munyonyo-Kajansi-24h'!H68)</f>
        <v>0</v>
      </c>
      <c r="I68" s="49">
        <f>AVERAGE('28.09 Bweya-Kajansi-24h'!I68,'26.09 Munyonyo-Kajansi-24h'!I68)</f>
        <v>1.5</v>
      </c>
      <c r="J68" s="49">
        <f>AVERAGE('28.09 Bweya-Kajansi-24h'!J68,'26.09 Munyonyo-Kajansi-24h'!J68)</f>
        <v>0</v>
      </c>
      <c r="K68" s="49">
        <f>AVERAGE('28.09 Bweya-Kajansi-24h'!K68,'26.09 Munyonyo-Kajansi-24h'!K68)</f>
        <v>0</v>
      </c>
      <c r="L68" s="49">
        <f>AVERAGE('28.09 Bweya-Kajansi-24h'!L68,'26.09 Munyonyo-Kajansi-24h'!L68)</f>
        <v>0</v>
      </c>
      <c r="M68" s="49">
        <f>AVERAGE('28.09 Bweya-Kajansi-24h'!M68,'26.09 Munyonyo-Kajansi-24h'!M68)</f>
        <v>17</v>
      </c>
      <c r="N68" s="49">
        <f>AVERAGE('28.09 Bweya-Kajansi-24h'!N68,'26.09 Munyonyo-Kajansi-24h'!N68)</f>
        <v>0</v>
      </c>
      <c r="O68" s="15">
        <f t="shared" si="0"/>
        <v>61.5</v>
      </c>
      <c r="P68" s="15">
        <f t="shared" si="1"/>
        <v>78.5</v>
      </c>
      <c r="R68" s="8"/>
      <c r="T68"/>
    </row>
    <row r="69" spans="2:20" ht="23.1" customHeight="1" x14ac:dyDescent="0.25">
      <c r="B69" s="23" t="s">
        <v>106</v>
      </c>
      <c r="C69" s="49">
        <f>AVERAGE('28.09 Bweya-Kajansi-24h'!C69,'26.09 Munyonyo-Kajansi-24h'!C69)</f>
        <v>32</v>
      </c>
      <c r="D69" s="49">
        <f>AVERAGE('28.09 Bweya-Kajansi-24h'!D69,'26.09 Munyonyo-Kajansi-24h'!D69)</f>
        <v>7</v>
      </c>
      <c r="E69" s="49">
        <f>AVERAGE('28.09 Bweya-Kajansi-24h'!E69,'26.09 Munyonyo-Kajansi-24h'!E69)</f>
        <v>5.5</v>
      </c>
      <c r="F69" s="49">
        <f>AVERAGE('28.09 Bweya-Kajansi-24h'!F69,'26.09 Munyonyo-Kajansi-24h'!F69)</f>
        <v>0.5</v>
      </c>
      <c r="G69" s="49">
        <f>AVERAGE('28.09 Bweya-Kajansi-24h'!G69,'26.09 Munyonyo-Kajansi-24h'!G69)</f>
        <v>0.5</v>
      </c>
      <c r="H69" s="49">
        <f>AVERAGE('28.09 Bweya-Kajansi-24h'!H69,'26.09 Munyonyo-Kajansi-24h'!H69)</f>
        <v>0</v>
      </c>
      <c r="I69" s="49">
        <f>AVERAGE('28.09 Bweya-Kajansi-24h'!I69,'26.09 Munyonyo-Kajansi-24h'!I69)</f>
        <v>1.5</v>
      </c>
      <c r="J69" s="49">
        <f>AVERAGE('28.09 Bweya-Kajansi-24h'!J69,'26.09 Munyonyo-Kajansi-24h'!J69)</f>
        <v>0</v>
      </c>
      <c r="K69" s="49">
        <f>AVERAGE('28.09 Bweya-Kajansi-24h'!K69,'26.09 Munyonyo-Kajansi-24h'!K69)</f>
        <v>0</v>
      </c>
      <c r="L69" s="49">
        <f>AVERAGE('28.09 Bweya-Kajansi-24h'!L69,'26.09 Munyonyo-Kajansi-24h'!L69)</f>
        <v>0</v>
      </c>
      <c r="M69" s="49">
        <f>AVERAGE('28.09 Bweya-Kajansi-24h'!M69,'26.09 Munyonyo-Kajansi-24h'!M69)</f>
        <v>17.5</v>
      </c>
      <c r="N69" s="49">
        <f>AVERAGE('28.09 Bweya-Kajansi-24h'!N69,'26.09 Munyonyo-Kajansi-24h'!N69)</f>
        <v>0</v>
      </c>
      <c r="O69" s="15">
        <f t="shared" si="0"/>
        <v>47</v>
      </c>
      <c r="P69" s="15">
        <f t="shared" si="1"/>
        <v>64.5</v>
      </c>
      <c r="R69" s="8"/>
      <c r="T69"/>
    </row>
    <row r="70" spans="2:20" ht="23.1" customHeight="1" x14ac:dyDescent="0.25">
      <c r="B70" s="23" t="s">
        <v>110</v>
      </c>
      <c r="C70" s="49">
        <f>AVERAGE('28.09 Bweya-Kajansi-24h'!C70,'26.09 Munyonyo-Kajansi-24h'!C70)</f>
        <v>38</v>
      </c>
      <c r="D70" s="49">
        <f>AVERAGE('28.09 Bweya-Kajansi-24h'!D70,'26.09 Munyonyo-Kajansi-24h'!D70)</f>
        <v>10.5</v>
      </c>
      <c r="E70" s="49">
        <f>AVERAGE('28.09 Bweya-Kajansi-24h'!E70,'26.09 Munyonyo-Kajansi-24h'!E70)</f>
        <v>2.5</v>
      </c>
      <c r="F70" s="49">
        <f>AVERAGE('28.09 Bweya-Kajansi-24h'!F70,'26.09 Munyonyo-Kajansi-24h'!F70)</f>
        <v>3.5</v>
      </c>
      <c r="G70" s="49">
        <f>AVERAGE('28.09 Bweya-Kajansi-24h'!G70,'26.09 Munyonyo-Kajansi-24h'!G70)</f>
        <v>0</v>
      </c>
      <c r="H70" s="49">
        <f>AVERAGE('28.09 Bweya-Kajansi-24h'!H70,'26.09 Munyonyo-Kajansi-24h'!H70)</f>
        <v>0</v>
      </c>
      <c r="I70" s="49">
        <f>AVERAGE('28.09 Bweya-Kajansi-24h'!I70,'26.09 Munyonyo-Kajansi-24h'!I70)</f>
        <v>2</v>
      </c>
      <c r="J70" s="49">
        <f>AVERAGE('28.09 Bweya-Kajansi-24h'!J70,'26.09 Munyonyo-Kajansi-24h'!J70)</f>
        <v>0</v>
      </c>
      <c r="K70" s="49">
        <f>AVERAGE('28.09 Bweya-Kajansi-24h'!K70,'26.09 Munyonyo-Kajansi-24h'!K70)</f>
        <v>0</v>
      </c>
      <c r="L70" s="49">
        <f>AVERAGE('28.09 Bweya-Kajansi-24h'!L70,'26.09 Munyonyo-Kajansi-24h'!L70)</f>
        <v>0</v>
      </c>
      <c r="M70" s="49">
        <f>AVERAGE('28.09 Bweya-Kajansi-24h'!M70,'26.09 Munyonyo-Kajansi-24h'!M70)</f>
        <v>17</v>
      </c>
      <c r="N70" s="49">
        <f>AVERAGE('28.09 Bweya-Kajansi-24h'!N70,'26.09 Munyonyo-Kajansi-24h'!N70)</f>
        <v>0</v>
      </c>
      <c r="O70" s="15">
        <f t="shared" si="0"/>
        <v>56.5</v>
      </c>
      <c r="P70" s="15">
        <f t="shared" si="1"/>
        <v>73.5</v>
      </c>
      <c r="R70" s="8"/>
      <c r="T70"/>
    </row>
    <row r="71" spans="2:20" ht="23.1" customHeight="1" x14ac:dyDescent="0.25">
      <c r="B71" s="23" t="s">
        <v>111</v>
      </c>
      <c r="C71" s="49">
        <f>AVERAGE('28.09 Bweya-Kajansi-24h'!C71,'26.09 Munyonyo-Kajansi-24h'!C71)</f>
        <v>32.5</v>
      </c>
      <c r="D71" s="49">
        <f>AVERAGE('28.09 Bweya-Kajansi-24h'!D71,'26.09 Munyonyo-Kajansi-24h'!D71)</f>
        <v>9.5</v>
      </c>
      <c r="E71" s="49">
        <f>AVERAGE('28.09 Bweya-Kajansi-24h'!E71,'26.09 Munyonyo-Kajansi-24h'!E71)</f>
        <v>3.5</v>
      </c>
      <c r="F71" s="49">
        <f>AVERAGE('28.09 Bweya-Kajansi-24h'!F71,'26.09 Munyonyo-Kajansi-24h'!F71)</f>
        <v>2</v>
      </c>
      <c r="G71" s="49">
        <f>AVERAGE('28.09 Bweya-Kajansi-24h'!G71,'26.09 Munyonyo-Kajansi-24h'!G71)</f>
        <v>0.5</v>
      </c>
      <c r="H71" s="49">
        <f>AVERAGE('28.09 Bweya-Kajansi-24h'!H71,'26.09 Munyonyo-Kajansi-24h'!H71)</f>
        <v>0</v>
      </c>
      <c r="I71" s="49">
        <f>AVERAGE('28.09 Bweya-Kajansi-24h'!I71,'26.09 Munyonyo-Kajansi-24h'!I71)</f>
        <v>1.5</v>
      </c>
      <c r="J71" s="49">
        <f>AVERAGE('28.09 Bweya-Kajansi-24h'!J71,'26.09 Munyonyo-Kajansi-24h'!J71)</f>
        <v>0</v>
      </c>
      <c r="K71" s="49">
        <f>AVERAGE('28.09 Bweya-Kajansi-24h'!K71,'26.09 Munyonyo-Kajansi-24h'!K71)</f>
        <v>0</v>
      </c>
      <c r="L71" s="49">
        <f>AVERAGE('28.09 Bweya-Kajansi-24h'!L71,'26.09 Munyonyo-Kajansi-24h'!L71)</f>
        <v>0</v>
      </c>
      <c r="M71" s="49">
        <f>AVERAGE('28.09 Bweya-Kajansi-24h'!M71,'26.09 Munyonyo-Kajansi-24h'!M71)</f>
        <v>10.5</v>
      </c>
      <c r="N71" s="49">
        <f>AVERAGE('28.09 Bweya-Kajansi-24h'!N71,'26.09 Munyonyo-Kajansi-24h'!N71)</f>
        <v>0</v>
      </c>
      <c r="O71" s="15">
        <f t="shared" si="0"/>
        <v>49.5</v>
      </c>
      <c r="P71" s="15">
        <f t="shared" si="1"/>
        <v>60</v>
      </c>
      <c r="R71" s="8"/>
      <c r="T71"/>
    </row>
    <row r="72" spans="2:20" ht="23.1" customHeight="1" x14ac:dyDescent="0.25">
      <c r="B72" s="23" t="s">
        <v>112</v>
      </c>
      <c r="C72" s="49">
        <f>AVERAGE('28.09 Bweya-Kajansi-24h'!C72,'26.09 Munyonyo-Kajansi-24h'!C72)</f>
        <v>27.5</v>
      </c>
      <c r="D72" s="49">
        <f>AVERAGE('28.09 Bweya-Kajansi-24h'!D72,'26.09 Munyonyo-Kajansi-24h'!D72)</f>
        <v>8.5</v>
      </c>
      <c r="E72" s="49">
        <f>AVERAGE('28.09 Bweya-Kajansi-24h'!E72,'26.09 Munyonyo-Kajansi-24h'!E72)</f>
        <v>3</v>
      </c>
      <c r="F72" s="49">
        <f>AVERAGE('28.09 Bweya-Kajansi-24h'!F72,'26.09 Munyonyo-Kajansi-24h'!F72)</f>
        <v>0.5</v>
      </c>
      <c r="G72" s="49">
        <f>AVERAGE('28.09 Bweya-Kajansi-24h'!G72,'26.09 Munyonyo-Kajansi-24h'!G72)</f>
        <v>0.5</v>
      </c>
      <c r="H72" s="49">
        <f>AVERAGE('28.09 Bweya-Kajansi-24h'!H72,'26.09 Munyonyo-Kajansi-24h'!H72)</f>
        <v>0</v>
      </c>
      <c r="I72" s="49">
        <f>AVERAGE('28.09 Bweya-Kajansi-24h'!I72,'26.09 Munyonyo-Kajansi-24h'!I72)</f>
        <v>0</v>
      </c>
      <c r="J72" s="49">
        <f>AVERAGE('28.09 Bweya-Kajansi-24h'!J72,'26.09 Munyonyo-Kajansi-24h'!J72)</f>
        <v>0</v>
      </c>
      <c r="K72" s="49">
        <f>AVERAGE('28.09 Bweya-Kajansi-24h'!K72,'26.09 Munyonyo-Kajansi-24h'!K72)</f>
        <v>0</v>
      </c>
      <c r="L72" s="49">
        <f>AVERAGE('28.09 Bweya-Kajansi-24h'!L72,'26.09 Munyonyo-Kajansi-24h'!L72)</f>
        <v>0</v>
      </c>
      <c r="M72" s="49">
        <f>AVERAGE('28.09 Bweya-Kajansi-24h'!M72,'26.09 Munyonyo-Kajansi-24h'!M72)</f>
        <v>11</v>
      </c>
      <c r="N72" s="49">
        <f>AVERAGE('28.09 Bweya-Kajansi-24h'!N72,'26.09 Munyonyo-Kajansi-24h'!N72)</f>
        <v>0</v>
      </c>
      <c r="O72" s="15">
        <f t="shared" si="0"/>
        <v>40</v>
      </c>
      <c r="P72" s="15">
        <f t="shared" si="1"/>
        <v>51</v>
      </c>
      <c r="R72" s="8"/>
      <c r="T72"/>
    </row>
    <row r="73" spans="2:20" ht="23.1" customHeight="1" x14ac:dyDescent="0.25">
      <c r="B73" s="23" t="s">
        <v>113</v>
      </c>
      <c r="C73" s="49">
        <f>AVERAGE('28.09 Bweya-Kajansi-24h'!C73,'26.09 Munyonyo-Kajansi-24h'!C73)</f>
        <v>14.5</v>
      </c>
      <c r="D73" s="49">
        <f>AVERAGE('28.09 Bweya-Kajansi-24h'!D73,'26.09 Munyonyo-Kajansi-24h'!D73)</f>
        <v>9</v>
      </c>
      <c r="E73" s="49">
        <f>AVERAGE('28.09 Bweya-Kajansi-24h'!E73,'26.09 Munyonyo-Kajansi-24h'!E73)</f>
        <v>1.5</v>
      </c>
      <c r="F73" s="49">
        <f>AVERAGE('28.09 Bweya-Kajansi-24h'!F73,'26.09 Munyonyo-Kajansi-24h'!F73)</f>
        <v>1.5</v>
      </c>
      <c r="G73" s="49">
        <f>AVERAGE('28.09 Bweya-Kajansi-24h'!G73,'26.09 Munyonyo-Kajansi-24h'!G73)</f>
        <v>0</v>
      </c>
      <c r="H73" s="49">
        <f>AVERAGE('28.09 Bweya-Kajansi-24h'!H73,'26.09 Munyonyo-Kajansi-24h'!H73)</f>
        <v>0</v>
      </c>
      <c r="I73" s="49">
        <f>AVERAGE('28.09 Bweya-Kajansi-24h'!I73,'26.09 Munyonyo-Kajansi-24h'!I73)</f>
        <v>0.5</v>
      </c>
      <c r="J73" s="49">
        <f>AVERAGE('28.09 Bweya-Kajansi-24h'!J73,'26.09 Munyonyo-Kajansi-24h'!J73)</f>
        <v>0</v>
      </c>
      <c r="K73" s="49">
        <f>AVERAGE('28.09 Bweya-Kajansi-24h'!K73,'26.09 Munyonyo-Kajansi-24h'!K73)</f>
        <v>0</v>
      </c>
      <c r="L73" s="49">
        <f>AVERAGE('28.09 Bweya-Kajansi-24h'!L73,'26.09 Munyonyo-Kajansi-24h'!L73)</f>
        <v>0</v>
      </c>
      <c r="M73" s="49">
        <f>AVERAGE('28.09 Bweya-Kajansi-24h'!M73,'26.09 Munyonyo-Kajansi-24h'!M73)</f>
        <v>10</v>
      </c>
      <c r="N73" s="49">
        <f>AVERAGE('28.09 Bweya-Kajansi-24h'!N73,'26.09 Munyonyo-Kajansi-24h'!N73)</f>
        <v>0</v>
      </c>
      <c r="O73" s="15">
        <f t="shared" si="0"/>
        <v>27</v>
      </c>
      <c r="P73" s="15">
        <f t="shared" si="1"/>
        <v>37</v>
      </c>
      <c r="R73" s="8"/>
      <c r="T73"/>
    </row>
    <row r="74" spans="2:20" ht="23.1" customHeight="1" x14ac:dyDescent="0.25">
      <c r="B74" s="23" t="s">
        <v>114</v>
      </c>
      <c r="C74" s="49">
        <f>AVERAGE('28.09 Bweya-Kajansi-24h'!C74,'26.09 Munyonyo-Kajansi-24h'!C74)</f>
        <v>18</v>
      </c>
      <c r="D74" s="49">
        <f>AVERAGE('28.09 Bweya-Kajansi-24h'!D74,'26.09 Munyonyo-Kajansi-24h'!D74)</f>
        <v>10.5</v>
      </c>
      <c r="E74" s="49">
        <f>AVERAGE('28.09 Bweya-Kajansi-24h'!E74,'26.09 Munyonyo-Kajansi-24h'!E74)</f>
        <v>2.5</v>
      </c>
      <c r="F74" s="49">
        <f>AVERAGE('28.09 Bweya-Kajansi-24h'!F74,'26.09 Munyonyo-Kajansi-24h'!F74)</f>
        <v>1</v>
      </c>
      <c r="G74" s="49">
        <f>AVERAGE('28.09 Bweya-Kajansi-24h'!G74,'26.09 Munyonyo-Kajansi-24h'!G74)</f>
        <v>0</v>
      </c>
      <c r="H74" s="49">
        <f>AVERAGE('28.09 Bweya-Kajansi-24h'!H74,'26.09 Munyonyo-Kajansi-24h'!H74)</f>
        <v>0.5</v>
      </c>
      <c r="I74" s="49">
        <f>AVERAGE('28.09 Bweya-Kajansi-24h'!I74,'26.09 Munyonyo-Kajansi-24h'!I74)</f>
        <v>3</v>
      </c>
      <c r="J74" s="49">
        <f>AVERAGE('28.09 Bweya-Kajansi-24h'!J74,'26.09 Munyonyo-Kajansi-24h'!J74)</f>
        <v>0.5</v>
      </c>
      <c r="K74" s="49">
        <f>AVERAGE('28.09 Bweya-Kajansi-24h'!K74,'26.09 Munyonyo-Kajansi-24h'!K74)</f>
        <v>0</v>
      </c>
      <c r="L74" s="49">
        <f>AVERAGE('28.09 Bweya-Kajansi-24h'!L74,'26.09 Munyonyo-Kajansi-24h'!L74)</f>
        <v>0</v>
      </c>
      <c r="M74" s="49">
        <f>AVERAGE('28.09 Bweya-Kajansi-24h'!M74,'26.09 Munyonyo-Kajansi-24h'!M74)</f>
        <v>11</v>
      </c>
      <c r="N74" s="49">
        <f>AVERAGE('28.09 Bweya-Kajansi-24h'!N74,'26.09 Munyonyo-Kajansi-24h'!N74)</f>
        <v>0</v>
      </c>
      <c r="O74" s="15">
        <f t="shared" ref="O74:O105" si="35">SUM(C74:L74,N74)</f>
        <v>36</v>
      </c>
      <c r="P74" s="15">
        <f t="shared" ref="P74:P105" si="36">SUM(C74:N74)</f>
        <v>47</v>
      </c>
      <c r="R74" s="8"/>
      <c r="T74"/>
    </row>
    <row r="75" spans="2:20" ht="23.1" customHeight="1" x14ac:dyDescent="0.25">
      <c r="B75" s="23" t="s">
        <v>115</v>
      </c>
      <c r="C75" s="49">
        <f>AVERAGE('28.09 Bweya-Kajansi-24h'!C75,'26.09 Munyonyo-Kajansi-24h'!C75)</f>
        <v>15.5</v>
      </c>
      <c r="D75" s="49">
        <f>AVERAGE('28.09 Bweya-Kajansi-24h'!D75,'26.09 Munyonyo-Kajansi-24h'!D75)</f>
        <v>4.5</v>
      </c>
      <c r="E75" s="49">
        <f>AVERAGE('28.09 Bweya-Kajansi-24h'!E75,'26.09 Munyonyo-Kajansi-24h'!E75)</f>
        <v>2.5</v>
      </c>
      <c r="F75" s="49">
        <f>AVERAGE('28.09 Bweya-Kajansi-24h'!F75,'26.09 Munyonyo-Kajansi-24h'!F75)</f>
        <v>1</v>
      </c>
      <c r="G75" s="49">
        <f>AVERAGE('28.09 Bweya-Kajansi-24h'!G75,'26.09 Munyonyo-Kajansi-24h'!G75)</f>
        <v>0</v>
      </c>
      <c r="H75" s="49">
        <f>AVERAGE('28.09 Bweya-Kajansi-24h'!H75,'26.09 Munyonyo-Kajansi-24h'!H75)</f>
        <v>0</v>
      </c>
      <c r="I75" s="49">
        <f>AVERAGE('28.09 Bweya-Kajansi-24h'!I75,'26.09 Munyonyo-Kajansi-24h'!I75)</f>
        <v>0.5</v>
      </c>
      <c r="J75" s="49">
        <f>AVERAGE('28.09 Bweya-Kajansi-24h'!J75,'26.09 Munyonyo-Kajansi-24h'!J75)</f>
        <v>0</v>
      </c>
      <c r="K75" s="49">
        <f>AVERAGE('28.09 Bweya-Kajansi-24h'!K75,'26.09 Munyonyo-Kajansi-24h'!K75)</f>
        <v>0</v>
      </c>
      <c r="L75" s="49">
        <f>AVERAGE('28.09 Bweya-Kajansi-24h'!L75,'26.09 Munyonyo-Kajansi-24h'!L75)</f>
        <v>0</v>
      </c>
      <c r="M75" s="49">
        <f>AVERAGE('28.09 Bweya-Kajansi-24h'!M75,'26.09 Munyonyo-Kajansi-24h'!M75)</f>
        <v>6</v>
      </c>
      <c r="N75" s="49">
        <f>AVERAGE('28.09 Bweya-Kajansi-24h'!N75,'26.09 Munyonyo-Kajansi-24h'!N75)</f>
        <v>0</v>
      </c>
      <c r="O75" s="15">
        <f t="shared" si="35"/>
        <v>24</v>
      </c>
      <c r="P75" s="15">
        <f t="shared" si="36"/>
        <v>30</v>
      </c>
      <c r="R75" s="8"/>
      <c r="T75"/>
    </row>
    <row r="76" spans="2:20" ht="23.1" customHeight="1" x14ac:dyDescent="0.25">
      <c r="B76" s="23" t="s">
        <v>116</v>
      </c>
      <c r="C76" s="49">
        <f>AVERAGE('28.09 Bweya-Kajansi-24h'!C76,'26.09 Munyonyo-Kajansi-24h'!C76)</f>
        <v>22.5</v>
      </c>
      <c r="D76" s="49">
        <f>AVERAGE('28.09 Bweya-Kajansi-24h'!D76,'26.09 Munyonyo-Kajansi-24h'!D76)</f>
        <v>7</v>
      </c>
      <c r="E76" s="49">
        <f>AVERAGE('28.09 Bweya-Kajansi-24h'!E76,'26.09 Munyonyo-Kajansi-24h'!E76)</f>
        <v>3.5</v>
      </c>
      <c r="F76" s="49">
        <f>AVERAGE('28.09 Bweya-Kajansi-24h'!F76,'26.09 Munyonyo-Kajansi-24h'!F76)</f>
        <v>2.5</v>
      </c>
      <c r="G76" s="49">
        <f>AVERAGE('28.09 Bweya-Kajansi-24h'!G76,'26.09 Munyonyo-Kajansi-24h'!G76)</f>
        <v>0</v>
      </c>
      <c r="H76" s="49">
        <f>AVERAGE('28.09 Bweya-Kajansi-24h'!H76,'26.09 Munyonyo-Kajansi-24h'!H76)</f>
        <v>0.5</v>
      </c>
      <c r="I76" s="49">
        <f>AVERAGE('28.09 Bweya-Kajansi-24h'!I76,'26.09 Munyonyo-Kajansi-24h'!I76)</f>
        <v>0.5</v>
      </c>
      <c r="J76" s="49">
        <f>AVERAGE('28.09 Bweya-Kajansi-24h'!J76,'26.09 Munyonyo-Kajansi-24h'!J76)</f>
        <v>0</v>
      </c>
      <c r="K76" s="49">
        <f>AVERAGE('28.09 Bweya-Kajansi-24h'!K76,'26.09 Munyonyo-Kajansi-24h'!K76)</f>
        <v>0</v>
      </c>
      <c r="L76" s="49">
        <f>AVERAGE('28.09 Bweya-Kajansi-24h'!L76,'26.09 Munyonyo-Kajansi-24h'!L76)</f>
        <v>0</v>
      </c>
      <c r="M76" s="49">
        <f>AVERAGE('28.09 Bweya-Kajansi-24h'!M76,'26.09 Munyonyo-Kajansi-24h'!M76)</f>
        <v>9.5</v>
      </c>
      <c r="N76" s="49">
        <f>AVERAGE('28.09 Bweya-Kajansi-24h'!N76,'26.09 Munyonyo-Kajansi-24h'!N76)</f>
        <v>0</v>
      </c>
      <c r="O76" s="15">
        <f t="shared" si="35"/>
        <v>36.5</v>
      </c>
      <c r="P76" s="15">
        <f t="shared" si="36"/>
        <v>46</v>
      </c>
      <c r="R76" s="8"/>
      <c r="T76"/>
    </row>
    <row r="77" spans="2:20" ht="23.1" customHeight="1" x14ac:dyDescent="0.25">
      <c r="B77" s="23" t="s">
        <v>117</v>
      </c>
      <c r="C77" s="49">
        <f>AVERAGE('28.09 Bweya-Kajansi-24h'!C77,'26.09 Munyonyo-Kajansi-24h'!C77)</f>
        <v>17.5</v>
      </c>
      <c r="D77" s="49">
        <f>AVERAGE('28.09 Bweya-Kajansi-24h'!D77,'26.09 Munyonyo-Kajansi-24h'!D77)</f>
        <v>6.5</v>
      </c>
      <c r="E77" s="49">
        <f>AVERAGE('28.09 Bweya-Kajansi-24h'!E77,'26.09 Munyonyo-Kajansi-24h'!E77)</f>
        <v>0</v>
      </c>
      <c r="F77" s="49">
        <f>AVERAGE('28.09 Bweya-Kajansi-24h'!F77,'26.09 Munyonyo-Kajansi-24h'!F77)</f>
        <v>1.5</v>
      </c>
      <c r="G77" s="49">
        <f>AVERAGE('28.09 Bweya-Kajansi-24h'!G77,'26.09 Munyonyo-Kajansi-24h'!G77)</f>
        <v>0</v>
      </c>
      <c r="H77" s="49">
        <f>AVERAGE('28.09 Bweya-Kajansi-24h'!H77,'26.09 Munyonyo-Kajansi-24h'!H77)</f>
        <v>0</v>
      </c>
      <c r="I77" s="49">
        <f>AVERAGE('28.09 Bweya-Kajansi-24h'!I77,'26.09 Munyonyo-Kajansi-24h'!I77)</f>
        <v>0</v>
      </c>
      <c r="J77" s="49">
        <f>AVERAGE('28.09 Bweya-Kajansi-24h'!J77,'26.09 Munyonyo-Kajansi-24h'!J77)</f>
        <v>0</v>
      </c>
      <c r="K77" s="49">
        <f>AVERAGE('28.09 Bweya-Kajansi-24h'!K77,'26.09 Munyonyo-Kajansi-24h'!K77)</f>
        <v>0</v>
      </c>
      <c r="L77" s="49">
        <f>AVERAGE('28.09 Bweya-Kajansi-24h'!L77,'26.09 Munyonyo-Kajansi-24h'!L77)</f>
        <v>0</v>
      </c>
      <c r="M77" s="49">
        <f>AVERAGE('28.09 Bweya-Kajansi-24h'!M77,'26.09 Munyonyo-Kajansi-24h'!M77)</f>
        <v>8.5</v>
      </c>
      <c r="N77" s="49">
        <f>AVERAGE('28.09 Bweya-Kajansi-24h'!N77,'26.09 Munyonyo-Kajansi-24h'!N77)</f>
        <v>0</v>
      </c>
      <c r="O77" s="15">
        <f t="shared" si="35"/>
        <v>25.5</v>
      </c>
      <c r="P77" s="15">
        <f t="shared" si="36"/>
        <v>34</v>
      </c>
      <c r="R77" s="8"/>
      <c r="T77"/>
    </row>
    <row r="78" spans="2:20" ht="23.1" customHeight="1" x14ac:dyDescent="0.25">
      <c r="B78" s="24" t="s">
        <v>118</v>
      </c>
      <c r="C78" s="49">
        <f>AVERAGE('28.09 Bweya-Kajansi-24h'!C78,'26.09 Munyonyo-Kajansi-24h'!C78)</f>
        <v>13.5</v>
      </c>
      <c r="D78" s="49">
        <f>AVERAGE('28.09 Bweya-Kajansi-24h'!D78,'26.09 Munyonyo-Kajansi-24h'!D78)</f>
        <v>5.5</v>
      </c>
      <c r="E78" s="49">
        <f>AVERAGE('28.09 Bweya-Kajansi-24h'!E78,'26.09 Munyonyo-Kajansi-24h'!E78)</f>
        <v>2.5</v>
      </c>
      <c r="F78" s="49">
        <f>AVERAGE('28.09 Bweya-Kajansi-24h'!F78,'26.09 Munyonyo-Kajansi-24h'!F78)</f>
        <v>1</v>
      </c>
      <c r="G78" s="49">
        <f>AVERAGE('28.09 Bweya-Kajansi-24h'!G78,'26.09 Munyonyo-Kajansi-24h'!G78)</f>
        <v>0</v>
      </c>
      <c r="H78" s="49">
        <f>AVERAGE('28.09 Bweya-Kajansi-24h'!H78,'26.09 Munyonyo-Kajansi-24h'!H78)</f>
        <v>0</v>
      </c>
      <c r="I78" s="49">
        <f>AVERAGE('28.09 Bweya-Kajansi-24h'!I78,'26.09 Munyonyo-Kajansi-24h'!I78)</f>
        <v>1</v>
      </c>
      <c r="J78" s="49">
        <f>AVERAGE('28.09 Bweya-Kajansi-24h'!J78,'26.09 Munyonyo-Kajansi-24h'!J78)</f>
        <v>0</v>
      </c>
      <c r="K78" s="49">
        <f>AVERAGE('28.09 Bweya-Kajansi-24h'!K78,'26.09 Munyonyo-Kajansi-24h'!K78)</f>
        <v>0</v>
      </c>
      <c r="L78" s="49">
        <f>AVERAGE('28.09 Bweya-Kajansi-24h'!L78,'26.09 Munyonyo-Kajansi-24h'!L78)</f>
        <v>0</v>
      </c>
      <c r="M78" s="49">
        <f>AVERAGE('28.09 Bweya-Kajansi-24h'!M78,'26.09 Munyonyo-Kajansi-24h'!M78)</f>
        <v>6.5</v>
      </c>
      <c r="N78" s="49">
        <f>AVERAGE('28.09 Bweya-Kajansi-24h'!N78,'26.09 Munyonyo-Kajansi-24h'!N78)</f>
        <v>0</v>
      </c>
      <c r="O78" s="15">
        <f t="shared" si="35"/>
        <v>23.5</v>
      </c>
      <c r="P78" s="15">
        <f t="shared" si="36"/>
        <v>30</v>
      </c>
      <c r="R78" s="8"/>
      <c r="T78"/>
    </row>
    <row r="79" spans="2:20" ht="23.1" customHeight="1" x14ac:dyDescent="0.25">
      <c r="B79" s="23" t="s">
        <v>119</v>
      </c>
      <c r="C79" s="49">
        <f>AVERAGE('28.09 Bweya-Kajansi-24h'!C79,'26.09 Munyonyo-Kajansi-24h'!C79)</f>
        <v>9</v>
      </c>
      <c r="D79" s="49">
        <f>AVERAGE('28.09 Bweya-Kajansi-24h'!D79,'26.09 Munyonyo-Kajansi-24h'!D79)</f>
        <v>3.5</v>
      </c>
      <c r="E79" s="49">
        <f>AVERAGE('28.09 Bweya-Kajansi-24h'!E79,'26.09 Munyonyo-Kajansi-24h'!E79)</f>
        <v>0.5</v>
      </c>
      <c r="F79" s="49">
        <f>AVERAGE('28.09 Bweya-Kajansi-24h'!F79,'26.09 Munyonyo-Kajansi-24h'!F79)</f>
        <v>0</v>
      </c>
      <c r="G79" s="49">
        <f>AVERAGE('28.09 Bweya-Kajansi-24h'!G79,'26.09 Munyonyo-Kajansi-24h'!G79)</f>
        <v>0</v>
      </c>
      <c r="H79" s="49">
        <f>AVERAGE('28.09 Bweya-Kajansi-24h'!H79,'26.09 Munyonyo-Kajansi-24h'!H79)</f>
        <v>0</v>
      </c>
      <c r="I79" s="49">
        <f>AVERAGE('28.09 Bweya-Kajansi-24h'!I79,'26.09 Munyonyo-Kajansi-24h'!I79)</f>
        <v>0</v>
      </c>
      <c r="J79" s="49">
        <f>AVERAGE('28.09 Bweya-Kajansi-24h'!J79,'26.09 Munyonyo-Kajansi-24h'!J79)</f>
        <v>0</v>
      </c>
      <c r="K79" s="49">
        <f>AVERAGE('28.09 Bweya-Kajansi-24h'!K79,'26.09 Munyonyo-Kajansi-24h'!K79)</f>
        <v>0</v>
      </c>
      <c r="L79" s="49">
        <f>AVERAGE('28.09 Bweya-Kajansi-24h'!L79,'26.09 Munyonyo-Kajansi-24h'!L79)</f>
        <v>0</v>
      </c>
      <c r="M79" s="49">
        <f>AVERAGE('28.09 Bweya-Kajansi-24h'!M79,'26.09 Munyonyo-Kajansi-24h'!M79)</f>
        <v>5</v>
      </c>
      <c r="N79" s="49">
        <f>AVERAGE('28.09 Bweya-Kajansi-24h'!N79,'26.09 Munyonyo-Kajansi-24h'!N79)</f>
        <v>0</v>
      </c>
      <c r="O79" s="15">
        <f t="shared" si="35"/>
        <v>13</v>
      </c>
      <c r="P79" s="15">
        <f t="shared" si="36"/>
        <v>18</v>
      </c>
      <c r="R79" s="8"/>
      <c r="T79"/>
    </row>
    <row r="80" spans="2:20" ht="23.1" customHeight="1" x14ac:dyDescent="0.25">
      <c r="B80" s="25" t="s">
        <v>120</v>
      </c>
      <c r="C80" s="49">
        <f>AVERAGE('28.09 Bweya-Kajansi-24h'!C80,'26.09 Munyonyo-Kajansi-24h'!C80)</f>
        <v>7.5</v>
      </c>
      <c r="D80" s="49">
        <f>AVERAGE('28.09 Bweya-Kajansi-24h'!D80,'26.09 Munyonyo-Kajansi-24h'!D80)</f>
        <v>3</v>
      </c>
      <c r="E80" s="49">
        <f>AVERAGE('28.09 Bweya-Kajansi-24h'!E80,'26.09 Munyonyo-Kajansi-24h'!E80)</f>
        <v>1</v>
      </c>
      <c r="F80" s="49">
        <f>AVERAGE('28.09 Bweya-Kajansi-24h'!F80,'26.09 Munyonyo-Kajansi-24h'!F80)</f>
        <v>0.5</v>
      </c>
      <c r="G80" s="49">
        <f>AVERAGE('28.09 Bweya-Kajansi-24h'!G80,'26.09 Munyonyo-Kajansi-24h'!G80)</f>
        <v>0</v>
      </c>
      <c r="H80" s="49">
        <f>AVERAGE('28.09 Bweya-Kajansi-24h'!H80,'26.09 Munyonyo-Kajansi-24h'!H80)</f>
        <v>0</v>
      </c>
      <c r="I80" s="49">
        <f>AVERAGE('28.09 Bweya-Kajansi-24h'!I80,'26.09 Munyonyo-Kajansi-24h'!I80)</f>
        <v>0</v>
      </c>
      <c r="J80" s="49">
        <f>AVERAGE('28.09 Bweya-Kajansi-24h'!J80,'26.09 Munyonyo-Kajansi-24h'!J80)</f>
        <v>0</v>
      </c>
      <c r="K80" s="49">
        <f>AVERAGE('28.09 Bweya-Kajansi-24h'!K80,'26.09 Munyonyo-Kajansi-24h'!K80)</f>
        <v>0.5</v>
      </c>
      <c r="L80" s="49">
        <f>AVERAGE('28.09 Bweya-Kajansi-24h'!L80,'26.09 Munyonyo-Kajansi-24h'!L80)</f>
        <v>0</v>
      </c>
      <c r="M80" s="49">
        <f>AVERAGE('28.09 Bweya-Kajansi-24h'!M80,'26.09 Munyonyo-Kajansi-24h'!M80)</f>
        <v>1</v>
      </c>
      <c r="N80" s="49">
        <f>AVERAGE('28.09 Bweya-Kajansi-24h'!N80,'26.09 Munyonyo-Kajansi-24h'!N80)</f>
        <v>0</v>
      </c>
      <c r="O80" s="15">
        <f t="shared" si="35"/>
        <v>12.5</v>
      </c>
      <c r="P80" s="15">
        <f t="shared" si="36"/>
        <v>13.5</v>
      </c>
      <c r="R80" s="8"/>
      <c r="T80"/>
    </row>
    <row r="81" spans="2:20" ht="23.1" customHeight="1" x14ac:dyDescent="0.25">
      <c r="B81" s="23" t="s">
        <v>121</v>
      </c>
      <c r="C81" s="49">
        <f>AVERAGE('28.09 Bweya-Kajansi-24h'!C81,'26.09 Munyonyo-Kajansi-24h'!C81)</f>
        <v>6.5</v>
      </c>
      <c r="D81" s="49">
        <f>AVERAGE('28.09 Bweya-Kajansi-24h'!D81,'26.09 Munyonyo-Kajansi-24h'!D81)</f>
        <v>2.5</v>
      </c>
      <c r="E81" s="49">
        <f>AVERAGE('28.09 Bweya-Kajansi-24h'!E81,'26.09 Munyonyo-Kajansi-24h'!E81)</f>
        <v>1</v>
      </c>
      <c r="F81" s="49">
        <f>AVERAGE('28.09 Bweya-Kajansi-24h'!F81,'26.09 Munyonyo-Kajansi-24h'!F81)</f>
        <v>1</v>
      </c>
      <c r="G81" s="49">
        <f>AVERAGE('28.09 Bweya-Kajansi-24h'!G81,'26.09 Munyonyo-Kajansi-24h'!G81)</f>
        <v>0</v>
      </c>
      <c r="H81" s="49">
        <f>AVERAGE('28.09 Bweya-Kajansi-24h'!H81,'26.09 Munyonyo-Kajansi-24h'!H81)</f>
        <v>0</v>
      </c>
      <c r="I81" s="49">
        <f>AVERAGE('28.09 Bweya-Kajansi-24h'!I81,'26.09 Munyonyo-Kajansi-24h'!I81)</f>
        <v>0</v>
      </c>
      <c r="J81" s="49">
        <f>AVERAGE('28.09 Bweya-Kajansi-24h'!J81,'26.09 Munyonyo-Kajansi-24h'!J81)</f>
        <v>0</v>
      </c>
      <c r="K81" s="49">
        <f>AVERAGE('28.09 Bweya-Kajansi-24h'!K81,'26.09 Munyonyo-Kajansi-24h'!K81)</f>
        <v>0</v>
      </c>
      <c r="L81" s="49">
        <f>AVERAGE('28.09 Bweya-Kajansi-24h'!L81,'26.09 Munyonyo-Kajansi-24h'!L81)</f>
        <v>0</v>
      </c>
      <c r="M81" s="49">
        <f>AVERAGE('28.09 Bweya-Kajansi-24h'!M81,'26.09 Munyonyo-Kajansi-24h'!M81)</f>
        <v>5</v>
      </c>
      <c r="N81" s="49">
        <f>AVERAGE('28.09 Bweya-Kajansi-24h'!N81,'26.09 Munyonyo-Kajansi-24h'!N81)</f>
        <v>0</v>
      </c>
      <c r="O81" s="15">
        <f t="shared" si="35"/>
        <v>11</v>
      </c>
      <c r="P81" s="15">
        <f t="shared" si="36"/>
        <v>16</v>
      </c>
      <c r="R81" s="8"/>
      <c r="T81"/>
    </row>
    <row r="82" spans="2:20" ht="23.1" customHeight="1" x14ac:dyDescent="0.25">
      <c r="B82" s="24" t="s">
        <v>122</v>
      </c>
      <c r="C82" s="49">
        <f>AVERAGE('28.09 Bweya-Kajansi-24h'!C82,'26.09 Munyonyo-Kajansi-24h'!C82)</f>
        <v>5.5</v>
      </c>
      <c r="D82" s="49">
        <f>AVERAGE('28.09 Bweya-Kajansi-24h'!D82,'26.09 Munyonyo-Kajansi-24h'!D82)</f>
        <v>2</v>
      </c>
      <c r="E82" s="49">
        <f>AVERAGE('28.09 Bweya-Kajansi-24h'!E82,'26.09 Munyonyo-Kajansi-24h'!E82)</f>
        <v>0.5</v>
      </c>
      <c r="F82" s="49">
        <f>AVERAGE('28.09 Bweya-Kajansi-24h'!F82,'26.09 Munyonyo-Kajansi-24h'!F82)</f>
        <v>0.5</v>
      </c>
      <c r="G82" s="49">
        <f>AVERAGE('28.09 Bweya-Kajansi-24h'!G82,'26.09 Munyonyo-Kajansi-24h'!G82)</f>
        <v>0</v>
      </c>
      <c r="H82" s="49">
        <f>AVERAGE('28.09 Bweya-Kajansi-24h'!H82,'26.09 Munyonyo-Kajansi-24h'!H82)</f>
        <v>0</v>
      </c>
      <c r="I82" s="49">
        <f>AVERAGE('28.09 Bweya-Kajansi-24h'!I82,'26.09 Munyonyo-Kajansi-24h'!I82)</f>
        <v>0</v>
      </c>
      <c r="J82" s="49">
        <f>AVERAGE('28.09 Bweya-Kajansi-24h'!J82,'26.09 Munyonyo-Kajansi-24h'!J82)</f>
        <v>0</v>
      </c>
      <c r="K82" s="49">
        <f>AVERAGE('28.09 Bweya-Kajansi-24h'!K82,'26.09 Munyonyo-Kajansi-24h'!K82)</f>
        <v>0</v>
      </c>
      <c r="L82" s="49">
        <f>AVERAGE('28.09 Bweya-Kajansi-24h'!L82,'26.09 Munyonyo-Kajansi-24h'!L82)</f>
        <v>0</v>
      </c>
      <c r="M82" s="49">
        <f>AVERAGE('28.09 Bweya-Kajansi-24h'!M82,'26.09 Munyonyo-Kajansi-24h'!M82)</f>
        <v>3.5</v>
      </c>
      <c r="N82" s="49">
        <f>AVERAGE('28.09 Bweya-Kajansi-24h'!N82,'26.09 Munyonyo-Kajansi-24h'!N82)</f>
        <v>0</v>
      </c>
      <c r="O82" s="15">
        <f t="shared" si="35"/>
        <v>8.5</v>
      </c>
      <c r="P82" s="15">
        <f t="shared" si="36"/>
        <v>12</v>
      </c>
      <c r="R82" s="8"/>
      <c r="T82"/>
    </row>
    <row r="83" spans="2:20" ht="23.1" customHeight="1" x14ac:dyDescent="0.25">
      <c r="B83" s="23" t="s">
        <v>123</v>
      </c>
      <c r="C83" s="49">
        <f>AVERAGE('28.09 Bweya-Kajansi-24h'!C83,'26.09 Munyonyo-Kajansi-24h'!C83)</f>
        <v>2.5</v>
      </c>
      <c r="D83" s="49">
        <f>AVERAGE('28.09 Bweya-Kajansi-24h'!D83,'26.09 Munyonyo-Kajansi-24h'!D83)</f>
        <v>3</v>
      </c>
      <c r="E83" s="49">
        <f>AVERAGE('28.09 Bweya-Kajansi-24h'!E83,'26.09 Munyonyo-Kajansi-24h'!E83)</f>
        <v>0</v>
      </c>
      <c r="F83" s="49">
        <f>AVERAGE('28.09 Bweya-Kajansi-24h'!F83,'26.09 Munyonyo-Kajansi-24h'!F83)</f>
        <v>0</v>
      </c>
      <c r="G83" s="49">
        <f>AVERAGE('28.09 Bweya-Kajansi-24h'!G83,'26.09 Munyonyo-Kajansi-24h'!G83)</f>
        <v>0</v>
      </c>
      <c r="H83" s="49">
        <f>AVERAGE('28.09 Bweya-Kajansi-24h'!H83,'26.09 Munyonyo-Kajansi-24h'!H83)</f>
        <v>0</v>
      </c>
      <c r="I83" s="49">
        <f>AVERAGE('28.09 Bweya-Kajansi-24h'!I83,'26.09 Munyonyo-Kajansi-24h'!I83)</f>
        <v>0.5</v>
      </c>
      <c r="J83" s="49">
        <f>AVERAGE('28.09 Bweya-Kajansi-24h'!J83,'26.09 Munyonyo-Kajansi-24h'!J83)</f>
        <v>0</v>
      </c>
      <c r="K83" s="49">
        <f>AVERAGE('28.09 Bweya-Kajansi-24h'!K83,'26.09 Munyonyo-Kajansi-24h'!K83)</f>
        <v>0</v>
      </c>
      <c r="L83" s="49">
        <f>AVERAGE('28.09 Bweya-Kajansi-24h'!L83,'26.09 Munyonyo-Kajansi-24h'!L83)</f>
        <v>0</v>
      </c>
      <c r="M83" s="49">
        <f>AVERAGE('28.09 Bweya-Kajansi-24h'!M83,'26.09 Munyonyo-Kajansi-24h'!M83)</f>
        <v>3</v>
      </c>
      <c r="N83" s="49">
        <f>AVERAGE('28.09 Bweya-Kajansi-24h'!N83,'26.09 Munyonyo-Kajansi-24h'!N83)</f>
        <v>0</v>
      </c>
      <c r="O83" s="15">
        <f t="shared" si="35"/>
        <v>6</v>
      </c>
      <c r="P83" s="15">
        <f t="shared" si="36"/>
        <v>9</v>
      </c>
      <c r="R83" s="8"/>
      <c r="T83"/>
    </row>
    <row r="84" spans="2:20" ht="23.1" customHeight="1" x14ac:dyDescent="0.25">
      <c r="B84" s="25" t="s">
        <v>124</v>
      </c>
      <c r="C84" s="49">
        <f>AVERAGE('28.09 Bweya-Kajansi-24h'!C84,'26.09 Munyonyo-Kajansi-24h'!C84)</f>
        <v>4.5</v>
      </c>
      <c r="D84" s="49">
        <f>AVERAGE('28.09 Bweya-Kajansi-24h'!D84,'26.09 Munyonyo-Kajansi-24h'!D84)</f>
        <v>4</v>
      </c>
      <c r="E84" s="49">
        <f>AVERAGE('28.09 Bweya-Kajansi-24h'!E84,'26.09 Munyonyo-Kajansi-24h'!E84)</f>
        <v>2.5</v>
      </c>
      <c r="F84" s="49">
        <f>AVERAGE('28.09 Bweya-Kajansi-24h'!F84,'26.09 Munyonyo-Kajansi-24h'!F84)</f>
        <v>0.5</v>
      </c>
      <c r="G84" s="49">
        <f>AVERAGE('28.09 Bweya-Kajansi-24h'!G84,'26.09 Munyonyo-Kajansi-24h'!G84)</f>
        <v>0</v>
      </c>
      <c r="H84" s="49">
        <f>AVERAGE('28.09 Bweya-Kajansi-24h'!H84,'26.09 Munyonyo-Kajansi-24h'!H84)</f>
        <v>0</v>
      </c>
      <c r="I84" s="49">
        <f>AVERAGE('28.09 Bweya-Kajansi-24h'!I84,'26.09 Munyonyo-Kajansi-24h'!I84)</f>
        <v>0.5</v>
      </c>
      <c r="J84" s="49">
        <f>AVERAGE('28.09 Bweya-Kajansi-24h'!J84,'26.09 Munyonyo-Kajansi-24h'!J84)</f>
        <v>0</v>
      </c>
      <c r="K84" s="49">
        <f>AVERAGE('28.09 Bweya-Kajansi-24h'!K84,'26.09 Munyonyo-Kajansi-24h'!K84)</f>
        <v>0.5</v>
      </c>
      <c r="L84" s="49">
        <f>AVERAGE('28.09 Bweya-Kajansi-24h'!L84,'26.09 Munyonyo-Kajansi-24h'!L84)</f>
        <v>0</v>
      </c>
      <c r="M84" s="49">
        <f>AVERAGE('28.09 Bweya-Kajansi-24h'!M84,'26.09 Munyonyo-Kajansi-24h'!M84)</f>
        <v>3</v>
      </c>
      <c r="N84" s="49">
        <f>AVERAGE('28.09 Bweya-Kajansi-24h'!N84,'26.09 Munyonyo-Kajansi-24h'!N84)</f>
        <v>0</v>
      </c>
      <c r="O84" s="15">
        <f t="shared" si="35"/>
        <v>12.5</v>
      </c>
      <c r="P84" s="15">
        <f t="shared" si="36"/>
        <v>15.5</v>
      </c>
      <c r="R84" s="8"/>
      <c r="T84"/>
    </row>
    <row r="85" spans="2:20" ht="23.1" customHeight="1" x14ac:dyDescent="0.25">
      <c r="B85" s="23" t="s">
        <v>125</v>
      </c>
      <c r="C85" s="49">
        <f>AVERAGE('28.09 Bweya-Kajansi-24h'!C85,'26.09 Munyonyo-Kajansi-24h'!C85)</f>
        <v>6</v>
      </c>
      <c r="D85" s="49">
        <f>AVERAGE('28.09 Bweya-Kajansi-24h'!D85,'26.09 Munyonyo-Kajansi-24h'!D85)</f>
        <v>1.5</v>
      </c>
      <c r="E85" s="49">
        <f>AVERAGE('28.09 Bweya-Kajansi-24h'!E85,'26.09 Munyonyo-Kajansi-24h'!E85)</f>
        <v>0</v>
      </c>
      <c r="F85" s="49">
        <f>AVERAGE('28.09 Bweya-Kajansi-24h'!F85,'26.09 Munyonyo-Kajansi-24h'!F85)</f>
        <v>0</v>
      </c>
      <c r="G85" s="49">
        <f>AVERAGE('28.09 Bweya-Kajansi-24h'!G85,'26.09 Munyonyo-Kajansi-24h'!G85)</f>
        <v>0</v>
      </c>
      <c r="H85" s="49">
        <f>AVERAGE('28.09 Bweya-Kajansi-24h'!H85,'26.09 Munyonyo-Kajansi-24h'!H85)</f>
        <v>0</v>
      </c>
      <c r="I85" s="49">
        <f>AVERAGE('28.09 Bweya-Kajansi-24h'!I85,'26.09 Munyonyo-Kajansi-24h'!I85)</f>
        <v>1</v>
      </c>
      <c r="J85" s="49">
        <f>AVERAGE('28.09 Bweya-Kajansi-24h'!J85,'26.09 Munyonyo-Kajansi-24h'!J85)</f>
        <v>0</v>
      </c>
      <c r="K85" s="49">
        <f>AVERAGE('28.09 Bweya-Kajansi-24h'!K85,'26.09 Munyonyo-Kajansi-24h'!K85)</f>
        <v>0</v>
      </c>
      <c r="L85" s="49">
        <f>AVERAGE('28.09 Bweya-Kajansi-24h'!L85,'26.09 Munyonyo-Kajansi-24h'!L85)</f>
        <v>0</v>
      </c>
      <c r="M85" s="49">
        <f>AVERAGE('28.09 Bweya-Kajansi-24h'!M85,'26.09 Munyonyo-Kajansi-24h'!M85)</f>
        <v>2</v>
      </c>
      <c r="N85" s="49">
        <f>AVERAGE('28.09 Bweya-Kajansi-24h'!N85,'26.09 Munyonyo-Kajansi-24h'!N85)</f>
        <v>0</v>
      </c>
      <c r="O85" s="15">
        <f t="shared" si="35"/>
        <v>8.5</v>
      </c>
      <c r="P85" s="15">
        <f t="shared" si="36"/>
        <v>10.5</v>
      </c>
      <c r="R85" s="8"/>
      <c r="T85"/>
    </row>
    <row r="86" spans="2:20" ht="23.1" customHeight="1" x14ac:dyDescent="0.25">
      <c r="B86" s="24" t="s">
        <v>126</v>
      </c>
      <c r="C86" s="49">
        <f>AVERAGE('28.09 Bweya-Kajansi-24h'!C86,'26.09 Munyonyo-Kajansi-24h'!C86)</f>
        <v>1</v>
      </c>
      <c r="D86" s="49">
        <f>AVERAGE('28.09 Bweya-Kajansi-24h'!D86,'26.09 Munyonyo-Kajansi-24h'!D86)</f>
        <v>2</v>
      </c>
      <c r="E86" s="49">
        <f>AVERAGE('28.09 Bweya-Kajansi-24h'!E86,'26.09 Munyonyo-Kajansi-24h'!E86)</f>
        <v>0</v>
      </c>
      <c r="F86" s="49">
        <f>AVERAGE('28.09 Bweya-Kajansi-24h'!F86,'26.09 Munyonyo-Kajansi-24h'!F86)</f>
        <v>0.5</v>
      </c>
      <c r="G86" s="49">
        <f>AVERAGE('28.09 Bweya-Kajansi-24h'!G86,'26.09 Munyonyo-Kajansi-24h'!G86)</f>
        <v>0.5</v>
      </c>
      <c r="H86" s="49">
        <f>AVERAGE('28.09 Bweya-Kajansi-24h'!H86,'26.09 Munyonyo-Kajansi-24h'!H86)</f>
        <v>0.5</v>
      </c>
      <c r="I86" s="49">
        <f>AVERAGE('28.09 Bweya-Kajansi-24h'!I86,'26.09 Munyonyo-Kajansi-24h'!I86)</f>
        <v>0.5</v>
      </c>
      <c r="J86" s="49">
        <f>AVERAGE('28.09 Bweya-Kajansi-24h'!J86,'26.09 Munyonyo-Kajansi-24h'!J86)</f>
        <v>0</v>
      </c>
      <c r="K86" s="49">
        <f>AVERAGE('28.09 Bweya-Kajansi-24h'!K86,'26.09 Munyonyo-Kajansi-24h'!K86)</f>
        <v>0.5</v>
      </c>
      <c r="L86" s="49">
        <f>AVERAGE('28.09 Bweya-Kajansi-24h'!L86,'26.09 Munyonyo-Kajansi-24h'!L86)</f>
        <v>0</v>
      </c>
      <c r="M86" s="49">
        <f>AVERAGE('28.09 Bweya-Kajansi-24h'!M86,'26.09 Munyonyo-Kajansi-24h'!M86)</f>
        <v>4.5</v>
      </c>
      <c r="N86" s="49">
        <f>AVERAGE('28.09 Bweya-Kajansi-24h'!N86,'26.09 Munyonyo-Kajansi-24h'!N86)</f>
        <v>0</v>
      </c>
      <c r="O86" s="15">
        <f t="shared" si="35"/>
        <v>5.5</v>
      </c>
      <c r="P86" s="15">
        <f t="shared" si="36"/>
        <v>10</v>
      </c>
      <c r="R86" s="8"/>
      <c r="T86"/>
    </row>
    <row r="87" spans="2:20" ht="23.1" customHeight="1" x14ac:dyDescent="0.25">
      <c r="B87" s="23" t="s">
        <v>127</v>
      </c>
      <c r="C87" s="49">
        <f>AVERAGE('28.09 Bweya-Kajansi-24h'!C87,'26.09 Munyonyo-Kajansi-24h'!C87)</f>
        <v>1.5</v>
      </c>
      <c r="D87" s="49">
        <f>AVERAGE('28.09 Bweya-Kajansi-24h'!D87,'26.09 Munyonyo-Kajansi-24h'!D87)</f>
        <v>1.5</v>
      </c>
      <c r="E87" s="49">
        <f>AVERAGE('28.09 Bweya-Kajansi-24h'!E87,'26.09 Munyonyo-Kajansi-24h'!E87)</f>
        <v>0.5</v>
      </c>
      <c r="F87" s="49">
        <f>AVERAGE('28.09 Bweya-Kajansi-24h'!F87,'26.09 Munyonyo-Kajansi-24h'!F87)</f>
        <v>0</v>
      </c>
      <c r="G87" s="49">
        <f>AVERAGE('28.09 Bweya-Kajansi-24h'!G87,'26.09 Munyonyo-Kajansi-24h'!G87)</f>
        <v>0</v>
      </c>
      <c r="H87" s="49">
        <f>AVERAGE('28.09 Bweya-Kajansi-24h'!H87,'26.09 Munyonyo-Kajansi-24h'!H87)</f>
        <v>0</v>
      </c>
      <c r="I87" s="49">
        <f>AVERAGE('28.09 Bweya-Kajansi-24h'!I87,'26.09 Munyonyo-Kajansi-24h'!I87)</f>
        <v>0.5</v>
      </c>
      <c r="J87" s="49">
        <f>AVERAGE('28.09 Bweya-Kajansi-24h'!J87,'26.09 Munyonyo-Kajansi-24h'!J87)</f>
        <v>0</v>
      </c>
      <c r="K87" s="49">
        <f>AVERAGE('28.09 Bweya-Kajansi-24h'!K87,'26.09 Munyonyo-Kajansi-24h'!K87)</f>
        <v>0</v>
      </c>
      <c r="L87" s="49">
        <f>AVERAGE('28.09 Bweya-Kajansi-24h'!L87,'26.09 Munyonyo-Kajansi-24h'!L87)</f>
        <v>0</v>
      </c>
      <c r="M87" s="49">
        <f>AVERAGE('28.09 Bweya-Kajansi-24h'!M87,'26.09 Munyonyo-Kajansi-24h'!M87)</f>
        <v>1.5</v>
      </c>
      <c r="N87" s="49">
        <f>AVERAGE('28.09 Bweya-Kajansi-24h'!N87,'26.09 Munyonyo-Kajansi-24h'!N87)</f>
        <v>0</v>
      </c>
      <c r="O87" s="15">
        <f t="shared" si="35"/>
        <v>4</v>
      </c>
      <c r="P87" s="15">
        <f t="shared" si="36"/>
        <v>5.5</v>
      </c>
      <c r="R87" s="8"/>
      <c r="T87"/>
    </row>
    <row r="88" spans="2:20" ht="23.1" customHeight="1" x14ac:dyDescent="0.25">
      <c r="B88" s="25" t="s">
        <v>128</v>
      </c>
      <c r="C88" s="49">
        <f>AVERAGE('28.09 Bweya-Kajansi-24h'!C88,'26.09 Munyonyo-Kajansi-24h'!C88)</f>
        <v>5.5</v>
      </c>
      <c r="D88" s="49">
        <f>AVERAGE('28.09 Bweya-Kajansi-24h'!D88,'26.09 Munyonyo-Kajansi-24h'!D88)</f>
        <v>1.5</v>
      </c>
      <c r="E88" s="49">
        <f>AVERAGE('28.09 Bweya-Kajansi-24h'!E88,'26.09 Munyonyo-Kajansi-24h'!E88)</f>
        <v>0.5</v>
      </c>
      <c r="F88" s="49">
        <f>AVERAGE('28.09 Bweya-Kajansi-24h'!F88,'26.09 Munyonyo-Kajansi-24h'!F88)</f>
        <v>2</v>
      </c>
      <c r="G88" s="49">
        <f>AVERAGE('28.09 Bweya-Kajansi-24h'!G88,'26.09 Munyonyo-Kajansi-24h'!G88)</f>
        <v>0</v>
      </c>
      <c r="H88" s="49">
        <f>AVERAGE('28.09 Bweya-Kajansi-24h'!H88,'26.09 Munyonyo-Kajansi-24h'!H88)</f>
        <v>0.5</v>
      </c>
      <c r="I88" s="49">
        <f>AVERAGE('28.09 Bweya-Kajansi-24h'!I88,'26.09 Munyonyo-Kajansi-24h'!I88)</f>
        <v>0</v>
      </c>
      <c r="J88" s="49">
        <f>AVERAGE('28.09 Bweya-Kajansi-24h'!J88,'26.09 Munyonyo-Kajansi-24h'!J88)</f>
        <v>0</v>
      </c>
      <c r="K88" s="49">
        <f>AVERAGE('28.09 Bweya-Kajansi-24h'!K88,'26.09 Munyonyo-Kajansi-24h'!K88)</f>
        <v>0</v>
      </c>
      <c r="L88" s="49">
        <f>AVERAGE('28.09 Bweya-Kajansi-24h'!L88,'26.09 Munyonyo-Kajansi-24h'!L88)</f>
        <v>0</v>
      </c>
      <c r="M88" s="49">
        <f>AVERAGE('28.09 Bweya-Kajansi-24h'!M88,'26.09 Munyonyo-Kajansi-24h'!M88)</f>
        <v>1</v>
      </c>
      <c r="N88" s="49">
        <f>AVERAGE('28.09 Bweya-Kajansi-24h'!N88,'26.09 Munyonyo-Kajansi-24h'!N88)</f>
        <v>0</v>
      </c>
      <c r="O88" s="15">
        <f t="shared" si="35"/>
        <v>10</v>
      </c>
      <c r="P88" s="15">
        <f t="shared" si="36"/>
        <v>11</v>
      </c>
      <c r="R88" s="8"/>
      <c r="T88"/>
    </row>
    <row r="89" spans="2:20" ht="23.1" customHeight="1" x14ac:dyDescent="0.25">
      <c r="B89" s="23" t="s">
        <v>129</v>
      </c>
      <c r="C89" s="49">
        <f>AVERAGE('28.09 Bweya-Kajansi-24h'!C89,'26.09 Munyonyo-Kajansi-24h'!C89)</f>
        <v>4</v>
      </c>
      <c r="D89" s="49">
        <f>AVERAGE('28.09 Bweya-Kajansi-24h'!D89,'26.09 Munyonyo-Kajansi-24h'!D89)</f>
        <v>0.5</v>
      </c>
      <c r="E89" s="49">
        <f>AVERAGE('28.09 Bweya-Kajansi-24h'!E89,'26.09 Munyonyo-Kajansi-24h'!E89)</f>
        <v>0</v>
      </c>
      <c r="F89" s="49">
        <f>AVERAGE('28.09 Bweya-Kajansi-24h'!F89,'26.09 Munyonyo-Kajansi-24h'!F89)</f>
        <v>0</v>
      </c>
      <c r="G89" s="49">
        <f>AVERAGE('28.09 Bweya-Kajansi-24h'!G89,'26.09 Munyonyo-Kajansi-24h'!G89)</f>
        <v>0</v>
      </c>
      <c r="H89" s="49">
        <f>AVERAGE('28.09 Bweya-Kajansi-24h'!H89,'26.09 Munyonyo-Kajansi-24h'!H89)</f>
        <v>0</v>
      </c>
      <c r="I89" s="49">
        <f>AVERAGE('28.09 Bweya-Kajansi-24h'!I89,'26.09 Munyonyo-Kajansi-24h'!I89)</f>
        <v>0</v>
      </c>
      <c r="J89" s="49">
        <f>AVERAGE('28.09 Bweya-Kajansi-24h'!J89,'26.09 Munyonyo-Kajansi-24h'!J89)</f>
        <v>0</v>
      </c>
      <c r="K89" s="49">
        <f>AVERAGE('28.09 Bweya-Kajansi-24h'!K89,'26.09 Munyonyo-Kajansi-24h'!K89)</f>
        <v>0</v>
      </c>
      <c r="L89" s="49">
        <f>AVERAGE('28.09 Bweya-Kajansi-24h'!L89,'26.09 Munyonyo-Kajansi-24h'!L89)</f>
        <v>0</v>
      </c>
      <c r="M89" s="49">
        <f>AVERAGE('28.09 Bweya-Kajansi-24h'!M89,'26.09 Munyonyo-Kajansi-24h'!M89)</f>
        <v>2.5</v>
      </c>
      <c r="N89" s="49">
        <f>AVERAGE('28.09 Bweya-Kajansi-24h'!N89,'26.09 Munyonyo-Kajansi-24h'!N89)</f>
        <v>0</v>
      </c>
      <c r="O89" s="15">
        <f t="shared" si="35"/>
        <v>4.5</v>
      </c>
      <c r="P89" s="15">
        <f t="shared" si="36"/>
        <v>7</v>
      </c>
      <c r="R89" s="8"/>
      <c r="T89"/>
    </row>
    <row r="90" spans="2:20" ht="23.1" customHeight="1" x14ac:dyDescent="0.25">
      <c r="B90" s="24" t="s">
        <v>130</v>
      </c>
      <c r="C90" s="49">
        <f>AVERAGE('28.09 Bweya-Kajansi-24h'!C90,'26.09 Munyonyo-Kajansi-24h'!C90)</f>
        <v>1</v>
      </c>
      <c r="D90" s="49">
        <f>AVERAGE('28.09 Bweya-Kajansi-24h'!D90,'26.09 Munyonyo-Kajansi-24h'!D90)</f>
        <v>0</v>
      </c>
      <c r="E90" s="49">
        <f>AVERAGE('28.09 Bweya-Kajansi-24h'!E90,'26.09 Munyonyo-Kajansi-24h'!E90)</f>
        <v>0.5</v>
      </c>
      <c r="F90" s="49">
        <f>AVERAGE('28.09 Bweya-Kajansi-24h'!F90,'26.09 Munyonyo-Kajansi-24h'!F90)</f>
        <v>0</v>
      </c>
      <c r="G90" s="49">
        <f>AVERAGE('28.09 Bweya-Kajansi-24h'!G90,'26.09 Munyonyo-Kajansi-24h'!G90)</f>
        <v>0</v>
      </c>
      <c r="H90" s="49">
        <f>AVERAGE('28.09 Bweya-Kajansi-24h'!H90,'26.09 Munyonyo-Kajansi-24h'!H90)</f>
        <v>0</v>
      </c>
      <c r="I90" s="49">
        <f>AVERAGE('28.09 Bweya-Kajansi-24h'!I90,'26.09 Munyonyo-Kajansi-24h'!I90)</f>
        <v>0</v>
      </c>
      <c r="J90" s="49">
        <f>AVERAGE('28.09 Bweya-Kajansi-24h'!J90,'26.09 Munyonyo-Kajansi-24h'!J90)</f>
        <v>0</v>
      </c>
      <c r="K90" s="49">
        <f>AVERAGE('28.09 Bweya-Kajansi-24h'!K90,'26.09 Munyonyo-Kajansi-24h'!K90)</f>
        <v>0</v>
      </c>
      <c r="L90" s="49">
        <f>AVERAGE('28.09 Bweya-Kajansi-24h'!L90,'26.09 Munyonyo-Kajansi-24h'!L90)</f>
        <v>0</v>
      </c>
      <c r="M90" s="49">
        <f>AVERAGE('28.09 Bweya-Kajansi-24h'!M90,'26.09 Munyonyo-Kajansi-24h'!M90)</f>
        <v>1</v>
      </c>
      <c r="N90" s="49">
        <f>AVERAGE('28.09 Bweya-Kajansi-24h'!N90,'26.09 Munyonyo-Kajansi-24h'!N90)</f>
        <v>0</v>
      </c>
      <c r="O90" s="15">
        <f t="shared" si="35"/>
        <v>1.5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AVERAGE('28.09 Bweya-Kajansi-24h'!C91,'26.09 Munyonyo-Kajansi-24h'!C91)</f>
        <v>2.5</v>
      </c>
      <c r="D91" s="49">
        <f>AVERAGE('28.09 Bweya-Kajansi-24h'!D91,'26.09 Munyonyo-Kajansi-24h'!D91)</f>
        <v>0.5</v>
      </c>
      <c r="E91" s="49">
        <f>AVERAGE('28.09 Bweya-Kajansi-24h'!E91,'26.09 Munyonyo-Kajansi-24h'!E91)</f>
        <v>0.5</v>
      </c>
      <c r="F91" s="49">
        <f>AVERAGE('28.09 Bweya-Kajansi-24h'!F91,'26.09 Munyonyo-Kajansi-24h'!F91)</f>
        <v>0.5</v>
      </c>
      <c r="G91" s="49">
        <f>AVERAGE('28.09 Bweya-Kajansi-24h'!G91,'26.09 Munyonyo-Kajansi-24h'!G91)</f>
        <v>0</v>
      </c>
      <c r="H91" s="49">
        <f>AVERAGE('28.09 Bweya-Kajansi-24h'!H91,'26.09 Munyonyo-Kajansi-24h'!H91)</f>
        <v>0</v>
      </c>
      <c r="I91" s="49">
        <f>AVERAGE('28.09 Bweya-Kajansi-24h'!I91,'26.09 Munyonyo-Kajansi-24h'!I91)</f>
        <v>0</v>
      </c>
      <c r="J91" s="49">
        <f>AVERAGE('28.09 Bweya-Kajansi-24h'!J91,'26.09 Munyonyo-Kajansi-24h'!J91)</f>
        <v>0</v>
      </c>
      <c r="K91" s="49">
        <f>AVERAGE('28.09 Bweya-Kajansi-24h'!K91,'26.09 Munyonyo-Kajansi-24h'!K91)</f>
        <v>0</v>
      </c>
      <c r="L91" s="49">
        <f>AVERAGE('28.09 Bweya-Kajansi-24h'!L91,'26.09 Munyonyo-Kajansi-24h'!L91)</f>
        <v>0</v>
      </c>
      <c r="M91" s="49">
        <f>AVERAGE('28.09 Bweya-Kajansi-24h'!M91,'26.09 Munyonyo-Kajansi-24h'!M91)</f>
        <v>0</v>
      </c>
      <c r="N91" s="49">
        <f>AVERAGE('28.09 Bweya-Kajansi-24h'!N91,'26.09 Munyonyo-Kajansi-24h'!N91)</f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25" t="s">
        <v>132</v>
      </c>
      <c r="C92" s="49">
        <f>AVERAGE('28.09 Bweya-Kajansi-24h'!C92,'26.09 Munyonyo-Kajansi-24h'!C92)</f>
        <v>2.5</v>
      </c>
      <c r="D92" s="49">
        <f>AVERAGE('28.09 Bweya-Kajansi-24h'!D92,'26.09 Munyonyo-Kajansi-24h'!D92)</f>
        <v>1.5</v>
      </c>
      <c r="E92" s="49">
        <f>AVERAGE('28.09 Bweya-Kajansi-24h'!E92,'26.09 Munyonyo-Kajansi-24h'!E92)</f>
        <v>0</v>
      </c>
      <c r="F92" s="49">
        <f>AVERAGE('28.09 Bweya-Kajansi-24h'!F92,'26.09 Munyonyo-Kajansi-24h'!F92)</f>
        <v>0</v>
      </c>
      <c r="G92" s="49">
        <f>AVERAGE('28.09 Bweya-Kajansi-24h'!G92,'26.09 Munyonyo-Kajansi-24h'!G92)</f>
        <v>0</v>
      </c>
      <c r="H92" s="49">
        <f>AVERAGE('28.09 Bweya-Kajansi-24h'!H92,'26.09 Munyonyo-Kajansi-24h'!H92)</f>
        <v>0</v>
      </c>
      <c r="I92" s="49">
        <f>AVERAGE('28.09 Bweya-Kajansi-24h'!I92,'26.09 Munyonyo-Kajansi-24h'!I92)</f>
        <v>0.5</v>
      </c>
      <c r="J92" s="49">
        <f>AVERAGE('28.09 Bweya-Kajansi-24h'!J92,'26.09 Munyonyo-Kajansi-24h'!J92)</f>
        <v>0</v>
      </c>
      <c r="K92" s="49">
        <f>AVERAGE('28.09 Bweya-Kajansi-24h'!K92,'26.09 Munyonyo-Kajansi-24h'!K92)</f>
        <v>0</v>
      </c>
      <c r="L92" s="49">
        <f>AVERAGE('28.09 Bweya-Kajansi-24h'!L92,'26.09 Munyonyo-Kajansi-24h'!L92)</f>
        <v>0</v>
      </c>
      <c r="M92" s="49">
        <f>AVERAGE('28.09 Bweya-Kajansi-24h'!M92,'26.09 Munyonyo-Kajansi-24h'!M92)</f>
        <v>1.5</v>
      </c>
      <c r="N92" s="49">
        <f>AVERAGE('28.09 Bweya-Kajansi-24h'!N92,'26.09 Munyonyo-Kajansi-24h'!N92)</f>
        <v>0</v>
      </c>
      <c r="O92" s="15">
        <f t="shared" si="35"/>
        <v>4.5</v>
      </c>
      <c r="P92" s="15">
        <f t="shared" si="36"/>
        <v>6</v>
      </c>
      <c r="R92" s="8"/>
      <c r="T92"/>
    </row>
    <row r="93" spans="2:20" ht="23.1" customHeight="1" x14ac:dyDescent="0.25">
      <c r="B93" s="23" t="s">
        <v>133</v>
      </c>
      <c r="C93" s="49">
        <f>AVERAGE('28.09 Bweya-Kajansi-24h'!C93,'26.09 Munyonyo-Kajansi-24h'!C93)</f>
        <v>1</v>
      </c>
      <c r="D93" s="49">
        <f>AVERAGE('28.09 Bweya-Kajansi-24h'!D93,'26.09 Munyonyo-Kajansi-24h'!D93)</f>
        <v>0</v>
      </c>
      <c r="E93" s="49">
        <f>AVERAGE('28.09 Bweya-Kajansi-24h'!E93,'26.09 Munyonyo-Kajansi-24h'!E93)</f>
        <v>0</v>
      </c>
      <c r="F93" s="49">
        <f>AVERAGE('28.09 Bweya-Kajansi-24h'!F93,'26.09 Munyonyo-Kajansi-24h'!F93)</f>
        <v>0</v>
      </c>
      <c r="G93" s="49">
        <f>AVERAGE('28.09 Bweya-Kajansi-24h'!G93,'26.09 Munyonyo-Kajansi-24h'!G93)</f>
        <v>0</v>
      </c>
      <c r="H93" s="49">
        <f>AVERAGE('28.09 Bweya-Kajansi-24h'!H93,'26.09 Munyonyo-Kajansi-24h'!H93)</f>
        <v>0</v>
      </c>
      <c r="I93" s="49">
        <f>AVERAGE('28.09 Bweya-Kajansi-24h'!I93,'26.09 Munyonyo-Kajansi-24h'!I93)</f>
        <v>0</v>
      </c>
      <c r="J93" s="49">
        <f>AVERAGE('28.09 Bweya-Kajansi-24h'!J93,'26.09 Munyonyo-Kajansi-24h'!J93)</f>
        <v>0</v>
      </c>
      <c r="K93" s="49">
        <f>AVERAGE('28.09 Bweya-Kajansi-24h'!K93,'26.09 Munyonyo-Kajansi-24h'!K93)</f>
        <v>0</v>
      </c>
      <c r="L93" s="49">
        <f>AVERAGE('28.09 Bweya-Kajansi-24h'!L93,'26.09 Munyonyo-Kajansi-24h'!L93)</f>
        <v>0</v>
      </c>
      <c r="M93" s="49">
        <f>AVERAGE('28.09 Bweya-Kajansi-24h'!M93,'26.09 Munyonyo-Kajansi-24h'!M93)</f>
        <v>2</v>
      </c>
      <c r="N93" s="49">
        <f>AVERAGE('28.09 Bweya-Kajansi-24h'!N93,'26.09 Munyonyo-Kajansi-24h'!N93)</f>
        <v>0</v>
      </c>
      <c r="O93" s="15">
        <f t="shared" si="35"/>
        <v>1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AVERAGE('28.09 Bweya-Kajansi-24h'!C94,'26.09 Munyonyo-Kajansi-24h'!C94)</f>
        <v>2</v>
      </c>
      <c r="D94" s="49">
        <f>AVERAGE('28.09 Bweya-Kajansi-24h'!D94,'26.09 Munyonyo-Kajansi-24h'!D94)</f>
        <v>1</v>
      </c>
      <c r="E94" s="49">
        <f>AVERAGE('28.09 Bweya-Kajansi-24h'!E94,'26.09 Munyonyo-Kajansi-24h'!E94)</f>
        <v>0</v>
      </c>
      <c r="F94" s="49">
        <f>AVERAGE('28.09 Bweya-Kajansi-24h'!F94,'26.09 Munyonyo-Kajansi-24h'!F94)</f>
        <v>0</v>
      </c>
      <c r="G94" s="49">
        <f>AVERAGE('28.09 Bweya-Kajansi-24h'!G94,'26.09 Munyonyo-Kajansi-24h'!G94)</f>
        <v>0</v>
      </c>
      <c r="H94" s="49">
        <f>AVERAGE('28.09 Bweya-Kajansi-24h'!H94,'26.09 Munyonyo-Kajansi-24h'!H94)</f>
        <v>0</v>
      </c>
      <c r="I94" s="49">
        <f>AVERAGE('28.09 Bweya-Kajansi-24h'!I94,'26.09 Munyonyo-Kajansi-24h'!I94)</f>
        <v>0</v>
      </c>
      <c r="J94" s="49">
        <f>AVERAGE('28.09 Bweya-Kajansi-24h'!J94,'26.09 Munyonyo-Kajansi-24h'!J94)</f>
        <v>0</v>
      </c>
      <c r="K94" s="49">
        <f>AVERAGE('28.09 Bweya-Kajansi-24h'!K94,'26.09 Munyonyo-Kajansi-24h'!K94)</f>
        <v>0</v>
      </c>
      <c r="L94" s="49">
        <f>AVERAGE('28.09 Bweya-Kajansi-24h'!L94,'26.09 Munyonyo-Kajansi-24h'!L94)</f>
        <v>0</v>
      </c>
      <c r="M94" s="49">
        <f>AVERAGE('28.09 Bweya-Kajansi-24h'!M94,'26.09 Munyonyo-Kajansi-24h'!M94)</f>
        <v>1.5</v>
      </c>
      <c r="N94" s="49">
        <f>AVERAGE('28.09 Bweya-Kajansi-24h'!N94,'26.09 Munyonyo-Kajansi-24h'!N94)</f>
        <v>0</v>
      </c>
      <c r="O94" s="15">
        <f t="shared" si="35"/>
        <v>3</v>
      </c>
      <c r="P94" s="15">
        <f t="shared" si="36"/>
        <v>4.5</v>
      </c>
      <c r="R94" s="8"/>
      <c r="T94"/>
    </row>
    <row r="95" spans="2:20" ht="23.1" customHeight="1" x14ac:dyDescent="0.25">
      <c r="B95" s="23" t="s">
        <v>135</v>
      </c>
      <c r="C95" s="49">
        <f>AVERAGE('28.09 Bweya-Kajansi-24h'!C95,'26.09 Munyonyo-Kajansi-24h'!C95)</f>
        <v>2.5</v>
      </c>
      <c r="D95" s="49">
        <f>AVERAGE('28.09 Bweya-Kajansi-24h'!D95,'26.09 Munyonyo-Kajansi-24h'!D95)</f>
        <v>1</v>
      </c>
      <c r="E95" s="49">
        <f>AVERAGE('28.09 Bweya-Kajansi-24h'!E95,'26.09 Munyonyo-Kajansi-24h'!E95)</f>
        <v>0.5</v>
      </c>
      <c r="F95" s="49">
        <f>AVERAGE('28.09 Bweya-Kajansi-24h'!F95,'26.09 Munyonyo-Kajansi-24h'!F95)</f>
        <v>0</v>
      </c>
      <c r="G95" s="49">
        <f>AVERAGE('28.09 Bweya-Kajansi-24h'!G95,'26.09 Munyonyo-Kajansi-24h'!G95)</f>
        <v>0</v>
      </c>
      <c r="H95" s="49">
        <f>AVERAGE('28.09 Bweya-Kajansi-24h'!H95,'26.09 Munyonyo-Kajansi-24h'!H95)</f>
        <v>0</v>
      </c>
      <c r="I95" s="49">
        <f>AVERAGE('28.09 Bweya-Kajansi-24h'!I95,'26.09 Munyonyo-Kajansi-24h'!I95)</f>
        <v>0</v>
      </c>
      <c r="J95" s="49">
        <f>AVERAGE('28.09 Bweya-Kajansi-24h'!J95,'26.09 Munyonyo-Kajansi-24h'!J95)</f>
        <v>0.5</v>
      </c>
      <c r="K95" s="49">
        <f>AVERAGE('28.09 Bweya-Kajansi-24h'!K95,'26.09 Munyonyo-Kajansi-24h'!K95)</f>
        <v>0</v>
      </c>
      <c r="L95" s="49">
        <f>AVERAGE('28.09 Bweya-Kajansi-24h'!L95,'26.09 Munyonyo-Kajansi-24h'!L95)</f>
        <v>0</v>
      </c>
      <c r="M95" s="49">
        <f>AVERAGE('28.09 Bweya-Kajansi-24h'!M95,'26.09 Munyonyo-Kajansi-24h'!M95)</f>
        <v>0.5</v>
      </c>
      <c r="N95" s="49">
        <f>AVERAGE('28.09 Bweya-Kajansi-24h'!N95,'26.09 Munyonyo-Kajansi-24h'!N95)</f>
        <v>0</v>
      </c>
      <c r="O95" s="15">
        <f t="shared" si="35"/>
        <v>4.5</v>
      </c>
      <c r="P95" s="15">
        <f t="shared" si="36"/>
        <v>5</v>
      </c>
      <c r="R95" s="8"/>
      <c r="T95"/>
    </row>
    <row r="96" spans="2:20" ht="23.1" customHeight="1" x14ac:dyDescent="0.25">
      <c r="B96" s="25" t="s">
        <v>136</v>
      </c>
      <c r="C96" s="49">
        <f>AVERAGE('28.09 Bweya-Kajansi-24h'!C96,'26.09 Munyonyo-Kajansi-24h'!C96)</f>
        <v>1.5</v>
      </c>
      <c r="D96" s="49">
        <f>AVERAGE('28.09 Bweya-Kajansi-24h'!D96,'26.09 Munyonyo-Kajansi-24h'!D96)</f>
        <v>2</v>
      </c>
      <c r="E96" s="49">
        <f>AVERAGE('28.09 Bweya-Kajansi-24h'!E96,'26.09 Munyonyo-Kajansi-24h'!E96)</f>
        <v>0.5</v>
      </c>
      <c r="F96" s="49">
        <f>AVERAGE('28.09 Bweya-Kajansi-24h'!F96,'26.09 Munyonyo-Kajansi-24h'!F96)</f>
        <v>0</v>
      </c>
      <c r="G96" s="49">
        <f>AVERAGE('28.09 Bweya-Kajansi-24h'!G96,'26.09 Munyonyo-Kajansi-24h'!G96)</f>
        <v>0</v>
      </c>
      <c r="H96" s="49">
        <f>AVERAGE('28.09 Bweya-Kajansi-24h'!H96,'26.09 Munyonyo-Kajansi-24h'!H96)</f>
        <v>0</v>
      </c>
      <c r="I96" s="49">
        <f>AVERAGE('28.09 Bweya-Kajansi-24h'!I96,'26.09 Munyonyo-Kajansi-24h'!I96)</f>
        <v>0</v>
      </c>
      <c r="J96" s="49">
        <f>AVERAGE('28.09 Bweya-Kajansi-24h'!J96,'26.09 Munyonyo-Kajansi-24h'!J96)</f>
        <v>0</v>
      </c>
      <c r="K96" s="49">
        <f>AVERAGE('28.09 Bweya-Kajansi-24h'!K96,'26.09 Munyonyo-Kajansi-24h'!K96)</f>
        <v>0</v>
      </c>
      <c r="L96" s="49">
        <f>AVERAGE('28.09 Bweya-Kajansi-24h'!L96,'26.09 Munyonyo-Kajansi-24h'!L96)</f>
        <v>0</v>
      </c>
      <c r="M96" s="49">
        <f>AVERAGE('28.09 Bweya-Kajansi-24h'!M96,'26.09 Munyonyo-Kajansi-24h'!M96)</f>
        <v>1.5</v>
      </c>
      <c r="N96" s="49">
        <f>AVERAGE('28.09 Bweya-Kajansi-24h'!N96,'26.09 Munyonyo-Kajansi-24h'!N96)</f>
        <v>0</v>
      </c>
      <c r="O96" s="15">
        <f t="shared" si="35"/>
        <v>4</v>
      </c>
      <c r="P96" s="15">
        <f t="shared" si="36"/>
        <v>5.5</v>
      </c>
      <c r="R96" s="8"/>
      <c r="T96"/>
    </row>
    <row r="97" spans="2:20" ht="23.1" customHeight="1" x14ac:dyDescent="0.25">
      <c r="B97" s="23" t="s">
        <v>137</v>
      </c>
      <c r="C97" s="49">
        <f>AVERAGE('28.09 Bweya-Kajansi-24h'!C97,'26.09 Munyonyo-Kajansi-24h'!C97)</f>
        <v>4.5</v>
      </c>
      <c r="D97" s="49">
        <f>AVERAGE('28.09 Bweya-Kajansi-24h'!D97,'26.09 Munyonyo-Kajansi-24h'!D97)</f>
        <v>2</v>
      </c>
      <c r="E97" s="49">
        <f>AVERAGE('28.09 Bweya-Kajansi-24h'!E97,'26.09 Munyonyo-Kajansi-24h'!E97)</f>
        <v>1.5</v>
      </c>
      <c r="F97" s="49">
        <f>AVERAGE('28.09 Bweya-Kajansi-24h'!F97,'26.09 Munyonyo-Kajansi-24h'!F97)</f>
        <v>0.5</v>
      </c>
      <c r="G97" s="49">
        <f>AVERAGE('28.09 Bweya-Kajansi-24h'!G97,'26.09 Munyonyo-Kajansi-24h'!G97)</f>
        <v>0.5</v>
      </c>
      <c r="H97" s="49">
        <f>AVERAGE('28.09 Bweya-Kajansi-24h'!H97,'26.09 Munyonyo-Kajansi-24h'!H97)</f>
        <v>0</v>
      </c>
      <c r="I97" s="49">
        <f>AVERAGE('28.09 Bweya-Kajansi-24h'!I97,'26.09 Munyonyo-Kajansi-24h'!I97)</f>
        <v>1.5</v>
      </c>
      <c r="J97" s="49">
        <f>AVERAGE('28.09 Bweya-Kajansi-24h'!J97,'26.09 Munyonyo-Kajansi-24h'!J97)</f>
        <v>0</v>
      </c>
      <c r="K97" s="49">
        <f>AVERAGE('28.09 Bweya-Kajansi-24h'!K97,'26.09 Munyonyo-Kajansi-24h'!K97)</f>
        <v>0</v>
      </c>
      <c r="L97" s="49">
        <f>AVERAGE('28.09 Bweya-Kajansi-24h'!L97,'26.09 Munyonyo-Kajansi-24h'!L97)</f>
        <v>0</v>
      </c>
      <c r="M97" s="49">
        <f>AVERAGE('28.09 Bweya-Kajansi-24h'!M97,'26.09 Munyonyo-Kajansi-24h'!M97)</f>
        <v>1.5</v>
      </c>
      <c r="N97" s="49">
        <f>AVERAGE('28.09 Bweya-Kajansi-24h'!N97,'26.09 Munyonyo-Kajansi-24h'!N97)</f>
        <v>0</v>
      </c>
      <c r="O97" s="15">
        <f t="shared" si="35"/>
        <v>10.5</v>
      </c>
      <c r="P97" s="15">
        <f t="shared" si="36"/>
        <v>12</v>
      </c>
      <c r="R97" s="8"/>
      <c r="T97"/>
    </row>
    <row r="98" spans="2:20" ht="23.1" customHeight="1" x14ac:dyDescent="0.25">
      <c r="B98" s="24" t="s">
        <v>138</v>
      </c>
      <c r="C98" s="49">
        <f>AVERAGE('28.09 Bweya-Kajansi-24h'!C98,'26.09 Munyonyo-Kajansi-24h'!C98)</f>
        <v>2</v>
      </c>
      <c r="D98" s="49">
        <f>AVERAGE('28.09 Bweya-Kajansi-24h'!D98,'26.09 Munyonyo-Kajansi-24h'!D98)</f>
        <v>0</v>
      </c>
      <c r="E98" s="49">
        <f>AVERAGE('28.09 Bweya-Kajansi-24h'!E98,'26.09 Munyonyo-Kajansi-24h'!E98)</f>
        <v>0</v>
      </c>
      <c r="F98" s="49">
        <f>AVERAGE('28.09 Bweya-Kajansi-24h'!F98,'26.09 Munyonyo-Kajansi-24h'!F98)</f>
        <v>0</v>
      </c>
      <c r="G98" s="49">
        <f>AVERAGE('28.09 Bweya-Kajansi-24h'!G98,'26.09 Munyonyo-Kajansi-24h'!G98)</f>
        <v>0</v>
      </c>
      <c r="H98" s="49">
        <f>AVERAGE('28.09 Bweya-Kajansi-24h'!H98,'26.09 Munyonyo-Kajansi-24h'!H98)</f>
        <v>0</v>
      </c>
      <c r="I98" s="49">
        <f>AVERAGE('28.09 Bweya-Kajansi-24h'!I98,'26.09 Munyonyo-Kajansi-24h'!I98)</f>
        <v>0.5</v>
      </c>
      <c r="J98" s="49">
        <f>AVERAGE('28.09 Bweya-Kajansi-24h'!J98,'26.09 Munyonyo-Kajansi-24h'!J98)</f>
        <v>0</v>
      </c>
      <c r="K98" s="49">
        <f>AVERAGE('28.09 Bweya-Kajansi-24h'!K98,'26.09 Munyonyo-Kajansi-24h'!K98)</f>
        <v>0</v>
      </c>
      <c r="L98" s="49">
        <f>AVERAGE('28.09 Bweya-Kajansi-24h'!L98,'26.09 Munyonyo-Kajansi-24h'!L98)</f>
        <v>0</v>
      </c>
      <c r="M98" s="49">
        <f>AVERAGE('28.09 Bweya-Kajansi-24h'!M98,'26.09 Munyonyo-Kajansi-24h'!M98)</f>
        <v>1.5</v>
      </c>
      <c r="N98" s="49">
        <f>AVERAGE('28.09 Bweya-Kajansi-24h'!N98,'26.09 Munyonyo-Kajansi-24h'!N98)</f>
        <v>0</v>
      </c>
      <c r="O98" s="15">
        <f t="shared" si="35"/>
        <v>2.5</v>
      </c>
      <c r="P98" s="15">
        <f t="shared" si="36"/>
        <v>4</v>
      </c>
      <c r="R98" s="8"/>
      <c r="T98"/>
    </row>
    <row r="99" spans="2:20" ht="23.1" customHeight="1" x14ac:dyDescent="0.25">
      <c r="B99" s="23" t="s">
        <v>139</v>
      </c>
      <c r="C99" s="49">
        <f>AVERAGE('28.09 Bweya-Kajansi-24h'!C99,'26.09 Munyonyo-Kajansi-24h'!C99)</f>
        <v>2.5</v>
      </c>
      <c r="D99" s="49">
        <f>AVERAGE('28.09 Bweya-Kajansi-24h'!D99,'26.09 Munyonyo-Kajansi-24h'!D99)</f>
        <v>0</v>
      </c>
      <c r="E99" s="49">
        <f>AVERAGE('28.09 Bweya-Kajansi-24h'!E99,'26.09 Munyonyo-Kajansi-24h'!E99)</f>
        <v>0</v>
      </c>
      <c r="F99" s="49">
        <f>AVERAGE('28.09 Bweya-Kajansi-24h'!F99,'26.09 Munyonyo-Kajansi-24h'!F99)</f>
        <v>0.5</v>
      </c>
      <c r="G99" s="49">
        <f>AVERAGE('28.09 Bweya-Kajansi-24h'!G99,'26.09 Munyonyo-Kajansi-24h'!G99)</f>
        <v>0</v>
      </c>
      <c r="H99" s="49">
        <f>AVERAGE('28.09 Bweya-Kajansi-24h'!H99,'26.09 Munyonyo-Kajansi-24h'!H99)</f>
        <v>0</v>
      </c>
      <c r="I99" s="49">
        <f>AVERAGE('28.09 Bweya-Kajansi-24h'!I99,'26.09 Munyonyo-Kajansi-24h'!I99)</f>
        <v>1</v>
      </c>
      <c r="J99" s="49">
        <f>AVERAGE('28.09 Bweya-Kajansi-24h'!J99,'26.09 Munyonyo-Kajansi-24h'!J99)</f>
        <v>0.5</v>
      </c>
      <c r="K99" s="49">
        <f>AVERAGE('28.09 Bweya-Kajansi-24h'!K99,'26.09 Munyonyo-Kajansi-24h'!K99)</f>
        <v>0</v>
      </c>
      <c r="L99" s="49">
        <f>AVERAGE('28.09 Bweya-Kajansi-24h'!L99,'26.09 Munyonyo-Kajansi-24h'!L99)</f>
        <v>0</v>
      </c>
      <c r="M99" s="49">
        <f>AVERAGE('28.09 Bweya-Kajansi-24h'!M99,'26.09 Munyonyo-Kajansi-24h'!M99)</f>
        <v>2.5</v>
      </c>
      <c r="N99" s="49">
        <f>AVERAGE('28.09 Bweya-Kajansi-24h'!N99,'26.09 Munyonyo-Kajansi-24h'!N99)</f>
        <v>0</v>
      </c>
      <c r="O99" s="15">
        <f t="shared" si="35"/>
        <v>4.5</v>
      </c>
      <c r="P99" s="15">
        <f t="shared" si="36"/>
        <v>7</v>
      </c>
      <c r="R99" s="8"/>
      <c r="T99"/>
    </row>
    <row r="100" spans="2:20" ht="23.1" customHeight="1" x14ac:dyDescent="0.25">
      <c r="B100" s="25" t="s">
        <v>140</v>
      </c>
      <c r="C100" s="49">
        <f>AVERAGE('28.09 Bweya-Kajansi-24h'!C100,'26.09 Munyonyo-Kajansi-24h'!C100)</f>
        <v>2.5</v>
      </c>
      <c r="D100" s="49">
        <f>AVERAGE('28.09 Bweya-Kajansi-24h'!D100,'26.09 Munyonyo-Kajansi-24h'!D100)</f>
        <v>1.5</v>
      </c>
      <c r="E100" s="49">
        <f>AVERAGE('28.09 Bweya-Kajansi-24h'!E100,'26.09 Munyonyo-Kajansi-24h'!E100)</f>
        <v>0</v>
      </c>
      <c r="F100" s="49">
        <f>AVERAGE('28.09 Bweya-Kajansi-24h'!F100,'26.09 Munyonyo-Kajansi-24h'!F100)</f>
        <v>0.5</v>
      </c>
      <c r="G100" s="49">
        <f>AVERAGE('28.09 Bweya-Kajansi-24h'!G100,'26.09 Munyonyo-Kajansi-24h'!G100)</f>
        <v>0</v>
      </c>
      <c r="H100" s="49">
        <f>AVERAGE('28.09 Bweya-Kajansi-24h'!H100,'26.09 Munyonyo-Kajansi-24h'!H100)</f>
        <v>0</v>
      </c>
      <c r="I100" s="49">
        <f>AVERAGE('28.09 Bweya-Kajansi-24h'!I100,'26.09 Munyonyo-Kajansi-24h'!I100)</f>
        <v>1</v>
      </c>
      <c r="J100" s="49">
        <f>AVERAGE('28.09 Bweya-Kajansi-24h'!J100,'26.09 Munyonyo-Kajansi-24h'!J100)</f>
        <v>0</v>
      </c>
      <c r="K100" s="49">
        <f>AVERAGE('28.09 Bweya-Kajansi-24h'!K100,'26.09 Munyonyo-Kajansi-24h'!K100)</f>
        <v>0</v>
      </c>
      <c r="L100" s="49">
        <f>AVERAGE('28.09 Bweya-Kajansi-24h'!L100,'26.09 Munyonyo-Kajansi-24h'!L100)</f>
        <v>0</v>
      </c>
      <c r="M100" s="49">
        <f>AVERAGE('28.09 Bweya-Kajansi-24h'!M100,'26.09 Munyonyo-Kajansi-24h'!M100)</f>
        <v>1.5</v>
      </c>
      <c r="N100" s="49">
        <f>AVERAGE('28.09 Bweya-Kajansi-24h'!N100,'26.09 Munyonyo-Kajansi-24h'!N100)</f>
        <v>0</v>
      </c>
      <c r="O100" s="15">
        <f t="shared" si="35"/>
        <v>5.5</v>
      </c>
      <c r="P100" s="15">
        <f t="shared" si="36"/>
        <v>7</v>
      </c>
      <c r="R100" s="8"/>
      <c r="T100"/>
    </row>
    <row r="101" spans="2:20" ht="23.1" customHeight="1" x14ac:dyDescent="0.25">
      <c r="B101" s="23" t="s">
        <v>141</v>
      </c>
      <c r="C101" s="49">
        <f>AVERAGE('28.09 Bweya-Kajansi-24h'!C101,'26.09 Munyonyo-Kajansi-24h'!C101)</f>
        <v>5.5</v>
      </c>
      <c r="D101" s="49">
        <f>AVERAGE('28.09 Bweya-Kajansi-24h'!D101,'26.09 Munyonyo-Kajansi-24h'!D101)</f>
        <v>1.5</v>
      </c>
      <c r="E101" s="49">
        <f>AVERAGE('28.09 Bweya-Kajansi-24h'!E101,'26.09 Munyonyo-Kajansi-24h'!E101)</f>
        <v>1</v>
      </c>
      <c r="F101" s="49">
        <f>AVERAGE('28.09 Bweya-Kajansi-24h'!F101,'26.09 Munyonyo-Kajansi-24h'!F101)</f>
        <v>1.5</v>
      </c>
      <c r="G101" s="49">
        <f>AVERAGE('28.09 Bweya-Kajansi-24h'!G101,'26.09 Munyonyo-Kajansi-24h'!G101)</f>
        <v>1</v>
      </c>
      <c r="H101" s="49">
        <f>AVERAGE('28.09 Bweya-Kajansi-24h'!H101,'26.09 Munyonyo-Kajansi-24h'!H101)</f>
        <v>0</v>
      </c>
      <c r="I101" s="49">
        <f>AVERAGE('28.09 Bweya-Kajansi-24h'!I101,'26.09 Munyonyo-Kajansi-24h'!I101)</f>
        <v>1</v>
      </c>
      <c r="J101" s="49">
        <f>AVERAGE('28.09 Bweya-Kajansi-24h'!J101,'26.09 Munyonyo-Kajansi-24h'!J101)</f>
        <v>0.5</v>
      </c>
      <c r="K101" s="49">
        <f>AVERAGE('28.09 Bweya-Kajansi-24h'!K101,'26.09 Munyonyo-Kajansi-24h'!K101)</f>
        <v>0</v>
      </c>
      <c r="L101" s="49">
        <f>AVERAGE('28.09 Bweya-Kajansi-24h'!L101,'26.09 Munyonyo-Kajansi-24h'!L101)</f>
        <v>0</v>
      </c>
      <c r="M101" s="49">
        <f>AVERAGE('28.09 Bweya-Kajansi-24h'!M101,'26.09 Munyonyo-Kajansi-24h'!M101)</f>
        <v>4</v>
      </c>
      <c r="N101" s="49">
        <f>AVERAGE('28.09 Bweya-Kajansi-24h'!N101,'26.09 Munyonyo-Kajansi-24h'!N101)</f>
        <v>0</v>
      </c>
      <c r="O101" s="15">
        <f t="shared" si="35"/>
        <v>12</v>
      </c>
      <c r="P101" s="15">
        <f t="shared" si="36"/>
        <v>16</v>
      </c>
      <c r="R101" s="8"/>
      <c r="T101"/>
    </row>
    <row r="102" spans="2:20" ht="23.1" customHeight="1" x14ac:dyDescent="0.25">
      <c r="B102" s="24" t="s">
        <v>142</v>
      </c>
      <c r="C102" s="49">
        <f>AVERAGE('28.09 Bweya-Kajansi-24h'!C102,'26.09 Munyonyo-Kajansi-24h'!C102)</f>
        <v>14</v>
      </c>
      <c r="D102" s="49">
        <f>AVERAGE('28.09 Bweya-Kajansi-24h'!D102,'26.09 Munyonyo-Kajansi-24h'!D102)</f>
        <v>1.5</v>
      </c>
      <c r="E102" s="49">
        <f>AVERAGE('28.09 Bweya-Kajansi-24h'!E102,'26.09 Munyonyo-Kajansi-24h'!E102)</f>
        <v>1.5</v>
      </c>
      <c r="F102" s="49">
        <f>AVERAGE('28.09 Bweya-Kajansi-24h'!F102,'26.09 Munyonyo-Kajansi-24h'!F102)</f>
        <v>1.5</v>
      </c>
      <c r="G102" s="49">
        <f>AVERAGE('28.09 Bweya-Kajansi-24h'!G102,'26.09 Munyonyo-Kajansi-24h'!G102)</f>
        <v>0</v>
      </c>
      <c r="H102" s="49">
        <f>AVERAGE('28.09 Bweya-Kajansi-24h'!H102,'26.09 Munyonyo-Kajansi-24h'!H102)</f>
        <v>0</v>
      </c>
      <c r="I102" s="49">
        <f>AVERAGE('28.09 Bweya-Kajansi-24h'!I102,'26.09 Munyonyo-Kajansi-24h'!I102)</f>
        <v>3</v>
      </c>
      <c r="J102" s="49">
        <f>AVERAGE('28.09 Bweya-Kajansi-24h'!J102,'26.09 Munyonyo-Kajansi-24h'!J102)</f>
        <v>0.5</v>
      </c>
      <c r="K102" s="49">
        <f>AVERAGE('28.09 Bweya-Kajansi-24h'!K102,'26.09 Munyonyo-Kajansi-24h'!K102)</f>
        <v>0</v>
      </c>
      <c r="L102" s="49">
        <f>AVERAGE('28.09 Bweya-Kajansi-24h'!L102,'26.09 Munyonyo-Kajansi-24h'!L102)</f>
        <v>0</v>
      </c>
      <c r="M102" s="49">
        <f>AVERAGE('28.09 Bweya-Kajansi-24h'!M102,'26.09 Munyonyo-Kajansi-24h'!M102)</f>
        <v>8.5</v>
      </c>
      <c r="N102" s="49">
        <f>AVERAGE('28.09 Bweya-Kajansi-24h'!N102,'26.09 Munyonyo-Kajansi-24h'!N102)</f>
        <v>0</v>
      </c>
      <c r="O102" s="15">
        <f t="shared" si="35"/>
        <v>22</v>
      </c>
      <c r="P102" s="15">
        <f t="shared" si="36"/>
        <v>30.5</v>
      </c>
      <c r="R102" s="8"/>
      <c r="T102"/>
    </row>
    <row r="103" spans="2:20" ht="23.1" customHeight="1" x14ac:dyDescent="0.25">
      <c r="B103" s="23" t="s">
        <v>143</v>
      </c>
      <c r="C103" s="49">
        <f>AVERAGE('28.09 Bweya-Kajansi-24h'!C103,'26.09 Munyonyo-Kajansi-24h'!C103)</f>
        <v>10</v>
      </c>
      <c r="D103" s="49">
        <f>AVERAGE('28.09 Bweya-Kajansi-24h'!D103,'26.09 Munyonyo-Kajansi-24h'!D103)</f>
        <v>2</v>
      </c>
      <c r="E103" s="49">
        <f>AVERAGE('28.09 Bweya-Kajansi-24h'!E103,'26.09 Munyonyo-Kajansi-24h'!E103)</f>
        <v>0.5</v>
      </c>
      <c r="F103" s="49">
        <f>AVERAGE('28.09 Bweya-Kajansi-24h'!F103,'26.09 Munyonyo-Kajansi-24h'!F103)</f>
        <v>1</v>
      </c>
      <c r="G103" s="49">
        <f>AVERAGE('28.09 Bweya-Kajansi-24h'!G103,'26.09 Munyonyo-Kajansi-24h'!G103)</f>
        <v>0.5</v>
      </c>
      <c r="H103" s="49">
        <f>AVERAGE('28.09 Bweya-Kajansi-24h'!H103,'26.09 Munyonyo-Kajansi-24h'!H103)</f>
        <v>0.5</v>
      </c>
      <c r="I103" s="49">
        <f>AVERAGE('28.09 Bweya-Kajansi-24h'!I103,'26.09 Munyonyo-Kajansi-24h'!I103)</f>
        <v>0.5</v>
      </c>
      <c r="J103" s="49">
        <f>AVERAGE('28.09 Bweya-Kajansi-24h'!J103,'26.09 Munyonyo-Kajansi-24h'!J103)</f>
        <v>0</v>
      </c>
      <c r="K103" s="49">
        <f>AVERAGE('28.09 Bweya-Kajansi-24h'!K103,'26.09 Munyonyo-Kajansi-24h'!K103)</f>
        <v>0</v>
      </c>
      <c r="L103" s="49">
        <f>AVERAGE('28.09 Bweya-Kajansi-24h'!L103,'26.09 Munyonyo-Kajansi-24h'!L103)</f>
        <v>0</v>
      </c>
      <c r="M103" s="49">
        <f>AVERAGE('28.09 Bweya-Kajansi-24h'!M103,'26.09 Munyonyo-Kajansi-24h'!M103)</f>
        <v>11</v>
      </c>
      <c r="N103" s="49">
        <f>AVERAGE('28.09 Bweya-Kajansi-24h'!N103,'26.09 Munyonyo-Kajansi-24h'!N103)</f>
        <v>0</v>
      </c>
      <c r="O103" s="15">
        <f t="shared" si="35"/>
        <v>15</v>
      </c>
      <c r="P103" s="15">
        <f t="shared" si="36"/>
        <v>26</v>
      </c>
      <c r="R103" s="8"/>
      <c r="T103"/>
    </row>
    <row r="104" spans="2:20" ht="23.1" customHeight="1" x14ac:dyDescent="0.25">
      <c r="B104" s="25" t="s">
        <v>144</v>
      </c>
      <c r="C104" s="49">
        <f>AVERAGE('28.09 Bweya-Kajansi-24h'!C104,'26.09 Munyonyo-Kajansi-24h'!C104)</f>
        <v>15</v>
      </c>
      <c r="D104" s="49">
        <f>AVERAGE('28.09 Bweya-Kajansi-24h'!D104,'26.09 Munyonyo-Kajansi-24h'!D104)</f>
        <v>2.5</v>
      </c>
      <c r="E104" s="49">
        <f>AVERAGE('28.09 Bweya-Kajansi-24h'!E104,'26.09 Munyonyo-Kajansi-24h'!E104)</f>
        <v>1.5</v>
      </c>
      <c r="F104" s="49">
        <f>AVERAGE('28.09 Bweya-Kajansi-24h'!F104,'26.09 Munyonyo-Kajansi-24h'!F104)</f>
        <v>1.5</v>
      </c>
      <c r="G104" s="49">
        <f>AVERAGE('28.09 Bweya-Kajansi-24h'!G104,'26.09 Munyonyo-Kajansi-24h'!G104)</f>
        <v>0.5</v>
      </c>
      <c r="H104" s="49">
        <f>AVERAGE('28.09 Bweya-Kajansi-24h'!H104,'26.09 Munyonyo-Kajansi-24h'!H104)</f>
        <v>0.5</v>
      </c>
      <c r="I104" s="49">
        <f>AVERAGE('28.09 Bweya-Kajansi-24h'!I104,'26.09 Munyonyo-Kajansi-24h'!I104)</f>
        <v>1</v>
      </c>
      <c r="J104" s="49">
        <f>AVERAGE('28.09 Bweya-Kajansi-24h'!J104,'26.09 Munyonyo-Kajansi-24h'!J104)</f>
        <v>0</v>
      </c>
      <c r="K104" s="49">
        <f>AVERAGE('28.09 Bweya-Kajansi-24h'!K104,'26.09 Munyonyo-Kajansi-24h'!K104)</f>
        <v>0</v>
      </c>
      <c r="L104" s="49">
        <f>AVERAGE('28.09 Bweya-Kajansi-24h'!L104,'26.09 Munyonyo-Kajansi-24h'!L104)</f>
        <v>0</v>
      </c>
      <c r="M104" s="49">
        <f>AVERAGE('28.09 Bweya-Kajansi-24h'!M104,'26.09 Munyonyo-Kajansi-24h'!M104)</f>
        <v>24.5</v>
      </c>
      <c r="N104" s="49">
        <f>AVERAGE('28.09 Bweya-Kajansi-24h'!N104,'26.09 Munyonyo-Kajansi-24h'!N104)</f>
        <v>0</v>
      </c>
      <c r="O104" s="15">
        <f t="shared" si="35"/>
        <v>22.5</v>
      </c>
      <c r="P104" s="15">
        <f t="shared" si="36"/>
        <v>47</v>
      </c>
      <c r="R104" s="8"/>
      <c r="T104"/>
    </row>
    <row r="105" spans="2:20" ht="23.1" customHeight="1" x14ac:dyDescent="0.25">
      <c r="B105" s="23" t="s">
        <v>145</v>
      </c>
      <c r="C105" s="49">
        <f>AVERAGE('28.09 Bweya-Kajansi-24h'!C105,'26.09 Munyonyo-Kajansi-24h'!C105)</f>
        <v>17</v>
      </c>
      <c r="D105" s="49">
        <f>AVERAGE('28.09 Bweya-Kajansi-24h'!D105,'26.09 Munyonyo-Kajansi-24h'!D105)</f>
        <v>3</v>
      </c>
      <c r="E105" s="49">
        <f>AVERAGE('28.09 Bweya-Kajansi-24h'!E105,'26.09 Munyonyo-Kajansi-24h'!E105)</f>
        <v>1.5</v>
      </c>
      <c r="F105" s="49">
        <f>AVERAGE('28.09 Bweya-Kajansi-24h'!F105,'26.09 Munyonyo-Kajansi-24h'!F105)</f>
        <v>1.5</v>
      </c>
      <c r="G105" s="49">
        <f>AVERAGE('28.09 Bweya-Kajansi-24h'!G105,'26.09 Munyonyo-Kajansi-24h'!G105)</f>
        <v>0.5</v>
      </c>
      <c r="H105" s="49">
        <f>AVERAGE('28.09 Bweya-Kajansi-24h'!H105,'26.09 Munyonyo-Kajansi-24h'!H105)</f>
        <v>1</v>
      </c>
      <c r="I105" s="49">
        <f>AVERAGE('28.09 Bweya-Kajansi-24h'!I105,'26.09 Munyonyo-Kajansi-24h'!I105)</f>
        <v>0</v>
      </c>
      <c r="J105" s="49">
        <f>AVERAGE('28.09 Bweya-Kajansi-24h'!J105,'26.09 Munyonyo-Kajansi-24h'!J105)</f>
        <v>1</v>
      </c>
      <c r="K105" s="49">
        <f>AVERAGE('28.09 Bweya-Kajansi-24h'!K105,'26.09 Munyonyo-Kajansi-24h'!K105)</f>
        <v>0</v>
      </c>
      <c r="L105" s="49">
        <f>AVERAGE('28.09 Bweya-Kajansi-24h'!L105,'26.09 Munyonyo-Kajansi-24h'!L105)</f>
        <v>0</v>
      </c>
      <c r="M105" s="49">
        <f>AVERAGE('28.09 Bweya-Kajansi-24h'!M105,'26.09 Munyonyo-Kajansi-24h'!M105)</f>
        <v>20.5</v>
      </c>
      <c r="N105" s="49">
        <f>AVERAGE('28.09 Bweya-Kajansi-24h'!N105,'26.09 Munyonyo-Kajansi-24h'!N105)</f>
        <v>0</v>
      </c>
      <c r="O105" s="15">
        <f t="shared" si="35"/>
        <v>25.5</v>
      </c>
      <c r="P105" s="15">
        <f t="shared" si="36"/>
        <v>46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2263.9285714285716</v>
      </c>
      <c r="D106" s="16">
        <f t="shared" ref="D106:P106" si="37">SUM(D10:D105)</f>
        <v>602.14285714285711</v>
      </c>
      <c r="E106" s="16">
        <f t="shared" si="37"/>
        <v>264.28571428571422</v>
      </c>
      <c r="F106" s="16">
        <f t="shared" si="37"/>
        <v>132.5</v>
      </c>
      <c r="G106" s="16">
        <f t="shared" si="37"/>
        <v>21.785714285714285</v>
      </c>
      <c r="H106" s="16">
        <f t="shared" si="37"/>
        <v>10.571428571428573</v>
      </c>
      <c r="I106" s="16">
        <f t="shared" si="37"/>
        <v>219.57142857142856</v>
      </c>
      <c r="J106" s="16">
        <f t="shared" si="37"/>
        <v>44.428571428571438</v>
      </c>
      <c r="K106" s="16">
        <f t="shared" si="37"/>
        <v>10.142857142857142</v>
      </c>
      <c r="L106" s="16">
        <f t="shared" si="37"/>
        <v>2.4999999999999996</v>
      </c>
      <c r="M106" s="16">
        <f t="shared" si="37"/>
        <v>2142.4285714285716</v>
      </c>
      <c r="N106" s="16">
        <f t="shared" si="37"/>
        <v>0.14285714285714285</v>
      </c>
      <c r="O106" s="16">
        <f t="shared" si="37"/>
        <v>3572.0000000000005</v>
      </c>
      <c r="P106" s="16">
        <f t="shared" si="37"/>
        <v>5714.4285714285725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0.39617759556011095</v>
      </c>
      <c r="D107" s="43">
        <f t="shared" si="38"/>
        <v>0.1053723656908577</v>
      </c>
      <c r="E107" s="43">
        <f t="shared" si="38"/>
        <v>4.6248843778905507E-2</v>
      </c>
      <c r="F107" s="43">
        <f t="shared" si="38"/>
        <v>2.3186920326991822E-2</v>
      </c>
      <c r="G107" s="43">
        <f t="shared" si="38"/>
        <v>3.8124046898827522E-3</v>
      </c>
      <c r="H107" s="43">
        <f t="shared" si="38"/>
        <v>1.8499537511562211E-3</v>
      </c>
      <c r="I107" s="43">
        <f t="shared" si="38"/>
        <v>3.8424039399015016E-2</v>
      </c>
      <c r="J107" s="43">
        <f t="shared" si="38"/>
        <v>7.7748056298592534E-3</v>
      </c>
      <c r="K107" s="43">
        <f t="shared" si="38"/>
        <v>1.7749556261093468E-3</v>
      </c>
      <c r="L107" s="43">
        <f t="shared" si="38"/>
        <v>4.374890627734305E-4</v>
      </c>
      <c r="M107" s="43">
        <f t="shared" si="38"/>
        <v>0.37491562710932225</v>
      </c>
      <c r="N107" s="43">
        <f t="shared" si="38"/>
        <v>2.4999375015624605E-5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0.63379859222524393</v>
      </c>
      <c r="D108" s="44">
        <f t="shared" ref="D108:N108" si="39">D106/$O$106</f>
        <v>0.1685730283154695</v>
      </c>
      <c r="E108" s="44">
        <f t="shared" si="39"/>
        <v>7.3988161894096918E-2</v>
      </c>
      <c r="F108" s="44">
        <f t="shared" si="39"/>
        <v>3.7094064949608055E-2</v>
      </c>
      <c r="G108" s="44">
        <f t="shared" si="39"/>
        <v>6.099024156135017E-3</v>
      </c>
      <c r="H108" s="44">
        <f t="shared" si="39"/>
        <v>2.959526475763878E-3</v>
      </c>
      <c r="I108" s="44">
        <f t="shared" si="39"/>
        <v>6.1470164773636204E-2</v>
      </c>
      <c r="J108" s="44">
        <f t="shared" si="39"/>
        <v>1.2438009918413056E-2</v>
      </c>
      <c r="K108" s="44">
        <f t="shared" si="39"/>
        <v>2.8395456726923686E-3</v>
      </c>
      <c r="L108" s="44">
        <f t="shared" si="39"/>
        <v>6.9988801791713302E-4</v>
      </c>
      <c r="M108" s="44"/>
      <c r="N108" s="44">
        <f t="shared" si="39"/>
        <v>3.9993601023836177E-5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M28" zoomScale="60" workbookViewId="0">
      <selection activeCell="AC58" sqref="A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9" t="str">
        <f>'29.09 Bweya-Kajansi'!C3:G3</f>
        <v>MCC-C2-STNO 56 -Munyonyo spur</v>
      </c>
      <c r="D3" s="69"/>
      <c r="E3" s="69"/>
      <c r="F3" s="69"/>
      <c r="G3" s="6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4" t="s">
        <v>162</v>
      </c>
      <c r="E5" s="75"/>
      <c r="F5" s="41" t="s">
        <v>1</v>
      </c>
      <c r="G5" s="71" t="str">
        <f>'29.09 Bweya-Kajansi'!G5:H5</f>
        <v>Munyonyo Spur RD</v>
      </c>
      <c r="H5" s="72"/>
      <c r="I5" s="14"/>
      <c r="J5" s="2" t="s">
        <v>5</v>
      </c>
      <c r="K5" s="71" t="str">
        <f>'29.09 Bweya-Kajansi'!K5:L5</f>
        <v>Akello Rosette / Kasoma John Paul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1" t="str">
        <f>'29.09 Bweya-Kajansi'!D6:E6</f>
        <v>BWEYA</v>
      </c>
      <c r="E6" s="72"/>
      <c r="F6" s="2" t="s">
        <v>2</v>
      </c>
      <c r="G6" s="71" t="str">
        <f>'29.09 Bweya-Kajansi'!G6:H6</f>
        <v>KAJANSI</v>
      </c>
      <c r="H6" s="72"/>
      <c r="J6" s="2" t="s">
        <v>21</v>
      </c>
      <c r="K6" s="71" t="str">
        <f>'29.09 Bweya-Kajansi'!K6:L6</f>
        <v>Beatrice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AVERAGE('23.09.19 Kajansi -Bweya'!C10,'24.09 Kajansi-Bweya'!C10,'25.09 Kajansi-Bweya'!C10,'27.09Kasjansi-Munyonyo'!C10,'26.09 Kajansi-Bweya-24h'!C10,'28.09 Bweya-Kajansi-24h'!C10,'29.09 Bweya-Kajansi'!C10)</f>
        <v>25.714285714285715</v>
      </c>
      <c r="D10" s="49">
        <f>AVERAGE('23.09.19 Kajansi -Bweya'!D10,'24.09 Kajansi-Bweya'!D10,'25.09 Kajansi-Bweya'!D10,'27.09Kasjansi-Munyonyo'!D10,'26.09 Kajansi-Bweya-24h'!D10,'28.09 Bweya-Kajansi-24h'!D10,'29.09 Bweya-Kajansi'!D10)</f>
        <v>3.8571428571428572</v>
      </c>
      <c r="E10" s="49">
        <f>AVERAGE('23.09.19 Kajansi -Bweya'!E10,'24.09 Kajansi-Bweya'!E10,'25.09 Kajansi-Bweya'!E10,'27.09Kasjansi-Munyonyo'!E10,'26.09 Kajansi-Bweya-24h'!E10,'28.09 Bweya-Kajansi-24h'!E10,'29.09 Bweya-Kajansi'!E10)</f>
        <v>2.7142857142857144</v>
      </c>
      <c r="F10" s="49">
        <f>AVERAGE('23.09.19 Kajansi -Bweya'!F10,'24.09 Kajansi-Bweya'!F10,'25.09 Kajansi-Bweya'!F10,'27.09Kasjansi-Munyonyo'!F10,'26.09 Kajansi-Bweya-24h'!F10,'28.09 Bweya-Kajansi-24h'!F10,'29.09 Bweya-Kajansi'!F10)</f>
        <v>1.4285714285714286</v>
      </c>
      <c r="G10" s="49">
        <f>AVERAGE('23.09.19 Kajansi -Bweya'!G10,'24.09 Kajansi-Bweya'!G10,'25.09 Kajansi-Bweya'!G10,'27.09Kasjansi-Munyonyo'!G10,'26.09 Kajansi-Bweya-24h'!G10,'28.09 Bweya-Kajansi-24h'!G10,'29.09 Bweya-Kajansi'!G10)</f>
        <v>0</v>
      </c>
      <c r="H10" s="49">
        <f>AVERAGE('23.09.19 Kajansi -Bweya'!H10,'24.09 Kajansi-Bweya'!H10,'25.09 Kajansi-Bweya'!H10,'27.09Kasjansi-Munyonyo'!H10,'26.09 Kajansi-Bweya-24h'!H10,'28.09 Bweya-Kajansi-24h'!H10,'29.09 Bweya-Kajansi'!H10)</f>
        <v>0.14285714285714285</v>
      </c>
      <c r="I10" s="49">
        <f>AVERAGE('23.09.19 Kajansi -Bweya'!I10,'24.09 Kajansi-Bweya'!I10,'25.09 Kajansi-Bweya'!I10,'27.09Kasjansi-Munyonyo'!I10,'26.09 Kajansi-Bweya-24h'!I10,'28.09 Bweya-Kajansi-24h'!I10,'29.09 Bweya-Kajansi'!I10)</f>
        <v>2.2857142857142856</v>
      </c>
      <c r="J10" s="49">
        <f>AVERAGE('23.09.19 Kajansi -Bweya'!J10,'24.09 Kajansi-Bweya'!J10,'25.09 Kajansi-Bweya'!J10,'27.09Kasjansi-Munyonyo'!J10,'26.09 Kajansi-Bweya-24h'!J10,'28.09 Bweya-Kajansi-24h'!J10,'29.09 Bweya-Kajansi'!J10)</f>
        <v>0.7142857142857143</v>
      </c>
      <c r="K10" s="49">
        <f>AVERAGE('23.09.19 Kajansi -Bweya'!K10,'24.09 Kajansi-Bweya'!K10,'25.09 Kajansi-Bweya'!K10,'27.09Kasjansi-Munyonyo'!K10,'26.09 Kajansi-Bweya-24h'!K10,'28.09 Bweya-Kajansi-24h'!K10,'29.09 Bweya-Kajansi'!K10)</f>
        <v>0</v>
      </c>
      <c r="L10" s="49">
        <f>AVERAGE('23.09.19 Kajansi -Bweya'!L10,'24.09 Kajansi-Bweya'!L10,'25.09 Kajansi-Bweya'!L10,'27.09Kasjansi-Munyonyo'!L10,'26.09 Kajansi-Bweya-24h'!L10,'28.09 Bweya-Kajansi-24h'!L10,'29.09 Bweya-Kajansi'!L10)</f>
        <v>0</v>
      </c>
      <c r="M10" s="49">
        <f>AVERAGE('23.09.19 Kajansi -Bweya'!M10,'24.09 Kajansi-Bweya'!M10,'25.09 Kajansi-Bweya'!M10,'27.09Kasjansi-Munyonyo'!M10,'26.09 Kajansi-Bweya-24h'!M10,'28.09 Bweya-Kajansi-24h'!M10,'29.09 Bweya-Kajansi'!M10)</f>
        <v>19.857142857142858</v>
      </c>
      <c r="N10" s="49">
        <f>AVERAGE('23.09.19 Kajansi -Bweya'!N10,'24.09 Kajansi-Bweya'!N10,'25.09 Kajansi-Bweya'!N10,'27.09Kasjansi-Munyonyo'!N10,'26.09 Kajansi-Bweya-24h'!N10,'28.09 Bweya-Kajansi-24h'!N10,'29.09 Bweya-Kajansi'!N10)</f>
        <v>0</v>
      </c>
      <c r="O10" s="15">
        <f t="shared" ref="O10:O73" si="0">SUM(C10:L10,N10)</f>
        <v>36.857142857142861</v>
      </c>
      <c r="P10" s="15">
        <f t="shared" ref="P10:P73" si="1">SUM(C10:N10)</f>
        <v>56.714285714285722</v>
      </c>
      <c r="R10" s="1" t="s">
        <v>6</v>
      </c>
      <c r="S10" s="17">
        <f t="shared" ref="S10:AF10" si="2">SUM(C10:C13)</f>
        <v>128.14285714285714</v>
      </c>
      <c r="T10" s="17">
        <f t="shared" si="2"/>
        <v>18.857142857142858</v>
      </c>
      <c r="U10" s="17">
        <f t="shared" si="2"/>
        <v>14.428571428571427</v>
      </c>
      <c r="V10" s="17">
        <f t="shared" si="2"/>
        <v>6.8571428571428577</v>
      </c>
      <c r="W10" s="17">
        <f t="shared" si="2"/>
        <v>0.5714285714285714</v>
      </c>
      <c r="X10" s="17">
        <f t="shared" si="2"/>
        <v>0.42857142857142855</v>
      </c>
      <c r="Y10" s="17">
        <f t="shared" si="2"/>
        <v>9.4285714285714288</v>
      </c>
      <c r="Z10" s="17">
        <f t="shared" si="2"/>
        <v>3.2857142857142856</v>
      </c>
      <c r="AA10" s="17">
        <f t="shared" si="2"/>
        <v>0.14285714285714285</v>
      </c>
      <c r="AB10" s="17">
        <f t="shared" si="2"/>
        <v>0</v>
      </c>
      <c r="AC10" s="17">
        <f t="shared" si="2"/>
        <v>115.57142857142857</v>
      </c>
      <c r="AD10" s="17">
        <f t="shared" si="2"/>
        <v>0</v>
      </c>
      <c r="AE10" s="31">
        <f t="shared" si="2"/>
        <v>182.14285714285714</v>
      </c>
      <c r="AF10" s="31">
        <f t="shared" si="2"/>
        <v>297.71428571428572</v>
      </c>
    </row>
    <row r="11" spans="2:32" s="6" customFormat="1" ht="23.1" customHeight="1" x14ac:dyDescent="0.25">
      <c r="B11" s="23" t="s">
        <v>38</v>
      </c>
      <c r="C11" s="49">
        <f>AVERAGE('23.09.19 Kajansi -Bweya'!C11,'24.09 Kajansi-Bweya'!C11,'25.09 Kajansi-Bweya'!C11,'27.09Kasjansi-Munyonyo'!C11,'26.09 Kajansi-Bweya-24h'!C11,'28.09 Bweya-Kajansi-24h'!C11,'29.09 Bweya-Kajansi'!C11)</f>
        <v>30</v>
      </c>
      <c r="D11" s="49">
        <f>AVERAGE('23.09.19 Kajansi -Bweya'!D11,'24.09 Kajansi-Bweya'!D11,'25.09 Kajansi-Bweya'!D11,'27.09Kasjansi-Munyonyo'!D11,'26.09 Kajansi-Bweya-24h'!D11,'28.09 Bweya-Kajansi-24h'!D11,'29.09 Bweya-Kajansi'!D11)</f>
        <v>6.1428571428571432</v>
      </c>
      <c r="E11" s="49">
        <f>AVERAGE('23.09.19 Kajansi -Bweya'!E11,'24.09 Kajansi-Bweya'!E11,'25.09 Kajansi-Bweya'!E11,'27.09Kasjansi-Munyonyo'!E11,'26.09 Kajansi-Bweya-24h'!E11,'28.09 Bweya-Kajansi-24h'!E11,'29.09 Bweya-Kajansi'!E11)</f>
        <v>3.7142857142857144</v>
      </c>
      <c r="F11" s="49">
        <f>AVERAGE('23.09.19 Kajansi -Bweya'!F11,'24.09 Kajansi-Bweya'!F11,'25.09 Kajansi-Bweya'!F11,'27.09Kasjansi-Munyonyo'!F11,'26.09 Kajansi-Bweya-24h'!F11,'28.09 Bweya-Kajansi-24h'!F11,'29.09 Bweya-Kajansi'!F11)</f>
        <v>1.4285714285714286</v>
      </c>
      <c r="G11" s="49">
        <f>AVERAGE('23.09.19 Kajansi -Bweya'!G11,'24.09 Kajansi-Bweya'!G11,'25.09 Kajansi-Bweya'!G11,'27.09Kasjansi-Munyonyo'!G11,'26.09 Kajansi-Bweya-24h'!G11,'28.09 Bweya-Kajansi-24h'!G11,'29.09 Bweya-Kajansi'!G11)</f>
        <v>0</v>
      </c>
      <c r="H11" s="49">
        <f>AVERAGE('23.09.19 Kajansi -Bweya'!H11,'24.09 Kajansi-Bweya'!H11,'25.09 Kajansi-Bweya'!H11,'27.09Kasjansi-Munyonyo'!H11,'26.09 Kajansi-Bweya-24h'!H11,'28.09 Bweya-Kajansi-24h'!H11,'29.09 Bweya-Kajansi'!H11)</f>
        <v>0</v>
      </c>
      <c r="I11" s="49">
        <f>AVERAGE('23.09.19 Kajansi -Bweya'!I11,'24.09 Kajansi-Bweya'!I11,'25.09 Kajansi-Bweya'!I11,'27.09Kasjansi-Munyonyo'!I11,'26.09 Kajansi-Bweya-24h'!I11,'28.09 Bweya-Kajansi-24h'!I11,'29.09 Bweya-Kajansi'!I11)</f>
        <v>2.4285714285714284</v>
      </c>
      <c r="J11" s="49">
        <f>AVERAGE('23.09.19 Kajansi -Bweya'!J11,'24.09 Kajansi-Bweya'!J11,'25.09 Kajansi-Bweya'!J11,'27.09Kasjansi-Munyonyo'!J11,'26.09 Kajansi-Bweya-24h'!J11,'28.09 Bweya-Kajansi-24h'!J11,'29.09 Bweya-Kajansi'!J11)</f>
        <v>0.8571428571428571</v>
      </c>
      <c r="K11" s="49">
        <f>AVERAGE('23.09.19 Kajansi -Bweya'!K11,'24.09 Kajansi-Bweya'!K11,'25.09 Kajansi-Bweya'!K11,'27.09Kasjansi-Munyonyo'!K11,'26.09 Kajansi-Bweya-24h'!K11,'28.09 Bweya-Kajansi-24h'!K11,'29.09 Bweya-Kajansi'!K11)</f>
        <v>0</v>
      </c>
      <c r="L11" s="49">
        <f>AVERAGE('23.09.19 Kajansi -Bweya'!L11,'24.09 Kajansi-Bweya'!L11,'25.09 Kajansi-Bweya'!L11,'27.09Kasjansi-Munyonyo'!L11,'26.09 Kajansi-Bweya-24h'!L11,'28.09 Bweya-Kajansi-24h'!L11,'29.09 Bweya-Kajansi'!L11)</f>
        <v>0</v>
      </c>
      <c r="M11" s="49">
        <f>AVERAGE('23.09.19 Kajansi -Bweya'!M11,'24.09 Kajansi-Bweya'!M11,'25.09 Kajansi-Bweya'!M11,'27.09Kasjansi-Munyonyo'!M11,'26.09 Kajansi-Bweya-24h'!M11,'28.09 Bweya-Kajansi-24h'!M11,'29.09 Bweya-Kajansi'!M11)</f>
        <v>30.857142857142858</v>
      </c>
      <c r="N11" s="49">
        <f>AVERAGE('23.09.19 Kajansi -Bweya'!N11,'24.09 Kajansi-Bweya'!N11,'25.09 Kajansi-Bweya'!N11,'27.09Kasjansi-Munyonyo'!N11,'26.09 Kajansi-Bweya-24h'!N11,'28.09 Bweya-Kajansi-24h'!N11,'29.09 Bweya-Kajansi'!N11)</f>
        <v>0</v>
      </c>
      <c r="O11" s="15">
        <f t="shared" si="0"/>
        <v>44.571428571428577</v>
      </c>
      <c r="P11" s="15">
        <f t="shared" si="1"/>
        <v>75.428571428571431</v>
      </c>
      <c r="R11" s="1" t="s">
        <v>7</v>
      </c>
      <c r="S11" s="17">
        <f t="shared" ref="S11:AF11" si="3">SUM(C14:C17)</f>
        <v>111</v>
      </c>
      <c r="T11" s="17">
        <f t="shared" si="3"/>
        <v>17.428571428571431</v>
      </c>
      <c r="U11" s="17">
        <f t="shared" si="3"/>
        <v>13.714285714285715</v>
      </c>
      <c r="V11" s="17">
        <f t="shared" si="3"/>
        <v>4.4285714285714288</v>
      </c>
      <c r="W11" s="17">
        <f t="shared" si="3"/>
        <v>0.42857142857142855</v>
      </c>
      <c r="X11" s="17">
        <f t="shared" si="3"/>
        <v>0.14285714285714285</v>
      </c>
      <c r="Y11" s="17">
        <f t="shared" si="3"/>
        <v>8.7142857142857153</v>
      </c>
      <c r="Z11" s="17">
        <f t="shared" si="3"/>
        <v>3.4285714285714288</v>
      </c>
      <c r="AA11" s="17">
        <f t="shared" si="3"/>
        <v>0.85714285714285698</v>
      </c>
      <c r="AB11" s="17">
        <f t="shared" si="3"/>
        <v>0</v>
      </c>
      <c r="AC11" s="17">
        <f t="shared" si="3"/>
        <v>140</v>
      </c>
      <c r="AD11" s="17">
        <f t="shared" si="3"/>
        <v>0</v>
      </c>
      <c r="AE11" s="31">
        <f t="shared" si="3"/>
        <v>160.14285714285714</v>
      </c>
      <c r="AF11" s="31">
        <f t="shared" si="3"/>
        <v>300.14285714285711</v>
      </c>
    </row>
    <row r="12" spans="2:32" ht="23.1" customHeight="1" x14ac:dyDescent="0.25">
      <c r="B12" s="23" t="s">
        <v>39</v>
      </c>
      <c r="C12" s="49">
        <f>AVERAGE('23.09.19 Kajansi -Bweya'!C12,'24.09 Kajansi-Bweya'!C12,'25.09 Kajansi-Bweya'!C12,'27.09Kasjansi-Munyonyo'!C12,'26.09 Kajansi-Bweya-24h'!C12,'28.09 Bweya-Kajansi-24h'!C12,'29.09 Bweya-Kajansi'!C12)</f>
        <v>38.571428571428569</v>
      </c>
      <c r="D12" s="49">
        <f>AVERAGE('23.09.19 Kajansi -Bweya'!D12,'24.09 Kajansi-Bweya'!D12,'25.09 Kajansi-Bweya'!D12,'27.09Kasjansi-Munyonyo'!D12,'26.09 Kajansi-Bweya-24h'!D12,'28.09 Bweya-Kajansi-24h'!D12,'29.09 Bweya-Kajansi'!D12)</f>
        <v>5.2857142857142856</v>
      </c>
      <c r="E12" s="49">
        <f>AVERAGE('23.09.19 Kajansi -Bweya'!E12,'24.09 Kajansi-Bweya'!E12,'25.09 Kajansi-Bweya'!E12,'27.09Kasjansi-Munyonyo'!E12,'26.09 Kajansi-Bweya-24h'!E12,'28.09 Bweya-Kajansi-24h'!E12,'29.09 Bweya-Kajansi'!E12)</f>
        <v>4.8571428571428568</v>
      </c>
      <c r="F12" s="49">
        <f>AVERAGE('23.09.19 Kajansi -Bweya'!F12,'24.09 Kajansi-Bweya'!F12,'25.09 Kajansi-Bweya'!F12,'27.09Kasjansi-Munyonyo'!F12,'26.09 Kajansi-Bweya-24h'!F12,'28.09 Bweya-Kajansi-24h'!F12,'29.09 Bweya-Kajansi'!F12)</f>
        <v>2.1428571428571428</v>
      </c>
      <c r="G12" s="49">
        <f>AVERAGE('23.09.19 Kajansi -Bweya'!G12,'24.09 Kajansi-Bweya'!G12,'25.09 Kajansi-Bweya'!G12,'27.09Kasjansi-Munyonyo'!G12,'26.09 Kajansi-Bweya-24h'!G12,'28.09 Bweya-Kajansi-24h'!G12,'29.09 Bweya-Kajansi'!G12)</f>
        <v>0.5714285714285714</v>
      </c>
      <c r="H12" s="49">
        <f>AVERAGE('23.09.19 Kajansi -Bweya'!H12,'24.09 Kajansi-Bweya'!H12,'25.09 Kajansi-Bweya'!H12,'27.09Kasjansi-Munyonyo'!H12,'26.09 Kajansi-Bweya-24h'!H12,'28.09 Bweya-Kajansi-24h'!H12,'29.09 Bweya-Kajansi'!H12)</f>
        <v>0</v>
      </c>
      <c r="I12" s="49">
        <f>AVERAGE('23.09.19 Kajansi -Bweya'!I12,'24.09 Kajansi-Bweya'!I12,'25.09 Kajansi-Bweya'!I12,'27.09Kasjansi-Munyonyo'!I12,'26.09 Kajansi-Bweya-24h'!I12,'28.09 Bweya-Kajansi-24h'!I12,'29.09 Bweya-Kajansi'!I12)</f>
        <v>1.8571428571428572</v>
      </c>
      <c r="J12" s="49">
        <f>AVERAGE('23.09.19 Kajansi -Bweya'!J12,'24.09 Kajansi-Bweya'!J12,'25.09 Kajansi-Bweya'!J12,'27.09Kasjansi-Munyonyo'!J12,'26.09 Kajansi-Bweya-24h'!J12,'28.09 Bweya-Kajansi-24h'!J12,'29.09 Bweya-Kajansi'!J12)</f>
        <v>0.7142857142857143</v>
      </c>
      <c r="K12" s="49">
        <f>AVERAGE('23.09.19 Kajansi -Bweya'!K12,'24.09 Kajansi-Bweya'!K12,'25.09 Kajansi-Bweya'!K12,'27.09Kasjansi-Munyonyo'!K12,'26.09 Kajansi-Bweya-24h'!K12,'28.09 Bweya-Kajansi-24h'!K12,'29.09 Bweya-Kajansi'!K12)</f>
        <v>0.14285714285714285</v>
      </c>
      <c r="L12" s="49">
        <f>AVERAGE('23.09.19 Kajansi -Bweya'!L12,'24.09 Kajansi-Bweya'!L12,'25.09 Kajansi-Bweya'!L12,'27.09Kasjansi-Munyonyo'!L12,'26.09 Kajansi-Bweya-24h'!L12,'28.09 Bweya-Kajansi-24h'!L12,'29.09 Bweya-Kajansi'!L12)</f>
        <v>0</v>
      </c>
      <c r="M12" s="49">
        <f>AVERAGE('23.09.19 Kajansi -Bweya'!M12,'24.09 Kajansi-Bweya'!M12,'25.09 Kajansi-Bweya'!M12,'27.09Kasjansi-Munyonyo'!M12,'26.09 Kajansi-Bweya-24h'!M12,'28.09 Bweya-Kajansi-24h'!M12,'29.09 Bweya-Kajansi'!M12)</f>
        <v>33.285714285714285</v>
      </c>
      <c r="N12" s="49">
        <f>AVERAGE('23.09.19 Kajansi -Bweya'!N12,'24.09 Kajansi-Bweya'!N12,'25.09 Kajansi-Bweya'!N12,'27.09Kasjansi-Munyonyo'!N12,'26.09 Kajansi-Bweya-24h'!N12,'28.09 Bweya-Kajansi-24h'!N12,'29.09 Bweya-Kajansi'!N12)</f>
        <v>0</v>
      </c>
      <c r="O12" s="15">
        <f t="shared" si="0"/>
        <v>54.142857142857139</v>
      </c>
      <c r="P12" s="15">
        <f t="shared" si="1"/>
        <v>87.428571428571416</v>
      </c>
      <c r="R12" s="1" t="s">
        <v>8</v>
      </c>
      <c r="S12" s="17">
        <f t="shared" ref="S12:AF12" si="4">SUM(C18:C21)</f>
        <v>90</v>
      </c>
      <c r="T12" s="17">
        <f t="shared" si="4"/>
        <v>21</v>
      </c>
      <c r="U12" s="17">
        <f t="shared" si="4"/>
        <v>12</v>
      </c>
      <c r="V12" s="17">
        <f t="shared" si="4"/>
        <v>3.7142857142857144</v>
      </c>
      <c r="W12" s="17">
        <f t="shared" si="4"/>
        <v>0.71428571428571419</v>
      </c>
      <c r="X12" s="17">
        <f t="shared" si="4"/>
        <v>0.14285714285714285</v>
      </c>
      <c r="Y12" s="17">
        <f t="shared" si="4"/>
        <v>11.285714285714285</v>
      </c>
      <c r="Z12" s="17">
        <f t="shared" si="4"/>
        <v>3.1428571428571423</v>
      </c>
      <c r="AA12" s="17">
        <f t="shared" si="4"/>
        <v>1.1428571428571428</v>
      </c>
      <c r="AB12" s="17">
        <f t="shared" si="4"/>
        <v>0</v>
      </c>
      <c r="AC12" s="17">
        <f t="shared" si="4"/>
        <v>125.85714285714285</v>
      </c>
      <c r="AD12" s="17">
        <f t="shared" si="4"/>
        <v>0</v>
      </c>
      <c r="AE12" s="31">
        <f t="shared" si="4"/>
        <v>143.14285714285714</v>
      </c>
      <c r="AF12" s="31">
        <f t="shared" si="4"/>
        <v>269</v>
      </c>
    </row>
    <row r="13" spans="2:32" ht="23.1" customHeight="1" x14ac:dyDescent="0.25">
      <c r="B13" s="23" t="s">
        <v>40</v>
      </c>
      <c r="C13" s="49">
        <f>AVERAGE('23.09.19 Kajansi -Bweya'!C13,'24.09 Kajansi-Bweya'!C13,'25.09 Kajansi-Bweya'!C13,'27.09Kasjansi-Munyonyo'!C13,'26.09 Kajansi-Bweya-24h'!C13,'28.09 Bweya-Kajansi-24h'!C13,'29.09 Bweya-Kajansi'!C13)</f>
        <v>33.857142857142854</v>
      </c>
      <c r="D13" s="49">
        <f>AVERAGE('23.09.19 Kajansi -Bweya'!D13,'24.09 Kajansi-Bweya'!D13,'25.09 Kajansi-Bweya'!D13,'27.09Kasjansi-Munyonyo'!D13,'26.09 Kajansi-Bweya-24h'!D13,'28.09 Bweya-Kajansi-24h'!D13,'29.09 Bweya-Kajansi'!D13)</f>
        <v>3.5714285714285716</v>
      </c>
      <c r="E13" s="49">
        <f>AVERAGE('23.09.19 Kajansi -Bweya'!E13,'24.09 Kajansi-Bweya'!E13,'25.09 Kajansi-Bweya'!E13,'27.09Kasjansi-Munyonyo'!E13,'26.09 Kajansi-Bweya-24h'!E13,'28.09 Bweya-Kajansi-24h'!E13,'29.09 Bweya-Kajansi'!E13)</f>
        <v>3.1428571428571428</v>
      </c>
      <c r="F13" s="49">
        <f>AVERAGE('23.09.19 Kajansi -Bweya'!F13,'24.09 Kajansi-Bweya'!F13,'25.09 Kajansi-Bweya'!F13,'27.09Kasjansi-Munyonyo'!F13,'26.09 Kajansi-Bweya-24h'!F13,'28.09 Bweya-Kajansi-24h'!F13,'29.09 Bweya-Kajansi'!F13)</f>
        <v>1.8571428571428572</v>
      </c>
      <c r="G13" s="49">
        <f>AVERAGE('23.09.19 Kajansi -Bweya'!G13,'24.09 Kajansi-Bweya'!G13,'25.09 Kajansi-Bweya'!G13,'27.09Kasjansi-Munyonyo'!G13,'26.09 Kajansi-Bweya-24h'!G13,'28.09 Bweya-Kajansi-24h'!G13,'29.09 Bweya-Kajansi'!G13)</f>
        <v>0</v>
      </c>
      <c r="H13" s="49">
        <f>AVERAGE('23.09.19 Kajansi -Bweya'!H13,'24.09 Kajansi-Bweya'!H13,'25.09 Kajansi-Bweya'!H13,'27.09Kasjansi-Munyonyo'!H13,'26.09 Kajansi-Bweya-24h'!H13,'28.09 Bweya-Kajansi-24h'!H13,'29.09 Bweya-Kajansi'!H13)</f>
        <v>0.2857142857142857</v>
      </c>
      <c r="I13" s="49">
        <f>AVERAGE('23.09.19 Kajansi -Bweya'!I13,'24.09 Kajansi-Bweya'!I13,'25.09 Kajansi-Bweya'!I13,'27.09Kasjansi-Munyonyo'!I13,'26.09 Kajansi-Bweya-24h'!I13,'28.09 Bweya-Kajansi-24h'!I13,'29.09 Bweya-Kajansi'!I13)</f>
        <v>2.8571428571428572</v>
      </c>
      <c r="J13" s="49">
        <f>AVERAGE('23.09.19 Kajansi -Bweya'!J13,'24.09 Kajansi-Bweya'!J13,'25.09 Kajansi-Bweya'!J13,'27.09Kasjansi-Munyonyo'!J13,'26.09 Kajansi-Bweya-24h'!J13,'28.09 Bweya-Kajansi-24h'!J13,'29.09 Bweya-Kajansi'!J13)</f>
        <v>1</v>
      </c>
      <c r="K13" s="49">
        <f>AVERAGE('23.09.19 Kajansi -Bweya'!K13,'24.09 Kajansi-Bweya'!K13,'25.09 Kajansi-Bweya'!K13,'27.09Kasjansi-Munyonyo'!K13,'26.09 Kajansi-Bweya-24h'!K13,'28.09 Bweya-Kajansi-24h'!K13,'29.09 Bweya-Kajansi'!K13)</f>
        <v>0</v>
      </c>
      <c r="L13" s="49">
        <f>AVERAGE('23.09.19 Kajansi -Bweya'!L13,'24.09 Kajansi-Bweya'!L13,'25.09 Kajansi-Bweya'!L13,'27.09Kasjansi-Munyonyo'!L13,'26.09 Kajansi-Bweya-24h'!L13,'28.09 Bweya-Kajansi-24h'!L13,'29.09 Bweya-Kajansi'!L13)</f>
        <v>0</v>
      </c>
      <c r="M13" s="49">
        <f>AVERAGE('23.09.19 Kajansi -Bweya'!M13,'24.09 Kajansi-Bweya'!M13,'25.09 Kajansi-Bweya'!M13,'27.09Kasjansi-Munyonyo'!M13,'26.09 Kajansi-Bweya-24h'!M13,'28.09 Bweya-Kajansi-24h'!M13,'29.09 Bweya-Kajansi'!M13)</f>
        <v>31.571428571428573</v>
      </c>
      <c r="N13" s="49">
        <f>AVERAGE('23.09.19 Kajansi -Bweya'!N13,'24.09 Kajansi-Bweya'!N13,'25.09 Kajansi-Bweya'!N13,'27.09Kasjansi-Munyonyo'!N13,'26.09 Kajansi-Bweya-24h'!N13,'28.09 Bweya-Kajansi-24h'!N13,'29.09 Bweya-Kajansi'!N13)</f>
        <v>0</v>
      </c>
      <c r="O13" s="15">
        <f t="shared" si="0"/>
        <v>46.571428571428562</v>
      </c>
      <c r="P13" s="15">
        <f t="shared" si="1"/>
        <v>78.142857142857139</v>
      </c>
      <c r="R13" s="1" t="s">
        <v>9</v>
      </c>
      <c r="S13" s="17">
        <f t="shared" ref="S13:AF13" si="5">SUM(C22:C25)</f>
        <v>94.428571428571416</v>
      </c>
      <c r="T13" s="17">
        <f t="shared" si="5"/>
        <v>26.142857142857142</v>
      </c>
      <c r="U13" s="17">
        <f t="shared" si="5"/>
        <v>12.857142857142858</v>
      </c>
      <c r="V13" s="17">
        <f t="shared" si="5"/>
        <v>4.8571428571428577</v>
      </c>
      <c r="W13" s="17">
        <f t="shared" si="5"/>
        <v>0.5714285714285714</v>
      </c>
      <c r="X13" s="17">
        <f t="shared" si="5"/>
        <v>0</v>
      </c>
      <c r="Y13" s="17">
        <f t="shared" si="5"/>
        <v>11.142857142857144</v>
      </c>
      <c r="Z13" s="17">
        <f t="shared" si="5"/>
        <v>2.8571428571428572</v>
      </c>
      <c r="AA13" s="17">
        <f t="shared" si="5"/>
        <v>0.42857142857142855</v>
      </c>
      <c r="AB13" s="17">
        <f t="shared" si="5"/>
        <v>0</v>
      </c>
      <c r="AC13" s="17">
        <f t="shared" si="5"/>
        <v>123.71428571428571</v>
      </c>
      <c r="AD13" s="17">
        <f t="shared" si="5"/>
        <v>0</v>
      </c>
      <c r="AE13" s="31">
        <f t="shared" si="5"/>
        <v>153.28571428571428</v>
      </c>
      <c r="AF13" s="31">
        <f t="shared" si="5"/>
        <v>277</v>
      </c>
    </row>
    <row r="14" spans="2:32" ht="23.1" customHeight="1" x14ac:dyDescent="0.25">
      <c r="B14" s="23" t="s">
        <v>41</v>
      </c>
      <c r="C14" s="49">
        <f>AVERAGE('23.09.19 Kajansi -Bweya'!C14,'24.09 Kajansi-Bweya'!C14,'25.09 Kajansi-Bweya'!C14,'27.09Kasjansi-Munyonyo'!C14,'26.09 Kajansi-Bweya-24h'!C14,'28.09 Bweya-Kajansi-24h'!C14,'29.09 Bweya-Kajansi'!C14)</f>
        <v>29.142857142857142</v>
      </c>
      <c r="D14" s="49">
        <f>AVERAGE('23.09.19 Kajansi -Bweya'!D14,'24.09 Kajansi-Bweya'!D14,'25.09 Kajansi-Bweya'!D14,'27.09Kasjansi-Munyonyo'!D14,'26.09 Kajansi-Bweya-24h'!D14,'28.09 Bweya-Kajansi-24h'!D14,'29.09 Bweya-Kajansi'!D14)</f>
        <v>5.1428571428571432</v>
      </c>
      <c r="E14" s="49">
        <f>AVERAGE('23.09.19 Kajansi -Bweya'!E14,'24.09 Kajansi-Bweya'!E14,'25.09 Kajansi-Bweya'!E14,'27.09Kasjansi-Munyonyo'!E14,'26.09 Kajansi-Bweya-24h'!E14,'28.09 Bweya-Kajansi-24h'!E14,'29.09 Bweya-Kajansi'!E14)</f>
        <v>3.7142857142857144</v>
      </c>
      <c r="F14" s="49">
        <f>AVERAGE('23.09.19 Kajansi -Bweya'!F14,'24.09 Kajansi-Bweya'!F14,'25.09 Kajansi-Bweya'!F14,'27.09Kasjansi-Munyonyo'!F14,'26.09 Kajansi-Bweya-24h'!F14,'28.09 Bweya-Kajansi-24h'!F14,'29.09 Bweya-Kajansi'!F14)</f>
        <v>1.4285714285714286</v>
      </c>
      <c r="G14" s="49">
        <f>AVERAGE('23.09.19 Kajansi -Bweya'!G14,'24.09 Kajansi-Bweya'!G14,'25.09 Kajansi-Bweya'!G14,'27.09Kasjansi-Munyonyo'!G14,'26.09 Kajansi-Bweya-24h'!G14,'28.09 Bweya-Kajansi-24h'!G14,'29.09 Bweya-Kajansi'!G14)</f>
        <v>0.14285714285714285</v>
      </c>
      <c r="H14" s="49">
        <f>AVERAGE('23.09.19 Kajansi -Bweya'!H14,'24.09 Kajansi-Bweya'!H14,'25.09 Kajansi-Bweya'!H14,'27.09Kasjansi-Munyonyo'!H14,'26.09 Kajansi-Bweya-24h'!H14,'28.09 Bweya-Kajansi-24h'!H14,'29.09 Bweya-Kajansi'!H14)</f>
        <v>0</v>
      </c>
      <c r="I14" s="49">
        <f>AVERAGE('23.09.19 Kajansi -Bweya'!I14,'24.09 Kajansi-Bweya'!I14,'25.09 Kajansi-Bweya'!I14,'27.09Kasjansi-Munyonyo'!I14,'26.09 Kajansi-Bweya-24h'!I14,'28.09 Bweya-Kajansi-24h'!I14,'29.09 Bweya-Kajansi'!I14)</f>
        <v>1.8571428571428572</v>
      </c>
      <c r="J14" s="49">
        <f>AVERAGE('23.09.19 Kajansi -Bweya'!J14,'24.09 Kajansi-Bweya'!J14,'25.09 Kajansi-Bweya'!J14,'27.09Kasjansi-Munyonyo'!J14,'26.09 Kajansi-Bweya-24h'!J14,'28.09 Bweya-Kajansi-24h'!J14,'29.09 Bweya-Kajansi'!J14)</f>
        <v>0.5714285714285714</v>
      </c>
      <c r="K14" s="49">
        <f>AVERAGE('23.09.19 Kajansi -Bweya'!K14,'24.09 Kajansi-Bweya'!K14,'25.09 Kajansi-Bweya'!K14,'27.09Kasjansi-Munyonyo'!K14,'26.09 Kajansi-Bweya-24h'!K14,'28.09 Bweya-Kajansi-24h'!K14,'29.09 Bweya-Kajansi'!K14)</f>
        <v>0.2857142857142857</v>
      </c>
      <c r="L14" s="49">
        <f>AVERAGE('23.09.19 Kajansi -Bweya'!L14,'24.09 Kajansi-Bweya'!L14,'25.09 Kajansi-Bweya'!L14,'27.09Kasjansi-Munyonyo'!L14,'26.09 Kajansi-Bweya-24h'!L14,'28.09 Bweya-Kajansi-24h'!L14,'29.09 Bweya-Kajansi'!L14)</f>
        <v>0</v>
      </c>
      <c r="M14" s="49">
        <f>AVERAGE('23.09.19 Kajansi -Bweya'!M14,'24.09 Kajansi-Bweya'!M14,'25.09 Kajansi-Bweya'!M14,'27.09Kasjansi-Munyonyo'!M14,'26.09 Kajansi-Bweya-24h'!M14,'28.09 Bweya-Kajansi-24h'!M14,'29.09 Bweya-Kajansi'!M14)</f>
        <v>35.571428571428569</v>
      </c>
      <c r="N14" s="49">
        <f>AVERAGE('23.09.19 Kajansi -Bweya'!N14,'24.09 Kajansi-Bweya'!N14,'25.09 Kajansi-Bweya'!N14,'27.09Kasjansi-Munyonyo'!N14,'26.09 Kajansi-Bweya-24h'!N14,'28.09 Bweya-Kajansi-24h'!N14,'29.09 Bweya-Kajansi'!N14)</f>
        <v>0</v>
      </c>
      <c r="O14" s="15">
        <f t="shared" si="0"/>
        <v>42.285714285714285</v>
      </c>
      <c r="P14" s="15">
        <f t="shared" si="1"/>
        <v>77.857142857142861</v>
      </c>
      <c r="R14" s="1" t="s">
        <v>10</v>
      </c>
      <c r="S14" s="17">
        <f t="shared" ref="S14:AF14" si="6">SUM(C26:C29)</f>
        <v>105.71428571428571</v>
      </c>
      <c r="T14" s="17">
        <f t="shared" si="6"/>
        <v>22.428571428571431</v>
      </c>
      <c r="U14" s="17">
        <f t="shared" si="6"/>
        <v>12.285714285714286</v>
      </c>
      <c r="V14" s="17">
        <f t="shared" si="6"/>
        <v>3.9999999999999996</v>
      </c>
      <c r="W14" s="17">
        <f t="shared" si="6"/>
        <v>0.14285714285714285</v>
      </c>
      <c r="X14" s="17">
        <f t="shared" si="6"/>
        <v>0.5714285714285714</v>
      </c>
      <c r="Y14" s="17">
        <f t="shared" si="6"/>
        <v>10.714285714285715</v>
      </c>
      <c r="Z14" s="17">
        <f t="shared" si="6"/>
        <v>5.2857142857142865</v>
      </c>
      <c r="AA14" s="17">
        <f t="shared" si="6"/>
        <v>1.2857142857142856</v>
      </c>
      <c r="AB14" s="17">
        <f t="shared" si="6"/>
        <v>0.42857142857142855</v>
      </c>
      <c r="AC14" s="17">
        <f t="shared" si="6"/>
        <v>121.71428571428571</v>
      </c>
      <c r="AD14" s="17">
        <f t="shared" si="6"/>
        <v>0</v>
      </c>
      <c r="AE14" s="31">
        <f t="shared" si="6"/>
        <v>162.85714285714286</v>
      </c>
      <c r="AF14" s="31">
        <f t="shared" si="6"/>
        <v>284.57142857142856</v>
      </c>
    </row>
    <row r="15" spans="2:32" ht="23.1" customHeight="1" x14ac:dyDescent="0.25">
      <c r="B15" s="23" t="s">
        <v>42</v>
      </c>
      <c r="C15" s="49">
        <f>AVERAGE('23.09.19 Kajansi -Bweya'!C15,'24.09 Kajansi-Bweya'!C15,'25.09 Kajansi-Bweya'!C15,'27.09Kasjansi-Munyonyo'!C15,'26.09 Kajansi-Bweya-24h'!C15,'28.09 Bweya-Kajansi-24h'!C15,'29.09 Bweya-Kajansi'!C15)</f>
        <v>28.714285714285715</v>
      </c>
      <c r="D15" s="49">
        <f>AVERAGE('23.09.19 Kajansi -Bweya'!D15,'24.09 Kajansi-Bweya'!D15,'25.09 Kajansi-Bweya'!D15,'27.09Kasjansi-Munyonyo'!D15,'26.09 Kajansi-Bweya-24h'!D15,'28.09 Bweya-Kajansi-24h'!D15,'29.09 Bweya-Kajansi'!D15)</f>
        <v>4.4285714285714288</v>
      </c>
      <c r="E15" s="49">
        <f>AVERAGE('23.09.19 Kajansi -Bweya'!E15,'24.09 Kajansi-Bweya'!E15,'25.09 Kajansi-Bweya'!E15,'27.09Kasjansi-Munyonyo'!E15,'26.09 Kajansi-Bweya-24h'!E15,'28.09 Bweya-Kajansi-24h'!E15,'29.09 Bweya-Kajansi'!E15)</f>
        <v>3.8571428571428572</v>
      </c>
      <c r="F15" s="49">
        <f>AVERAGE('23.09.19 Kajansi -Bweya'!F15,'24.09 Kajansi-Bweya'!F15,'25.09 Kajansi-Bweya'!F15,'27.09Kasjansi-Munyonyo'!F15,'26.09 Kajansi-Bweya-24h'!F15,'28.09 Bweya-Kajansi-24h'!F15,'29.09 Bweya-Kajansi'!F15)</f>
        <v>1.1428571428571428</v>
      </c>
      <c r="G15" s="49">
        <f>AVERAGE('23.09.19 Kajansi -Bweya'!G15,'24.09 Kajansi-Bweya'!G15,'25.09 Kajansi-Bweya'!G15,'27.09Kasjansi-Munyonyo'!G15,'26.09 Kajansi-Bweya-24h'!G15,'28.09 Bweya-Kajansi-24h'!G15,'29.09 Bweya-Kajansi'!G15)</f>
        <v>0</v>
      </c>
      <c r="H15" s="49">
        <f>AVERAGE('23.09.19 Kajansi -Bweya'!H15,'24.09 Kajansi-Bweya'!H15,'25.09 Kajansi-Bweya'!H15,'27.09Kasjansi-Munyonyo'!H15,'26.09 Kajansi-Bweya-24h'!H15,'28.09 Bweya-Kajansi-24h'!H15,'29.09 Bweya-Kajansi'!H15)</f>
        <v>0.14285714285714285</v>
      </c>
      <c r="I15" s="49">
        <f>AVERAGE('23.09.19 Kajansi -Bweya'!I15,'24.09 Kajansi-Bweya'!I15,'25.09 Kajansi-Bweya'!I15,'27.09Kasjansi-Munyonyo'!I15,'26.09 Kajansi-Bweya-24h'!I15,'28.09 Bweya-Kajansi-24h'!I15,'29.09 Bweya-Kajansi'!I15)</f>
        <v>2</v>
      </c>
      <c r="J15" s="49">
        <f>AVERAGE('23.09.19 Kajansi -Bweya'!J15,'24.09 Kajansi-Bweya'!J15,'25.09 Kajansi-Bweya'!J15,'27.09Kasjansi-Munyonyo'!J15,'26.09 Kajansi-Bweya-24h'!J15,'28.09 Bweya-Kajansi-24h'!J15,'29.09 Bweya-Kajansi'!J15)</f>
        <v>0.7142857142857143</v>
      </c>
      <c r="K15" s="49">
        <f>AVERAGE('23.09.19 Kajansi -Bweya'!K15,'24.09 Kajansi-Bweya'!K15,'25.09 Kajansi-Bweya'!K15,'27.09Kasjansi-Munyonyo'!K15,'26.09 Kajansi-Bweya-24h'!K15,'28.09 Bweya-Kajansi-24h'!K15,'29.09 Bweya-Kajansi'!K15)</f>
        <v>0.42857142857142855</v>
      </c>
      <c r="L15" s="49">
        <f>AVERAGE('23.09.19 Kajansi -Bweya'!L15,'24.09 Kajansi-Bweya'!L15,'25.09 Kajansi-Bweya'!L15,'27.09Kasjansi-Munyonyo'!L15,'26.09 Kajansi-Bweya-24h'!L15,'28.09 Bweya-Kajansi-24h'!L15,'29.09 Bweya-Kajansi'!L15)</f>
        <v>0</v>
      </c>
      <c r="M15" s="49">
        <f>AVERAGE('23.09.19 Kajansi -Bweya'!M15,'24.09 Kajansi-Bweya'!M15,'25.09 Kajansi-Bweya'!M15,'27.09Kasjansi-Munyonyo'!M15,'26.09 Kajansi-Bweya-24h'!M15,'28.09 Bweya-Kajansi-24h'!M15,'29.09 Bweya-Kajansi'!M15)</f>
        <v>35.428571428571431</v>
      </c>
      <c r="N15" s="49">
        <f>AVERAGE('23.09.19 Kajansi -Bweya'!N15,'24.09 Kajansi-Bweya'!N15,'25.09 Kajansi-Bweya'!N15,'27.09Kasjansi-Munyonyo'!N15,'26.09 Kajansi-Bweya-24h'!N15,'28.09 Bweya-Kajansi-24h'!N15,'29.09 Bweya-Kajansi'!N15)</f>
        <v>0</v>
      </c>
      <c r="O15" s="15">
        <f t="shared" si="0"/>
        <v>41.428571428571438</v>
      </c>
      <c r="P15" s="15">
        <f t="shared" si="1"/>
        <v>76.857142857142861</v>
      </c>
      <c r="R15" s="1" t="s">
        <v>11</v>
      </c>
      <c r="S15" s="17">
        <f t="shared" ref="S15:AF15" si="7">SUM(C30:C33)</f>
        <v>96.857142857142861</v>
      </c>
      <c r="T15" s="17">
        <f t="shared" si="7"/>
        <v>22.571428571428569</v>
      </c>
      <c r="U15" s="17">
        <f t="shared" si="7"/>
        <v>9.2857142857142847</v>
      </c>
      <c r="V15" s="17">
        <f t="shared" si="7"/>
        <v>3.8571428571428568</v>
      </c>
      <c r="W15" s="17">
        <f t="shared" si="7"/>
        <v>0.5714285714285714</v>
      </c>
      <c r="X15" s="17">
        <f t="shared" si="7"/>
        <v>0.2857142857142857</v>
      </c>
      <c r="Y15" s="17">
        <f t="shared" si="7"/>
        <v>10</v>
      </c>
      <c r="Z15" s="17">
        <f t="shared" si="7"/>
        <v>6.5714285714285712</v>
      </c>
      <c r="AA15" s="17">
        <f t="shared" si="7"/>
        <v>1</v>
      </c>
      <c r="AB15" s="17">
        <f t="shared" si="7"/>
        <v>0.14285714285714285</v>
      </c>
      <c r="AC15" s="17">
        <f t="shared" si="7"/>
        <v>99.285714285714278</v>
      </c>
      <c r="AD15" s="17">
        <f t="shared" si="7"/>
        <v>0</v>
      </c>
      <c r="AE15" s="31">
        <f t="shared" si="7"/>
        <v>151.14285714285714</v>
      </c>
      <c r="AF15" s="31">
        <f t="shared" si="7"/>
        <v>250.42857142857144</v>
      </c>
    </row>
    <row r="16" spans="2:32" ht="23.1" customHeight="1" x14ac:dyDescent="0.25">
      <c r="B16" s="23" t="s">
        <v>43</v>
      </c>
      <c r="C16" s="49">
        <f>AVERAGE('23.09.19 Kajansi -Bweya'!C16,'24.09 Kajansi-Bweya'!C16,'25.09 Kajansi-Bweya'!C16,'27.09Kasjansi-Munyonyo'!C16,'26.09 Kajansi-Bweya-24h'!C16,'28.09 Bweya-Kajansi-24h'!C16,'29.09 Bweya-Kajansi'!C16)</f>
        <v>27</v>
      </c>
      <c r="D16" s="49">
        <f>AVERAGE('23.09.19 Kajansi -Bweya'!D16,'24.09 Kajansi-Bweya'!D16,'25.09 Kajansi-Bweya'!D16,'27.09Kasjansi-Munyonyo'!D16,'26.09 Kajansi-Bweya-24h'!D16,'28.09 Bweya-Kajansi-24h'!D16,'29.09 Bweya-Kajansi'!D16)</f>
        <v>3.2857142857142856</v>
      </c>
      <c r="E16" s="49">
        <f>AVERAGE('23.09.19 Kajansi -Bweya'!E16,'24.09 Kajansi-Bweya'!E16,'25.09 Kajansi-Bweya'!E16,'27.09Kasjansi-Munyonyo'!E16,'26.09 Kajansi-Bweya-24h'!E16,'28.09 Bweya-Kajansi-24h'!E16,'29.09 Bweya-Kajansi'!E16)</f>
        <v>2.8571428571428572</v>
      </c>
      <c r="F16" s="49">
        <f>AVERAGE('23.09.19 Kajansi -Bweya'!F16,'24.09 Kajansi-Bweya'!F16,'25.09 Kajansi-Bweya'!F16,'27.09Kasjansi-Munyonyo'!F16,'26.09 Kajansi-Bweya-24h'!F16,'28.09 Bweya-Kajansi-24h'!F16,'29.09 Bweya-Kajansi'!F16)</f>
        <v>0.8571428571428571</v>
      </c>
      <c r="G16" s="49">
        <f>AVERAGE('23.09.19 Kajansi -Bweya'!G16,'24.09 Kajansi-Bweya'!G16,'25.09 Kajansi-Bweya'!G16,'27.09Kasjansi-Munyonyo'!G16,'26.09 Kajansi-Bweya-24h'!G16,'28.09 Bweya-Kajansi-24h'!G16,'29.09 Bweya-Kajansi'!G16)</f>
        <v>0</v>
      </c>
      <c r="H16" s="49">
        <f>AVERAGE('23.09.19 Kajansi -Bweya'!H16,'24.09 Kajansi-Bweya'!H16,'25.09 Kajansi-Bweya'!H16,'27.09Kasjansi-Munyonyo'!H16,'26.09 Kajansi-Bweya-24h'!H16,'28.09 Bweya-Kajansi-24h'!H16,'29.09 Bweya-Kajansi'!H16)</f>
        <v>0</v>
      </c>
      <c r="I16" s="49">
        <f>AVERAGE('23.09.19 Kajansi -Bweya'!I16,'24.09 Kajansi-Bweya'!I16,'25.09 Kajansi-Bweya'!I16,'27.09Kasjansi-Munyonyo'!I16,'26.09 Kajansi-Bweya-24h'!I16,'28.09 Bweya-Kajansi-24h'!I16,'29.09 Bweya-Kajansi'!I16)</f>
        <v>2.5714285714285716</v>
      </c>
      <c r="J16" s="49">
        <f>AVERAGE('23.09.19 Kajansi -Bweya'!J16,'24.09 Kajansi-Bweya'!J16,'25.09 Kajansi-Bweya'!J16,'27.09Kasjansi-Munyonyo'!J16,'26.09 Kajansi-Bweya-24h'!J16,'28.09 Bweya-Kajansi-24h'!J16,'29.09 Bweya-Kajansi'!J16)</f>
        <v>0.7142857142857143</v>
      </c>
      <c r="K16" s="49">
        <f>AVERAGE('23.09.19 Kajansi -Bweya'!K16,'24.09 Kajansi-Bweya'!K16,'25.09 Kajansi-Bweya'!K16,'27.09Kasjansi-Munyonyo'!K16,'26.09 Kajansi-Bweya-24h'!K16,'28.09 Bweya-Kajansi-24h'!K16,'29.09 Bweya-Kajansi'!K16)</f>
        <v>0</v>
      </c>
      <c r="L16" s="49">
        <f>AVERAGE('23.09.19 Kajansi -Bweya'!L16,'24.09 Kajansi-Bweya'!L16,'25.09 Kajansi-Bweya'!L16,'27.09Kasjansi-Munyonyo'!L16,'26.09 Kajansi-Bweya-24h'!L16,'28.09 Bweya-Kajansi-24h'!L16,'29.09 Bweya-Kajansi'!L16)</f>
        <v>0</v>
      </c>
      <c r="M16" s="49">
        <f>AVERAGE('23.09.19 Kajansi -Bweya'!M16,'24.09 Kajansi-Bweya'!M16,'25.09 Kajansi-Bweya'!M16,'27.09Kasjansi-Munyonyo'!M16,'26.09 Kajansi-Bweya-24h'!M16,'28.09 Bweya-Kajansi-24h'!M16,'29.09 Bweya-Kajansi'!M16)</f>
        <v>37.142857142857146</v>
      </c>
      <c r="N16" s="49">
        <f>AVERAGE('23.09.19 Kajansi -Bweya'!N16,'24.09 Kajansi-Bweya'!N16,'25.09 Kajansi-Bweya'!N16,'27.09Kasjansi-Munyonyo'!N16,'26.09 Kajansi-Bweya-24h'!N16,'28.09 Bweya-Kajansi-24h'!N16,'29.09 Bweya-Kajansi'!N16)</f>
        <v>0</v>
      </c>
      <c r="O16" s="15">
        <f t="shared" si="0"/>
        <v>37.285714285714278</v>
      </c>
      <c r="P16" s="15">
        <f t="shared" si="1"/>
        <v>74.428571428571416</v>
      </c>
      <c r="R16" s="1" t="s">
        <v>12</v>
      </c>
      <c r="S16" s="17">
        <f t="shared" ref="S16:AF16" si="8">SUM(C34:C37)</f>
        <v>104.71428571428571</v>
      </c>
      <c r="T16" s="17">
        <f t="shared" si="8"/>
        <v>27.142857142857142</v>
      </c>
      <c r="U16" s="17">
        <f t="shared" si="8"/>
        <v>13.857142857142858</v>
      </c>
      <c r="V16" s="17">
        <f t="shared" si="8"/>
        <v>4.4285714285714288</v>
      </c>
      <c r="W16" s="17">
        <f t="shared" si="8"/>
        <v>0.5714285714285714</v>
      </c>
      <c r="X16" s="17">
        <f t="shared" si="8"/>
        <v>0.71428571428571419</v>
      </c>
      <c r="Y16" s="17">
        <f t="shared" si="8"/>
        <v>14.142857142857142</v>
      </c>
      <c r="Z16" s="17">
        <f t="shared" si="8"/>
        <v>4.1428571428571423</v>
      </c>
      <c r="AA16" s="17">
        <f t="shared" si="8"/>
        <v>0.42857142857142855</v>
      </c>
      <c r="AB16" s="17">
        <f t="shared" si="8"/>
        <v>0</v>
      </c>
      <c r="AC16" s="17">
        <f t="shared" si="8"/>
        <v>107</v>
      </c>
      <c r="AD16" s="17">
        <f t="shared" si="8"/>
        <v>0</v>
      </c>
      <c r="AE16" s="31">
        <f t="shared" si="8"/>
        <v>170.14285714285714</v>
      </c>
      <c r="AF16" s="31">
        <f t="shared" si="8"/>
        <v>277.14285714285711</v>
      </c>
    </row>
    <row r="17" spans="2:32" ht="23.1" customHeight="1" x14ac:dyDescent="0.25">
      <c r="B17" s="23" t="s">
        <v>44</v>
      </c>
      <c r="C17" s="49">
        <f>AVERAGE('23.09.19 Kajansi -Bweya'!C17,'24.09 Kajansi-Bweya'!C17,'25.09 Kajansi-Bweya'!C17,'27.09Kasjansi-Munyonyo'!C17,'26.09 Kajansi-Bweya-24h'!C17,'28.09 Bweya-Kajansi-24h'!C17,'29.09 Bweya-Kajansi'!C17)</f>
        <v>26.142857142857142</v>
      </c>
      <c r="D17" s="49">
        <f>AVERAGE('23.09.19 Kajansi -Bweya'!D17,'24.09 Kajansi-Bweya'!D17,'25.09 Kajansi-Bweya'!D17,'27.09Kasjansi-Munyonyo'!D17,'26.09 Kajansi-Bweya-24h'!D17,'28.09 Bweya-Kajansi-24h'!D17,'29.09 Bweya-Kajansi'!D17)</f>
        <v>4.5714285714285712</v>
      </c>
      <c r="E17" s="49">
        <f>AVERAGE('23.09.19 Kajansi -Bweya'!E17,'24.09 Kajansi-Bweya'!E17,'25.09 Kajansi-Bweya'!E17,'27.09Kasjansi-Munyonyo'!E17,'26.09 Kajansi-Bweya-24h'!E17,'28.09 Bweya-Kajansi-24h'!E17,'29.09 Bweya-Kajansi'!E17)</f>
        <v>3.2857142857142856</v>
      </c>
      <c r="F17" s="49">
        <f>AVERAGE('23.09.19 Kajansi -Bweya'!F17,'24.09 Kajansi-Bweya'!F17,'25.09 Kajansi-Bweya'!F17,'27.09Kasjansi-Munyonyo'!F17,'26.09 Kajansi-Bweya-24h'!F17,'28.09 Bweya-Kajansi-24h'!F17,'29.09 Bweya-Kajansi'!F17)</f>
        <v>1</v>
      </c>
      <c r="G17" s="49">
        <f>AVERAGE('23.09.19 Kajansi -Bweya'!G17,'24.09 Kajansi-Bweya'!G17,'25.09 Kajansi-Bweya'!G17,'27.09Kasjansi-Munyonyo'!G17,'26.09 Kajansi-Bweya-24h'!G17,'28.09 Bweya-Kajansi-24h'!G17,'29.09 Bweya-Kajansi'!G17)</f>
        <v>0.2857142857142857</v>
      </c>
      <c r="H17" s="49">
        <f>AVERAGE('23.09.19 Kajansi -Bweya'!H17,'24.09 Kajansi-Bweya'!H17,'25.09 Kajansi-Bweya'!H17,'27.09Kasjansi-Munyonyo'!H17,'26.09 Kajansi-Bweya-24h'!H17,'28.09 Bweya-Kajansi-24h'!H17,'29.09 Bweya-Kajansi'!H17)</f>
        <v>0</v>
      </c>
      <c r="I17" s="49">
        <f>AVERAGE('23.09.19 Kajansi -Bweya'!I17,'24.09 Kajansi-Bweya'!I17,'25.09 Kajansi-Bweya'!I17,'27.09Kasjansi-Munyonyo'!I17,'26.09 Kajansi-Bweya-24h'!I17,'28.09 Bweya-Kajansi-24h'!I17,'29.09 Bweya-Kajansi'!I17)</f>
        <v>2.2857142857142856</v>
      </c>
      <c r="J17" s="49">
        <f>AVERAGE('23.09.19 Kajansi -Bweya'!J17,'24.09 Kajansi-Bweya'!J17,'25.09 Kajansi-Bweya'!J17,'27.09Kasjansi-Munyonyo'!J17,'26.09 Kajansi-Bweya-24h'!J17,'28.09 Bweya-Kajansi-24h'!J17,'29.09 Bweya-Kajansi'!J17)</f>
        <v>1.4285714285714286</v>
      </c>
      <c r="K17" s="49">
        <f>AVERAGE('23.09.19 Kajansi -Bweya'!K17,'24.09 Kajansi-Bweya'!K17,'25.09 Kajansi-Bweya'!K17,'27.09Kasjansi-Munyonyo'!K17,'26.09 Kajansi-Bweya-24h'!K17,'28.09 Bweya-Kajansi-24h'!K17,'29.09 Bweya-Kajansi'!K17)</f>
        <v>0.14285714285714285</v>
      </c>
      <c r="L17" s="49">
        <f>AVERAGE('23.09.19 Kajansi -Bweya'!L17,'24.09 Kajansi-Bweya'!L17,'25.09 Kajansi-Bweya'!L17,'27.09Kasjansi-Munyonyo'!L17,'26.09 Kajansi-Bweya-24h'!L17,'28.09 Bweya-Kajansi-24h'!L17,'29.09 Bweya-Kajansi'!L17)</f>
        <v>0</v>
      </c>
      <c r="M17" s="49">
        <f>AVERAGE('23.09.19 Kajansi -Bweya'!M17,'24.09 Kajansi-Bweya'!M17,'25.09 Kajansi-Bweya'!M17,'27.09Kasjansi-Munyonyo'!M17,'26.09 Kajansi-Bweya-24h'!M17,'28.09 Bweya-Kajansi-24h'!M17,'29.09 Bweya-Kajansi'!M17)</f>
        <v>31.857142857142858</v>
      </c>
      <c r="N17" s="49">
        <f>AVERAGE('23.09.19 Kajansi -Bweya'!N17,'24.09 Kajansi-Bweya'!N17,'25.09 Kajansi-Bweya'!N17,'27.09Kasjansi-Munyonyo'!N17,'26.09 Kajansi-Bweya-24h'!N17,'28.09 Bweya-Kajansi-24h'!N17,'29.09 Bweya-Kajansi'!N17)</f>
        <v>0</v>
      </c>
      <c r="O17" s="15">
        <f t="shared" si="0"/>
        <v>39.142857142857146</v>
      </c>
      <c r="P17" s="15">
        <f t="shared" si="1"/>
        <v>71</v>
      </c>
      <c r="R17" s="1" t="s">
        <v>13</v>
      </c>
      <c r="S17" s="17">
        <f t="shared" ref="S17:AF17" si="9">SUM(C38:C41)</f>
        <v>113.42857142857143</v>
      </c>
      <c r="T17" s="17">
        <f t="shared" si="9"/>
        <v>27.714285714285715</v>
      </c>
      <c r="U17" s="17">
        <f t="shared" si="9"/>
        <v>12.857142857142858</v>
      </c>
      <c r="V17" s="17">
        <f t="shared" si="9"/>
        <v>3.1428571428571423</v>
      </c>
      <c r="W17" s="17">
        <f t="shared" si="9"/>
        <v>1.2857142857142858</v>
      </c>
      <c r="X17" s="17">
        <f t="shared" si="9"/>
        <v>0.14285714285714285</v>
      </c>
      <c r="Y17" s="17">
        <f t="shared" si="9"/>
        <v>13.142857142857142</v>
      </c>
      <c r="Z17" s="17">
        <f t="shared" si="9"/>
        <v>5</v>
      </c>
      <c r="AA17" s="17">
        <f t="shared" si="9"/>
        <v>0.99999999999999989</v>
      </c>
      <c r="AB17" s="17">
        <f t="shared" si="9"/>
        <v>0.2857142857142857</v>
      </c>
      <c r="AC17" s="17">
        <f t="shared" si="9"/>
        <v>114.14285714285715</v>
      </c>
      <c r="AD17" s="17">
        <f t="shared" si="9"/>
        <v>0</v>
      </c>
      <c r="AE17" s="31">
        <f t="shared" si="9"/>
        <v>178</v>
      </c>
      <c r="AF17" s="31">
        <f t="shared" si="9"/>
        <v>292.14285714285717</v>
      </c>
    </row>
    <row r="18" spans="2:32" ht="23.1" customHeight="1" x14ac:dyDescent="0.25">
      <c r="B18" s="23" t="s">
        <v>45</v>
      </c>
      <c r="C18" s="49">
        <f>AVERAGE('23.09.19 Kajansi -Bweya'!C18,'24.09 Kajansi-Bweya'!C18,'25.09 Kajansi-Bweya'!C18,'27.09Kasjansi-Munyonyo'!C18,'26.09 Kajansi-Bweya-24h'!C18,'28.09 Bweya-Kajansi-24h'!C18,'29.09 Bweya-Kajansi'!C18)</f>
        <v>23.571428571428573</v>
      </c>
      <c r="D18" s="49">
        <f>AVERAGE('23.09.19 Kajansi -Bweya'!D18,'24.09 Kajansi-Bweya'!D18,'25.09 Kajansi-Bweya'!D18,'27.09Kasjansi-Munyonyo'!D18,'26.09 Kajansi-Bweya-24h'!D18,'28.09 Bweya-Kajansi-24h'!D18,'29.09 Bweya-Kajansi'!D18)</f>
        <v>5.4285714285714288</v>
      </c>
      <c r="E18" s="49">
        <f>AVERAGE('23.09.19 Kajansi -Bweya'!E18,'24.09 Kajansi-Bweya'!E18,'25.09 Kajansi-Bweya'!E18,'27.09Kasjansi-Munyonyo'!E18,'26.09 Kajansi-Bweya-24h'!E18,'28.09 Bweya-Kajansi-24h'!E18,'29.09 Bweya-Kajansi'!E18)</f>
        <v>3.7142857142857144</v>
      </c>
      <c r="F18" s="49">
        <f>AVERAGE('23.09.19 Kajansi -Bweya'!F18,'24.09 Kajansi-Bweya'!F18,'25.09 Kajansi-Bweya'!F18,'27.09Kasjansi-Munyonyo'!F18,'26.09 Kajansi-Bweya-24h'!F18,'28.09 Bweya-Kajansi-24h'!F18,'29.09 Bweya-Kajansi'!F18)</f>
        <v>1</v>
      </c>
      <c r="G18" s="49">
        <f>AVERAGE('23.09.19 Kajansi -Bweya'!G18,'24.09 Kajansi-Bweya'!G18,'25.09 Kajansi-Bweya'!G18,'27.09Kasjansi-Munyonyo'!G18,'26.09 Kajansi-Bweya-24h'!G18,'28.09 Bweya-Kajansi-24h'!G18,'29.09 Bweya-Kajansi'!G18)</f>
        <v>0.14285714285714285</v>
      </c>
      <c r="H18" s="49">
        <f>AVERAGE('23.09.19 Kajansi -Bweya'!H18,'24.09 Kajansi-Bweya'!H18,'25.09 Kajansi-Bweya'!H18,'27.09Kasjansi-Munyonyo'!H18,'26.09 Kajansi-Bweya-24h'!H18,'28.09 Bweya-Kajansi-24h'!H18,'29.09 Bweya-Kajansi'!H18)</f>
        <v>0.14285714285714285</v>
      </c>
      <c r="I18" s="49">
        <f>AVERAGE('23.09.19 Kajansi -Bweya'!I18,'24.09 Kajansi-Bweya'!I18,'25.09 Kajansi-Bweya'!I18,'27.09Kasjansi-Munyonyo'!I18,'26.09 Kajansi-Bweya-24h'!I18,'28.09 Bweya-Kajansi-24h'!I18,'29.09 Bweya-Kajansi'!I18)</f>
        <v>3.8571428571428572</v>
      </c>
      <c r="J18" s="49">
        <f>AVERAGE('23.09.19 Kajansi -Bweya'!J18,'24.09 Kajansi-Bweya'!J18,'25.09 Kajansi-Bweya'!J18,'27.09Kasjansi-Munyonyo'!J18,'26.09 Kajansi-Bweya-24h'!J18,'28.09 Bweya-Kajansi-24h'!J18,'29.09 Bweya-Kajansi'!J18)</f>
        <v>0.2857142857142857</v>
      </c>
      <c r="K18" s="49">
        <f>AVERAGE('23.09.19 Kajansi -Bweya'!K18,'24.09 Kajansi-Bweya'!K18,'25.09 Kajansi-Bweya'!K18,'27.09Kasjansi-Munyonyo'!K18,'26.09 Kajansi-Bweya-24h'!K18,'28.09 Bweya-Kajansi-24h'!K18,'29.09 Bweya-Kajansi'!K18)</f>
        <v>0.7142857142857143</v>
      </c>
      <c r="L18" s="49">
        <f>AVERAGE('23.09.19 Kajansi -Bweya'!L18,'24.09 Kajansi-Bweya'!L18,'25.09 Kajansi-Bweya'!L18,'27.09Kasjansi-Munyonyo'!L18,'26.09 Kajansi-Bweya-24h'!L18,'28.09 Bweya-Kajansi-24h'!L18,'29.09 Bweya-Kajansi'!L18)</f>
        <v>0</v>
      </c>
      <c r="M18" s="49">
        <f>AVERAGE('23.09.19 Kajansi -Bweya'!M18,'24.09 Kajansi-Bweya'!M18,'25.09 Kajansi-Bweya'!M18,'27.09Kasjansi-Munyonyo'!M18,'26.09 Kajansi-Bweya-24h'!M18,'28.09 Bweya-Kajansi-24h'!M18,'29.09 Bweya-Kajansi'!M18)</f>
        <v>34.857142857142854</v>
      </c>
      <c r="N18" s="49">
        <f>AVERAGE('23.09.19 Kajansi -Bweya'!N18,'24.09 Kajansi-Bweya'!N18,'25.09 Kajansi-Bweya'!N18,'27.09Kasjansi-Munyonyo'!N18,'26.09 Kajansi-Bweya-24h'!N18,'28.09 Bweya-Kajansi-24h'!N18,'29.09 Bweya-Kajansi'!N18)</f>
        <v>0</v>
      </c>
      <c r="O18" s="15">
        <f t="shared" si="0"/>
        <v>38.857142857142861</v>
      </c>
      <c r="P18" s="15">
        <f t="shared" si="1"/>
        <v>73.714285714285722</v>
      </c>
      <c r="R18" s="1" t="s">
        <v>14</v>
      </c>
      <c r="S18" s="17">
        <f t="shared" ref="S18:AF18" si="10">SUM(C42:C45)</f>
        <v>137.71428571428572</v>
      </c>
      <c r="T18" s="17">
        <f t="shared" si="10"/>
        <v>22.285714285714285</v>
      </c>
      <c r="U18" s="17">
        <f t="shared" si="10"/>
        <v>22.285714285714285</v>
      </c>
      <c r="V18" s="17">
        <f t="shared" si="10"/>
        <v>3.5714285714285712</v>
      </c>
      <c r="W18" s="17">
        <f t="shared" si="10"/>
        <v>0.85714285714285698</v>
      </c>
      <c r="X18" s="17">
        <f t="shared" si="10"/>
        <v>0.2857142857142857</v>
      </c>
      <c r="Y18" s="17">
        <f t="shared" si="10"/>
        <v>10.714285714285715</v>
      </c>
      <c r="Z18" s="17">
        <f t="shared" si="10"/>
        <v>8.1428571428571423</v>
      </c>
      <c r="AA18" s="17">
        <f t="shared" si="10"/>
        <v>0.5714285714285714</v>
      </c>
      <c r="AB18" s="17">
        <f t="shared" si="10"/>
        <v>0.14285714285714285</v>
      </c>
      <c r="AC18" s="17">
        <f t="shared" si="10"/>
        <v>119.14285714285714</v>
      </c>
      <c r="AD18" s="17">
        <f t="shared" si="10"/>
        <v>0</v>
      </c>
      <c r="AE18" s="31">
        <f t="shared" si="10"/>
        <v>206.57142857142856</v>
      </c>
      <c r="AF18" s="31">
        <f t="shared" si="10"/>
        <v>325.71428571428567</v>
      </c>
    </row>
    <row r="19" spans="2:32" ht="23.1" customHeight="1" x14ac:dyDescent="0.25">
      <c r="B19" s="23" t="s">
        <v>46</v>
      </c>
      <c r="C19" s="49">
        <f>AVERAGE('23.09.19 Kajansi -Bweya'!C19,'24.09 Kajansi-Bweya'!C19,'25.09 Kajansi-Bweya'!C19,'27.09Kasjansi-Munyonyo'!C19,'26.09 Kajansi-Bweya-24h'!C19,'28.09 Bweya-Kajansi-24h'!C19,'29.09 Bweya-Kajansi'!C19)</f>
        <v>21.428571428571427</v>
      </c>
      <c r="D19" s="49">
        <f>AVERAGE('23.09.19 Kajansi -Bweya'!D19,'24.09 Kajansi-Bweya'!D19,'25.09 Kajansi-Bweya'!D19,'27.09Kasjansi-Munyonyo'!D19,'26.09 Kajansi-Bweya-24h'!D19,'28.09 Bweya-Kajansi-24h'!D19,'29.09 Bweya-Kajansi'!D19)</f>
        <v>4.4285714285714288</v>
      </c>
      <c r="E19" s="49">
        <f>AVERAGE('23.09.19 Kajansi -Bweya'!E19,'24.09 Kajansi-Bweya'!E19,'25.09 Kajansi-Bweya'!E19,'27.09Kasjansi-Munyonyo'!E19,'26.09 Kajansi-Bweya-24h'!E19,'28.09 Bweya-Kajansi-24h'!E19,'29.09 Bweya-Kajansi'!E19)</f>
        <v>2.8571428571428572</v>
      </c>
      <c r="F19" s="49">
        <f>AVERAGE('23.09.19 Kajansi -Bweya'!F19,'24.09 Kajansi-Bweya'!F19,'25.09 Kajansi-Bweya'!F19,'27.09Kasjansi-Munyonyo'!F19,'26.09 Kajansi-Bweya-24h'!F19,'28.09 Bweya-Kajansi-24h'!F19,'29.09 Bweya-Kajansi'!F19)</f>
        <v>1.4285714285714286</v>
      </c>
      <c r="G19" s="49">
        <f>AVERAGE('23.09.19 Kajansi -Bweya'!G19,'24.09 Kajansi-Bweya'!G19,'25.09 Kajansi-Bweya'!G19,'27.09Kasjansi-Munyonyo'!G19,'26.09 Kajansi-Bweya-24h'!G19,'28.09 Bweya-Kajansi-24h'!G19,'29.09 Bweya-Kajansi'!G19)</f>
        <v>0.2857142857142857</v>
      </c>
      <c r="H19" s="49">
        <f>AVERAGE('23.09.19 Kajansi -Bweya'!H19,'24.09 Kajansi-Bweya'!H19,'25.09 Kajansi-Bweya'!H19,'27.09Kasjansi-Munyonyo'!H19,'26.09 Kajansi-Bweya-24h'!H19,'28.09 Bweya-Kajansi-24h'!H19,'29.09 Bweya-Kajansi'!H19)</f>
        <v>0</v>
      </c>
      <c r="I19" s="49">
        <f>AVERAGE('23.09.19 Kajansi -Bweya'!I19,'24.09 Kajansi-Bweya'!I19,'25.09 Kajansi-Bweya'!I19,'27.09Kasjansi-Munyonyo'!I19,'26.09 Kajansi-Bweya-24h'!I19,'28.09 Bweya-Kajansi-24h'!I19,'29.09 Bweya-Kajansi'!I19)</f>
        <v>3.5714285714285716</v>
      </c>
      <c r="J19" s="49">
        <f>AVERAGE('23.09.19 Kajansi -Bweya'!J19,'24.09 Kajansi-Bweya'!J19,'25.09 Kajansi-Bweya'!J19,'27.09Kasjansi-Munyonyo'!J19,'26.09 Kajansi-Bweya-24h'!J19,'28.09 Bweya-Kajansi-24h'!J19,'29.09 Bweya-Kajansi'!J19)</f>
        <v>1.1428571428571428</v>
      </c>
      <c r="K19" s="49">
        <f>AVERAGE('23.09.19 Kajansi -Bweya'!K19,'24.09 Kajansi-Bweya'!K19,'25.09 Kajansi-Bweya'!K19,'27.09Kasjansi-Munyonyo'!K19,'26.09 Kajansi-Bweya-24h'!K19,'28.09 Bweya-Kajansi-24h'!K19,'29.09 Bweya-Kajansi'!K19)</f>
        <v>0</v>
      </c>
      <c r="L19" s="49">
        <f>AVERAGE('23.09.19 Kajansi -Bweya'!L19,'24.09 Kajansi-Bweya'!L19,'25.09 Kajansi-Bweya'!L19,'27.09Kasjansi-Munyonyo'!L19,'26.09 Kajansi-Bweya-24h'!L19,'28.09 Bweya-Kajansi-24h'!L19,'29.09 Bweya-Kajansi'!L19)</f>
        <v>0</v>
      </c>
      <c r="M19" s="49">
        <f>AVERAGE('23.09.19 Kajansi -Bweya'!M19,'24.09 Kajansi-Bweya'!M19,'25.09 Kajansi-Bweya'!M19,'27.09Kasjansi-Munyonyo'!M19,'26.09 Kajansi-Bweya-24h'!M19,'28.09 Bweya-Kajansi-24h'!M19,'29.09 Bweya-Kajansi'!M19)</f>
        <v>32.714285714285715</v>
      </c>
      <c r="N19" s="49">
        <f>AVERAGE('23.09.19 Kajansi -Bweya'!N19,'24.09 Kajansi-Bweya'!N19,'25.09 Kajansi-Bweya'!N19,'27.09Kasjansi-Munyonyo'!N19,'26.09 Kajansi-Bweya-24h'!N19,'28.09 Bweya-Kajansi-24h'!N19,'29.09 Bweya-Kajansi'!N19)</f>
        <v>0</v>
      </c>
      <c r="O19" s="15">
        <f t="shared" si="0"/>
        <v>35.142857142857139</v>
      </c>
      <c r="P19" s="15">
        <f t="shared" si="1"/>
        <v>67.857142857142861</v>
      </c>
      <c r="R19" s="1" t="s">
        <v>15</v>
      </c>
      <c r="S19" s="17">
        <f t="shared" ref="S19:AF19" si="11">SUM(C46:C49)</f>
        <v>152.28571428571428</v>
      </c>
      <c r="T19" s="17">
        <f t="shared" si="11"/>
        <v>24</v>
      </c>
      <c r="U19" s="17">
        <f t="shared" si="11"/>
        <v>17.285714285714285</v>
      </c>
      <c r="V19" s="17">
        <f t="shared" si="11"/>
        <v>3.8571428571428572</v>
      </c>
      <c r="W19" s="17">
        <f t="shared" si="11"/>
        <v>1</v>
      </c>
      <c r="X19" s="17">
        <f t="shared" si="11"/>
        <v>0</v>
      </c>
      <c r="Y19" s="17">
        <f t="shared" si="11"/>
        <v>13.714285714285714</v>
      </c>
      <c r="Z19" s="17">
        <f t="shared" si="11"/>
        <v>7.5714285714285712</v>
      </c>
      <c r="AA19" s="17">
        <f t="shared" si="11"/>
        <v>2</v>
      </c>
      <c r="AB19" s="17">
        <f t="shared" si="11"/>
        <v>0.14285714285714285</v>
      </c>
      <c r="AC19" s="17">
        <f t="shared" si="11"/>
        <v>129.14285714285714</v>
      </c>
      <c r="AD19" s="17">
        <f t="shared" si="11"/>
        <v>0</v>
      </c>
      <c r="AE19" s="31">
        <f t="shared" si="11"/>
        <v>221.85714285714289</v>
      </c>
      <c r="AF19" s="31">
        <f t="shared" si="11"/>
        <v>351</v>
      </c>
    </row>
    <row r="20" spans="2:32" ht="23.1" customHeight="1" x14ac:dyDescent="0.25">
      <c r="B20" s="23" t="s">
        <v>47</v>
      </c>
      <c r="C20" s="49">
        <f>AVERAGE('23.09.19 Kajansi -Bweya'!C20,'24.09 Kajansi-Bweya'!C20,'25.09 Kajansi-Bweya'!C20,'27.09Kasjansi-Munyonyo'!C20,'26.09 Kajansi-Bweya-24h'!C20,'28.09 Bweya-Kajansi-24h'!C20,'29.09 Bweya-Kajansi'!C20)</f>
        <v>21.285714285714285</v>
      </c>
      <c r="D20" s="49">
        <f>AVERAGE('23.09.19 Kajansi -Bweya'!D20,'24.09 Kajansi-Bweya'!D20,'25.09 Kajansi-Bweya'!D20,'27.09Kasjansi-Munyonyo'!D20,'26.09 Kajansi-Bweya-24h'!D20,'28.09 Bweya-Kajansi-24h'!D20,'29.09 Bweya-Kajansi'!D20)</f>
        <v>5.5714285714285712</v>
      </c>
      <c r="E20" s="49">
        <f>AVERAGE('23.09.19 Kajansi -Bweya'!E20,'24.09 Kajansi-Bweya'!E20,'25.09 Kajansi-Bweya'!E20,'27.09Kasjansi-Munyonyo'!E20,'26.09 Kajansi-Bweya-24h'!E20,'28.09 Bweya-Kajansi-24h'!E20,'29.09 Bweya-Kajansi'!E20)</f>
        <v>2.4285714285714284</v>
      </c>
      <c r="F20" s="49">
        <f>AVERAGE('23.09.19 Kajansi -Bweya'!F20,'24.09 Kajansi-Bweya'!F20,'25.09 Kajansi-Bweya'!F20,'27.09Kasjansi-Munyonyo'!F20,'26.09 Kajansi-Bweya-24h'!F20,'28.09 Bweya-Kajansi-24h'!F20,'29.09 Bweya-Kajansi'!F20)</f>
        <v>0.7142857142857143</v>
      </c>
      <c r="G20" s="49">
        <f>AVERAGE('23.09.19 Kajansi -Bweya'!G20,'24.09 Kajansi-Bweya'!G20,'25.09 Kajansi-Bweya'!G20,'27.09Kasjansi-Munyonyo'!G20,'26.09 Kajansi-Bweya-24h'!G20,'28.09 Bweya-Kajansi-24h'!G20,'29.09 Bweya-Kajansi'!G20)</f>
        <v>0</v>
      </c>
      <c r="H20" s="49">
        <f>AVERAGE('23.09.19 Kajansi -Bweya'!H20,'24.09 Kajansi-Bweya'!H20,'25.09 Kajansi-Bweya'!H20,'27.09Kasjansi-Munyonyo'!H20,'26.09 Kajansi-Bweya-24h'!H20,'28.09 Bweya-Kajansi-24h'!H20,'29.09 Bweya-Kajansi'!H20)</f>
        <v>0</v>
      </c>
      <c r="I20" s="49">
        <f>AVERAGE('23.09.19 Kajansi -Bweya'!I20,'24.09 Kajansi-Bweya'!I20,'25.09 Kajansi-Bweya'!I20,'27.09Kasjansi-Munyonyo'!I20,'26.09 Kajansi-Bweya-24h'!I20,'28.09 Bweya-Kajansi-24h'!I20,'29.09 Bweya-Kajansi'!I20)</f>
        <v>1.5714285714285714</v>
      </c>
      <c r="J20" s="49">
        <f>AVERAGE('23.09.19 Kajansi -Bweya'!J20,'24.09 Kajansi-Bweya'!J20,'25.09 Kajansi-Bweya'!J20,'27.09Kasjansi-Munyonyo'!J20,'26.09 Kajansi-Bweya-24h'!J20,'28.09 Bweya-Kajansi-24h'!J20,'29.09 Bweya-Kajansi'!J20)</f>
        <v>1.1428571428571428</v>
      </c>
      <c r="K20" s="49">
        <f>AVERAGE('23.09.19 Kajansi -Bweya'!K20,'24.09 Kajansi-Bweya'!K20,'25.09 Kajansi-Bweya'!K20,'27.09Kasjansi-Munyonyo'!K20,'26.09 Kajansi-Bweya-24h'!K20,'28.09 Bweya-Kajansi-24h'!K20,'29.09 Bweya-Kajansi'!K20)</f>
        <v>0.2857142857142857</v>
      </c>
      <c r="L20" s="49">
        <f>AVERAGE('23.09.19 Kajansi -Bweya'!L20,'24.09 Kajansi-Bweya'!L20,'25.09 Kajansi-Bweya'!L20,'27.09Kasjansi-Munyonyo'!L20,'26.09 Kajansi-Bweya-24h'!L20,'28.09 Bweya-Kajansi-24h'!L20,'29.09 Bweya-Kajansi'!L20)</f>
        <v>0</v>
      </c>
      <c r="M20" s="49">
        <f>AVERAGE('23.09.19 Kajansi -Bweya'!M20,'24.09 Kajansi-Bweya'!M20,'25.09 Kajansi-Bweya'!M20,'27.09Kasjansi-Munyonyo'!M20,'26.09 Kajansi-Bweya-24h'!M20,'28.09 Bweya-Kajansi-24h'!M20,'29.09 Bweya-Kajansi'!M20)</f>
        <v>29.142857142857142</v>
      </c>
      <c r="N20" s="49">
        <f>AVERAGE('23.09.19 Kajansi -Bweya'!N20,'24.09 Kajansi-Bweya'!N20,'25.09 Kajansi-Bweya'!N20,'27.09Kasjansi-Munyonyo'!N20,'26.09 Kajansi-Bweya-24h'!N20,'28.09 Bweya-Kajansi-24h'!N20,'29.09 Bweya-Kajansi'!N20)</f>
        <v>0</v>
      </c>
      <c r="O20" s="15">
        <f t="shared" si="0"/>
        <v>33</v>
      </c>
      <c r="P20" s="15">
        <f t="shared" si="1"/>
        <v>62.142857142857139</v>
      </c>
      <c r="R20" s="1" t="s">
        <v>16</v>
      </c>
      <c r="S20" s="17">
        <f t="shared" ref="S20:AF20" si="12">SUM(C50:C53)</f>
        <v>157.42857142857142</v>
      </c>
      <c r="T20" s="17">
        <f t="shared" si="12"/>
        <v>18.714285714285715</v>
      </c>
      <c r="U20" s="17">
        <f t="shared" si="12"/>
        <v>13.285714285714285</v>
      </c>
      <c r="V20" s="17">
        <f t="shared" si="12"/>
        <v>4.2857142857142856</v>
      </c>
      <c r="W20" s="17">
        <f t="shared" si="12"/>
        <v>1.714285714285714</v>
      </c>
      <c r="X20" s="17">
        <f t="shared" si="12"/>
        <v>0.71428571428571419</v>
      </c>
      <c r="Y20" s="17">
        <f t="shared" si="12"/>
        <v>9.1428571428571423</v>
      </c>
      <c r="Z20" s="17">
        <f t="shared" si="12"/>
        <v>7.2857142857142856</v>
      </c>
      <c r="AA20" s="17">
        <f t="shared" si="12"/>
        <v>1.2857142857142856</v>
      </c>
      <c r="AB20" s="17">
        <f t="shared" si="12"/>
        <v>0.14285714285714285</v>
      </c>
      <c r="AC20" s="17">
        <f t="shared" si="12"/>
        <v>121.57142857142858</v>
      </c>
      <c r="AD20" s="17">
        <f t="shared" si="12"/>
        <v>0</v>
      </c>
      <c r="AE20" s="31">
        <f t="shared" si="12"/>
        <v>214</v>
      </c>
      <c r="AF20" s="31">
        <f t="shared" si="12"/>
        <v>335.57142857142861</v>
      </c>
    </row>
    <row r="21" spans="2:32" ht="23.1" customHeight="1" x14ac:dyDescent="0.25">
      <c r="B21" s="23" t="s">
        <v>48</v>
      </c>
      <c r="C21" s="49">
        <f>AVERAGE('23.09.19 Kajansi -Bweya'!C21,'24.09 Kajansi-Bweya'!C21,'25.09 Kajansi-Bweya'!C21,'27.09Kasjansi-Munyonyo'!C21,'26.09 Kajansi-Bweya-24h'!C21,'28.09 Bweya-Kajansi-24h'!C21,'29.09 Bweya-Kajansi'!C21)</f>
        <v>23.714285714285715</v>
      </c>
      <c r="D21" s="49">
        <f>AVERAGE('23.09.19 Kajansi -Bweya'!D21,'24.09 Kajansi-Bweya'!D21,'25.09 Kajansi-Bweya'!D21,'27.09Kasjansi-Munyonyo'!D21,'26.09 Kajansi-Bweya-24h'!D21,'28.09 Bweya-Kajansi-24h'!D21,'29.09 Bweya-Kajansi'!D21)</f>
        <v>5.5714285714285712</v>
      </c>
      <c r="E21" s="49">
        <f>AVERAGE('23.09.19 Kajansi -Bweya'!E21,'24.09 Kajansi-Bweya'!E21,'25.09 Kajansi-Bweya'!E21,'27.09Kasjansi-Munyonyo'!E21,'26.09 Kajansi-Bweya-24h'!E21,'28.09 Bweya-Kajansi-24h'!E21,'29.09 Bweya-Kajansi'!E21)</f>
        <v>3</v>
      </c>
      <c r="F21" s="49">
        <f>AVERAGE('23.09.19 Kajansi -Bweya'!F21,'24.09 Kajansi-Bweya'!F21,'25.09 Kajansi-Bweya'!F21,'27.09Kasjansi-Munyonyo'!F21,'26.09 Kajansi-Bweya-24h'!F21,'28.09 Bweya-Kajansi-24h'!F21,'29.09 Bweya-Kajansi'!F21)</f>
        <v>0.5714285714285714</v>
      </c>
      <c r="G21" s="49">
        <f>AVERAGE('23.09.19 Kajansi -Bweya'!G21,'24.09 Kajansi-Bweya'!G21,'25.09 Kajansi-Bweya'!G21,'27.09Kasjansi-Munyonyo'!G21,'26.09 Kajansi-Bweya-24h'!G21,'28.09 Bweya-Kajansi-24h'!G21,'29.09 Bweya-Kajansi'!G21)</f>
        <v>0.2857142857142857</v>
      </c>
      <c r="H21" s="49">
        <f>AVERAGE('23.09.19 Kajansi -Bweya'!H21,'24.09 Kajansi-Bweya'!H21,'25.09 Kajansi-Bweya'!H21,'27.09Kasjansi-Munyonyo'!H21,'26.09 Kajansi-Bweya-24h'!H21,'28.09 Bweya-Kajansi-24h'!H21,'29.09 Bweya-Kajansi'!H21)</f>
        <v>0</v>
      </c>
      <c r="I21" s="49">
        <f>AVERAGE('23.09.19 Kajansi -Bweya'!I21,'24.09 Kajansi-Bweya'!I21,'25.09 Kajansi-Bweya'!I21,'27.09Kasjansi-Munyonyo'!I21,'26.09 Kajansi-Bweya-24h'!I21,'28.09 Bweya-Kajansi-24h'!I21,'29.09 Bweya-Kajansi'!I21)</f>
        <v>2.2857142857142856</v>
      </c>
      <c r="J21" s="49">
        <f>AVERAGE('23.09.19 Kajansi -Bweya'!J21,'24.09 Kajansi-Bweya'!J21,'25.09 Kajansi-Bweya'!J21,'27.09Kasjansi-Munyonyo'!J21,'26.09 Kajansi-Bweya-24h'!J21,'28.09 Bweya-Kajansi-24h'!J21,'29.09 Bweya-Kajansi'!J21)</f>
        <v>0.5714285714285714</v>
      </c>
      <c r="K21" s="49">
        <f>AVERAGE('23.09.19 Kajansi -Bweya'!K21,'24.09 Kajansi-Bweya'!K21,'25.09 Kajansi-Bweya'!K21,'27.09Kasjansi-Munyonyo'!K21,'26.09 Kajansi-Bweya-24h'!K21,'28.09 Bweya-Kajansi-24h'!K21,'29.09 Bweya-Kajansi'!K21)</f>
        <v>0.14285714285714285</v>
      </c>
      <c r="L21" s="49">
        <f>AVERAGE('23.09.19 Kajansi -Bweya'!L21,'24.09 Kajansi-Bweya'!L21,'25.09 Kajansi-Bweya'!L21,'27.09Kasjansi-Munyonyo'!L21,'26.09 Kajansi-Bweya-24h'!L21,'28.09 Bweya-Kajansi-24h'!L21,'29.09 Bweya-Kajansi'!L21)</f>
        <v>0</v>
      </c>
      <c r="M21" s="49">
        <f>AVERAGE('23.09.19 Kajansi -Bweya'!M21,'24.09 Kajansi-Bweya'!M21,'25.09 Kajansi-Bweya'!M21,'27.09Kasjansi-Munyonyo'!M21,'26.09 Kajansi-Bweya-24h'!M21,'28.09 Bweya-Kajansi-24h'!M21,'29.09 Bweya-Kajansi'!M21)</f>
        <v>29.142857142857142</v>
      </c>
      <c r="N21" s="49">
        <f>AVERAGE('23.09.19 Kajansi -Bweya'!N21,'24.09 Kajansi-Bweya'!N21,'25.09 Kajansi-Bweya'!N21,'27.09Kasjansi-Munyonyo'!N21,'26.09 Kajansi-Bweya-24h'!N21,'28.09 Bweya-Kajansi-24h'!N21,'29.09 Bweya-Kajansi'!N21)</f>
        <v>0</v>
      </c>
      <c r="O21" s="15">
        <f t="shared" si="0"/>
        <v>36.142857142857139</v>
      </c>
      <c r="P21" s="15">
        <f t="shared" si="1"/>
        <v>65.285714285714278</v>
      </c>
      <c r="R21" s="36" t="s">
        <v>20</v>
      </c>
      <c r="S21" s="34">
        <f t="shared" ref="S21:AF21" si="13">SUM(C54:C57)</f>
        <v>149.42857142857142</v>
      </c>
      <c r="T21" s="17">
        <f t="shared" si="13"/>
        <v>21.285714285714288</v>
      </c>
      <c r="U21" s="17">
        <f t="shared" si="13"/>
        <v>16.714285714285715</v>
      </c>
      <c r="V21" s="17">
        <f t="shared" si="13"/>
        <v>4.4285714285714288</v>
      </c>
      <c r="W21" s="17">
        <f t="shared" si="13"/>
        <v>0.71428571428571419</v>
      </c>
      <c r="X21" s="17">
        <f t="shared" si="13"/>
        <v>0.2857142857142857</v>
      </c>
      <c r="Y21" s="17">
        <f t="shared" si="13"/>
        <v>9.5714285714285712</v>
      </c>
      <c r="Z21" s="17">
        <f t="shared" si="13"/>
        <v>4.7142857142857144</v>
      </c>
      <c r="AA21" s="17">
        <f t="shared" si="13"/>
        <v>0.8571428571428571</v>
      </c>
      <c r="AB21" s="17">
        <f t="shared" si="13"/>
        <v>0</v>
      </c>
      <c r="AC21" s="17">
        <f t="shared" si="13"/>
        <v>140.5952380952381</v>
      </c>
      <c r="AD21" s="17">
        <f t="shared" si="13"/>
        <v>0</v>
      </c>
      <c r="AE21" s="31">
        <f t="shared" si="13"/>
        <v>208</v>
      </c>
      <c r="AF21" s="31">
        <f t="shared" si="13"/>
        <v>348.59523809523807</v>
      </c>
    </row>
    <row r="22" spans="2:32" ht="23.1" customHeight="1" x14ac:dyDescent="0.25">
      <c r="B22" s="23" t="s">
        <v>49</v>
      </c>
      <c r="C22" s="49">
        <f>AVERAGE('23.09.19 Kajansi -Bweya'!C22,'24.09 Kajansi-Bweya'!C22,'25.09 Kajansi-Bweya'!C22,'27.09Kasjansi-Munyonyo'!C22,'26.09 Kajansi-Bweya-24h'!C22,'28.09 Bweya-Kajansi-24h'!C22,'29.09 Bweya-Kajansi'!C22)</f>
        <v>24.714285714285715</v>
      </c>
      <c r="D22" s="49">
        <f>AVERAGE('23.09.19 Kajansi -Bweya'!D22,'24.09 Kajansi-Bweya'!D22,'25.09 Kajansi-Bweya'!D22,'27.09Kasjansi-Munyonyo'!D22,'26.09 Kajansi-Bweya-24h'!D22,'28.09 Bweya-Kajansi-24h'!D22,'29.09 Bweya-Kajansi'!D22)</f>
        <v>6.7142857142857144</v>
      </c>
      <c r="E22" s="49">
        <f>AVERAGE('23.09.19 Kajansi -Bweya'!E22,'24.09 Kajansi-Bweya'!E22,'25.09 Kajansi-Bweya'!E22,'27.09Kasjansi-Munyonyo'!E22,'26.09 Kajansi-Bweya-24h'!E22,'28.09 Bweya-Kajansi-24h'!E22,'29.09 Bweya-Kajansi'!E22)</f>
        <v>3</v>
      </c>
      <c r="F22" s="49">
        <f>AVERAGE('23.09.19 Kajansi -Bweya'!F22,'24.09 Kajansi-Bweya'!F22,'25.09 Kajansi-Bweya'!F22,'27.09Kasjansi-Munyonyo'!F22,'26.09 Kajansi-Bweya-24h'!F22,'28.09 Bweya-Kajansi-24h'!F22,'29.09 Bweya-Kajansi'!F22)</f>
        <v>1</v>
      </c>
      <c r="G22" s="49">
        <f>AVERAGE('23.09.19 Kajansi -Bweya'!G22,'24.09 Kajansi-Bweya'!G22,'25.09 Kajansi-Bweya'!G22,'27.09Kasjansi-Munyonyo'!G22,'26.09 Kajansi-Bweya-24h'!G22,'28.09 Bweya-Kajansi-24h'!G22,'29.09 Bweya-Kajansi'!G22)</f>
        <v>0.14285714285714285</v>
      </c>
      <c r="H22" s="49">
        <f>AVERAGE('23.09.19 Kajansi -Bweya'!H22,'24.09 Kajansi-Bweya'!H22,'25.09 Kajansi-Bweya'!H22,'27.09Kasjansi-Munyonyo'!H22,'26.09 Kajansi-Bweya-24h'!H22,'28.09 Bweya-Kajansi-24h'!H22,'29.09 Bweya-Kajansi'!H22)</f>
        <v>0</v>
      </c>
      <c r="I22" s="49">
        <f>AVERAGE('23.09.19 Kajansi -Bweya'!I22,'24.09 Kajansi-Bweya'!I22,'25.09 Kajansi-Bweya'!I22,'27.09Kasjansi-Munyonyo'!I22,'26.09 Kajansi-Bweya-24h'!I22,'28.09 Bweya-Kajansi-24h'!I22,'29.09 Bweya-Kajansi'!I22)</f>
        <v>2.7142857142857144</v>
      </c>
      <c r="J22" s="49">
        <f>AVERAGE('23.09.19 Kajansi -Bweya'!J22,'24.09 Kajansi-Bweya'!J22,'25.09 Kajansi-Bweya'!J22,'27.09Kasjansi-Munyonyo'!J22,'26.09 Kajansi-Bweya-24h'!J22,'28.09 Bweya-Kajansi-24h'!J22,'29.09 Bweya-Kajansi'!J22)</f>
        <v>0.42857142857142855</v>
      </c>
      <c r="K22" s="49">
        <f>AVERAGE('23.09.19 Kajansi -Bweya'!K22,'24.09 Kajansi-Bweya'!K22,'25.09 Kajansi-Bweya'!K22,'27.09Kasjansi-Munyonyo'!K22,'26.09 Kajansi-Bweya-24h'!K22,'28.09 Bweya-Kajansi-24h'!K22,'29.09 Bweya-Kajansi'!K22)</f>
        <v>0</v>
      </c>
      <c r="L22" s="49">
        <f>AVERAGE('23.09.19 Kajansi -Bweya'!L22,'24.09 Kajansi-Bweya'!L22,'25.09 Kajansi-Bweya'!L22,'27.09Kasjansi-Munyonyo'!L22,'26.09 Kajansi-Bweya-24h'!L22,'28.09 Bweya-Kajansi-24h'!L22,'29.09 Bweya-Kajansi'!L22)</f>
        <v>0</v>
      </c>
      <c r="M22" s="49">
        <f>AVERAGE('23.09.19 Kajansi -Bweya'!M22,'24.09 Kajansi-Bweya'!M22,'25.09 Kajansi-Bweya'!M22,'27.09Kasjansi-Munyonyo'!M22,'26.09 Kajansi-Bweya-24h'!M22,'28.09 Bweya-Kajansi-24h'!M22,'29.09 Bweya-Kajansi'!M22)</f>
        <v>35.142857142857146</v>
      </c>
      <c r="N22" s="49">
        <f>AVERAGE('23.09.19 Kajansi -Bweya'!N22,'24.09 Kajansi-Bweya'!N22,'25.09 Kajansi-Bweya'!N22,'27.09Kasjansi-Munyonyo'!N22,'26.09 Kajansi-Bweya-24h'!N22,'28.09 Bweya-Kajansi-24h'!N22,'29.09 Bweya-Kajansi'!N22)</f>
        <v>0</v>
      </c>
      <c r="O22" s="15">
        <f t="shared" si="0"/>
        <v>38.714285714285722</v>
      </c>
      <c r="P22" s="15">
        <f t="shared" si="1"/>
        <v>73.857142857142861</v>
      </c>
      <c r="R22" s="1" t="s">
        <v>146</v>
      </c>
      <c r="S22" s="34">
        <f>SUM(C58:C61)</f>
        <v>150.5</v>
      </c>
      <c r="T22" s="34">
        <f t="shared" ref="T22:AF22" si="14">SUM(D58:D61)</f>
        <v>36.5</v>
      </c>
      <c r="U22" s="34">
        <f t="shared" si="14"/>
        <v>20.5</v>
      </c>
      <c r="V22" s="34">
        <f t="shared" si="14"/>
        <v>6</v>
      </c>
      <c r="W22" s="34">
        <f t="shared" si="14"/>
        <v>1</v>
      </c>
      <c r="X22" s="34">
        <f t="shared" si="14"/>
        <v>1</v>
      </c>
      <c r="Y22" s="34">
        <f t="shared" si="14"/>
        <v>9.5</v>
      </c>
      <c r="Z22" s="34">
        <f t="shared" si="14"/>
        <v>3</v>
      </c>
      <c r="AA22" s="34">
        <f t="shared" si="14"/>
        <v>1</v>
      </c>
      <c r="AB22" s="34">
        <f t="shared" si="14"/>
        <v>0</v>
      </c>
      <c r="AC22" s="34">
        <f t="shared" si="14"/>
        <v>99.5</v>
      </c>
      <c r="AD22" s="34">
        <f t="shared" si="14"/>
        <v>0</v>
      </c>
      <c r="AE22" s="31">
        <f t="shared" si="14"/>
        <v>229</v>
      </c>
      <c r="AF22" s="31">
        <f t="shared" si="14"/>
        <v>328.5</v>
      </c>
    </row>
    <row r="23" spans="2:32" ht="23.1" customHeight="1" x14ac:dyDescent="0.25">
      <c r="B23" s="23" t="s">
        <v>50</v>
      </c>
      <c r="C23" s="49">
        <f>AVERAGE('23.09.19 Kajansi -Bweya'!C23,'24.09 Kajansi-Bweya'!C23,'25.09 Kajansi-Bweya'!C23,'27.09Kasjansi-Munyonyo'!C23,'26.09 Kajansi-Bweya-24h'!C23,'28.09 Bweya-Kajansi-24h'!C23,'29.09 Bweya-Kajansi'!C23)</f>
        <v>25.142857142857142</v>
      </c>
      <c r="D23" s="49">
        <f>AVERAGE('23.09.19 Kajansi -Bweya'!D23,'24.09 Kajansi-Bweya'!D23,'25.09 Kajansi-Bweya'!D23,'27.09Kasjansi-Munyonyo'!D23,'26.09 Kajansi-Bweya-24h'!D23,'28.09 Bweya-Kajansi-24h'!D23,'29.09 Bweya-Kajansi'!D23)</f>
        <v>7.8571428571428568</v>
      </c>
      <c r="E23" s="49">
        <f>AVERAGE('23.09.19 Kajansi -Bweya'!E23,'24.09 Kajansi-Bweya'!E23,'25.09 Kajansi-Bweya'!E23,'27.09Kasjansi-Munyonyo'!E23,'26.09 Kajansi-Bweya-24h'!E23,'28.09 Bweya-Kajansi-24h'!E23,'29.09 Bweya-Kajansi'!E23)</f>
        <v>3</v>
      </c>
      <c r="F23" s="49">
        <f>AVERAGE('23.09.19 Kajansi -Bweya'!F23,'24.09 Kajansi-Bweya'!F23,'25.09 Kajansi-Bweya'!F23,'27.09Kasjansi-Munyonyo'!F23,'26.09 Kajansi-Bweya-24h'!F23,'28.09 Bweya-Kajansi-24h'!F23,'29.09 Bweya-Kajansi'!F23)</f>
        <v>0.8571428571428571</v>
      </c>
      <c r="G23" s="49">
        <f>AVERAGE('23.09.19 Kajansi -Bweya'!G23,'24.09 Kajansi-Bweya'!G23,'25.09 Kajansi-Bweya'!G23,'27.09Kasjansi-Munyonyo'!G23,'26.09 Kajansi-Bweya-24h'!G23,'28.09 Bweya-Kajansi-24h'!G23,'29.09 Bweya-Kajansi'!G23)</f>
        <v>0.2857142857142857</v>
      </c>
      <c r="H23" s="49">
        <f>AVERAGE('23.09.19 Kajansi -Bweya'!H23,'24.09 Kajansi-Bweya'!H23,'25.09 Kajansi-Bweya'!H23,'27.09Kasjansi-Munyonyo'!H23,'26.09 Kajansi-Bweya-24h'!H23,'28.09 Bweya-Kajansi-24h'!H23,'29.09 Bweya-Kajansi'!H23)</f>
        <v>0</v>
      </c>
      <c r="I23" s="49">
        <f>AVERAGE('23.09.19 Kajansi -Bweya'!I23,'24.09 Kajansi-Bweya'!I23,'25.09 Kajansi-Bweya'!I23,'27.09Kasjansi-Munyonyo'!I23,'26.09 Kajansi-Bweya-24h'!I23,'28.09 Bweya-Kajansi-24h'!I23,'29.09 Bweya-Kajansi'!I23)</f>
        <v>3.5714285714285716</v>
      </c>
      <c r="J23" s="49">
        <f>AVERAGE('23.09.19 Kajansi -Bweya'!J23,'24.09 Kajansi-Bweya'!J23,'25.09 Kajansi-Bweya'!J23,'27.09Kasjansi-Munyonyo'!J23,'26.09 Kajansi-Bweya-24h'!J23,'28.09 Bweya-Kajansi-24h'!J23,'29.09 Bweya-Kajansi'!J23)</f>
        <v>0.2857142857142857</v>
      </c>
      <c r="K23" s="49">
        <f>AVERAGE('23.09.19 Kajansi -Bweya'!K23,'24.09 Kajansi-Bweya'!K23,'25.09 Kajansi-Bweya'!K23,'27.09Kasjansi-Munyonyo'!K23,'26.09 Kajansi-Bweya-24h'!K23,'28.09 Bweya-Kajansi-24h'!K23,'29.09 Bweya-Kajansi'!K23)</f>
        <v>0</v>
      </c>
      <c r="L23" s="49">
        <f>AVERAGE('23.09.19 Kajansi -Bweya'!L23,'24.09 Kajansi-Bweya'!L23,'25.09 Kajansi-Bweya'!L23,'27.09Kasjansi-Munyonyo'!L23,'26.09 Kajansi-Bweya-24h'!L23,'28.09 Bweya-Kajansi-24h'!L23,'29.09 Bweya-Kajansi'!L23)</f>
        <v>0</v>
      </c>
      <c r="M23" s="49">
        <f>AVERAGE('23.09.19 Kajansi -Bweya'!M23,'24.09 Kajansi-Bweya'!M23,'25.09 Kajansi-Bweya'!M23,'27.09Kasjansi-Munyonyo'!M23,'26.09 Kajansi-Bweya-24h'!M23,'28.09 Bweya-Kajansi-24h'!M23,'29.09 Bweya-Kajansi'!M23)</f>
        <v>29.714285714285715</v>
      </c>
      <c r="N23" s="49">
        <f>AVERAGE('23.09.19 Kajansi -Bweya'!N23,'24.09 Kajansi-Bweya'!N23,'25.09 Kajansi-Bweya'!N23,'27.09Kasjansi-Munyonyo'!N23,'26.09 Kajansi-Bweya-24h'!N23,'28.09 Bweya-Kajansi-24h'!N23,'29.09 Bweya-Kajansi'!N23)</f>
        <v>0</v>
      </c>
      <c r="O23" s="15">
        <f t="shared" si="0"/>
        <v>40.999999999999993</v>
      </c>
      <c r="P23" s="15">
        <f t="shared" si="1"/>
        <v>70.714285714285708</v>
      </c>
      <c r="R23" s="1" t="s">
        <v>147</v>
      </c>
      <c r="S23" s="34">
        <f>SUM(C62:C65)</f>
        <v>126.5</v>
      </c>
      <c r="T23" s="34">
        <f t="shared" ref="T23:AF23" si="15">SUM(D62:D65)</f>
        <v>31</v>
      </c>
      <c r="U23" s="34">
        <f t="shared" si="15"/>
        <v>13.5</v>
      </c>
      <c r="V23" s="34">
        <f t="shared" si="15"/>
        <v>8.5</v>
      </c>
      <c r="W23" s="34">
        <f t="shared" si="15"/>
        <v>3</v>
      </c>
      <c r="X23" s="34">
        <f t="shared" si="15"/>
        <v>0</v>
      </c>
      <c r="Y23" s="34">
        <f t="shared" si="15"/>
        <v>8.5</v>
      </c>
      <c r="Z23" s="34">
        <f t="shared" si="15"/>
        <v>2</v>
      </c>
      <c r="AA23" s="34">
        <f t="shared" si="15"/>
        <v>1</v>
      </c>
      <c r="AB23" s="34">
        <f t="shared" si="15"/>
        <v>0</v>
      </c>
      <c r="AC23" s="34">
        <f t="shared" si="15"/>
        <v>101.5</v>
      </c>
      <c r="AD23" s="34">
        <f t="shared" si="15"/>
        <v>0</v>
      </c>
      <c r="AE23" s="31">
        <f t="shared" si="15"/>
        <v>194</v>
      </c>
      <c r="AF23" s="31">
        <f t="shared" si="15"/>
        <v>295.5</v>
      </c>
    </row>
    <row r="24" spans="2:32" ht="23.1" customHeight="1" x14ac:dyDescent="0.25">
      <c r="B24" s="23" t="s">
        <v>51</v>
      </c>
      <c r="C24" s="49">
        <f>AVERAGE('23.09.19 Kajansi -Bweya'!C24,'24.09 Kajansi-Bweya'!C24,'25.09 Kajansi-Bweya'!C24,'27.09Kasjansi-Munyonyo'!C24,'26.09 Kajansi-Bweya-24h'!C24,'28.09 Bweya-Kajansi-24h'!C24,'29.09 Bweya-Kajansi'!C24)</f>
        <v>19.285714285714285</v>
      </c>
      <c r="D24" s="49">
        <f>AVERAGE('23.09.19 Kajansi -Bweya'!D24,'24.09 Kajansi-Bweya'!D24,'25.09 Kajansi-Bweya'!D24,'27.09Kasjansi-Munyonyo'!D24,'26.09 Kajansi-Bweya-24h'!D24,'28.09 Bweya-Kajansi-24h'!D24,'29.09 Bweya-Kajansi'!D24)</f>
        <v>5.2857142857142856</v>
      </c>
      <c r="E24" s="49">
        <f>AVERAGE('23.09.19 Kajansi -Bweya'!E24,'24.09 Kajansi-Bweya'!E24,'25.09 Kajansi-Bweya'!E24,'27.09Kasjansi-Munyonyo'!E24,'26.09 Kajansi-Bweya-24h'!E24,'28.09 Bweya-Kajansi-24h'!E24,'29.09 Bweya-Kajansi'!E24)</f>
        <v>3.8571428571428572</v>
      </c>
      <c r="F24" s="49">
        <f>AVERAGE('23.09.19 Kajansi -Bweya'!F24,'24.09 Kajansi-Bweya'!F24,'25.09 Kajansi-Bweya'!F24,'27.09Kasjansi-Munyonyo'!F24,'26.09 Kajansi-Bweya-24h'!F24,'28.09 Bweya-Kajansi-24h'!F24,'29.09 Bweya-Kajansi'!F24)</f>
        <v>1.8571428571428572</v>
      </c>
      <c r="G24" s="49">
        <f>AVERAGE('23.09.19 Kajansi -Bweya'!G24,'24.09 Kajansi-Bweya'!G24,'25.09 Kajansi-Bweya'!G24,'27.09Kasjansi-Munyonyo'!G24,'26.09 Kajansi-Bweya-24h'!G24,'28.09 Bweya-Kajansi-24h'!G24,'29.09 Bweya-Kajansi'!G24)</f>
        <v>0</v>
      </c>
      <c r="H24" s="49">
        <f>AVERAGE('23.09.19 Kajansi -Bweya'!H24,'24.09 Kajansi-Bweya'!H24,'25.09 Kajansi-Bweya'!H24,'27.09Kasjansi-Munyonyo'!H24,'26.09 Kajansi-Bweya-24h'!H24,'28.09 Bweya-Kajansi-24h'!H24,'29.09 Bweya-Kajansi'!H24)</f>
        <v>0</v>
      </c>
      <c r="I24" s="49">
        <f>AVERAGE('23.09.19 Kajansi -Bweya'!I24,'24.09 Kajansi-Bweya'!I24,'25.09 Kajansi-Bweya'!I24,'27.09Kasjansi-Munyonyo'!I24,'26.09 Kajansi-Bweya-24h'!I24,'28.09 Bweya-Kajansi-24h'!I24,'29.09 Bweya-Kajansi'!I24)</f>
        <v>2.2857142857142856</v>
      </c>
      <c r="J24" s="49">
        <f>AVERAGE('23.09.19 Kajansi -Bweya'!J24,'24.09 Kajansi-Bweya'!J24,'25.09 Kajansi-Bweya'!J24,'27.09Kasjansi-Munyonyo'!J24,'26.09 Kajansi-Bweya-24h'!J24,'28.09 Bweya-Kajansi-24h'!J24,'29.09 Bweya-Kajansi'!J24)</f>
        <v>1.2857142857142858</v>
      </c>
      <c r="K24" s="49">
        <f>AVERAGE('23.09.19 Kajansi -Bweya'!K24,'24.09 Kajansi-Bweya'!K24,'25.09 Kajansi-Bweya'!K24,'27.09Kasjansi-Munyonyo'!K24,'26.09 Kajansi-Bweya-24h'!K24,'28.09 Bweya-Kajansi-24h'!K24,'29.09 Bweya-Kajansi'!K24)</f>
        <v>0.14285714285714285</v>
      </c>
      <c r="L24" s="49">
        <f>AVERAGE('23.09.19 Kajansi -Bweya'!L24,'24.09 Kajansi-Bweya'!L24,'25.09 Kajansi-Bweya'!L24,'27.09Kasjansi-Munyonyo'!L24,'26.09 Kajansi-Bweya-24h'!L24,'28.09 Bweya-Kajansi-24h'!L24,'29.09 Bweya-Kajansi'!L24)</f>
        <v>0</v>
      </c>
      <c r="M24" s="49">
        <f>AVERAGE('23.09.19 Kajansi -Bweya'!M24,'24.09 Kajansi-Bweya'!M24,'25.09 Kajansi-Bweya'!M24,'27.09Kasjansi-Munyonyo'!M24,'26.09 Kajansi-Bweya-24h'!M24,'28.09 Bweya-Kajansi-24h'!M24,'29.09 Bweya-Kajansi'!M24)</f>
        <v>30.285714285714285</v>
      </c>
      <c r="N24" s="49">
        <f>AVERAGE('23.09.19 Kajansi -Bweya'!N24,'24.09 Kajansi-Bweya'!N24,'25.09 Kajansi-Bweya'!N24,'27.09Kasjansi-Munyonyo'!N24,'26.09 Kajansi-Bweya-24h'!N24,'28.09 Bweya-Kajansi-24h'!N24,'29.09 Bweya-Kajansi'!N24)</f>
        <v>0</v>
      </c>
      <c r="O24" s="15">
        <f t="shared" si="0"/>
        <v>34</v>
      </c>
      <c r="P24" s="15">
        <f t="shared" si="1"/>
        <v>64.285714285714278</v>
      </c>
      <c r="R24" s="1" t="s">
        <v>148</v>
      </c>
      <c r="S24" s="34">
        <f>SUM(C66:C69)</f>
        <v>97</v>
      </c>
      <c r="T24" s="34">
        <f t="shared" ref="T24:AF24" si="16">SUM(D66:D69)</f>
        <v>20</v>
      </c>
      <c r="U24" s="34">
        <f t="shared" si="16"/>
        <v>10.5</v>
      </c>
      <c r="V24" s="34">
        <f t="shared" si="16"/>
        <v>3</v>
      </c>
      <c r="W24" s="34">
        <f t="shared" si="16"/>
        <v>1</v>
      </c>
      <c r="X24" s="34">
        <f t="shared" si="16"/>
        <v>0</v>
      </c>
      <c r="Y24" s="34">
        <f t="shared" si="16"/>
        <v>7</v>
      </c>
      <c r="Z24" s="34">
        <f t="shared" si="16"/>
        <v>3.5</v>
      </c>
      <c r="AA24" s="34">
        <f t="shared" si="16"/>
        <v>1.5</v>
      </c>
      <c r="AB24" s="34">
        <f t="shared" si="16"/>
        <v>0</v>
      </c>
      <c r="AC24" s="34">
        <f t="shared" si="16"/>
        <v>44</v>
      </c>
      <c r="AD24" s="34">
        <f t="shared" si="16"/>
        <v>0</v>
      </c>
      <c r="AE24" s="31">
        <f t="shared" si="16"/>
        <v>143.5</v>
      </c>
      <c r="AF24" s="31">
        <f t="shared" si="16"/>
        <v>187.5</v>
      </c>
    </row>
    <row r="25" spans="2:32" ht="23.1" customHeight="1" x14ac:dyDescent="0.25">
      <c r="B25" s="23" t="s">
        <v>52</v>
      </c>
      <c r="C25" s="49">
        <f>AVERAGE('23.09.19 Kajansi -Bweya'!C25,'24.09 Kajansi-Bweya'!C25,'25.09 Kajansi-Bweya'!C25,'27.09Kasjansi-Munyonyo'!C25,'26.09 Kajansi-Bweya-24h'!C25,'28.09 Bweya-Kajansi-24h'!C25,'29.09 Bweya-Kajansi'!C25)</f>
        <v>25.285714285714285</v>
      </c>
      <c r="D25" s="49">
        <f>AVERAGE('23.09.19 Kajansi -Bweya'!D25,'24.09 Kajansi-Bweya'!D25,'25.09 Kajansi-Bweya'!D25,'27.09Kasjansi-Munyonyo'!D25,'26.09 Kajansi-Bweya-24h'!D25,'28.09 Bweya-Kajansi-24h'!D25,'29.09 Bweya-Kajansi'!D25)</f>
        <v>6.2857142857142856</v>
      </c>
      <c r="E25" s="49">
        <f>AVERAGE('23.09.19 Kajansi -Bweya'!E25,'24.09 Kajansi-Bweya'!E25,'25.09 Kajansi-Bweya'!E25,'27.09Kasjansi-Munyonyo'!E25,'26.09 Kajansi-Bweya-24h'!E25,'28.09 Bweya-Kajansi-24h'!E25,'29.09 Bweya-Kajansi'!E25)</f>
        <v>3</v>
      </c>
      <c r="F25" s="49">
        <f>AVERAGE('23.09.19 Kajansi -Bweya'!F25,'24.09 Kajansi-Bweya'!F25,'25.09 Kajansi-Bweya'!F25,'27.09Kasjansi-Munyonyo'!F25,'26.09 Kajansi-Bweya-24h'!F25,'28.09 Bweya-Kajansi-24h'!F25,'29.09 Bweya-Kajansi'!F25)</f>
        <v>1.1428571428571428</v>
      </c>
      <c r="G25" s="49">
        <f>AVERAGE('23.09.19 Kajansi -Bweya'!G25,'24.09 Kajansi-Bweya'!G25,'25.09 Kajansi-Bweya'!G25,'27.09Kasjansi-Munyonyo'!G25,'26.09 Kajansi-Bweya-24h'!G25,'28.09 Bweya-Kajansi-24h'!G25,'29.09 Bweya-Kajansi'!G25)</f>
        <v>0.14285714285714285</v>
      </c>
      <c r="H25" s="49">
        <f>AVERAGE('23.09.19 Kajansi -Bweya'!H25,'24.09 Kajansi-Bweya'!H25,'25.09 Kajansi-Bweya'!H25,'27.09Kasjansi-Munyonyo'!H25,'26.09 Kajansi-Bweya-24h'!H25,'28.09 Bweya-Kajansi-24h'!H25,'29.09 Bweya-Kajansi'!H25)</f>
        <v>0</v>
      </c>
      <c r="I25" s="49">
        <f>AVERAGE('23.09.19 Kajansi -Bweya'!I25,'24.09 Kajansi-Bweya'!I25,'25.09 Kajansi-Bweya'!I25,'27.09Kasjansi-Munyonyo'!I25,'26.09 Kajansi-Bweya-24h'!I25,'28.09 Bweya-Kajansi-24h'!I25,'29.09 Bweya-Kajansi'!I25)</f>
        <v>2.5714285714285716</v>
      </c>
      <c r="J25" s="49">
        <f>AVERAGE('23.09.19 Kajansi -Bweya'!J25,'24.09 Kajansi-Bweya'!J25,'25.09 Kajansi-Bweya'!J25,'27.09Kasjansi-Munyonyo'!J25,'26.09 Kajansi-Bweya-24h'!J25,'28.09 Bweya-Kajansi-24h'!J25,'29.09 Bweya-Kajansi'!J25)</f>
        <v>0.8571428571428571</v>
      </c>
      <c r="K25" s="49">
        <f>AVERAGE('23.09.19 Kajansi -Bweya'!K25,'24.09 Kajansi-Bweya'!K25,'25.09 Kajansi-Bweya'!K25,'27.09Kasjansi-Munyonyo'!K25,'26.09 Kajansi-Bweya-24h'!K25,'28.09 Bweya-Kajansi-24h'!K25,'29.09 Bweya-Kajansi'!K25)</f>
        <v>0.2857142857142857</v>
      </c>
      <c r="L25" s="49">
        <f>AVERAGE('23.09.19 Kajansi -Bweya'!L25,'24.09 Kajansi-Bweya'!L25,'25.09 Kajansi-Bweya'!L25,'27.09Kasjansi-Munyonyo'!L25,'26.09 Kajansi-Bweya-24h'!L25,'28.09 Bweya-Kajansi-24h'!L25,'29.09 Bweya-Kajansi'!L25)</f>
        <v>0</v>
      </c>
      <c r="M25" s="49">
        <f>AVERAGE('23.09.19 Kajansi -Bweya'!M25,'24.09 Kajansi-Bweya'!M25,'25.09 Kajansi-Bweya'!M25,'27.09Kasjansi-Munyonyo'!M25,'26.09 Kajansi-Bweya-24h'!M25,'28.09 Bweya-Kajansi-24h'!M25,'29.09 Bweya-Kajansi'!M25)</f>
        <v>28.571428571428573</v>
      </c>
      <c r="N25" s="49">
        <f>AVERAGE('23.09.19 Kajansi -Bweya'!N25,'24.09 Kajansi-Bweya'!N25,'25.09 Kajansi-Bweya'!N25,'27.09Kasjansi-Munyonyo'!N25,'26.09 Kajansi-Bweya-24h'!N25,'28.09 Bweya-Kajansi-24h'!N25,'29.09 Bweya-Kajansi'!N25)</f>
        <v>0</v>
      </c>
      <c r="O25" s="15">
        <f t="shared" si="0"/>
        <v>39.571428571428569</v>
      </c>
      <c r="P25" s="15">
        <f t="shared" si="1"/>
        <v>68.142857142857139</v>
      </c>
      <c r="R25" s="1" t="s">
        <v>149</v>
      </c>
      <c r="S25" s="34">
        <f>SUM(C70:C73)</f>
        <v>77.5</v>
      </c>
      <c r="T25" s="34">
        <f t="shared" ref="T25:AF25" si="17">SUM(D70:D73)</f>
        <v>20.5</v>
      </c>
      <c r="U25" s="34">
        <f t="shared" si="17"/>
        <v>6.5</v>
      </c>
      <c r="V25" s="34">
        <f t="shared" si="17"/>
        <v>6</v>
      </c>
      <c r="W25" s="34">
        <f t="shared" si="17"/>
        <v>1.5</v>
      </c>
      <c r="X25" s="34">
        <f t="shared" si="17"/>
        <v>0</v>
      </c>
      <c r="Y25" s="34">
        <f t="shared" si="17"/>
        <v>4.5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45</v>
      </c>
      <c r="AD25" s="34">
        <f t="shared" si="17"/>
        <v>0</v>
      </c>
      <c r="AE25" s="31">
        <f t="shared" si="17"/>
        <v>118</v>
      </c>
      <c r="AF25" s="31">
        <f t="shared" si="17"/>
        <v>163</v>
      </c>
    </row>
    <row r="26" spans="2:32" ht="23.1" customHeight="1" x14ac:dyDescent="0.25">
      <c r="B26" s="23" t="s">
        <v>53</v>
      </c>
      <c r="C26" s="49">
        <f>AVERAGE('23.09.19 Kajansi -Bweya'!C26,'24.09 Kajansi-Bweya'!C26,'25.09 Kajansi-Bweya'!C26,'27.09Kasjansi-Munyonyo'!C26,'26.09 Kajansi-Bweya-24h'!C26,'28.09 Bweya-Kajansi-24h'!C26,'29.09 Bweya-Kajansi'!C26)</f>
        <v>26.428571428571427</v>
      </c>
      <c r="D26" s="49">
        <f>AVERAGE('23.09.19 Kajansi -Bweya'!D26,'24.09 Kajansi-Bweya'!D26,'25.09 Kajansi-Bweya'!D26,'27.09Kasjansi-Munyonyo'!D26,'26.09 Kajansi-Bweya-24h'!D26,'28.09 Bweya-Kajansi-24h'!D26,'29.09 Bweya-Kajansi'!D26)</f>
        <v>4.1428571428571432</v>
      </c>
      <c r="E26" s="49">
        <f>AVERAGE('23.09.19 Kajansi -Bweya'!E26,'24.09 Kajansi-Bweya'!E26,'25.09 Kajansi-Bweya'!E26,'27.09Kasjansi-Munyonyo'!E26,'26.09 Kajansi-Bweya-24h'!E26,'28.09 Bweya-Kajansi-24h'!E26,'29.09 Bweya-Kajansi'!E26)</f>
        <v>3.8571428571428572</v>
      </c>
      <c r="F26" s="49">
        <f>AVERAGE('23.09.19 Kajansi -Bweya'!F26,'24.09 Kajansi-Bweya'!F26,'25.09 Kajansi-Bweya'!F26,'27.09Kasjansi-Munyonyo'!F26,'26.09 Kajansi-Bweya-24h'!F26,'28.09 Bweya-Kajansi-24h'!F26,'29.09 Bweya-Kajansi'!F26)</f>
        <v>0.42857142857142855</v>
      </c>
      <c r="G26" s="49">
        <f>AVERAGE('23.09.19 Kajansi -Bweya'!G26,'24.09 Kajansi-Bweya'!G26,'25.09 Kajansi-Bweya'!G26,'27.09Kasjansi-Munyonyo'!G26,'26.09 Kajansi-Bweya-24h'!G26,'28.09 Bweya-Kajansi-24h'!G26,'29.09 Bweya-Kajansi'!G26)</f>
        <v>0.14285714285714285</v>
      </c>
      <c r="H26" s="49">
        <f>AVERAGE('23.09.19 Kajansi -Bweya'!H26,'24.09 Kajansi-Bweya'!H26,'25.09 Kajansi-Bweya'!H26,'27.09Kasjansi-Munyonyo'!H26,'26.09 Kajansi-Bweya-24h'!H26,'28.09 Bweya-Kajansi-24h'!H26,'29.09 Bweya-Kajansi'!H26)</f>
        <v>0</v>
      </c>
      <c r="I26" s="49">
        <f>AVERAGE('23.09.19 Kajansi -Bweya'!I26,'24.09 Kajansi-Bweya'!I26,'25.09 Kajansi-Bweya'!I26,'27.09Kasjansi-Munyonyo'!I26,'26.09 Kajansi-Bweya-24h'!I26,'28.09 Bweya-Kajansi-24h'!I26,'29.09 Bweya-Kajansi'!I26)</f>
        <v>3</v>
      </c>
      <c r="J26" s="49">
        <f>AVERAGE('23.09.19 Kajansi -Bweya'!J26,'24.09 Kajansi-Bweya'!J26,'25.09 Kajansi-Bweya'!J26,'27.09Kasjansi-Munyonyo'!J26,'26.09 Kajansi-Bweya-24h'!J26,'28.09 Bweya-Kajansi-24h'!J26,'29.09 Bweya-Kajansi'!J26)</f>
        <v>1.1428571428571428</v>
      </c>
      <c r="K26" s="49">
        <f>AVERAGE('23.09.19 Kajansi -Bweya'!K26,'24.09 Kajansi-Bweya'!K26,'25.09 Kajansi-Bweya'!K26,'27.09Kasjansi-Munyonyo'!K26,'26.09 Kajansi-Bweya-24h'!K26,'28.09 Bweya-Kajansi-24h'!K26,'29.09 Bweya-Kajansi'!K26)</f>
        <v>0.14285714285714285</v>
      </c>
      <c r="L26" s="49">
        <f>AVERAGE('23.09.19 Kajansi -Bweya'!L26,'24.09 Kajansi-Bweya'!L26,'25.09 Kajansi-Bweya'!L26,'27.09Kasjansi-Munyonyo'!L26,'26.09 Kajansi-Bweya-24h'!L26,'28.09 Bweya-Kajansi-24h'!L26,'29.09 Bweya-Kajansi'!L26)</f>
        <v>0.2857142857142857</v>
      </c>
      <c r="M26" s="49">
        <f>AVERAGE('23.09.19 Kajansi -Bweya'!M26,'24.09 Kajansi-Bweya'!M26,'25.09 Kajansi-Bweya'!M26,'27.09Kasjansi-Munyonyo'!M26,'26.09 Kajansi-Bweya-24h'!M26,'28.09 Bweya-Kajansi-24h'!M26,'29.09 Bweya-Kajansi'!M26)</f>
        <v>30.142857142857142</v>
      </c>
      <c r="N26" s="49">
        <f>AVERAGE('23.09.19 Kajansi -Bweya'!N26,'24.09 Kajansi-Bweya'!N26,'25.09 Kajansi-Bweya'!N26,'27.09Kasjansi-Munyonyo'!N26,'26.09 Kajansi-Bweya-24h'!N26,'28.09 Bweya-Kajansi-24h'!N26,'29.09 Bweya-Kajansi'!N26)</f>
        <v>0</v>
      </c>
      <c r="O26" s="15">
        <f t="shared" si="0"/>
        <v>39.571428571428577</v>
      </c>
      <c r="P26" s="15">
        <f t="shared" si="1"/>
        <v>69.714285714285722</v>
      </c>
      <c r="R26" s="1" t="s">
        <v>150</v>
      </c>
      <c r="S26" s="34">
        <f>SUM(C74:C77)</f>
        <v>43.5</v>
      </c>
      <c r="T26" s="34">
        <f t="shared" ref="T26:AF26" si="18">SUM(D74:D77)</f>
        <v>15.5</v>
      </c>
      <c r="U26" s="34">
        <f t="shared" si="18"/>
        <v>4</v>
      </c>
      <c r="V26" s="34">
        <f t="shared" si="18"/>
        <v>3</v>
      </c>
      <c r="W26" s="34">
        <f t="shared" si="18"/>
        <v>1</v>
      </c>
      <c r="X26" s="34">
        <f t="shared" si="18"/>
        <v>0.5</v>
      </c>
      <c r="Y26" s="34">
        <f t="shared" si="18"/>
        <v>1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26</v>
      </c>
      <c r="AD26" s="34">
        <f t="shared" si="18"/>
        <v>0</v>
      </c>
      <c r="AE26" s="31">
        <f t="shared" si="18"/>
        <v>69</v>
      </c>
      <c r="AF26" s="31">
        <f t="shared" si="18"/>
        <v>95</v>
      </c>
    </row>
    <row r="27" spans="2:32" ht="23.1" customHeight="1" x14ac:dyDescent="0.25">
      <c r="B27" s="23" t="s">
        <v>54</v>
      </c>
      <c r="C27" s="49">
        <f>AVERAGE('23.09.19 Kajansi -Bweya'!C27,'24.09 Kajansi-Bweya'!C27,'25.09 Kajansi-Bweya'!C27,'27.09Kasjansi-Munyonyo'!C27,'26.09 Kajansi-Bweya-24h'!C27,'28.09 Bweya-Kajansi-24h'!C27,'29.09 Bweya-Kajansi'!C27)</f>
        <v>24.428571428571427</v>
      </c>
      <c r="D27" s="49">
        <f>AVERAGE('23.09.19 Kajansi -Bweya'!D27,'24.09 Kajansi-Bweya'!D27,'25.09 Kajansi-Bweya'!D27,'27.09Kasjansi-Munyonyo'!D27,'26.09 Kajansi-Bweya-24h'!D27,'28.09 Bweya-Kajansi-24h'!D27,'29.09 Bweya-Kajansi'!D27)</f>
        <v>5.4285714285714288</v>
      </c>
      <c r="E27" s="49">
        <f>AVERAGE('23.09.19 Kajansi -Bweya'!E27,'24.09 Kajansi-Bweya'!E27,'25.09 Kajansi-Bweya'!E27,'27.09Kasjansi-Munyonyo'!E27,'26.09 Kajansi-Bweya-24h'!E27,'28.09 Bweya-Kajansi-24h'!E27,'29.09 Bweya-Kajansi'!E27)</f>
        <v>1.8571428571428572</v>
      </c>
      <c r="F27" s="49">
        <f>AVERAGE('23.09.19 Kajansi -Bweya'!F27,'24.09 Kajansi-Bweya'!F27,'25.09 Kajansi-Bweya'!F27,'27.09Kasjansi-Munyonyo'!F27,'26.09 Kajansi-Bweya-24h'!F27,'28.09 Bweya-Kajansi-24h'!F27,'29.09 Bweya-Kajansi'!F27)</f>
        <v>0.8571428571428571</v>
      </c>
      <c r="G27" s="49">
        <f>AVERAGE('23.09.19 Kajansi -Bweya'!G27,'24.09 Kajansi-Bweya'!G27,'25.09 Kajansi-Bweya'!G27,'27.09Kasjansi-Munyonyo'!G27,'26.09 Kajansi-Bweya-24h'!G27,'28.09 Bweya-Kajansi-24h'!G27,'29.09 Bweya-Kajansi'!G27)</f>
        <v>0</v>
      </c>
      <c r="H27" s="49">
        <f>AVERAGE('23.09.19 Kajansi -Bweya'!H27,'24.09 Kajansi-Bweya'!H27,'25.09 Kajansi-Bweya'!H27,'27.09Kasjansi-Munyonyo'!H27,'26.09 Kajansi-Bweya-24h'!H27,'28.09 Bweya-Kajansi-24h'!H27,'29.09 Bweya-Kajansi'!H27)</f>
        <v>0.2857142857142857</v>
      </c>
      <c r="I27" s="49">
        <f>AVERAGE('23.09.19 Kajansi -Bweya'!I27,'24.09 Kajansi-Bweya'!I27,'25.09 Kajansi-Bweya'!I27,'27.09Kasjansi-Munyonyo'!I27,'26.09 Kajansi-Bweya-24h'!I27,'28.09 Bweya-Kajansi-24h'!I27,'29.09 Bweya-Kajansi'!I27)</f>
        <v>2.4285714285714284</v>
      </c>
      <c r="J27" s="49">
        <f>AVERAGE('23.09.19 Kajansi -Bweya'!J27,'24.09 Kajansi-Bweya'!J27,'25.09 Kajansi-Bweya'!J27,'27.09Kasjansi-Munyonyo'!J27,'26.09 Kajansi-Bweya-24h'!J27,'28.09 Bweya-Kajansi-24h'!J27,'29.09 Bweya-Kajansi'!J27)</f>
        <v>1.2857142857142858</v>
      </c>
      <c r="K27" s="49">
        <f>AVERAGE('23.09.19 Kajansi -Bweya'!K27,'24.09 Kajansi-Bweya'!K27,'25.09 Kajansi-Bweya'!K27,'27.09Kasjansi-Munyonyo'!K27,'26.09 Kajansi-Bweya-24h'!K27,'28.09 Bweya-Kajansi-24h'!K27,'29.09 Bweya-Kajansi'!K27)</f>
        <v>0.5714285714285714</v>
      </c>
      <c r="L27" s="49">
        <f>AVERAGE('23.09.19 Kajansi -Bweya'!L27,'24.09 Kajansi-Bweya'!L27,'25.09 Kajansi-Bweya'!L27,'27.09Kasjansi-Munyonyo'!L27,'26.09 Kajansi-Bweya-24h'!L27,'28.09 Bweya-Kajansi-24h'!L27,'29.09 Bweya-Kajansi'!L27)</f>
        <v>0</v>
      </c>
      <c r="M27" s="49">
        <f>AVERAGE('23.09.19 Kajansi -Bweya'!M27,'24.09 Kajansi-Bweya'!M27,'25.09 Kajansi-Bweya'!M27,'27.09Kasjansi-Munyonyo'!M27,'26.09 Kajansi-Bweya-24h'!M27,'28.09 Bweya-Kajansi-24h'!M27,'29.09 Bweya-Kajansi'!M27)</f>
        <v>35</v>
      </c>
      <c r="N27" s="49">
        <f>AVERAGE('23.09.19 Kajansi -Bweya'!N27,'24.09 Kajansi-Bweya'!N27,'25.09 Kajansi-Bweya'!N27,'27.09Kasjansi-Munyonyo'!N27,'26.09 Kajansi-Bweya-24h'!N27,'28.09 Bweya-Kajansi-24h'!N27,'29.09 Bweya-Kajansi'!N27)</f>
        <v>0</v>
      </c>
      <c r="O27" s="15">
        <f t="shared" si="0"/>
        <v>37.142857142857139</v>
      </c>
      <c r="P27" s="15">
        <f t="shared" si="1"/>
        <v>72.142857142857139</v>
      </c>
      <c r="R27" s="1" t="s">
        <v>151</v>
      </c>
      <c r="S27" s="34">
        <f>SUM(C78:C81)</f>
        <v>29.5</v>
      </c>
      <c r="T27" s="34">
        <f t="shared" ref="T27:AF27" si="19">SUM(D78:D81)</f>
        <v>9</v>
      </c>
      <c r="U27" s="34">
        <f t="shared" si="19"/>
        <v>1</v>
      </c>
      <c r="V27" s="34">
        <f t="shared" si="19"/>
        <v>1.5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20</v>
      </c>
      <c r="AD27" s="34">
        <f t="shared" si="19"/>
        <v>0</v>
      </c>
      <c r="AE27" s="31">
        <f t="shared" si="19"/>
        <v>45</v>
      </c>
      <c r="AF27" s="31">
        <f t="shared" si="19"/>
        <v>65</v>
      </c>
    </row>
    <row r="28" spans="2:32" ht="23.1" customHeight="1" x14ac:dyDescent="0.25">
      <c r="B28" s="23" t="s">
        <v>55</v>
      </c>
      <c r="C28" s="49">
        <f>AVERAGE('23.09.19 Kajansi -Bweya'!C28,'24.09 Kajansi-Bweya'!C28,'25.09 Kajansi-Bweya'!C28,'27.09Kasjansi-Munyonyo'!C28,'26.09 Kajansi-Bweya-24h'!C28,'28.09 Bweya-Kajansi-24h'!C28,'29.09 Bweya-Kajansi'!C28)</f>
        <v>31.714285714285715</v>
      </c>
      <c r="D28" s="49">
        <f>AVERAGE('23.09.19 Kajansi -Bweya'!D28,'24.09 Kajansi-Bweya'!D28,'25.09 Kajansi-Bweya'!D28,'27.09Kasjansi-Munyonyo'!D28,'26.09 Kajansi-Bweya-24h'!D28,'28.09 Bweya-Kajansi-24h'!D28,'29.09 Bweya-Kajansi'!D28)</f>
        <v>7.8571428571428568</v>
      </c>
      <c r="E28" s="49">
        <f>AVERAGE('23.09.19 Kajansi -Bweya'!E28,'24.09 Kajansi-Bweya'!E28,'25.09 Kajansi-Bweya'!E28,'27.09Kasjansi-Munyonyo'!E28,'26.09 Kajansi-Bweya-24h'!E28,'28.09 Bweya-Kajansi-24h'!E28,'29.09 Bweya-Kajansi'!E28)</f>
        <v>2.7142857142857144</v>
      </c>
      <c r="F28" s="49">
        <f>AVERAGE('23.09.19 Kajansi -Bweya'!F28,'24.09 Kajansi-Bweya'!F28,'25.09 Kajansi-Bweya'!F28,'27.09Kasjansi-Munyonyo'!F28,'26.09 Kajansi-Bweya-24h'!F28,'28.09 Bweya-Kajansi-24h'!F28,'29.09 Bweya-Kajansi'!F28)</f>
        <v>1.5714285714285714</v>
      </c>
      <c r="G28" s="49">
        <f>AVERAGE('23.09.19 Kajansi -Bweya'!G28,'24.09 Kajansi-Bweya'!G28,'25.09 Kajansi-Bweya'!G28,'27.09Kasjansi-Munyonyo'!G28,'26.09 Kajansi-Bweya-24h'!G28,'28.09 Bweya-Kajansi-24h'!G28,'29.09 Bweya-Kajansi'!G28)</f>
        <v>0</v>
      </c>
      <c r="H28" s="49">
        <f>AVERAGE('23.09.19 Kajansi -Bweya'!H28,'24.09 Kajansi-Bweya'!H28,'25.09 Kajansi-Bweya'!H28,'27.09Kasjansi-Munyonyo'!H28,'26.09 Kajansi-Bweya-24h'!H28,'28.09 Bweya-Kajansi-24h'!H28,'29.09 Bweya-Kajansi'!H28)</f>
        <v>0</v>
      </c>
      <c r="I28" s="49">
        <f>AVERAGE('23.09.19 Kajansi -Bweya'!I28,'24.09 Kajansi-Bweya'!I28,'25.09 Kajansi-Bweya'!I28,'27.09Kasjansi-Munyonyo'!I28,'26.09 Kajansi-Bweya-24h'!I28,'28.09 Bweya-Kajansi-24h'!I28,'29.09 Bweya-Kajansi'!I28)</f>
        <v>3.2857142857142856</v>
      </c>
      <c r="J28" s="49">
        <f>AVERAGE('23.09.19 Kajansi -Bweya'!J28,'24.09 Kajansi-Bweya'!J28,'25.09 Kajansi-Bweya'!J28,'27.09Kasjansi-Munyonyo'!J28,'26.09 Kajansi-Bweya-24h'!J28,'28.09 Bweya-Kajansi-24h'!J28,'29.09 Bweya-Kajansi'!J28)</f>
        <v>0.7142857142857143</v>
      </c>
      <c r="K28" s="49">
        <f>AVERAGE('23.09.19 Kajansi -Bweya'!K28,'24.09 Kajansi-Bweya'!K28,'25.09 Kajansi-Bweya'!K28,'27.09Kasjansi-Munyonyo'!K28,'26.09 Kajansi-Bweya-24h'!K28,'28.09 Bweya-Kajansi-24h'!K28,'29.09 Bweya-Kajansi'!K28)</f>
        <v>0.42857142857142855</v>
      </c>
      <c r="L28" s="49">
        <f>AVERAGE('23.09.19 Kajansi -Bweya'!L28,'24.09 Kajansi-Bweya'!L28,'25.09 Kajansi-Bweya'!L28,'27.09Kasjansi-Munyonyo'!L28,'26.09 Kajansi-Bweya-24h'!L28,'28.09 Bweya-Kajansi-24h'!L28,'29.09 Bweya-Kajansi'!L28)</f>
        <v>0</v>
      </c>
      <c r="M28" s="49">
        <f>AVERAGE('23.09.19 Kajansi -Bweya'!M28,'24.09 Kajansi-Bweya'!M28,'25.09 Kajansi-Bweya'!M28,'27.09Kasjansi-Munyonyo'!M28,'26.09 Kajansi-Bweya-24h'!M28,'28.09 Bweya-Kajansi-24h'!M28,'29.09 Bweya-Kajansi'!M28)</f>
        <v>31.142857142857142</v>
      </c>
      <c r="N28" s="49">
        <f>AVERAGE('23.09.19 Kajansi -Bweya'!N28,'24.09 Kajansi-Bweya'!N28,'25.09 Kajansi-Bweya'!N28,'27.09Kasjansi-Munyonyo'!N28,'26.09 Kajansi-Bweya-24h'!N28,'28.09 Bweya-Kajansi-24h'!N28,'29.09 Bweya-Kajansi'!N28)</f>
        <v>0</v>
      </c>
      <c r="O28" s="15">
        <f t="shared" si="0"/>
        <v>48.285714285714285</v>
      </c>
      <c r="P28" s="15">
        <f t="shared" si="1"/>
        <v>79.428571428571431</v>
      </c>
      <c r="R28" s="1" t="s">
        <v>152</v>
      </c>
      <c r="S28" s="34">
        <f>SUM(C82:C85)</f>
        <v>13.5</v>
      </c>
      <c r="T28" s="34">
        <f t="shared" ref="T28:AF28" si="20">SUM(D82:D85)</f>
        <v>4</v>
      </c>
      <c r="U28" s="34">
        <f t="shared" si="20"/>
        <v>1.5</v>
      </c>
      <c r="V28" s="34">
        <f t="shared" si="20"/>
        <v>1.5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0.5</v>
      </c>
      <c r="AA28" s="34">
        <f t="shared" si="20"/>
        <v>0.5</v>
      </c>
      <c r="AB28" s="34">
        <f t="shared" si="20"/>
        <v>0</v>
      </c>
      <c r="AC28" s="34">
        <f t="shared" si="20"/>
        <v>12.5</v>
      </c>
      <c r="AD28" s="34">
        <f t="shared" si="20"/>
        <v>0</v>
      </c>
      <c r="AE28" s="31">
        <f t="shared" si="20"/>
        <v>22.5</v>
      </c>
      <c r="AF28" s="31">
        <f t="shared" si="20"/>
        <v>35</v>
      </c>
    </row>
    <row r="29" spans="2:32" ht="23.1" customHeight="1" x14ac:dyDescent="0.25">
      <c r="B29" s="23" t="s">
        <v>56</v>
      </c>
      <c r="C29" s="49">
        <f>AVERAGE('23.09.19 Kajansi -Bweya'!C29,'24.09 Kajansi-Bweya'!C29,'25.09 Kajansi-Bweya'!C29,'27.09Kasjansi-Munyonyo'!C29,'26.09 Kajansi-Bweya-24h'!C29,'28.09 Bweya-Kajansi-24h'!C29,'29.09 Bweya-Kajansi'!C29)</f>
        <v>23.142857142857142</v>
      </c>
      <c r="D29" s="49">
        <f>AVERAGE('23.09.19 Kajansi -Bweya'!D29,'24.09 Kajansi-Bweya'!D29,'25.09 Kajansi-Bweya'!D29,'27.09Kasjansi-Munyonyo'!D29,'26.09 Kajansi-Bweya-24h'!D29,'28.09 Bweya-Kajansi-24h'!D29,'29.09 Bweya-Kajansi'!D29)</f>
        <v>5</v>
      </c>
      <c r="E29" s="49">
        <f>AVERAGE('23.09.19 Kajansi -Bweya'!E29,'24.09 Kajansi-Bweya'!E29,'25.09 Kajansi-Bweya'!E29,'27.09Kasjansi-Munyonyo'!E29,'26.09 Kajansi-Bweya-24h'!E29,'28.09 Bweya-Kajansi-24h'!E29,'29.09 Bweya-Kajansi'!E29)</f>
        <v>3.8571428571428572</v>
      </c>
      <c r="F29" s="49">
        <f>AVERAGE('23.09.19 Kajansi -Bweya'!F29,'24.09 Kajansi-Bweya'!F29,'25.09 Kajansi-Bweya'!F29,'27.09Kasjansi-Munyonyo'!F29,'26.09 Kajansi-Bweya-24h'!F29,'28.09 Bweya-Kajansi-24h'!F29,'29.09 Bweya-Kajansi'!F29)</f>
        <v>1.1428571428571428</v>
      </c>
      <c r="G29" s="49">
        <f>AVERAGE('23.09.19 Kajansi -Bweya'!G29,'24.09 Kajansi-Bweya'!G29,'25.09 Kajansi-Bweya'!G29,'27.09Kasjansi-Munyonyo'!G29,'26.09 Kajansi-Bweya-24h'!G29,'28.09 Bweya-Kajansi-24h'!G29,'29.09 Bweya-Kajansi'!G29)</f>
        <v>0</v>
      </c>
      <c r="H29" s="49">
        <f>AVERAGE('23.09.19 Kajansi -Bweya'!H29,'24.09 Kajansi-Bweya'!H29,'25.09 Kajansi-Bweya'!H29,'27.09Kasjansi-Munyonyo'!H29,'26.09 Kajansi-Bweya-24h'!H29,'28.09 Bweya-Kajansi-24h'!H29,'29.09 Bweya-Kajansi'!H29)</f>
        <v>0.2857142857142857</v>
      </c>
      <c r="I29" s="49">
        <f>AVERAGE('23.09.19 Kajansi -Bweya'!I29,'24.09 Kajansi-Bweya'!I29,'25.09 Kajansi-Bweya'!I29,'27.09Kasjansi-Munyonyo'!I29,'26.09 Kajansi-Bweya-24h'!I29,'28.09 Bweya-Kajansi-24h'!I29,'29.09 Bweya-Kajansi'!I29)</f>
        <v>2</v>
      </c>
      <c r="J29" s="49">
        <f>AVERAGE('23.09.19 Kajansi -Bweya'!J29,'24.09 Kajansi-Bweya'!J29,'25.09 Kajansi-Bweya'!J29,'27.09Kasjansi-Munyonyo'!J29,'26.09 Kajansi-Bweya-24h'!J29,'28.09 Bweya-Kajansi-24h'!J29,'29.09 Bweya-Kajansi'!J29)</f>
        <v>2.1428571428571428</v>
      </c>
      <c r="K29" s="49">
        <f>AVERAGE('23.09.19 Kajansi -Bweya'!K29,'24.09 Kajansi-Bweya'!K29,'25.09 Kajansi-Bweya'!K29,'27.09Kasjansi-Munyonyo'!K29,'26.09 Kajansi-Bweya-24h'!K29,'28.09 Bweya-Kajansi-24h'!K29,'29.09 Bweya-Kajansi'!K29)</f>
        <v>0.14285714285714285</v>
      </c>
      <c r="L29" s="49">
        <f>AVERAGE('23.09.19 Kajansi -Bweya'!L29,'24.09 Kajansi-Bweya'!L29,'25.09 Kajansi-Bweya'!L29,'27.09Kasjansi-Munyonyo'!L29,'26.09 Kajansi-Bweya-24h'!L29,'28.09 Bweya-Kajansi-24h'!L29,'29.09 Bweya-Kajansi'!L29)</f>
        <v>0.14285714285714285</v>
      </c>
      <c r="M29" s="49">
        <f>AVERAGE('23.09.19 Kajansi -Bweya'!M29,'24.09 Kajansi-Bweya'!M29,'25.09 Kajansi-Bweya'!M29,'27.09Kasjansi-Munyonyo'!M29,'26.09 Kajansi-Bweya-24h'!M29,'28.09 Bweya-Kajansi-24h'!M29,'29.09 Bweya-Kajansi'!M29)</f>
        <v>25.428571428571427</v>
      </c>
      <c r="N29" s="49">
        <f>AVERAGE('23.09.19 Kajansi -Bweya'!N29,'24.09 Kajansi-Bweya'!N29,'25.09 Kajansi-Bweya'!N29,'27.09Kasjansi-Munyonyo'!N29,'26.09 Kajansi-Bweya-24h'!N29,'28.09 Bweya-Kajansi-24h'!N29,'29.09 Bweya-Kajansi'!N29)</f>
        <v>0</v>
      </c>
      <c r="O29" s="15">
        <f t="shared" si="0"/>
        <v>37.857142857142868</v>
      </c>
      <c r="P29" s="15">
        <f t="shared" si="1"/>
        <v>63.285714285714292</v>
      </c>
      <c r="R29" s="1" t="s">
        <v>153</v>
      </c>
      <c r="S29" s="34">
        <f>SUM(C86:C89)</f>
        <v>21.5</v>
      </c>
      <c r="T29" s="34">
        <f t="shared" ref="T29:AF29" si="21">SUM(D86:D89)</f>
        <v>8</v>
      </c>
      <c r="U29" s="34">
        <f t="shared" si="21"/>
        <v>3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10.5</v>
      </c>
      <c r="AD29" s="34">
        <f t="shared" si="21"/>
        <v>0</v>
      </c>
      <c r="AE29" s="31">
        <f t="shared" si="21"/>
        <v>33</v>
      </c>
      <c r="AF29" s="31">
        <f t="shared" si="21"/>
        <v>43.5</v>
      </c>
    </row>
    <row r="30" spans="2:32" ht="23.1" customHeight="1" x14ac:dyDescent="0.25">
      <c r="B30" s="23" t="s">
        <v>57</v>
      </c>
      <c r="C30" s="49">
        <f>AVERAGE('23.09.19 Kajansi -Bweya'!C30,'24.09 Kajansi-Bweya'!C30,'25.09 Kajansi-Bweya'!C30,'27.09Kasjansi-Munyonyo'!C30,'26.09 Kajansi-Bweya-24h'!C30,'28.09 Bweya-Kajansi-24h'!C30,'29.09 Bweya-Kajansi'!C30)</f>
        <v>23.285714285714285</v>
      </c>
      <c r="D30" s="49">
        <f>AVERAGE('23.09.19 Kajansi -Bweya'!D30,'24.09 Kajansi-Bweya'!D30,'25.09 Kajansi-Bweya'!D30,'27.09Kasjansi-Munyonyo'!D30,'26.09 Kajansi-Bweya-24h'!D30,'28.09 Bweya-Kajansi-24h'!D30,'29.09 Bweya-Kajansi'!D30)</f>
        <v>7.2857142857142856</v>
      </c>
      <c r="E30" s="49">
        <f>AVERAGE('23.09.19 Kajansi -Bweya'!E30,'24.09 Kajansi-Bweya'!E30,'25.09 Kajansi-Bweya'!E30,'27.09Kasjansi-Munyonyo'!E30,'26.09 Kajansi-Bweya-24h'!E30,'28.09 Bweya-Kajansi-24h'!E30,'29.09 Bweya-Kajansi'!E30)</f>
        <v>3.2857142857142856</v>
      </c>
      <c r="F30" s="49">
        <f>AVERAGE('23.09.19 Kajansi -Bweya'!F30,'24.09 Kajansi-Bweya'!F30,'25.09 Kajansi-Bweya'!F30,'27.09Kasjansi-Munyonyo'!F30,'26.09 Kajansi-Bweya-24h'!F30,'28.09 Bweya-Kajansi-24h'!F30,'29.09 Bweya-Kajansi'!F30)</f>
        <v>1.2857142857142858</v>
      </c>
      <c r="G30" s="49">
        <f>AVERAGE('23.09.19 Kajansi -Bweya'!G30,'24.09 Kajansi-Bweya'!G30,'25.09 Kajansi-Bweya'!G30,'27.09Kasjansi-Munyonyo'!G30,'26.09 Kajansi-Bweya-24h'!G30,'28.09 Bweya-Kajansi-24h'!G30,'29.09 Bweya-Kajansi'!G30)</f>
        <v>0.2857142857142857</v>
      </c>
      <c r="H30" s="49">
        <f>AVERAGE('23.09.19 Kajansi -Bweya'!H30,'24.09 Kajansi-Bweya'!H30,'25.09 Kajansi-Bweya'!H30,'27.09Kasjansi-Munyonyo'!H30,'26.09 Kajansi-Bweya-24h'!H30,'28.09 Bweya-Kajansi-24h'!H30,'29.09 Bweya-Kajansi'!H30)</f>
        <v>0</v>
      </c>
      <c r="I30" s="49">
        <f>AVERAGE('23.09.19 Kajansi -Bweya'!I30,'24.09 Kajansi-Bweya'!I30,'25.09 Kajansi-Bweya'!I30,'27.09Kasjansi-Munyonyo'!I30,'26.09 Kajansi-Bweya-24h'!I30,'28.09 Bweya-Kajansi-24h'!I30,'29.09 Bweya-Kajansi'!I30)</f>
        <v>2.2857142857142856</v>
      </c>
      <c r="J30" s="49">
        <f>AVERAGE('23.09.19 Kajansi -Bweya'!J30,'24.09 Kajansi-Bweya'!J30,'25.09 Kajansi-Bweya'!J30,'27.09Kasjansi-Munyonyo'!J30,'26.09 Kajansi-Bweya-24h'!J30,'28.09 Bweya-Kajansi-24h'!J30,'29.09 Bweya-Kajansi'!J30)</f>
        <v>1.1428571428571428</v>
      </c>
      <c r="K30" s="49">
        <f>AVERAGE('23.09.19 Kajansi -Bweya'!K30,'24.09 Kajansi-Bweya'!K30,'25.09 Kajansi-Bweya'!K30,'27.09Kasjansi-Munyonyo'!K30,'26.09 Kajansi-Bweya-24h'!K30,'28.09 Bweya-Kajansi-24h'!K30,'29.09 Bweya-Kajansi'!K30)</f>
        <v>0.2857142857142857</v>
      </c>
      <c r="L30" s="49">
        <f>AVERAGE('23.09.19 Kajansi -Bweya'!L30,'24.09 Kajansi-Bweya'!L30,'25.09 Kajansi-Bweya'!L30,'27.09Kasjansi-Munyonyo'!L30,'26.09 Kajansi-Bweya-24h'!L30,'28.09 Bweya-Kajansi-24h'!L30,'29.09 Bweya-Kajansi'!L30)</f>
        <v>0</v>
      </c>
      <c r="M30" s="49">
        <f>AVERAGE('23.09.19 Kajansi -Bweya'!M30,'24.09 Kajansi-Bweya'!M30,'25.09 Kajansi-Bweya'!M30,'27.09Kasjansi-Munyonyo'!M30,'26.09 Kajansi-Bweya-24h'!M30,'28.09 Bweya-Kajansi-24h'!M30,'29.09 Bweya-Kajansi'!M30)</f>
        <v>29.428571428571427</v>
      </c>
      <c r="N30" s="49">
        <f>AVERAGE('23.09.19 Kajansi -Bweya'!N30,'24.09 Kajansi-Bweya'!N30,'25.09 Kajansi-Bweya'!N30,'27.09Kasjansi-Munyonyo'!N30,'26.09 Kajansi-Bweya-24h'!N30,'28.09 Bweya-Kajansi-24h'!N30,'29.09 Bweya-Kajansi'!N30)</f>
        <v>0</v>
      </c>
      <c r="O30" s="15">
        <f t="shared" si="0"/>
        <v>39.142857142857139</v>
      </c>
      <c r="P30" s="15">
        <f t="shared" si="1"/>
        <v>68.571428571428569</v>
      </c>
      <c r="R30" s="1" t="s">
        <v>154</v>
      </c>
      <c r="S30" s="34">
        <f>SUM(C90:C93)</f>
        <v>8</v>
      </c>
      <c r="T30" s="34">
        <f t="shared" ref="T30:AF30" si="22">SUM(D90:D93)</f>
        <v>3.5</v>
      </c>
      <c r="U30" s="34">
        <f t="shared" si="22"/>
        <v>0.5</v>
      </c>
      <c r="V30" s="34">
        <f t="shared" si="22"/>
        <v>2</v>
      </c>
      <c r="W30" s="34">
        <f t="shared" si="22"/>
        <v>1</v>
      </c>
      <c r="X30" s="34">
        <f t="shared" si="22"/>
        <v>0.5</v>
      </c>
      <c r="Y30" s="34">
        <f t="shared" si="22"/>
        <v>0</v>
      </c>
      <c r="Z30" s="34">
        <f t="shared" si="22"/>
        <v>2.5</v>
      </c>
      <c r="AA30" s="34">
        <f t="shared" si="22"/>
        <v>0</v>
      </c>
      <c r="AB30" s="34">
        <f t="shared" si="22"/>
        <v>0</v>
      </c>
      <c r="AC30" s="34">
        <f t="shared" si="22"/>
        <v>7.5</v>
      </c>
      <c r="AD30" s="34">
        <f t="shared" si="22"/>
        <v>0</v>
      </c>
      <c r="AE30" s="31">
        <f t="shared" si="22"/>
        <v>18</v>
      </c>
      <c r="AF30" s="31">
        <f t="shared" si="22"/>
        <v>25.5</v>
      </c>
    </row>
    <row r="31" spans="2:32" ht="23.1" customHeight="1" x14ac:dyDescent="0.25">
      <c r="B31" s="24" t="s">
        <v>58</v>
      </c>
      <c r="C31" s="49">
        <f>AVERAGE('23.09.19 Kajansi -Bweya'!C31,'24.09 Kajansi-Bweya'!C31,'25.09 Kajansi-Bweya'!C31,'27.09Kasjansi-Munyonyo'!C31,'26.09 Kajansi-Bweya-24h'!C31,'28.09 Bweya-Kajansi-24h'!C31,'29.09 Bweya-Kajansi'!C31)</f>
        <v>24.857142857142858</v>
      </c>
      <c r="D31" s="49">
        <f>AVERAGE('23.09.19 Kajansi -Bweya'!D31,'24.09 Kajansi-Bweya'!D31,'25.09 Kajansi-Bweya'!D31,'27.09Kasjansi-Munyonyo'!D31,'26.09 Kajansi-Bweya-24h'!D31,'28.09 Bweya-Kajansi-24h'!D31,'29.09 Bweya-Kajansi'!D31)</f>
        <v>5.5714285714285712</v>
      </c>
      <c r="E31" s="49">
        <f>AVERAGE('23.09.19 Kajansi -Bweya'!E31,'24.09 Kajansi-Bweya'!E31,'25.09 Kajansi-Bweya'!E31,'27.09Kasjansi-Munyonyo'!E31,'26.09 Kajansi-Bweya-24h'!E31,'28.09 Bweya-Kajansi-24h'!E31,'29.09 Bweya-Kajansi'!E31)</f>
        <v>1.5714285714285714</v>
      </c>
      <c r="F31" s="49">
        <f>AVERAGE('23.09.19 Kajansi -Bweya'!F31,'24.09 Kajansi-Bweya'!F31,'25.09 Kajansi-Bweya'!F31,'27.09Kasjansi-Munyonyo'!F31,'26.09 Kajansi-Bweya-24h'!F31,'28.09 Bweya-Kajansi-24h'!F31,'29.09 Bweya-Kajansi'!F31)</f>
        <v>1</v>
      </c>
      <c r="G31" s="49">
        <f>AVERAGE('23.09.19 Kajansi -Bweya'!G31,'24.09 Kajansi-Bweya'!G31,'25.09 Kajansi-Bweya'!G31,'27.09Kasjansi-Munyonyo'!G31,'26.09 Kajansi-Bweya-24h'!G31,'28.09 Bweya-Kajansi-24h'!G31,'29.09 Bweya-Kajansi'!G31)</f>
        <v>0.2857142857142857</v>
      </c>
      <c r="H31" s="49">
        <f>AVERAGE('23.09.19 Kajansi -Bweya'!H31,'24.09 Kajansi-Bweya'!H31,'25.09 Kajansi-Bweya'!H31,'27.09Kasjansi-Munyonyo'!H31,'26.09 Kajansi-Bweya-24h'!H31,'28.09 Bweya-Kajansi-24h'!H31,'29.09 Bweya-Kajansi'!H31)</f>
        <v>0.2857142857142857</v>
      </c>
      <c r="I31" s="49">
        <f>AVERAGE('23.09.19 Kajansi -Bweya'!I31,'24.09 Kajansi-Bweya'!I31,'25.09 Kajansi-Bweya'!I31,'27.09Kasjansi-Munyonyo'!I31,'26.09 Kajansi-Bweya-24h'!I31,'28.09 Bweya-Kajansi-24h'!I31,'29.09 Bweya-Kajansi'!I31)</f>
        <v>2.2857142857142856</v>
      </c>
      <c r="J31" s="49">
        <f>AVERAGE('23.09.19 Kajansi -Bweya'!J31,'24.09 Kajansi-Bweya'!J31,'25.09 Kajansi-Bweya'!J31,'27.09Kasjansi-Munyonyo'!J31,'26.09 Kajansi-Bweya-24h'!J31,'28.09 Bweya-Kajansi-24h'!J31,'29.09 Bweya-Kajansi'!J31)</f>
        <v>1.7142857142857142</v>
      </c>
      <c r="K31" s="49">
        <f>AVERAGE('23.09.19 Kajansi -Bweya'!K31,'24.09 Kajansi-Bweya'!K31,'25.09 Kajansi-Bweya'!K31,'27.09Kasjansi-Munyonyo'!K31,'26.09 Kajansi-Bweya-24h'!K31,'28.09 Bweya-Kajansi-24h'!K31,'29.09 Bweya-Kajansi'!K31)</f>
        <v>0.5714285714285714</v>
      </c>
      <c r="L31" s="49">
        <f>AVERAGE('23.09.19 Kajansi -Bweya'!L31,'24.09 Kajansi-Bweya'!L31,'25.09 Kajansi-Bweya'!L31,'27.09Kasjansi-Munyonyo'!L31,'26.09 Kajansi-Bweya-24h'!L31,'28.09 Bweya-Kajansi-24h'!L31,'29.09 Bweya-Kajansi'!L31)</f>
        <v>0.14285714285714285</v>
      </c>
      <c r="M31" s="49">
        <f>AVERAGE('23.09.19 Kajansi -Bweya'!M31,'24.09 Kajansi-Bweya'!M31,'25.09 Kajansi-Bweya'!M31,'27.09Kasjansi-Munyonyo'!M31,'26.09 Kajansi-Bweya-24h'!M31,'28.09 Bweya-Kajansi-24h'!M31,'29.09 Bweya-Kajansi'!M31)</f>
        <v>26.857142857142858</v>
      </c>
      <c r="N31" s="49">
        <f>AVERAGE('23.09.19 Kajansi -Bweya'!N31,'24.09 Kajansi-Bweya'!N31,'25.09 Kajansi-Bweya'!N31,'27.09Kasjansi-Munyonyo'!N31,'26.09 Kajansi-Bweya-24h'!N31,'28.09 Bweya-Kajansi-24h'!N31,'29.09 Bweya-Kajansi'!N31)</f>
        <v>0</v>
      </c>
      <c r="O31" s="15">
        <f t="shared" si="0"/>
        <v>38.285714285714285</v>
      </c>
      <c r="P31" s="15">
        <f t="shared" si="1"/>
        <v>65.142857142857139</v>
      </c>
      <c r="R31" s="1" t="s">
        <v>155</v>
      </c>
      <c r="S31" s="34">
        <f>SUM(C94:C97)</f>
        <v>13</v>
      </c>
      <c r="T31" s="34">
        <f t="shared" ref="T31:AF31" si="23">SUM(D94:D97)</f>
        <v>4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6.5</v>
      </c>
      <c r="AD31" s="34">
        <f t="shared" si="23"/>
        <v>0</v>
      </c>
      <c r="AE31" s="31">
        <f t="shared" si="23"/>
        <v>19</v>
      </c>
      <c r="AF31" s="31">
        <f t="shared" si="23"/>
        <v>25.5</v>
      </c>
    </row>
    <row r="32" spans="2:32" ht="23.1" customHeight="1" x14ac:dyDescent="0.25">
      <c r="B32" s="24" t="s">
        <v>59</v>
      </c>
      <c r="C32" s="49">
        <f>AVERAGE('23.09.19 Kajansi -Bweya'!C32,'24.09 Kajansi-Bweya'!C32,'25.09 Kajansi-Bweya'!C32,'27.09Kasjansi-Munyonyo'!C32,'26.09 Kajansi-Bweya-24h'!C32,'28.09 Bweya-Kajansi-24h'!C32,'29.09 Bweya-Kajansi'!C32)</f>
        <v>24</v>
      </c>
      <c r="D32" s="49">
        <f>AVERAGE('23.09.19 Kajansi -Bweya'!D32,'24.09 Kajansi-Bweya'!D32,'25.09 Kajansi-Bweya'!D32,'27.09Kasjansi-Munyonyo'!D32,'26.09 Kajansi-Bweya-24h'!D32,'28.09 Bweya-Kajansi-24h'!D32,'29.09 Bweya-Kajansi'!D32)</f>
        <v>3.2857142857142856</v>
      </c>
      <c r="E32" s="49">
        <f>AVERAGE('23.09.19 Kajansi -Bweya'!E32,'24.09 Kajansi-Bweya'!E32,'25.09 Kajansi-Bweya'!E32,'27.09Kasjansi-Munyonyo'!E32,'26.09 Kajansi-Bweya-24h'!E32,'28.09 Bweya-Kajansi-24h'!E32,'29.09 Bweya-Kajansi'!E32)</f>
        <v>1.8571428571428572</v>
      </c>
      <c r="F32" s="49">
        <f>AVERAGE('23.09.19 Kajansi -Bweya'!F32,'24.09 Kajansi-Bweya'!F32,'25.09 Kajansi-Bweya'!F32,'27.09Kasjansi-Munyonyo'!F32,'26.09 Kajansi-Bweya-24h'!F32,'28.09 Bweya-Kajansi-24h'!F32,'29.09 Bweya-Kajansi'!F32)</f>
        <v>0.2857142857142857</v>
      </c>
      <c r="G32" s="49">
        <f>AVERAGE('23.09.19 Kajansi -Bweya'!G32,'24.09 Kajansi-Bweya'!G32,'25.09 Kajansi-Bweya'!G32,'27.09Kasjansi-Munyonyo'!G32,'26.09 Kajansi-Bweya-24h'!G32,'28.09 Bweya-Kajansi-24h'!G32,'29.09 Bweya-Kajansi'!G32)</f>
        <v>0</v>
      </c>
      <c r="H32" s="49">
        <f>AVERAGE('23.09.19 Kajansi -Bweya'!H32,'24.09 Kajansi-Bweya'!H32,'25.09 Kajansi-Bweya'!H32,'27.09Kasjansi-Munyonyo'!H32,'26.09 Kajansi-Bweya-24h'!H32,'28.09 Bweya-Kajansi-24h'!H32,'29.09 Bweya-Kajansi'!H32)</f>
        <v>0</v>
      </c>
      <c r="I32" s="49">
        <f>AVERAGE('23.09.19 Kajansi -Bweya'!I32,'24.09 Kajansi-Bweya'!I32,'25.09 Kajansi-Bweya'!I32,'27.09Kasjansi-Munyonyo'!I32,'26.09 Kajansi-Bweya-24h'!I32,'28.09 Bweya-Kajansi-24h'!I32,'29.09 Bweya-Kajansi'!I32)</f>
        <v>2.4285714285714284</v>
      </c>
      <c r="J32" s="49">
        <f>AVERAGE('23.09.19 Kajansi -Bweya'!J32,'24.09 Kajansi-Bweya'!J32,'25.09 Kajansi-Bweya'!J32,'27.09Kasjansi-Munyonyo'!J32,'26.09 Kajansi-Bweya-24h'!J32,'28.09 Bweya-Kajansi-24h'!J32,'29.09 Bweya-Kajansi'!J32)</f>
        <v>2</v>
      </c>
      <c r="K32" s="49">
        <f>AVERAGE('23.09.19 Kajansi -Bweya'!K32,'24.09 Kajansi-Bweya'!K32,'25.09 Kajansi-Bweya'!K32,'27.09Kasjansi-Munyonyo'!K32,'26.09 Kajansi-Bweya-24h'!K32,'28.09 Bweya-Kajansi-24h'!K32,'29.09 Bweya-Kajansi'!K32)</f>
        <v>0.14285714285714285</v>
      </c>
      <c r="L32" s="49">
        <f>AVERAGE('23.09.19 Kajansi -Bweya'!L32,'24.09 Kajansi-Bweya'!L32,'25.09 Kajansi-Bweya'!L32,'27.09Kasjansi-Munyonyo'!L32,'26.09 Kajansi-Bweya-24h'!L32,'28.09 Bweya-Kajansi-24h'!L32,'29.09 Bweya-Kajansi'!L32)</f>
        <v>0</v>
      </c>
      <c r="M32" s="49">
        <f>AVERAGE('23.09.19 Kajansi -Bweya'!M32,'24.09 Kajansi-Bweya'!M32,'25.09 Kajansi-Bweya'!M32,'27.09Kasjansi-Munyonyo'!M32,'26.09 Kajansi-Bweya-24h'!M32,'28.09 Bweya-Kajansi-24h'!M32,'29.09 Bweya-Kajansi'!M32)</f>
        <v>21</v>
      </c>
      <c r="N32" s="49">
        <f>AVERAGE('23.09.19 Kajansi -Bweya'!N32,'24.09 Kajansi-Bweya'!N32,'25.09 Kajansi-Bweya'!N32,'27.09Kasjansi-Munyonyo'!N32,'26.09 Kajansi-Bweya-24h'!N32,'28.09 Bweya-Kajansi-24h'!N32,'29.09 Bweya-Kajansi'!N32)</f>
        <v>0</v>
      </c>
      <c r="O32" s="15">
        <f t="shared" si="0"/>
        <v>34</v>
      </c>
      <c r="P32" s="15">
        <f t="shared" si="1"/>
        <v>55</v>
      </c>
      <c r="R32" s="1" t="s">
        <v>156</v>
      </c>
      <c r="S32" s="34">
        <f>SUM(C98:C101)</f>
        <v>11</v>
      </c>
      <c r="T32" s="34">
        <f t="shared" ref="T32:AF32" si="24">SUM(D98:D101)</f>
        <v>1.5</v>
      </c>
      <c r="U32" s="34">
        <f t="shared" si="24"/>
        <v>2.5</v>
      </c>
      <c r="V32" s="34">
        <f t="shared" si="24"/>
        <v>1</v>
      </c>
      <c r="W32" s="34">
        <f t="shared" si="24"/>
        <v>1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8.5</v>
      </c>
      <c r="AD32" s="34">
        <f t="shared" si="24"/>
        <v>0</v>
      </c>
      <c r="AE32" s="31">
        <f t="shared" si="24"/>
        <v>18</v>
      </c>
      <c r="AF32" s="31">
        <f t="shared" si="24"/>
        <v>26.5</v>
      </c>
    </row>
    <row r="33" spans="2:32" ht="23.1" customHeight="1" x14ac:dyDescent="0.25">
      <c r="B33" s="23" t="s">
        <v>60</v>
      </c>
      <c r="C33" s="49">
        <f>AVERAGE('23.09.19 Kajansi -Bweya'!C33,'24.09 Kajansi-Bweya'!C33,'25.09 Kajansi-Bweya'!C33,'27.09Kasjansi-Munyonyo'!C33,'26.09 Kajansi-Bweya-24h'!C33,'28.09 Bweya-Kajansi-24h'!C33,'29.09 Bweya-Kajansi'!C33)</f>
        <v>24.714285714285715</v>
      </c>
      <c r="D33" s="49">
        <f>AVERAGE('23.09.19 Kajansi -Bweya'!D33,'24.09 Kajansi-Bweya'!D33,'25.09 Kajansi-Bweya'!D33,'27.09Kasjansi-Munyonyo'!D33,'26.09 Kajansi-Bweya-24h'!D33,'28.09 Bweya-Kajansi-24h'!D33,'29.09 Bweya-Kajansi'!D33)</f>
        <v>6.4285714285714288</v>
      </c>
      <c r="E33" s="49">
        <f>AVERAGE('23.09.19 Kajansi -Bweya'!E33,'24.09 Kajansi-Bweya'!E33,'25.09 Kajansi-Bweya'!E33,'27.09Kasjansi-Munyonyo'!E33,'26.09 Kajansi-Bweya-24h'!E33,'28.09 Bweya-Kajansi-24h'!E33,'29.09 Bweya-Kajansi'!E33)</f>
        <v>2.5714285714285716</v>
      </c>
      <c r="F33" s="49">
        <f>AVERAGE('23.09.19 Kajansi -Bweya'!F33,'24.09 Kajansi-Bweya'!F33,'25.09 Kajansi-Bweya'!F33,'27.09Kasjansi-Munyonyo'!F33,'26.09 Kajansi-Bweya-24h'!F33,'28.09 Bweya-Kajansi-24h'!F33,'29.09 Bweya-Kajansi'!F33)</f>
        <v>1.2857142857142858</v>
      </c>
      <c r="G33" s="49">
        <f>AVERAGE('23.09.19 Kajansi -Bweya'!G33,'24.09 Kajansi-Bweya'!G33,'25.09 Kajansi-Bweya'!G33,'27.09Kasjansi-Munyonyo'!G33,'26.09 Kajansi-Bweya-24h'!G33,'28.09 Bweya-Kajansi-24h'!G33,'29.09 Bweya-Kajansi'!G33)</f>
        <v>0</v>
      </c>
      <c r="H33" s="49">
        <f>AVERAGE('23.09.19 Kajansi -Bweya'!H33,'24.09 Kajansi-Bweya'!H33,'25.09 Kajansi-Bweya'!H33,'27.09Kasjansi-Munyonyo'!H33,'26.09 Kajansi-Bweya-24h'!H33,'28.09 Bweya-Kajansi-24h'!H33,'29.09 Bweya-Kajansi'!H33)</f>
        <v>0</v>
      </c>
      <c r="I33" s="49">
        <f>AVERAGE('23.09.19 Kajansi -Bweya'!I33,'24.09 Kajansi-Bweya'!I33,'25.09 Kajansi-Bweya'!I33,'27.09Kasjansi-Munyonyo'!I33,'26.09 Kajansi-Bweya-24h'!I33,'28.09 Bweya-Kajansi-24h'!I33,'29.09 Bweya-Kajansi'!I33)</f>
        <v>3</v>
      </c>
      <c r="J33" s="49">
        <f>AVERAGE('23.09.19 Kajansi -Bweya'!J33,'24.09 Kajansi-Bweya'!J33,'25.09 Kajansi-Bweya'!J33,'27.09Kasjansi-Munyonyo'!J33,'26.09 Kajansi-Bweya-24h'!J33,'28.09 Bweya-Kajansi-24h'!J33,'29.09 Bweya-Kajansi'!J33)</f>
        <v>1.7142857142857142</v>
      </c>
      <c r="K33" s="49">
        <f>AVERAGE('23.09.19 Kajansi -Bweya'!K33,'24.09 Kajansi-Bweya'!K33,'25.09 Kajansi-Bweya'!K33,'27.09Kasjansi-Munyonyo'!K33,'26.09 Kajansi-Bweya-24h'!K33,'28.09 Bweya-Kajansi-24h'!K33,'29.09 Bweya-Kajansi'!K33)</f>
        <v>0</v>
      </c>
      <c r="L33" s="49">
        <f>AVERAGE('23.09.19 Kajansi -Bweya'!L33,'24.09 Kajansi-Bweya'!L33,'25.09 Kajansi-Bweya'!L33,'27.09Kasjansi-Munyonyo'!L33,'26.09 Kajansi-Bweya-24h'!L33,'28.09 Bweya-Kajansi-24h'!L33,'29.09 Bweya-Kajansi'!L33)</f>
        <v>0</v>
      </c>
      <c r="M33" s="49">
        <f>AVERAGE('23.09.19 Kajansi -Bweya'!M33,'24.09 Kajansi-Bweya'!M33,'25.09 Kajansi-Bweya'!M33,'27.09Kasjansi-Munyonyo'!M33,'26.09 Kajansi-Bweya-24h'!M33,'28.09 Bweya-Kajansi-24h'!M33,'29.09 Bweya-Kajansi'!M33)</f>
        <v>22</v>
      </c>
      <c r="N33" s="49">
        <f>AVERAGE('23.09.19 Kajansi -Bweya'!N33,'24.09 Kajansi-Bweya'!N33,'25.09 Kajansi-Bweya'!N33,'27.09Kasjansi-Munyonyo'!N33,'26.09 Kajansi-Bweya-24h'!N33,'28.09 Bweya-Kajansi-24h'!N33,'29.09 Bweya-Kajansi'!N33)</f>
        <v>0</v>
      </c>
      <c r="O33" s="15">
        <f t="shared" si="0"/>
        <v>39.714285714285715</v>
      </c>
      <c r="P33" s="15">
        <f t="shared" si="1"/>
        <v>61.714285714285715</v>
      </c>
      <c r="R33" s="1" t="s">
        <v>157</v>
      </c>
      <c r="S33" s="34">
        <f>SUM(C102:C105)</f>
        <v>57</v>
      </c>
      <c r="T33" s="34">
        <f t="shared" ref="T33:AF33" si="25">SUM(D102:D105)</f>
        <v>9</v>
      </c>
      <c r="U33" s="34">
        <f t="shared" si="25"/>
        <v>5.5</v>
      </c>
      <c r="V33" s="34">
        <f t="shared" si="25"/>
        <v>5</v>
      </c>
      <c r="W33" s="34">
        <f t="shared" si="25"/>
        <v>1</v>
      </c>
      <c r="X33" s="34">
        <f t="shared" si="25"/>
        <v>0.5</v>
      </c>
      <c r="Y33" s="34">
        <f t="shared" si="25"/>
        <v>1</v>
      </c>
      <c r="Z33" s="34">
        <f t="shared" si="25"/>
        <v>0</v>
      </c>
      <c r="AA33" s="34">
        <f t="shared" si="25"/>
        <v>0.5</v>
      </c>
      <c r="AB33" s="34">
        <f t="shared" si="25"/>
        <v>0</v>
      </c>
      <c r="AC33" s="34">
        <f t="shared" si="25"/>
        <v>20</v>
      </c>
      <c r="AD33" s="34">
        <f t="shared" si="25"/>
        <v>0</v>
      </c>
      <c r="AE33" s="31">
        <f t="shared" si="25"/>
        <v>79.5</v>
      </c>
      <c r="AF33" s="31">
        <f t="shared" si="25"/>
        <v>99.5</v>
      </c>
    </row>
    <row r="34" spans="2:32" ht="23.1" customHeight="1" x14ac:dyDescent="0.25">
      <c r="B34" s="24" t="s">
        <v>61</v>
      </c>
      <c r="C34" s="49">
        <f>AVERAGE('23.09.19 Kajansi -Bweya'!C34,'24.09 Kajansi-Bweya'!C34,'25.09 Kajansi-Bweya'!C34,'27.09Kasjansi-Munyonyo'!C34,'26.09 Kajansi-Bweya-24h'!C34,'28.09 Bweya-Kajansi-24h'!C34,'29.09 Bweya-Kajansi'!C34)</f>
        <v>25.285714285714285</v>
      </c>
      <c r="D34" s="49">
        <f>AVERAGE('23.09.19 Kajansi -Bweya'!D34,'24.09 Kajansi-Bweya'!D34,'25.09 Kajansi-Bweya'!D34,'27.09Kasjansi-Munyonyo'!D34,'26.09 Kajansi-Bweya-24h'!D34,'28.09 Bweya-Kajansi-24h'!D34,'29.09 Bweya-Kajansi'!D34)</f>
        <v>7</v>
      </c>
      <c r="E34" s="49">
        <f>AVERAGE('23.09.19 Kajansi -Bweya'!E34,'24.09 Kajansi-Bweya'!E34,'25.09 Kajansi-Bweya'!E34,'27.09Kasjansi-Munyonyo'!E34,'26.09 Kajansi-Bweya-24h'!E34,'28.09 Bweya-Kajansi-24h'!E34,'29.09 Bweya-Kajansi'!E34)</f>
        <v>4.8571428571428568</v>
      </c>
      <c r="F34" s="49">
        <f>AVERAGE('23.09.19 Kajansi -Bweya'!F34,'24.09 Kajansi-Bweya'!F34,'25.09 Kajansi-Bweya'!F34,'27.09Kasjansi-Munyonyo'!F34,'26.09 Kajansi-Bweya-24h'!F34,'28.09 Bweya-Kajansi-24h'!F34,'29.09 Bweya-Kajansi'!F34)</f>
        <v>1.1428571428571428</v>
      </c>
      <c r="G34" s="49">
        <f>AVERAGE('23.09.19 Kajansi -Bweya'!G34,'24.09 Kajansi-Bweya'!G34,'25.09 Kajansi-Bweya'!G34,'27.09Kasjansi-Munyonyo'!G34,'26.09 Kajansi-Bweya-24h'!G34,'28.09 Bweya-Kajansi-24h'!G34,'29.09 Bweya-Kajansi'!G34)</f>
        <v>0</v>
      </c>
      <c r="H34" s="49">
        <f>AVERAGE('23.09.19 Kajansi -Bweya'!H34,'24.09 Kajansi-Bweya'!H34,'25.09 Kajansi-Bweya'!H34,'27.09Kasjansi-Munyonyo'!H34,'26.09 Kajansi-Bweya-24h'!H34,'28.09 Bweya-Kajansi-24h'!H34,'29.09 Bweya-Kajansi'!H34)</f>
        <v>0</v>
      </c>
      <c r="I34" s="49">
        <f>AVERAGE('23.09.19 Kajansi -Bweya'!I34,'24.09 Kajansi-Bweya'!I34,'25.09 Kajansi-Bweya'!I34,'27.09Kasjansi-Munyonyo'!I34,'26.09 Kajansi-Bweya-24h'!I34,'28.09 Bweya-Kajansi-24h'!I34,'29.09 Bweya-Kajansi'!I34)</f>
        <v>4.5714285714285712</v>
      </c>
      <c r="J34" s="49">
        <f>AVERAGE('23.09.19 Kajansi -Bweya'!J34,'24.09 Kajansi-Bweya'!J34,'25.09 Kajansi-Bweya'!J34,'27.09Kasjansi-Munyonyo'!J34,'26.09 Kajansi-Bweya-24h'!J34,'28.09 Bweya-Kajansi-24h'!J34,'29.09 Bweya-Kajansi'!J34)</f>
        <v>0.7142857142857143</v>
      </c>
      <c r="K34" s="49">
        <f>AVERAGE('23.09.19 Kajansi -Bweya'!K34,'24.09 Kajansi-Bweya'!K34,'25.09 Kajansi-Bweya'!K34,'27.09Kasjansi-Munyonyo'!K34,'26.09 Kajansi-Bweya-24h'!K34,'28.09 Bweya-Kajansi-24h'!K34,'29.09 Bweya-Kajansi'!K34)</f>
        <v>0</v>
      </c>
      <c r="L34" s="49">
        <f>AVERAGE('23.09.19 Kajansi -Bweya'!L34,'24.09 Kajansi-Bweya'!L34,'25.09 Kajansi-Bweya'!L34,'27.09Kasjansi-Munyonyo'!L34,'26.09 Kajansi-Bweya-24h'!L34,'28.09 Bweya-Kajansi-24h'!L34,'29.09 Bweya-Kajansi'!L34)</f>
        <v>0</v>
      </c>
      <c r="M34" s="49">
        <f>AVERAGE('23.09.19 Kajansi -Bweya'!M34,'24.09 Kajansi-Bweya'!M34,'25.09 Kajansi-Bweya'!M34,'27.09Kasjansi-Munyonyo'!M34,'26.09 Kajansi-Bweya-24h'!M34,'28.09 Bweya-Kajansi-24h'!M34,'29.09 Bweya-Kajansi'!M34)</f>
        <v>26.857142857142858</v>
      </c>
      <c r="N34" s="49">
        <f>AVERAGE('23.09.19 Kajansi -Bweya'!N34,'24.09 Kajansi-Bweya'!N34,'25.09 Kajansi-Bweya'!N34,'27.09Kasjansi-Munyonyo'!N34,'26.09 Kajansi-Bweya-24h'!N34,'28.09 Bweya-Kajansi-24h'!N34,'29.09 Bweya-Kajansi'!N34)</f>
        <v>0</v>
      </c>
      <c r="O34" s="15">
        <f t="shared" si="0"/>
        <v>43.571428571428569</v>
      </c>
      <c r="P34" s="15">
        <f t="shared" si="1"/>
        <v>70.428571428571431</v>
      </c>
      <c r="R34" s="51" t="s">
        <v>90</v>
      </c>
      <c r="S34" s="52">
        <f t="shared" ref="S34:AF34" si="26">MAX(S10:S12)</f>
        <v>128.14285714285714</v>
      </c>
      <c r="T34" s="52">
        <f t="shared" si="26"/>
        <v>21</v>
      </c>
      <c r="U34" s="52">
        <f t="shared" si="26"/>
        <v>14.428571428571427</v>
      </c>
      <c r="V34" s="52">
        <f t="shared" si="26"/>
        <v>6.8571428571428577</v>
      </c>
      <c r="W34" s="52">
        <f t="shared" si="26"/>
        <v>0.71428571428571419</v>
      </c>
      <c r="X34" s="52">
        <f t="shared" si="26"/>
        <v>0.42857142857142855</v>
      </c>
      <c r="Y34" s="52">
        <f t="shared" si="26"/>
        <v>11.285714285714285</v>
      </c>
      <c r="Z34" s="52">
        <f t="shared" si="26"/>
        <v>3.4285714285714288</v>
      </c>
      <c r="AA34" s="52">
        <f t="shared" si="26"/>
        <v>1.1428571428571428</v>
      </c>
      <c r="AB34" s="52">
        <f t="shared" si="26"/>
        <v>0</v>
      </c>
      <c r="AC34" s="52">
        <f t="shared" si="26"/>
        <v>140</v>
      </c>
      <c r="AD34" s="52">
        <f t="shared" si="26"/>
        <v>0</v>
      </c>
      <c r="AE34" s="40">
        <f t="shared" si="26"/>
        <v>182.14285714285714</v>
      </c>
      <c r="AF34" s="40">
        <f t="shared" si="26"/>
        <v>300.14285714285711</v>
      </c>
    </row>
    <row r="35" spans="2:32" ht="23.1" customHeight="1" x14ac:dyDescent="0.25">
      <c r="B35" s="24" t="s">
        <v>62</v>
      </c>
      <c r="C35" s="49">
        <f>AVERAGE('23.09.19 Kajansi -Bweya'!C35,'24.09 Kajansi-Bweya'!C35,'25.09 Kajansi-Bweya'!C35,'27.09Kasjansi-Munyonyo'!C35,'26.09 Kajansi-Bweya-24h'!C35,'28.09 Bweya-Kajansi-24h'!C35,'29.09 Bweya-Kajansi'!C35)</f>
        <v>26.285714285714285</v>
      </c>
      <c r="D35" s="49">
        <f>AVERAGE('23.09.19 Kajansi -Bweya'!D35,'24.09 Kajansi-Bweya'!D35,'25.09 Kajansi-Bweya'!D35,'27.09Kasjansi-Munyonyo'!D35,'26.09 Kajansi-Bweya-24h'!D35,'28.09 Bweya-Kajansi-24h'!D35,'29.09 Bweya-Kajansi'!D35)</f>
        <v>8.1428571428571423</v>
      </c>
      <c r="E35" s="49">
        <f>AVERAGE('23.09.19 Kajansi -Bweya'!E35,'24.09 Kajansi-Bweya'!E35,'25.09 Kajansi-Bweya'!E35,'27.09Kasjansi-Munyonyo'!E35,'26.09 Kajansi-Bweya-24h'!E35,'28.09 Bweya-Kajansi-24h'!E35,'29.09 Bweya-Kajansi'!E35)</f>
        <v>3.7142857142857144</v>
      </c>
      <c r="F35" s="49">
        <f>AVERAGE('23.09.19 Kajansi -Bweya'!F35,'24.09 Kajansi-Bweya'!F35,'25.09 Kajansi-Bweya'!F35,'27.09Kasjansi-Munyonyo'!F35,'26.09 Kajansi-Bweya-24h'!F35,'28.09 Bweya-Kajansi-24h'!F35,'29.09 Bweya-Kajansi'!F35)</f>
        <v>1.5714285714285714</v>
      </c>
      <c r="G35" s="49">
        <f>AVERAGE('23.09.19 Kajansi -Bweya'!G35,'24.09 Kajansi-Bweya'!G35,'25.09 Kajansi-Bweya'!G35,'27.09Kasjansi-Munyonyo'!G35,'26.09 Kajansi-Bweya-24h'!G35,'28.09 Bweya-Kajansi-24h'!G35,'29.09 Bweya-Kajansi'!G35)</f>
        <v>0.42857142857142855</v>
      </c>
      <c r="H35" s="49">
        <f>AVERAGE('23.09.19 Kajansi -Bweya'!H35,'24.09 Kajansi-Bweya'!H35,'25.09 Kajansi-Bweya'!H35,'27.09Kasjansi-Munyonyo'!H35,'26.09 Kajansi-Bweya-24h'!H35,'28.09 Bweya-Kajansi-24h'!H35,'29.09 Bweya-Kajansi'!H35)</f>
        <v>0.42857142857142855</v>
      </c>
      <c r="I35" s="49">
        <f>AVERAGE('23.09.19 Kajansi -Bweya'!I35,'24.09 Kajansi-Bweya'!I35,'25.09 Kajansi-Bweya'!I35,'27.09Kasjansi-Munyonyo'!I35,'26.09 Kajansi-Bweya-24h'!I35,'28.09 Bweya-Kajansi-24h'!I35,'29.09 Bweya-Kajansi'!I35)</f>
        <v>3</v>
      </c>
      <c r="J35" s="49">
        <f>AVERAGE('23.09.19 Kajansi -Bweya'!J35,'24.09 Kajansi-Bweya'!J35,'25.09 Kajansi-Bweya'!J35,'27.09Kasjansi-Munyonyo'!J35,'26.09 Kajansi-Bweya-24h'!J35,'28.09 Bweya-Kajansi-24h'!J35,'29.09 Bweya-Kajansi'!J35)</f>
        <v>1.5714285714285714</v>
      </c>
      <c r="K35" s="49">
        <f>AVERAGE('23.09.19 Kajansi -Bweya'!K35,'24.09 Kajansi-Bweya'!K35,'25.09 Kajansi-Bweya'!K35,'27.09Kasjansi-Munyonyo'!K35,'26.09 Kajansi-Bweya-24h'!K35,'28.09 Bweya-Kajansi-24h'!K35,'29.09 Bweya-Kajansi'!K35)</f>
        <v>0.14285714285714285</v>
      </c>
      <c r="L35" s="49">
        <f>AVERAGE('23.09.19 Kajansi -Bweya'!L35,'24.09 Kajansi-Bweya'!L35,'25.09 Kajansi-Bweya'!L35,'27.09Kasjansi-Munyonyo'!L35,'26.09 Kajansi-Bweya-24h'!L35,'28.09 Bweya-Kajansi-24h'!L35,'29.09 Bweya-Kajansi'!L35)</f>
        <v>0</v>
      </c>
      <c r="M35" s="49">
        <f>AVERAGE('23.09.19 Kajansi -Bweya'!M35,'24.09 Kajansi-Bweya'!M35,'25.09 Kajansi-Bweya'!M35,'27.09Kasjansi-Munyonyo'!M35,'26.09 Kajansi-Bweya-24h'!M35,'28.09 Bweya-Kajansi-24h'!M35,'29.09 Bweya-Kajansi'!M35)</f>
        <v>23.428571428571427</v>
      </c>
      <c r="N35" s="49">
        <f>AVERAGE('23.09.19 Kajansi -Bweya'!N35,'24.09 Kajansi-Bweya'!N35,'25.09 Kajansi-Bweya'!N35,'27.09Kasjansi-Munyonyo'!N35,'26.09 Kajansi-Bweya-24h'!N35,'28.09 Bweya-Kajansi-24h'!N35,'29.09 Bweya-Kajansi'!N35)</f>
        <v>0</v>
      </c>
      <c r="O35" s="15">
        <f t="shared" si="0"/>
        <v>45.285714285714292</v>
      </c>
      <c r="P35" s="15">
        <f t="shared" si="1"/>
        <v>68.714285714285722</v>
      </c>
      <c r="R35" s="51" t="s">
        <v>91</v>
      </c>
      <c r="S35" s="52">
        <f t="shared" ref="S35:AF35" si="27">MAX(S13:S18)</f>
        <v>137.71428571428572</v>
      </c>
      <c r="T35" s="52">
        <f t="shared" si="27"/>
        <v>27.714285714285715</v>
      </c>
      <c r="U35" s="52">
        <f t="shared" si="27"/>
        <v>22.285714285714285</v>
      </c>
      <c r="V35" s="52">
        <f t="shared" si="27"/>
        <v>4.8571428571428577</v>
      </c>
      <c r="W35" s="52">
        <f t="shared" si="27"/>
        <v>1.2857142857142858</v>
      </c>
      <c r="X35" s="52">
        <f t="shared" si="27"/>
        <v>0.71428571428571419</v>
      </c>
      <c r="Y35" s="52">
        <f t="shared" si="27"/>
        <v>14.142857142857142</v>
      </c>
      <c r="Z35" s="52">
        <f t="shared" si="27"/>
        <v>8.1428571428571423</v>
      </c>
      <c r="AA35" s="52">
        <f t="shared" si="27"/>
        <v>1.2857142857142856</v>
      </c>
      <c r="AB35" s="52">
        <f t="shared" si="27"/>
        <v>0.42857142857142855</v>
      </c>
      <c r="AC35" s="52">
        <f t="shared" si="27"/>
        <v>123.71428571428571</v>
      </c>
      <c r="AD35" s="52">
        <f t="shared" si="27"/>
        <v>0</v>
      </c>
      <c r="AE35" s="40">
        <f t="shared" si="27"/>
        <v>206.57142857142856</v>
      </c>
      <c r="AF35" s="40">
        <f t="shared" si="27"/>
        <v>325.71428571428567</v>
      </c>
    </row>
    <row r="36" spans="2:32" ht="23.1" customHeight="1" x14ac:dyDescent="0.25">
      <c r="B36" s="24" t="s">
        <v>63</v>
      </c>
      <c r="C36" s="49">
        <f>AVERAGE('23.09.19 Kajansi -Bweya'!C36,'24.09 Kajansi-Bweya'!C36,'25.09 Kajansi-Bweya'!C36,'27.09Kasjansi-Munyonyo'!C36,'26.09 Kajansi-Bweya-24h'!C36,'28.09 Bweya-Kajansi-24h'!C36,'29.09 Bweya-Kajansi'!C36)</f>
        <v>29.714285714285715</v>
      </c>
      <c r="D36" s="49">
        <f>AVERAGE('23.09.19 Kajansi -Bweya'!D36,'24.09 Kajansi-Bweya'!D36,'25.09 Kajansi-Bweya'!D36,'27.09Kasjansi-Munyonyo'!D36,'26.09 Kajansi-Bweya-24h'!D36,'28.09 Bweya-Kajansi-24h'!D36,'29.09 Bweya-Kajansi'!D36)</f>
        <v>6.2857142857142856</v>
      </c>
      <c r="E36" s="49">
        <f>AVERAGE('23.09.19 Kajansi -Bweya'!E36,'24.09 Kajansi-Bweya'!E36,'25.09 Kajansi-Bweya'!E36,'27.09Kasjansi-Munyonyo'!E36,'26.09 Kajansi-Bweya-24h'!E36,'28.09 Bweya-Kajansi-24h'!E36,'29.09 Bweya-Kajansi'!E36)</f>
        <v>3</v>
      </c>
      <c r="F36" s="49">
        <f>AVERAGE('23.09.19 Kajansi -Bweya'!F36,'24.09 Kajansi-Bweya'!F36,'25.09 Kajansi-Bweya'!F36,'27.09Kasjansi-Munyonyo'!F36,'26.09 Kajansi-Bweya-24h'!F36,'28.09 Bweya-Kajansi-24h'!F36,'29.09 Bweya-Kajansi'!F36)</f>
        <v>0.2857142857142857</v>
      </c>
      <c r="G36" s="49">
        <f>AVERAGE('23.09.19 Kajansi -Bweya'!G36,'24.09 Kajansi-Bweya'!G36,'25.09 Kajansi-Bweya'!G36,'27.09Kasjansi-Munyonyo'!G36,'26.09 Kajansi-Bweya-24h'!G36,'28.09 Bweya-Kajansi-24h'!G36,'29.09 Bweya-Kajansi'!G36)</f>
        <v>0</v>
      </c>
      <c r="H36" s="49">
        <f>AVERAGE('23.09.19 Kajansi -Bweya'!H36,'24.09 Kajansi-Bweya'!H36,'25.09 Kajansi-Bweya'!H36,'27.09Kasjansi-Munyonyo'!H36,'26.09 Kajansi-Bweya-24h'!H36,'28.09 Bweya-Kajansi-24h'!H36,'29.09 Bweya-Kajansi'!H36)</f>
        <v>0.2857142857142857</v>
      </c>
      <c r="I36" s="49">
        <f>AVERAGE('23.09.19 Kajansi -Bweya'!I36,'24.09 Kajansi-Bweya'!I36,'25.09 Kajansi-Bweya'!I36,'27.09Kasjansi-Munyonyo'!I36,'26.09 Kajansi-Bweya-24h'!I36,'28.09 Bweya-Kajansi-24h'!I36,'29.09 Bweya-Kajansi'!I36)</f>
        <v>3.8571428571428572</v>
      </c>
      <c r="J36" s="49">
        <f>AVERAGE('23.09.19 Kajansi -Bweya'!J36,'24.09 Kajansi-Bweya'!J36,'25.09 Kajansi-Bweya'!J36,'27.09Kasjansi-Munyonyo'!J36,'26.09 Kajansi-Bweya-24h'!J36,'28.09 Bweya-Kajansi-24h'!J36,'29.09 Bweya-Kajansi'!J36)</f>
        <v>0.8571428571428571</v>
      </c>
      <c r="K36" s="49">
        <f>AVERAGE('23.09.19 Kajansi -Bweya'!K36,'24.09 Kajansi-Bweya'!K36,'25.09 Kajansi-Bweya'!K36,'27.09Kasjansi-Munyonyo'!K36,'26.09 Kajansi-Bweya-24h'!K36,'28.09 Bweya-Kajansi-24h'!K36,'29.09 Bweya-Kajansi'!K36)</f>
        <v>0</v>
      </c>
      <c r="L36" s="49">
        <f>AVERAGE('23.09.19 Kajansi -Bweya'!L36,'24.09 Kajansi-Bweya'!L36,'25.09 Kajansi-Bweya'!L36,'27.09Kasjansi-Munyonyo'!L36,'26.09 Kajansi-Bweya-24h'!L36,'28.09 Bweya-Kajansi-24h'!L36,'29.09 Bweya-Kajansi'!L36)</f>
        <v>0</v>
      </c>
      <c r="M36" s="49">
        <f>AVERAGE('23.09.19 Kajansi -Bweya'!M36,'24.09 Kajansi-Bweya'!M36,'25.09 Kajansi-Bweya'!M36,'27.09Kasjansi-Munyonyo'!M36,'26.09 Kajansi-Bweya-24h'!M36,'28.09 Bweya-Kajansi-24h'!M36,'29.09 Bweya-Kajansi'!M36)</f>
        <v>29.571428571428573</v>
      </c>
      <c r="N36" s="49">
        <f>AVERAGE('23.09.19 Kajansi -Bweya'!N36,'24.09 Kajansi-Bweya'!N36,'25.09 Kajansi-Bweya'!N36,'27.09Kasjansi-Munyonyo'!N36,'26.09 Kajansi-Bweya-24h'!N36,'28.09 Bweya-Kajansi-24h'!N36,'29.09 Bweya-Kajansi'!N36)</f>
        <v>0</v>
      </c>
      <c r="O36" s="15">
        <f t="shared" si="0"/>
        <v>44.285714285714278</v>
      </c>
      <c r="P36" s="15">
        <f t="shared" si="1"/>
        <v>73.857142857142847</v>
      </c>
      <c r="R36" s="51" t="s">
        <v>92</v>
      </c>
      <c r="S36" s="52">
        <f t="shared" ref="S36:AF36" si="28">MAX(S19:S21)</f>
        <v>157.42857142857142</v>
      </c>
      <c r="T36" s="52">
        <f t="shared" si="28"/>
        <v>24</v>
      </c>
      <c r="U36" s="52">
        <f t="shared" si="28"/>
        <v>17.285714285714285</v>
      </c>
      <c r="V36" s="52">
        <f t="shared" si="28"/>
        <v>4.4285714285714288</v>
      </c>
      <c r="W36" s="52">
        <f t="shared" si="28"/>
        <v>1.714285714285714</v>
      </c>
      <c r="X36" s="52">
        <f t="shared" si="28"/>
        <v>0.71428571428571419</v>
      </c>
      <c r="Y36" s="52">
        <f t="shared" si="28"/>
        <v>13.714285714285714</v>
      </c>
      <c r="Z36" s="52">
        <f t="shared" si="28"/>
        <v>7.5714285714285712</v>
      </c>
      <c r="AA36" s="52">
        <f t="shared" si="28"/>
        <v>2</v>
      </c>
      <c r="AB36" s="52">
        <f t="shared" si="28"/>
        <v>0.14285714285714285</v>
      </c>
      <c r="AC36" s="52">
        <f t="shared" si="28"/>
        <v>140.5952380952381</v>
      </c>
      <c r="AD36" s="52">
        <f t="shared" si="28"/>
        <v>0</v>
      </c>
      <c r="AE36" s="40">
        <f t="shared" si="28"/>
        <v>221.85714285714289</v>
      </c>
      <c r="AF36" s="40">
        <f t="shared" si="28"/>
        <v>351</v>
      </c>
    </row>
    <row r="37" spans="2:32" ht="23.1" customHeight="1" x14ac:dyDescent="0.25">
      <c r="B37" s="23" t="s">
        <v>64</v>
      </c>
      <c r="C37" s="49">
        <f>AVERAGE('23.09.19 Kajansi -Bweya'!C37,'24.09 Kajansi-Bweya'!C37,'25.09 Kajansi-Bweya'!C37,'27.09Kasjansi-Munyonyo'!C37,'26.09 Kajansi-Bweya-24h'!C37,'28.09 Bweya-Kajansi-24h'!C37,'29.09 Bweya-Kajansi'!C37)</f>
        <v>23.428571428571427</v>
      </c>
      <c r="D37" s="49">
        <f>AVERAGE('23.09.19 Kajansi -Bweya'!D37,'24.09 Kajansi-Bweya'!D37,'25.09 Kajansi-Bweya'!D37,'27.09Kasjansi-Munyonyo'!D37,'26.09 Kajansi-Bweya-24h'!D37,'28.09 Bweya-Kajansi-24h'!D37,'29.09 Bweya-Kajansi'!D37)</f>
        <v>5.7142857142857144</v>
      </c>
      <c r="E37" s="49">
        <f>AVERAGE('23.09.19 Kajansi -Bweya'!E37,'24.09 Kajansi-Bweya'!E37,'25.09 Kajansi-Bweya'!E37,'27.09Kasjansi-Munyonyo'!E37,'26.09 Kajansi-Bweya-24h'!E37,'28.09 Bweya-Kajansi-24h'!E37,'29.09 Bweya-Kajansi'!E37)</f>
        <v>2.2857142857142856</v>
      </c>
      <c r="F37" s="49">
        <f>AVERAGE('23.09.19 Kajansi -Bweya'!F37,'24.09 Kajansi-Bweya'!F37,'25.09 Kajansi-Bweya'!F37,'27.09Kasjansi-Munyonyo'!F37,'26.09 Kajansi-Bweya-24h'!F37,'28.09 Bweya-Kajansi-24h'!F37,'29.09 Bweya-Kajansi'!F37)</f>
        <v>1.4285714285714286</v>
      </c>
      <c r="G37" s="49">
        <f>AVERAGE('23.09.19 Kajansi -Bweya'!G37,'24.09 Kajansi-Bweya'!G37,'25.09 Kajansi-Bweya'!G37,'27.09Kasjansi-Munyonyo'!G37,'26.09 Kajansi-Bweya-24h'!G37,'28.09 Bweya-Kajansi-24h'!G37,'29.09 Bweya-Kajansi'!G37)</f>
        <v>0.14285714285714285</v>
      </c>
      <c r="H37" s="49">
        <f>AVERAGE('23.09.19 Kajansi -Bweya'!H37,'24.09 Kajansi-Bweya'!H37,'25.09 Kajansi-Bweya'!H37,'27.09Kasjansi-Munyonyo'!H37,'26.09 Kajansi-Bweya-24h'!H37,'28.09 Bweya-Kajansi-24h'!H37,'29.09 Bweya-Kajansi'!H37)</f>
        <v>0</v>
      </c>
      <c r="I37" s="49">
        <f>AVERAGE('23.09.19 Kajansi -Bweya'!I37,'24.09 Kajansi-Bweya'!I37,'25.09 Kajansi-Bweya'!I37,'27.09Kasjansi-Munyonyo'!I37,'26.09 Kajansi-Bweya-24h'!I37,'28.09 Bweya-Kajansi-24h'!I37,'29.09 Bweya-Kajansi'!I37)</f>
        <v>2.7142857142857144</v>
      </c>
      <c r="J37" s="49">
        <f>AVERAGE('23.09.19 Kajansi -Bweya'!J37,'24.09 Kajansi-Bweya'!J37,'25.09 Kajansi-Bweya'!J37,'27.09Kasjansi-Munyonyo'!J37,'26.09 Kajansi-Bweya-24h'!J37,'28.09 Bweya-Kajansi-24h'!J37,'29.09 Bweya-Kajansi'!J37)</f>
        <v>1</v>
      </c>
      <c r="K37" s="49">
        <f>AVERAGE('23.09.19 Kajansi -Bweya'!K37,'24.09 Kajansi-Bweya'!K37,'25.09 Kajansi-Bweya'!K37,'27.09Kasjansi-Munyonyo'!K37,'26.09 Kajansi-Bweya-24h'!K37,'28.09 Bweya-Kajansi-24h'!K37,'29.09 Bweya-Kajansi'!K37)</f>
        <v>0.2857142857142857</v>
      </c>
      <c r="L37" s="49">
        <f>AVERAGE('23.09.19 Kajansi -Bweya'!L37,'24.09 Kajansi-Bweya'!L37,'25.09 Kajansi-Bweya'!L37,'27.09Kasjansi-Munyonyo'!L37,'26.09 Kajansi-Bweya-24h'!L37,'28.09 Bweya-Kajansi-24h'!L37,'29.09 Bweya-Kajansi'!L37)</f>
        <v>0</v>
      </c>
      <c r="M37" s="49">
        <f>AVERAGE('23.09.19 Kajansi -Bweya'!M37,'24.09 Kajansi-Bweya'!M37,'25.09 Kajansi-Bweya'!M37,'27.09Kasjansi-Munyonyo'!M37,'26.09 Kajansi-Bweya-24h'!M37,'28.09 Bweya-Kajansi-24h'!M37,'29.09 Bweya-Kajansi'!M37)</f>
        <v>27.142857142857142</v>
      </c>
      <c r="N37" s="49">
        <f>AVERAGE('23.09.19 Kajansi -Bweya'!N37,'24.09 Kajansi-Bweya'!N37,'25.09 Kajansi-Bweya'!N37,'27.09Kasjansi-Munyonyo'!N37,'26.09 Kajansi-Bweya-24h'!N37,'28.09 Bweya-Kajansi-24h'!N37,'29.09 Bweya-Kajansi'!N37)</f>
        <v>0</v>
      </c>
      <c r="O37" s="15">
        <f t="shared" si="0"/>
        <v>37</v>
      </c>
      <c r="P37" s="15">
        <f t="shared" si="1"/>
        <v>64.142857142857139</v>
      </c>
      <c r="R37" s="37" t="s">
        <v>85</v>
      </c>
      <c r="S37" s="57">
        <f t="shared" ref="S37:AF37" si="29">SUM(S10:S12)</f>
        <v>329.14285714285711</v>
      </c>
      <c r="T37" s="58">
        <f t="shared" si="29"/>
        <v>57.285714285714292</v>
      </c>
      <c r="U37" s="58">
        <f t="shared" si="29"/>
        <v>40.142857142857139</v>
      </c>
      <c r="V37" s="58">
        <f t="shared" si="29"/>
        <v>15</v>
      </c>
      <c r="W37" s="58">
        <f t="shared" si="29"/>
        <v>1.7142857142857142</v>
      </c>
      <c r="X37" s="58">
        <f t="shared" si="29"/>
        <v>0.71428571428571419</v>
      </c>
      <c r="Y37" s="58">
        <f t="shared" si="29"/>
        <v>29.428571428571431</v>
      </c>
      <c r="Z37" s="58">
        <f t="shared" si="29"/>
        <v>9.8571428571428577</v>
      </c>
      <c r="AA37" s="58">
        <f t="shared" si="29"/>
        <v>2.1428571428571423</v>
      </c>
      <c r="AB37" s="58">
        <f t="shared" si="29"/>
        <v>0</v>
      </c>
      <c r="AC37" s="58">
        <f t="shared" si="29"/>
        <v>381.42857142857139</v>
      </c>
      <c r="AD37" s="58">
        <f t="shared" si="29"/>
        <v>0</v>
      </c>
      <c r="AE37" s="59">
        <f t="shared" si="29"/>
        <v>485.42857142857144</v>
      </c>
      <c r="AF37" s="59">
        <f t="shared" si="29"/>
        <v>866.85714285714289</v>
      </c>
    </row>
    <row r="38" spans="2:32" ht="23.1" customHeight="1" x14ac:dyDescent="0.25">
      <c r="B38" s="24" t="s">
        <v>65</v>
      </c>
      <c r="C38" s="49">
        <f>AVERAGE('23.09.19 Kajansi -Bweya'!C38,'24.09 Kajansi-Bweya'!C38,'25.09 Kajansi-Bweya'!C38,'27.09Kasjansi-Munyonyo'!C38,'26.09 Kajansi-Bweya-24h'!C38,'28.09 Bweya-Kajansi-24h'!C38,'29.09 Bweya-Kajansi'!C38)</f>
        <v>27.714285714285715</v>
      </c>
      <c r="D38" s="49">
        <f>AVERAGE('23.09.19 Kajansi -Bweya'!D38,'24.09 Kajansi-Bweya'!D38,'25.09 Kajansi-Bweya'!D38,'27.09Kasjansi-Munyonyo'!D38,'26.09 Kajansi-Bweya-24h'!D38,'28.09 Bweya-Kajansi-24h'!D38,'29.09 Bweya-Kajansi'!D38)</f>
        <v>6.1428571428571432</v>
      </c>
      <c r="E38" s="49">
        <f>AVERAGE('23.09.19 Kajansi -Bweya'!E38,'24.09 Kajansi-Bweya'!E38,'25.09 Kajansi-Bweya'!E38,'27.09Kasjansi-Munyonyo'!E38,'26.09 Kajansi-Bweya-24h'!E38,'28.09 Bweya-Kajansi-24h'!E38,'29.09 Bweya-Kajansi'!E38)</f>
        <v>2.2857142857142856</v>
      </c>
      <c r="F38" s="49">
        <f>AVERAGE('23.09.19 Kajansi -Bweya'!F38,'24.09 Kajansi-Bweya'!F38,'25.09 Kajansi-Bweya'!F38,'27.09Kasjansi-Munyonyo'!F38,'26.09 Kajansi-Bweya-24h'!F38,'28.09 Bweya-Kajansi-24h'!F38,'29.09 Bweya-Kajansi'!F38)</f>
        <v>0.8571428571428571</v>
      </c>
      <c r="G38" s="49">
        <f>AVERAGE('23.09.19 Kajansi -Bweya'!G38,'24.09 Kajansi-Bweya'!G38,'25.09 Kajansi-Bweya'!G38,'27.09Kasjansi-Munyonyo'!G38,'26.09 Kajansi-Bweya-24h'!G38,'28.09 Bweya-Kajansi-24h'!G38,'29.09 Bweya-Kajansi'!G38)</f>
        <v>0</v>
      </c>
      <c r="H38" s="49">
        <f>AVERAGE('23.09.19 Kajansi -Bweya'!H38,'24.09 Kajansi-Bweya'!H38,'25.09 Kajansi-Bweya'!H38,'27.09Kasjansi-Munyonyo'!H38,'26.09 Kajansi-Bweya-24h'!H38,'28.09 Bweya-Kajansi-24h'!H38,'29.09 Bweya-Kajansi'!H38)</f>
        <v>0.14285714285714285</v>
      </c>
      <c r="I38" s="49">
        <f>AVERAGE('23.09.19 Kajansi -Bweya'!I38,'24.09 Kajansi-Bweya'!I38,'25.09 Kajansi-Bweya'!I38,'27.09Kasjansi-Munyonyo'!I38,'26.09 Kajansi-Bweya-24h'!I38,'28.09 Bweya-Kajansi-24h'!I38,'29.09 Bweya-Kajansi'!I38)</f>
        <v>3.7142857142857144</v>
      </c>
      <c r="J38" s="49">
        <f>AVERAGE('23.09.19 Kajansi -Bweya'!J38,'24.09 Kajansi-Bweya'!J38,'25.09 Kajansi-Bweya'!J38,'27.09Kasjansi-Munyonyo'!J38,'26.09 Kajansi-Bweya-24h'!J38,'28.09 Bweya-Kajansi-24h'!J38,'29.09 Bweya-Kajansi'!J38)</f>
        <v>0.5714285714285714</v>
      </c>
      <c r="K38" s="49">
        <f>AVERAGE('23.09.19 Kajansi -Bweya'!K38,'24.09 Kajansi-Bweya'!K38,'25.09 Kajansi-Bweya'!K38,'27.09Kasjansi-Munyonyo'!K38,'26.09 Kajansi-Bweya-24h'!K38,'28.09 Bweya-Kajansi-24h'!K38,'29.09 Bweya-Kajansi'!K38)</f>
        <v>0.14285714285714285</v>
      </c>
      <c r="L38" s="49">
        <f>AVERAGE('23.09.19 Kajansi -Bweya'!L38,'24.09 Kajansi-Bweya'!L38,'25.09 Kajansi-Bweya'!L38,'27.09Kasjansi-Munyonyo'!L38,'26.09 Kajansi-Bweya-24h'!L38,'28.09 Bweya-Kajansi-24h'!L38,'29.09 Bweya-Kajansi'!L38)</f>
        <v>0.2857142857142857</v>
      </c>
      <c r="M38" s="49">
        <f>AVERAGE('23.09.19 Kajansi -Bweya'!M38,'24.09 Kajansi-Bweya'!M38,'25.09 Kajansi-Bweya'!M38,'27.09Kasjansi-Munyonyo'!M38,'26.09 Kajansi-Bweya-24h'!M38,'28.09 Bweya-Kajansi-24h'!M38,'29.09 Bweya-Kajansi'!M38)</f>
        <v>28</v>
      </c>
      <c r="N38" s="49">
        <f>AVERAGE('23.09.19 Kajansi -Bweya'!N38,'24.09 Kajansi-Bweya'!N38,'25.09 Kajansi-Bweya'!N38,'27.09Kasjansi-Munyonyo'!N38,'26.09 Kajansi-Bweya-24h'!N38,'28.09 Bweya-Kajansi-24h'!N38,'29.09 Bweya-Kajansi'!N38)</f>
        <v>0</v>
      </c>
      <c r="O38" s="15">
        <f t="shared" si="0"/>
        <v>41.857142857142861</v>
      </c>
      <c r="P38" s="15">
        <f t="shared" si="1"/>
        <v>69.857142857142861</v>
      </c>
      <c r="R38" s="28" t="s">
        <v>86</v>
      </c>
      <c r="S38" s="58">
        <f t="shared" ref="S38:AF38" si="30">SUM(S13:S18)</f>
        <v>652.85714285714289</v>
      </c>
      <c r="T38" s="58">
        <f t="shared" si="30"/>
        <v>148.28571428571428</v>
      </c>
      <c r="U38" s="58">
        <f t="shared" si="30"/>
        <v>83.428571428571445</v>
      </c>
      <c r="V38" s="58">
        <f t="shared" si="30"/>
        <v>23.857142857142861</v>
      </c>
      <c r="W38" s="58">
        <f t="shared" si="30"/>
        <v>4</v>
      </c>
      <c r="X38" s="58">
        <f t="shared" si="30"/>
        <v>1.9999999999999996</v>
      </c>
      <c r="Y38" s="58">
        <f t="shared" si="30"/>
        <v>69.857142857142861</v>
      </c>
      <c r="Z38" s="58">
        <f t="shared" si="30"/>
        <v>32</v>
      </c>
      <c r="AA38" s="58">
        <f t="shared" si="30"/>
        <v>4.7142857142857135</v>
      </c>
      <c r="AB38" s="58">
        <f t="shared" si="30"/>
        <v>1</v>
      </c>
      <c r="AC38" s="58">
        <f t="shared" si="30"/>
        <v>684.99999999999989</v>
      </c>
      <c r="AD38" s="58">
        <f t="shared" si="30"/>
        <v>0</v>
      </c>
      <c r="AE38" s="59">
        <f t="shared" si="30"/>
        <v>1021.9999999999999</v>
      </c>
      <c r="AF38" s="59">
        <f t="shared" si="30"/>
        <v>1707</v>
      </c>
    </row>
    <row r="39" spans="2:32" ht="23.1" customHeight="1" x14ac:dyDescent="0.25">
      <c r="B39" s="24" t="s">
        <v>66</v>
      </c>
      <c r="C39" s="49">
        <f>AVERAGE('23.09.19 Kajansi -Bweya'!C39,'24.09 Kajansi-Bweya'!C39,'25.09 Kajansi-Bweya'!C39,'27.09Kasjansi-Munyonyo'!C39,'26.09 Kajansi-Bweya-24h'!C39,'28.09 Bweya-Kajansi-24h'!C39,'29.09 Bweya-Kajansi'!C39)</f>
        <v>27.428571428571427</v>
      </c>
      <c r="D39" s="49">
        <f>AVERAGE('23.09.19 Kajansi -Bweya'!D39,'24.09 Kajansi-Bweya'!D39,'25.09 Kajansi-Bweya'!D39,'27.09Kasjansi-Munyonyo'!D39,'26.09 Kajansi-Bweya-24h'!D39,'28.09 Bweya-Kajansi-24h'!D39,'29.09 Bweya-Kajansi'!D39)</f>
        <v>7</v>
      </c>
      <c r="E39" s="49">
        <f>AVERAGE('23.09.19 Kajansi -Bweya'!E39,'24.09 Kajansi-Bweya'!E39,'25.09 Kajansi-Bweya'!E39,'27.09Kasjansi-Munyonyo'!E39,'26.09 Kajansi-Bweya-24h'!E39,'28.09 Bweya-Kajansi-24h'!E39,'29.09 Bweya-Kajansi'!E39)</f>
        <v>3</v>
      </c>
      <c r="F39" s="49">
        <f>AVERAGE('23.09.19 Kajansi -Bweya'!F39,'24.09 Kajansi-Bweya'!F39,'25.09 Kajansi-Bweya'!F39,'27.09Kasjansi-Munyonyo'!F39,'26.09 Kajansi-Bweya-24h'!F39,'28.09 Bweya-Kajansi-24h'!F39,'29.09 Bweya-Kajansi'!F39)</f>
        <v>0.5714285714285714</v>
      </c>
      <c r="G39" s="49">
        <f>AVERAGE('23.09.19 Kajansi -Bweya'!G39,'24.09 Kajansi-Bweya'!G39,'25.09 Kajansi-Bweya'!G39,'27.09Kasjansi-Munyonyo'!G39,'26.09 Kajansi-Bweya-24h'!G39,'28.09 Bweya-Kajansi-24h'!G39,'29.09 Bweya-Kajansi'!G39)</f>
        <v>0.14285714285714285</v>
      </c>
      <c r="H39" s="49">
        <f>AVERAGE('23.09.19 Kajansi -Bweya'!H39,'24.09 Kajansi-Bweya'!H39,'25.09 Kajansi-Bweya'!H39,'27.09Kasjansi-Munyonyo'!H39,'26.09 Kajansi-Bweya-24h'!H39,'28.09 Bweya-Kajansi-24h'!H39,'29.09 Bweya-Kajansi'!H39)</f>
        <v>0</v>
      </c>
      <c r="I39" s="49">
        <f>AVERAGE('23.09.19 Kajansi -Bweya'!I39,'24.09 Kajansi-Bweya'!I39,'25.09 Kajansi-Bweya'!I39,'27.09Kasjansi-Munyonyo'!I39,'26.09 Kajansi-Bweya-24h'!I39,'28.09 Bweya-Kajansi-24h'!I39,'29.09 Bweya-Kajansi'!I39)</f>
        <v>2.2857142857142856</v>
      </c>
      <c r="J39" s="49">
        <f>AVERAGE('23.09.19 Kajansi -Bweya'!J39,'24.09 Kajansi-Bweya'!J39,'25.09 Kajansi-Bweya'!J39,'27.09Kasjansi-Munyonyo'!J39,'26.09 Kajansi-Bweya-24h'!J39,'28.09 Bweya-Kajansi-24h'!J39,'29.09 Bweya-Kajansi'!J39)</f>
        <v>1.5714285714285714</v>
      </c>
      <c r="K39" s="49">
        <f>AVERAGE('23.09.19 Kajansi -Bweya'!K39,'24.09 Kajansi-Bweya'!K39,'25.09 Kajansi-Bweya'!K39,'27.09Kasjansi-Munyonyo'!K39,'26.09 Kajansi-Bweya-24h'!K39,'28.09 Bweya-Kajansi-24h'!K39,'29.09 Bweya-Kajansi'!K39)</f>
        <v>0.14285714285714285</v>
      </c>
      <c r="L39" s="49">
        <f>AVERAGE('23.09.19 Kajansi -Bweya'!L39,'24.09 Kajansi-Bweya'!L39,'25.09 Kajansi-Bweya'!L39,'27.09Kasjansi-Munyonyo'!L39,'26.09 Kajansi-Bweya-24h'!L39,'28.09 Bweya-Kajansi-24h'!L39,'29.09 Bweya-Kajansi'!L39)</f>
        <v>0</v>
      </c>
      <c r="M39" s="49">
        <f>AVERAGE('23.09.19 Kajansi -Bweya'!M39,'24.09 Kajansi-Bweya'!M39,'25.09 Kajansi-Bweya'!M39,'27.09Kasjansi-Munyonyo'!M39,'26.09 Kajansi-Bweya-24h'!M39,'28.09 Bweya-Kajansi-24h'!M39,'29.09 Bweya-Kajansi'!M39)</f>
        <v>28.857142857142858</v>
      </c>
      <c r="N39" s="49">
        <f>AVERAGE('23.09.19 Kajansi -Bweya'!N39,'24.09 Kajansi-Bweya'!N39,'25.09 Kajansi-Bweya'!N39,'27.09Kasjansi-Munyonyo'!N39,'26.09 Kajansi-Bweya-24h'!N39,'28.09 Bweya-Kajansi-24h'!N39,'29.09 Bweya-Kajansi'!N39)</f>
        <v>0</v>
      </c>
      <c r="O39" s="15">
        <f t="shared" si="0"/>
        <v>42.142857142857146</v>
      </c>
      <c r="P39" s="15">
        <f t="shared" si="1"/>
        <v>71</v>
      </c>
      <c r="R39" s="29" t="s">
        <v>87</v>
      </c>
      <c r="S39" s="58">
        <f t="shared" ref="S39:AF39" si="31">SUM(S19:S21)</f>
        <v>459.14285714285711</v>
      </c>
      <c r="T39" s="58">
        <f t="shared" si="31"/>
        <v>64</v>
      </c>
      <c r="U39" s="58">
        <f t="shared" si="31"/>
        <v>47.285714285714285</v>
      </c>
      <c r="V39" s="58">
        <f t="shared" si="31"/>
        <v>12.571428571428571</v>
      </c>
      <c r="W39" s="58">
        <f t="shared" si="31"/>
        <v>3.4285714285714279</v>
      </c>
      <c r="X39" s="58">
        <f t="shared" si="31"/>
        <v>0.99999999999999989</v>
      </c>
      <c r="Y39" s="58">
        <f t="shared" si="31"/>
        <v>32.428571428571423</v>
      </c>
      <c r="Z39" s="58">
        <f t="shared" si="31"/>
        <v>19.571428571428573</v>
      </c>
      <c r="AA39" s="58">
        <f t="shared" si="31"/>
        <v>4.1428571428571423</v>
      </c>
      <c r="AB39" s="58">
        <f t="shared" si="31"/>
        <v>0.2857142857142857</v>
      </c>
      <c r="AC39" s="58">
        <f t="shared" si="31"/>
        <v>391.30952380952385</v>
      </c>
      <c r="AD39" s="58">
        <f t="shared" si="31"/>
        <v>0</v>
      </c>
      <c r="AE39" s="59">
        <f t="shared" si="31"/>
        <v>643.85714285714289</v>
      </c>
      <c r="AF39" s="59">
        <f t="shared" si="31"/>
        <v>1035.1666666666667</v>
      </c>
    </row>
    <row r="40" spans="2:32" ht="23.1" customHeight="1" x14ac:dyDescent="0.25">
      <c r="B40" s="24" t="s">
        <v>67</v>
      </c>
      <c r="C40" s="49">
        <f>AVERAGE('23.09.19 Kajansi -Bweya'!C40,'24.09 Kajansi-Bweya'!C40,'25.09 Kajansi-Bweya'!C40,'27.09Kasjansi-Munyonyo'!C40,'26.09 Kajansi-Bweya-24h'!C40,'28.09 Bweya-Kajansi-24h'!C40,'29.09 Bweya-Kajansi'!C40)</f>
        <v>26.428571428571427</v>
      </c>
      <c r="D40" s="49">
        <f>AVERAGE('23.09.19 Kajansi -Bweya'!D40,'24.09 Kajansi-Bweya'!D40,'25.09 Kajansi-Bweya'!D40,'27.09Kasjansi-Munyonyo'!D40,'26.09 Kajansi-Bweya-24h'!D40,'28.09 Bweya-Kajansi-24h'!D40,'29.09 Bweya-Kajansi'!D40)</f>
        <v>7.7142857142857144</v>
      </c>
      <c r="E40" s="49">
        <f>AVERAGE('23.09.19 Kajansi -Bweya'!E40,'24.09 Kajansi-Bweya'!E40,'25.09 Kajansi-Bweya'!E40,'27.09Kasjansi-Munyonyo'!E40,'26.09 Kajansi-Bweya-24h'!E40,'28.09 Bweya-Kajansi-24h'!E40,'29.09 Bweya-Kajansi'!E40)</f>
        <v>3.7142857142857144</v>
      </c>
      <c r="F40" s="49">
        <f>AVERAGE('23.09.19 Kajansi -Bweya'!F40,'24.09 Kajansi-Bweya'!F40,'25.09 Kajansi-Bweya'!F40,'27.09Kasjansi-Munyonyo'!F40,'26.09 Kajansi-Bweya-24h'!F40,'28.09 Bweya-Kajansi-24h'!F40,'29.09 Bweya-Kajansi'!F40)</f>
        <v>1.1428571428571428</v>
      </c>
      <c r="G40" s="49">
        <f>AVERAGE('23.09.19 Kajansi -Bweya'!G40,'24.09 Kajansi-Bweya'!G40,'25.09 Kajansi-Bweya'!G40,'27.09Kasjansi-Munyonyo'!G40,'26.09 Kajansi-Bweya-24h'!G40,'28.09 Bweya-Kajansi-24h'!G40,'29.09 Bweya-Kajansi'!G40)</f>
        <v>0.7142857142857143</v>
      </c>
      <c r="H40" s="49">
        <f>AVERAGE('23.09.19 Kajansi -Bweya'!H40,'24.09 Kajansi-Bweya'!H40,'25.09 Kajansi-Bweya'!H40,'27.09Kasjansi-Munyonyo'!H40,'26.09 Kajansi-Bweya-24h'!H40,'28.09 Bweya-Kajansi-24h'!H40,'29.09 Bweya-Kajansi'!H40)</f>
        <v>0</v>
      </c>
      <c r="I40" s="49">
        <f>AVERAGE('23.09.19 Kajansi -Bweya'!I40,'24.09 Kajansi-Bweya'!I40,'25.09 Kajansi-Bweya'!I40,'27.09Kasjansi-Munyonyo'!I40,'26.09 Kajansi-Bweya-24h'!I40,'28.09 Bweya-Kajansi-24h'!I40,'29.09 Bweya-Kajansi'!I40)</f>
        <v>3</v>
      </c>
      <c r="J40" s="49">
        <f>AVERAGE('23.09.19 Kajansi -Bweya'!J40,'24.09 Kajansi-Bweya'!J40,'25.09 Kajansi-Bweya'!J40,'27.09Kasjansi-Munyonyo'!J40,'26.09 Kajansi-Bweya-24h'!J40,'28.09 Bweya-Kajansi-24h'!J40,'29.09 Bweya-Kajansi'!J40)</f>
        <v>1.4285714285714286</v>
      </c>
      <c r="K40" s="49">
        <f>AVERAGE('23.09.19 Kajansi -Bweya'!K40,'24.09 Kajansi-Bweya'!K40,'25.09 Kajansi-Bweya'!K40,'27.09Kasjansi-Munyonyo'!K40,'26.09 Kajansi-Bweya-24h'!K40,'28.09 Bweya-Kajansi-24h'!K40,'29.09 Bweya-Kajansi'!K40)</f>
        <v>0.42857142857142855</v>
      </c>
      <c r="L40" s="49">
        <f>AVERAGE('23.09.19 Kajansi -Bweya'!L40,'24.09 Kajansi-Bweya'!L40,'25.09 Kajansi-Bweya'!L40,'27.09Kasjansi-Munyonyo'!L40,'26.09 Kajansi-Bweya-24h'!L40,'28.09 Bweya-Kajansi-24h'!L40,'29.09 Bweya-Kajansi'!L40)</f>
        <v>0</v>
      </c>
      <c r="M40" s="49">
        <f>AVERAGE('23.09.19 Kajansi -Bweya'!M40,'24.09 Kajansi-Bweya'!M40,'25.09 Kajansi-Bweya'!M40,'27.09Kasjansi-Munyonyo'!M40,'26.09 Kajansi-Bweya-24h'!M40,'28.09 Bweya-Kajansi-24h'!M40,'29.09 Bweya-Kajansi'!M40)</f>
        <v>29.428571428571427</v>
      </c>
      <c r="N40" s="49">
        <f>AVERAGE('23.09.19 Kajansi -Bweya'!N40,'24.09 Kajansi-Bweya'!N40,'25.09 Kajansi-Bweya'!N40,'27.09Kasjansi-Munyonyo'!N40,'26.09 Kajansi-Bweya-24h'!N40,'28.09 Bweya-Kajansi-24h'!N40,'29.09 Bweya-Kajansi'!N40)</f>
        <v>0</v>
      </c>
      <c r="O40" s="15">
        <f t="shared" si="0"/>
        <v>44.571428571428577</v>
      </c>
      <c r="P40" s="15">
        <f t="shared" si="1"/>
        <v>74</v>
      </c>
      <c r="R40" s="5" t="s">
        <v>17</v>
      </c>
      <c r="S40" s="58">
        <f t="shared" ref="S40:AF40" si="32">SUM(S10:S21)</f>
        <v>1441.1428571428569</v>
      </c>
      <c r="T40" s="58">
        <f t="shared" si="32"/>
        <v>269.57142857142861</v>
      </c>
      <c r="U40" s="58">
        <f t="shared" si="32"/>
        <v>170.85714285714286</v>
      </c>
      <c r="V40" s="58">
        <f t="shared" si="32"/>
        <v>51.428571428571431</v>
      </c>
      <c r="W40" s="58">
        <f t="shared" si="32"/>
        <v>9.1428571428571406</v>
      </c>
      <c r="X40" s="58">
        <f t="shared" si="32"/>
        <v>3.7142857142857135</v>
      </c>
      <c r="Y40" s="58">
        <f t="shared" si="32"/>
        <v>131.71428571428569</v>
      </c>
      <c r="Z40" s="58">
        <f t="shared" si="32"/>
        <v>61.428571428571416</v>
      </c>
      <c r="AA40" s="58">
        <f t="shared" si="32"/>
        <v>11</v>
      </c>
      <c r="AB40" s="58">
        <f t="shared" si="32"/>
        <v>1.2857142857142856</v>
      </c>
      <c r="AC40" s="58">
        <f t="shared" si="32"/>
        <v>1457.7380952380952</v>
      </c>
      <c r="AD40" s="58">
        <f t="shared" si="32"/>
        <v>0</v>
      </c>
      <c r="AE40" s="59">
        <f t="shared" si="32"/>
        <v>2151.2857142857147</v>
      </c>
      <c r="AF40" s="59">
        <f t="shared" si="32"/>
        <v>3609.0238095238096</v>
      </c>
    </row>
    <row r="41" spans="2:32" ht="23.1" customHeight="1" x14ac:dyDescent="0.25">
      <c r="B41" s="23" t="s">
        <v>68</v>
      </c>
      <c r="C41" s="49">
        <f>AVERAGE('23.09.19 Kajansi -Bweya'!C41,'24.09 Kajansi-Bweya'!C41,'25.09 Kajansi-Bweya'!C41,'27.09Kasjansi-Munyonyo'!C41,'26.09 Kajansi-Bweya-24h'!C41,'28.09 Bweya-Kajansi-24h'!C41,'29.09 Bweya-Kajansi'!C41)</f>
        <v>31.857142857142858</v>
      </c>
      <c r="D41" s="49">
        <f>AVERAGE('23.09.19 Kajansi -Bweya'!D41,'24.09 Kajansi-Bweya'!D41,'25.09 Kajansi-Bweya'!D41,'27.09Kasjansi-Munyonyo'!D41,'26.09 Kajansi-Bweya-24h'!D41,'28.09 Bweya-Kajansi-24h'!D41,'29.09 Bweya-Kajansi'!D41)</f>
        <v>6.8571428571428568</v>
      </c>
      <c r="E41" s="49">
        <f>AVERAGE('23.09.19 Kajansi -Bweya'!E41,'24.09 Kajansi-Bweya'!E41,'25.09 Kajansi-Bweya'!E41,'27.09Kasjansi-Munyonyo'!E41,'26.09 Kajansi-Bweya-24h'!E41,'28.09 Bweya-Kajansi-24h'!E41,'29.09 Bweya-Kajansi'!E41)</f>
        <v>3.8571428571428572</v>
      </c>
      <c r="F41" s="49">
        <f>AVERAGE('23.09.19 Kajansi -Bweya'!F41,'24.09 Kajansi-Bweya'!F41,'25.09 Kajansi-Bweya'!F41,'27.09Kasjansi-Munyonyo'!F41,'26.09 Kajansi-Bweya-24h'!F41,'28.09 Bweya-Kajansi-24h'!F41,'29.09 Bweya-Kajansi'!F41)</f>
        <v>0.5714285714285714</v>
      </c>
      <c r="G41" s="49">
        <f>AVERAGE('23.09.19 Kajansi -Bweya'!G41,'24.09 Kajansi-Bweya'!G41,'25.09 Kajansi-Bweya'!G41,'27.09Kasjansi-Munyonyo'!G41,'26.09 Kajansi-Bweya-24h'!G41,'28.09 Bweya-Kajansi-24h'!G41,'29.09 Bweya-Kajansi'!G41)</f>
        <v>0.42857142857142855</v>
      </c>
      <c r="H41" s="49">
        <f>AVERAGE('23.09.19 Kajansi -Bweya'!H41,'24.09 Kajansi-Bweya'!H41,'25.09 Kajansi-Bweya'!H41,'27.09Kasjansi-Munyonyo'!H41,'26.09 Kajansi-Bweya-24h'!H41,'28.09 Bweya-Kajansi-24h'!H41,'29.09 Bweya-Kajansi'!H41)</f>
        <v>0</v>
      </c>
      <c r="I41" s="49">
        <f>AVERAGE('23.09.19 Kajansi -Bweya'!I41,'24.09 Kajansi-Bweya'!I41,'25.09 Kajansi-Bweya'!I41,'27.09Kasjansi-Munyonyo'!I41,'26.09 Kajansi-Bweya-24h'!I41,'28.09 Bweya-Kajansi-24h'!I41,'29.09 Bweya-Kajansi'!I41)</f>
        <v>4.1428571428571432</v>
      </c>
      <c r="J41" s="49">
        <f>AVERAGE('23.09.19 Kajansi -Bweya'!J41,'24.09 Kajansi-Bweya'!J41,'25.09 Kajansi-Bweya'!J41,'27.09Kasjansi-Munyonyo'!J41,'26.09 Kajansi-Bweya-24h'!J41,'28.09 Bweya-Kajansi-24h'!J41,'29.09 Bweya-Kajansi'!J41)</f>
        <v>1.4285714285714286</v>
      </c>
      <c r="K41" s="49">
        <f>AVERAGE('23.09.19 Kajansi -Bweya'!K41,'24.09 Kajansi-Bweya'!K41,'25.09 Kajansi-Bweya'!K41,'27.09Kasjansi-Munyonyo'!K41,'26.09 Kajansi-Bweya-24h'!K41,'28.09 Bweya-Kajansi-24h'!K41,'29.09 Bweya-Kajansi'!K41)</f>
        <v>0.2857142857142857</v>
      </c>
      <c r="L41" s="49">
        <f>AVERAGE('23.09.19 Kajansi -Bweya'!L41,'24.09 Kajansi-Bweya'!L41,'25.09 Kajansi-Bweya'!L41,'27.09Kasjansi-Munyonyo'!L41,'26.09 Kajansi-Bweya-24h'!L41,'28.09 Bweya-Kajansi-24h'!L41,'29.09 Bweya-Kajansi'!L41)</f>
        <v>0</v>
      </c>
      <c r="M41" s="49">
        <f>AVERAGE('23.09.19 Kajansi -Bweya'!M41,'24.09 Kajansi-Bweya'!M41,'25.09 Kajansi-Bweya'!M41,'27.09Kasjansi-Munyonyo'!M41,'26.09 Kajansi-Bweya-24h'!M41,'28.09 Bweya-Kajansi-24h'!M41,'29.09 Bweya-Kajansi'!M41)</f>
        <v>27.857142857142858</v>
      </c>
      <c r="N41" s="49">
        <f>AVERAGE('23.09.19 Kajansi -Bweya'!N41,'24.09 Kajansi-Bweya'!N41,'25.09 Kajansi-Bweya'!N41,'27.09Kasjansi-Munyonyo'!N41,'26.09 Kajansi-Bweya-24h'!N41,'28.09 Bweya-Kajansi-24h'!N41,'29.09 Bweya-Kajansi'!N41)</f>
        <v>0</v>
      </c>
      <c r="O41" s="15">
        <f t="shared" si="0"/>
        <v>49.428571428571431</v>
      </c>
      <c r="P41" s="15">
        <f t="shared" si="1"/>
        <v>77.285714285714292</v>
      </c>
      <c r="R41" s="5" t="s">
        <v>185</v>
      </c>
      <c r="S41" s="58">
        <f>SUM(S10:S33)</f>
        <v>2089.6428571428569</v>
      </c>
      <c r="T41" s="58">
        <f t="shared" ref="T41:AD41" si="33">SUM(T10:T33)</f>
        <v>432.07142857142861</v>
      </c>
      <c r="U41" s="58">
        <f t="shared" si="33"/>
        <v>240.85714285714286</v>
      </c>
      <c r="V41" s="58">
        <f t="shared" si="33"/>
        <v>89.428571428571431</v>
      </c>
      <c r="W41" s="58">
        <f t="shared" si="33"/>
        <v>19.642857142857139</v>
      </c>
      <c r="X41" s="58">
        <f t="shared" si="33"/>
        <v>6.2142857142857135</v>
      </c>
      <c r="Y41" s="58">
        <f t="shared" si="33"/>
        <v>169.21428571428569</v>
      </c>
      <c r="Z41" s="58">
        <f t="shared" si="33"/>
        <v>74.428571428571416</v>
      </c>
      <c r="AA41" s="58">
        <f t="shared" si="33"/>
        <v>17</v>
      </c>
      <c r="AB41" s="58">
        <f t="shared" si="33"/>
        <v>1.2857142857142856</v>
      </c>
      <c r="AC41" s="58">
        <f t="shared" si="33"/>
        <v>1859.2380952380952</v>
      </c>
      <c r="AD41" s="58">
        <f t="shared" si="33"/>
        <v>0</v>
      </c>
      <c r="AE41" s="59">
        <f>SUM(AE10:AE33)</f>
        <v>3139.7857142857147</v>
      </c>
      <c r="AF41" s="59">
        <f>SUM(AF10:AF33)</f>
        <v>4999.0238095238092</v>
      </c>
    </row>
    <row r="42" spans="2:32" ht="23.1" customHeight="1" x14ac:dyDescent="0.25">
      <c r="B42" s="24" t="s">
        <v>69</v>
      </c>
      <c r="C42" s="49">
        <f>AVERAGE('23.09.19 Kajansi -Bweya'!C42,'24.09 Kajansi-Bweya'!C42,'25.09 Kajansi-Bweya'!C42,'27.09Kasjansi-Munyonyo'!C42,'26.09 Kajansi-Bweya-24h'!C42,'28.09 Bweya-Kajansi-24h'!C42,'29.09 Bweya-Kajansi'!C42)</f>
        <v>31.285714285714285</v>
      </c>
      <c r="D42" s="49">
        <f>AVERAGE('23.09.19 Kajansi -Bweya'!D42,'24.09 Kajansi-Bweya'!D42,'25.09 Kajansi-Bweya'!D42,'27.09Kasjansi-Munyonyo'!D42,'26.09 Kajansi-Bweya-24h'!D42,'28.09 Bweya-Kajansi-24h'!D42,'29.09 Bweya-Kajansi'!D42)</f>
        <v>6.4285714285714288</v>
      </c>
      <c r="E42" s="49">
        <f>AVERAGE('23.09.19 Kajansi -Bweya'!E42,'24.09 Kajansi-Bweya'!E42,'25.09 Kajansi-Bweya'!E42,'27.09Kasjansi-Munyonyo'!E42,'26.09 Kajansi-Bweya-24h'!E42,'28.09 Bweya-Kajansi-24h'!E42,'29.09 Bweya-Kajansi'!E42)</f>
        <v>1.8571428571428572</v>
      </c>
      <c r="F42" s="49">
        <f>AVERAGE('23.09.19 Kajansi -Bweya'!F42,'24.09 Kajansi-Bweya'!F42,'25.09 Kajansi-Bweya'!F42,'27.09Kasjansi-Munyonyo'!F42,'26.09 Kajansi-Bweya-24h'!F42,'28.09 Bweya-Kajansi-24h'!F42,'29.09 Bweya-Kajansi'!F42)</f>
        <v>1.2857142857142858</v>
      </c>
      <c r="G42" s="49">
        <f>AVERAGE('23.09.19 Kajansi -Bweya'!G42,'24.09 Kajansi-Bweya'!G42,'25.09 Kajansi-Bweya'!G42,'27.09Kasjansi-Munyonyo'!G42,'26.09 Kajansi-Bweya-24h'!G42,'28.09 Bweya-Kajansi-24h'!G42,'29.09 Bweya-Kajansi'!G42)</f>
        <v>0</v>
      </c>
      <c r="H42" s="49">
        <f>AVERAGE('23.09.19 Kajansi -Bweya'!H42,'24.09 Kajansi-Bweya'!H42,'25.09 Kajansi-Bweya'!H42,'27.09Kasjansi-Munyonyo'!H42,'26.09 Kajansi-Bweya-24h'!H42,'28.09 Bweya-Kajansi-24h'!H42,'29.09 Bweya-Kajansi'!H42)</f>
        <v>0.14285714285714285</v>
      </c>
      <c r="I42" s="49">
        <f>AVERAGE('23.09.19 Kajansi -Bweya'!I42,'24.09 Kajansi-Bweya'!I42,'25.09 Kajansi-Bweya'!I42,'27.09Kasjansi-Munyonyo'!I42,'26.09 Kajansi-Bweya-24h'!I42,'28.09 Bweya-Kajansi-24h'!I42,'29.09 Bweya-Kajansi'!I42)</f>
        <v>1.2857142857142858</v>
      </c>
      <c r="J42" s="49">
        <f>AVERAGE('23.09.19 Kajansi -Bweya'!J42,'24.09 Kajansi-Bweya'!J42,'25.09 Kajansi-Bweya'!J42,'27.09Kasjansi-Munyonyo'!J42,'26.09 Kajansi-Bweya-24h'!J42,'28.09 Bweya-Kajansi-24h'!J42,'29.09 Bweya-Kajansi'!J42)</f>
        <v>1.8571428571428572</v>
      </c>
      <c r="K42" s="49">
        <f>AVERAGE('23.09.19 Kajansi -Bweya'!K42,'24.09 Kajansi-Bweya'!K42,'25.09 Kajansi-Bweya'!K42,'27.09Kasjansi-Munyonyo'!K42,'26.09 Kajansi-Bweya-24h'!K42,'28.09 Bweya-Kajansi-24h'!K42,'29.09 Bweya-Kajansi'!K42)</f>
        <v>0</v>
      </c>
      <c r="L42" s="49">
        <f>AVERAGE('23.09.19 Kajansi -Bweya'!L42,'24.09 Kajansi-Bweya'!L42,'25.09 Kajansi-Bweya'!L42,'27.09Kasjansi-Munyonyo'!L42,'26.09 Kajansi-Bweya-24h'!L42,'28.09 Bweya-Kajansi-24h'!L42,'29.09 Bweya-Kajansi'!L42)</f>
        <v>0.14285714285714285</v>
      </c>
      <c r="M42" s="49">
        <f>AVERAGE('23.09.19 Kajansi -Bweya'!M42,'24.09 Kajansi-Bweya'!M42,'25.09 Kajansi-Bweya'!M42,'27.09Kasjansi-Munyonyo'!M42,'26.09 Kajansi-Bweya-24h'!M42,'28.09 Bweya-Kajansi-24h'!M42,'29.09 Bweya-Kajansi'!M42)</f>
        <v>29.714285714285715</v>
      </c>
      <c r="N42" s="49">
        <f>AVERAGE('23.09.19 Kajansi -Bweya'!N42,'24.09 Kajansi-Bweya'!N42,'25.09 Kajansi-Bweya'!N42,'27.09Kasjansi-Munyonyo'!N42,'26.09 Kajansi-Bweya-24h'!N42,'28.09 Bweya-Kajansi-24h'!N42,'29.09 Bweya-Kajansi'!N42)</f>
        <v>0</v>
      </c>
      <c r="O42" s="15">
        <f t="shared" si="0"/>
        <v>44.285714285714285</v>
      </c>
      <c r="P42" s="15">
        <f t="shared" si="1"/>
        <v>74</v>
      </c>
      <c r="R42" s="5" t="s">
        <v>160</v>
      </c>
      <c r="S42" s="48">
        <f>S41/S40</f>
        <v>1.4499900872323555</v>
      </c>
      <c r="T42" s="48">
        <f t="shared" ref="T42:AF42" si="34">T41/T40</f>
        <v>1.6028086910439852</v>
      </c>
      <c r="U42" s="48">
        <f t="shared" si="34"/>
        <v>1.4096989966555185</v>
      </c>
      <c r="V42" s="48">
        <f t="shared" si="34"/>
        <v>1.7388888888888889</v>
      </c>
      <c r="W42" s="48">
        <f t="shared" si="34"/>
        <v>2.1484375</v>
      </c>
      <c r="X42" s="48">
        <f t="shared" si="34"/>
        <v>1.6730769230769231</v>
      </c>
      <c r="Y42" s="48">
        <f t="shared" si="34"/>
        <v>1.28470715835141</v>
      </c>
      <c r="Z42" s="48">
        <f t="shared" si="34"/>
        <v>1.2116279069767442</v>
      </c>
      <c r="AA42" s="48">
        <f t="shared" si="34"/>
        <v>1.5454545454545454</v>
      </c>
      <c r="AB42" s="48">
        <f t="shared" si="34"/>
        <v>1</v>
      </c>
      <c r="AC42" s="48">
        <f t="shared" si="34"/>
        <v>1.2754267047774601</v>
      </c>
      <c r="AD42" s="48" t="e">
        <f t="shared" si="34"/>
        <v>#DIV/0!</v>
      </c>
      <c r="AE42" s="60">
        <f t="shared" si="34"/>
        <v>1.4594926621953648</v>
      </c>
      <c r="AF42" s="60">
        <f t="shared" si="34"/>
        <v>1.3851456996021876</v>
      </c>
    </row>
    <row r="43" spans="2:32" ht="23.1" customHeight="1" x14ac:dyDescent="0.25">
      <c r="B43" s="23" t="s">
        <v>70</v>
      </c>
      <c r="C43" s="49">
        <f>AVERAGE('23.09.19 Kajansi -Bweya'!C43,'24.09 Kajansi-Bweya'!C43,'25.09 Kajansi-Bweya'!C43,'27.09Kasjansi-Munyonyo'!C43,'26.09 Kajansi-Bweya-24h'!C43,'28.09 Bweya-Kajansi-24h'!C43,'29.09 Bweya-Kajansi'!C43)</f>
        <v>37.571428571428569</v>
      </c>
      <c r="D43" s="49">
        <f>AVERAGE('23.09.19 Kajansi -Bweya'!D43,'24.09 Kajansi-Bweya'!D43,'25.09 Kajansi-Bweya'!D43,'27.09Kasjansi-Munyonyo'!D43,'26.09 Kajansi-Bweya-24h'!D43,'28.09 Bweya-Kajansi-24h'!D43,'29.09 Bweya-Kajansi'!D43)</f>
        <v>4.5714285714285712</v>
      </c>
      <c r="E43" s="49">
        <f>AVERAGE('23.09.19 Kajansi -Bweya'!E43,'24.09 Kajansi-Bweya'!E43,'25.09 Kajansi-Bweya'!E43,'27.09Kasjansi-Munyonyo'!E43,'26.09 Kajansi-Bweya-24h'!E43,'28.09 Bweya-Kajansi-24h'!E43,'29.09 Bweya-Kajansi'!E43)</f>
        <v>4.1428571428571432</v>
      </c>
      <c r="F43" s="49">
        <f>AVERAGE('23.09.19 Kajansi -Bweya'!F43,'24.09 Kajansi-Bweya'!F43,'25.09 Kajansi-Bweya'!F43,'27.09Kasjansi-Munyonyo'!F43,'26.09 Kajansi-Bweya-24h'!F43,'28.09 Bweya-Kajansi-24h'!F43,'29.09 Bweya-Kajansi'!F43)</f>
        <v>1</v>
      </c>
      <c r="G43" s="49">
        <f>AVERAGE('23.09.19 Kajansi -Bweya'!G43,'24.09 Kajansi-Bweya'!G43,'25.09 Kajansi-Bweya'!G43,'27.09Kasjansi-Munyonyo'!G43,'26.09 Kajansi-Bweya-24h'!G43,'28.09 Bweya-Kajansi-24h'!G43,'29.09 Bweya-Kajansi'!G43)</f>
        <v>0.14285714285714285</v>
      </c>
      <c r="H43" s="49">
        <f>AVERAGE('23.09.19 Kajansi -Bweya'!H43,'24.09 Kajansi-Bweya'!H43,'25.09 Kajansi-Bweya'!H43,'27.09Kasjansi-Munyonyo'!H43,'26.09 Kajansi-Bweya-24h'!H43,'28.09 Bweya-Kajansi-24h'!H43,'29.09 Bweya-Kajansi'!H43)</f>
        <v>0</v>
      </c>
      <c r="I43" s="49">
        <f>AVERAGE('23.09.19 Kajansi -Bweya'!I43,'24.09 Kajansi-Bweya'!I43,'25.09 Kajansi-Bweya'!I43,'27.09Kasjansi-Munyonyo'!I43,'26.09 Kajansi-Bweya-24h'!I43,'28.09 Bweya-Kajansi-24h'!I43,'29.09 Bweya-Kajansi'!I43)</f>
        <v>3.2857142857142856</v>
      </c>
      <c r="J43" s="49">
        <f>AVERAGE('23.09.19 Kajansi -Bweya'!J43,'24.09 Kajansi-Bweya'!J43,'25.09 Kajansi-Bweya'!J43,'27.09Kasjansi-Munyonyo'!J43,'26.09 Kajansi-Bweya-24h'!J43,'28.09 Bweya-Kajansi-24h'!J43,'29.09 Bweya-Kajansi'!J43)</f>
        <v>2.2857142857142856</v>
      </c>
      <c r="K43" s="49">
        <f>AVERAGE('23.09.19 Kajansi -Bweya'!K43,'24.09 Kajansi-Bweya'!K43,'25.09 Kajansi-Bweya'!K43,'27.09Kasjansi-Munyonyo'!K43,'26.09 Kajansi-Bweya-24h'!K43,'28.09 Bweya-Kajansi-24h'!K43,'29.09 Bweya-Kajansi'!K43)</f>
        <v>0.14285714285714285</v>
      </c>
      <c r="L43" s="49">
        <f>AVERAGE('23.09.19 Kajansi -Bweya'!L43,'24.09 Kajansi-Bweya'!L43,'25.09 Kajansi-Bweya'!L43,'27.09Kasjansi-Munyonyo'!L43,'26.09 Kajansi-Bweya-24h'!L43,'28.09 Bweya-Kajansi-24h'!L43,'29.09 Bweya-Kajansi'!L43)</f>
        <v>0</v>
      </c>
      <c r="M43" s="49">
        <f>AVERAGE('23.09.19 Kajansi -Bweya'!M43,'24.09 Kajansi-Bweya'!M43,'25.09 Kajansi-Bweya'!M43,'27.09Kasjansi-Munyonyo'!M43,'26.09 Kajansi-Bweya-24h'!M43,'28.09 Bweya-Kajansi-24h'!M43,'29.09 Bweya-Kajansi'!M43)</f>
        <v>31.428571428571427</v>
      </c>
      <c r="N43" s="49">
        <f>AVERAGE('23.09.19 Kajansi -Bweya'!N43,'24.09 Kajansi-Bweya'!N43,'25.09 Kajansi-Bweya'!N43,'27.09Kasjansi-Munyonyo'!N43,'26.09 Kajansi-Bweya-24h'!N43,'28.09 Bweya-Kajansi-24h'!N43,'29.09 Bweya-Kajansi'!N43)</f>
        <v>0</v>
      </c>
      <c r="O43" s="15">
        <f t="shared" si="0"/>
        <v>53.142857142857146</v>
      </c>
      <c r="P43" s="15">
        <f t="shared" si="1"/>
        <v>84.571428571428569</v>
      </c>
    </row>
    <row r="44" spans="2:32" ht="23.1" customHeight="1" x14ac:dyDescent="0.25">
      <c r="B44" s="25" t="s">
        <v>71</v>
      </c>
      <c r="C44" s="49">
        <f>AVERAGE('23.09.19 Kajansi -Bweya'!C44,'24.09 Kajansi-Bweya'!C44,'25.09 Kajansi-Bweya'!C44,'27.09Kasjansi-Munyonyo'!C44,'26.09 Kajansi-Bweya-24h'!C44,'28.09 Bweya-Kajansi-24h'!C44,'29.09 Bweya-Kajansi'!C44)</f>
        <v>27.571428571428573</v>
      </c>
      <c r="D44" s="49">
        <f>AVERAGE('23.09.19 Kajansi -Bweya'!D44,'24.09 Kajansi-Bweya'!D44,'25.09 Kajansi-Bweya'!D44,'27.09Kasjansi-Munyonyo'!D44,'26.09 Kajansi-Bweya-24h'!D44,'28.09 Bweya-Kajansi-24h'!D44,'29.09 Bweya-Kajansi'!D44)</f>
        <v>4.7142857142857144</v>
      </c>
      <c r="E44" s="49">
        <f>AVERAGE('23.09.19 Kajansi -Bweya'!E44,'24.09 Kajansi-Bweya'!E44,'25.09 Kajansi-Bweya'!E44,'27.09Kasjansi-Munyonyo'!E44,'26.09 Kajansi-Bweya-24h'!E44,'28.09 Bweya-Kajansi-24h'!E44,'29.09 Bweya-Kajansi'!E44)</f>
        <v>3.4285714285714284</v>
      </c>
      <c r="F44" s="49">
        <f>AVERAGE('23.09.19 Kajansi -Bweya'!F44,'24.09 Kajansi-Bweya'!F44,'25.09 Kajansi-Bweya'!F44,'27.09Kasjansi-Munyonyo'!F44,'26.09 Kajansi-Bweya-24h'!F44,'28.09 Bweya-Kajansi-24h'!F44,'29.09 Bweya-Kajansi'!F44)</f>
        <v>0.7142857142857143</v>
      </c>
      <c r="G44" s="49">
        <f>AVERAGE('23.09.19 Kajansi -Bweya'!G44,'24.09 Kajansi-Bweya'!G44,'25.09 Kajansi-Bweya'!G44,'27.09Kasjansi-Munyonyo'!G44,'26.09 Kajansi-Bweya-24h'!G44,'28.09 Bweya-Kajansi-24h'!G44,'29.09 Bweya-Kajansi'!G44)</f>
        <v>0.5714285714285714</v>
      </c>
      <c r="H44" s="49">
        <f>AVERAGE('23.09.19 Kajansi -Bweya'!H44,'24.09 Kajansi-Bweya'!H44,'25.09 Kajansi-Bweya'!H44,'27.09Kasjansi-Munyonyo'!H44,'26.09 Kajansi-Bweya-24h'!H44,'28.09 Bweya-Kajansi-24h'!H44,'29.09 Bweya-Kajansi'!H44)</f>
        <v>0</v>
      </c>
      <c r="I44" s="49">
        <f>AVERAGE('23.09.19 Kajansi -Bweya'!I44,'24.09 Kajansi-Bweya'!I44,'25.09 Kajansi-Bweya'!I44,'27.09Kasjansi-Munyonyo'!I44,'26.09 Kajansi-Bweya-24h'!I44,'28.09 Bweya-Kajansi-24h'!I44,'29.09 Bweya-Kajansi'!I44)</f>
        <v>2</v>
      </c>
      <c r="J44" s="49">
        <f>AVERAGE('23.09.19 Kajansi -Bweya'!J44,'24.09 Kajansi-Bweya'!J44,'25.09 Kajansi-Bweya'!J44,'27.09Kasjansi-Munyonyo'!J44,'26.09 Kajansi-Bweya-24h'!J44,'28.09 Bweya-Kajansi-24h'!J44,'29.09 Bweya-Kajansi'!J44)</f>
        <v>1.5714285714285714</v>
      </c>
      <c r="K44" s="49">
        <f>AVERAGE('23.09.19 Kajansi -Bweya'!K44,'24.09 Kajansi-Bweya'!K44,'25.09 Kajansi-Bweya'!K44,'27.09Kasjansi-Munyonyo'!K44,'26.09 Kajansi-Bweya-24h'!K44,'28.09 Bweya-Kajansi-24h'!K44,'29.09 Bweya-Kajansi'!K44)</f>
        <v>0.2857142857142857</v>
      </c>
      <c r="L44" s="49">
        <f>AVERAGE('23.09.19 Kajansi -Bweya'!L44,'24.09 Kajansi-Bweya'!L44,'25.09 Kajansi-Bweya'!L44,'27.09Kasjansi-Munyonyo'!L44,'26.09 Kajansi-Bweya-24h'!L44,'28.09 Bweya-Kajansi-24h'!L44,'29.09 Bweya-Kajansi'!L44)</f>
        <v>0</v>
      </c>
      <c r="M44" s="49">
        <f>AVERAGE('23.09.19 Kajansi -Bweya'!M44,'24.09 Kajansi-Bweya'!M44,'25.09 Kajansi-Bweya'!M44,'27.09Kasjansi-Munyonyo'!M44,'26.09 Kajansi-Bweya-24h'!M44,'28.09 Bweya-Kajansi-24h'!M44,'29.09 Bweya-Kajansi'!M44)</f>
        <v>30.142857142857142</v>
      </c>
      <c r="N44" s="49">
        <f>AVERAGE('23.09.19 Kajansi -Bweya'!N44,'24.09 Kajansi-Bweya'!N44,'25.09 Kajansi-Bweya'!N44,'27.09Kasjansi-Munyonyo'!N44,'26.09 Kajansi-Bweya-24h'!N44,'28.09 Bweya-Kajansi-24h'!N44,'29.09 Bweya-Kajansi'!N44)</f>
        <v>0</v>
      </c>
      <c r="O44" s="15">
        <f t="shared" si="0"/>
        <v>40.857142857142854</v>
      </c>
      <c r="P44" s="15">
        <f t="shared" si="1"/>
        <v>71</v>
      </c>
    </row>
    <row r="45" spans="2:32" ht="23.1" customHeight="1" x14ac:dyDescent="0.25">
      <c r="B45" s="23" t="s">
        <v>72</v>
      </c>
      <c r="C45" s="49">
        <f>AVERAGE('23.09.19 Kajansi -Bweya'!C45,'24.09 Kajansi-Bweya'!C45,'25.09 Kajansi-Bweya'!C45,'27.09Kasjansi-Munyonyo'!C45,'26.09 Kajansi-Bweya-24h'!C45,'28.09 Bweya-Kajansi-24h'!C45,'29.09 Bweya-Kajansi'!C45)</f>
        <v>41.285714285714285</v>
      </c>
      <c r="D45" s="49">
        <f>AVERAGE('23.09.19 Kajansi -Bweya'!D45,'24.09 Kajansi-Bweya'!D45,'25.09 Kajansi-Bweya'!D45,'27.09Kasjansi-Munyonyo'!D45,'26.09 Kajansi-Bweya-24h'!D45,'28.09 Bweya-Kajansi-24h'!D45,'29.09 Bweya-Kajansi'!D45)</f>
        <v>6.5714285714285712</v>
      </c>
      <c r="E45" s="49">
        <f>AVERAGE('23.09.19 Kajansi -Bweya'!E45,'24.09 Kajansi-Bweya'!E45,'25.09 Kajansi-Bweya'!E45,'27.09Kasjansi-Munyonyo'!E45,'26.09 Kajansi-Bweya-24h'!E45,'28.09 Bweya-Kajansi-24h'!E45,'29.09 Bweya-Kajansi'!E45)</f>
        <v>12.857142857142858</v>
      </c>
      <c r="F45" s="49">
        <f>AVERAGE('23.09.19 Kajansi -Bweya'!F45,'24.09 Kajansi-Bweya'!F45,'25.09 Kajansi-Bweya'!F45,'27.09Kasjansi-Munyonyo'!F45,'26.09 Kajansi-Bweya-24h'!F45,'28.09 Bweya-Kajansi-24h'!F45,'29.09 Bweya-Kajansi'!F45)</f>
        <v>0.5714285714285714</v>
      </c>
      <c r="G45" s="49">
        <f>AVERAGE('23.09.19 Kajansi -Bweya'!G45,'24.09 Kajansi-Bweya'!G45,'25.09 Kajansi-Bweya'!G45,'27.09Kasjansi-Munyonyo'!G45,'26.09 Kajansi-Bweya-24h'!G45,'28.09 Bweya-Kajansi-24h'!G45,'29.09 Bweya-Kajansi'!G45)</f>
        <v>0.14285714285714285</v>
      </c>
      <c r="H45" s="49">
        <f>AVERAGE('23.09.19 Kajansi -Bweya'!H45,'24.09 Kajansi-Bweya'!H45,'25.09 Kajansi-Bweya'!H45,'27.09Kasjansi-Munyonyo'!H45,'26.09 Kajansi-Bweya-24h'!H45,'28.09 Bweya-Kajansi-24h'!H45,'29.09 Bweya-Kajansi'!H45)</f>
        <v>0.14285714285714285</v>
      </c>
      <c r="I45" s="49">
        <f>AVERAGE('23.09.19 Kajansi -Bweya'!I45,'24.09 Kajansi-Bweya'!I45,'25.09 Kajansi-Bweya'!I45,'27.09Kasjansi-Munyonyo'!I45,'26.09 Kajansi-Bweya-24h'!I45,'28.09 Bweya-Kajansi-24h'!I45,'29.09 Bweya-Kajansi'!I45)</f>
        <v>4.1428571428571432</v>
      </c>
      <c r="J45" s="49">
        <f>AVERAGE('23.09.19 Kajansi -Bweya'!J45,'24.09 Kajansi-Bweya'!J45,'25.09 Kajansi-Bweya'!J45,'27.09Kasjansi-Munyonyo'!J45,'26.09 Kajansi-Bweya-24h'!J45,'28.09 Bweya-Kajansi-24h'!J45,'29.09 Bweya-Kajansi'!J45)</f>
        <v>2.4285714285714284</v>
      </c>
      <c r="K45" s="49">
        <f>AVERAGE('23.09.19 Kajansi -Bweya'!K45,'24.09 Kajansi-Bweya'!K45,'25.09 Kajansi-Bweya'!K45,'27.09Kasjansi-Munyonyo'!K45,'26.09 Kajansi-Bweya-24h'!K45,'28.09 Bweya-Kajansi-24h'!K45,'29.09 Bweya-Kajansi'!K45)</f>
        <v>0.14285714285714285</v>
      </c>
      <c r="L45" s="49">
        <f>AVERAGE('23.09.19 Kajansi -Bweya'!L45,'24.09 Kajansi-Bweya'!L45,'25.09 Kajansi-Bweya'!L45,'27.09Kasjansi-Munyonyo'!L45,'26.09 Kajansi-Bweya-24h'!L45,'28.09 Bweya-Kajansi-24h'!L45,'29.09 Bweya-Kajansi'!L45)</f>
        <v>0</v>
      </c>
      <c r="M45" s="49">
        <f>AVERAGE('23.09.19 Kajansi -Bweya'!M45,'24.09 Kajansi-Bweya'!M45,'25.09 Kajansi-Bweya'!M45,'27.09Kasjansi-Munyonyo'!M45,'26.09 Kajansi-Bweya-24h'!M45,'28.09 Bweya-Kajansi-24h'!M45,'29.09 Bweya-Kajansi'!M45)</f>
        <v>27.857142857142858</v>
      </c>
      <c r="N45" s="49">
        <f>AVERAGE('23.09.19 Kajansi -Bweya'!N45,'24.09 Kajansi-Bweya'!N45,'25.09 Kajansi-Bweya'!N45,'27.09Kasjansi-Munyonyo'!N45,'26.09 Kajansi-Bweya-24h'!N45,'28.09 Bweya-Kajansi-24h'!N45,'29.09 Bweya-Kajansi'!N45)</f>
        <v>0</v>
      </c>
      <c r="O45" s="15">
        <f t="shared" si="0"/>
        <v>68.285714285714278</v>
      </c>
      <c r="P45" s="15">
        <f t="shared" si="1"/>
        <v>96.142857142857139</v>
      </c>
    </row>
    <row r="46" spans="2:32" ht="23.1" customHeight="1" x14ac:dyDescent="0.25">
      <c r="B46" s="24" t="s">
        <v>73</v>
      </c>
      <c r="C46" s="49">
        <f>AVERAGE('23.09.19 Kajansi -Bweya'!C46,'24.09 Kajansi-Bweya'!C46,'25.09 Kajansi-Bweya'!C46,'27.09Kasjansi-Munyonyo'!C46,'26.09 Kajansi-Bweya-24h'!C46,'28.09 Bweya-Kajansi-24h'!C46,'29.09 Bweya-Kajansi'!C46)</f>
        <v>35.428571428571431</v>
      </c>
      <c r="D46" s="49">
        <f>AVERAGE('23.09.19 Kajansi -Bweya'!D46,'24.09 Kajansi-Bweya'!D46,'25.09 Kajansi-Bweya'!D46,'27.09Kasjansi-Munyonyo'!D46,'26.09 Kajansi-Bweya-24h'!D46,'28.09 Bweya-Kajansi-24h'!D46,'29.09 Bweya-Kajansi'!D46)</f>
        <v>5.4285714285714288</v>
      </c>
      <c r="E46" s="49">
        <f>AVERAGE('23.09.19 Kajansi -Bweya'!E46,'24.09 Kajansi-Bweya'!E46,'25.09 Kajansi-Bweya'!E46,'27.09Kasjansi-Munyonyo'!E46,'26.09 Kajansi-Bweya-24h'!E46,'28.09 Bweya-Kajansi-24h'!E46,'29.09 Bweya-Kajansi'!E46)</f>
        <v>4.8571428571428568</v>
      </c>
      <c r="F46" s="49">
        <f>AVERAGE('23.09.19 Kajansi -Bweya'!F46,'24.09 Kajansi-Bweya'!F46,'25.09 Kajansi-Bweya'!F46,'27.09Kasjansi-Munyonyo'!F46,'26.09 Kajansi-Bweya-24h'!F46,'28.09 Bweya-Kajansi-24h'!F46,'29.09 Bweya-Kajansi'!F46)</f>
        <v>1</v>
      </c>
      <c r="G46" s="49">
        <f>AVERAGE('23.09.19 Kajansi -Bweya'!G46,'24.09 Kajansi-Bweya'!G46,'25.09 Kajansi-Bweya'!G46,'27.09Kasjansi-Munyonyo'!G46,'26.09 Kajansi-Bweya-24h'!G46,'28.09 Bweya-Kajansi-24h'!G46,'29.09 Bweya-Kajansi'!G46)</f>
        <v>0.14285714285714285</v>
      </c>
      <c r="H46" s="49">
        <f>AVERAGE('23.09.19 Kajansi -Bweya'!H46,'24.09 Kajansi-Bweya'!H46,'25.09 Kajansi-Bweya'!H46,'27.09Kasjansi-Munyonyo'!H46,'26.09 Kajansi-Bweya-24h'!H46,'28.09 Bweya-Kajansi-24h'!H46,'29.09 Bweya-Kajansi'!H46)</f>
        <v>0</v>
      </c>
      <c r="I46" s="49">
        <f>AVERAGE('23.09.19 Kajansi -Bweya'!I46,'24.09 Kajansi-Bweya'!I46,'25.09 Kajansi-Bweya'!I46,'27.09Kasjansi-Munyonyo'!I46,'26.09 Kajansi-Bweya-24h'!I46,'28.09 Bweya-Kajansi-24h'!I46,'29.09 Bweya-Kajansi'!I46)</f>
        <v>3.1428571428571428</v>
      </c>
      <c r="J46" s="49">
        <f>AVERAGE('23.09.19 Kajansi -Bweya'!J46,'24.09 Kajansi-Bweya'!J46,'25.09 Kajansi-Bweya'!J46,'27.09Kasjansi-Munyonyo'!J46,'26.09 Kajansi-Bweya-24h'!J46,'28.09 Bweya-Kajansi-24h'!J46,'29.09 Bweya-Kajansi'!J46)</f>
        <v>1.7142857142857142</v>
      </c>
      <c r="K46" s="49">
        <f>AVERAGE('23.09.19 Kajansi -Bweya'!K46,'24.09 Kajansi-Bweya'!K46,'25.09 Kajansi-Bweya'!K46,'27.09Kasjansi-Munyonyo'!K46,'26.09 Kajansi-Bweya-24h'!K46,'28.09 Bweya-Kajansi-24h'!K46,'29.09 Bweya-Kajansi'!K46)</f>
        <v>0.14285714285714285</v>
      </c>
      <c r="L46" s="49">
        <f>AVERAGE('23.09.19 Kajansi -Bweya'!L46,'24.09 Kajansi-Bweya'!L46,'25.09 Kajansi-Bweya'!L46,'27.09Kasjansi-Munyonyo'!L46,'26.09 Kajansi-Bweya-24h'!L46,'28.09 Bweya-Kajansi-24h'!L46,'29.09 Bweya-Kajansi'!L46)</f>
        <v>0</v>
      </c>
      <c r="M46" s="49">
        <f>AVERAGE('23.09.19 Kajansi -Bweya'!M46,'24.09 Kajansi-Bweya'!M46,'25.09 Kajansi-Bweya'!M46,'27.09Kasjansi-Munyonyo'!M46,'26.09 Kajansi-Bweya-24h'!M46,'28.09 Bweya-Kajansi-24h'!M46,'29.09 Bweya-Kajansi'!M46)</f>
        <v>30.714285714285715</v>
      </c>
      <c r="N46" s="49">
        <f>AVERAGE('23.09.19 Kajansi -Bweya'!N46,'24.09 Kajansi-Bweya'!N46,'25.09 Kajansi-Bweya'!N46,'27.09Kasjansi-Munyonyo'!N46,'26.09 Kajansi-Bweya-24h'!N46,'28.09 Bweya-Kajansi-24h'!N46,'29.09 Bweya-Kajansi'!N46)</f>
        <v>0</v>
      </c>
      <c r="O46" s="15">
        <f t="shared" si="0"/>
        <v>51.857142857142868</v>
      </c>
      <c r="P46" s="15">
        <f t="shared" si="1"/>
        <v>82.571428571428584</v>
      </c>
      <c r="R46" s="8"/>
      <c r="T46"/>
    </row>
    <row r="47" spans="2:32" ht="23.1" customHeight="1" x14ac:dyDescent="0.25">
      <c r="B47" s="24" t="s">
        <v>74</v>
      </c>
      <c r="C47" s="49">
        <f>AVERAGE('23.09.19 Kajansi -Bweya'!C47,'24.09 Kajansi-Bweya'!C47,'25.09 Kajansi-Bweya'!C47,'27.09Kasjansi-Munyonyo'!C47,'26.09 Kajansi-Bweya-24h'!C47,'28.09 Bweya-Kajansi-24h'!C47,'29.09 Bweya-Kajansi'!C47)</f>
        <v>36.285714285714285</v>
      </c>
      <c r="D47" s="49">
        <f>AVERAGE('23.09.19 Kajansi -Bweya'!D47,'24.09 Kajansi-Bweya'!D47,'25.09 Kajansi-Bweya'!D47,'27.09Kasjansi-Munyonyo'!D47,'26.09 Kajansi-Bweya-24h'!D47,'28.09 Bweya-Kajansi-24h'!D47,'29.09 Bweya-Kajansi'!D47)</f>
        <v>6.5714285714285712</v>
      </c>
      <c r="E47" s="49">
        <f>AVERAGE('23.09.19 Kajansi -Bweya'!E47,'24.09 Kajansi-Bweya'!E47,'25.09 Kajansi-Bweya'!E47,'27.09Kasjansi-Munyonyo'!E47,'26.09 Kajansi-Bweya-24h'!E47,'28.09 Bweya-Kajansi-24h'!E47,'29.09 Bweya-Kajansi'!E47)</f>
        <v>4.5714285714285712</v>
      </c>
      <c r="F47" s="49">
        <f>AVERAGE('23.09.19 Kajansi -Bweya'!F47,'24.09 Kajansi-Bweya'!F47,'25.09 Kajansi-Bweya'!F47,'27.09Kasjansi-Munyonyo'!F47,'26.09 Kajansi-Bweya-24h'!F47,'28.09 Bweya-Kajansi-24h'!F47,'29.09 Bweya-Kajansi'!F47)</f>
        <v>1.1428571428571428</v>
      </c>
      <c r="G47" s="49">
        <f>AVERAGE('23.09.19 Kajansi -Bweya'!G47,'24.09 Kajansi-Bweya'!G47,'25.09 Kajansi-Bweya'!G47,'27.09Kasjansi-Munyonyo'!G47,'26.09 Kajansi-Bweya-24h'!G47,'28.09 Bweya-Kajansi-24h'!G47,'29.09 Bweya-Kajansi'!G47)</f>
        <v>0.42857142857142855</v>
      </c>
      <c r="H47" s="49">
        <f>AVERAGE('23.09.19 Kajansi -Bweya'!H47,'24.09 Kajansi-Bweya'!H47,'25.09 Kajansi-Bweya'!H47,'27.09Kasjansi-Munyonyo'!H47,'26.09 Kajansi-Bweya-24h'!H47,'28.09 Bweya-Kajansi-24h'!H47,'29.09 Bweya-Kajansi'!H47)</f>
        <v>0</v>
      </c>
      <c r="I47" s="49">
        <f>AVERAGE('23.09.19 Kajansi -Bweya'!I47,'24.09 Kajansi-Bweya'!I47,'25.09 Kajansi-Bweya'!I47,'27.09Kasjansi-Munyonyo'!I47,'26.09 Kajansi-Bweya-24h'!I47,'28.09 Bweya-Kajansi-24h'!I47,'29.09 Bweya-Kajansi'!I47)</f>
        <v>2.5714285714285716</v>
      </c>
      <c r="J47" s="49">
        <f>AVERAGE('23.09.19 Kajansi -Bweya'!J47,'24.09 Kajansi-Bweya'!J47,'25.09 Kajansi-Bweya'!J47,'27.09Kasjansi-Munyonyo'!J47,'26.09 Kajansi-Bweya-24h'!J47,'28.09 Bweya-Kajansi-24h'!J47,'29.09 Bweya-Kajansi'!J47)</f>
        <v>1.5714285714285714</v>
      </c>
      <c r="K47" s="49">
        <f>AVERAGE('23.09.19 Kajansi -Bweya'!K47,'24.09 Kajansi-Bweya'!K47,'25.09 Kajansi-Bweya'!K47,'27.09Kasjansi-Munyonyo'!K47,'26.09 Kajansi-Bweya-24h'!K47,'28.09 Bweya-Kajansi-24h'!K47,'29.09 Bweya-Kajansi'!K47)</f>
        <v>0.8571428571428571</v>
      </c>
      <c r="L47" s="49">
        <f>AVERAGE('23.09.19 Kajansi -Bweya'!L47,'24.09 Kajansi-Bweya'!L47,'25.09 Kajansi-Bweya'!L47,'27.09Kasjansi-Munyonyo'!L47,'26.09 Kajansi-Bweya-24h'!L47,'28.09 Bweya-Kajansi-24h'!L47,'29.09 Bweya-Kajansi'!L47)</f>
        <v>0</v>
      </c>
      <c r="M47" s="49">
        <f>AVERAGE('23.09.19 Kajansi -Bweya'!M47,'24.09 Kajansi-Bweya'!M47,'25.09 Kajansi-Bweya'!M47,'27.09Kasjansi-Munyonyo'!M47,'26.09 Kajansi-Bweya-24h'!M47,'28.09 Bweya-Kajansi-24h'!M47,'29.09 Bweya-Kajansi'!M47)</f>
        <v>30.428571428571427</v>
      </c>
      <c r="N47" s="49">
        <f>AVERAGE('23.09.19 Kajansi -Bweya'!N47,'24.09 Kajansi-Bweya'!N47,'25.09 Kajansi-Bweya'!N47,'27.09Kasjansi-Munyonyo'!N47,'26.09 Kajansi-Bweya-24h'!N47,'28.09 Bweya-Kajansi-24h'!N47,'29.09 Bweya-Kajansi'!N47)</f>
        <v>0</v>
      </c>
      <c r="O47" s="15">
        <f t="shared" si="0"/>
        <v>53.999999999999993</v>
      </c>
      <c r="P47" s="15">
        <f t="shared" si="1"/>
        <v>84.428571428571416</v>
      </c>
      <c r="R47" s="8"/>
      <c r="T47"/>
    </row>
    <row r="48" spans="2:32" ht="23.1" customHeight="1" x14ac:dyDescent="0.25">
      <c r="B48" s="24" t="s">
        <v>75</v>
      </c>
      <c r="C48" s="49">
        <f>AVERAGE('23.09.19 Kajansi -Bweya'!C48,'24.09 Kajansi-Bweya'!C48,'25.09 Kajansi-Bweya'!C48,'27.09Kasjansi-Munyonyo'!C48,'26.09 Kajansi-Bweya-24h'!C48,'28.09 Bweya-Kajansi-24h'!C48,'29.09 Bweya-Kajansi'!C48)</f>
        <v>40.142857142857146</v>
      </c>
      <c r="D48" s="49">
        <f>AVERAGE('23.09.19 Kajansi -Bweya'!D48,'24.09 Kajansi-Bweya'!D48,'25.09 Kajansi-Bweya'!D48,'27.09Kasjansi-Munyonyo'!D48,'26.09 Kajansi-Bweya-24h'!D48,'28.09 Bweya-Kajansi-24h'!D48,'29.09 Bweya-Kajansi'!D48)</f>
        <v>6</v>
      </c>
      <c r="E48" s="49">
        <f>AVERAGE('23.09.19 Kajansi -Bweya'!E48,'24.09 Kajansi-Bweya'!E48,'25.09 Kajansi-Bweya'!E48,'27.09Kasjansi-Munyonyo'!E48,'26.09 Kajansi-Bweya-24h'!E48,'28.09 Bweya-Kajansi-24h'!E48,'29.09 Bweya-Kajansi'!E48)</f>
        <v>3.7142857142857144</v>
      </c>
      <c r="F48" s="49">
        <f>AVERAGE('23.09.19 Kajansi -Bweya'!F48,'24.09 Kajansi-Bweya'!F48,'25.09 Kajansi-Bweya'!F48,'27.09Kasjansi-Munyonyo'!F48,'26.09 Kajansi-Bweya-24h'!F48,'28.09 Bweya-Kajansi-24h'!F48,'29.09 Bweya-Kajansi'!F48)</f>
        <v>0.7142857142857143</v>
      </c>
      <c r="G48" s="49">
        <f>AVERAGE('23.09.19 Kajansi -Bweya'!G48,'24.09 Kajansi-Bweya'!G48,'25.09 Kajansi-Bweya'!G48,'27.09Kasjansi-Munyonyo'!G48,'26.09 Kajansi-Bweya-24h'!G48,'28.09 Bweya-Kajansi-24h'!G48,'29.09 Bweya-Kajansi'!G48)</f>
        <v>0.2857142857142857</v>
      </c>
      <c r="H48" s="49">
        <f>AVERAGE('23.09.19 Kajansi -Bweya'!H48,'24.09 Kajansi-Bweya'!H48,'25.09 Kajansi-Bweya'!H48,'27.09Kasjansi-Munyonyo'!H48,'26.09 Kajansi-Bweya-24h'!H48,'28.09 Bweya-Kajansi-24h'!H48,'29.09 Bweya-Kajansi'!H48)</f>
        <v>0</v>
      </c>
      <c r="I48" s="49">
        <f>AVERAGE('23.09.19 Kajansi -Bweya'!I48,'24.09 Kajansi-Bweya'!I48,'25.09 Kajansi-Bweya'!I48,'27.09Kasjansi-Munyonyo'!I48,'26.09 Kajansi-Bweya-24h'!I48,'28.09 Bweya-Kajansi-24h'!I48,'29.09 Bweya-Kajansi'!I48)</f>
        <v>3.4285714285714284</v>
      </c>
      <c r="J48" s="49">
        <f>AVERAGE('23.09.19 Kajansi -Bweya'!J48,'24.09 Kajansi-Bweya'!J48,'25.09 Kajansi-Bweya'!J48,'27.09Kasjansi-Munyonyo'!J48,'26.09 Kajansi-Bweya-24h'!J48,'28.09 Bweya-Kajansi-24h'!J48,'29.09 Bweya-Kajansi'!J48)</f>
        <v>1.8571428571428572</v>
      </c>
      <c r="K48" s="49">
        <f>AVERAGE('23.09.19 Kajansi -Bweya'!K48,'24.09 Kajansi-Bweya'!K48,'25.09 Kajansi-Bweya'!K48,'27.09Kasjansi-Munyonyo'!K48,'26.09 Kajansi-Bweya-24h'!K48,'28.09 Bweya-Kajansi-24h'!K48,'29.09 Bweya-Kajansi'!K48)</f>
        <v>0.42857142857142855</v>
      </c>
      <c r="L48" s="49">
        <f>AVERAGE('23.09.19 Kajansi -Bweya'!L48,'24.09 Kajansi-Bweya'!L48,'25.09 Kajansi-Bweya'!L48,'27.09Kasjansi-Munyonyo'!L48,'26.09 Kajansi-Bweya-24h'!L48,'28.09 Bweya-Kajansi-24h'!L48,'29.09 Bweya-Kajansi'!L48)</f>
        <v>0.14285714285714285</v>
      </c>
      <c r="M48" s="49">
        <f>AVERAGE('23.09.19 Kajansi -Bweya'!M48,'24.09 Kajansi-Bweya'!M48,'25.09 Kajansi-Bweya'!M48,'27.09Kasjansi-Munyonyo'!M48,'26.09 Kajansi-Bweya-24h'!M48,'28.09 Bweya-Kajansi-24h'!M48,'29.09 Bweya-Kajansi'!M48)</f>
        <v>33.714285714285715</v>
      </c>
      <c r="N48" s="49">
        <f>AVERAGE('23.09.19 Kajansi -Bweya'!N48,'24.09 Kajansi-Bweya'!N48,'25.09 Kajansi-Bweya'!N48,'27.09Kasjansi-Munyonyo'!N48,'26.09 Kajansi-Bweya-24h'!N48,'28.09 Bweya-Kajansi-24h'!N48,'29.09 Bweya-Kajansi'!N48)</f>
        <v>0</v>
      </c>
      <c r="O48" s="15">
        <f t="shared" si="0"/>
        <v>56.714285714285722</v>
      </c>
      <c r="P48" s="15">
        <f t="shared" si="1"/>
        <v>90.428571428571445</v>
      </c>
      <c r="R48" s="8"/>
      <c r="T48"/>
    </row>
    <row r="49" spans="2:20" ht="23.1" customHeight="1" x14ac:dyDescent="0.25">
      <c r="B49" s="23" t="s">
        <v>76</v>
      </c>
      <c r="C49" s="49">
        <f>AVERAGE('23.09.19 Kajansi -Bweya'!C49,'24.09 Kajansi-Bweya'!C49,'25.09 Kajansi-Bweya'!C49,'27.09Kasjansi-Munyonyo'!C49,'26.09 Kajansi-Bweya-24h'!C49,'28.09 Bweya-Kajansi-24h'!C49,'29.09 Bweya-Kajansi'!C49)</f>
        <v>40.428571428571431</v>
      </c>
      <c r="D49" s="49">
        <f>AVERAGE('23.09.19 Kajansi -Bweya'!D49,'24.09 Kajansi-Bweya'!D49,'25.09 Kajansi-Bweya'!D49,'27.09Kasjansi-Munyonyo'!D49,'26.09 Kajansi-Bweya-24h'!D49,'28.09 Bweya-Kajansi-24h'!D49,'29.09 Bweya-Kajansi'!D49)</f>
        <v>6</v>
      </c>
      <c r="E49" s="49">
        <f>AVERAGE('23.09.19 Kajansi -Bweya'!E49,'24.09 Kajansi-Bweya'!E49,'25.09 Kajansi-Bweya'!E49,'27.09Kasjansi-Munyonyo'!E49,'26.09 Kajansi-Bweya-24h'!E49,'28.09 Bweya-Kajansi-24h'!E49,'29.09 Bweya-Kajansi'!E49)</f>
        <v>4.1428571428571432</v>
      </c>
      <c r="F49" s="49">
        <f>AVERAGE('23.09.19 Kajansi -Bweya'!F49,'24.09 Kajansi-Bweya'!F49,'25.09 Kajansi-Bweya'!F49,'27.09Kasjansi-Munyonyo'!F49,'26.09 Kajansi-Bweya-24h'!F49,'28.09 Bweya-Kajansi-24h'!F49,'29.09 Bweya-Kajansi'!F49)</f>
        <v>1</v>
      </c>
      <c r="G49" s="49">
        <f>AVERAGE('23.09.19 Kajansi -Bweya'!G49,'24.09 Kajansi-Bweya'!G49,'25.09 Kajansi-Bweya'!G49,'27.09Kasjansi-Munyonyo'!G49,'26.09 Kajansi-Bweya-24h'!G49,'28.09 Bweya-Kajansi-24h'!G49,'29.09 Bweya-Kajansi'!G49)</f>
        <v>0.14285714285714285</v>
      </c>
      <c r="H49" s="49">
        <f>AVERAGE('23.09.19 Kajansi -Bweya'!H49,'24.09 Kajansi-Bweya'!H49,'25.09 Kajansi-Bweya'!H49,'27.09Kasjansi-Munyonyo'!H49,'26.09 Kajansi-Bweya-24h'!H49,'28.09 Bweya-Kajansi-24h'!H49,'29.09 Bweya-Kajansi'!H49)</f>
        <v>0</v>
      </c>
      <c r="I49" s="49">
        <f>AVERAGE('23.09.19 Kajansi -Bweya'!I49,'24.09 Kajansi-Bweya'!I49,'25.09 Kajansi-Bweya'!I49,'27.09Kasjansi-Munyonyo'!I49,'26.09 Kajansi-Bweya-24h'!I49,'28.09 Bweya-Kajansi-24h'!I49,'29.09 Bweya-Kajansi'!I49)</f>
        <v>4.5714285714285712</v>
      </c>
      <c r="J49" s="49">
        <f>AVERAGE('23.09.19 Kajansi -Bweya'!J49,'24.09 Kajansi-Bweya'!J49,'25.09 Kajansi-Bweya'!J49,'27.09Kasjansi-Munyonyo'!J49,'26.09 Kajansi-Bweya-24h'!J49,'28.09 Bweya-Kajansi-24h'!J49,'29.09 Bweya-Kajansi'!J49)</f>
        <v>2.4285714285714284</v>
      </c>
      <c r="K49" s="49">
        <f>AVERAGE('23.09.19 Kajansi -Bweya'!K49,'24.09 Kajansi-Bweya'!K49,'25.09 Kajansi-Bweya'!K49,'27.09Kasjansi-Munyonyo'!K49,'26.09 Kajansi-Bweya-24h'!K49,'28.09 Bweya-Kajansi-24h'!K49,'29.09 Bweya-Kajansi'!K49)</f>
        <v>0.5714285714285714</v>
      </c>
      <c r="L49" s="49">
        <f>AVERAGE('23.09.19 Kajansi -Bweya'!L49,'24.09 Kajansi-Bweya'!L49,'25.09 Kajansi-Bweya'!L49,'27.09Kasjansi-Munyonyo'!L49,'26.09 Kajansi-Bweya-24h'!L49,'28.09 Bweya-Kajansi-24h'!L49,'29.09 Bweya-Kajansi'!L49)</f>
        <v>0</v>
      </c>
      <c r="M49" s="49">
        <f>AVERAGE('23.09.19 Kajansi -Bweya'!M49,'24.09 Kajansi-Bweya'!M49,'25.09 Kajansi-Bweya'!M49,'27.09Kasjansi-Munyonyo'!M49,'26.09 Kajansi-Bweya-24h'!M49,'28.09 Bweya-Kajansi-24h'!M49,'29.09 Bweya-Kajansi'!M49)</f>
        <v>34.285714285714285</v>
      </c>
      <c r="N49" s="49">
        <f>AVERAGE('23.09.19 Kajansi -Bweya'!N49,'24.09 Kajansi-Bweya'!N49,'25.09 Kajansi-Bweya'!N49,'27.09Kasjansi-Munyonyo'!N49,'26.09 Kajansi-Bweya-24h'!N49,'28.09 Bweya-Kajansi-24h'!N49,'29.09 Bweya-Kajansi'!N49)</f>
        <v>0</v>
      </c>
      <c r="O49" s="15">
        <f t="shared" si="0"/>
        <v>59.285714285714292</v>
      </c>
      <c r="P49" s="15">
        <f t="shared" si="1"/>
        <v>93.571428571428584</v>
      </c>
      <c r="R49" s="8"/>
      <c r="T49"/>
    </row>
    <row r="50" spans="2:20" ht="23.1" customHeight="1" x14ac:dyDescent="0.25">
      <c r="B50" s="24" t="s">
        <v>77</v>
      </c>
      <c r="C50" s="49">
        <f>AVERAGE('23.09.19 Kajansi -Bweya'!C50,'24.09 Kajansi-Bweya'!C50,'25.09 Kajansi-Bweya'!C50,'27.09Kasjansi-Munyonyo'!C50,'26.09 Kajansi-Bweya-24h'!C50,'28.09 Bweya-Kajansi-24h'!C50,'29.09 Bweya-Kajansi'!C50)</f>
        <v>43.714285714285715</v>
      </c>
      <c r="D50" s="49">
        <f>AVERAGE('23.09.19 Kajansi -Bweya'!D50,'24.09 Kajansi-Bweya'!D50,'25.09 Kajansi-Bweya'!D50,'27.09Kasjansi-Munyonyo'!D50,'26.09 Kajansi-Bweya-24h'!D50,'28.09 Bweya-Kajansi-24h'!D50,'29.09 Bweya-Kajansi'!D50)</f>
        <v>5.1428571428571432</v>
      </c>
      <c r="E50" s="49">
        <f>AVERAGE('23.09.19 Kajansi -Bweya'!E50,'24.09 Kajansi-Bweya'!E50,'25.09 Kajansi-Bweya'!E50,'27.09Kasjansi-Munyonyo'!E50,'26.09 Kajansi-Bweya-24h'!E50,'28.09 Bweya-Kajansi-24h'!E50,'29.09 Bweya-Kajansi'!E50)</f>
        <v>3</v>
      </c>
      <c r="F50" s="49">
        <f>AVERAGE('23.09.19 Kajansi -Bweya'!F50,'24.09 Kajansi-Bweya'!F50,'25.09 Kajansi-Bweya'!F50,'27.09Kasjansi-Munyonyo'!F50,'26.09 Kajansi-Bweya-24h'!F50,'28.09 Bweya-Kajansi-24h'!F50,'29.09 Bweya-Kajansi'!F50)</f>
        <v>1.1428571428571428</v>
      </c>
      <c r="G50" s="49">
        <f>AVERAGE('23.09.19 Kajansi -Bweya'!G50,'24.09 Kajansi-Bweya'!G50,'25.09 Kajansi-Bweya'!G50,'27.09Kasjansi-Munyonyo'!G50,'26.09 Kajansi-Bweya-24h'!G50,'28.09 Bweya-Kajansi-24h'!G50,'29.09 Bweya-Kajansi'!G50)</f>
        <v>0.2857142857142857</v>
      </c>
      <c r="H50" s="49">
        <f>AVERAGE('23.09.19 Kajansi -Bweya'!H50,'24.09 Kajansi-Bweya'!H50,'25.09 Kajansi-Bweya'!H50,'27.09Kasjansi-Munyonyo'!H50,'26.09 Kajansi-Bweya-24h'!H50,'28.09 Bweya-Kajansi-24h'!H50,'29.09 Bweya-Kajansi'!H50)</f>
        <v>0.14285714285714285</v>
      </c>
      <c r="I50" s="49">
        <f>AVERAGE('23.09.19 Kajansi -Bweya'!I50,'24.09 Kajansi-Bweya'!I50,'25.09 Kajansi-Bweya'!I50,'27.09Kasjansi-Munyonyo'!I50,'26.09 Kajansi-Bweya-24h'!I50,'28.09 Bweya-Kajansi-24h'!I50,'29.09 Bweya-Kajansi'!I50)</f>
        <v>2.2857142857142856</v>
      </c>
      <c r="J50" s="49">
        <f>AVERAGE('23.09.19 Kajansi -Bweya'!J50,'24.09 Kajansi-Bweya'!J50,'25.09 Kajansi-Bweya'!J50,'27.09Kasjansi-Munyonyo'!J50,'26.09 Kajansi-Bweya-24h'!J50,'28.09 Bweya-Kajansi-24h'!J50,'29.09 Bweya-Kajansi'!J50)</f>
        <v>2.8571428571428572</v>
      </c>
      <c r="K50" s="49">
        <f>AVERAGE('23.09.19 Kajansi -Bweya'!K50,'24.09 Kajansi-Bweya'!K50,'25.09 Kajansi-Bweya'!K50,'27.09Kasjansi-Munyonyo'!K50,'26.09 Kajansi-Bweya-24h'!K50,'28.09 Bweya-Kajansi-24h'!K50,'29.09 Bweya-Kajansi'!K50)</f>
        <v>0.2857142857142857</v>
      </c>
      <c r="L50" s="49">
        <f>AVERAGE('23.09.19 Kajansi -Bweya'!L50,'24.09 Kajansi-Bweya'!L50,'25.09 Kajansi-Bweya'!L50,'27.09Kasjansi-Munyonyo'!L50,'26.09 Kajansi-Bweya-24h'!L50,'28.09 Bweya-Kajansi-24h'!L50,'29.09 Bweya-Kajansi'!L50)</f>
        <v>0</v>
      </c>
      <c r="M50" s="49">
        <f>AVERAGE('23.09.19 Kajansi -Bweya'!M50,'24.09 Kajansi-Bweya'!M50,'25.09 Kajansi-Bweya'!M50,'27.09Kasjansi-Munyonyo'!M50,'26.09 Kajansi-Bweya-24h'!M50,'28.09 Bweya-Kajansi-24h'!M50,'29.09 Bweya-Kajansi'!M50)</f>
        <v>29.142857142857142</v>
      </c>
      <c r="N50" s="49">
        <f>AVERAGE('23.09.19 Kajansi -Bweya'!N50,'24.09 Kajansi-Bweya'!N50,'25.09 Kajansi-Bweya'!N50,'27.09Kasjansi-Munyonyo'!N50,'26.09 Kajansi-Bweya-24h'!N50,'28.09 Bweya-Kajansi-24h'!N50,'29.09 Bweya-Kajansi'!N50)</f>
        <v>0</v>
      </c>
      <c r="O50" s="15">
        <f t="shared" si="0"/>
        <v>58.857142857142861</v>
      </c>
      <c r="P50" s="15">
        <f t="shared" si="1"/>
        <v>88</v>
      </c>
      <c r="R50" s="8"/>
      <c r="T50"/>
    </row>
    <row r="51" spans="2:20" ht="23.1" customHeight="1" x14ac:dyDescent="0.25">
      <c r="B51" s="24" t="s">
        <v>78</v>
      </c>
      <c r="C51" s="49">
        <f>AVERAGE('23.09.19 Kajansi -Bweya'!C51,'24.09 Kajansi-Bweya'!C51,'25.09 Kajansi-Bweya'!C51,'27.09Kasjansi-Munyonyo'!C51,'26.09 Kajansi-Bweya-24h'!C51,'28.09 Bweya-Kajansi-24h'!C51,'29.09 Bweya-Kajansi'!C51)</f>
        <v>38.571428571428569</v>
      </c>
      <c r="D51" s="49">
        <f>AVERAGE('23.09.19 Kajansi -Bweya'!D51,'24.09 Kajansi-Bweya'!D51,'25.09 Kajansi-Bweya'!D51,'27.09Kasjansi-Munyonyo'!D51,'26.09 Kajansi-Bweya-24h'!D51,'28.09 Bweya-Kajansi-24h'!D51,'29.09 Bweya-Kajansi'!D51)</f>
        <v>6.2857142857142856</v>
      </c>
      <c r="E51" s="49">
        <f>AVERAGE('23.09.19 Kajansi -Bweya'!E51,'24.09 Kajansi-Bweya'!E51,'25.09 Kajansi-Bweya'!E51,'27.09Kasjansi-Munyonyo'!E51,'26.09 Kajansi-Bweya-24h'!E51,'28.09 Bweya-Kajansi-24h'!E51,'29.09 Bweya-Kajansi'!E51)</f>
        <v>3.2857142857142856</v>
      </c>
      <c r="F51" s="49">
        <f>AVERAGE('23.09.19 Kajansi -Bweya'!F51,'24.09 Kajansi-Bweya'!F51,'25.09 Kajansi-Bweya'!F51,'27.09Kasjansi-Munyonyo'!F51,'26.09 Kajansi-Bweya-24h'!F51,'28.09 Bweya-Kajansi-24h'!F51,'29.09 Bweya-Kajansi'!F51)</f>
        <v>1.5714285714285714</v>
      </c>
      <c r="G51" s="49">
        <f>AVERAGE('23.09.19 Kajansi -Bweya'!G51,'24.09 Kajansi-Bweya'!G51,'25.09 Kajansi-Bweya'!G51,'27.09Kasjansi-Munyonyo'!G51,'26.09 Kajansi-Bweya-24h'!G51,'28.09 Bweya-Kajansi-24h'!G51,'29.09 Bweya-Kajansi'!G51)</f>
        <v>1</v>
      </c>
      <c r="H51" s="49">
        <f>AVERAGE('23.09.19 Kajansi -Bweya'!H51,'24.09 Kajansi-Bweya'!H51,'25.09 Kajansi-Bweya'!H51,'27.09Kasjansi-Munyonyo'!H51,'26.09 Kajansi-Bweya-24h'!H51,'28.09 Bweya-Kajansi-24h'!H51,'29.09 Bweya-Kajansi'!H51)</f>
        <v>0.14285714285714285</v>
      </c>
      <c r="I51" s="49">
        <f>AVERAGE('23.09.19 Kajansi -Bweya'!I51,'24.09 Kajansi-Bweya'!I51,'25.09 Kajansi-Bweya'!I51,'27.09Kasjansi-Munyonyo'!I51,'26.09 Kajansi-Bweya-24h'!I51,'28.09 Bweya-Kajansi-24h'!I51,'29.09 Bweya-Kajansi'!I51)</f>
        <v>2.1428571428571428</v>
      </c>
      <c r="J51" s="49">
        <f>AVERAGE('23.09.19 Kajansi -Bweya'!J51,'24.09 Kajansi-Bweya'!J51,'25.09 Kajansi-Bweya'!J51,'27.09Kasjansi-Munyonyo'!J51,'26.09 Kajansi-Bweya-24h'!J51,'28.09 Bweya-Kajansi-24h'!J51,'29.09 Bweya-Kajansi'!J51)</f>
        <v>1.7142857142857142</v>
      </c>
      <c r="K51" s="49">
        <f>AVERAGE('23.09.19 Kajansi -Bweya'!K51,'24.09 Kajansi-Bweya'!K51,'25.09 Kajansi-Bweya'!K51,'27.09Kasjansi-Munyonyo'!K51,'26.09 Kajansi-Bweya-24h'!K51,'28.09 Bweya-Kajansi-24h'!K51,'29.09 Bweya-Kajansi'!K51)</f>
        <v>0.14285714285714285</v>
      </c>
      <c r="L51" s="49">
        <f>AVERAGE('23.09.19 Kajansi -Bweya'!L51,'24.09 Kajansi-Bweya'!L51,'25.09 Kajansi-Bweya'!L51,'27.09Kasjansi-Munyonyo'!L51,'26.09 Kajansi-Bweya-24h'!L51,'28.09 Bweya-Kajansi-24h'!L51,'29.09 Bweya-Kajansi'!L51)</f>
        <v>0</v>
      </c>
      <c r="M51" s="49">
        <f>AVERAGE('23.09.19 Kajansi -Bweya'!M51,'24.09 Kajansi-Bweya'!M51,'25.09 Kajansi-Bweya'!M51,'27.09Kasjansi-Munyonyo'!M51,'26.09 Kajansi-Bweya-24h'!M51,'28.09 Bweya-Kajansi-24h'!M51,'29.09 Bweya-Kajansi'!M51)</f>
        <v>30.714285714285715</v>
      </c>
      <c r="N51" s="49">
        <f>AVERAGE('23.09.19 Kajansi -Bweya'!N51,'24.09 Kajansi-Bweya'!N51,'25.09 Kajansi-Bweya'!N51,'27.09Kasjansi-Munyonyo'!N51,'26.09 Kajansi-Bweya-24h'!N51,'28.09 Bweya-Kajansi-24h'!N51,'29.09 Bweya-Kajansi'!N51)</f>
        <v>0</v>
      </c>
      <c r="O51" s="15">
        <f t="shared" si="0"/>
        <v>54.857142857142861</v>
      </c>
      <c r="P51" s="15">
        <f t="shared" si="1"/>
        <v>85.571428571428584</v>
      </c>
      <c r="R51" s="8"/>
      <c r="T51"/>
    </row>
    <row r="52" spans="2:20" ht="23.1" customHeight="1" x14ac:dyDescent="0.25">
      <c r="B52" s="24" t="s">
        <v>79</v>
      </c>
      <c r="C52" s="49">
        <f>AVERAGE('23.09.19 Kajansi -Bweya'!C52,'24.09 Kajansi-Bweya'!C52,'25.09 Kajansi-Bweya'!C52,'27.09Kasjansi-Munyonyo'!C52,'26.09 Kajansi-Bweya-24h'!C52,'28.09 Bweya-Kajansi-24h'!C52,'29.09 Bweya-Kajansi'!C52)</f>
        <v>35.857142857142854</v>
      </c>
      <c r="D52" s="49">
        <f>AVERAGE('23.09.19 Kajansi -Bweya'!D52,'24.09 Kajansi-Bweya'!D52,'25.09 Kajansi-Bweya'!D52,'27.09Kasjansi-Munyonyo'!D52,'26.09 Kajansi-Bweya-24h'!D52,'28.09 Bweya-Kajansi-24h'!D52,'29.09 Bweya-Kajansi'!D52)</f>
        <v>4.1428571428571432</v>
      </c>
      <c r="E52" s="49">
        <f>AVERAGE('23.09.19 Kajansi -Bweya'!E52,'24.09 Kajansi-Bweya'!E52,'25.09 Kajansi-Bweya'!E52,'27.09Kasjansi-Munyonyo'!E52,'26.09 Kajansi-Bweya-24h'!E52,'28.09 Bweya-Kajansi-24h'!E52,'29.09 Bweya-Kajansi'!E52)</f>
        <v>4</v>
      </c>
      <c r="F52" s="49">
        <f>AVERAGE('23.09.19 Kajansi -Bweya'!F52,'24.09 Kajansi-Bweya'!F52,'25.09 Kajansi-Bweya'!F52,'27.09Kasjansi-Munyonyo'!F52,'26.09 Kajansi-Bweya-24h'!F52,'28.09 Bweya-Kajansi-24h'!F52,'29.09 Bweya-Kajansi'!F52)</f>
        <v>1</v>
      </c>
      <c r="G52" s="49">
        <f>AVERAGE('23.09.19 Kajansi -Bweya'!G52,'24.09 Kajansi-Bweya'!G52,'25.09 Kajansi-Bweya'!G52,'27.09Kasjansi-Munyonyo'!G52,'26.09 Kajansi-Bweya-24h'!G52,'28.09 Bweya-Kajansi-24h'!G52,'29.09 Bweya-Kajansi'!G52)</f>
        <v>0.2857142857142857</v>
      </c>
      <c r="H52" s="49">
        <f>AVERAGE('23.09.19 Kajansi -Bweya'!H52,'24.09 Kajansi-Bweya'!H52,'25.09 Kajansi-Bweya'!H52,'27.09Kasjansi-Munyonyo'!H52,'26.09 Kajansi-Bweya-24h'!H52,'28.09 Bweya-Kajansi-24h'!H52,'29.09 Bweya-Kajansi'!H52)</f>
        <v>0.2857142857142857</v>
      </c>
      <c r="I52" s="49">
        <f>AVERAGE('23.09.19 Kajansi -Bweya'!I52,'24.09 Kajansi-Bweya'!I52,'25.09 Kajansi-Bweya'!I52,'27.09Kasjansi-Munyonyo'!I52,'26.09 Kajansi-Bweya-24h'!I52,'28.09 Bweya-Kajansi-24h'!I52,'29.09 Bweya-Kajansi'!I52)</f>
        <v>2</v>
      </c>
      <c r="J52" s="49">
        <f>AVERAGE('23.09.19 Kajansi -Bweya'!J52,'24.09 Kajansi-Bweya'!J52,'25.09 Kajansi-Bweya'!J52,'27.09Kasjansi-Munyonyo'!J52,'26.09 Kajansi-Bweya-24h'!J52,'28.09 Bweya-Kajansi-24h'!J52,'29.09 Bweya-Kajansi'!J52)</f>
        <v>1</v>
      </c>
      <c r="K52" s="49">
        <f>AVERAGE('23.09.19 Kajansi -Bweya'!K52,'24.09 Kajansi-Bweya'!K52,'25.09 Kajansi-Bweya'!K52,'27.09Kasjansi-Munyonyo'!K52,'26.09 Kajansi-Bweya-24h'!K52,'28.09 Bweya-Kajansi-24h'!K52,'29.09 Bweya-Kajansi'!K52)</f>
        <v>0.2857142857142857</v>
      </c>
      <c r="L52" s="49">
        <f>AVERAGE('23.09.19 Kajansi -Bweya'!L52,'24.09 Kajansi-Bweya'!L52,'25.09 Kajansi-Bweya'!L52,'27.09Kasjansi-Munyonyo'!L52,'26.09 Kajansi-Bweya-24h'!L52,'28.09 Bweya-Kajansi-24h'!L52,'29.09 Bweya-Kajansi'!L52)</f>
        <v>0.14285714285714285</v>
      </c>
      <c r="M52" s="49">
        <f>AVERAGE('23.09.19 Kajansi -Bweya'!M52,'24.09 Kajansi-Bweya'!M52,'25.09 Kajansi-Bweya'!M52,'27.09Kasjansi-Munyonyo'!M52,'26.09 Kajansi-Bweya-24h'!M52,'28.09 Bweya-Kajansi-24h'!M52,'29.09 Bweya-Kajansi'!M52)</f>
        <v>29.857142857142858</v>
      </c>
      <c r="N52" s="49">
        <f>AVERAGE('23.09.19 Kajansi -Bweya'!N52,'24.09 Kajansi-Bweya'!N52,'25.09 Kajansi-Bweya'!N52,'27.09Kasjansi-Munyonyo'!N52,'26.09 Kajansi-Bweya-24h'!N52,'28.09 Bweya-Kajansi-24h'!N52,'29.09 Bweya-Kajansi'!N52)</f>
        <v>0</v>
      </c>
      <c r="O52" s="15">
        <f t="shared" si="0"/>
        <v>49</v>
      </c>
      <c r="P52" s="15">
        <f t="shared" si="1"/>
        <v>78.857142857142861</v>
      </c>
      <c r="R52" s="8"/>
      <c r="T52"/>
    </row>
    <row r="53" spans="2:20" ht="23.1" customHeight="1" x14ac:dyDescent="0.25">
      <c r="B53" s="23" t="s">
        <v>80</v>
      </c>
      <c r="C53" s="49">
        <f>AVERAGE('23.09.19 Kajansi -Bweya'!C53,'24.09 Kajansi-Bweya'!C53,'25.09 Kajansi-Bweya'!C53,'27.09Kasjansi-Munyonyo'!C53,'26.09 Kajansi-Bweya-24h'!C53,'28.09 Bweya-Kajansi-24h'!C53,'29.09 Bweya-Kajansi'!C53)</f>
        <v>39.285714285714285</v>
      </c>
      <c r="D53" s="49">
        <f>AVERAGE('23.09.19 Kajansi -Bweya'!D53,'24.09 Kajansi-Bweya'!D53,'25.09 Kajansi-Bweya'!D53,'27.09Kasjansi-Munyonyo'!D53,'26.09 Kajansi-Bweya-24h'!D53,'28.09 Bweya-Kajansi-24h'!D53,'29.09 Bweya-Kajansi'!D53)</f>
        <v>3.1428571428571428</v>
      </c>
      <c r="E53" s="49">
        <f>AVERAGE('23.09.19 Kajansi -Bweya'!E53,'24.09 Kajansi-Bweya'!E53,'25.09 Kajansi-Bweya'!E53,'27.09Kasjansi-Munyonyo'!E53,'26.09 Kajansi-Bweya-24h'!E53,'28.09 Bweya-Kajansi-24h'!E53,'29.09 Bweya-Kajansi'!E53)</f>
        <v>3</v>
      </c>
      <c r="F53" s="49">
        <f>AVERAGE('23.09.19 Kajansi -Bweya'!F53,'24.09 Kajansi-Bweya'!F53,'25.09 Kajansi-Bweya'!F53,'27.09Kasjansi-Munyonyo'!F53,'26.09 Kajansi-Bweya-24h'!F53,'28.09 Bweya-Kajansi-24h'!F53,'29.09 Bweya-Kajansi'!F53)</f>
        <v>0.5714285714285714</v>
      </c>
      <c r="G53" s="49">
        <f>AVERAGE('23.09.19 Kajansi -Bweya'!G53,'24.09 Kajansi-Bweya'!G53,'25.09 Kajansi-Bweya'!G53,'27.09Kasjansi-Munyonyo'!G53,'26.09 Kajansi-Bweya-24h'!G53,'28.09 Bweya-Kajansi-24h'!G53,'29.09 Bweya-Kajansi'!G53)</f>
        <v>0.14285714285714285</v>
      </c>
      <c r="H53" s="49">
        <f>AVERAGE('23.09.19 Kajansi -Bweya'!H53,'24.09 Kajansi-Bweya'!H53,'25.09 Kajansi-Bweya'!H53,'27.09Kasjansi-Munyonyo'!H53,'26.09 Kajansi-Bweya-24h'!H53,'28.09 Bweya-Kajansi-24h'!H53,'29.09 Bweya-Kajansi'!H53)</f>
        <v>0.14285714285714285</v>
      </c>
      <c r="I53" s="49">
        <f>AVERAGE('23.09.19 Kajansi -Bweya'!I53,'24.09 Kajansi-Bweya'!I53,'25.09 Kajansi-Bweya'!I53,'27.09Kasjansi-Munyonyo'!I53,'26.09 Kajansi-Bweya-24h'!I53,'28.09 Bweya-Kajansi-24h'!I53,'29.09 Bweya-Kajansi'!I53)</f>
        <v>2.7142857142857144</v>
      </c>
      <c r="J53" s="49">
        <f>AVERAGE('23.09.19 Kajansi -Bweya'!J53,'24.09 Kajansi-Bweya'!J53,'25.09 Kajansi-Bweya'!J53,'27.09Kasjansi-Munyonyo'!J53,'26.09 Kajansi-Bweya-24h'!J53,'28.09 Bweya-Kajansi-24h'!J53,'29.09 Bweya-Kajansi'!J53)</f>
        <v>1.7142857142857142</v>
      </c>
      <c r="K53" s="49">
        <f>AVERAGE('23.09.19 Kajansi -Bweya'!K53,'24.09 Kajansi-Bweya'!K53,'25.09 Kajansi-Bweya'!K53,'27.09Kasjansi-Munyonyo'!K53,'26.09 Kajansi-Bweya-24h'!K53,'28.09 Bweya-Kajansi-24h'!K53,'29.09 Bweya-Kajansi'!K53)</f>
        <v>0.5714285714285714</v>
      </c>
      <c r="L53" s="49">
        <f>AVERAGE('23.09.19 Kajansi -Bweya'!L53,'24.09 Kajansi-Bweya'!L53,'25.09 Kajansi-Bweya'!L53,'27.09Kasjansi-Munyonyo'!L53,'26.09 Kajansi-Bweya-24h'!L53,'28.09 Bweya-Kajansi-24h'!L53,'29.09 Bweya-Kajansi'!L53)</f>
        <v>0</v>
      </c>
      <c r="M53" s="49">
        <f>AVERAGE('23.09.19 Kajansi -Bweya'!M53,'24.09 Kajansi-Bweya'!M53,'25.09 Kajansi-Bweya'!M53,'27.09Kasjansi-Munyonyo'!M53,'26.09 Kajansi-Bweya-24h'!M53,'28.09 Bweya-Kajansi-24h'!M53,'29.09 Bweya-Kajansi'!M53)</f>
        <v>31.857142857142858</v>
      </c>
      <c r="N53" s="49">
        <f>AVERAGE('23.09.19 Kajansi -Bweya'!N53,'24.09 Kajansi-Bweya'!N53,'25.09 Kajansi-Bweya'!N53,'27.09Kasjansi-Munyonyo'!N53,'26.09 Kajansi-Bweya-24h'!N53,'28.09 Bweya-Kajansi-24h'!N53,'29.09 Bweya-Kajansi'!N53)</f>
        <v>0</v>
      </c>
      <c r="O53" s="15">
        <f t="shared" si="0"/>
        <v>51.285714285714292</v>
      </c>
      <c r="P53" s="15">
        <f t="shared" si="1"/>
        <v>83.142857142857153</v>
      </c>
      <c r="R53" s="8"/>
      <c r="T53"/>
    </row>
    <row r="54" spans="2:20" ht="23.1" customHeight="1" x14ac:dyDescent="0.25">
      <c r="B54" s="23" t="s">
        <v>81</v>
      </c>
      <c r="C54" s="49">
        <f>AVERAGE('23.09.19 Kajansi -Bweya'!C54,'24.09 Kajansi-Bweya'!C54,'25.09 Kajansi-Bweya'!C54,'27.09Kasjansi-Munyonyo'!C54,'26.09 Kajansi-Bweya-24h'!C54,'28.09 Bweya-Kajansi-24h'!C54,'29.09 Bweya-Kajansi'!C54)</f>
        <v>35.857142857142854</v>
      </c>
      <c r="D54" s="49">
        <f>AVERAGE('23.09.19 Kajansi -Bweya'!D54,'24.09 Kajansi-Bweya'!D54,'25.09 Kajansi-Bweya'!D54,'27.09Kasjansi-Munyonyo'!D54,'26.09 Kajansi-Bweya-24h'!D54,'28.09 Bweya-Kajansi-24h'!D54,'29.09 Bweya-Kajansi'!D54)</f>
        <v>6.4285714285714288</v>
      </c>
      <c r="E54" s="49">
        <f>AVERAGE('23.09.19 Kajansi -Bweya'!E54,'24.09 Kajansi-Bweya'!E54,'25.09 Kajansi-Bweya'!E54,'27.09Kasjansi-Munyonyo'!E54,'26.09 Kajansi-Bweya-24h'!E54,'28.09 Bweya-Kajansi-24h'!E54,'29.09 Bweya-Kajansi'!E54)</f>
        <v>3.7142857142857144</v>
      </c>
      <c r="F54" s="49">
        <f>AVERAGE('23.09.19 Kajansi -Bweya'!F54,'24.09 Kajansi-Bweya'!F54,'25.09 Kajansi-Bweya'!F54,'27.09Kasjansi-Munyonyo'!F54,'26.09 Kajansi-Bweya-24h'!F54,'28.09 Bweya-Kajansi-24h'!F54,'29.09 Bweya-Kajansi'!F54)</f>
        <v>1.5714285714285714</v>
      </c>
      <c r="G54" s="49">
        <f>AVERAGE('23.09.19 Kajansi -Bweya'!G54,'24.09 Kajansi-Bweya'!G54,'25.09 Kajansi-Bweya'!G54,'27.09Kasjansi-Munyonyo'!G54,'26.09 Kajansi-Bweya-24h'!G54,'28.09 Bweya-Kajansi-24h'!G54,'29.09 Bweya-Kajansi'!G54)</f>
        <v>0.14285714285714285</v>
      </c>
      <c r="H54" s="49">
        <f>AVERAGE('23.09.19 Kajansi -Bweya'!H54,'24.09 Kajansi-Bweya'!H54,'25.09 Kajansi-Bweya'!H54,'27.09Kasjansi-Munyonyo'!H54,'26.09 Kajansi-Bweya-24h'!H54,'28.09 Bweya-Kajansi-24h'!H54,'29.09 Bweya-Kajansi'!H54)</f>
        <v>0.14285714285714285</v>
      </c>
      <c r="I54" s="49">
        <f>AVERAGE('23.09.19 Kajansi -Bweya'!I54,'24.09 Kajansi-Bweya'!I54,'25.09 Kajansi-Bweya'!I54,'27.09Kasjansi-Munyonyo'!I54,'26.09 Kajansi-Bweya-24h'!I54,'28.09 Bweya-Kajansi-24h'!I54,'29.09 Bweya-Kajansi'!I54)</f>
        <v>2.7142857142857144</v>
      </c>
      <c r="J54" s="49">
        <f>AVERAGE('23.09.19 Kajansi -Bweya'!J54,'24.09 Kajansi-Bweya'!J54,'25.09 Kajansi-Bweya'!J54,'27.09Kasjansi-Munyonyo'!J54,'26.09 Kajansi-Bweya-24h'!J54,'28.09 Bweya-Kajansi-24h'!J54,'29.09 Bweya-Kajansi'!J54)</f>
        <v>1.2857142857142858</v>
      </c>
      <c r="K54" s="49">
        <f>AVERAGE('23.09.19 Kajansi -Bweya'!K54,'24.09 Kajansi-Bweya'!K54,'25.09 Kajansi-Bweya'!K54,'27.09Kasjansi-Munyonyo'!K54,'26.09 Kajansi-Bweya-24h'!K54,'28.09 Bweya-Kajansi-24h'!K54,'29.09 Bweya-Kajansi'!K54)</f>
        <v>0.14285714285714285</v>
      </c>
      <c r="L54" s="49">
        <f>AVERAGE('23.09.19 Kajansi -Bweya'!L54,'24.09 Kajansi-Bweya'!L54,'25.09 Kajansi-Bweya'!L54,'27.09Kasjansi-Munyonyo'!L54,'26.09 Kajansi-Bweya-24h'!L54,'28.09 Bweya-Kajansi-24h'!L54,'29.09 Bweya-Kajansi'!L54)</f>
        <v>0</v>
      </c>
      <c r="M54" s="49">
        <f>AVERAGE('23.09.19 Kajansi -Bweya'!M54,'24.09 Kajansi-Bweya'!M54,'25.09 Kajansi-Bweya'!M54,'27.09Kasjansi-Munyonyo'!M54,'26.09 Kajansi-Bweya-24h'!M54,'28.09 Bweya-Kajansi-24h'!M54,'29.09 Bweya-Kajansi'!M54)</f>
        <v>35.714285714285715</v>
      </c>
      <c r="N54" s="49">
        <f>AVERAGE('23.09.19 Kajansi -Bweya'!N54,'24.09 Kajansi-Bweya'!N54,'25.09 Kajansi-Bweya'!N54,'27.09Kasjansi-Munyonyo'!N54,'26.09 Kajansi-Bweya-24h'!N54,'28.09 Bweya-Kajansi-24h'!N54,'29.09 Bweya-Kajansi'!N54)</f>
        <v>0</v>
      </c>
      <c r="O54" s="15">
        <f t="shared" si="0"/>
        <v>52.000000000000007</v>
      </c>
      <c r="P54" s="15">
        <f t="shared" si="1"/>
        <v>87.714285714285722</v>
      </c>
      <c r="R54" s="8"/>
      <c r="T54"/>
    </row>
    <row r="55" spans="2:20" ht="23.1" customHeight="1" x14ac:dyDescent="0.25">
      <c r="B55" s="23" t="s">
        <v>82</v>
      </c>
      <c r="C55" s="49">
        <f>AVERAGE('23.09.19 Kajansi -Bweya'!C55,'24.09 Kajansi-Bweya'!C55,'25.09 Kajansi-Bweya'!C55,'27.09Kasjansi-Munyonyo'!C55,'26.09 Kajansi-Bweya-24h'!C55,'28.09 Bweya-Kajansi-24h'!C55,'29.09 Bweya-Kajansi'!C55)</f>
        <v>38.428571428571431</v>
      </c>
      <c r="D55" s="49">
        <f>AVERAGE('23.09.19 Kajansi -Bweya'!D55,'24.09 Kajansi-Bweya'!D55,'25.09 Kajansi-Bweya'!D55,'27.09Kasjansi-Munyonyo'!D55,'26.09 Kajansi-Bweya-24h'!D55,'28.09 Bweya-Kajansi-24h'!D55,'29.09 Bweya-Kajansi'!D55)</f>
        <v>5.2857142857142856</v>
      </c>
      <c r="E55" s="49">
        <f>AVERAGE('23.09.19 Kajansi -Bweya'!E55,'24.09 Kajansi-Bweya'!E55,'25.09 Kajansi-Bweya'!E55,'27.09Kasjansi-Munyonyo'!E55,'26.09 Kajansi-Bweya-24h'!E55,'28.09 Bweya-Kajansi-24h'!E55,'29.09 Bweya-Kajansi'!E55)</f>
        <v>5</v>
      </c>
      <c r="F55" s="49">
        <f>AVERAGE('23.09.19 Kajansi -Bweya'!F55,'24.09 Kajansi-Bweya'!F55,'25.09 Kajansi-Bweya'!F55,'27.09Kasjansi-Munyonyo'!F55,'26.09 Kajansi-Bweya-24h'!F55,'28.09 Bweya-Kajansi-24h'!F55,'29.09 Bweya-Kajansi'!F55)</f>
        <v>1.2857142857142858</v>
      </c>
      <c r="G55" s="49">
        <f>AVERAGE('23.09.19 Kajansi -Bweya'!G55,'24.09 Kajansi-Bweya'!G55,'25.09 Kajansi-Bweya'!G55,'27.09Kasjansi-Munyonyo'!G55,'26.09 Kajansi-Bweya-24h'!G55,'28.09 Bweya-Kajansi-24h'!G55,'29.09 Bweya-Kajansi'!G55)</f>
        <v>0.14285714285714285</v>
      </c>
      <c r="H55" s="49">
        <f>AVERAGE('23.09.19 Kajansi -Bweya'!H55,'24.09 Kajansi-Bweya'!H55,'25.09 Kajansi-Bweya'!H55,'27.09Kasjansi-Munyonyo'!H55,'26.09 Kajansi-Bweya-24h'!H55,'28.09 Bweya-Kajansi-24h'!H55,'29.09 Bweya-Kajansi'!H55)</f>
        <v>0</v>
      </c>
      <c r="I55" s="49">
        <f>AVERAGE('23.09.19 Kajansi -Bweya'!I55,'24.09 Kajansi-Bweya'!I55,'25.09 Kajansi-Bweya'!I55,'27.09Kasjansi-Munyonyo'!I55,'26.09 Kajansi-Bweya-24h'!I55,'28.09 Bweya-Kajansi-24h'!I55,'29.09 Bweya-Kajansi'!I55)</f>
        <v>2</v>
      </c>
      <c r="J55" s="49">
        <f>AVERAGE('23.09.19 Kajansi -Bweya'!J55,'24.09 Kajansi-Bweya'!J55,'25.09 Kajansi-Bweya'!J55,'27.09Kasjansi-Munyonyo'!J55,'26.09 Kajansi-Bweya-24h'!J55,'28.09 Bweya-Kajansi-24h'!J55,'29.09 Bweya-Kajansi'!J55)</f>
        <v>1.2857142857142858</v>
      </c>
      <c r="K55" s="49">
        <f>AVERAGE('23.09.19 Kajansi -Bweya'!K55,'24.09 Kajansi-Bweya'!K55,'25.09 Kajansi-Bweya'!K55,'27.09Kasjansi-Munyonyo'!K55,'26.09 Kajansi-Bweya-24h'!K55,'28.09 Bweya-Kajansi-24h'!K55,'29.09 Bweya-Kajansi'!K55)</f>
        <v>0.14285714285714285</v>
      </c>
      <c r="L55" s="49">
        <f>AVERAGE('23.09.19 Kajansi -Bweya'!L55,'24.09 Kajansi-Bweya'!L55,'25.09 Kajansi-Bweya'!L55,'27.09Kasjansi-Munyonyo'!L55,'26.09 Kajansi-Bweya-24h'!L55,'28.09 Bweya-Kajansi-24h'!L55,'29.09 Bweya-Kajansi'!L55)</f>
        <v>0</v>
      </c>
      <c r="M55" s="49">
        <f>AVERAGE('23.09.19 Kajansi -Bweya'!M55,'24.09 Kajansi-Bweya'!M55,'25.09 Kajansi-Bweya'!M55,'27.09Kasjansi-Munyonyo'!M55,'26.09 Kajansi-Bweya-24h'!M55,'28.09 Bweya-Kajansi-24h'!M55,'29.09 Bweya-Kajansi'!M55)</f>
        <v>35.142857142857146</v>
      </c>
      <c r="N55" s="49">
        <f>AVERAGE('23.09.19 Kajansi -Bweya'!N55,'24.09 Kajansi-Bweya'!N55,'25.09 Kajansi-Bweya'!N55,'27.09Kasjansi-Munyonyo'!N55,'26.09 Kajansi-Bweya-24h'!N55,'28.09 Bweya-Kajansi-24h'!N55,'29.09 Bweya-Kajansi'!N55)</f>
        <v>0</v>
      </c>
      <c r="O55" s="15">
        <f t="shared" si="0"/>
        <v>53.571428571428577</v>
      </c>
      <c r="P55" s="15">
        <f t="shared" si="1"/>
        <v>88.714285714285722</v>
      </c>
      <c r="R55" s="8"/>
      <c r="T55"/>
    </row>
    <row r="56" spans="2:20" ht="23.1" customHeight="1" x14ac:dyDescent="0.25">
      <c r="B56" s="23" t="s">
        <v>83</v>
      </c>
      <c r="C56" s="49">
        <f>AVERAGE('23.09.19 Kajansi -Bweya'!C56,'24.09 Kajansi-Bweya'!C56,'25.09 Kajansi-Bweya'!C56,'27.09Kasjansi-Munyonyo'!C56,'26.09 Kajansi-Bweya-24h'!C56,'28.09 Bweya-Kajansi-24h'!C56,'29.09 Bweya-Kajansi'!C56)</f>
        <v>41.857142857142854</v>
      </c>
      <c r="D56" s="49">
        <f>AVERAGE('23.09.19 Kajansi -Bweya'!D56,'24.09 Kajansi-Bweya'!D56,'25.09 Kajansi-Bweya'!D56,'27.09Kasjansi-Munyonyo'!D56,'26.09 Kajansi-Bweya-24h'!D56,'28.09 Bweya-Kajansi-24h'!D56,'29.09 Bweya-Kajansi'!D56)</f>
        <v>4.8571428571428568</v>
      </c>
      <c r="E56" s="49">
        <f>AVERAGE('23.09.19 Kajansi -Bweya'!E56,'24.09 Kajansi-Bweya'!E56,'25.09 Kajansi-Bweya'!E56,'27.09Kasjansi-Munyonyo'!E56,'26.09 Kajansi-Bweya-24h'!E56,'28.09 Bweya-Kajansi-24h'!E56,'29.09 Bweya-Kajansi'!E56)</f>
        <v>4.5714285714285712</v>
      </c>
      <c r="F56" s="49">
        <f>AVERAGE('23.09.19 Kajansi -Bweya'!F56,'24.09 Kajansi-Bweya'!F56,'25.09 Kajansi-Bweya'!F56,'27.09Kasjansi-Munyonyo'!F56,'26.09 Kajansi-Bweya-24h'!F56,'28.09 Bweya-Kajansi-24h'!F56,'29.09 Bweya-Kajansi'!F56)</f>
        <v>0.2857142857142857</v>
      </c>
      <c r="G56" s="49">
        <f>AVERAGE('23.09.19 Kajansi -Bweya'!G56,'24.09 Kajansi-Bweya'!G56,'25.09 Kajansi-Bweya'!G56,'27.09Kasjansi-Munyonyo'!G56,'26.09 Kajansi-Bweya-24h'!G56,'28.09 Bweya-Kajansi-24h'!G56,'29.09 Bweya-Kajansi'!G56)</f>
        <v>0.14285714285714285</v>
      </c>
      <c r="H56" s="49">
        <f>AVERAGE('23.09.19 Kajansi -Bweya'!H56,'24.09 Kajansi-Bweya'!H56,'25.09 Kajansi-Bweya'!H56,'27.09Kasjansi-Munyonyo'!H56,'26.09 Kajansi-Bweya-24h'!H56,'28.09 Bweya-Kajansi-24h'!H56,'29.09 Bweya-Kajansi'!H56)</f>
        <v>0.14285714285714285</v>
      </c>
      <c r="I56" s="49">
        <f>AVERAGE('23.09.19 Kajansi -Bweya'!I56,'24.09 Kajansi-Bweya'!I56,'25.09 Kajansi-Bweya'!I56,'27.09Kasjansi-Munyonyo'!I56,'26.09 Kajansi-Bweya-24h'!I56,'28.09 Bweya-Kajansi-24h'!I56,'29.09 Bweya-Kajansi'!I56)</f>
        <v>2</v>
      </c>
      <c r="J56" s="49">
        <f>AVERAGE('23.09.19 Kajansi -Bweya'!J56,'24.09 Kajansi-Bweya'!J56,'25.09 Kajansi-Bweya'!J56,'27.09Kasjansi-Munyonyo'!J56,'26.09 Kajansi-Bweya-24h'!J56,'28.09 Bweya-Kajansi-24h'!J56,'29.09 Bweya-Kajansi'!J56)</f>
        <v>1.2857142857142858</v>
      </c>
      <c r="K56" s="49">
        <f>AVERAGE('23.09.19 Kajansi -Bweya'!K56,'24.09 Kajansi-Bweya'!K56,'25.09 Kajansi-Bweya'!K56,'27.09Kasjansi-Munyonyo'!K56,'26.09 Kajansi-Bweya-24h'!K56,'28.09 Bweya-Kajansi-24h'!K56,'29.09 Bweya-Kajansi'!K56)</f>
        <v>0.2857142857142857</v>
      </c>
      <c r="L56" s="49">
        <f>AVERAGE('23.09.19 Kajansi -Bweya'!L56,'24.09 Kajansi-Bweya'!L56,'25.09 Kajansi-Bweya'!L56,'27.09Kasjansi-Munyonyo'!L56,'26.09 Kajansi-Bweya-24h'!L56,'28.09 Bweya-Kajansi-24h'!L56,'29.09 Bweya-Kajansi'!L56)</f>
        <v>0</v>
      </c>
      <c r="M56" s="49">
        <f>AVERAGE('23.09.19 Kajansi -Bweya'!M56,'24.09 Kajansi-Bweya'!M56,'25.09 Kajansi-Bweya'!M56,'27.09Kasjansi-Munyonyo'!M56,'26.09 Kajansi-Bweya-24h'!M56,'28.09 Bweya-Kajansi-24h'!M56,'29.09 Bweya-Kajansi'!M56)</f>
        <v>34.571428571428569</v>
      </c>
      <c r="N56" s="49">
        <f>AVERAGE('23.09.19 Kajansi -Bweya'!N56,'24.09 Kajansi-Bweya'!N56,'25.09 Kajansi-Bweya'!N56,'27.09Kasjansi-Munyonyo'!N56,'26.09 Kajansi-Bweya-24h'!N56,'28.09 Bweya-Kajansi-24h'!N56,'29.09 Bweya-Kajansi'!N56)</f>
        <v>0</v>
      </c>
      <c r="O56" s="15">
        <f t="shared" si="0"/>
        <v>55.428571428571423</v>
      </c>
      <c r="P56" s="15">
        <f t="shared" si="1"/>
        <v>90</v>
      </c>
      <c r="R56" s="8"/>
      <c r="T56"/>
    </row>
    <row r="57" spans="2:20" ht="23.1" customHeight="1" x14ac:dyDescent="0.25">
      <c r="B57" s="23" t="s">
        <v>84</v>
      </c>
      <c r="C57" s="49">
        <f>AVERAGE('23.09.19 Kajansi -Bweya'!C57,'24.09 Kajansi-Bweya'!C57,'25.09 Kajansi-Bweya'!C57,'27.09Kasjansi-Munyonyo'!C57,'26.09 Kajansi-Bweya-24h'!C57,'28.09 Bweya-Kajansi-24h'!C57,'29.09 Bweya-Kajansi'!C57)</f>
        <v>33.285714285714285</v>
      </c>
      <c r="D57" s="49">
        <f>AVERAGE('23.09.19 Kajansi -Bweya'!D57,'24.09 Kajansi-Bweya'!D57,'25.09 Kajansi-Bweya'!D57,'27.09Kasjansi-Munyonyo'!D57,'26.09 Kajansi-Bweya-24h'!D57,'28.09 Bweya-Kajansi-24h'!D57,'29.09 Bweya-Kajansi'!D57)</f>
        <v>4.7142857142857144</v>
      </c>
      <c r="E57" s="49">
        <f>AVERAGE('23.09.19 Kajansi -Bweya'!E57,'24.09 Kajansi-Bweya'!E57,'25.09 Kajansi-Bweya'!E57,'27.09Kasjansi-Munyonyo'!E57,'26.09 Kajansi-Bweya-24h'!E57,'28.09 Bweya-Kajansi-24h'!E57,'29.09 Bweya-Kajansi'!E57)</f>
        <v>3.4285714285714284</v>
      </c>
      <c r="F57" s="49">
        <f>AVERAGE('23.09.19 Kajansi -Bweya'!F57,'24.09 Kajansi-Bweya'!F57,'25.09 Kajansi-Bweya'!F57,'27.09Kasjansi-Munyonyo'!F57,'26.09 Kajansi-Bweya-24h'!F57,'28.09 Bweya-Kajansi-24h'!F57,'29.09 Bweya-Kajansi'!F57)</f>
        <v>1.2857142857142858</v>
      </c>
      <c r="G57" s="49">
        <f>AVERAGE('23.09.19 Kajansi -Bweya'!G57,'24.09 Kajansi-Bweya'!G57,'25.09 Kajansi-Bweya'!G57,'27.09Kasjansi-Munyonyo'!G57,'26.09 Kajansi-Bweya-24h'!G57,'28.09 Bweya-Kajansi-24h'!G57,'29.09 Bweya-Kajansi'!G57)</f>
        <v>0.2857142857142857</v>
      </c>
      <c r="H57" s="49">
        <f>AVERAGE('23.09.19 Kajansi -Bweya'!H57,'24.09 Kajansi-Bweya'!H57,'25.09 Kajansi-Bweya'!H57,'27.09Kasjansi-Munyonyo'!H57,'26.09 Kajansi-Bweya-24h'!H57,'28.09 Bweya-Kajansi-24h'!H57,'29.09 Bweya-Kajansi'!H57)</f>
        <v>0</v>
      </c>
      <c r="I57" s="49">
        <f>AVERAGE('23.09.19 Kajansi -Bweya'!I57,'24.09 Kajansi-Bweya'!I57,'25.09 Kajansi-Bweya'!I57,'27.09Kasjansi-Munyonyo'!I57,'26.09 Kajansi-Bweya-24h'!I57,'28.09 Bweya-Kajansi-24h'!I57,'29.09 Bweya-Kajansi'!I57)</f>
        <v>2.8571428571428572</v>
      </c>
      <c r="J57" s="49">
        <f>AVERAGE('23.09.19 Kajansi -Bweya'!J57,'24.09 Kajansi-Bweya'!J57,'25.09 Kajansi-Bweya'!J57,'27.09Kasjansi-Munyonyo'!J57,'26.09 Kajansi-Bweya-24h'!J57,'28.09 Bweya-Kajansi-24h'!J57,'29.09 Bweya-Kajansi'!J57)</f>
        <v>0.8571428571428571</v>
      </c>
      <c r="K57" s="49">
        <f>AVERAGE('23.09.19 Kajansi -Bweya'!K57,'24.09 Kajansi-Bweya'!K57,'25.09 Kajansi-Bweya'!K57,'27.09Kasjansi-Munyonyo'!K57,'26.09 Kajansi-Bweya-24h'!K57,'28.09 Bweya-Kajansi-24h'!K57,'29.09 Bweya-Kajansi'!K57)</f>
        <v>0.2857142857142857</v>
      </c>
      <c r="L57" s="49">
        <f>AVERAGE('23.09.19 Kajansi -Bweya'!L57,'24.09 Kajansi-Bweya'!L57,'25.09 Kajansi-Bweya'!L57,'27.09Kasjansi-Munyonyo'!L57,'26.09 Kajansi-Bweya-24h'!L57,'28.09 Bweya-Kajansi-24h'!L57,'29.09 Bweya-Kajansi'!L57)</f>
        <v>0</v>
      </c>
      <c r="M57" s="49">
        <f>AVERAGE('23.09.19 Kajansi -Bweya'!M57,'24.09 Kajansi-Bweya'!M57,'25.09 Kajansi-Bweya'!M57,'27.09Kasjansi-Munyonyo'!M57,'26.09 Kajansi-Bweya-24h'!M57,'28.09 Bweya-Kajansi-24h'!M57,'29.09 Bweya-Kajansi'!M57)</f>
        <v>35.166666666666664</v>
      </c>
      <c r="N57" s="49">
        <f>AVERAGE('23.09.19 Kajansi -Bweya'!N57,'24.09 Kajansi-Bweya'!N57,'25.09 Kajansi-Bweya'!N57,'27.09Kasjansi-Munyonyo'!N57,'26.09 Kajansi-Bweya-24h'!N57,'28.09 Bweya-Kajansi-24h'!N57,'29.09 Bweya-Kajansi'!N57)</f>
        <v>0</v>
      </c>
      <c r="O57" s="15">
        <f t="shared" si="0"/>
        <v>46.999999999999993</v>
      </c>
      <c r="P57" s="15">
        <f t="shared" si="1"/>
        <v>82.166666666666657</v>
      </c>
      <c r="R57" s="8"/>
      <c r="T57"/>
    </row>
    <row r="58" spans="2:20" ht="23.1" customHeight="1" x14ac:dyDescent="0.25">
      <c r="B58" s="23" t="s">
        <v>99</v>
      </c>
      <c r="C58" s="49">
        <f>AVERAGE('26.09 Kajansi-Bweya-24h'!C58,'28.09 Kajansi-Bweya-24h'!C58)</f>
        <v>32.5</v>
      </c>
      <c r="D58" s="49">
        <f>AVERAGE('26.09 Kajansi-Bweya-24h'!D58,'28.09 Kajansi-Bweya-24h'!D58)</f>
        <v>9</v>
      </c>
      <c r="E58" s="49">
        <f>AVERAGE('26.09 Kajansi-Bweya-24h'!E58,'28.09 Kajansi-Bweya-24h'!E58)</f>
        <v>3</v>
      </c>
      <c r="F58" s="49">
        <f>AVERAGE('26.09 Kajansi-Bweya-24h'!F58,'28.09 Kajansi-Bweya-24h'!F58)</f>
        <v>0</v>
      </c>
      <c r="G58" s="49">
        <f>AVERAGE('26.09 Kajansi-Bweya-24h'!G58,'28.09 Kajansi-Bweya-24h'!G58)</f>
        <v>0</v>
      </c>
      <c r="H58" s="49">
        <f>AVERAGE('26.09 Kajansi-Bweya-24h'!H58,'28.09 Kajansi-Bweya-24h'!H58)</f>
        <v>0.5</v>
      </c>
      <c r="I58" s="49">
        <f>AVERAGE('26.09 Kajansi-Bweya-24h'!I58,'28.09 Kajansi-Bweya-24h'!I58)</f>
        <v>0.5</v>
      </c>
      <c r="J58" s="49">
        <f>AVERAGE('26.09 Kajansi-Bweya-24h'!J58,'28.09 Kajansi-Bweya-24h'!J58)</f>
        <v>1</v>
      </c>
      <c r="K58" s="49">
        <f>AVERAGE('26.09 Kajansi-Bweya-24h'!K58,'28.09 Kajansi-Bweya-24h'!K58)</f>
        <v>0</v>
      </c>
      <c r="L58" s="49">
        <f>AVERAGE('26.09 Kajansi-Bweya-24h'!L58,'28.09 Kajansi-Bweya-24h'!L58)</f>
        <v>0</v>
      </c>
      <c r="M58" s="49">
        <f>AVERAGE('26.09 Kajansi-Bweya-24h'!M58,'28.09 Kajansi-Bweya-24h'!M58)</f>
        <v>19.5</v>
      </c>
      <c r="N58" s="49">
        <f>AVERAGE('26.09 Kajansi-Bweya-24h'!N58,'28.09 Kajansi-Bweya-24h'!N58)</f>
        <v>0</v>
      </c>
      <c r="O58" s="15">
        <f t="shared" si="0"/>
        <v>46.5</v>
      </c>
      <c r="P58" s="15">
        <f t="shared" si="1"/>
        <v>66</v>
      </c>
      <c r="R58" s="8"/>
      <c r="T58"/>
    </row>
    <row r="59" spans="2:20" ht="23.1" customHeight="1" x14ac:dyDescent="0.25">
      <c r="B59" s="23" t="s">
        <v>100</v>
      </c>
      <c r="C59" s="49">
        <f>AVERAGE('26.09 Kajansi-Bweya-24h'!C59,'28.09 Kajansi-Bweya-24h'!C59)</f>
        <v>36</v>
      </c>
      <c r="D59" s="49">
        <f>AVERAGE('26.09 Kajansi-Bweya-24h'!D59,'28.09 Kajansi-Bweya-24h'!D59)</f>
        <v>9</v>
      </c>
      <c r="E59" s="49">
        <f>AVERAGE('26.09 Kajansi-Bweya-24h'!E59,'28.09 Kajansi-Bweya-24h'!E59)</f>
        <v>5.5</v>
      </c>
      <c r="F59" s="49">
        <f>AVERAGE('26.09 Kajansi-Bweya-24h'!F59,'28.09 Kajansi-Bweya-24h'!F59)</f>
        <v>2</v>
      </c>
      <c r="G59" s="49">
        <f>AVERAGE('26.09 Kajansi-Bweya-24h'!G59,'28.09 Kajansi-Bweya-24h'!G59)</f>
        <v>0.5</v>
      </c>
      <c r="H59" s="49">
        <f>AVERAGE('26.09 Kajansi-Bweya-24h'!H59,'28.09 Kajansi-Bweya-24h'!H59)</f>
        <v>0</v>
      </c>
      <c r="I59" s="49">
        <f>AVERAGE('26.09 Kajansi-Bweya-24h'!I59,'28.09 Kajansi-Bweya-24h'!I59)</f>
        <v>3</v>
      </c>
      <c r="J59" s="49">
        <f>AVERAGE('26.09 Kajansi-Bweya-24h'!J59,'28.09 Kajansi-Bweya-24h'!J59)</f>
        <v>2</v>
      </c>
      <c r="K59" s="49">
        <f>AVERAGE('26.09 Kajansi-Bweya-24h'!K59,'28.09 Kajansi-Bweya-24h'!K59)</f>
        <v>0.5</v>
      </c>
      <c r="L59" s="49">
        <f>AVERAGE('26.09 Kajansi-Bweya-24h'!L59,'28.09 Kajansi-Bweya-24h'!L59)</f>
        <v>0</v>
      </c>
      <c r="M59" s="49">
        <f>AVERAGE('26.09 Kajansi-Bweya-24h'!M59,'28.09 Kajansi-Bweya-24h'!M59)</f>
        <v>26.5</v>
      </c>
      <c r="N59" s="49">
        <f>AVERAGE('26.09 Kajansi-Bweya-24h'!N59,'28.09 Kajansi-Bweya-24h'!N59)</f>
        <v>0</v>
      </c>
      <c r="O59" s="15">
        <f t="shared" si="0"/>
        <v>58.5</v>
      </c>
      <c r="P59" s="15">
        <f t="shared" si="1"/>
        <v>85</v>
      </c>
      <c r="R59" s="8"/>
      <c r="T59"/>
    </row>
    <row r="60" spans="2:20" ht="23.1" customHeight="1" x14ac:dyDescent="0.25">
      <c r="B60" s="23" t="s">
        <v>101</v>
      </c>
      <c r="C60" s="49">
        <f>AVERAGE('26.09 Kajansi-Bweya-24h'!C60,'28.09 Kajansi-Bweya-24h'!C60)</f>
        <v>44.5</v>
      </c>
      <c r="D60" s="49">
        <f>AVERAGE('26.09 Kajansi-Bweya-24h'!D60,'28.09 Kajansi-Bweya-24h'!D60)</f>
        <v>10</v>
      </c>
      <c r="E60" s="49">
        <f>AVERAGE('26.09 Kajansi-Bweya-24h'!E60,'28.09 Kajansi-Bweya-24h'!E60)</f>
        <v>7</v>
      </c>
      <c r="F60" s="49">
        <f>AVERAGE('26.09 Kajansi-Bweya-24h'!F60,'28.09 Kajansi-Bweya-24h'!F60)</f>
        <v>2</v>
      </c>
      <c r="G60" s="49">
        <f>AVERAGE('26.09 Kajansi-Bweya-24h'!G60,'28.09 Kajansi-Bweya-24h'!G60)</f>
        <v>0.5</v>
      </c>
      <c r="H60" s="49">
        <f>AVERAGE('26.09 Kajansi-Bweya-24h'!H60,'28.09 Kajansi-Bweya-24h'!H60)</f>
        <v>0.5</v>
      </c>
      <c r="I60" s="49">
        <f>AVERAGE('26.09 Kajansi-Bweya-24h'!I60,'28.09 Kajansi-Bweya-24h'!I60)</f>
        <v>4.5</v>
      </c>
      <c r="J60" s="49">
        <f>AVERAGE('26.09 Kajansi-Bweya-24h'!J60,'28.09 Kajansi-Bweya-24h'!J60)</f>
        <v>0</v>
      </c>
      <c r="K60" s="49">
        <f>AVERAGE('26.09 Kajansi-Bweya-24h'!K60,'28.09 Kajansi-Bweya-24h'!K60)</f>
        <v>0.5</v>
      </c>
      <c r="L60" s="49">
        <f>AVERAGE('26.09 Kajansi-Bweya-24h'!L60,'28.09 Kajansi-Bweya-24h'!L60)</f>
        <v>0</v>
      </c>
      <c r="M60" s="49">
        <f>AVERAGE('26.09 Kajansi-Bweya-24h'!M60,'28.09 Kajansi-Bweya-24h'!M60)</f>
        <v>24.5</v>
      </c>
      <c r="N60" s="49">
        <f>AVERAGE('26.09 Kajansi-Bweya-24h'!N60,'28.09 Kajansi-Bweya-24h'!N60)</f>
        <v>0</v>
      </c>
      <c r="O60" s="15">
        <f t="shared" si="0"/>
        <v>69.5</v>
      </c>
      <c r="P60" s="15">
        <f t="shared" si="1"/>
        <v>94</v>
      </c>
      <c r="R60" s="8"/>
      <c r="T60"/>
    </row>
    <row r="61" spans="2:20" ht="23.1" customHeight="1" x14ac:dyDescent="0.25">
      <c r="B61" s="23" t="s">
        <v>102</v>
      </c>
      <c r="C61" s="49">
        <f>AVERAGE('26.09 Kajansi-Bweya-24h'!C61,'28.09 Kajansi-Bweya-24h'!C61)</f>
        <v>37.5</v>
      </c>
      <c r="D61" s="49">
        <f>AVERAGE('26.09 Kajansi-Bweya-24h'!D61,'28.09 Kajansi-Bweya-24h'!D61)</f>
        <v>8.5</v>
      </c>
      <c r="E61" s="49">
        <f>AVERAGE('26.09 Kajansi-Bweya-24h'!E61,'28.09 Kajansi-Bweya-24h'!E61)</f>
        <v>5</v>
      </c>
      <c r="F61" s="49">
        <f>AVERAGE('26.09 Kajansi-Bweya-24h'!F61,'28.09 Kajansi-Bweya-24h'!F61)</f>
        <v>2</v>
      </c>
      <c r="G61" s="49">
        <f>AVERAGE('26.09 Kajansi-Bweya-24h'!G61,'28.09 Kajansi-Bweya-24h'!G61)</f>
        <v>0</v>
      </c>
      <c r="H61" s="49">
        <f>AVERAGE('26.09 Kajansi-Bweya-24h'!H61,'28.09 Kajansi-Bweya-24h'!H61)</f>
        <v>0</v>
      </c>
      <c r="I61" s="49">
        <f>AVERAGE('26.09 Kajansi-Bweya-24h'!I61,'28.09 Kajansi-Bweya-24h'!I61)</f>
        <v>1.5</v>
      </c>
      <c r="J61" s="49">
        <f>AVERAGE('26.09 Kajansi-Bweya-24h'!J61,'28.09 Kajansi-Bweya-24h'!J61)</f>
        <v>0</v>
      </c>
      <c r="K61" s="49">
        <f>AVERAGE('26.09 Kajansi-Bweya-24h'!K61,'28.09 Kajansi-Bweya-24h'!K61)</f>
        <v>0</v>
      </c>
      <c r="L61" s="49">
        <f>AVERAGE('26.09 Kajansi-Bweya-24h'!L61,'28.09 Kajansi-Bweya-24h'!L61)</f>
        <v>0</v>
      </c>
      <c r="M61" s="49">
        <f>AVERAGE('26.09 Kajansi-Bweya-24h'!M61,'28.09 Kajansi-Bweya-24h'!M61)</f>
        <v>29</v>
      </c>
      <c r="N61" s="49">
        <f>AVERAGE('26.09 Kajansi-Bweya-24h'!N61,'28.09 Kajansi-Bweya-24h'!N61)</f>
        <v>0</v>
      </c>
      <c r="O61" s="15">
        <f t="shared" si="0"/>
        <v>54.5</v>
      </c>
      <c r="P61" s="15">
        <f t="shared" si="1"/>
        <v>83.5</v>
      </c>
      <c r="R61" s="8"/>
      <c r="T61"/>
    </row>
    <row r="62" spans="2:20" ht="23.1" customHeight="1" x14ac:dyDescent="0.25">
      <c r="B62" s="23" t="s">
        <v>107</v>
      </c>
      <c r="C62" s="49">
        <f>AVERAGE('26.09 Kajansi-Bweya-24h'!C62,'28.09 Kajansi-Bweya-24h'!C62)</f>
        <v>39.5</v>
      </c>
      <c r="D62" s="49">
        <f>AVERAGE('26.09 Kajansi-Bweya-24h'!D62,'28.09 Kajansi-Bweya-24h'!D62)</f>
        <v>7</v>
      </c>
      <c r="E62" s="49">
        <f>AVERAGE('26.09 Kajansi-Bweya-24h'!E62,'28.09 Kajansi-Bweya-24h'!E62)</f>
        <v>2.5</v>
      </c>
      <c r="F62" s="49">
        <f>AVERAGE('26.09 Kajansi-Bweya-24h'!F62,'28.09 Kajansi-Bweya-24h'!F62)</f>
        <v>1</v>
      </c>
      <c r="G62" s="49">
        <f>AVERAGE('26.09 Kajansi-Bweya-24h'!G62,'28.09 Kajansi-Bweya-24h'!G62)</f>
        <v>1</v>
      </c>
      <c r="H62" s="49">
        <f>AVERAGE('26.09 Kajansi-Bweya-24h'!H62,'28.09 Kajansi-Bweya-24h'!H62)</f>
        <v>0</v>
      </c>
      <c r="I62" s="49">
        <f>AVERAGE('26.09 Kajansi-Bweya-24h'!I62,'28.09 Kajansi-Bweya-24h'!I62)</f>
        <v>3</v>
      </c>
      <c r="J62" s="49">
        <f>AVERAGE('26.09 Kajansi-Bweya-24h'!J62,'28.09 Kajansi-Bweya-24h'!J62)</f>
        <v>1.5</v>
      </c>
      <c r="K62" s="49">
        <f>AVERAGE('26.09 Kajansi-Bweya-24h'!K62,'28.09 Kajansi-Bweya-24h'!K62)</f>
        <v>1</v>
      </c>
      <c r="L62" s="49">
        <f>AVERAGE('26.09 Kajansi-Bweya-24h'!L62,'28.09 Kajansi-Bweya-24h'!L62)</f>
        <v>0</v>
      </c>
      <c r="M62" s="49">
        <f>AVERAGE('26.09 Kajansi-Bweya-24h'!M62,'28.09 Kajansi-Bweya-24h'!M62)</f>
        <v>28.5</v>
      </c>
      <c r="N62" s="49">
        <f>AVERAGE('26.09 Kajansi-Bweya-24h'!N62,'28.09 Kajansi-Bweya-24h'!N62)</f>
        <v>0</v>
      </c>
      <c r="O62" s="15">
        <f t="shared" si="0"/>
        <v>56.5</v>
      </c>
      <c r="P62" s="15">
        <f t="shared" si="1"/>
        <v>85</v>
      </c>
      <c r="R62" s="8"/>
      <c r="T62"/>
    </row>
    <row r="63" spans="2:20" ht="23.1" customHeight="1" x14ac:dyDescent="0.25">
      <c r="B63" s="23" t="s">
        <v>108</v>
      </c>
      <c r="C63" s="49">
        <f>AVERAGE('26.09 Kajansi-Bweya-24h'!C63,'28.09 Kajansi-Bweya-24h'!C63)</f>
        <v>26.5</v>
      </c>
      <c r="D63" s="49">
        <f>AVERAGE('26.09 Kajansi-Bweya-24h'!D63,'28.09 Kajansi-Bweya-24h'!D63)</f>
        <v>6.5</v>
      </c>
      <c r="E63" s="49">
        <f>AVERAGE('26.09 Kajansi-Bweya-24h'!E63,'28.09 Kajansi-Bweya-24h'!E63)</f>
        <v>5.5</v>
      </c>
      <c r="F63" s="49">
        <f>AVERAGE('26.09 Kajansi-Bweya-24h'!F63,'28.09 Kajansi-Bweya-24h'!F63)</f>
        <v>3</v>
      </c>
      <c r="G63" s="49">
        <f>AVERAGE('26.09 Kajansi-Bweya-24h'!G63,'28.09 Kajansi-Bweya-24h'!G63)</f>
        <v>0.5</v>
      </c>
      <c r="H63" s="49">
        <f>AVERAGE('26.09 Kajansi-Bweya-24h'!H63,'28.09 Kajansi-Bweya-24h'!H63)</f>
        <v>0</v>
      </c>
      <c r="I63" s="49">
        <f>AVERAGE('26.09 Kajansi-Bweya-24h'!I63,'28.09 Kajansi-Bweya-24h'!I63)</f>
        <v>4</v>
      </c>
      <c r="J63" s="49">
        <f>AVERAGE('26.09 Kajansi-Bweya-24h'!J63,'28.09 Kajansi-Bweya-24h'!J63)</f>
        <v>0</v>
      </c>
      <c r="K63" s="49">
        <f>AVERAGE('26.09 Kajansi-Bweya-24h'!K63,'28.09 Kajansi-Bweya-24h'!K63)</f>
        <v>0</v>
      </c>
      <c r="L63" s="49">
        <f>AVERAGE('26.09 Kajansi-Bweya-24h'!L63,'28.09 Kajansi-Bweya-24h'!L63)</f>
        <v>0</v>
      </c>
      <c r="M63" s="49">
        <f>AVERAGE('26.09 Kajansi-Bweya-24h'!M63,'28.09 Kajansi-Bweya-24h'!M63)</f>
        <v>25.5</v>
      </c>
      <c r="N63" s="49">
        <f>AVERAGE('26.09 Kajansi-Bweya-24h'!N63,'28.09 Kajansi-Bweya-24h'!N63)</f>
        <v>0</v>
      </c>
      <c r="O63" s="15">
        <f t="shared" si="0"/>
        <v>46</v>
      </c>
      <c r="P63" s="15">
        <f t="shared" si="1"/>
        <v>71.5</v>
      </c>
      <c r="R63" s="8"/>
      <c r="T63"/>
    </row>
    <row r="64" spans="2:20" ht="23.1" customHeight="1" x14ac:dyDescent="0.25">
      <c r="B64" s="23" t="s">
        <v>109</v>
      </c>
      <c r="C64" s="49">
        <f>AVERAGE('26.09 Kajansi-Bweya-24h'!C64,'28.09 Kajansi-Bweya-24h'!C64)</f>
        <v>28.5</v>
      </c>
      <c r="D64" s="49">
        <f>AVERAGE('26.09 Kajansi-Bweya-24h'!D64,'28.09 Kajansi-Bweya-24h'!D64)</f>
        <v>5.5</v>
      </c>
      <c r="E64" s="49">
        <f>AVERAGE('26.09 Kajansi-Bweya-24h'!E64,'28.09 Kajansi-Bweya-24h'!E64)</f>
        <v>3</v>
      </c>
      <c r="F64" s="49">
        <f>AVERAGE('26.09 Kajansi-Bweya-24h'!F64,'28.09 Kajansi-Bweya-24h'!F64)</f>
        <v>3</v>
      </c>
      <c r="G64" s="49">
        <f>AVERAGE('26.09 Kajansi-Bweya-24h'!G64,'28.09 Kajansi-Bweya-24h'!G64)</f>
        <v>1.5</v>
      </c>
      <c r="H64" s="49">
        <f>AVERAGE('26.09 Kajansi-Bweya-24h'!H64,'28.09 Kajansi-Bweya-24h'!H64)</f>
        <v>0</v>
      </c>
      <c r="I64" s="49">
        <f>AVERAGE('26.09 Kajansi-Bweya-24h'!I64,'28.09 Kajansi-Bweya-24h'!I64)</f>
        <v>1</v>
      </c>
      <c r="J64" s="49">
        <f>AVERAGE('26.09 Kajansi-Bweya-24h'!J64,'28.09 Kajansi-Bweya-24h'!J64)</f>
        <v>0.5</v>
      </c>
      <c r="K64" s="49">
        <f>AVERAGE('26.09 Kajansi-Bweya-24h'!K64,'28.09 Kajansi-Bweya-24h'!K64)</f>
        <v>0</v>
      </c>
      <c r="L64" s="49">
        <f>AVERAGE('26.09 Kajansi-Bweya-24h'!L64,'28.09 Kajansi-Bweya-24h'!L64)</f>
        <v>0</v>
      </c>
      <c r="M64" s="49">
        <f>AVERAGE('26.09 Kajansi-Bweya-24h'!M64,'28.09 Kajansi-Bweya-24h'!M64)</f>
        <v>23.5</v>
      </c>
      <c r="N64" s="49">
        <f>AVERAGE('26.09 Kajansi-Bweya-24h'!N64,'28.09 Kajansi-Bweya-24h'!N64)</f>
        <v>0</v>
      </c>
      <c r="O64" s="15">
        <f t="shared" si="0"/>
        <v>43</v>
      </c>
      <c r="P64" s="15">
        <f t="shared" si="1"/>
        <v>66.5</v>
      </c>
      <c r="R64" s="8"/>
      <c r="T64"/>
    </row>
    <row r="65" spans="2:20" ht="23.1" customHeight="1" x14ac:dyDescent="0.25">
      <c r="B65" s="23" t="s">
        <v>158</v>
      </c>
      <c r="C65" s="49">
        <f>AVERAGE('26.09 Kajansi-Bweya-24h'!C65,'28.09 Kajansi-Bweya-24h'!C65)</f>
        <v>32</v>
      </c>
      <c r="D65" s="49">
        <f>AVERAGE('26.09 Kajansi-Bweya-24h'!D65,'28.09 Kajansi-Bweya-24h'!D65)</f>
        <v>12</v>
      </c>
      <c r="E65" s="49">
        <f>AVERAGE('26.09 Kajansi-Bweya-24h'!E65,'28.09 Kajansi-Bweya-24h'!E65)</f>
        <v>2.5</v>
      </c>
      <c r="F65" s="49">
        <f>AVERAGE('26.09 Kajansi-Bweya-24h'!F65,'28.09 Kajansi-Bweya-24h'!F65)</f>
        <v>1.5</v>
      </c>
      <c r="G65" s="49">
        <f>AVERAGE('26.09 Kajansi-Bweya-24h'!G65,'28.09 Kajansi-Bweya-24h'!G65)</f>
        <v>0</v>
      </c>
      <c r="H65" s="49">
        <f>AVERAGE('26.09 Kajansi-Bweya-24h'!H65,'28.09 Kajansi-Bweya-24h'!H65)</f>
        <v>0</v>
      </c>
      <c r="I65" s="49">
        <f>AVERAGE('26.09 Kajansi-Bweya-24h'!I65,'28.09 Kajansi-Bweya-24h'!I65)</f>
        <v>0.5</v>
      </c>
      <c r="J65" s="49">
        <f>AVERAGE('26.09 Kajansi-Bweya-24h'!J65,'28.09 Kajansi-Bweya-24h'!J65)</f>
        <v>0</v>
      </c>
      <c r="K65" s="49">
        <f>AVERAGE('26.09 Kajansi-Bweya-24h'!K65,'28.09 Kajansi-Bweya-24h'!K65)</f>
        <v>0</v>
      </c>
      <c r="L65" s="49">
        <f>AVERAGE('26.09 Kajansi-Bweya-24h'!L65,'28.09 Kajansi-Bweya-24h'!L65)</f>
        <v>0</v>
      </c>
      <c r="M65" s="49">
        <f>AVERAGE('26.09 Kajansi-Bweya-24h'!M65,'28.09 Kajansi-Bweya-24h'!M65)</f>
        <v>24</v>
      </c>
      <c r="N65" s="49">
        <f>AVERAGE('26.09 Kajansi-Bweya-24h'!N65,'28.09 Kajansi-Bweya-24h'!N65)</f>
        <v>0</v>
      </c>
      <c r="O65" s="15">
        <f t="shared" si="0"/>
        <v>48.5</v>
      </c>
      <c r="P65" s="15">
        <f t="shared" si="1"/>
        <v>72.5</v>
      </c>
      <c r="R65" s="8"/>
      <c r="T65"/>
    </row>
    <row r="66" spans="2:20" ht="23.1" customHeight="1" x14ac:dyDescent="0.25">
      <c r="B66" s="23" t="s">
        <v>103</v>
      </c>
      <c r="C66" s="49">
        <f>AVERAGE('26.09 Kajansi-Bweya-24h'!C66,'28.09 Kajansi-Bweya-24h'!C66)</f>
        <v>26</v>
      </c>
      <c r="D66" s="49">
        <f>AVERAGE('26.09 Kajansi-Bweya-24h'!D66,'28.09 Kajansi-Bweya-24h'!D66)</f>
        <v>6</v>
      </c>
      <c r="E66" s="49">
        <f>AVERAGE('26.09 Kajansi-Bweya-24h'!E66,'28.09 Kajansi-Bweya-24h'!E66)</f>
        <v>4.5</v>
      </c>
      <c r="F66" s="49">
        <f>AVERAGE('26.09 Kajansi-Bweya-24h'!F66,'28.09 Kajansi-Bweya-24h'!F66)</f>
        <v>1</v>
      </c>
      <c r="G66" s="49">
        <f>AVERAGE('26.09 Kajansi-Bweya-24h'!G66,'28.09 Kajansi-Bweya-24h'!G66)</f>
        <v>0</v>
      </c>
      <c r="H66" s="49">
        <f>AVERAGE('26.09 Kajansi-Bweya-24h'!H66,'28.09 Kajansi-Bweya-24h'!H66)</f>
        <v>0</v>
      </c>
      <c r="I66" s="49">
        <f>AVERAGE('26.09 Kajansi-Bweya-24h'!I66,'28.09 Kajansi-Bweya-24h'!I66)</f>
        <v>2.5</v>
      </c>
      <c r="J66" s="49">
        <f>AVERAGE('26.09 Kajansi-Bweya-24h'!J66,'28.09 Kajansi-Bweya-24h'!J66)</f>
        <v>2</v>
      </c>
      <c r="K66" s="49">
        <f>AVERAGE('26.09 Kajansi-Bweya-24h'!K66,'28.09 Kajansi-Bweya-24h'!K66)</f>
        <v>0.5</v>
      </c>
      <c r="L66" s="49">
        <f>AVERAGE('26.09 Kajansi-Bweya-24h'!L66,'28.09 Kajansi-Bweya-24h'!L66)</f>
        <v>0</v>
      </c>
      <c r="M66" s="49">
        <f>AVERAGE('26.09 Kajansi-Bweya-24h'!M66,'28.09 Kajansi-Bweya-24h'!M66)</f>
        <v>13</v>
      </c>
      <c r="N66" s="49">
        <f>AVERAGE('26.09 Kajansi-Bweya-24h'!N66,'28.09 Kajansi-Bweya-24h'!N66)</f>
        <v>0</v>
      </c>
      <c r="O66" s="15">
        <f t="shared" si="0"/>
        <v>42.5</v>
      </c>
      <c r="P66" s="15">
        <f t="shared" si="1"/>
        <v>55.5</v>
      </c>
      <c r="R66" s="8"/>
      <c r="T66"/>
    </row>
    <row r="67" spans="2:20" ht="23.1" customHeight="1" x14ac:dyDescent="0.25">
      <c r="B67" s="23" t="s">
        <v>104</v>
      </c>
      <c r="C67" s="49">
        <f>AVERAGE('26.09 Kajansi-Bweya-24h'!C67,'28.09 Kajansi-Bweya-24h'!C67)</f>
        <v>18.5</v>
      </c>
      <c r="D67" s="49">
        <f>AVERAGE('26.09 Kajansi-Bweya-24h'!D67,'28.09 Kajansi-Bweya-24h'!D67)</f>
        <v>7.5</v>
      </c>
      <c r="E67" s="49">
        <f>AVERAGE('26.09 Kajansi-Bweya-24h'!E67,'28.09 Kajansi-Bweya-24h'!E67)</f>
        <v>3.5</v>
      </c>
      <c r="F67" s="49">
        <f>AVERAGE('26.09 Kajansi-Bweya-24h'!F67,'28.09 Kajansi-Bweya-24h'!F67)</f>
        <v>0</v>
      </c>
      <c r="G67" s="49">
        <f>AVERAGE('26.09 Kajansi-Bweya-24h'!G67,'28.09 Kajansi-Bweya-24h'!G67)</f>
        <v>0.5</v>
      </c>
      <c r="H67" s="49">
        <f>AVERAGE('26.09 Kajansi-Bweya-24h'!H67,'28.09 Kajansi-Bweya-24h'!H67)</f>
        <v>0</v>
      </c>
      <c r="I67" s="49">
        <f>AVERAGE('26.09 Kajansi-Bweya-24h'!I67,'28.09 Kajansi-Bweya-24h'!I67)</f>
        <v>1.5</v>
      </c>
      <c r="J67" s="49">
        <f>AVERAGE('26.09 Kajansi-Bweya-24h'!J67,'28.09 Kajansi-Bweya-24h'!J67)</f>
        <v>0</v>
      </c>
      <c r="K67" s="49">
        <f>AVERAGE('26.09 Kajansi-Bweya-24h'!K67,'28.09 Kajansi-Bweya-24h'!K67)</f>
        <v>0</v>
      </c>
      <c r="L67" s="49">
        <f>AVERAGE('26.09 Kajansi-Bweya-24h'!L67,'28.09 Kajansi-Bweya-24h'!L67)</f>
        <v>0</v>
      </c>
      <c r="M67" s="49">
        <f>AVERAGE('26.09 Kajansi-Bweya-24h'!M67,'28.09 Kajansi-Bweya-24h'!M67)</f>
        <v>12.5</v>
      </c>
      <c r="N67" s="49">
        <f>AVERAGE('26.09 Kajansi-Bweya-24h'!N67,'28.09 Kajansi-Bweya-24h'!N67)</f>
        <v>0</v>
      </c>
      <c r="O67" s="15">
        <f t="shared" si="0"/>
        <v>31.5</v>
      </c>
      <c r="P67" s="15">
        <f t="shared" si="1"/>
        <v>44</v>
      </c>
      <c r="R67" s="8"/>
      <c r="T67"/>
    </row>
    <row r="68" spans="2:20" ht="23.1" customHeight="1" x14ac:dyDescent="0.25">
      <c r="B68" s="23" t="s">
        <v>105</v>
      </c>
      <c r="C68" s="49">
        <f>AVERAGE('26.09 Kajansi-Bweya-24h'!C68,'28.09 Kajansi-Bweya-24h'!C68)</f>
        <v>30</v>
      </c>
      <c r="D68" s="49">
        <f>AVERAGE('26.09 Kajansi-Bweya-24h'!D68,'28.09 Kajansi-Bweya-24h'!D68)</f>
        <v>4.5</v>
      </c>
      <c r="E68" s="49">
        <f>AVERAGE('26.09 Kajansi-Bweya-24h'!E68,'28.09 Kajansi-Bweya-24h'!E68)</f>
        <v>1.5</v>
      </c>
      <c r="F68" s="49">
        <f>AVERAGE('26.09 Kajansi-Bweya-24h'!F68,'28.09 Kajansi-Bweya-24h'!F68)</f>
        <v>1.5</v>
      </c>
      <c r="G68" s="49">
        <f>AVERAGE('26.09 Kajansi-Bweya-24h'!G68,'28.09 Kajansi-Bweya-24h'!G68)</f>
        <v>0.5</v>
      </c>
      <c r="H68" s="49">
        <f>AVERAGE('26.09 Kajansi-Bweya-24h'!H68,'28.09 Kajansi-Bweya-24h'!H68)</f>
        <v>0</v>
      </c>
      <c r="I68" s="49">
        <f>AVERAGE('26.09 Kajansi-Bweya-24h'!I68,'28.09 Kajansi-Bweya-24h'!I68)</f>
        <v>2</v>
      </c>
      <c r="J68" s="49">
        <f>AVERAGE('26.09 Kajansi-Bweya-24h'!J68,'28.09 Kajansi-Bweya-24h'!J68)</f>
        <v>0.5</v>
      </c>
      <c r="K68" s="49">
        <f>AVERAGE('26.09 Kajansi-Bweya-24h'!K68,'28.09 Kajansi-Bweya-24h'!K68)</f>
        <v>0.5</v>
      </c>
      <c r="L68" s="49">
        <f>AVERAGE('26.09 Kajansi-Bweya-24h'!L68,'28.09 Kajansi-Bweya-24h'!L68)</f>
        <v>0</v>
      </c>
      <c r="M68" s="49">
        <f>AVERAGE('26.09 Kajansi-Bweya-24h'!M68,'28.09 Kajansi-Bweya-24h'!M68)</f>
        <v>14</v>
      </c>
      <c r="N68" s="49">
        <f>AVERAGE('26.09 Kajansi-Bweya-24h'!N68,'28.09 Kajansi-Bweya-24h'!N68)</f>
        <v>0</v>
      </c>
      <c r="O68" s="15">
        <f t="shared" si="0"/>
        <v>41</v>
      </c>
      <c r="P68" s="15">
        <f t="shared" si="1"/>
        <v>55</v>
      </c>
      <c r="R68" s="8"/>
      <c r="T68"/>
    </row>
    <row r="69" spans="2:20" ht="23.1" customHeight="1" x14ac:dyDescent="0.25">
      <c r="B69" s="23" t="s">
        <v>106</v>
      </c>
      <c r="C69" s="49">
        <f>AVERAGE('26.09 Kajansi-Bweya-24h'!C69,'28.09 Kajansi-Bweya-24h'!C69)</f>
        <v>22.5</v>
      </c>
      <c r="D69" s="49">
        <f>AVERAGE('26.09 Kajansi-Bweya-24h'!D69,'28.09 Kajansi-Bweya-24h'!D69)</f>
        <v>2</v>
      </c>
      <c r="E69" s="49">
        <f>AVERAGE('26.09 Kajansi-Bweya-24h'!E69,'28.09 Kajansi-Bweya-24h'!E69)</f>
        <v>1</v>
      </c>
      <c r="F69" s="49">
        <f>AVERAGE('26.09 Kajansi-Bweya-24h'!F69,'28.09 Kajansi-Bweya-24h'!F69)</f>
        <v>0.5</v>
      </c>
      <c r="G69" s="49">
        <f>AVERAGE('26.09 Kajansi-Bweya-24h'!G69,'28.09 Kajansi-Bweya-24h'!G69)</f>
        <v>0</v>
      </c>
      <c r="H69" s="49">
        <f>AVERAGE('26.09 Kajansi-Bweya-24h'!H69,'28.09 Kajansi-Bweya-24h'!H69)</f>
        <v>0</v>
      </c>
      <c r="I69" s="49">
        <f>AVERAGE('26.09 Kajansi-Bweya-24h'!I69,'28.09 Kajansi-Bweya-24h'!I69)</f>
        <v>1</v>
      </c>
      <c r="J69" s="49">
        <f>AVERAGE('26.09 Kajansi-Bweya-24h'!J69,'28.09 Kajansi-Bweya-24h'!J69)</f>
        <v>1</v>
      </c>
      <c r="K69" s="49">
        <f>AVERAGE('26.09 Kajansi-Bweya-24h'!K69,'28.09 Kajansi-Bweya-24h'!K69)</f>
        <v>0.5</v>
      </c>
      <c r="L69" s="49">
        <f>AVERAGE('26.09 Kajansi-Bweya-24h'!L69,'28.09 Kajansi-Bweya-24h'!L69)</f>
        <v>0</v>
      </c>
      <c r="M69" s="49">
        <f>AVERAGE('26.09 Kajansi-Bweya-24h'!M69,'28.09 Kajansi-Bweya-24h'!M69)</f>
        <v>4.5</v>
      </c>
      <c r="N69" s="49">
        <f>AVERAGE('26.09 Kajansi-Bweya-24h'!N69,'28.09 Kajansi-Bweya-24h'!N69)</f>
        <v>0</v>
      </c>
      <c r="O69" s="15">
        <f t="shared" si="0"/>
        <v>28.5</v>
      </c>
      <c r="P69" s="15">
        <f t="shared" si="1"/>
        <v>33</v>
      </c>
      <c r="R69" s="8"/>
      <c r="T69"/>
    </row>
    <row r="70" spans="2:20" ht="23.1" customHeight="1" x14ac:dyDescent="0.25">
      <c r="B70" s="23" t="s">
        <v>110</v>
      </c>
      <c r="C70" s="49">
        <f>AVERAGE('26.09 Kajansi-Bweya-24h'!C70,'28.09 Kajansi-Bweya-24h'!C70)</f>
        <v>21</v>
      </c>
      <c r="D70" s="49">
        <f>AVERAGE('26.09 Kajansi-Bweya-24h'!D70,'28.09 Kajansi-Bweya-24h'!D70)</f>
        <v>4.5</v>
      </c>
      <c r="E70" s="49">
        <f>AVERAGE('26.09 Kajansi-Bweya-24h'!E70,'28.09 Kajansi-Bweya-24h'!E70)</f>
        <v>3</v>
      </c>
      <c r="F70" s="49">
        <f>AVERAGE('26.09 Kajansi-Bweya-24h'!F70,'28.09 Kajansi-Bweya-24h'!F70)</f>
        <v>2</v>
      </c>
      <c r="G70" s="49">
        <f>AVERAGE('26.09 Kajansi-Bweya-24h'!G70,'28.09 Kajansi-Bweya-24h'!G70)</f>
        <v>0</v>
      </c>
      <c r="H70" s="49">
        <f>AVERAGE('26.09 Kajansi-Bweya-24h'!H70,'28.09 Kajansi-Bweya-24h'!H70)</f>
        <v>0</v>
      </c>
      <c r="I70" s="49">
        <f>AVERAGE('26.09 Kajansi-Bweya-24h'!I70,'28.09 Kajansi-Bweya-24h'!I70)</f>
        <v>1.5</v>
      </c>
      <c r="J70" s="49">
        <f>AVERAGE('26.09 Kajansi-Bweya-24h'!J70,'28.09 Kajansi-Bweya-24h'!J70)</f>
        <v>0</v>
      </c>
      <c r="K70" s="49">
        <f>AVERAGE('26.09 Kajansi-Bweya-24h'!K70,'28.09 Kajansi-Bweya-24h'!K70)</f>
        <v>0.5</v>
      </c>
      <c r="L70" s="49">
        <f>AVERAGE('26.09 Kajansi-Bweya-24h'!L70,'28.09 Kajansi-Bweya-24h'!L70)</f>
        <v>0</v>
      </c>
      <c r="M70" s="49">
        <f>AVERAGE('26.09 Kajansi-Bweya-24h'!M70,'28.09 Kajansi-Bweya-24h'!M70)</f>
        <v>17.5</v>
      </c>
      <c r="N70" s="49">
        <f>AVERAGE('26.09 Kajansi-Bweya-24h'!N70,'28.09 Kajansi-Bweya-24h'!N70)</f>
        <v>0</v>
      </c>
      <c r="O70" s="15">
        <f t="shared" si="0"/>
        <v>32.5</v>
      </c>
      <c r="P70" s="15">
        <f t="shared" si="1"/>
        <v>50</v>
      </c>
      <c r="R70" s="8"/>
      <c r="T70"/>
    </row>
    <row r="71" spans="2:20" ht="23.1" customHeight="1" x14ac:dyDescent="0.25">
      <c r="B71" s="23" t="s">
        <v>111</v>
      </c>
      <c r="C71" s="49">
        <f>AVERAGE('26.09 Kajansi-Bweya-24h'!C71,'28.09 Kajansi-Bweya-24h'!C71)</f>
        <v>23.5</v>
      </c>
      <c r="D71" s="49">
        <f>AVERAGE('26.09 Kajansi-Bweya-24h'!D71,'28.09 Kajansi-Bweya-24h'!D71)</f>
        <v>5</v>
      </c>
      <c r="E71" s="49">
        <f>AVERAGE('26.09 Kajansi-Bweya-24h'!E71,'28.09 Kajansi-Bweya-24h'!E71)</f>
        <v>2</v>
      </c>
      <c r="F71" s="49">
        <f>AVERAGE('26.09 Kajansi-Bweya-24h'!F71,'28.09 Kajansi-Bweya-24h'!F71)</f>
        <v>3</v>
      </c>
      <c r="G71" s="49">
        <f>AVERAGE('26.09 Kajansi-Bweya-24h'!G71,'28.09 Kajansi-Bweya-24h'!G71)</f>
        <v>0.5</v>
      </c>
      <c r="H71" s="49">
        <f>AVERAGE('26.09 Kajansi-Bweya-24h'!H71,'28.09 Kajansi-Bweya-24h'!H71)</f>
        <v>0</v>
      </c>
      <c r="I71" s="49">
        <f>AVERAGE('26.09 Kajansi-Bweya-24h'!I71,'28.09 Kajansi-Bweya-24h'!I71)</f>
        <v>1</v>
      </c>
      <c r="J71" s="49">
        <f>AVERAGE('26.09 Kajansi-Bweya-24h'!J71,'28.09 Kajansi-Bweya-24h'!J71)</f>
        <v>0</v>
      </c>
      <c r="K71" s="49">
        <f>AVERAGE('26.09 Kajansi-Bweya-24h'!K71,'28.09 Kajansi-Bweya-24h'!K71)</f>
        <v>0</v>
      </c>
      <c r="L71" s="49">
        <f>AVERAGE('26.09 Kajansi-Bweya-24h'!L71,'28.09 Kajansi-Bweya-24h'!L71)</f>
        <v>0</v>
      </c>
      <c r="M71" s="49">
        <f>AVERAGE('26.09 Kajansi-Bweya-24h'!M71,'28.09 Kajansi-Bweya-24h'!M71)</f>
        <v>8</v>
      </c>
      <c r="N71" s="49">
        <f>AVERAGE('26.09 Kajansi-Bweya-24h'!N71,'28.09 Kajansi-Bweya-24h'!N71)</f>
        <v>0</v>
      </c>
      <c r="O71" s="15">
        <f t="shared" si="0"/>
        <v>35</v>
      </c>
      <c r="P71" s="15">
        <f t="shared" si="1"/>
        <v>43</v>
      </c>
      <c r="R71" s="8"/>
      <c r="T71"/>
    </row>
    <row r="72" spans="2:20" ht="23.1" customHeight="1" x14ac:dyDescent="0.25">
      <c r="B72" s="23" t="s">
        <v>112</v>
      </c>
      <c r="C72" s="49">
        <f>AVERAGE('26.09 Kajansi-Bweya-24h'!C72,'28.09 Kajansi-Bweya-24h'!C72)</f>
        <v>19.5</v>
      </c>
      <c r="D72" s="49">
        <f>AVERAGE('26.09 Kajansi-Bweya-24h'!D72,'28.09 Kajansi-Bweya-24h'!D72)</f>
        <v>6.5</v>
      </c>
      <c r="E72" s="49">
        <f>AVERAGE('26.09 Kajansi-Bweya-24h'!E72,'28.09 Kajansi-Bweya-24h'!E72)</f>
        <v>0.5</v>
      </c>
      <c r="F72" s="49">
        <f>AVERAGE('26.09 Kajansi-Bweya-24h'!F72,'28.09 Kajansi-Bweya-24h'!F72)</f>
        <v>0.5</v>
      </c>
      <c r="G72" s="49">
        <f>AVERAGE('26.09 Kajansi-Bweya-24h'!G72,'28.09 Kajansi-Bweya-24h'!G72)</f>
        <v>1</v>
      </c>
      <c r="H72" s="49">
        <f>AVERAGE('26.09 Kajansi-Bweya-24h'!H72,'28.09 Kajansi-Bweya-24h'!H72)</f>
        <v>0</v>
      </c>
      <c r="I72" s="49">
        <f>AVERAGE('26.09 Kajansi-Bweya-24h'!I72,'28.09 Kajansi-Bweya-24h'!I72)</f>
        <v>0</v>
      </c>
      <c r="J72" s="49">
        <f>AVERAGE('26.09 Kajansi-Bweya-24h'!J72,'28.09 Kajansi-Bweya-24h'!J72)</f>
        <v>1</v>
      </c>
      <c r="K72" s="49">
        <f>AVERAGE('26.09 Kajansi-Bweya-24h'!K72,'28.09 Kajansi-Bweya-24h'!K72)</f>
        <v>0</v>
      </c>
      <c r="L72" s="49">
        <f>AVERAGE('26.09 Kajansi-Bweya-24h'!L72,'28.09 Kajansi-Bweya-24h'!L72)</f>
        <v>0</v>
      </c>
      <c r="M72" s="49">
        <f>AVERAGE('26.09 Kajansi-Bweya-24h'!M72,'28.09 Kajansi-Bweya-24h'!M72)</f>
        <v>11.5</v>
      </c>
      <c r="N72" s="49">
        <f>AVERAGE('26.09 Kajansi-Bweya-24h'!N72,'28.09 Kajansi-Bweya-24h'!N72)</f>
        <v>0</v>
      </c>
      <c r="O72" s="15">
        <f t="shared" si="0"/>
        <v>29</v>
      </c>
      <c r="P72" s="15">
        <f t="shared" si="1"/>
        <v>40.5</v>
      </c>
      <c r="R72" s="8"/>
      <c r="T72"/>
    </row>
    <row r="73" spans="2:20" ht="23.1" customHeight="1" x14ac:dyDescent="0.25">
      <c r="B73" s="23" t="s">
        <v>113</v>
      </c>
      <c r="C73" s="49">
        <f>AVERAGE('26.09 Kajansi-Bweya-24h'!C73,'28.09 Kajansi-Bweya-24h'!C73)</f>
        <v>13.5</v>
      </c>
      <c r="D73" s="49">
        <f>AVERAGE('26.09 Kajansi-Bweya-24h'!D73,'28.09 Kajansi-Bweya-24h'!D73)</f>
        <v>4.5</v>
      </c>
      <c r="E73" s="49">
        <f>AVERAGE('26.09 Kajansi-Bweya-24h'!E73,'28.09 Kajansi-Bweya-24h'!E73)</f>
        <v>1</v>
      </c>
      <c r="F73" s="49">
        <f>AVERAGE('26.09 Kajansi-Bweya-24h'!F73,'28.09 Kajansi-Bweya-24h'!F73)</f>
        <v>0.5</v>
      </c>
      <c r="G73" s="49">
        <f>AVERAGE('26.09 Kajansi-Bweya-24h'!G73,'28.09 Kajansi-Bweya-24h'!G73)</f>
        <v>0</v>
      </c>
      <c r="H73" s="49">
        <f>AVERAGE('26.09 Kajansi-Bweya-24h'!H73,'28.09 Kajansi-Bweya-24h'!H73)</f>
        <v>0</v>
      </c>
      <c r="I73" s="49">
        <f>AVERAGE('26.09 Kajansi-Bweya-24h'!I73,'28.09 Kajansi-Bweya-24h'!I73)</f>
        <v>2</v>
      </c>
      <c r="J73" s="49">
        <f>AVERAGE('26.09 Kajansi-Bweya-24h'!J73,'28.09 Kajansi-Bweya-24h'!J73)</f>
        <v>0</v>
      </c>
      <c r="K73" s="49">
        <f>AVERAGE('26.09 Kajansi-Bweya-24h'!K73,'28.09 Kajansi-Bweya-24h'!K73)</f>
        <v>0</v>
      </c>
      <c r="L73" s="49">
        <f>AVERAGE('26.09 Kajansi-Bweya-24h'!L73,'28.09 Kajansi-Bweya-24h'!L73)</f>
        <v>0</v>
      </c>
      <c r="M73" s="49">
        <f>AVERAGE('26.09 Kajansi-Bweya-24h'!M73,'28.09 Kajansi-Bweya-24h'!M73)</f>
        <v>8</v>
      </c>
      <c r="N73" s="49">
        <f>AVERAGE('26.09 Kajansi-Bweya-24h'!N73,'28.09 Kajansi-Bweya-24h'!N73)</f>
        <v>0</v>
      </c>
      <c r="O73" s="15">
        <f t="shared" si="0"/>
        <v>21.5</v>
      </c>
      <c r="P73" s="15">
        <f t="shared" si="1"/>
        <v>29.5</v>
      </c>
      <c r="R73" s="8"/>
      <c r="T73"/>
    </row>
    <row r="74" spans="2:20" ht="23.1" customHeight="1" x14ac:dyDescent="0.25">
      <c r="B74" s="23" t="s">
        <v>114</v>
      </c>
      <c r="C74" s="49">
        <f>AVERAGE('26.09 Kajansi-Bweya-24h'!C74,'28.09 Kajansi-Bweya-24h'!C74)</f>
        <v>11.5</v>
      </c>
      <c r="D74" s="49">
        <f>AVERAGE('26.09 Kajansi-Bweya-24h'!D74,'28.09 Kajansi-Bweya-24h'!D74)</f>
        <v>7</v>
      </c>
      <c r="E74" s="49">
        <f>AVERAGE('26.09 Kajansi-Bweya-24h'!E74,'28.09 Kajansi-Bweya-24h'!E74)</f>
        <v>0.5</v>
      </c>
      <c r="F74" s="49">
        <f>AVERAGE('26.09 Kajansi-Bweya-24h'!F74,'28.09 Kajansi-Bweya-24h'!F74)</f>
        <v>0.5</v>
      </c>
      <c r="G74" s="49">
        <f>AVERAGE('26.09 Kajansi-Bweya-24h'!G74,'28.09 Kajansi-Bweya-24h'!G74)</f>
        <v>0</v>
      </c>
      <c r="H74" s="49">
        <f>AVERAGE('26.09 Kajansi-Bweya-24h'!H74,'28.09 Kajansi-Bweya-24h'!H74)</f>
        <v>0</v>
      </c>
      <c r="I74" s="49">
        <f>AVERAGE('26.09 Kajansi-Bweya-24h'!I74,'28.09 Kajansi-Bweya-24h'!I74)</f>
        <v>0.5</v>
      </c>
      <c r="J74" s="49">
        <f>AVERAGE('26.09 Kajansi-Bweya-24h'!J74,'28.09 Kajansi-Bweya-24h'!J74)</f>
        <v>0.5</v>
      </c>
      <c r="K74" s="49">
        <f>AVERAGE('26.09 Kajansi-Bweya-24h'!K74,'28.09 Kajansi-Bweya-24h'!K74)</f>
        <v>0</v>
      </c>
      <c r="L74" s="49">
        <f>AVERAGE('26.09 Kajansi-Bweya-24h'!L74,'28.09 Kajansi-Bweya-24h'!L74)</f>
        <v>0</v>
      </c>
      <c r="M74" s="49">
        <f>AVERAGE('26.09 Kajansi-Bweya-24h'!M74,'28.09 Kajansi-Bweya-24h'!M74)</f>
        <v>8</v>
      </c>
      <c r="N74" s="49">
        <f>AVERAGE('26.09 Kajansi-Bweya-24h'!N74,'28.09 Kajansi-Bweya-24h'!N74)</f>
        <v>0</v>
      </c>
      <c r="O74" s="15">
        <f t="shared" ref="O74:O105" si="35">SUM(C74:L74,N74)</f>
        <v>20.5</v>
      </c>
      <c r="P74" s="15">
        <f t="shared" ref="P74:P105" si="36">SUM(C74:N74)</f>
        <v>28.5</v>
      </c>
      <c r="R74" s="8"/>
      <c r="T74"/>
    </row>
    <row r="75" spans="2:20" ht="23.1" customHeight="1" x14ac:dyDescent="0.25">
      <c r="B75" s="23" t="s">
        <v>115</v>
      </c>
      <c r="C75" s="49">
        <f>AVERAGE('26.09 Kajansi-Bweya-24h'!C75,'28.09 Kajansi-Bweya-24h'!C75)</f>
        <v>14.5</v>
      </c>
      <c r="D75" s="49">
        <f>AVERAGE('26.09 Kajansi-Bweya-24h'!D75,'28.09 Kajansi-Bweya-24h'!D75)</f>
        <v>3.5</v>
      </c>
      <c r="E75" s="49">
        <f>AVERAGE('26.09 Kajansi-Bweya-24h'!E75,'28.09 Kajansi-Bweya-24h'!E75)</f>
        <v>1</v>
      </c>
      <c r="F75" s="49">
        <f>AVERAGE('26.09 Kajansi-Bweya-24h'!F75,'28.09 Kajansi-Bweya-24h'!F75)</f>
        <v>2</v>
      </c>
      <c r="G75" s="49">
        <f>AVERAGE('26.09 Kajansi-Bweya-24h'!G75,'28.09 Kajansi-Bweya-24h'!G75)</f>
        <v>1</v>
      </c>
      <c r="H75" s="49">
        <f>AVERAGE('26.09 Kajansi-Bweya-24h'!H75,'28.09 Kajansi-Bweya-24h'!H75)</f>
        <v>0.5</v>
      </c>
      <c r="I75" s="49">
        <f>AVERAGE('26.09 Kajansi-Bweya-24h'!I75,'28.09 Kajansi-Bweya-24h'!I75)</f>
        <v>0.5</v>
      </c>
      <c r="J75" s="49">
        <f>AVERAGE('26.09 Kajansi-Bweya-24h'!J75,'28.09 Kajansi-Bweya-24h'!J75)</f>
        <v>0</v>
      </c>
      <c r="K75" s="49">
        <f>AVERAGE('26.09 Kajansi-Bweya-24h'!K75,'28.09 Kajansi-Bweya-24h'!K75)</f>
        <v>0</v>
      </c>
      <c r="L75" s="49">
        <f>AVERAGE('26.09 Kajansi-Bweya-24h'!L75,'28.09 Kajansi-Bweya-24h'!L75)</f>
        <v>0</v>
      </c>
      <c r="M75" s="49">
        <f>AVERAGE('26.09 Kajansi-Bweya-24h'!M75,'28.09 Kajansi-Bweya-24h'!M75)</f>
        <v>7</v>
      </c>
      <c r="N75" s="49">
        <f>AVERAGE('26.09 Kajansi-Bweya-24h'!N75,'28.09 Kajansi-Bweya-24h'!N75)</f>
        <v>0</v>
      </c>
      <c r="O75" s="15">
        <f t="shared" si="35"/>
        <v>23</v>
      </c>
      <c r="P75" s="15">
        <f t="shared" si="36"/>
        <v>30</v>
      </c>
      <c r="R75" s="8"/>
      <c r="T75"/>
    </row>
    <row r="76" spans="2:20" ht="23.1" customHeight="1" x14ac:dyDescent="0.25">
      <c r="B76" s="23" t="s">
        <v>116</v>
      </c>
      <c r="C76" s="49">
        <f>AVERAGE('26.09 Kajansi-Bweya-24h'!C76,'28.09 Kajansi-Bweya-24h'!C76)</f>
        <v>6.5</v>
      </c>
      <c r="D76" s="49">
        <f>AVERAGE('26.09 Kajansi-Bweya-24h'!D76,'28.09 Kajansi-Bweya-24h'!D76)</f>
        <v>3</v>
      </c>
      <c r="E76" s="49">
        <f>AVERAGE('26.09 Kajansi-Bweya-24h'!E76,'28.09 Kajansi-Bweya-24h'!E76)</f>
        <v>1.5</v>
      </c>
      <c r="F76" s="49">
        <f>AVERAGE('26.09 Kajansi-Bweya-24h'!F76,'28.09 Kajansi-Bweya-24h'!F76)</f>
        <v>0.5</v>
      </c>
      <c r="G76" s="49">
        <f>AVERAGE('26.09 Kajansi-Bweya-24h'!G76,'28.09 Kajansi-Bweya-24h'!G76)</f>
        <v>0</v>
      </c>
      <c r="H76" s="49">
        <f>AVERAGE('26.09 Kajansi-Bweya-24h'!H76,'28.09 Kajansi-Bweya-24h'!H76)</f>
        <v>0</v>
      </c>
      <c r="I76" s="49">
        <f>AVERAGE('26.09 Kajansi-Bweya-24h'!I76,'28.09 Kajansi-Bweya-24h'!I76)</f>
        <v>0</v>
      </c>
      <c r="J76" s="49">
        <f>AVERAGE('26.09 Kajansi-Bweya-24h'!J76,'28.09 Kajansi-Bweya-24h'!J76)</f>
        <v>0</v>
      </c>
      <c r="K76" s="49">
        <f>AVERAGE('26.09 Kajansi-Bweya-24h'!K76,'28.09 Kajansi-Bweya-24h'!K76)</f>
        <v>0</v>
      </c>
      <c r="L76" s="49">
        <f>AVERAGE('26.09 Kajansi-Bweya-24h'!L76,'28.09 Kajansi-Bweya-24h'!L76)</f>
        <v>0</v>
      </c>
      <c r="M76" s="49">
        <f>AVERAGE('26.09 Kajansi-Bweya-24h'!M76,'28.09 Kajansi-Bweya-24h'!M76)</f>
        <v>2.5</v>
      </c>
      <c r="N76" s="49">
        <f>AVERAGE('26.09 Kajansi-Bweya-24h'!N76,'28.09 Kajansi-Bweya-24h'!N76)</f>
        <v>0</v>
      </c>
      <c r="O76" s="15">
        <f t="shared" si="35"/>
        <v>11.5</v>
      </c>
      <c r="P76" s="15">
        <f t="shared" si="36"/>
        <v>14</v>
      </c>
      <c r="R76" s="8"/>
      <c r="T76"/>
    </row>
    <row r="77" spans="2:20" ht="23.1" customHeight="1" x14ac:dyDescent="0.25">
      <c r="B77" s="23" t="s">
        <v>117</v>
      </c>
      <c r="C77" s="49">
        <f>AVERAGE('26.09 Kajansi-Bweya-24h'!C77,'28.09 Kajansi-Bweya-24h'!C77)</f>
        <v>11</v>
      </c>
      <c r="D77" s="49">
        <f>AVERAGE('26.09 Kajansi-Bweya-24h'!D77,'28.09 Kajansi-Bweya-24h'!D77)</f>
        <v>2</v>
      </c>
      <c r="E77" s="49">
        <f>AVERAGE('26.09 Kajansi-Bweya-24h'!E77,'28.09 Kajansi-Bweya-24h'!E77)</f>
        <v>1</v>
      </c>
      <c r="F77" s="49">
        <f>AVERAGE('26.09 Kajansi-Bweya-24h'!F77,'28.09 Kajansi-Bweya-24h'!F77)</f>
        <v>0</v>
      </c>
      <c r="G77" s="49">
        <f>AVERAGE('26.09 Kajansi-Bweya-24h'!G77,'28.09 Kajansi-Bweya-24h'!G77)</f>
        <v>0</v>
      </c>
      <c r="H77" s="49">
        <f>AVERAGE('26.09 Kajansi-Bweya-24h'!H77,'28.09 Kajansi-Bweya-24h'!H77)</f>
        <v>0</v>
      </c>
      <c r="I77" s="49">
        <f>AVERAGE('26.09 Kajansi-Bweya-24h'!I77,'28.09 Kajansi-Bweya-24h'!I77)</f>
        <v>0</v>
      </c>
      <c r="J77" s="49">
        <f>AVERAGE('26.09 Kajansi-Bweya-24h'!J77,'28.09 Kajansi-Bweya-24h'!J77)</f>
        <v>0</v>
      </c>
      <c r="K77" s="49">
        <f>AVERAGE('26.09 Kajansi-Bweya-24h'!K77,'28.09 Kajansi-Bweya-24h'!K77)</f>
        <v>0</v>
      </c>
      <c r="L77" s="49">
        <f>AVERAGE('26.09 Kajansi-Bweya-24h'!L77,'28.09 Kajansi-Bweya-24h'!L77)</f>
        <v>0</v>
      </c>
      <c r="M77" s="49">
        <f>AVERAGE('26.09 Kajansi-Bweya-24h'!M77,'28.09 Kajansi-Bweya-24h'!M77)</f>
        <v>8.5</v>
      </c>
      <c r="N77" s="49">
        <f>AVERAGE('26.09 Kajansi-Bweya-24h'!N77,'28.09 Kajansi-Bweya-24h'!N77)</f>
        <v>0</v>
      </c>
      <c r="O77" s="15">
        <f t="shared" si="35"/>
        <v>14</v>
      </c>
      <c r="P77" s="15">
        <f t="shared" si="36"/>
        <v>22.5</v>
      </c>
      <c r="R77" s="8"/>
      <c r="T77"/>
    </row>
    <row r="78" spans="2:20" ht="23.1" customHeight="1" x14ac:dyDescent="0.25">
      <c r="B78" s="24" t="s">
        <v>118</v>
      </c>
      <c r="C78" s="49">
        <f>AVERAGE('26.09 Kajansi-Bweya-24h'!C78,'28.09 Kajansi-Bweya-24h'!C78)</f>
        <v>15</v>
      </c>
      <c r="D78" s="49">
        <f>AVERAGE('26.09 Kajansi-Bweya-24h'!D78,'28.09 Kajansi-Bweya-24h'!D78)</f>
        <v>4</v>
      </c>
      <c r="E78" s="49">
        <f>AVERAGE('26.09 Kajansi-Bweya-24h'!E78,'28.09 Kajansi-Bweya-24h'!E78)</f>
        <v>0</v>
      </c>
      <c r="F78" s="49">
        <f>AVERAGE('26.09 Kajansi-Bweya-24h'!F78,'28.09 Kajansi-Bweya-24h'!F78)</f>
        <v>0.5</v>
      </c>
      <c r="G78" s="49">
        <f>AVERAGE('26.09 Kajansi-Bweya-24h'!G78,'28.09 Kajansi-Bweya-24h'!G78)</f>
        <v>0</v>
      </c>
      <c r="H78" s="49">
        <f>AVERAGE('26.09 Kajansi-Bweya-24h'!H78,'28.09 Kajansi-Bweya-24h'!H78)</f>
        <v>0</v>
      </c>
      <c r="I78" s="49">
        <f>AVERAGE('26.09 Kajansi-Bweya-24h'!I78,'28.09 Kajansi-Bweya-24h'!I78)</f>
        <v>0.5</v>
      </c>
      <c r="J78" s="49">
        <f>AVERAGE('26.09 Kajansi-Bweya-24h'!J78,'28.09 Kajansi-Bweya-24h'!J78)</f>
        <v>0</v>
      </c>
      <c r="K78" s="49">
        <f>AVERAGE('26.09 Kajansi-Bweya-24h'!K78,'28.09 Kajansi-Bweya-24h'!K78)</f>
        <v>1</v>
      </c>
      <c r="L78" s="49">
        <f>AVERAGE('26.09 Kajansi-Bweya-24h'!L78,'28.09 Kajansi-Bweya-24h'!L78)</f>
        <v>0</v>
      </c>
      <c r="M78" s="49">
        <f>AVERAGE('26.09 Kajansi-Bweya-24h'!M78,'28.09 Kajansi-Bweya-24h'!M78)</f>
        <v>7</v>
      </c>
      <c r="N78" s="49">
        <f>AVERAGE('26.09 Kajansi-Bweya-24h'!N78,'28.09 Kajansi-Bweya-24h'!N78)</f>
        <v>0</v>
      </c>
      <c r="O78" s="15">
        <f t="shared" si="35"/>
        <v>21</v>
      </c>
      <c r="P78" s="15">
        <f t="shared" si="36"/>
        <v>28</v>
      </c>
      <c r="R78" s="8"/>
      <c r="T78"/>
    </row>
    <row r="79" spans="2:20" ht="23.1" customHeight="1" x14ac:dyDescent="0.25">
      <c r="B79" s="23" t="s">
        <v>119</v>
      </c>
      <c r="C79" s="49">
        <f>AVERAGE('26.09 Kajansi-Bweya-24h'!C79,'28.09 Kajansi-Bweya-24h'!C79)</f>
        <v>5</v>
      </c>
      <c r="D79" s="49">
        <f>AVERAGE('26.09 Kajansi-Bweya-24h'!D79,'28.09 Kajansi-Bweya-24h'!D79)</f>
        <v>1</v>
      </c>
      <c r="E79" s="49">
        <f>AVERAGE('26.09 Kajansi-Bweya-24h'!E79,'28.09 Kajansi-Bweya-24h'!E79)</f>
        <v>0</v>
      </c>
      <c r="F79" s="49">
        <f>AVERAGE('26.09 Kajansi-Bweya-24h'!F79,'28.09 Kajansi-Bweya-24h'!F79)</f>
        <v>0</v>
      </c>
      <c r="G79" s="49">
        <f>AVERAGE('26.09 Kajansi-Bweya-24h'!G79,'28.09 Kajansi-Bweya-24h'!G79)</f>
        <v>0</v>
      </c>
      <c r="H79" s="49">
        <f>AVERAGE('26.09 Kajansi-Bweya-24h'!H79,'28.09 Kajansi-Bweya-24h'!H79)</f>
        <v>0</v>
      </c>
      <c r="I79" s="49">
        <f>AVERAGE('26.09 Kajansi-Bweya-24h'!I79,'28.09 Kajansi-Bweya-24h'!I79)</f>
        <v>1</v>
      </c>
      <c r="J79" s="49">
        <f>AVERAGE('26.09 Kajansi-Bweya-24h'!J79,'28.09 Kajansi-Bweya-24h'!J79)</f>
        <v>0</v>
      </c>
      <c r="K79" s="49">
        <f>AVERAGE('26.09 Kajansi-Bweya-24h'!K79,'28.09 Kajansi-Bweya-24h'!K79)</f>
        <v>0</v>
      </c>
      <c r="L79" s="49">
        <f>AVERAGE('26.09 Kajansi-Bweya-24h'!L79,'28.09 Kajansi-Bweya-24h'!L79)</f>
        <v>0</v>
      </c>
      <c r="M79" s="49">
        <f>AVERAGE('26.09 Kajansi-Bweya-24h'!M79,'28.09 Kajansi-Bweya-24h'!M79)</f>
        <v>3.5</v>
      </c>
      <c r="N79" s="49">
        <f>AVERAGE('26.09 Kajansi-Bweya-24h'!N79,'28.09 Kajansi-Bweya-24h'!N79)</f>
        <v>0</v>
      </c>
      <c r="O79" s="15">
        <f t="shared" si="35"/>
        <v>7</v>
      </c>
      <c r="P79" s="15">
        <f t="shared" si="36"/>
        <v>10.5</v>
      </c>
      <c r="R79" s="8"/>
      <c r="T79"/>
    </row>
    <row r="80" spans="2:20" ht="23.1" customHeight="1" x14ac:dyDescent="0.25">
      <c r="B80" s="25" t="s">
        <v>120</v>
      </c>
      <c r="C80" s="49">
        <f>AVERAGE('26.09 Kajansi-Bweya-24h'!C80,'28.09 Kajansi-Bweya-24h'!C80)</f>
        <v>4.5</v>
      </c>
      <c r="D80" s="49">
        <f>AVERAGE('26.09 Kajansi-Bweya-24h'!D80,'28.09 Kajansi-Bweya-24h'!D80)</f>
        <v>3</v>
      </c>
      <c r="E80" s="49">
        <f>AVERAGE('26.09 Kajansi-Bweya-24h'!E80,'28.09 Kajansi-Bweya-24h'!E80)</f>
        <v>0</v>
      </c>
      <c r="F80" s="49">
        <f>AVERAGE('26.09 Kajansi-Bweya-24h'!F80,'28.09 Kajansi-Bweya-24h'!F80)</f>
        <v>0.5</v>
      </c>
      <c r="G80" s="49">
        <f>AVERAGE('26.09 Kajansi-Bweya-24h'!G80,'28.09 Kajansi-Bweya-24h'!G80)</f>
        <v>0</v>
      </c>
      <c r="H80" s="49">
        <f>AVERAGE('26.09 Kajansi-Bweya-24h'!H80,'28.09 Kajansi-Bweya-24h'!H80)</f>
        <v>0</v>
      </c>
      <c r="I80" s="49">
        <f>AVERAGE('26.09 Kajansi-Bweya-24h'!I80,'28.09 Kajansi-Bweya-24h'!I80)</f>
        <v>0.5</v>
      </c>
      <c r="J80" s="49">
        <f>AVERAGE('26.09 Kajansi-Bweya-24h'!J80,'28.09 Kajansi-Bweya-24h'!J80)</f>
        <v>0</v>
      </c>
      <c r="K80" s="49">
        <f>AVERAGE('26.09 Kajansi-Bweya-24h'!K80,'28.09 Kajansi-Bweya-24h'!K80)</f>
        <v>0</v>
      </c>
      <c r="L80" s="49">
        <f>AVERAGE('26.09 Kajansi-Bweya-24h'!L80,'28.09 Kajansi-Bweya-24h'!L80)</f>
        <v>0</v>
      </c>
      <c r="M80" s="49">
        <f>AVERAGE('26.09 Kajansi-Bweya-24h'!M80,'28.09 Kajansi-Bweya-24h'!M80)</f>
        <v>3</v>
      </c>
      <c r="N80" s="49">
        <f>AVERAGE('26.09 Kajansi-Bweya-24h'!N80,'28.09 Kajansi-Bweya-24h'!N80)</f>
        <v>0</v>
      </c>
      <c r="O80" s="15">
        <f t="shared" si="35"/>
        <v>8.5</v>
      </c>
      <c r="P80" s="15">
        <f t="shared" si="36"/>
        <v>11.5</v>
      </c>
      <c r="R80" s="8"/>
      <c r="T80"/>
    </row>
    <row r="81" spans="2:20" ht="23.1" customHeight="1" x14ac:dyDescent="0.25">
      <c r="B81" s="23" t="s">
        <v>121</v>
      </c>
      <c r="C81" s="49">
        <f>AVERAGE('26.09 Kajansi-Bweya-24h'!C81,'28.09 Kajansi-Bweya-24h'!C81)</f>
        <v>5</v>
      </c>
      <c r="D81" s="49">
        <f>AVERAGE('26.09 Kajansi-Bweya-24h'!D81,'28.09 Kajansi-Bweya-24h'!D81)</f>
        <v>1</v>
      </c>
      <c r="E81" s="49">
        <f>AVERAGE('26.09 Kajansi-Bweya-24h'!E81,'28.09 Kajansi-Bweya-24h'!E81)</f>
        <v>1</v>
      </c>
      <c r="F81" s="49">
        <f>AVERAGE('26.09 Kajansi-Bweya-24h'!F81,'28.09 Kajansi-Bweya-24h'!F81)</f>
        <v>0.5</v>
      </c>
      <c r="G81" s="49">
        <f>AVERAGE('26.09 Kajansi-Bweya-24h'!G81,'28.09 Kajansi-Bweya-24h'!G81)</f>
        <v>0</v>
      </c>
      <c r="H81" s="49">
        <f>AVERAGE('26.09 Kajansi-Bweya-24h'!H81,'28.09 Kajansi-Bweya-24h'!H81)</f>
        <v>0</v>
      </c>
      <c r="I81" s="49">
        <f>AVERAGE('26.09 Kajansi-Bweya-24h'!I81,'28.09 Kajansi-Bweya-24h'!I81)</f>
        <v>1</v>
      </c>
      <c r="J81" s="49">
        <f>AVERAGE('26.09 Kajansi-Bweya-24h'!J81,'28.09 Kajansi-Bweya-24h'!J81)</f>
        <v>0</v>
      </c>
      <c r="K81" s="49">
        <f>AVERAGE('26.09 Kajansi-Bweya-24h'!K81,'28.09 Kajansi-Bweya-24h'!K81)</f>
        <v>0</v>
      </c>
      <c r="L81" s="49">
        <f>AVERAGE('26.09 Kajansi-Bweya-24h'!L81,'28.09 Kajansi-Bweya-24h'!L81)</f>
        <v>0</v>
      </c>
      <c r="M81" s="49">
        <f>AVERAGE('26.09 Kajansi-Bweya-24h'!M81,'28.09 Kajansi-Bweya-24h'!M81)</f>
        <v>6.5</v>
      </c>
      <c r="N81" s="49">
        <f>AVERAGE('26.09 Kajansi-Bweya-24h'!N81,'28.09 Kajansi-Bweya-24h'!N81)</f>
        <v>0</v>
      </c>
      <c r="O81" s="15">
        <f t="shared" si="35"/>
        <v>8.5</v>
      </c>
      <c r="P81" s="15">
        <f t="shared" si="36"/>
        <v>15</v>
      </c>
      <c r="R81" s="8"/>
      <c r="T81"/>
    </row>
    <row r="82" spans="2:20" ht="23.1" customHeight="1" x14ac:dyDescent="0.25">
      <c r="B82" s="24" t="s">
        <v>122</v>
      </c>
      <c r="C82" s="49">
        <f>AVERAGE('26.09 Kajansi-Bweya-24h'!C82,'28.09 Kajansi-Bweya-24h'!C82)</f>
        <v>5</v>
      </c>
      <c r="D82" s="49">
        <f>AVERAGE('26.09 Kajansi-Bweya-24h'!D82,'28.09 Kajansi-Bweya-24h'!D82)</f>
        <v>1.5</v>
      </c>
      <c r="E82" s="49">
        <f>AVERAGE('26.09 Kajansi-Bweya-24h'!E82,'28.09 Kajansi-Bweya-24h'!E82)</f>
        <v>0.5</v>
      </c>
      <c r="F82" s="49">
        <f>AVERAGE('26.09 Kajansi-Bweya-24h'!F82,'28.09 Kajansi-Bweya-24h'!F82)</f>
        <v>0.5</v>
      </c>
      <c r="G82" s="49">
        <f>AVERAGE('26.09 Kajansi-Bweya-24h'!G82,'28.09 Kajansi-Bweya-24h'!G82)</f>
        <v>0</v>
      </c>
      <c r="H82" s="49">
        <f>AVERAGE('26.09 Kajansi-Bweya-24h'!H82,'28.09 Kajansi-Bweya-24h'!H82)</f>
        <v>0</v>
      </c>
      <c r="I82" s="49">
        <f>AVERAGE('26.09 Kajansi-Bweya-24h'!I82,'28.09 Kajansi-Bweya-24h'!I82)</f>
        <v>0</v>
      </c>
      <c r="J82" s="49">
        <f>AVERAGE('26.09 Kajansi-Bweya-24h'!J82,'28.09 Kajansi-Bweya-24h'!J82)</f>
        <v>0</v>
      </c>
      <c r="K82" s="49">
        <f>AVERAGE('26.09 Kajansi-Bweya-24h'!K82,'28.09 Kajansi-Bweya-24h'!K82)</f>
        <v>0</v>
      </c>
      <c r="L82" s="49">
        <f>AVERAGE('26.09 Kajansi-Bweya-24h'!L82,'28.09 Kajansi-Bweya-24h'!L82)</f>
        <v>0</v>
      </c>
      <c r="M82" s="49">
        <f>AVERAGE('26.09 Kajansi-Bweya-24h'!M82,'28.09 Kajansi-Bweya-24h'!M82)</f>
        <v>2.5</v>
      </c>
      <c r="N82" s="49">
        <f>AVERAGE('26.09 Kajansi-Bweya-24h'!N82,'28.09 Kajansi-Bweya-24h'!N82)</f>
        <v>0</v>
      </c>
      <c r="O82" s="15">
        <f t="shared" si="35"/>
        <v>7.5</v>
      </c>
      <c r="P82" s="15">
        <f t="shared" si="36"/>
        <v>10</v>
      </c>
      <c r="R82" s="8"/>
      <c r="T82"/>
    </row>
    <row r="83" spans="2:20" ht="23.1" customHeight="1" x14ac:dyDescent="0.25">
      <c r="B83" s="23" t="s">
        <v>123</v>
      </c>
      <c r="C83" s="49">
        <f>AVERAGE('26.09 Kajansi-Bweya-24h'!C83,'28.09 Kajansi-Bweya-24h'!C83)</f>
        <v>2.5</v>
      </c>
      <c r="D83" s="49">
        <f>AVERAGE('26.09 Kajansi-Bweya-24h'!D83,'28.09 Kajansi-Bweya-24h'!D83)</f>
        <v>0.5</v>
      </c>
      <c r="E83" s="49">
        <f>AVERAGE('26.09 Kajansi-Bweya-24h'!E83,'28.09 Kajansi-Bweya-24h'!E83)</f>
        <v>0.5</v>
      </c>
      <c r="F83" s="49">
        <f>AVERAGE('26.09 Kajansi-Bweya-24h'!F83,'28.09 Kajansi-Bweya-24h'!F83)</f>
        <v>0</v>
      </c>
      <c r="G83" s="49">
        <f>AVERAGE('26.09 Kajansi-Bweya-24h'!G83,'28.09 Kajansi-Bweya-24h'!G83)</f>
        <v>0</v>
      </c>
      <c r="H83" s="49">
        <f>AVERAGE('26.09 Kajansi-Bweya-24h'!H83,'28.09 Kajansi-Bweya-24h'!H83)</f>
        <v>0</v>
      </c>
      <c r="I83" s="49">
        <f>AVERAGE('26.09 Kajansi-Bweya-24h'!I83,'28.09 Kajansi-Bweya-24h'!I83)</f>
        <v>1</v>
      </c>
      <c r="J83" s="49">
        <f>AVERAGE('26.09 Kajansi-Bweya-24h'!J83,'28.09 Kajansi-Bweya-24h'!J83)</f>
        <v>0.5</v>
      </c>
      <c r="K83" s="49">
        <f>AVERAGE('26.09 Kajansi-Bweya-24h'!K83,'28.09 Kajansi-Bweya-24h'!K83)</f>
        <v>0</v>
      </c>
      <c r="L83" s="49">
        <f>AVERAGE('26.09 Kajansi-Bweya-24h'!L83,'28.09 Kajansi-Bweya-24h'!L83)</f>
        <v>0</v>
      </c>
      <c r="M83" s="49">
        <f>AVERAGE('26.09 Kajansi-Bweya-24h'!M83,'28.09 Kajansi-Bweya-24h'!M83)</f>
        <v>4.5</v>
      </c>
      <c r="N83" s="49">
        <f>AVERAGE('26.09 Kajansi-Bweya-24h'!N83,'28.09 Kajansi-Bweya-24h'!N83)</f>
        <v>0</v>
      </c>
      <c r="O83" s="15">
        <f t="shared" si="35"/>
        <v>5</v>
      </c>
      <c r="P83" s="15">
        <f t="shared" si="36"/>
        <v>9.5</v>
      </c>
      <c r="R83" s="8"/>
      <c r="T83"/>
    </row>
    <row r="84" spans="2:20" ht="23.1" customHeight="1" x14ac:dyDescent="0.25">
      <c r="B84" s="25" t="s">
        <v>124</v>
      </c>
      <c r="C84" s="49">
        <f>AVERAGE('26.09 Kajansi-Bweya-24h'!C84,'28.09 Kajansi-Bweya-24h'!C84)</f>
        <v>3.5</v>
      </c>
      <c r="D84" s="49">
        <f>AVERAGE('26.09 Kajansi-Bweya-24h'!D84,'28.09 Kajansi-Bweya-24h'!D84)</f>
        <v>0</v>
      </c>
      <c r="E84" s="49">
        <f>AVERAGE('26.09 Kajansi-Bweya-24h'!E84,'28.09 Kajansi-Bweya-24h'!E84)</f>
        <v>0</v>
      </c>
      <c r="F84" s="49">
        <f>AVERAGE('26.09 Kajansi-Bweya-24h'!F84,'28.09 Kajansi-Bweya-24h'!F84)</f>
        <v>1</v>
      </c>
      <c r="G84" s="49">
        <f>AVERAGE('26.09 Kajansi-Bweya-24h'!G84,'28.09 Kajansi-Bweya-24h'!G84)</f>
        <v>0</v>
      </c>
      <c r="H84" s="49">
        <f>AVERAGE('26.09 Kajansi-Bweya-24h'!H84,'28.09 Kajansi-Bweya-24h'!H84)</f>
        <v>0</v>
      </c>
      <c r="I84" s="49">
        <f>AVERAGE('26.09 Kajansi-Bweya-24h'!I84,'28.09 Kajansi-Bweya-24h'!I84)</f>
        <v>0</v>
      </c>
      <c r="J84" s="49">
        <f>AVERAGE('26.09 Kajansi-Bweya-24h'!J84,'28.09 Kajansi-Bweya-24h'!J84)</f>
        <v>0</v>
      </c>
      <c r="K84" s="49">
        <f>AVERAGE('26.09 Kajansi-Bweya-24h'!K84,'28.09 Kajansi-Bweya-24h'!K84)</f>
        <v>0.5</v>
      </c>
      <c r="L84" s="49">
        <f>AVERAGE('26.09 Kajansi-Bweya-24h'!L84,'28.09 Kajansi-Bweya-24h'!L84)</f>
        <v>0</v>
      </c>
      <c r="M84" s="49">
        <f>AVERAGE('26.09 Kajansi-Bweya-24h'!M84,'28.09 Kajansi-Bweya-24h'!M84)</f>
        <v>4</v>
      </c>
      <c r="N84" s="49">
        <f>AVERAGE('26.09 Kajansi-Bweya-24h'!N84,'28.09 Kajansi-Bweya-24h'!N84)</f>
        <v>0</v>
      </c>
      <c r="O84" s="15">
        <f t="shared" si="35"/>
        <v>5</v>
      </c>
      <c r="P84" s="15">
        <f t="shared" si="36"/>
        <v>9</v>
      </c>
      <c r="R84" s="8"/>
      <c r="T84"/>
    </row>
    <row r="85" spans="2:20" ht="23.1" customHeight="1" x14ac:dyDescent="0.25">
      <c r="B85" s="23" t="s">
        <v>125</v>
      </c>
      <c r="C85" s="49">
        <f>AVERAGE('26.09 Kajansi-Bweya-24h'!C85,'28.09 Kajansi-Bweya-24h'!C85)</f>
        <v>2.5</v>
      </c>
      <c r="D85" s="49">
        <f>AVERAGE('26.09 Kajansi-Bweya-24h'!D85,'28.09 Kajansi-Bweya-24h'!D85)</f>
        <v>2</v>
      </c>
      <c r="E85" s="49">
        <f>AVERAGE('26.09 Kajansi-Bweya-24h'!E85,'28.09 Kajansi-Bweya-24h'!E85)</f>
        <v>0.5</v>
      </c>
      <c r="F85" s="49">
        <f>AVERAGE('26.09 Kajansi-Bweya-24h'!F85,'28.09 Kajansi-Bweya-24h'!F85)</f>
        <v>0</v>
      </c>
      <c r="G85" s="49">
        <f>AVERAGE('26.09 Kajansi-Bweya-24h'!G85,'28.09 Kajansi-Bweya-24h'!G85)</f>
        <v>0</v>
      </c>
      <c r="H85" s="49">
        <f>AVERAGE('26.09 Kajansi-Bweya-24h'!H85,'28.09 Kajansi-Bweya-24h'!H85)</f>
        <v>0</v>
      </c>
      <c r="I85" s="49">
        <f>AVERAGE('26.09 Kajansi-Bweya-24h'!I85,'28.09 Kajansi-Bweya-24h'!I85)</f>
        <v>0</v>
      </c>
      <c r="J85" s="49">
        <f>AVERAGE('26.09 Kajansi-Bweya-24h'!J85,'28.09 Kajansi-Bweya-24h'!J85)</f>
        <v>0</v>
      </c>
      <c r="K85" s="49">
        <f>AVERAGE('26.09 Kajansi-Bweya-24h'!K85,'28.09 Kajansi-Bweya-24h'!K85)</f>
        <v>0</v>
      </c>
      <c r="L85" s="49">
        <f>AVERAGE('26.09 Kajansi-Bweya-24h'!L85,'28.09 Kajansi-Bweya-24h'!L85)</f>
        <v>0</v>
      </c>
      <c r="M85" s="49">
        <f>AVERAGE('26.09 Kajansi-Bweya-24h'!M85,'28.09 Kajansi-Bweya-24h'!M85)</f>
        <v>1.5</v>
      </c>
      <c r="N85" s="49">
        <f>AVERAGE('26.09 Kajansi-Bweya-24h'!N85,'28.09 Kajansi-Bweya-24h'!N85)</f>
        <v>0</v>
      </c>
      <c r="O85" s="15">
        <f t="shared" si="35"/>
        <v>5</v>
      </c>
      <c r="P85" s="15">
        <f t="shared" si="36"/>
        <v>6.5</v>
      </c>
      <c r="R85" s="8"/>
      <c r="T85"/>
    </row>
    <row r="86" spans="2:20" ht="23.1" customHeight="1" x14ac:dyDescent="0.25">
      <c r="B86" s="24" t="s">
        <v>126</v>
      </c>
      <c r="C86" s="49">
        <f>AVERAGE('26.09 Kajansi-Bweya-24h'!C86,'28.09 Kajansi-Bweya-24h'!C86)</f>
        <v>8.5</v>
      </c>
      <c r="D86" s="49">
        <f>AVERAGE('26.09 Kajansi-Bweya-24h'!D86,'28.09 Kajansi-Bweya-24h'!D86)</f>
        <v>4.5</v>
      </c>
      <c r="E86" s="49">
        <f>AVERAGE('26.09 Kajansi-Bweya-24h'!E86,'28.09 Kajansi-Bweya-24h'!E86)</f>
        <v>1.5</v>
      </c>
      <c r="F86" s="49">
        <f>AVERAGE('26.09 Kajansi-Bweya-24h'!F86,'28.09 Kajansi-Bweya-24h'!F86)</f>
        <v>0</v>
      </c>
      <c r="G86" s="49">
        <f>AVERAGE('26.09 Kajansi-Bweya-24h'!G86,'28.09 Kajansi-Bweya-24h'!G86)</f>
        <v>0</v>
      </c>
      <c r="H86" s="49">
        <f>AVERAGE('26.09 Kajansi-Bweya-24h'!H86,'28.09 Kajansi-Bweya-24h'!H86)</f>
        <v>0</v>
      </c>
      <c r="I86" s="49">
        <f>AVERAGE('26.09 Kajansi-Bweya-24h'!I86,'28.09 Kajansi-Bweya-24h'!I86)</f>
        <v>0</v>
      </c>
      <c r="J86" s="49">
        <f>AVERAGE('26.09 Kajansi-Bweya-24h'!J86,'28.09 Kajansi-Bweya-24h'!J86)</f>
        <v>0</v>
      </c>
      <c r="K86" s="49">
        <f>AVERAGE('26.09 Kajansi-Bweya-24h'!K86,'28.09 Kajansi-Bweya-24h'!K86)</f>
        <v>0</v>
      </c>
      <c r="L86" s="49">
        <f>AVERAGE('26.09 Kajansi-Bweya-24h'!L86,'28.09 Kajansi-Bweya-24h'!L86)</f>
        <v>0</v>
      </c>
      <c r="M86" s="49">
        <f>AVERAGE('26.09 Kajansi-Bweya-24h'!M86,'28.09 Kajansi-Bweya-24h'!M86)</f>
        <v>2.5</v>
      </c>
      <c r="N86" s="49">
        <f>AVERAGE('26.09 Kajansi-Bweya-24h'!N86,'28.09 Kajansi-Bweya-24h'!N86)</f>
        <v>0</v>
      </c>
      <c r="O86" s="15">
        <f t="shared" si="35"/>
        <v>14.5</v>
      </c>
      <c r="P86" s="15">
        <f t="shared" si="36"/>
        <v>17</v>
      </c>
      <c r="R86" s="8"/>
      <c r="T86"/>
    </row>
    <row r="87" spans="2:20" ht="23.1" customHeight="1" x14ac:dyDescent="0.25">
      <c r="B87" s="23" t="s">
        <v>127</v>
      </c>
      <c r="C87" s="49">
        <f>AVERAGE('26.09 Kajansi-Bweya-24h'!C87,'28.09 Kajansi-Bweya-24h'!C87)</f>
        <v>3</v>
      </c>
      <c r="D87" s="49">
        <f>AVERAGE('26.09 Kajansi-Bweya-24h'!D87,'28.09 Kajansi-Bweya-24h'!D87)</f>
        <v>2</v>
      </c>
      <c r="E87" s="49">
        <f>AVERAGE('26.09 Kajansi-Bweya-24h'!E87,'28.09 Kajansi-Bweya-24h'!E87)</f>
        <v>0.5</v>
      </c>
      <c r="F87" s="49">
        <f>AVERAGE('26.09 Kajansi-Bweya-24h'!F87,'28.09 Kajansi-Bweya-24h'!F87)</f>
        <v>0.5</v>
      </c>
      <c r="G87" s="49">
        <f>AVERAGE('26.09 Kajansi-Bweya-24h'!G87,'28.09 Kajansi-Bweya-24h'!G87)</f>
        <v>0</v>
      </c>
      <c r="H87" s="49">
        <f>AVERAGE('26.09 Kajansi-Bweya-24h'!H87,'28.09 Kajansi-Bweya-24h'!H87)</f>
        <v>0</v>
      </c>
      <c r="I87" s="49">
        <f>AVERAGE('26.09 Kajansi-Bweya-24h'!I87,'28.09 Kajansi-Bweya-24h'!I87)</f>
        <v>0</v>
      </c>
      <c r="J87" s="49">
        <f>AVERAGE('26.09 Kajansi-Bweya-24h'!J87,'28.09 Kajansi-Bweya-24h'!J87)</f>
        <v>0</v>
      </c>
      <c r="K87" s="49">
        <f>AVERAGE('26.09 Kajansi-Bweya-24h'!K87,'28.09 Kajansi-Bweya-24h'!K87)</f>
        <v>0</v>
      </c>
      <c r="L87" s="49">
        <f>AVERAGE('26.09 Kajansi-Bweya-24h'!L87,'28.09 Kajansi-Bweya-24h'!L87)</f>
        <v>0</v>
      </c>
      <c r="M87" s="49">
        <f>AVERAGE('26.09 Kajansi-Bweya-24h'!M87,'28.09 Kajansi-Bweya-24h'!M87)</f>
        <v>3</v>
      </c>
      <c r="N87" s="49">
        <f>AVERAGE('26.09 Kajansi-Bweya-24h'!N87,'28.09 Kajansi-Bweya-24h'!N87)</f>
        <v>0</v>
      </c>
      <c r="O87" s="15">
        <f t="shared" si="35"/>
        <v>6</v>
      </c>
      <c r="P87" s="15">
        <f t="shared" si="36"/>
        <v>9</v>
      </c>
      <c r="R87" s="8"/>
      <c r="T87"/>
    </row>
    <row r="88" spans="2:20" ht="23.1" customHeight="1" x14ac:dyDescent="0.25">
      <c r="B88" s="25" t="s">
        <v>128</v>
      </c>
      <c r="C88" s="49">
        <f>AVERAGE('26.09 Kajansi-Bweya-24h'!C88,'28.09 Kajansi-Bweya-24h'!C88)</f>
        <v>5.5</v>
      </c>
      <c r="D88" s="49">
        <f>AVERAGE('26.09 Kajansi-Bweya-24h'!D88,'28.09 Kajansi-Bweya-24h'!D88)</f>
        <v>1.5</v>
      </c>
      <c r="E88" s="49">
        <f>AVERAGE('26.09 Kajansi-Bweya-24h'!E88,'28.09 Kajansi-Bweya-24h'!E88)</f>
        <v>0.5</v>
      </c>
      <c r="F88" s="49">
        <f>AVERAGE('26.09 Kajansi-Bweya-24h'!F88,'28.09 Kajansi-Bweya-24h'!F88)</f>
        <v>0</v>
      </c>
      <c r="G88" s="49">
        <f>AVERAGE('26.09 Kajansi-Bweya-24h'!G88,'28.09 Kajansi-Bweya-24h'!G88)</f>
        <v>0</v>
      </c>
      <c r="H88" s="49">
        <f>AVERAGE('26.09 Kajansi-Bweya-24h'!H88,'28.09 Kajansi-Bweya-24h'!H88)</f>
        <v>0</v>
      </c>
      <c r="I88" s="49">
        <f>AVERAGE('26.09 Kajansi-Bweya-24h'!I88,'28.09 Kajansi-Bweya-24h'!I88)</f>
        <v>0</v>
      </c>
      <c r="J88" s="49">
        <f>AVERAGE('26.09 Kajansi-Bweya-24h'!J88,'28.09 Kajansi-Bweya-24h'!J88)</f>
        <v>0</v>
      </c>
      <c r="K88" s="49">
        <f>AVERAGE('26.09 Kajansi-Bweya-24h'!K88,'28.09 Kajansi-Bweya-24h'!K88)</f>
        <v>0</v>
      </c>
      <c r="L88" s="49">
        <f>AVERAGE('26.09 Kajansi-Bweya-24h'!L88,'28.09 Kajansi-Bweya-24h'!L88)</f>
        <v>0</v>
      </c>
      <c r="M88" s="49">
        <f>AVERAGE('26.09 Kajansi-Bweya-24h'!M88,'28.09 Kajansi-Bweya-24h'!M88)</f>
        <v>3.5</v>
      </c>
      <c r="N88" s="49">
        <f>AVERAGE('26.09 Kajansi-Bweya-24h'!N88,'28.09 Kajansi-Bweya-24h'!N88)</f>
        <v>0</v>
      </c>
      <c r="O88" s="15">
        <f t="shared" si="35"/>
        <v>7.5</v>
      </c>
      <c r="P88" s="15">
        <f t="shared" si="36"/>
        <v>11</v>
      </c>
      <c r="R88" s="8"/>
      <c r="T88"/>
    </row>
    <row r="89" spans="2:20" ht="23.1" customHeight="1" x14ac:dyDescent="0.25">
      <c r="B89" s="23" t="s">
        <v>129</v>
      </c>
      <c r="C89" s="49">
        <f>AVERAGE('26.09 Kajansi-Bweya-24h'!C89,'28.09 Kajansi-Bweya-24h'!C89)</f>
        <v>4.5</v>
      </c>
      <c r="D89" s="49">
        <f>AVERAGE('26.09 Kajansi-Bweya-24h'!D89,'28.09 Kajansi-Bweya-24h'!D89)</f>
        <v>0</v>
      </c>
      <c r="E89" s="49">
        <f>AVERAGE('26.09 Kajansi-Bweya-24h'!E89,'28.09 Kajansi-Bweya-24h'!E89)</f>
        <v>0.5</v>
      </c>
      <c r="F89" s="49">
        <f>AVERAGE('26.09 Kajansi-Bweya-24h'!F89,'28.09 Kajansi-Bweya-24h'!F89)</f>
        <v>0</v>
      </c>
      <c r="G89" s="49">
        <f>AVERAGE('26.09 Kajansi-Bweya-24h'!G89,'28.09 Kajansi-Bweya-24h'!G89)</f>
        <v>0</v>
      </c>
      <c r="H89" s="49">
        <f>AVERAGE('26.09 Kajansi-Bweya-24h'!H89,'28.09 Kajansi-Bweya-24h'!H89)</f>
        <v>0</v>
      </c>
      <c r="I89" s="49">
        <f>AVERAGE('26.09 Kajansi-Bweya-24h'!I89,'28.09 Kajansi-Bweya-24h'!I89)</f>
        <v>0</v>
      </c>
      <c r="J89" s="49">
        <f>AVERAGE('26.09 Kajansi-Bweya-24h'!J89,'28.09 Kajansi-Bweya-24h'!J89)</f>
        <v>0</v>
      </c>
      <c r="K89" s="49">
        <f>AVERAGE('26.09 Kajansi-Bweya-24h'!K89,'28.09 Kajansi-Bweya-24h'!K89)</f>
        <v>0</v>
      </c>
      <c r="L89" s="49">
        <f>AVERAGE('26.09 Kajansi-Bweya-24h'!L89,'28.09 Kajansi-Bweya-24h'!L89)</f>
        <v>0</v>
      </c>
      <c r="M89" s="49">
        <f>AVERAGE('26.09 Kajansi-Bweya-24h'!M89,'28.09 Kajansi-Bweya-24h'!M89)</f>
        <v>1.5</v>
      </c>
      <c r="N89" s="49">
        <f>AVERAGE('26.09 Kajansi-Bweya-24h'!N89,'28.09 Kajansi-Bweya-24h'!N89)</f>
        <v>0</v>
      </c>
      <c r="O89" s="15">
        <f t="shared" si="35"/>
        <v>5</v>
      </c>
      <c r="P89" s="15">
        <f t="shared" si="36"/>
        <v>6.5</v>
      </c>
      <c r="R89" s="8"/>
      <c r="T89"/>
    </row>
    <row r="90" spans="2:20" ht="23.1" customHeight="1" x14ac:dyDescent="0.25">
      <c r="B90" s="24" t="s">
        <v>130</v>
      </c>
      <c r="C90" s="49">
        <f>AVERAGE('26.09 Kajansi-Bweya-24h'!C90,'28.09 Kajansi-Bweya-24h'!C90)</f>
        <v>2</v>
      </c>
      <c r="D90" s="49">
        <f>AVERAGE('26.09 Kajansi-Bweya-24h'!D90,'28.09 Kajansi-Bweya-24h'!D90)</f>
        <v>1.5</v>
      </c>
      <c r="E90" s="49">
        <f>AVERAGE('26.09 Kajansi-Bweya-24h'!E90,'28.09 Kajansi-Bweya-24h'!E90)</f>
        <v>0.5</v>
      </c>
      <c r="F90" s="49">
        <f>AVERAGE('26.09 Kajansi-Bweya-24h'!F90,'28.09 Kajansi-Bweya-24h'!F90)</f>
        <v>1</v>
      </c>
      <c r="G90" s="49">
        <f>AVERAGE('26.09 Kajansi-Bweya-24h'!G90,'28.09 Kajansi-Bweya-24h'!G90)</f>
        <v>0.5</v>
      </c>
      <c r="H90" s="49">
        <f>AVERAGE('26.09 Kajansi-Bweya-24h'!H90,'28.09 Kajansi-Bweya-24h'!H90)</f>
        <v>0.5</v>
      </c>
      <c r="I90" s="49">
        <f>AVERAGE('26.09 Kajansi-Bweya-24h'!I90,'28.09 Kajansi-Bweya-24h'!I90)</f>
        <v>0</v>
      </c>
      <c r="J90" s="49">
        <f>AVERAGE('26.09 Kajansi-Bweya-24h'!J90,'28.09 Kajansi-Bweya-24h'!J90)</f>
        <v>0</v>
      </c>
      <c r="K90" s="49">
        <f>AVERAGE('26.09 Kajansi-Bweya-24h'!K90,'28.09 Kajansi-Bweya-24h'!K90)</f>
        <v>0</v>
      </c>
      <c r="L90" s="49">
        <f>AVERAGE('26.09 Kajansi-Bweya-24h'!L90,'28.09 Kajansi-Bweya-24h'!L90)</f>
        <v>0</v>
      </c>
      <c r="M90" s="49">
        <f>AVERAGE('26.09 Kajansi-Bweya-24h'!M90,'28.09 Kajansi-Bweya-24h'!M90)</f>
        <v>3</v>
      </c>
      <c r="N90" s="49">
        <f>AVERAGE('26.09 Kajansi-Bweya-24h'!N90,'28.09 Kajansi-Bweya-24h'!N90)</f>
        <v>0</v>
      </c>
      <c r="O90" s="15">
        <f t="shared" si="35"/>
        <v>6</v>
      </c>
      <c r="P90" s="15">
        <f t="shared" si="36"/>
        <v>9</v>
      </c>
      <c r="R90" s="8"/>
      <c r="T90"/>
    </row>
    <row r="91" spans="2:20" ht="23.1" customHeight="1" x14ac:dyDescent="0.25">
      <c r="B91" s="23" t="s">
        <v>131</v>
      </c>
      <c r="C91" s="49">
        <f>AVERAGE('26.09 Kajansi-Bweya-24h'!C91,'28.09 Kajansi-Bweya-24h'!C91)</f>
        <v>2</v>
      </c>
      <c r="D91" s="49">
        <f>AVERAGE('26.09 Kajansi-Bweya-24h'!D91,'28.09 Kajansi-Bweya-24h'!D91)</f>
        <v>1</v>
      </c>
      <c r="E91" s="49">
        <f>AVERAGE('26.09 Kajansi-Bweya-24h'!E91,'28.09 Kajansi-Bweya-24h'!E91)</f>
        <v>0</v>
      </c>
      <c r="F91" s="49">
        <f>AVERAGE('26.09 Kajansi-Bweya-24h'!F91,'28.09 Kajansi-Bweya-24h'!F91)</f>
        <v>0</v>
      </c>
      <c r="G91" s="49">
        <f>AVERAGE('26.09 Kajansi-Bweya-24h'!G91,'28.09 Kajansi-Bweya-24h'!G91)</f>
        <v>0</v>
      </c>
      <c r="H91" s="49">
        <f>AVERAGE('26.09 Kajansi-Bweya-24h'!H91,'28.09 Kajansi-Bweya-24h'!H91)</f>
        <v>0</v>
      </c>
      <c r="I91" s="49">
        <f>AVERAGE('26.09 Kajansi-Bweya-24h'!I91,'28.09 Kajansi-Bweya-24h'!I91)</f>
        <v>0</v>
      </c>
      <c r="J91" s="49">
        <f>AVERAGE('26.09 Kajansi-Bweya-24h'!J91,'28.09 Kajansi-Bweya-24h'!J91)</f>
        <v>1</v>
      </c>
      <c r="K91" s="49">
        <f>AVERAGE('26.09 Kajansi-Bweya-24h'!K91,'28.09 Kajansi-Bweya-24h'!K91)</f>
        <v>0</v>
      </c>
      <c r="L91" s="49">
        <f>AVERAGE('26.09 Kajansi-Bweya-24h'!L91,'28.09 Kajansi-Bweya-24h'!L91)</f>
        <v>0</v>
      </c>
      <c r="M91" s="49">
        <f>AVERAGE('26.09 Kajansi-Bweya-24h'!M91,'28.09 Kajansi-Bweya-24h'!M91)</f>
        <v>1</v>
      </c>
      <c r="N91" s="49">
        <f>AVERAGE('26.09 Kajansi-Bweya-24h'!N91,'28.09 Kajansi-Bweya-24h'!N91)</f>
        <v>0</v>
      </c>
      <c r="O91" s="15">
        <f t="shared" si="35"/>
        <v>4</v>
      </c>
      <c r="P91" s="15">
        <f t="shared" si="36"/>
        <v>5</v>
      </c>
      <c r="R91" s="8"/>
      <c r="T91"/>
    </row>
    <row r="92" spans="2:20" ht="23.1" customHeight="1" x14ac:dyDescent="0.25">
      <c r="B92" s="25" t="s">
        <v>132</v>
      </c>
      <c r="C92" s="49">
        <f>AVERAGE('26.09 Kajansi-Bweya-24h'!C92,'28.09 Kajansi-Bweya-24h'!C92)</f>
        <v>1.5</v>
      </c>
      <c r="D92" s="49">
        <f>AVERAGE('26.09 Kajansi-Bweya-24h'!D92,'28.09 Kajansi-Bweya-24h'!D92)</f>
        <v>0.5</v>
      </c>
      <c r="E92" s="49">
        <f>AVERAGE('26.09 Kajansi-Bweya-24h'!E92,'28.09 Kajansi-Bweya-24h'!E92)</f>
        <v>0</v>
      </c>
      <c r="F92" s="49">
        <f>AVERAGE('26.09 Kajansi-Bweya-24h'!F92,'28.09 Kajansi-Bweya-24h'!F92)</f>
        <v>0.5</v>
      </c>
      <c r="G92" s="49">
        <f>AVERAGE('26.09 Kajansi-Bweya-24h'!G92,'28.09 Kajansi-Bweya-24h'!G92)</f>
        <v>0</v>
      </c>
      <c r="H92" s="49">
        <f>AVERAGE('26.09 Kajansi-Bweya-24h'!H92,'28.09 Kajansi-Bweya-24h'!H92)</f>
        <v>0</v>
      </c>
      <c r="I92" s="49">
        <f>AVERAGE('26.09 Kajansi-Bweya-24h'!I92,'28.09 Kajansi-Bweya-24h'!I92)</f>
        <v>0</v>
      </c>
      <c r="J92" s="49">
        <f>AVERAGE('26.09 Kajansi-Bweya-24h'!J92,'28.09 Kajansi-Bweya-24h'!J92)</f>
        <v>0.5</v>
      </c>
      <c r="K92" s="49">
        <f>AVERAGE('26.09 Kajansi-Bweya-24h'!K92,'28.09 Kajansi-Bweya-24h'!K92)</f>
        <v>0</v>
      </c>
      <c r="L92" s="49">
        <f>AVERAGE('26.09 Kajansi-Bweya-24h'!L92,'28.09 Kajansi-Bweya-24h'!L92)</f>
        <v>0</v>
      </c>
      <c r="M92" s="49">
        <f>AVERAGE('26.09 Kajansi-Bweya-24h'!M92,'28.09 Kajansi-Bweya-24h'!M92)</f>
        <v>1.5</v>
      </c>
      <c r="N92" s="49">
        <f>AVERAGE('26.09 Kajansi-Bweya-24h'!N92,'28.09 Kajansi-Bweya-24h'!N92)</f>
        <v>0</v>
      </c>
      <c r="O92" s="15">
        <f t="shared" si="35"/>
        <v>3</v>
      </c>
      <c r="P92" s="15">
        <f t="shared" si="36"/>
        <v>4.5</v>
      </c>
      <c r="R92" s="8"/>
      <c r="T92"/>
    </row>
    <row r="93" spans="2:20" ht="23.1" customHeight="1" x14ac:dyDescent="0.25">
      <c r="B93" s="23" t="s">
        <v>133</v>
      </c>
      <c r="C93" s="49">
        <f>AVERAGE('26.09 Kajansi-Bweya-24h'!C93,'28.09 Kajansi-Bweya-24h'!C93)</f>
        <v>2.5</v>
      </c>
      <c r="D93" s="49">
        <f>AVERAGE('26.09 Kajansi-Bweya-24h'!D93,'28.09 Kajansi-Bweya-24h'!D93)</f>
        <v>0.5</v>
      </c>
      <c r="E93" s="49">
        <f>AVERAGE('26.09 Kajansi-Bweya-24h'!E93,'28.09 Kajansi-Bweya-24h'!E93)</f>
        <v>0</v>
      </c>
      <c r="F93" s="49">
        <f>AVERAGE('26.09 Kajansi-Bweya-24h'!F93,'28.09 Kajansi-Bweya-24h'!F93)</f>
        <v>0.5</v>
      </c>
      <c r="G93" s="49">
        <f>AVERAGE('26.09 Kajansi-Bweya-24h'!G93,'28.09 Kajansi-Bweya-24h'!G93)</f>
        <v>0.5</v>
      </c>
      <c r="H93" s="49">
        <f>AVERAGE('26.09 Kajansi-Bweya-24h'!H93,'28.09 Kajansi-Bweya-24h'!H93)</f>
        <v>0</v>
      </c>
      <c r="I93" s="49">
        <f>AVERAGE('26.09 Kajansi-Bweya-24h'!I93,'28.09 Kajansi-Bweya-24h'!I93)</f>
        <v>0</v>
      </c>
      <c r="J93" s="49">
        <f>AVERAGE('26.09 Kajansi-Bweya-24h'!J93,'28.09 Kajansi-Bweya-24h'!J93)</f>
        <v>1</v>
      </c>
      <c r="K93" s="49">
        <f>AVERAGE('26.09 Kajansi-Bweya-24h'!K93,'28.09 Kajansi-Bweya-24h'!K93)</f>
        <v>0</v>
      </c>
      <c r="L93" s="49">
        <f>AVERAGE('26.09 Kajansi-Bweya-24h'!L93,'28.09 Kajansi-Bweya-24h'!L93)</f>
        <v>0</v>
      </c>
      <c r="M93" s="49">
        <f>AVERAGE('26.09 Kajansi-Bweya-24h'!M93,'28.09 Kajansi-Bweya-24h'!M93)</f>
        <v>2</v>
      </c>
      <c r="N93" s="49">
        <f>AVERAGE('26.09 Kajansi-Bweya-24h'!N93,'28.09 Kajansi-Bweya-24h'!N93)</f>
        <v>0</v>
      </c>
      <c r="O93" s="15">
        <f t="shared" si="35"/>
        <v>5</v>
      </c>
      <c r="P93" s="15">
        <f t="shared" si="36"/>
        <v>7</v>
      </c>
      <c r="R93" s="8"/>
      <c r="T93"/>
    </row>
    <row r="94" spans="2:20" ht="23.1" customHeight="1" x14ac:dyDescent="0.25">
      <c r="B94" s="24" t="s">
        <v>134</v>
      </c>
      <c r="C94" s="49">
        <f>AVERAGE('26.09 Kajansi-Bweya-24h'!C94,'28.09 Kajansi-Bweya-24h'!C94)</f>
        <v>4.5</v>
      </c>
      <c r="D94" s="49">
        <f>AVERAGE('26.09 Kajansi-Bweya-24h'!D94,'28.09 Kajansi-Bweya-24h'!D94)</f>
        <v>1.5</v>
      </c>
      <c r="E94" s="49">
        <f>AVERAGE('26.09 Kajansi-Bweya-24h'!E94,'28.09 Kajansi-Bweya-24h'!E94)</f>
        <v>1</v>
      </c>
      <c r="F94" s="49">
        <f>AVERAGE('26.09 Kajansi-Bweya-24h'!F94,'28.09 Kajansi-Bweya-24h'!F94)</f>
        <v>0</v>
      </c>
      <c r="G94" s="49">
        <f>AVERAGE('26.09 Kajansi-Bweya-24h'!G94,'28.09 Kajansi-Bweya-24h'!G94)</f>
        <v>0</v>
      </c>
      <c r="H94" s="49">
        <f>AVERAGE('26.09 Kajansi-Bweya-24h'!H94,'28.09 Kajansi-Bweya-24h'!H94)</f>
        <v>0</v>
      </c>
      <c r="I94" s="49">
        <f>AVERAGE('26.09 Kajansi-Bweya-24h'!I94,'28.09 Kajansi-Bweya-24h'!I94)</f>
        <v>0.5</v>
      </c>
      <c r="J94" s="49">
        <f>AVERAGE('26.09 Kajansi-Bweya-24h'!J94,'28.09 Kajansi-Bweya-24h'!J94)</f>
        <v>0</v>
      </c>
      <c r="K94" s="49">
        <f>AVERAGE('26.09 Kajansi-Bweya-24h'!K94,'28.09 Kajansi-Bweya-24h'!K94)</f>
        <v>0</v>
      </c>
      <c r="L94" s="49">
        <f>AVERAGE('26.09 Kajansi-Bweya-24h'!L94,'28.09 Kajansi-Bweya-24h'!L94)</f>
        <v>0</v>
      </c>
      <c r="M94" s="49">
        <f>AVERAGE('26.09 Kajansi-Bweya-24h'!M94,'28.09 Kajansi-Bweya-24h'!M94)</f>
        <v>3</v>
      </c>
      <c r="N94" s="49">
        <f>AVERAGE('26.09 Kajansi-Bweya-24h'!N94,'28.09 Kajansi-Bweya-24h'!N94)</f>
        <v>0</v>
      </c>
      <c r="O94" s="15">
        <f t="shared" si="35"/>
        <v>7.5</v>
      </c>
      <c r="P94" s="15">
        <f t="shared" si="36"/>
        <v>10.5</v>
      </c>
      <c r="R94" s="8"/>
      <c r="T94"/>
    </row>
    <row r="95" spans="2:20" ht="23.1" customHeight="1" x14ac:dyDescent="0.25">
      <c r="B95" s="23" t="s">
        <v>135</v>
      </c>
      <c r="C95" s="49">
        <f>AVERAGE('26.09 Kajansi-Bweya-24h'!C95,'28.09 Kajansi-Bweya-24h'!C95)</f>
        <v>2.5</v>
      </c>
      <c r="D95" s="49">
        <f>AVERAGE('26.09 Kajansi-Bweya-24h'!D95,'28.09 Kajansi-Bweya-24h'!D95)</f>
        <v>1</v>
      </c>
      <c r="E95" s="49">
        <f>AVERAGE('26.09 Kajansi-Bweya-24h'!E95,'28.09 Kajansi-Bweya-24h'!E95)</f>
        <v>0</v>
      </c>
      <c r="F95" s="49">
        <f>AVERAGE('26.09 Kajansi-Bweya-24h'!F95,'28.09 Kajansi-Bweya-24h'!F95)</f>
        <v>0</v>
      </c>
      <c r="G95" s="49">
        <f>AVERAGE('26.09 Kajansi-Bweya-24h'!G95,'28.09 Kajansi-Bweya-24h'!G95)</f>
        <v>0</v>
      </c>
      <c r="H95" s="49">
        <f>AVERAGE('26.09 Kajansi-Bweya-24h'!H95,'28.09 Kajansi-Bweya-24h'!H95)</f>
        <v>0</v>
      </c>
      <c r="I95" s="49">
        <f>AVERAGE('26.09 Kajansi-Bweya-24h'!I95,'28.09 Kajansi-Bweya-24h'!I95)</f>
        <v>0</v>
      </c>
      <c r="J95" s="49">
        <f>AVERAGE('26.09 Kajansi-Bweya-24h'!J95,'28.09 Kajansi-Bweya-24h'!J95)</f>
        <v>0</v>
      </c>
      <c r="K95" s="49">
        <f>AVERAGE('26.09 Kajansi-Bweya-24h'!K95,'28.09 Kajansi-Bweya-24h'!K95)</f>
        <v>0</v>
      </c>
      <c r="L95" s="49">
        <f>AVERAGE('26.09 Kajansi-Bweya-24h'!L95,'28.09 Kajansi-Bweya-24h'!L95)</f>
        <v>0</v>
      </c>
      <c r="M95" s="49">
        <f>AVERAGE('26.09 Kajansi-Bweya-24h'!M95,'28.09 Kajansi-Bweya-24h'!M95)</f>
        <v>1.5</v>
      </c>
      <c r="N95" s="49">
        <f>AVERAGE('26.09 Kajansi-Bweya-24h'!N95,'28.09 Kajansi-Bweya-24h'!N95)</f>
        <v>0</v>
      </c>
      <c r="O95" s="15">
        <f t="shared" si="35"/>
        <v>3.5</v>
      </c>
      <c r="P95" s="15">
        <f t="shared" si="36"/>
        <v>5</v>
      </c>
      <c r="R95" s="8"/>
      <c r="T95"/>
    </row>
    <row r="96" spans="2:20" ht="23.1" customHeight="1" x14ac:dyDescent="0.25">
      <c r="B96" s="25" t="s">
        <v>136</v>
      </c>
      <c r="C96" s="49">
        <f>AVERAGE('26.09 Kajansi-Bweya-24h'!C96,'28.09 Kajansi-Bweya-24h'!C96)</f>
        <v>3</v>
      </c>
      <c r="D96" s="49">
        <f>AVERAGE('26.09 Kajansi-Bweya-24h'!D96,'28.09 Kajansi-Bweya-24h'!D96)</f>
        <v>0.5</v>
      </c>
      <c r="E96" s="49">
        <f>AVERAGE('26.09 Kajansi-Bweya-24h'!E96,'28.09 Kajansi-Bweya-24h'!E96)</f>
        <v>0</v>
      </c>
      <c r="F96" s="49">
        <f>AVERAGE('26.09 Kajansi-Bweya-24h'!F96,'28.09 Kajansi-Bweya-24h'!F96)</f>
        <v>0</v>
      </c>
      <c r="G96" s="49">
        <f>AVERAGE('26.09 Kajansi-Bweya-24h'!G96,'28.09 Kajansi-Bweya-24h'!G96)</f>
        <v>0</v>
      </c>
      <c r="H96" s="49">
        <f>AVERAGE('26.09 Kajansi-Bweya-24h'!H96,'28.09 Kajansi-Bweya-24h'!H96)</f>
        <v>0</v>
      </c>
      <c r="I96" s="49">
        <f>AVERAGE('26.09 Kajansi-Bweya-24h'!I96,'28.09 Kajansi-Bweya-24h'!I96)</f>
        <v>0.5</v>
      </c>
      <c r="J96" s="49">
        <f>AVERAGE('26.09 Kajansi-Bweya-24h'!J96,'28.09 Kajansi-Bweya-24h'!J96)</f>
        <v>0</v>
      </c>
      <c r="K96" s="49">
        <f>AVERAGE('26.09 Kajansi-Bweya-24h'!K96,'28.09 Kajansi-Bweya-24h'!K96)</f>
        <v>0</v>
      </c>
      <c r="L96" s="49">
        <f>AVERAGE('26.09 Kajansi-Bweya-24h'!L96,'28.09 Kajansi-Bweya-24h'!L96)</f>
        <v>0</v>
      </c>
      <c r="M96" s="49">
        <f>AVERAGE('26.09 Kajansi-Bweya-24h'!M96,'28.09 Kajansi-Bweya-24h'!M96)</f>
        <v>1</v>
      </c>
      <c r="N96" s="49">
        <f>AVERAGE('26.09 Kajansi-Bweya-24h'!N96,'28.09 Kajansi-Bweya-24h'!N96)</f>
        <v>0</v>
      </c>
      <c r="O96" s="15">
        <f t="shared" si="35"/>
        <v>4</v>
      </c>
      <c r="P96" s="15">
        <f t="shared" si="36"/>
        <v>5</v>
      </c>
      <c r="R96" s="8"/>
      <c r="T96"/>
    </row>
    <row r="97" spans="2:20" ht="23.1" customHeight="1" x14ac:dyDescent="0.25">
      <c r="B97" s="23" t="s">
        <v>137</v>
      </c>
      <c r="C97" s="49">
        <f>AVERAGE('26.09 Kajansi-Bweya-24h'!C97,'28.09 Kajansi-Bweya-24h'!C97)</f>
        <v>3</v>
      </c>
      <c r="D97" s="49">
        <f>AVERAGE('26.09 Kajansi-Bweya-24h'!D97,'28.09 Kajansi-Bweya-24h'!D97)</f>
        <v>1</v>
      </c>
      <c r="E97" s="49">
        <f>AVERAGE('26.09 Kajansi-Bweya-24h'!E97,'28.09 Kajansi-Bweya-24h'!E97)</f>
        <v>0</v>
      </c>
      <c r="F97" s="49">
        <f>AVERAGE('26.09 Kajansi-Bweya-24h'!F97,'28.09 Kajansi-Bweya-24h'!F97)</f>
        <v>0</v>
      </c>
      <c r="G97" s="49">
        <f>AVERAGE('26.09 Kajansi-Bweya-24h'!G97,'28.09 Kajansi-Bweya-24h'!G97)</f>
        <v>0</v>
      </c>
      <c r="H97" s="49">
        <f>AVERAGE('26.09 Kajansi-Bweya-24h'!H97,'28.09 Kajansi-Bweya-24h'!H97)</f>
        <v>0</v>
      </c>
      <c r="I97" s="49">
        <f>AVERAGE('26.09 Kajansi-Bweya-24h'!I97,'28.09 Kajansi-Bweya-24h'!I97)</f>
        <v>0</v>
      </c>
      <c r="J97" s="49">
        <f>AVERAGE('26.09 Kajansi-Bweya-24h'!J97,'28.09 Kajansi-Bweya-24h'!J97)</f>
        <v>0</v>
      </c>
      <c r="K97" s="49">
        <f>AVERAGE('26.09 Kajansi-Bweya-24h'!K97,'28.09 Kajansi-Bweya-24h'!K97)</f>
        <v>0</v>
      </c>
      <c r="L97" s="49">
        <f>AVERAGE('26.09 Kajansi-Bweya-24h'!L97,'28.09 Kajansi-Bweya-24h'!L97)</f>
        <v>0</v>
      </c>
      <c r="M97" s="49">
        <f>AVERAGE('26.09 Kajansi-Bweya-24h'!M97,'28.09 Kajansi-Bweya-24h'!M97)</f>
        <v>1</v>
      </c>
      <c r="N97" s="49">
        <f>AVERAGE('26.09 Kajansi-Bweya-24h'!N97,'28.09 Kajansi-Bweya-24h'!N97)</f>
        <v>0</v>
      </c>
      <c r="O97" s="15">
        <f t="shared" si="35"/>
        <v>4</v>
      </c>
      <c r="P97" s="15">
        <f t="shared" si="36"/>
        <v>5</v>
      </c>
      <c r="R97" s="8"/>
      <c r="T97"/>
    </row>
    <row r="98" spans="2:20" ht="23.1" customHeight="1" x14ac:dyDescent="0.25">
      <c r="B98" s="24" t="s">
        <v>138</v>
      </c>
      <c r="C98" s="49">
        <f>AVERAGE('26.09 Kajansi-Bweya-24h'!C98,'28.09 Kajansi-Bweya-24h'!C98)</f>
        <v>2.5</v>
      </c>
      <c r="D98" s="49">
        <f>AVERAGE('26.09 Kajansi-Bweya-24h'!D98,'28.09 Kajansi-Bweya-24h'!D98)</f>
        <v>0</v>
      </c>
      <c r="E98" s="49">
        <f>AVERAGE('26.09 Kajansi-Bweya-24h'!E98,'28.09 Kajansi-Bweya-24h'!E98)</f>
        <v>0.5</v>
      </c>
      <c r="F98" s="49">
        <f>AVERAGE('26.09 Kajansi-Bweya-24h'!F98,'28.09 Kajansi-Bweya-24h'!F98)</f>
        <v>0</v>
      </c>
      <c r="G98" s="49">
        <f>AVERAGE('26.09 Kajansi-Bweya-24h'!G98,'28.09 Kajansi-Bweya-24h'!G98)</f>
        <v>0</v>
      </c>
      <c r="H98" s="49">
        <f>AVERAGE('26.09 Kajansi-Bweya-24h'!H98,'28.09 Kajansi-Bweya-24h'!H98)</f>
        <v>0</v>
      </c>
      <c r="I98" s="49">
        <f>AVERAGE('26.09 Kajansi-Bweya-24h'!I98,'28.09 Kajansi-Bweya-24h'!I98)</f>
        <v>0</v>
      </c>
      <c r="J98" s="49">
        <f>AVERAGE('26.09 Kajansi-Bweya-24h'!J98,'28.09 Kajansi-Bweya-24h'!J98)</f>
        <v>0</v>
      </c>
      <c r="K98" s="49">
        <f>AVERAGE('26.09 Kajansi-Bweya-24h'!K98,'28.09 Kajansi-Bweya-24h'!K98)</f>
        <v>0</v>
      </c>
      <c r="L98" s="49">
        <f>AVERAGE('26.09 Kajansi-Bweya-24h'!L98,'28.09 Kajansi-Bweya-24h'!L98)</f>
        <v>0</v>
      </c>
      <c r="M98" s="49">
        <f>AVERAGE('26.09 Kajansi-Bweya-24h'!M98,'28.09 Kajansi-Bweya-24h'!M98)</f>
        <v>1</v>
      </c>
      <c r="N98" s="49">
        <f>AVERAGE('26.09 Kajansi-Bweya-24h'!N98,'28.09 Kajansi-Bweya-24h'!N98)</f>
        <v>0</v>
      </c>
      <c r="O98" s="15">
        <f t="shared" si="35"/>
        <v>3</v>
      </c>
      <c r="P98" s="15">
        <f t="shared" si="36"/>
        <v>4</v>
      </c>
      <c r="R98" s="8"/>
      <c r="T98"/>
    </row>
    <row r="99" spans="2:20" ht="23.1" customHeight="1" x14ac:dyDescent="0.25">
      <c r="B99" s="23" t="s">
        <v>139</v>
      </c>
      <c r="C99" s="49">
        <f>AVERAGE('26.09 Kajansi-Bweya-24h'!C99,'28.09 Kajansi-Bweya-24h'!C99)</f>
        <v>3.5</v>
      </c>
      <c r="D99" s="49">
        <f>AVERAGE('26.09 Kajansi-Bweya-24h'!D99,'28.09 Kajansi-Bweya-24h'!D99)</f>
        <v>1</v>
      </c>
      <c r="E99" s="49">
        <f>AVERAGE('26.09 Kajansi-Bweya-24h'!E99,'28.09 Kajansi-Bweya-24h'!E99)</f>
        <v>0.5</v>
      </c>
      <c r="F99" s="49">
        <f>AVERAGE('26.09 Kajansi-Bweya-24h'!F99,'28.09 Kajansi-Bweya-24h'!F99)</f>
        <v>0</v>
      </c>
      <c r="G99" s="49">
        <f>AVERAGE('26.09 Kajansi-Bweya-24h'!G99,'28.09 Kajansi-Bweya-24h'!G99)</f>
        <v>0.5</v>
      </c>
      <c r="H99" s="49">
        <f>AVERAGE('26.09 Kajansi-Bweya-24h'!H99,'28.09 Kajansi-Bweya-24h'!H99)</f>
        <v>0</v>
      </c>
      <c r="I99" s="49">
        <f>AVERAGE('26.09 Kajansi-Bweya-24h'!I99,'28.09 Kajansi-Bweya-24h'!I99)</f>
        <v>0</v>
      </c>
      <c r="J99" s="49">
        <f>AVERAGE('26.09 Kajansi-Bweya-24h'!J99,'28.09 Kajansi-Bweya-24h'!J99)</f>
        <v>0</v>
      </c>
      <c r="K99" s="49">
        <f>AVERAGE('26.09 Kajansi-Bweya-24h'!K99,'28.09 Kajansi-Bweya-24h'!K99)</f>
        <v>0</v>
      </c>
      <c r="L99" s="49">
        <f>AVERAGE('26.09 Kajansi-Bweya-24h'!L99,'28.09 Kajansi-Bweya-24h'!L99)</f>
        <v>0</v>
      </c>
      <c r="M99" s="49">
        <f>AVERAGE('26.09 Kajansi-Bweya-24h'!M99,'28.09 Kajansi-Bweya-24h'!M99)</f>
        <v>2</v>
      </c>
      <c r="N99" s="49">
        <f>AVERAGE('26.09 Kajansi-Bweya-24h'!N99,'28.09 Kajansi-Bweya-24h'!N99)</f>
        <v>0</v>
      </c>
      <c r="O99" s="15">
        <f t="shared" si="35"/>
        <v>5.5</v>
      </c>
      <c r="P99" s="15">
        <f t="shared" si="36"/>
        <v>7.5</v>
      </c>
      <c r="R99" s="8"/>
      <c r="T99"/>
    </row>
    <row r="100" spans="2:20" ht="23.1" customHeight="1" x14ac:dyDescent="0.25">
      <c r="B100" s="25" t="s">
        <v>140</v>
      </c>
      <c r="C100" s="49">
        <f>AVERAGE('26.09 Kajansi-Bweya-24h'!C100,'28.09 Kajansi-Bweya-24h'!C100)</f>
        <v>2.5</v>
      </c>
      <c r="D100" s="49">
        <f>AVERAGE('26.09 Kajansi-Bweya-24h'!D100,'28.09 Kajansi-Bweya-24h'!D100)</f>
        <v>0.5</v>
      </c>
      <c r="E100" s="49">
        <f>AVERAGE('26.09 Kajansi-Bweya-24h'!E100,'28.09 Kajansi-Bweya-24h'!E100)</f>
        <v>0.5</v>
      </c>
      <c r="F100" s="49">
        <f>AVERAGE('26.09 Kajansi-Bweya-24h'!F100,'28.09 Kajansi-Bweya-24h'!F100)</f>
        <v>1</v>
      </c>
      <c r="G100" s="49">
        <f>AVERAGE('26.09 Kajansi-Bweya-24h'!G100,'28.09 Kajansi-Bweya-24h'!G100)</f>
        <v>0.5</v>
      </c>
      <c r="H100" s="49">
        <f>AVERAGE('26.09 Kajansi-Bweya-24h'!H100,'28.09 Kajansi-Bweya-24h'!H100)</f>
        <v>0</v>
      </c>
      <c r="I100" s="49">
        <f>AVERAGE('26.09 Kajansi-Bweya-24h'!I100,'28.09 Kajansi-Bweya-24h'!I100)</f>
        <v>0.5</v>
      </c>
      <c r="J100" s="49">
        <f>AVERAGE('26.09 Kajansi-Bweya-24h'!J100,'28.09 Kajansi-Bweya-24h'!J100)</f>
        <v>0</v>
      </c>
      <c r="K100" s="49">
        <f>AVERAGE('26.09 Kajansi-Bweya-24h'!K100,'28.09 Kajansi-Bweya-24h'!K100)</f>
        <v>0</v>
      </c>
      <c r="L100" s="49">
        <f>AVERAGE('26.09 Kajansi-Bweya-24h'!L100,'28.09 Kajansi-Bweya-24h'!L100)</f>
        <v>0</v>
      </c>
      <c r="M100" s="49">
        <f>AVERAGE('26.09 Kajansi-Bweya-24h'!M100,'28.09 Kajansi-Bweya-24h'!M100)</f>
        <v>3</v>
      </c>
      <c r="N100" s="49">
        <f>AVERAGE('26.09 Kajansi-Bweya-24h'!N100,'28.09 Kajansi-Bweya-24h'!N100)</f>
        <v>0</v>
      </c>
      <c r="O100" s="15">
        <f t="shared" si="35"/>
        <v>5.5</v>
      </c>
      <c r="P100" s="15">
        <f t="shared" si="36"/>
        <v>8.5</v>
      </c>
      <c r="R100" s="8"/>
      <c r="T100"/>
    </row>
    <row r="101" spans="2:20" ht="23.1" customHeight="1" x14ac:dyDescent="0.25">
      <c r="B101" s="23" t="s">
        <v>141</v>
      </c>
      <c r="C101" s="49">
        <f>AVERAGE('26.09 Kajansi-Bweya-24h'!C101,'28.09 Kajansi-Bweya-24h'!C101)</f>
        <v>2.5</v>
      </c>
      <c r="D101" s="49">
        <f>AVERAGE('26.09 Kajansi-Bweya-24h'!D101,'28.09 Kajansi-Bweya-24h'!D101)</f>
        <v>0</v>
      </c>
      <c r="E101" s="49">
        <f>AVERAGE('26.09 Kajansi-Bweya-24h'!E101,'28.09 Kajansi-Bweya-24h'!E101)</f>
        <v>1</v>
      </c>
      <c r="F101" s="49">
        <f>AVERAGE('26.09 Kajansi-Bweya-24h'!F101,'28.09 Kajansi-Bweya-24h'!F101)</f>
        <v>0</v>
      </c>
      <c r="G101" s="49">
        <f>AVERAGE('26.09 Kajansi-Bweya-24h'!G101,'28.09 Kajansi-Bweya-24h'!G101)</f>
        <v>0</v>
      </c>
      <c r="H101" s="49">
        <f>AVERAGE('26.09 Kajansi-Bweya-24h'!H101,'28.09 Kajansi-Bweya-24h'!H101)</f>
        <v>0</v>
      </c>
      <c r="I101" s="49">
        <f>AVERAGE('26.09 Kajansi-Bweya-24h'!I101,'28.09 Kajansi-Bweya-24h'!I101)</f>
        <v>0.5</v>
      </c>
      <c r="J101" s="49">
        <f>AVERAGE('26.09 Kajansi-Bweya-24h'!J101,'28.09 Kajansi-Bweya-24h'!J101)</f>
        <v>0</v>
      </c>
      <c r="K101" s="49">
        <f>AVERAGE('26.09 Kajansi-Bweya-24h'!K101,'28.09 Kajansi-Bweya-24h'!K101)</f>
        <v>0</v>
      </c>
      <c r="L101" s="49">
        <f>AVERAGE('26.09 Kajansi-Bweya-24h'!L101,'28.09 Kajansi-Bweya-24h'!L101)</f>
        <v>0</v>
      </c>
      <c r="M101" s="49">
        <f>AVERAGE('26.09 Kajansi-Bweya-24h'!M101,'28.09 Kajansi-Bweya-24h'!M101)</f>
        <v>2.5</v>
      </c>
      <c r="N101" s="49">
        <f>AVERAGE('26.09 Kajansi-Bweya-24h'!N101,'28.09 Kajansi-Bweya-24h'!N101)</f>
        <v>0</v>
      </c>
      <c r="O101" s="15">
        <f t="shared" si="35"/>
        <v>4</v>
      </c>
      <c r="P101" s="15">
        <f t="shared" si="36"/>
        <v>6.5</v>
      </c>
      <c r="R101" s="8"/>
      <c r="T101"/>
    </row>
    <row r="102" spans="2:20" ht="23.1" customHeight="1" x14ac:dyDescent="0.25">
      <c r="B102" s="24" t="s">
        <v>142</v>
      </c>
      <c r="C102" s="49">
        <f>AVERAGE('26.09 Kajansi-Bweya-24h'!C102,'28.09 Kajansi-Bweya-24h'!C102)</f>
        <v>5.5</v>
      </c>
      <c r="D102" s="49">
        <f>AVERAGE('26.09 Kajansi-Bweya-24h'!D102,'28.09 Kajansi-Bweya-24h'!D102)</f>
        <v>1.5</v>
      </c>
      <c r="E102" s="49">
        <f>AVERAGE('26.09 Kajansi-Bweya-24h'!E102,'28.09 Kajansi-Bweya-24h'!E102)</f>
        <v>0.5</v>
      </c>
      <c r="F102" s="49">
        <f>AVERAGE('26.09 Kajansi-Bweya-24h'!F102,'28.09 Kajansi-Bweya-24h'!F102)</f>
        <v>1</v>
      </c>
      <c r="G102" s="49">
        <f>AVERAGE('26.09 Kajansi-Bweya-24h'!G102,'28.09 Kajansi-Bweya-24h'!G102)</f>
        <v>0.5</v>
      </c>
      <c r="H102" s="49">
        <f>AVERAGE('26.09 Kajansi-Bweya-24h'!H102,'28.09 Kajansi-Bweya-24h'!H102)</f>
        <v>0</v>
      </c>
      <c r="I102" s="49">
        <f>AVERAGE('26.09 Kajansi-Bweya-24h'!I102,'28.09 Kajansi-Bweya-24h'!I102)</f>
        <v>0</v>
      </c>
      <c r="J102" s="49">
        <f>AVERAGE('26.09 Kajansi-Bweya-24h'!J102,'28.09 Kajansi-Bweya-24h'!J102)</f>
        <v>0</v>
      </c>
      <c r="K102" s="49">
        <f>AVERAGE('26.09 Kajansi-Bweya-24h'!K102,'28.09 Kajansi-Bweya-24h'!K102)</f>
        <v>0</v>
      </c>
      <c r="L102" s="49">
        <f>AVERAGE('26.09 Kajansi-Bweya-24h'!L102,'28.09 Kajansi-Bweya-24h'!L102)</f>
        <v>0</v>
      </c>
      <c r="M102" s="49">
        <f>AVERAGE('26.09 Kajansi-Bweya-24h'!M102,'28.09 Kajansi-Bweya-24h'!M102)</f>
        <v>2.5</v>
      </c>
      <c r="N102" s="49">
        <f>AVERAGE('26.09 Kajansi-Bweya-24h'!N102,'28.09 Kajansi-Bweya-24h'!N102)</f>
        <v>0</v>
      </c>
      <c r="O102" s="15">
        <f t="shared" si="35"/>
        <v>9</v>
      </c>
      <c r="P102" s="15">
        <f t="shared" si="36"/>
        <v>11.5</v>
      </c>
      <c r="R102" s="8"/>
      <c r="T102"/>
    </row>
    <row r="103" spans="2:20" ht="23.1" customHeight="1" x14ac:dyDescent="0.25">
      <c r="B103" s="23" t="s">
        <v>143</v>
      </c>
      <c r="C103" s="49">
        <f>AVERAGE('26.09 Kajansi-Bweya-24h'!C103,'28.09 Kajansi-Bweya-24h'!C103)</f>
        <v>10.5</v>
      </c>
      <c r="D103" s="49">
        <f>AVERAGE('26.09 Kajansi-Bweya-24h'!D103,'28.09 Kajansi-Bweya-24h'!D103)</f>
        <v>3</v>
      </c>
      <c r="E103" s="49">
        <f>AVERAGE('26.09 Kajansi-Bweya-24h'!E103,'28.09 Kajansi-Bweya-24h'!E103)</f>
        <v>1</v>
      </c>
      <c r="F103" s="49">
        <f>AVERAGE('26.09 Kajansi-Bweya-24h'!F103,'28.09 Kajansi-Bweya-24h'!F103)</f>
        <v>1.5</v>
      </c>
      <c r="G103" s="49">
        <f>AVERAGE('26.09 Kajansi-Bweya-24h'!G103,'28.09 Kajansi-Bweya-24h'!G103)</f>
        <v>0</v>
      </c>
      <c r="H103" s="49">
        <f>AVERAGE('26.09 Kajansi-Bweya-24h'!H103,'28.09 Kajansi-Bweya-24h'!H103)</f>
        <v>0</v>
      </c>
      <c r="I103" s="49">
        <f>AVERAGE('26.09 Kajansi-Bweya-24h'!I103,'28.09 Kajansi-Bweya-24h'!I103)</f>
        <v>0</v>
      </c>
      <c r="J103" s="49">
        <f>AVERAGE('26.09 Kajansi-Bweya-24h'!J103,'28.09 Kajansi-Bweya-24h'!J103)</f>
        <v>0</v>
      </c>
      <c r="K103" s="49">
        <f>AVERAGE('26.09 Kajansi-Bweya-24h'!K103,'28.09 Kajansi-Bweya-24h'!K103)</f>
        <v>0.5</v>
      </c>
      <c r="L103" s="49">
        <f>AVERAGE('26.09 Kajansi-Bweya-24h'!L103,'28.09 Kajansi-Bweya-24h'!L103)</f>
        <v>0</v>
      </c>
      <c r="M103" s="49">
        <f>AVERAGE('26.09 Kajansi-Bweya-24h'!M103,'28.09 Kajansi-Bweya-24h'!M103)</f>
        <v>4.5</v>
      </c>
      <c r="N103" s="49">
        <f>AVERAGE('26.09 Kajansi-Bweya-24h'!N103,'28.09 Kajansi-Bweya-24h'!N103)</f>
        <v>0</v>
      </c>
      <c r="O103" s="15">
        <f t="shared" si="35"/>
        <v>16.5</v>
      </c>
      <c r="P103" s="15">
        <f t="shared" si="36"/>
        <v>21</v>
      </c>
      <c r="R103" s="8"/>
      <c r="T103"/>
    </row>
    <row r="104" spans="2:20" ht="23.1" customHeight="1" x14ac:dyDescent="0.25">
      <c r="B104" s="25" t="s">
        <v>144</v>
      </c>
      <c r="C104" s="49">
        <f>AVERAGE('26.09 Kajansi-Bweya-24h'!C104,'28.09 Kajansi-Bweya-24h'!C104)</f>
        <v>17.5</v>
      </c>
      <c r="D104" s="49">
        <f>AVERAGE('26.09 Kajansi-Bweya-24h'!D104,'28.09 Kajansi-Bweya-24h'!D104)</f>
        <v>2.5</v>
      </c>
      <c r="E104" s="49">
        <f>AVERAGE('26.09 Kajansi-Bweya-24h'!E104,'28.09 Kajansi-Bweya-24h'!E104)</f>
        <v>1</v>
      </c>
      <c r="F104" s="49">
        <f>AVERAGE('26.09 Kajansi-Bweya-24h'!F104,'28.09 Kajansi-Bweya-24h'!F104)</f>
        <v>0.5</v>
      </c>
      <c r="G104" s="49">
        <f>AVERAGE('26.09 Kajansi-Bweya-24h'!G104,'28.09 Kajansi-Bweya-24h'!G104)</f>
        <v>0.5</v>
      </c>
      <c r="H104" s="49">
        <f>AVERAGE('26.09 Kajansi-Bweya-24h'!H104,'28.09 Kajansi-Bweya-24h'!H104)</f>
        <v>0.5</v>
      </c>
      <c r="I104" s="49">
        <f>AVERAGE('26.09 Kajansi-Bweya-24h'!I104,'28.09 Kajansi-Bweya-24h'!I104)</f>
        <v>0</v>
      </c>
      <c r="J104" s="49">
        <f>AVERAGE('26.09 Kajansi-Bweya-24h'!J104,'28.09 Kajansi-Bweya-24h'!J104)</f>
        <v>0</v>
      </c>
      <c r="K104" s="49">
        <f>AVERAGE('26.09 Kajansi-Bweya-24h'!K104,'28.09 Kajansi-Bweya-24h'!K104)</f>
        <v>0</v>
      </c>
      <c r="L104" s="49">
        <f>AVERAGE('26.09 Kajansi-Bweya-24h'!L104,'28.09 Kajansi-Bweya-24h'!L104)</f>
        <v>0</v>
      </c>
      <c r="M104" s="49">
        <f>AVERAGE('26.09 Kajansi-Bweya-24h'!M104,'28.09 Kajansi-Bweya-24h'!M104)</f>
        <v>6</v>
      </c>
      <c r="N104" s="49">
        <f>AVERAGE('26.09 Kajansi-Bweya-24h'!N104,'28.09 Kajansi-Bweya-24h'!N104)</f>
        <v>0</v>
      </c>
      <c r="O104" s="15">
        <f t="shared" si="35"/>
        <v>22.5</v>
      </c>
      <c r="P104" s="15">
        <f t="shared" si="36"/>
        <v>28.5</v>
      </c>
      <c r="R104" s="8"/>
      <c r="T104"/>
    </row>
    <row r="105" spans="2:20" ht="23.1" customHeight="1" x14ac:dyDescent="0.25">
      <c r="B105" s="23" t="s">
        <v>145</v>
      </c>
      <c r="C105" s="49">
        <f>AVERAGE('26.09 Kajansi-Bweya-24h'!C105,'28.09 Kajansi-Bweya-24h'!C105)</f>
        <v>23.5</v>
      </c>
      <c r="D105" s="49">
        <f>AVERAGE('26.09 Kajansi-Bweya-24h'!D105,'28.09 Kajansi-Bweya-24h'!D105)</f>
        <v>2</v>
      </c>
      <c r="E105" s="49">
        <f>AVERAGE('26.09 Kajansi-Bweya-24h'!E105,'28.09 Kajansi-Bweya-24h'!E105)</f>
        <v>3</v>
      </c>
      <c r="F105" s="49">
        <f>AVERAGE('26.09 Kajansi-Bweya-24h'!F105,'28.09 Kajansi-Bweya-24h'!F105)</f>
        <v>2</v>
      </c>
      <c r="G105" s="49">
        <f>AVERAGE('26.09 Kajansi-Bweya-24h'!G105,'28.09 Kajansi-Bweya-24h'!G105)</f>
        <v>0</v>
      </c>
      <c r="H105" s="49">
        <f>AVERAGE('26.09 Kajansi-Bweya-24h'!H105,'28.09 Kajansi-Bweya-24h'!H105)</f>
        <v>0</v>
      </c>
      <c r="I105" s="49">
        <f>AVERAGE('26.09 Kajansi-Bweya-24h'!I105,'28.09 Kajansi-Bweya-24h'!I105)</f>
        <v>1</v>
      </c>
      <c r="J105" s="49">
        <f>AVERAGE('26.09 Kajansi-Bweya-24h'!J105,'28.09 Kajansi-Bweya-24h'!J105)</f>
        <v>0</v>
      </c>
      <c r="K105" s="49">
        <f>AVERAGE('26.09 Kajansi-Bweya-24h'!K105,'28.09 Kajansi-Bweya-24h'!K105)</f>
        <v>0</v>
      </c>
      <c r="L105" s="49">
        <f>AVERAGE('26.09 Kajansi-Bweya-24h'!L105,'28.09 Kajansi-Bweya-24h'!L105)</f>
        <v>0</v>
      </c>
      <c r="M105" s="49">
        <f>AVERAGE('26.09 Kajansi-Bweya-24h'!M105,'28.09 Kajansi-Bweya-24h'!M105)</f>
        <v>7</v>
      </c>
      <c r="N105" s="49">
        <f>AVERAGE('26.09 Kajansi-Bweya-24h'!N105,'28.09 Kajansi-Bweya-24h'!N105)</f>
        <v>0</v>
      </c>
      <c r="O105" s="15">
        <f t="shared" si="35"/>
        <v>31.5</v>
      </c>
      <c r="P105" s="15">
        <f t="shared" si="36"/>
        <v>38.5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2089.6428571428573</v>
      </c>
      <c r="D106" s="16">
        <f t="shared" ref="D106:P106" si="37">SUM(D10:D105)</f>
        <v>432.07142857142856</v>
      </c>
      <c r="E106" s="16">
        <f t="shared" si="37"/>
        <v>240.85714285714289</v>
      </c>
      <c r="F106" s="16">
        <f t="shared" si="37"/>
        <v>89.428571428571416</v>
      </c>
      <c r="G106" s="16">
        <f t="shared" si="37"/>
        <v>19.642857142857142</v>
      </c>
      <c r="H106" s="16">
        <f t="shared" si="37"/>
        <v>6.2142857142857135</v>
      </c>
      <c r="I106" s="16">
        <f t="shared" si="37"/>
        <v>169.21428571428569</v>
      </c>
      <c r="J106" s="16">
        <f t="shared" si="37"/>
        <v>74.428571428571416</v>
      </c>
      <c r="K106" s="16">
        <f t="shared" si="37"/>
        <v>17</v>
      </c>
      <c r="L106" s="16">
        <f t="shared" si="37"/>
        <v>1.2857142857142856</v>
      </c>
      <c r="M106" s="16">
        <f t="shared" si="37"/>
        <v>1859.2380952380956</v>
      </c>
      <c r="N106" s="16">
        <f t="shared" si="37"/>
        <v>0</v>
      </c>
      <c r="O106" s="16">
        <f t="shared" si="37"/>
        <v>3139.7857142857142</v>
      </c>
      <c r="P106" s="16">
        <f t="shared" si="37"/>
        <v>4999.0238095238092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0.41801018294047892</v>
      </c>
      <c r="D107" s="43">
        <f t="shared" si="38"/>
        <v>8.6431160369405458E-2</v>
      </c>
      <c r="E107" s="43">
        <f t="shared" si="38"/>
        <v>4.8180835305940695E-2</v>
      </c>
      <c r="F107" s="43">
        <f t="shared" si="38"/>
        <v>1.7889206940402649E-2</v>
      </c>
      <c r="G107" s="43">
        <f t="shared" si="38"/>
        <v>3.929338585152339E-3</v>
      </c>
      <c r="H107" s="43">
        <f t="shared" si="38"/>
        <v>1.24309984330274E-3</v>
      </c>
      <c r="I107" s="43">
        <f t="shared" si="38"/>
        <v>3.3849465848094153E-2</v>
      </c>
      <c r="J107" s="43">
        <f t="shared" si="38"/>
        <v>1.4888621111740863E-2</v>
      </c>
      <c r="K107" s="43">
        <f t="shared" si="38"/>
        <v>3.4006639391500246E-3</v>
      </c>
      <c r="L107" s="43">
        <f t="shared" si="38"/>
        <v>2.571930710281531E-4</v>
      </c>
      <c r="M107" s="43">
        <f t="shared" si="38"/>
        <v>0.37192023204530417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0.66553677457515303</v>
      </c>
      <c r="D108" s="44">
        <f t="shared" ref="D108:N108" si="39">D106/$O$106</f>
        <v>0.13761175694428646</v>
      </c>
      <c r="E108" s="44">
        <f t="shared" si="39"/>
        <v>7.6711331528539262E-2</v>
      </c>
      <c r="F108" s="44">
        <f t="shared" si="39"/>
        <v>2.8482380508223944E-2</v>
      </c>
      <c r="G108" s="44">
        <f t="shared" si="39"/>
        <v>6.2561139295220329E-3</v>
      </c>
      <c r="H108" s="44">
        <f t="shared" si="39"/>
        <v>1.9792069522487883E-3</v>
      </c>
      <c r="I108" s="44">
        <f t="shared" si="39"/>
        <v>5.3893577814682528E-2</v>
      </c>
      <c r="J108" s="44">
        <f t="shared" si="39"/>
        <v>2.3704984416588935E-2</v>
      </c>
      <c r="K108" s="44">
        <f t="shared" si="39"/>
        <v>5.4143822371863414E-3</v>
      </c>
      <c r="L108" s="44">
        <f t="shared" si="39"/>
        <v>4.0949109356871484E-4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view="pageBreakPreview" topLeftCell="G59" zoomScale="60" workbookViewId="0">
      <selection activeCell="Y93" sqref="Y9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4" t="s">
        <v>23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2:32" ht="20.100000000000001" customHeight="1" x14ac:dyDescent="0.25">
      <c r="B2" s="65" t="s">
        <v>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</row>
    <row r="3" spans="2:32" ht="20.100000000000001" customHeight="1" x14ac:dyDescent="0.25">
      <c r="B3" s="22" t="s">
        <v>96</v>
      </c>
      <c r="C3" s="69" t="str">
        <f>'29.09 Bweya-Kajansi'!C3:G3</f>
        <v>MCC-C2-STNO 56 -Munyonyo spur</v>
      </c>
      <c r="D3" s="69"/>
      <c r="E3" s="69"/>
      <c r="F3" s="69"/>
      <c r="G3" s="6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4" t="s">
        <v>162</v>
      </c>
      <c r="E5" s="75"/>
      <c r="F5" s="41" t="s">
        <v>1</v>
      </c>
      <c r="G5" s="71" t="str">
        <f>'Avg Week Kajansi-Bweya'!G5:H5</f>
        <v>Munyonyo Spur RD</v>
      </c>
      <c r="H5" s="72"/>
      <c r="I5" s="14"/>
      <c r="J5" s="2" t="s">
        <v>5</v>
      </c>
      <c r="K5" s="71" t="str">
        <f>'Avg Week Kajansi-Bweya'!K5:L5</f>
        <v>Akello Rosette / Kasoma John Paul</v>
      </c>
      <c r="L5" s="72"/>
      <c r="M5" s="10"/>
      <c r="N5" s="10"/>
      <c r="O5" s="3"/>
      <c r="P5" s="3"/>
    </row>
    <row r="6" spans="2:32" ht="23.25" customHeight="1" x14ac:dyDescent="0.25">
      <c r="C6" s="2" t="s">
        <v>4</v>
      </c>
      <c r="D6" s="76" t="s">
        <v>161</v>
      </c>
      <c r="E6" s="77"/>
      <c r="F6" s="2" t="s">
        <v>2</v>
      </c>
      <c r="G6" s="76" t="s">
        <v>161</v>
      </c>
      <c r="H6" s="77"/>
      <c r="J6" s="2" t="s">
        <v>21</v>
      </c>
      <c r="K6" s="71" t="str">
        <f>'Avg Week Kajansi-Bweya'!K6:L6</f>
        <v>Beatrice</v>
      </c>
      <c r="L6" s="7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3" t="s">
        <v>88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Bweya-Kajansi'!C10+'Avg Week Kajansi-Bweya'!C10</f>
        <v>51.857142857142861</v>
      </c>
      <c r="D10" s="49">
        <f>'Avg Week Bweya-Kajansi'!D10+'Avg Week Kajansi-Bweya'!D10</f>
        <v>8.5714285714285712</v>
      </c>
      <c r="E10" s="49">
        <f>'Avg Week Bweya-Kajansi'!E10+'Avg Week Kajansi-Bweya'!E10</f>
        <v>4.7142857142857144</v>
      </c>
      <c r="F10" s="49">
        <f>'Avg Week Bweya-Kajansi'!F10+'Avg Week Kajansi-Bweya'!F10</f>
        <v>3</v>
      </c>
      <c r="G10" s="49">
        <f>'Avg Week Bweya-Kajansi'!G10+'Avg Week Kajansi-Bweya'!G10</f>
        <v>0.14285714285714285</v>
      </c>
      <c r="H10" s="49">
        <f>'Avg Week Bweya-Kajansi'!H10+'Avg Week Kajansi-Bweya'!H10</f>
        <v>0.14285714285714285</v>
      </c>
      <c r="I10" s="49">
        <f>'Avg Week Bweya-Kajansi'!I10+'Avg Week Kajansi-Bweya'!I10</f>
        <v>4</v>
      </c>
      <c r="J10" s="49">
        <f>'Avg Week Bweya-Kajansi'!J10+'Avg Week Kajansi-Bweya'!J10</f>
        <v>0.85714285714285721</v>
      </c>
      <c r="K10" s="49">
        <f>'Avg Week Bweya-Kajansi'!K10+'Avg Week Kajansi-Bweya'!K10</f>
        <v>0</v>
      </c>
      <c r="L10" s="49">
        <f>'Avg Week Bweya-Kajansi'!L10+'Avg Week Kajansi-Bweya'!L10</f>
        <v>0</v>
      </c>
      <c r="M10" s="49">
        <f>'Avg Week Bweya-Kajansi'!M10+'Avg Week Kajansi-Bweya'!M10</f>
        <v>50</v>
      </c>
      <c r="N10" s="49">
        <f>'Avg Week Bweya-Kajansi'!N10+'Avg Week Kajansi-Bweya'!N10</f>
        <v>0</v>
      </c>
      <c r="O10" s="15">
        <f t="shared" ref="O10:O73" si="0">SUM(C10:L10,N10)</f>
        <v>73.285714285714278</v>
      </c>
      <c r="P10" s="15">
        <f t="shared" ref="P10:P73" si="1">SUM(C10:N10)</f>
        <v>123.28571428571428</v>
      </c>
      <c r="R10" s="1" t="s">
        <v>6</v>
      </c>
      <c r="S10" s="17">
        <f t="shared" ref="S10:AF10" si="2">SUM(C10:C13)</f>
        <v>226.85714285714283</v>
      </c>
      <c r="T10" s="17">
        <f t="shared" si="2"/>
        <v>41.714285714285715</v>
      </c>
      <c r="U10" s="17">
        <f t="shared" si="2"/>
        <v>22.142857142857142</v>
      </c>
      <c r="V10" s="17">
        <f t="shared" si="2"/>
        <v>16</v>
      </c>
      <c r="W10" s="17">
        <f t="shared" si="2"/>
        <v>1.1428571428571428</v>
      </c>
      <c r="X10" s="17">
        <f t="shared" si="2"/>
        <v>0.71428571428571419</v>
      </c>
      <c r="Y10" s="17">
        <f t="shared" si="2"/>
        <v>16.571428571428569</v>
      </c>
      <c r="Z10" s="17">
        <f t="shared" si="2"/>
        <v>4</v>
      </c>
      <c r="AA10" s="17">
        <f t="shared" si="2"/>
        <v>0.42857142857142855</v>
      </c>
      <c r="AB10" s="17">
        <f t="shared" si="2"/>
        <v>0</v>
      </c>
      <c r="AC10" s="17">
        <f t="shared" si="2"/>
        <v>259.71428571428567</v>
      </c>
      <c r="AD10" s="17">
        <f t="shared" si="2"/>
        <v>0</v>
      </c>
      <c r="AE10" s="31">
        <f t="shared" si="2"/>
        <v>329.57142857142856</v>
      </c>
      <c r="AF10" s="31">
        <f t="shared" si="2"/>
        <v>589.28571428571422</v>
      </c>
    </row>
    <row r="11" spans="2:32" s="6" customFormat="1" ht="23.1" customHeight="1" x14ac:dyDescent="0.25">
      <c r="B11" s="23" t="s">
        <v>38</v>
      </c>
      <c r="C11" s="49">
        <f>'Avg Week Bweya-Kajansi'!C11+'Avg Week Kajansi-Bweya'!C11</f>
        <v>53.714285714285715</v>
      </c>
      <c r="D11" s="49">
        <f>'Avg Week Bweya-Kajansi'!D11+'Avg Week Kajansi-Bweya'!D11</f>
        <v>12.857142857142858</v>
      </c>
      <c r="E11" s="49">
        <f>'Avg Week Bweya-Kajansi'!E11+'Avg Week Kajansi-Bweya'!E11</f>
        <v>5.7142857142857144</v>
      </c>
      <c r="F11" s="49">
        <f>'Avg Week Bweya-Kajansi'!F11+'Avg Week Kajansi-Bweya'!F11</f>
        <v>4</v>
      </c>
      <c r="G11" s="49">
        <f>'Avg Week Bweya-Kajansi'!G11+'Avg Week Kajansi-Bweya'!G11</f>
        <v>0</v>
      </c>
      <c r="H11" s="49">
        <f>'Avg Week Bweya-Kajansi'!H11+'Avg Week Kajansi-Bweya'!H11</f>
        <v>0</v>
      </c>
      <c r="I11" s="49">
        <f>'Avg Week Bweya-Kajansi'!I11+'Avg Week Kajansi-Bweya'!I11</f>
        <v>4.7142857142857135</v>
      </c>
      <c r="J11" s="49">
        <f>'Avg Week Bweya-Kajansi'!J11+'Avg Week Kajansi-Bweya'!J11</f>
        <v>1</v>
      </c>
      <c r="K11" s="49">
        <f>'Avg Week Bweya-Kajansi'!K11+'Avg Week Kajansi-Bweya'!K11</f>
        <v>0</v>
      </c>
      <c r="L11" s="49">
        <f>'Avg Week Bweya-Kajansi'!L11+'Avg Week Kajansi-Bweya'!L11</f>
        <v>0</v>
      </c>
      <c r="M11" s="49">
        <f>'Avg Week Bweya-Kajansi'!M11+'Avg Week Kajansi-Bweya'!M11</f>
        <v>66</v>
      </c>
      <c r="N11" s="49">
        <f>'Avg Week Bweya-Kajansi'!N11+'Avg Week Kajansi-Bweya'!N11</f>
        <v>0</v>
      </c>
      <c r="O11" s="15">
        <f t="shared" si="0"/>
        <v>81.999999999999986</v>
      </c>
      <c r="P11" s="15">
        <f t="shared" si="1"/>
        <v>148</v>
      </c>
      <c r="R11" s="1" t="s">
        <v>7</v>
      </c>
      <c r="S11" s="17">
        <f t="shared" ref="S11:AF11" si="3">SUM(C14:C17)</f>
        <v>213.42857142857142</v>
      </c>
      <c r="T11" s="17">
        <f t="shared" si="3"/>
        <v>40.428571428571431</v>
      </c>
      <c r="U11" s="17">
        <f t="shared" si="3"/>
        <v>26.857142857142854</v>
      </c>
      <c r="V11" s="17">
        <f t="shared" si="3"/>
        <v>9.8571428571428577</v>
      </c>
      <c r="W11" s="17">
        <f t="shared" si="3"/>
        <v>1.4285714285714284</v>
      </c>
      <c r="X11" s="17">
        <f t="shared" si="3"/>
        <v>1</v>
      </c>
      <c r="Y11" s="17">
        <f t="shared" si="3"/>
        <v>18.714285714285715</v>
      </c>
      <c r="Z11" s="17">
        <f t="shared" si="3"/>
        <v>6</v>
      </c>
      <c r="AA11" s="17">
        <f t="shared" si="3"/>
        <v>1.2857142857142856</v>
      </c>
      <c r="AB11" s="17">
        <f t="shared" si="3"/>
        <v>0</v>
      </c>
      <c r="AC11" s="17">
        <f t="shared" si="3"/>
        <v>300.14285714285717</v>
      </c>
      <c r="AD11" s="17">
        <f t="shared" si="3"/>
        <v>0</v>
      </c>
      <c r="AE11" s="31">
        <f t="shared" si="3"/>
        <v>319</v>
      </c>
      <c r="AF11" s="31">
        <f t="shared" si="3"/>
        <v>619.14285714285722</v>
      </c>
    </row>
    <row r="12" spans="2:32" ht="23.1" customHeight="1" x14ac:dyDescent="0.25">
      <c r="B12" s="23" t="s">
        <v>39</v>
      </c>
      <c r="C12" s="49">
        <f>'Avg Week Bweya-Kajansi'!C12+'Avg Week Kajansi-Bweya'!C12</f>
        <v>61.714285714285708</v>
      </c>
      <c r="D12" s="49">
        <f>'Avg Week Bweya-Kajansi'!D12+'Avg Week Kajansi-Bweya'!D12</f>
        <v>11.285714285714285</v>
      </c>
      <c r="E12" s="49">
        <f>'Avg Week Bweya-Kajansi'!E12+'Avg Week Kajansi-Bweya'!E12</f>
        <v>6.4285714285714279</v>
      </c>
      <c r="F12" s="49">
        <f>'Avg Week Bweya-Kajansi'!F12+'Avg Week Kajansi-Bweya'!F12</f>
        <v>4.1428571428571423</v>
      </c>
      <c r="G12" s="49">
        <f>'Avg Week Bweya-Kajansi'!G12+'Avg Week Kajansi-Bweya'!G12</f>
        <v>0.8571428571428571</v>
      </c>
      <c r="H12" s="49">
        <f>'Avg Week Bweya-Kajansi'!H12+'Avg Week Kajansi-Bweya'!H12</f>
        <v>0</v>
      </c>
      <c r="I12" s="49">
        <f>'Avg Week Bweya-Kajansi'!I12+'Avg Week Kajansi-Bweya'!I12</f>
        <v>3.5714285714285712</v>
      </c>
      <c r="J12" s="49">
        <f>'Avg Week Bweya-Kajansi'!J12+'Avg Week Kajansi-Bweya'!J12</f>
        <v>0.7142857142857143</v>
      </c>
      <c r="K12" s="49">
        <f>'Avg Week Bweya-Kajansi'!K12+'Avg Week Kajansi-Bweya'!K12</f>
        <v>0.14285714285714285</v>
      </c>
      <c r="L12" s="49">
        <f>'Avg Week Bweya-Kajansi'!L12+'Avg Week Kajansi-Bweya'!L12</f>
        <v>0</v>
      </c>
      <c r="M12" s="49">
        <f>'Avg Week Bweya-Kajansi'!M12+'Avg Week Kajansi-Bweya'!M12</f>
        <v>71.571428571428569</v>
      </c>
      <c r="N12" s="49">
        <f>'Avg Week Bweya-Kajansi'!N12+'Avg Week Kajansi-Bweya'!N12</f>
        <v>0</v>
      </c>
      <c r="O12" s="15">
        <f t="shared" si="0"/>
        <v>88.857142857142847</v>
      </c>
      <c r="P12" s="15">
        <f t="shared" si="1"/>
        <v>160.42857142857142</v>
      </c>
      <c r="R12" s="1" t="s">
        <v>8</v>
      </c>
      <c r="S12" s="17">
        <f t="shared" ref="S12:AF12" si="4">SUM(C18:C21)</f>
        <v>177.85714285714286</v>
      </c>
      <c r="T12" s="17">
        <f t="shared" si="4"/>
        <v>44.714285714285715</v>
      </c>
      <c r="U12" s="17">
        <f t="shared" si="4"/>
        <v>27.714285714285715</v>
      </c>
      <c r="V12" s="17">
        <f t="shared" si="4"/>
        <v>9.5714285714285712</v>
      </c>
      <c r="W12" s="17">
        <f t="shared" si="4"/>
        <v>1.7142857142857142</v>
      </c>
      <c r="X12" s="17">
        <f t="shared" si="4"/>
        <v>0.42857142857142855</v>
      </c>
      <c r="Y12" s="17">
        <f t="shared" si="4"/>
        <v>25.142857142857139</v>
      </c>
      <c r="Z12" s="17">
        <f t="shared" si="4"/>
        <v>5.4285714285714279</v>
      </c>
      <c r="AA12" s="17">
        <f t="shared" si="4"/>
        <v>1.5714285714285714</v>
      </c>
      <c r="AB12" s="17">
        <f t="shared" si="4"/>
        <v>0.2857142857142857</v>
      </c>
      <c r="AC12" s="17">
        <f t="shared" si="4"/>
        <v>263.57142857142856</v>
      </c>
      <c r="AD12" s="17">
        <f t="shared" si="4"/>
        <v>0</v>
      </c>
      <c r="AE12" s="31">
        <f t="shared" si="4"/>
        <v>294.42857142857139</v>
      </c>
      <c r="AF12" s="31">
        <f t="shared" si="4"/>
        <v>558</v>
      </c>
    </row>
    <row r="13" spans="2:32" ht="23.1" customHeight="1" x14ac:dyDescent="0.25">
      <c r="B13" s="23" t="s">
        <v>40</v>
      </c>
      <c r="C13" s="49">
        <f>'Avg Week Bweya-Kajansi'!C13+'Avg Week Kajansi-Bweya'!C13</f>
        <v>59.571428571428569</v>
      </c>
      <c r="D13" s="49">
        <f>'Avg Week Bweya-Kajansi'!D13+'Avg Week Kajansi-Bweya'!D13</f>
        <v>9</v>
      </c>
      <c r="E13" s="49">
        <f>'Avg Week Bweya-Kajansi'!E13+'Avg Week Kajansi-Bweya'!E13</f>
        <v>5.2857142857142856</v>
      </c>
      <c r="F13" s="49">
        <f>'Avg Week Bweya-Kajansi'!F13+'Avg Week Kajansi-Bweya'!F13</f>
        <v>4.8571428571428577</v>
      </c>
      <c r="G13" s="49">
        <f>'Avg Week Bweya-Kajansi'!G13+'Avg Week Kajansi-Bweya'!G13</f>
        <v>0.14285714285714285</v>
      </c>
      <c r="H13" s="49">
        <f>'Avg Week Bweya-Kajansi'!H13+'Avg Week Kajansi-Bweya'!H13</f>
        <v>0.5714285714285714</v>
      </c>
      <c r="I13" s="49">
        <f>'Avg Week Bweya-Kajansi'!I13+'Avg Week Kajansi-Bweya'!I13</f>
        <v>4.2857142857142856</v>
      </c>
      <c r="J13" s="49">
        <f>'Avg Week Bweya-Kajansi'!J13+'Avg Week Kajansi-Bweya'!J13</f>
        <v>1.4285714285714286</v>
      </c>
      <c r="K13" s="49">
        <f>'Avg Week Bweya-Kajansi'!K13+'Avg Week Kajansi-Bweya'!K13</f>
        <v>0.2857142857142857</v>
      </c>
      <c r="L13" s="49">
        <f>'Avg Week Bweya-Kajansi'!L13+'Avg Week Kajansi-Bweya'!L13</f>
        <v>0</v>
      </c>
      <c r="M13" s="49">
        <f>'Avg Week Bweya-Kajansi'!M13+'Avg Week Kajansi-Bweya'!M13</f>
        <v>72.142857142857139</v>
      </c>
      <c r="N13" s="49">
        <f>'Avg Week Bweya-Kajansi'!N13+'Avg Week Kajansi-Bweya'!N13</f>
        <v>0</v>
      </c>
      <c r="O13" s="15">
        <f t="shared" si="0"/>
        <v>85.428571428571445</v>
      </c>
      <c r="P13" s="15">
        <f t="shared" si="1"/>
        <v>157.57142857142858</v>
      </c>
      <c r="R13" s="1" t="s">
        <v>9</v>
      </c>
      <c r="S13" s="17">
        <f t="shared" ref="S13:AF13" si="5">SUM(C22:C25)</f>
        <v>186.42857142857144</v>
      </c>
      <c r="T13" s="17">
        <f t="shared" si="5"/>
        <v>50.714285714285708</v>
      </c>
      <c r="U13" s="17">
        <f t="shared" si="5"/>
        <v>25.428571428571427</v>
      </c>
      <c r="V13" s="17">
        <f t="shared" si="5"/>
        <v>11.142857142857144</v>
      </c>
      <c r="W13" s="17">
        <f t="shared" si="5"/>
        <v>1.5714285714285714</v>
      </c>
      <c r="X13" s="17">
        <f t="shared" si="5"/>
        <v>0.5714285714285714</v>
      </c>
      <c r="Y13" s="17">
        <f t="shared" si="5"/>
        <v>24.285714285714288</v>
      </c>
      <c r="Z13" s="17">
        <f t="shared" si="5"/>
        <v>5.5714285714285712</v>
      </c>
      <c r="AA13" s="17">
        <f t="shared" si="5"/>
        <v>0.71428571428571419</v>
      </c>
      <c r="AB13" s="17">
        <f t="shared" si="5"/>
        <v>0</v>
      </c>
      <c r="AC13" s="17">
        <f t="shared" si="5"/>
        <v>254.71428571428572</v>
      </c>
      <c r="AD13" s="17">
        <f t="shared" si="5"/>
        <v>0</v>
      </c>
      <c r="AE13" s="31">
        <f t="shared" si="5"/>
        <v>306.42857142857144</v>
      </c>
      <c r="AF13" s="31">
        <f t="shared" si="5"/>
        <v>561.14285714285711</v>
      </c>
    </row>
    <row r="14" spans="2:32" ht="23.1" customHeight="1" x14ac:dyDescent="0.25">
      <c r="B14" s="23" t="s">
        <v>41</v>
      </c>
      <c r="C14" s="49">
        <f>'Avg Week Bweya-Kajansi'!C14+'Avg Week Kajansi-Bweya'!C14</f>
        <v>54</v>
      </c>
      <c r="D14" s="49">
        <f>'Avg Week Bweya-Kajansi'!D14+'Avg Week Kajansi-Bweya'!D14</f>
        <v>8.2857142857142865</v>
      </c>
      <c r="E14" s="49">
        <f>'Avg Week Bweya-Kajansi'!E14+'Avg Week Kajansi-Bweya'!E14</f>
        <v>6.4285714285714288</v>
      </c>
      <c r="F14" s="49">
        <f>'Avg Week Bweya-Kajansi'!F14+'Avg Week Kajansi-Bweya'!F14</f>
        <v>3.2857142857142856</v>
      </c>
      <c r="G14" s="49">
        <f>'Avg Week Bweya-Kajansi'!G14+'Avg Week Kajansi-Bweya'!G14</f>
        <v>0.42857142857142855</v>
      </c>
      <c r="H14" s="49">
        <f>'Avg Week Bweya-Kajansi'!H14+'Avg Week Kajansi-Bweya'!H14</f>
        <v>0.2857142857142857</v>
      </c>
      <c r="I14" s="49">
        <f>'Avg Week Bweya-Kajansi'!I14+'Avg Week Kajansi-Bweya'!I14</f>
        <v>5.1428571428571423</v>
      </c>
      <c r="J14" s="49">
        <f>'Avg Week Bweya-Kajansi'!J14+'Avg Week Kajansi-Bweya'!J14</f>
        <v>1.2857142857142856</v>
      </c>
      <c r="K14" s="49">
        <f>'Avg Week Bweya-Kajansi'!K14+'Avg Week Kajansi-Bweya'!K14</f>
        <v>0.2857142857142857</v>
      </c>
      <c r="L14" s="49">
        <f>'Avg Week Bweya-Kajansi'!L14+'Avg Week Kajansi-Bweya'!L14</f>
        <v>0</v>
      </c>
      <c r="M14" s="49">
        <f>'Avg Week Bweya-Kajansi'!M14+'Avg Week Kajansi-Bweya'!M14</f>
        <v>74.571428571428569</v>
      </c>
      <c r="N14" s="49">
        <f>'Avg Week Bweya-Kajansi'!N14+'Avg Week Kajansi-Bweya'!N14</f>
        <v>0</v>
      </c>
      <c r="O14" s="15">
        <f t="shared" si="0"/>
        <v>79.428571428571445</v>
      </c>
      <c r="P14" s="15">
        <f t="shared" si="1"/>
        <v>154</v>
      </c>
      <c r="R14" s="1" t="s">
        <v>10</v>
      </c>
      <c r="S14" s="17">
        <f t="shared" ref="S14:AF14" si="6">SUM(C26:C29)</f>
        <v>206.42857142857144</v>
      </c>
      <c r="T14" s="17">
        <f t="shared" si="6"/>
        <v>39.285714285714285</v>
      </c>
      <c r="U14" s="17">
        <f t="shared" si="6"/>
        <v>25.428571428571431</v>
      </c>
      <c r="V14" s="17">
        <f t="shared" si="6"/>
        <v>10.428571428571427</v>
      </c>
      <c r="W14" s="17">
        <f t="shared" si="6"/>
        <v>1.1428571428571428</v>
      </c>
      <c r="X14" s="17">
        <f t="shared" si="6"/>
        <v>1.1428571428571428</v>
      </c>
      <c r="Y14" s="17">
        <f t="shared" si="6"/>
        <v>24.428571428571427</v>
      </c>
      <c r="Z14" s="17">
        <f t="shared" si="6"/>
        <v>8.1428571428571423</v>
      </c>
      <c r="AA14" s="17">
        <f t="shared" si="6"/>
        <v>2.4285714285714284</v>
      </c>
      <c r="AB14" s="17">
        <f t="shared" si="6"/>
        <v>0.5714285714285714</v>
      </c>
      <c r="AC14" s="17">
        <f t="shared" si="6"/>
        <v>247</v>
      </c>
      <c r="AD14" s="17">
        <f t="shared" si="6"/>
        <v>0.14285714285714285</v>
      </c>
      <c r="AE14" s="31">
        <f t="shared" si="6"/>
        <v>319.57142857142856</v>
      </c>
      <c r="AF14" s="31">
        <f t="shared" si="6"/>
        <v>566.57142857142856</v>
      </c>
    </row>
    <row r="15" spans="2:32" ht="23.1" customHeight="1" x14ac:dyDescent="0.25">
      <c r="B15" s="23" t="s">
        <v>42</v>
      </c>
      <c r="C15" s="49">
        <f>'Avg Week Bweya-Kajansi'!C15+'Avg Week Kajansi-Bweya'!C15</f>
        <v>51.571428571428569</v>
      </c>
      <c r="D15" s="49">
        <f>'Avg Week Bweya-Kajansi'!D15+'Avg Week Kajansi-Bweya'!D15</f>
        <v>11</v>
      </c>
      <c r="E15" s="49">
        <f>'Avg Week Bweya-Kajansi'!E15+'Avg Week Kajansi-Bweya'!E15</f>
        <v>7.4285714285714288</v>
      </c>
      <c r="F15" s="49">
        <f>'Avg Week Bweya-Kajansi'!F15+'Avg Week Kajansi-Bweya'!F15</f>
        <v>2.5714285714285712</v>
      </c>
      <c r="G15" s="49">
        <f>'Avg Week Bweya-Kajansi'!G15+'Avg Week Kajansi-Bweya'!G15</f>
        <v>0.2857142857142857</v>
      </c>
      <c r="H15" s="49">
        <f>'Avg Week Bweya-Kajansi'!H15+'Avg Week Kajansi-Bweya'!H15</f>
        <v>0.2857142857142857</v>
      </c>
      <c r="I15" s="49">
        <f>'Avg Week Bweya-Kajansi'!I15+'Avg Week Kajansi-Bweya'!I15</f>
        <v>4.4285714285714288</v>
      </c>
      <c r="J15" s="49">
        <f>'Avg Week Bweya-Kajansi'!J15+'Avg Week Kajansi-Bweya'!J15</f>
        <v>1</v>
      </c>
      <c r="K15" s="49">
        <f>'Avg Week Bweya-Kajansi'!K15+'Avg Week Kajansi-Bweya'!K15</f>
        <v>0.42857142857142855</v>
      </c>
      <c r="L15" s="49">
        <f>'Avg Week Bweya-Kajansi'!L15+'Avg Week Kajansi-Bweya'!L15</f>
        <v>0</v>
      </c>
      <c r="M15" s="49">
        <f>'Avg Week Bweya-Kajansi'!M15+'Avg Week Kajansi-Bweya'!M15</f>
        <v>69.857142857142861</v>
      </c>
      <c r="N15" s="49">
        <f>'Avg Week Bweya-Kajansi'!N15+'Avg Week Kajansi-Bweya'!N15</f>
        <v>0</v>
      </c>
      <c r="O15" s="15">
        <f t="shared" si="0"/>
        <v>79.000000000000014</v>
      </c>
      <c r="P15" s="15">
        <f t="shared" si="1"/>
        <v>148.85714285714289</v>
      </c>
      <c r="R15" s="1" t="s">
        <v>11</v>
      </c>
      <c r="S15" s="17">
        <f t="shared" ref="S15:AF15" si="7">SUM(C30:C33)</f>
        <v>210</v>
      </c>
      <c r="T15" s="17">
        <f t="shared" si="7"/>
        <v>45.142857142857139</v>
      </c>
      <c r="U15" s="17">
        <f t="shared" si="7"/>
        <v>21.714285714285715</v>
      </c>
      <c r="V15" s="17">
        <f t="shared" si="7"/>
        <v>9</v>
      </c>
      <c r="W15" s="17">
        <f t="shared" si="7"/>
        <v>1.1428571428571428</v>
      </c>
      <c r="X15" s="17">
        <f t="shared" si="7"/>
        <v>0.2857142857142857</v>
      </c>
      <c r="Y15" s="17">
        <f t="shared" si="7"/>
        <v>24.142857142857142</v>
      </c>
      <c r="Z15" s="17">
        <f t="shared" si="7"/>
        <v>11.857142857142858</v>
      </c>
      <c r="AA15" s="17">
        <f t="shared" si="7"/>
        <v>1.5714285714285712</v>
      </c>
      <c r="AB15" s="17">
        <f t="shared" si="7"/>
        <v>0.5714285714285714</v>
      </c>
      <c r="AC15" s="17">
        <f t="shared" si="7"/>
        <v>207.42857142857144</v>
      </c>
      <c r="AD15" s="17">
        <f t="shared" si="7"/>
        <v>0</v>
      </c>
      <c r="AE15" s="31">
        <f t="shared" si="7"/>
        <v>325.42857142857144</v>
      </c>
      <c r="AF15" s="31">
        <f t="shared" si="7"/>
        <v>532.85714285714289</v>
      </c>
    </row>
    <row r="16" spans="2:32" ht="23.1" customHeight="1" x14ac:dyDescent="0.25">
      <c r="B16" s="23" t="s">
        <v>43</v>
      </c>
      <c r="C16" s="49">
        <f>'Avg Week Bweya-Kajansi'!C16+'Avg Week Kajansi-Bweya'!C16</f>
        <v>53.714285714285715</v>
      </c>
      <c r="D16" s="49">
        <f>'Avg Week Bweya-Kajansi'!D16+'Avg Week Kajansi-Bweya'!D16</f>
        <v>11.857142857142858</v>
      </c>
      <c r="E16" s="49">
        <f>'Avg Week Bweya-Kajansi'!E16+'Avg Week Kajansi-Bweya'!E16</f>
        <v>6.2857142857142856</v>
      </c>
      <c r="F16" s="49">
        <f>'Avg Week Bweya-Kajansi'!F16+'Avg Week Kajansi-Bweya'!F16</f>
        <v>2</v>
      </c>
      <c r="G16" s="49">
        <f>'Avg Week Bweya-Kajansi'!G16+'Avg Week Kajansi-Bweya'!G16</f>
        <v>0.2857142857142857</v>
      </c>
      <c r="H16" s="49">
        <f>'Avg Week Bweya-Kajansi'!H16+'Avg Week Kajansi-Bweya'!H16</f>
        <v>0.2857142857142857</v>
      </c>
      <c r="I16" s="49">
        <f>'Avg Week Bweya-Kajansi'!I16+'Avg Week Kajansi-Bweya'!I16</f>
        <v>5.1428571428571432</v>
      </c>
      <c r="J16" s="49">
        <f>'Avg Week Bweya-Kajansi'!J16+'Avg Week Kajansi-Bweya'!J16</f>
        <v>1.8571428571428572</v>
      </c>
      <c r="K16" s="49">
        <f>'Avg Week Bweya-Kajansi'!K16+'Avg Week Kajansi-Bweya'!K16</f>
        <v>0</v>
      </c>
      <c r="L16" s="49">
        <f>'Avg Week Bweya-Kajansi'!L16+'Avg Week Kajansi-Bweya'!L16</f>
        <v>0</v>
      </c>
      <c r="M16" s="49">
        <f>'Avg Week Bweya-Kajansi'!M16+'Avg Week Kajansi-Bweya'!M16</f>
        <v>82.714285714285722</v>
      </c>
      <c r="N16" s="49">
        <f>'Avg Week Bweya-Kajansi'!N16+'Avg Week Kajansi-Bweya'!N16</f>
        <v>0</v>
      </c>
      <c r="O16" s="15">
        <f t="shared" si="0"/>
        <v>81.428571428571445</v>
      </c>
      <c r="P16" s="15">
        <f t="shared" si="1"/>
        <v>164.14285714285717</v>
      </c>
      <c r="R16" s="1" t="s">
        <v>12</v>
      </c>
      <c r="S16" s="17">
        <f t="shared" ref="S16:AF16" si="8">SUM(C34:C37)</f>
        <v>225.14285714285714</v>
      </c>
      <c r="T16" s="17">
        <f t="shared" si="8"/>
        <v>57.571428571428569</v>
      </c>
      <c r="U16" s="17">
        <f t="shared" si="8"/>
        <v>31.571428571428569</v>
      </c>
      <c r="V16" s="17">
        <f t="shared" si="8"/>
        <v>8.8571428571428577</v>
      </c>
      <c r="W16" s="17">
        <f t="shared" si="8"/>
        <v>2.8571428571428568</v>
      </c>
      <c r="X16" s="17">
        <f t="shared" si="8"/>
        <v>0.8571428571428571</v>
      </c>
      <c r="Y16" s="17">
        <f t="shared" si="8"/>
        <v>33</v>
      </c>
      <c r="Z16" s="17">
        <f t="shared" si="8"/>
        <v>7.2857142857142856</v>
      </c>
      <c r="AA16" s="17">
        <f t="shared" si="8"/>
        <v>1.1428571428571428</v>
      </c>
      <c r="AB16" s="17">
        <f t="shared" si="8"/>
        <v>0</v>
      </c>
      <c r="AC16" s="17">
        <f t="shared" si="8"/>
        <v>212.42857142857144</v>
      </c>
      <c r="AD16" s="17">
        <f t="shared" si="8"/>
        <v>0</v>
      </c>
      <c r="AE16" s="31">
        <f t="shared" si="8"/>
        <v>368.28571428571428</v>
      </c>
      <c r="AF16" s="31">
        <f t="shared" si="8"/>
        <v>580.71428571428578</v>
      </c>
    </row>
    <row r="17" spans="2:32" ht="23.1" customHeight="1" x14ac:dyDescent="0.25">
      <c r="B17" s="23" t="s">
        <v>44</v>
      </c>
      <c r="C17" s="49">
        <f>'Avg Week Bweya-Kajansi'!C17+'Avg Week Kajansi-Bweya'!C17</f>
        <v>54.142857142857139</v>
      </c>
      <c r="D17" s="49">
        <f>'Avg Week Bweya-Kajansi'!D17+'Avg Week Kajansi-Bweya'!D17</f>
        <v>9.2857142857142847</v>
      </c>
      <c r="E17" s="49">
        <f>'Avg Week Bweya-Kajansi'!E17+'Avg Week Kajansi-Bweya'!E17</f>
        <v>6.7142857142857135</v>
      </c>
      <c r="F17" s="49">
        <f>'Avg Week Bweya-Kajansi'!F17+'Avg Week Kajansi-Bweya'!F17</f>
        <v>2</v>
      </c>
      <c r="G17" s="49">
        <f>'Avg Week Bweya-Kajansi'!G17+'Avg Week Kajansi-Bweya'!G17</f>
        <v>0.42857142857142855</v>
      </c>
      <c r="H17" s="49">
        <f>'Avg Week Bweya-Kajansi'!H17+'Avg Week Kajansi-Bweya'!H17</f>
        <v>0.14285714285714285</v>
      </c>
      <c r="I17" s="49">
        <f>'Avg Week Bweya-Kajansi'!I17+'Avg Week Kajansi-Bweya'!I17</f>
        <v>4</v>
      </c>
      <c r="J17" s="49">
        <f>'Avg Week Bweya-Kajansi'!J17+'Avg Week Kajansi-Bweya'!J17</f>
        <v>1.8571428571428572</v>
      </c>
      <c r="K17" s="49">
        <f>'Avg Week Bweya-Kajansi'!K17+'Avg Week Kajansi-Bweya'!K17</f>
        <v>0.5714285714285714</v>
      </c>
      <c r="L17" s="49">
        <f>'Avg Week Bweya-Kajansi'!L17+'Avg Week Kajansi-Bweya'!L17</f>
        <v>0</v>
      </c>
      <c r="M17" s="49">
        <f>'Avg Week Bweya-Kajansi'!M17+'Avg Week Kajansi-Bweya'!M17</f>
        <v>73</v>
      </c>
      <c r="N17" s="49">
        <f>'Avg Week Bweya-Kajansi'!N17+'Avg Week Kajansi-Bweya'!N17</f>
        <v>0</v>
      </c>
      <c r="O17" s="15">
        <f t="shared" si="0"/>
        <v>79.142857142857139</v>
      </c>
      <c r="P17" s="15">
        <f t="shared" si="1"/>
        <v>152.14285714285714</v>
      </c>
      <c r="R17" s="1" t="s">
        <v>13</v>
      </c>
      <c r="S17" s="17">
        <f t="shared" ref="S17:AF17" si="9">SUM(C38:C41)</f>
        <v>240.85714285714286</v>
      </c>
      <c r="T17" s="17">
        <f t="shared" si="9"/>
        <v>109.99999999999999</v>
      </c>
      <c r="U17" s="17">
        <f t="shared" si="9"/>
        <v>26.428571428571427</v>
      </c>
      <c r="V17" s="17">
        <f t="shared" si="9"/>
        <v>9</v>
      </c>
      <c r="W17" s="17">
        <f t="shared" si="9"/>
        <v>2.4285714285714284</v>
      </c>
      <c r="X17" s="17">
        <f t="shared" si="9"/>
        <v>0.5714285714285714</v>
      </c>
      <c r="Y17" s="17">
        <f t="shared" si="9"/>
        <v>29.428571428571431</v>
      </c>
      <c r="Z17" s="17">
        <f t="shared" si="9"/>
        <v>7.4285714285714288</v>
      </c>
      <c r="AA17" s="17">
        <f t="shared" si="9"/>
        <v>1.857142857142857</v>
      </c>
      <c r="AB17" s="17">
        <f t="shared" si="9"/>
        <v>0.5714285714285714</v>
      </c>
      <c r="AC17" s="17">
        <f t="shared" si="9"/>
        <v>232.28571428571428</v>
      </c>
      <c r="AD17" s="17">
        <f t="shared" si="9"/>
        <v>0</v>
      </c>
      <c r="AE17" s="31">
        <f t="shared" si="9"/>
        <v>428.57142857142856</v>
      </c>
      <c r="AF17" s="31">
        <f t="shared" si="9"/>
        <v>660.85714285714278</v>
      </c>
    </row>
    <row r="18" spans="2:32" ht="23.1" customHeight="1" x14ac:dyDescent="0.25">
      <c r="B18" s="23" t="s">
        <v>45</v>
      </c>
      <c r="C18" s="49">
        <f>'Avg Week Bweya-Kajansi'!C18+'Avg Week Kajansi-Bweya'!C18</f>
        <v>43.428571428571431</v>
      </c>
      <c r="D18" s="49">
        <f>'Avg Week Bweya-Kajansi'!D18+'Avg Week Kajansi-Bweya'!D18</f>
        <v>12</v>
      </c>
      <c r="E18" s="49">
        <f>'Avg Week Bweya-Kajansi'!E18+'Avg Week Kajansi-Bweya'!E18</f>
        <v>8.5714285714285712</v>
      </c>
      <c r="F18" s="49">
        <f>'Avg Week Bweya-Kajansi'!F18+'Avg Week Kajansi-Bweya'!F18</f>
        <v>3.1428571428571428</v>
      </c>
      <c r="G18" s="49">
        <f>'Avg Week Bweya-Kajansi'!G18+'Avg Week Kajansi-Bweya'!G18</f>
        <v>0.14285714285714285</v>
      </c>
      <c r="H18" s="49">
        <f>'Avg Week Bweya-Kajansi'!H18+'Avg Week Kajansi-Bweya'!H18</f>
        <v>0.2857142857142857</v>
      </c>
      <c r="I18" s="49">
        <f>'Avg Week Bweya-Kajansi'!I18+'Avg Week Kajansi-Bweya'!I18</f>
        <v>8.1428571428571423</v>
      </c>
      <c r="J18" s="49">
        <f>'Avg Week Bweya-Kajansi'!J18+'Avg Week Kajansi-Bweya'!J18</f>
        <v>0.5714285714285714</v>
      </c>
      <c r="K18" s="49">
        <f>'Avg Week Bweya-Kajansi'!K18+'Avg Week Kajansi-Bweya'!K18</f>
        <v>0.7142857142857143</v>
      </c>
      <c r="L18" s="49">
        <f>'Avg Week Bweya-Kajansi'!L18+'Avg Week Kajansi-Bweya'!L18</f>
        <v>0</v>
      </c>
      <c r="M18" s="49">
        <f>'Avg Week Bweya-Kajansi'!M18+'Avg Week Kajansi-Bweya'!M18</f>
        <v>69.285714285714278</v>
      </c>
      <c r="N18" s="49">
        <f>'Avg Week Bweya-Kajansi'!N18+'Avg Week Kajansi-Bweya'!N18</f>
        <v>0</v>
      </c>
      <c r="O18" s="15">
        <f t="shared" si="0"/>
        <v>76.999999999999986</v>
      </c>
      <c r="P18" s="15">
        <f t="shared" si="1"/>
        <v>146.28571428571428</v>
      </c>
      <c r="R18" s="1" t="s">
        <v>14</v>
      </c>
      <c r="S18" s="17">
        <f t="shared" ref="S18:AF18" si="10">SUM(C42:C45)</f>
        <v>272.28571428571433</v>
      </c>
      <c r="T18" s="17">
        <f t="shared" si="10"/>
        <v>44.142857142857139</v>
      </c>
      <c r="U18" s="17">
        <f t="shared" si="10"/>
        <v>36.285714285714285</v>
      </c>
      <c r="V18" s="17">
        <f t="shared" si="10"/>
        <v>10.142857142857142</v>
      </c>
      <c r="W18" s="17">
        <f t="shared" si="10"/>
        <v>1.2857142857142856</v>
      </c>
      <c r="X18" s="17">
        <f t="shared" si="10"/>
        <v>0.2857142857142857</v>
      </c>
      <c r="Y18" s="17">
        <f t="shared" si="10"/>
        <v>24.142857142857142</v>
      </c>
      <c r="Z18" s="17">
        <f t="shared" si="10"/>
        <v>11</v>
      </c>
      <c r="AA18" s="17">
        <f t="shared" si="10"/>
        <v>1</v>
      </c>
      <c r="AB18" s="17">
        <f t="shared" si="10"/>
        <v>0.2857142857142857</v>
      </c>
      <c r="AC18" s="17">
        <f t="shared" si="10"/>
        <v>233.57142857142858</v>
      </c>
      <c r="AD18" s="17">
        <f t="shared" si="10"/>
        <v>0</v>
      </c>
      <c r="AE18" s="31">
        <f t="shared" si="10"/>
        <v>400.85714285714289</v>
      </c>
      <c r="AF18" s="31">
        <f t="shared" si="10"/>
        <v>634.42857142857144</v>
      </c>
    </row>
    <row r="19" spans="2:32" ht="23.1" customHeight="1" x14ac:dyDescent="0.25">
      <c r="B19" s="23" t="s">
        <v>46</v>
      </c>
      <c r="C19" s="49">
        <f>'Avg Week Bweya-Kajansi'!C19+'Avg Week Kajansi-Bweya'!C19</f>
        <v>41.714285714285708</v>
      </c>
      <c r="D19" s="49">
        <f>'Avg Week Bweya-Kajansi'!D19+'Avg Week Kajansi-Bweya'!D19</f>
        <v>10.714285714285715</v>
      </c>
      <c r="E19" s="49">
        <f>'Avg Week Bweya-Kajansi'!E19+'Avg Week Kajansi-Bweya'!E19</f>
        <v>7.8571428571428577</v>
      </c>
      <c r="F19" s="49">
        <f>'Avg Week Bweya-Kajansi'!F19+'Avg Week Kajansi-Bweya'!F19</f>
        <v>2.4285714285714288</v>
      </c>
      <c r="G19" s="49">
        <f>'Avg Week Bweya-Kajansi'!G19+'Avg Week Kajansi-Bweya'!G19</f>
        <v>0.8571428571428571</v>
      </c>
      <c r="H19" s="49">
        <f>'Avg Week Bweya-Kajansi'!H19+'Avg Week Kajansi-Bweya'!H19</f>
        <v>0</v>
      </c>
      <c r="I19" s="49">
        <f>'Avg Week Bweya-Kajansi'!I19+'Avg Week Kajansi-Bweya'!I19</f>
        <v>6.4285714285714288</v>
      </c>
      <c r="J19" s="49">
        <f>'Avg Week Bweya-Kajansi'!J19+'Avg Week Kajansi-Bweya'!J19</f>
        <v>1.7142857142857142</v>
      </c>
      <c r="K19" s="49">
        <f>'Avg Week Bweya-Kajansi'!K19+'Avg Week Kajansi-Bweya'!K19</f>
        <v>0.14285714285714285</v>
      </c>
      <c r="L19" s="49">
        <f>'Avg Week Bweya-Kajansi'!L19+'Avg Week Kajansi-Bweya'!L19</f>
        <v>0</v>
      </c>
      <c r="M19" s="49">
        <f>'Avg Week Bweya-Kajansi'!M19+'Avg Week Kajansi-Bweya'!M19</f>
        <v>68.714285714285722</v>
      </c>
      <c r="N19" s="49">
        <f>'Avg Week Bweya-Kajansi'!N19+'Avg Week Kajansi-Bweya'!N19</f>
        <v>0</v>
      </c>
      <c r="O19" s="15">
        <f t="shared" si="0"/>
        <v>71.857142857142833</v>
      </c>
      <c r="P19" s="15">
        <f t="shared" si="1"/>
        <v>140.57142857142856</v>
      </c>
      <c r="R19" s="1" t="s">
        <v>15</v>
      </c>
      <c r="S19" s="17">
        <f t="shared" ref="S19:AF19" si="11">SUM(C46:C49)</f>
        <v>301</v>
      </c>
      <c r="T19" s="17">
        <f t="shared" si="11"/>
        <v>50.285714285714285</v>
      </c>
      <c r="U19" s="17">
        <f t="shared" si="11"/>
        <v>32.714285714285715</v>
      </c>
      <c r="V19" s="17">
        <f t="shared" si="11"/>
        <v>12.571428571428569</v>
      </c>
      <c r="W19" s="17">
        <f t="shared" si="11"/>
        <v>2</v>
      </c>
      <c r="X19" s="17">
        <f t="shared" si="11"/>
        <v>0.42857142857142855</v>
      </c>
      <c r="Y19" s="17">
        <f t="shared" si="11"/>
        <v>29.142857142857146</v>
      </c>
      <c r="Z19" s="17">
        <f t="shared" si="11"/>
        <v>11.999999999999998</v>
      </c>
      <c r="AA19" s="17">
        <f t="shared" si="11"/>
        <v>2.7142857142857144</v>
      </c>
      <c r="AB19" s="17">
        <f t="shared" si="11"/>
        <v>0.42857142857142855</v>
      </c>
      <c r="AC19" s="17">
        <f t="shared" si="11"/>
        <v>246.71428571428572</v>
      </c>
      <c r="AD19" s="17">
        <f t="shared" si="11"/>
        <v>0</v>
      </c>
      <c r="AE19" s="31">
        <f t="shared" si="11"/>
        <v>443.28571428571422</v>
      </c>
      <c r="AF19" s="31">
        <f t="shared" si="11"/>
        <v>689.99999999999989</v>
      </c>
    </row>
    <row r="20" spans="2:32" ht="23.1" customHeight="1" x14ac:dyDescent="0.25">
      <c r="B20" s="23" t="s">
        <v>47</v>
      </c>
      <c r="C20" s="49">
        <f>'Avg Week Bweya-Kajansi'!C20+'Avg Week Kajansi-Bweya'!C20</f>
        <v>46.571428571428569</v>
      </c>
      <c r="D20" s="49">
        <f>'Avg Week Bweya-Kajansi'!D20+'Avg Week Kajansi-Bweya'!D20</f>
        <v>11</v>
      </c>
      <c r="E20" s="49">
        <f>'Avg Week Bweya-Kajansi'!E20+'Avg Week Kajansi-Bweya'!E20</f>
        <v>5.5714285714285712</v>
      </c>
      <c r="F20" s="49">
        <f>'Avg Week Bweya-Kajansi'!F20+'Avg Week Kajansi-Bweya'!F20</f>
        <v>2</v>
      </c>
      <c r="G20" s="49">
        <f>'Avg Week Bweya-Kajansi'!G20+'Avg Week Kajansi-Bweya'!G20</f>
        <v>0.2857142857142857</v>
      </c>
      <c r="H20" s="49">
        <f>'Avg Week Bweya-Kajansi'!H20+'Avg Week Kajansi-Bweya'!H20</f>
        <v>0</v>
      </c>
      <c r="I20" s="49">
        <f>'Avg Week Bweya-Kajansi'!I20+'Avg Week Kajansi-Bweya'!I20</f>
        <v>5</v>
      </c>
      <c r="J20" s="49">
        <f>'Avg Week Bweya-Kajansi'!J20+'Avg Week Kajansi-Bweya'!J20</f>
        <v>1.4285714285714284</v>
      </c>
      <c r="K20" s="49">
        <f>'Avg Week Bweya-Kajansi'!K20+'Avg Week Kajansi-Bweya'!K20</f>
        <v>0.5714285714285714</v>
      </c>
      <c r="L20" s="49">
        <f>'Avg Week Bweya-Kajansi'!L20+'Avg Week Kajansi-Bweya'!L20</f>
        <v>0.2857142857142857</v>
      </c>
      <c r="M20" s="49">
        <f>'Avg Week Bweya-Kajansi'!M20+'Avg Week Kajansi-Bweya'!M20</f>
        <v>61.285714285714292</v>
      </c>
      <c r="N20" s="49">
        <f>'Avg Week Bweya-Kajansi'!N20+'Avg Week Kajansi-Bweya'!N20</f>
        <v>0</v>
      </c>
      <c r="O20" s="15">
        <f t="shared" si="0"/>
        <v>72.714285714285722</v>
      </c>
      <c r="P20" s="15">
        <f t="shared" si="1"/>
        <v>134</v>
      </c>
      <c r="R20" s="1" t="s">
        <v>16</v>
      </c>
      <c r="S20" s="17">
        <f t="shared" ref="S20:AF20" si="12">SUM(C50:C53)</f>
        <v>324.42857142857144</v>
      </c>
      <c r="T20" s="17">
        <f t="shared" si="12"/>
        <v>54.428571428571423</v>
      </c>
      <c r="U20" s="17">
        <f t="shared" si="12"/>
        <v>32.857142857142861</v>
      </c>
      <c r="V20" s="17">
        <f t="shared" si="12"/>
        <v>13.714285714285714</v>
      </c>
      <c r="W20" s="17">
        <f t="shared" si="12"/>
        <v>4.8571428571428577</v>
      </c>
      <c r="X20" s="17">
        <f t="shared" si="12"/>
        <v>2.4285714285714288</v>
      </c>
      <c r="Y20" s="17">
        <f t="shared" si="12"/>
        <v>25.714285714285712</v>
      </c>
      <c r="Z20" s="17">
        <f t="shared" si="12"/>
        <v>11.142857142857142</v>
      </c>
      <c r="AA20" s="17">
        <f t="shared" si="12"/>
        <v>1.857142857142857</v>
      </c>
      <c r="AB20" s="17">
        <f t="shared" si="12"/>
        <v>0.42857142857142855</v>
      </c>
      <c r="AC20" s="17">
        <f t="shared" si="12"/>
        <v>271.42857142857144</v>
      </c>
      <c r="AD20" s="17">
        <f t="shared" si="12"/>
        <v>0</v>
      </c>
      <c r="AE20" s="31">
        <f t="shared" si="12"/>
        <v>471.85714285714289</v>
      </c>
      <c r="AF20" s="31">
        <f t="shared" si="12"/>
        <v>743.28571428571433</v>
      </c>
    </row>
    <row r="21" spans="2:32" ht="23.1" customHeight="1" x14ac:dyDescent="0.25">
      <c r="B21" s="23" t="s">
        <v>48</v>
      </c>
      <c r="C21" s="49">
        <f>'Avg Week Bweya-Kajansi'!C21+'Avg Week Kajansi-Bweya'!C21</f>
        <v>46.142857142857139</v>
      </c>
      <c r="D21" s="49">
        <f>'Avg Week Bweya-Kajansi'!D21+'Avg Week Kajansi-Bweya'!D21</f>
        <v>11</v>
      </c>
      <c r="E21" s="49">
        <f>'Avg Week Bweya-Kajansi'!E21+'Avg Week Kajansi-Bweya'!E21</f>
        <v>5.7142857142857144</v>
      </c>
      <c r="F21" s="49">
        <f>'Avg Week Bweya-Kajansi'!F21+'Avg Week Kajansi-Bweya'!F21</f>
        <v>2</v>
      </c>
      <c r="G21" s="49">
        <f>'Avg Week Bweya-Kajansi'!G21+'Avg Week Kajansi-Bweya'!G21</f>
        <v>0.42857142857142855</v>
      </c>
      <c r="H21" s="49">
        <f>'Avg Week Bweya-Kajansi'!H21+'Avg Week Kajansi-Bweya'!H21</f>
        <v>0.14285714285714285</v>
      </c>
      <c r="I21" s="49">
        <f>'Avg Week Bweya-Kajansi'!I21+'Avg Week Kajansi-Bweya'!I21</f>
        <v>5.5714285714285712</v>
      </c>
      <c r="J21" s="49">
        <f>'Avg Week Bweya-Kajansi'!J21+'Avg Week Kajansi-Bweya'!J21</f>
        <v>1.7142857142857142</v>
      </c>
      <c r="K21" s="49">
        <f>'Avg Week Bweya-Kajansi'!K21+'Avg Week Kajansi-Bweya'!K21</f>
        <v>0.14285714285714285</v>
      </c>
      <c r="L21" s="49">
        <f>'Avg Week Bweya-Kajansi'!L21+'Avg Week Kajansi-Bweya'!L21</f>
        <v>0</v>
      </c>
      <c r="M21" s="49">
        <f>'Avg Week Bweya-Kajansi'!M21+'Avg Week Kajansi-Bweya'!M21</f>
        <v>64.285714285714292</v>
      </c>
      <c r="N21" s="49">
        <f>'Avg Week Bweya-Kajansi'!N21+'Avg Week Kajansi-Bweya'!N21</f>
        <v>0</v>
      </c>
      <c r="O21" s="15">
        <f t="shared" si="0"/>
        <v>72.857142857142847</v>
      </c>
      <c r="P21" s="15">
        <f t="shared" si="1"/>
        <v>137.14285714285714</v>
      </c>
      <c r="R21" s="36" t="s">
        <v>20</v>
      </c>
      <c r="S21" s="34">
        <f t="shared" ref="S21:AF21" si="13">SUM(C54:C57)</f>
        <v>330.85714285714283</v>
      </c>
      <c r="T21" s="17">
        <f t="shared" si="13"/>
        <v>51.285714285714292</v>
      </c>
      <c r="U21" s="17">
        <f t="shared" si="13"/>
        <v>38</v>
      </c>
      <c r="V21" s="17">
        <f t="shared" si="13"/>
        <v>14.142857142857144</v>
      </c>
      <c r="W21" s="17">
        <f t="shared" si="13"/>
        <v>2.8571428571428572</v>
      </c>
      <c r="X21" s="17">
        <f t="shared" si="13"/>
        <v>0.5714285714285714</v>
      </c>
      <c r="Y21" s="17">
        <f t="shared" si="13"/>
        <v>22.571428571428573</v>
      </c>
      <c r="Z21" s="17">
        <f t="shared" si="13"/>
        <v>7</v>
      </c>
      <c r="AA21" s="17">
        <f t="shared" si="13"/>
        <v>1.5714285714285712</v>
      </c>
      <c r="AB21" s="17">
        <f t="shared" si="13"/>
        <v>0.14285714285714285</v>
      </c>
      <c r="AC21" s="17">
        <f t="shared" si="13"/>
        <v>298.16666666666663</v>
      </c>
      <c r="AD21" s="17">
        <f t="shared" si="13"/>
        <v>0</v>
      </c>
      <c r="AE21" s="31">
        <f t="shared" si="13"/>
        <v>469</v>
      </c>
      <c r="AF21" s="31">
        <f t="shared" si="13"/>
        <v>767.16666666666663</v>
      </c>
    </row>
    <row r="22" spans="2:32" ht="23.1" customHeight="1" x14ac:dyDescent="0.25">
      <c r="B22" s="23" t="s">
        <v>49</v>
      </c>
      <c r="C22" s="49">
        <f>'Avg Week Bweya-Kajansi'!C22+'Avg Week Kajansi-Bweya'!C22</f>
        <v>47.285714285714292</v>
      </c>
      <c r="D22" s="49">
        <f>'Avg Week Bweya-Kajansi'!D22+'Avg Week Kajansi-Bweya'!D22</f>
        <v>12.571428571428571</v>
      </c>
      <c r="E22" s="49">
        <f>'Avg Week Bweya-Kajansi'!E22+'Avg Week Kajansi-Bweya'!E22</f>
        <v>5.8571428571428577</v>
      </c>
      <c r="F22" s="49">
        <f>'Avg Week Bweya-Kajansi'!F22+'Avg Week Kajansi-Bweya'!F22</f>
        <v>2.8571428571428572</v>
      </c>
      <c r="G22" s="49">
        <f>'Avg Week Bweya-Kajansi'!G22+'Avg Week Kajansi-Bweya'!G22</f>
        <v>0.2857142857142857</v>
      </c>
      <c r="H22" s="49">
        <f>'Avg Week Bweya-Kajansi'!H22+'Avg Week Kajansi-Bweya'!H22</f>
        <v>0.42857142857142855</v>
      </c>
      <c r="I22" s="49">
        <f>'Avg Week Bweya-Kajansi'!I22+'Avg Week Kajansi-Bweya'!I22</f>
        <v>6.1428571428571423</v>
      </c>
      <c r="J22" s="49">
        <f>'Avg Week Bweya-Kajansi'!J22+'Avg Week Kajansi-Bweya'!J22</f>
        <v>1</v>
      </c>
      <c r="K22" s="49">
        <f>'Avg Week Bweya-Kajansi'!K22+'Avg Week Kajansi-Bweya'!K22</f>
        <v>0.14285714285714285</v>
      </c>
      <c r="L22" s="49">
        <f>'Avg Week Bweya-Kajansi'!L22+'Avg Week Kajansi-Bweya'!L22</f>
        <v>0</v>
      </c>
      <c r="M22" s="49">
        <f>'Avg Week Bweya-Kajansi'!M22+'Avg Week Kajansi-Bweya'!M22</f>
        <v>67.857142857142861</v>
      </c>
      <c r="N22" s="49">
        <f>'Avg Week Bweya-Kajansi'!N22+'Avg Week Kajansi-Bweya'!N22</f>
        <v>0</v>
      </c>
      <c r="O22" s="15">
        <f t="shared" si="0"/>
        <v>76.571428571428584</v>
      </c>
      <c r="P22" s="15">
        <f t="shared" si="1"/>
        <v>144.42857142857144</v>
      </c>
      <c r="R22" s="1" t="s">
        <v>146</v>
      </c>
      <c r="S22" s="34">
        <f>SUM(C58:C61)</f>
        <v>303</v>
      </c>
      <c r="T22" s="34">
        <f t="shared" ref="T22:AF22" si="14">SUM(D58:D61)</f>
        <v>86</v>
      </c>
      <c r="U22" s="34">
        <f t="shared" si="14"/>
        <v>39</v>
      </c>
      <c r="V22" s="34">
        <f t="shared" si="14"/>
        <v>13.5</v>
      </c>
      <c r="W22" s="34">
        <f t="shared" si="14"/>
        <v>1.5</v>
      </c>
      <c r="X22" s="34">
        <f t="shared" si="14"/>
        <v>1.5</v>
      </c>
      <c r="Y22" s="34">
        <f t="shared" si="14"/>
        <v>28</v>
      </c>
      <c r="Z22" s="34">
        <f t="shared" si="14"/>
        <v>5</v>
      </c>
      <c r="AA22" s="34">
        <f t="shared" si="14"/>
        <v>1.5</v>
      </c>
      <c r="AB22" s="34">
        <f t="shared" si="14"/>
        <v>0</v>
      </c>
      <c r="AC22" s="34">
        <f t="shared" si="14"/>
        <v>245</v>
      </c>
      <c r="AD22" s="34">
        <f t="shared" si="14"/>
        <v>0</v>
      </c>
      <c r="AE22" s="31">
        <f t="shared" si="14"/>
        <v>479</v>
      </c>
      <c r="AF22" s="31">
        <f t="shared" si="14"/>
        <v>724</v>
      </c>
    </row>
    <row r="23" spans="2:32" ht="23.1" customHeight="1" x14ac:dyDescent="0.25">
      <c r="B23" s="23" t="s">
        <v>50</v>
      </c>
      <c r="C23" s="49">
        <f>'Avg Week Bweya-Kajansi'!C23+'Avg Week Kajansi-Bweya'!C23</f>
        <v>49.714285714285715</v>
      </c>
      <c r="D23" s="49">
        <f>'Avg Week Bweya-Kajansi'!D23+'Avg Week Kajansi-Bweya'!D23</f>
        <v>15.428571428571427</v>
      </c>
      <c r="E23" s="49">
        <f>'Avg Week Bweya-Kajansi'!E23+'Avg Week Kajansi-Bweya'!E23</f>
        <v>6</v>
      </c>
      <c r="F23" s="49">
        <f>'Avg Week Bweya-Kajansi'!F23+'Avg Week Kajansi-Bweya'!F23</f>
        <v>2.8571428571428572</v>
      </c>
      <c r="G23" s="49">
        <f>'Avg Week Bweya-Kajansi'!G23+'Avg Week Kajansi-Bweya'!G23</f>
        <v>0.8571428571428571</v>
      </c>
      <c r="H23" s="49">
        <f>'Avg Week Bweya-Kajansi'!H23+'Avg Week Kajansi-Bweya'!H23</f>
        <v>0.14285714285714285</v>
      </c>
      <c r="I23" s="49">
        <f>'Avg Week Bweya-Kajansi'!I23+'Avg Week Kajansi-Bweya'!I23</f>
        <v>4.8571428571428577</v>
      </c>
      <c r="J23" s="49">
        <f>'Avg Week Bweya-Kajansi'!J23+'Avg Week Kajansi-Bweya'!J23</f>
        <v>0.71428571428571419</v>
      </c>
      <c r="K23" s="49">
        <f>'Avg Week Bweya-Kajansi'!K23+'Avg Week Kajansi-Bweya'!K23</f>
        <v>0</v>
      </c>
      <c r="L23" s="49">
        <f>'Avg Week Bweya-Kajansi'!L23+'Avg Week Kajansi-Bweya'!L23</f>
        <v>0</v>
      </c>
      <c r="M23" s="49">
        <f>'Avg Week Bweya-Kajansi'!M23+'Avg Week Kajansi-Bweya'!M23</f>
        <v>62.857142857142861</v>
      </c>
      <c r="N23" s="49">
        <f>'Avg Week Bweya-Kajansi'!N23+'Avg Week Kajansi-Bweya'!N23</f>
        <v>0</v>
      </c>
      <c r="O23" s="15">
        <f t="shared" si="0"/>
        <v>80.571428571428569</v>
      </c>
      <c r="P23" s="15">
        <f t="shared" si="1"/>
        <v>143.42857142857144</v>
      </c>
      <c r="R23" s="1" t="s">
        <v>147</v>
      </c>
      <c r="S23" s="34">
        <f>SUM(C62:C65)</f>
        <v>266.5</v>
      </c>
      <c r="T23" s="34">
        <f t="shared" ref="T23:AF23" si="15">SUM(D62:D65)</f>
        <v>67</v>
      </c>
      <c r="U23" s="34">
        <f t="shared" si="15"/>
        <v>30.5</v>
      </c>
      <c r="V23" s="34">
        <f t="shared" si="15"/>
        <v>17.5</v>
      </c>
      <c r="W23" s="34">
        <f t="shared" si="15"/>
        <v>3</v>
      </c>
      <c r="X23" s="34">
        <f t="shared" si="15"/>
        <v>0</v>
      </c>
      <c r="Y23" s="34">
        <f t="shared" si="15"/>
        <v>17</v>
      </c>
      <c r="Z23" s="34">
        <f t="shared" si="15"/>
        <v>3.5</v>
      </c>
      <c r="AA23" s="34">
        <f t="shared" si="15"/>
        <v>2</v>
      </c>
      <c r="AB23" s="34">
        <f t="shared" si="15"/>
        <v>0</v>
      </c>
      <c r="AC23" s="34">
        <f t="shared" si="15"/>
        <v>244.5</v>
      </c>
      <c r="AD23" s="34">
        <f t="shared" si="15"/>
        <v>0</v>
      </c>
      <c r="AE23" s="31">
        <f t="shared" si="15"/>
        <v>407</v>
      </c>
      <c r="AF23" s="31">
        <f t="shared" si="15"/>
        <v>651.5</v>
      </c>
    </row>
    <row r="24" spans="2:32" ht="23.1" customHeight="1" x14ac:dyDescent="0.25">
      <c r="B24" s="23" t="s">
        <v>51</v>
      </c>
      <c r="C24" s="49">
        <f>'Avg Week Bweya-Kajansi'!C24+'Avg Week Kajansi-Bweya'!C24</f>
        <v>40.428571428571431</v>
      </c>
      <c r="D24" s="49">
        <f>'Avg Week Bweya-Kajansi'!D24+'Avg Week Kajansi-Bweya'!D24</f>
        <v>11.142857142857142</v>
      </c>
      <c r="E24" s="49">
        <f>'Avg Week Bweya-Kajansi'!E24+'Avg Week Kajansi-Bweya'!E24</f>
        <v>8.4285714285714288</v>
      </c>
      <c r="F24" s="49">
        <f>'Avg Week Bweya-Kajansi'!F24+'Avg Week Kajansi-Bweya'!F24</f>
        <v>3</v>
      </c>
      <c r="G24" s="49">
        <f>'Avg Week Bweya-Kajansi'!G24+'Avg Week Kajansi-Bweya'!G24</f>
        <v>0</v>
      </c>
      <c r="H24" s="49">
        <f>'Avg Week Bweya-Kajansi'!H24+'Avg Week Kajansi-Bweya'!H24</f>
        <v>0</v>
      </c>
      <c r="I24" s="49">
        <f>'Avg Week Bweya-Kajansi'!I24+'Avg Week Kajansi-Bweya'!I24</f>
        <v>6.4285714285714288</v>
      </c>
      <c r="J24" s="49">
        <f>'Avg Week Bweya-Kajansi'!J24+'Avg Week Kajansi-Bweya'!J24</f>
        <v>1.8571428571428572</v>
      </c>
      <c r="K24" s="49">
        <f>'Avg Week Bweya-Kajansi'!K24+'Avg Week Kajansi-Bweya'!K24</f>
        <v>0.14285714285714285</v>
      </c>
      <c r="L24" s="49">
        <f>'Avg Week Bweya-Kajansi'!L24+'Avg Week Kajansi-Bweya'!L24</f>
        <v>0</v>
      </c>
      <c r="M24" s="49">
        <f>'Avg Week Bweya-Kajansi'!M24+'Avg Week Kajansi-Bweya'!M24</f>
        <v>64.142857142857139</v>
      </c>
      <c r="N24" s="49">
        <f>'Avg Week Bweya-Kajansi'!N24+'Avg Week Kajansi-Bweya'!N24</f>
        <v>0</v>
      </c>
      <c r="O24" s="15">
        <f t="shared" si="0"/>
        <v>71.428571428571431</v>
      </c>
      <c r="P24" s="15">
        <f t="shared" si="1"/>
        <v>135.57142857142856</v>
      </c>
      <c r="R24" s="1" t="s">
        <v>148</v>
      </c>
      <c r="S24" s="34">
        <f>SUM(C66:C69)</f>
        <v>255</v>
      </c>
      <c r="T24" s="34">
        <f t="shared" ref="T24:AF24" si="16">SUM(D66:D69)</f>
        <v>60</v>
      </c>
      <c r="U24" s="34">
        <f t="shared" si="16"/>
        <v>25.5</v>
      </c>
      <c r="V24" s="34">
        <f t="shared" si="16"/>
        <v>7.5</v>
      </c>
      <c r="W24" s="34">
        <f t="shared" si="16"/>
        <v>2.5</v>
      </c>
      <c r="X24" s="34">
        <f t="shared" si="16"/>
        <v>0.5</v>
      </c>
      <c r="Y24" s="34">
        <f t="shared" si="16"/>
        <v>12</v>
      </c>
      <c r="Z24" s="34">
        <f t="shared" si="16"/>
        <v>5.5</v>
      </c>
      <c r="AA24" s="34">
        <f t="shared" si="16"/>
        <v>1.5</v>
      </c>
      <c r="AB24" s="34">
        <f t="shared" si="16"/>
        <v>0.5</v>
      </c>
      <c r="AC24" s="34">
        <f t="shared" si="16"/>
        <v>123</v>
      </c>
      <c r="AD24" s="34">
        <f t="shared" si="16"/>
        <v>0</v>
      </c>
      <c r="AE24" s="31">
        <f t="shared" si="16"/>
        <v>370.5</v>
      </c>
      <c r="AF24" s="31">
        <f t="shared" si="16"/>
        <v>493.5</v>
      </c>
    </row>
    <row r="25" spans="2:32" ht="23.1" customHeight="1" x14ac:dyDescent="0.25">
      <c r="B25" s="23" t="s">
        <v>52</v>
      </c>
      <c r="C25" s="49">
        <f>'Avg Week Bweya-Kajansi'!C25+'Avg Week Kajansi-Bweya'!C25</f>
        <v>49</v>
      </c>
      <c r="D25" s="49">
        <f>'Avg Week Bweya-Kajansi'!D25+'Avg Week Kajansi-Bweya'!D25</f>
        <v>11.571428571428571</v>
      </c>
      <c r="E25" s="49">
        <f>'Avg Week Bweya-Kajansi'!E25+'Avg Week Kajansi-Bweya'!E25</f>
        <v>5.1428571428571423</v>
      </c>
      <c r="F25" s="49">
        <f>'Avg Week Bweya-Kajansi'!F25+'Avg Week Kajansi-Bweya'!F25</f>
        <v>2.4285714285714288</v>
      </c>
      <c r="G25" s="49">
        <f>'Avg Week Bweya-Kajansi'!G25+'Avg Week Kajansi-Bweya'!G25</f>
        <v>0.42857142857142855</v>
      </c>
      <c r="H25" s="49">
        <f>'Avg Week Bweya-Kajansi'!H25+'Avg Week Kajansi-Bweya'!H25</f>
        <v>0</v>
      </c>
      <c r="I25" s="49">
        <f>'Avg Week Bweya-Kajansi'!I25+'Avg Week Kajansi-Bweya'!I25</f>
        <v>6.8571428571428577</v>
      </c>
      <c r="J25" s="49">
        <f>'Avg Week Bweya-Kajansi'!J25+'Avg Week Kajansi-Bweya'!J25</f>
        <v>2</v>
      </c>
      <c r="K25" s="49">
        <f>'Avg Week Bweya-Kajansi'!K25+'Avg Week Kajansi-Bweya'!K25</f>
        <v>0.42857142857142855</v>
      </c>
      <c r="L25" s="49">
        <f>'Avg Week Bweya-Kajansi'!L25+'Avg Week Kajansi-Bweya'!L25</f>
        <v>0</v>
      </c>
      <c r="M25" s="49">
        <f>'Avg Week Bweya-Kajansi'!M25+'Avg Week Kajansi-Bweya'!M25</f>
        <v>59.857142857142861</v>
      </c>
      <c r="N25" s="49">
        <f>'Avg Week Bweya-Kajansi'!N25+'Avg Week Kajansi-Bweya'!N25</f>
        <v>0</v>
      </c>
      <c r="O25" s="15">
        <f t="shared" si="0"/>
        <v>77.857142857142861</v>
      </c>
      <c r="P25" s="15">
        <f t="shared" si="1"/>
        <v>137.71428571428572</v>
      </c>
      <c r="R25" s="1" t="s">
        <v>149</v>
      </c>
      <c r="S25" s="34">
        <f>SUM(C70:C73)</f>
        <v>190</v>
      </c>
      <c r="T25" s="34">
        <f t="shared" ref="T25:AF25" si="17">SUM(D70:D73)</f>
        <v>58</v>
      </c>
      <c r="U25" s="34">
        <f t="shared" si="17"/>
        <v>17</v>
      </c>
      <c r="V25" s="34">
        <f t="shared" si="17"/>
        <v>13.5</v>
      </c>
      <c r="W25" s="34">
        <f t="shared" si="17"/>
        <v>2.5</v>
      </c>
      <c r="X25" s="34">
        <f t="shared" si="17"/>
        <v>0</v>
      </c>
      <c r="Y25" s="34">
        <f t="shared" si="17"/>
        <v>8.5</v>
      </c>
      <c r="Z25" s="34">
        <f t="shared" si="17"/>
        <v>1</v>
      </c>
      <c r="AA25" s="34">
        <f t="shared" si="17"/>
        <v>0.5</v>
      </c>
      <c r="AB25" s="34">
        <f t="shared" si="17"/>
        <v>0</v>
      </c>
      <c r="AC25" s="34">
        <f t="shared" si="17"/>
        <v>93.5</v>
      </c>
      <c r="AD25" s="34">
        <f t="shared" si="17"/>
        <v>0</v>
      </c>
      <c r="AE25" s="31">
        <f t="shared" si="17"/>
        <v>291</v>
      </c>
      <c r="AF25" s="31">
        <f t="shared" si="17"/>
        <v>384.5</v>
      </c>
    </row>
    <row r="26" spans="2:32" ht="23.1" customHeight="1" x14ac:dyDescent="0.25">
      <c r="B26" s="23" t="s">
        <v>53</v>
      </c>
      <c r="C26" s="49">
        <f>'Avg Week Bweya-Kajansi'!C26+'Avg Week Kajansi-Bweya'!C26</f>
        <v>47</v>
      </c>
      <c r="D26" s="49">
        <f>'Avg Week Bweya-Kajansi'!D26+'Avg Week Kajansi-Bweya'!D26</f>
        <v>8.571428571428573</v>
      </c>
      <c r="E26" s="49">
        <f>'Avg Week Bweya-Kajansi'!E26+'Avg Week Kajansi-Bweya'!E26</f>
        <v>8.2857142857142865</v>
      </c>
      <c r="F26" s="49">
        <f>'Avg Week Bweya-Kajansi'!F26+'Avg Week Kajansi-Bweya'!F26</f>
        <v>1.2857142857142856</v>
      </c>
      <c r="G26" s="49">
        <f>'Avg Week Bweya-Kajansi'!G26+'Avg Week Kajansi-Bweya'!G26</f>
        <v>0.42857142857142855</v>
      </c>
      <c r="H26" s="49">
        <f>'Avg Week Bweya-Kajansi'!H26+'Avg Week Kajansi-Bweya'!H26</f>
        <v>0</v>
      </c>
      <c r="I26" s="49">
        <f>'Avg Week Bweya-Kajansi'!I26+'Avg Week Kajansi-Bweya'!I26</f>
        <v>6</v>
      </c>
      <c r="J26" s="49">
        <f>'Avg Week Bweya-Kajansi'!J26+'Avg Week Kajansi-Bweya'!J26</f>
        <v>1.4285714285714284</v>
      </c>
      <c r="K26" s="49">
        <f>'Avg Week Bweya-Kajansi'!K26+'Avg Week Kajansi-Bweya'!K26</f>
        <v>0.2857142857142857</v>
      </c>
      <c r="L26" s="49">
        <f>'Avg Week Bweya-Kajansi'!L26+'Avg Week Kajansi-Bweya'!L26</f>
        <v>0.42857142857142855</v>
      </c>
      <c r="M26" s="49">
        <f>'Avg Week Bweya-Kajansi'!M26+'Avg Week Kajansi-Bweya'!M26</f>
        <v>60.142857142857139</v>
      </c>
      <c r="N26" s="49">
        <f>'Avg Week Bweya-Kajansi'!N26+'Avg Week Kajansi-Bweya'!N26</f>
        <v>0.14285714285714285</v>
      </c>
      <c r="O26" s="15">
        <f t="shared" si="0"/>
        <v>73.857142857142861</v>
      </c>
      <c r="P26" s="15">
        <f t="shared" si="1"/>
        <v>134</v>
      </c>
      <c r="R26" s="1" t="s">
        <v>150</v>
      </c>
      <c r="S26" s="34">
        <f>SUM(C74:C77)</f>
        <v>117</v>
      </c>
      <c r="T26" s="34">
        <f t="shared" ref="T26:AF26" si="18">SUM(D74:D77)</f>
        <v>44</v>
      </c>
      <c r="U26" s="34">
        <f t="shared" si="18"/>
        <v>12.5</v>
      </c>
      <c r="V26" s="34">
        <f t="shared" si="18"/>
        <v>9</v>
      </c>
      <c r="W26" s="34">
        <f t="shared" si="18"/>
        <v>1</v>
      </c>
      <c r="X26" s="34">
        <f t="shared" si="18"/>
        <v>1.5</v>
      </c>
      <c r="Y26" s="34">
        <f t="shared" si="18"/>
        <v>5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61</v>
      </c>
      <c r="AD26" s="34">
        <f t="shared" si="18"/>
        <v>0</v>
      </c>
      <c r="AE26" s="31">
        <f t="shared" si="18"/>
        <v>191</v>
      </c>
      <c r="AF26" s="31">
        <f t="shared" si="18"/>
        <v>252</v>
      </c>
    </row>
    <row r="27" spans="2:32" ht="23.1" customHeight="1" x14ac:dyDescent="0.25">
      <c r="B27" s="23" t="s">
        <v>54</v>
      </c>
      <c r="C27" s="49">
        <f>'Avg Week Bweya-Kajansi'!C27+'Avg Week Kajansi-Bweya'!C27</f>
        <v>52.857142857142854</v>
      </c>
      <c r="D27" s="49">
        <f>'Avg Week Bweya-Kajansi'!D27+'Avg Week Kajansi-Bweya'!D27</f>
        <v>10</v>
      </c>
      <c r="E27" s="49">
        <f>'Avg Week Bweya-Kajansi'!E27+'Avg Week Kajansi-Bweya'!E27</f>
        <v>5.8571428571428577</v>
      </c>
      <c r="F27" s="49">
        <f>'Avg Week Bweya-Kajansi'!F27+'Avg Week Kajansi-Bweya'!F27</f>
        <v>2.5714285714285712</v>
      </c>
      <c r="G27" s="49">
        <f>'Avg Week Bweya-Kajansi'!G27+'Avg Week Kajansi-Bweya'!G27</f>
        <v>0.14285714285714285</v>
      </c>
      <c r="H27" s="49">
        <f>'Avg Week Bweya-Kajansi'!H27+'Avg Week Kajansi-Bweya'!H27</f>
        <v>0.8571428571428571</v>
      </c>
      <c r="I27" s="49">
        <f>'Avg Week Bweya-Kajansi'!I27+'Avg Week Kajansi-Bweya'!I27</f>
        <v>5.2857142857142856</v>
      </c>
      <c r="J27" s="49">
        <f>'Avg Week Bweya-Kajansi'!J27+'Avg Week Kajansi-Bweya'!J27</f>
        <v>1.8571428571428572</v>
      </c>
      <c r="K27" s="49">
        <f>'Avg Week Bweya-Kajansi'!K27+'Avg Week Kajansi-Bweya'!K27</f>
        <v>0.71428571428571419</v>
      </c>
      <c r="L27" s="49">
        <f>'Avg Week Bweya-Kajansi'!L27+'Avg Week Kajansi-Bweya'!L27</f>
        <v>0</v>
      </c>
      <c r="M27" s="49">
        <f>'Avg Week Bweya-Kajansi'!M27+'Avg Week Kajansi-Bweya'!M27</f>
        <v>67.428571428571431</v>
      </c>
      <c r="N27" s="49">
        <f>'Avg Week Bweya-Kajansi'!N27+'Avg Week Kajansi-Bweya'!N27</f>
        <v>0</v>
      </c>
      <c r="O27" s="15">
        <f t="shared" si="0"/>
        <v>80.142857142857139</v>
      </c>
      <c r="P27" s="15">
        <f t="shared" si="1"/>
        <v>147.57142857142856</v>
      </c>
      <c r="R27" s="1" t="s">
        <v>151</v>
      </c>
      <c r="S27" s="34">
        <f>SUM(C78:C81)</f>
        <v>66</v>
      </c>
      <c r="T27" s="34">
        <f t="shared" ref="T27:AF27" si="19">SUM(D78:D81)</f>
        <v>23.5</v>
      </c>
      <c r="U27" s="34">
        <f t="shared" si="19"/>
        <v>6</v>
      </c>
      <c r="V27" s="34">
        <f t="shared" si="19"/>
        <v>4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1.5</v>
      </c>
      <c r="AB27" s="34">
        <f t="shared" si="19"/>
        <v>0</v>
      </c>
      <c r="AC27" s="34">
        <f t="shared" si="19"/>
        <v>37.5</v>
      </c>
      <c r="AD27" s="34">
        <f t="shared" si="19"/>
        <v>0</v>
      </c>
      <c r="AE27" s="31">
        <f t="shared" si="19"/>
        <v>105</v>
      </c>
      <c r="AF27" s="31">
        <f t="shared" si="19"/>
        <v>142.5</v>
      </c>
    </row>
    <row r="28" spans="2:32" ht="23.1" customHeight="1" x14ac:dyDescent="0.25">
      <c r="B28" s="23" t="s">
        <v>55</v>
      </c>
      <c r="C28" s="49">
        <f>'Avg Week Bweya-Kajansi'!C28+'Avg Week Kajansi-Bweya'!C28</f>
        <v>58.285714285714292</v>
      </c>
      <c r="D28" s="49">
        <f>'Avg Week Bweya-Kajansi'!D28+'Avg Week Kajansi-Bweya'!D28</f>
        <v>12.714285714285714</v>
      </c>
      <c r="E28" s="49">
        <f>'Avg Week Bweya-Kajansi'!E28+'Avg Week Kajansi-Bweya'!E28</f>
        <v>5</v>
      </c>
      <c r="F28" s="49">
        <f>'Avg Week Bweya-Kajansi'!F28+'Avg Week Kajansi-Bweya'!F28</f>
        <v>3.5714285714285712</v>
      </c>
      <c r="G28" s="49">
        <f>'Avg Week Bweya-Kajansi'!G28+'Avg Week Kajansi-Bweya'!G28</f>
        <v>0.2857142857142857</v>
      </c>
      <c r="H28" s="49">
        <f>'Avg Week Bweya-Kajansi'!H28+'Avg Week Kajansi-Bweya'!H28</f>
        <v>0</v>
      </c>
      <c r="I28" s="49">
        <f>'Avg Week Bweya-Kajansi'!I28+'Avg Week Kajansi-Bweya'!I28</f>
        <v>6.8571428571428577</v>
      </c>
      <c r="J28" s="49">
        <f>'Avg Week Bweya-Kajansi'!J28+'Avg Week Kajansi-Bweya'!J28</f>
        <v>1.7142857142857144</v>
      </c>
      <c r="K28" s="49">
        <f>'Avg Week Bweya-Kajansi'!K28+'Avg Week Kajansi-Bweya'!K28</f>
        <v>0.8571428571428571</v>
      </c>
      <c r="L28" s="49">
        <f>'Avg Week Bweya-Kajansi'!L28+'Avg Week Kajansi-Bweya'!L28</f>
        <v>0</v>
      </c>
      <c r="M28" s="49">
        <f>'Avg Week Bweya-Kajansi'!M28+'Avg Week Kajansi-Bweya'!M28</f>
        <v>66</v>
      </c>
      <c r="N28" s="49">
        <f>'Avg Week Bweya-Kajansi'!N28+'Avg Week Kajansi-Bweya'!N28</f>
        <v>0</v>
      </c>
      <c r="O28" s="15">
        <f t="shared" si="0"/>
        <v>89.285714285714292</v>
      </c>
      <c r="P28" s="15">
        <f t="shared" si="1"/>
        <v>155.28571428571428</v>
      </c>
      <c r="R28" s="1" t="s">
        <v>152</v>
      </c>
      <c r="S28" s="34">
        <f>SUM(C82:C85)</f>
        <v>32</v>
      </c>
      <c r="T28" s="34">
        <f t="shared" ref="T28:AF28" si="20">SUM(D82:D85)</f>
        <v>14.5</v>
      </c>
      <c r="U28" s="34">
        <f t="shared" si="20"/>
        <v>4.5</v>
      </c>
      <c r="V28" s="34">
        <f t="shared" si="20"/>
        <v>2.5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0.5</v>
      </c>
      <c r="AA28" s="34">
        <f t="shared" si="20"/>
        <v>1</v>
      </c>
      <c r="AB28" s="34">
        <f t="shared" si="20"/>
        <v>0</v>
      </c>
      <c r="AC28" s="34">
        <f t="shared" si="20"/>
        <v>24</v>
      </c>
      <c r="AD28" s="34">
        <f t="shared" si="20"/>
        <v>0</v>
      </c>
      <c r="AE28" s="31">
        <f t="shared" si="20"/>
        <v>58</v>
      </c>
      <c r="AF28" s="31">
        <f t="shared" si="20"/>
        <v>82</v>
      </c>
    </row>
    <row r="29" spans="2:32" ht="23.1" customHeight="1" x14ac:dyDescent="0.25">
      <c r="B29" s="23" t="s">
        <v>56</v>
      </c>
      <c r="C29" s="49">
        <f>'Avg Week Bweya-Kajansi'!C29+'Avg Week Kajansi-Bweya'!C29</f>
        <v>48.285714285714285</v>
      </c>
      <c r="D29" s="49">
        <f>'Avg Week Bweya-Kajansi'!D29+'Avg Week Kajansi-Bweya'!D29</f>
        <v>8</v>
      </c>
      <c r="E29" s="49">
        <f>'Avg Week Bweya-Kajansi'!E29+'Avg Week Kajansi-Bweya'!E29</f>
        <v>6.2857142857142856</v>
      </c>
      <c r="F29" s="49">
        <f>'Avg Week Bweya-Kajansi'!F29+'Avg Week Kajansi-Bweya'!F29</f>
        <v>3</v>
      </c>
      <c r="G29" s="49">
        <f>'Avg Week Bweya-Kajansi'!G29+'Avg Week Kajansi-Bweya'!G29</f>
        <v>0.2857142857142857</v>
      </c>
      <c r="H29" s="49">
        <f>'Avg Week Bweya-Kajansi'!H29+'Avg Week Kajansi-Bweya'!H29</f>
        <v>0.2857142857142857</v>
      </c>
      <c r="I29" s="49">
        <f>'Avg Week Bweya-Kajansi'!I29+'Avg Week Kajansi-Bweya'!I29</f>
        <v>6.2857142857142856</v>
      </c>
      <c r="J29" s="49">
        <f>'Avg Week Bweya-Kajansi'!J29+'Avg Week Kajansi-Bweya'!J29</f>
        <v>3.1428571428571428</v>
      </c>
      <c r="K29" s="49">
        <f>'Avg Week Bweya-Kajansi'!K29+'Avg Week Kajansi-Bweya'!K29</f>
        <v>0.5714285714285714</v>
      </c>
      <c r="L29" s="49">
        <f>'Avg Week Bweya-Kajansi'!L29+'Avg Week Kajansi-Bweya'!L29</f>
        <v>0.14285714285714285</v>
      </c>
      <c r="M29" s="49">
        <f>'Avg Week Bweya-Kajansi'!M29+'Avg Week Kajansi-Bweya'!M29</f>
        <v>53.428571428571431</v>
      </c>
      <c r="N29" s="49">
        <f>'Avg Week Bweya-Kajansi'!N29+'Avg Week Kajansi-Bweya'!N29</f>
        <v>0</v>
      </c>
      <c r="O29" s="15">
        <f t="shared" si="0"/>
        <v>76.285714285714292</v>
      </c>
      <c r="P29" s="15">
        <f t="shared" si="1"/>
        <v>129.71428571428572</v>
      </c>
      <c r="R29" s="1" t="s">
        <v>153</v>
      </c>
      <c r="S29" s="34">
        <f>SUM(C86:C89)</f>
        <v>33.5</v>
      </c>
      <c r="T29" s="34">
        <f t="shared" ref="T29:AF29" si="21">SUM(D86:D89)</f>
        <v>13.5</v>
      </c>
      <c r="U29" s="34">
        <f t="shared" si="21"/>
        <v>4</v>
      </c>
      <c r="V29" s="34">
        <f t="shared" si="21"/>
        <v>3</v>
      </c>
      <c r="W29" s="34">
        <f t="shared" si="21"/>
        <v>0.5</v>
      </c>
      <c r="X29" s="34">
        <f t="shared" si="21"/>
        <v>1</v>
      </c>
      <c r="Y29" s="34">
        <f t="shared" si="21"/>
        <v>1</v>
      </c>
      <c r="Z29" s="34">
        <f t="shared" si="21"/>
        <v>0</v>
      </c>
      <c r="AA29" s="34">
        <f t="shared" si="21"/>
        <v>0.5</v>
      </c>
      <c r="AB29" s="34">
        <f t="shared" si="21"/>
        <v>0</v>
      </c>
      <c r="AC29" s="34">
        <f t="shared" si="21"/>
        <v>20</v>
      </c>
      <c r="AD29" s="34">
        <f t="shared" si="21"/>
        <v>0</v>
      </c>
      <c r="AE29" s="31">
        <f t="shared" si="21"/>
        <v>57</v>
      </c>
      <c r="AF29" s="31">
        <f t="shared" si="21"/>
        <v>77</v>
      </c>
    </row>
    <row r="30" spans="2:32" ht="23.1" customHeight="1" x14ac:dyDescent="0.25">
      <c r="B30" s="23" t="s">
        <v>57</v>
      </c>
      <c r="C30" s="49">
        <f>'Avg Week Bweya-Kajansi'!C30+'Avg Week Kajansi-Bweya'!C30</f>
        <v>49.714285714285708</v>
      </c>
      <c r="D30" s="49">
        <f>'Avg Week Bweya-Kajansi'!D30+'Avg Week Kajansi-Bweya'!D30</f>
        <v>12.142857142857142</v>
      </c>
      <c r="E30" s="49">
        <f>'Avg Week Bweya-Kajansi'!E30+'Avg Week Kajansi-Bweya'!E30</f>
        <v>7.1428571428571423</v>
      </c>
      <c r="F30" s="49">
        <f>'Avg Week Bweya-Kajansi'!F30+'Avg Week Kajansi-Bweya'!F30</f>
        <v>3.1428571428571432</v>
      </c>
      <c r="G30" s="49">
        <f>'Avg Week Bweya-Kajansi'!G30+'Avg Week Kajansi-Bweya'!G30</f>
        <v>0.42857142857142855</v>
      </c>
      <c r="H30" s="49">
        <f>'Avg Week Bweya-Kajansi'!H30+'Avg Week Kajansi-Bweya'!H30</f>
        <v>0</v>
      </c>
      <c r="I30" s="49">
        <f>'Avg Week Bweya-Kajansi'!I30+'Avg Week Kajansi-Bweya'!I30</f>
        <v>6.4285714285714288</v>
      </c>
      <c r="J30" s="49">
        <f>'Avg Week Bweya-Kajansi'!J30+'Avg Week Kajansi-Bweya'!J30</f>
        <v>2.4285714285714288</v>
      </c>
      <c r="K30" s="49">
        <f>'Avg Week Bweya-Kajansi'!K30+'Avg Week Kajansi-Bweya'!K30</f>
        <v>0.42857142857142855</v>
      </c>
      <c r="L30" s="49">
        <f>'Avg Week Bweya-Kajansi'!L30+'Avg Week Kajansi-Bweya'!L30</f>
        <v>0.42857142857142855</v>
      </c>
      <c r="M30" s="49">
        <f>'Avg Week Bweya-Kajansi'!M30+'Avg Week Kajansi-Bweya'!M30</f>
        <v>59</v>
      </c>
      <c r="N30" s="49">
        <f>'Avg Week Bweya-Kajansi'!N30+'Avg Week Kajansi-Bweya'!N30</f>
        <v>0</v>
      </c>
      <c r="O30" s="15">
        <f t="shared" si="0"/>
        <v>82.285714285714278</v>
      </c>
      <c r="P30" s="15">
        <f t="shared" si="1"/>
        <v>141.28571428571428</v>
      </c>
      <c r="R30" s="1" t="s">
        <v>154</v>
      </c>
      <c r="S30" s="34">
        <f>SUM(C90:C93)</f>
        <v>15</v>
      </c>
      <c r="T30" s="34">
        <f t="shared" ref="T30:AF30" si="22">SUM(D90:D93)</f>
        <v>5.5</v>
      </c>
      <c r="U30" s="34">
        <f t="shared" si="22"/>
        <v>1.5</v>
      </c>
      <c r="V30" s="34">
        <f t="shared" si="22"/>
        <v>2.5</v>
      </c>
      <c r="W30" s="34">
        <f t="shared" si="22"/>
        <v>1</v>
      </c>
      <c r="X30" s="34">
        <f t="shared" si="22"/>
        <v>0.5</v>
      </c>
      <c r="Y30" s="34">
        <f t="shared" si="22"/>
        <v>0.5</v>
      </c>
      <c r="Z30" s="34">
        <f t="shared" si="22"/>
        <v>2.5</v>
      </c>
      <c r="AA30" s="34">
        <f t="shared" si="22"/>
        <v>0</v>
      </c>
      <c r="AB30" s="34">
        <f t="shared" si="22"/>
        <v>0</v>
      </c>
      <c r="AC30" s="34">
        <f t="shared" si="22"/>
        <v>12</v>
      </c>
      <c r="AD30" s="34">
        <f t="shared" si="22"/>
        <v>0</v>
      </c>
      <c r="AE30" s="31">
        <f t="shared" si="22"/>
        <v>29</v>
      </c>
      <c r="AF30" s="31">
        <f t="shared" si="22"/>
        <v>41</v>
      </c>
    </row>
    <row r="31" spans="2:32" ht="23.1" customHeight="1" x14ac:dyDescent="0.25">
      <c r="B31" s="24" t="s">
        <v>58</v>
      </c>
      <c r="C31" s="49">
        <f>'Avg Week Bweya-Kajansi'!C31+'Avg Week Kajansi-Bweya'!C31</f>
        <v>51.857142857142861</v>
      </c>
      <c r="D31" s="49">
        <f>'Avg Week Bweya-Kajansi'!D31+'Avg Week Kajansi-Bweya'!D31</f>
        <v>11.142857142857142</v>
      </c>
      <c r="E31" s="49">
        <f>'Avg Week Bweya-Kajansi'!E31+'Avg Week Kajansi-Bweya'!E31</f>
        <v>3.8571428571428568</v>
      </c>
      <c r="F31" s="49">
        <f>'Avg Week Bweya-Kajansi'!F31+'Avg Week Kajansi-Bweya'!F31</f>
        <v>2.1428571428571428</v>
      </c>
      <c r="G31" s="49">
        <f>'Avg Week Bweya-Kajansi'!G31+'Avg Week Kajansi-Bweya'!G31</f>
        <v>0.42857142857142855</v>
      </c>
      <c r="H31" s="49">
        <f>'Avg Week Bweya-Kajansi'!H31+'Avg Week Kajansi-Bweya'!H31</f>
        <v>0.2857142857142857</v>
      </c>
      <c r="I31" s="49">
        <f>'Avg Week Bweya-Kajansi'!I31+'Avg Week Kajansi-Bweya'!I31</f>
        <v>5.5714285714285712</v>
      </c>
      <c r="J31" s="49">
        <f>'Avg Week Bweya-Kajansi'!J31+'Avg Week Kajansi-Bweya'!J31</f>
        <v>2.5714285714285712</v>
      </c>
      <c r="K31" s="49">
        <f>'Avg Week Bweya-Kajansi'!K31+'Avg Week Kajansi-Bweya'!K31</f>
        <v>0.71428571428571419</v>
      </c>
      <c r="L31" s="49">
        <f>'Avg Week Bweya-Kajansi'!L31+'Avg Week Kajansi-Bweya'!L31</f>
        <v>0.14285714285714285</v>
      </c>
      <c r="M31" s="49">
        <f>'Avg Week Bweya-Kajansi'!M31+'Avg Week Kajansi-Bweya'!M31</f>
        <v>52.428571428571431</v>
      </c>
      <c r="N31" s="49">
        <f>'Avg Week Bweya-Kajansi'!N31+'Avg Week Kajansi-Bweya'!N31</f>
        <v>0</v>
      </c>
      <c r="O31" s="15">
        <f t="shared" si="0"/>
        <v>78.714285714285708</v>
      </c>
      <c r="P31" s="15">
        <f t="shared" si="1"/>
        <v>131.14285714285714</v>
      </c>
      <c r="R31" s="1" t="s">
        <v>155</v>
      </c>
      <c r="S31" s="34">
        <f>SUM(C94:C97)</f>
        <v>23.5</v>
      </c>
      <c r="T31" s="34">
        <f t="shared" ref="T31:AF31" si="23">SUM(D94:D97)</f>
        <v>10</v>
      </c>
      <c r="U31" s="34">
        <f t="shared" si="23"/>
        <v>3.5</v>
      </c>
      <c r="V31" s="34">
        <f t="shared" si="23"/>
        <v>0.5</v>
      </c>
      <c r="W31" s="34">
        <f t="shared" si="23"/>
        <v>0.5</v>
      </c>
      <c r="X31" s="34">
        <f t="shared" si="23"/>
        <v>0</v>
      </c>
      <c r="Y31" s="34">
        <f t="shared" si="23"/>
        <v>2.5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11.5</v>
      </c>
      <c r="AD31" s="34">
        <f t="shared" si="23"/>
        <v>0</v>
      </c>
      <c r="AE31" s="31">
        <f t="shared" si="23"/>
        <v>41</v>
      </c>
      <c r="AF31" s="31">
        <f t="shared" si="23"/>
        <v>52.5</v>
      </c>
    </row>
    <row r="32" spans="2:32" ht="23.1" customHeight="1" x14ac:dyDescent="0.25">
      <c r="B32" s="24" t="s">
        <v>59</v>
      </c>
      <c r="C32" s="49">
        <f>'Avg Week Bweya-Kajansi'!C32+'Avg Week Kajansi-Bweya'!C32</f>
        <v>55.142857142857139</v>
      </c>
      <c r="D32" s="49">
        <f>'Avg Week Bweya-Kajansi'!D32+'Avg Week Kajansi-Bweya'!D32</f>
        <v>8.5714285714285712</v>
      </c>
      <c r="E32" s="49">
        <f>'Avg Week Bweya-Kajansi'!E32+'Avg Week Kajansi-Bweya'!E32</f>
        <v>5.7142857142857144</v>
      </c>
      <c r="F32" s="49">
        <f>'Avg Week Bweya-Kajansi'!F32+'Avg Week Kajansi-Bweya'!F32</f>
        <v>1.2857142857142856</v>
      </c>
      <c r="G32" s="49">
        <f>'Avg Week Bweya-Kajansi'!G32+'Avg Week Kajansi-Bweya'!G32</f>
        <v>0.2857142857142857</v>
      </c>
      <c r="H32" s="49">
        <f>'Avg Week Bweya-Kajansi'!H32+'Avg Week Kajansi-Bweya'!H32</f>
        <v>0</v>
      </c>
      <c r="I32" s="49">
        <f>'Avg Week Bweya-Kajansi'!I32+'Avg Week Kajansi-Bweya'!I32</f>
        <v>7</v>
      </c>
      <c r="J32" s="49">
        <f>'Avg Week Bweya-Kajansi'!J32+'Avg Week Kajansi-Bweya'!J32</f>
        <v>4</v>
      </c>
      <c r="K32" s="49">
        <f>'Avg Week Bweya-Kajansi'!K32+'Avg Week Kajansi-Bweya'!K32</f>
        <v>0.2857142857142857</v>
      </c>
      <c r="L32" s="49">
        <f>'Avg Week Bweya-Kajansi'!L32+'Avg Week Kajansi-Bweya'!L32</f>
        <v>0</v>
      </c>
      <c r="M32" s="49">
        <f>'Avg Week Bweya-Kajansi'!M32+'Avg Week Kajansi-Bweya'!M32</f>
        <v>48</v>
      </c>
      <c r="N32" s="49">
        <f>'Avg Week Bweya-Kajansi'!N32+'Avg Week Kajansi-Bweya'!N32</f>
        <v>0</v>
      </c>
      <c r="O32" s="15">
        <f t="shared" si="0"/>
        <v>82.285714285714292</v>
      </c>
      <c r="P32" s="15">
        <f t="shared" si="1"/>
        <v>130.28571428571428</v>
      </c>
      <c r="R32" s="1" t="s">
        <v>156</v>
      </c>
      <c r="S32" s="34">
        <f>SUM(C98:C101)</f>
        <v>23.5</v>
      </c>
      <c r="T32" s="34">
        <f t="shared" ref="T32:AF32" si="24">SUM(D98:D101)</f>
        <v>4.5</v>
      </c>
      <c r="U32" s="34">
        <f t="shared" si="24"/>
        <v>3.5</v>
      </c>
      <c r="V32" s="34">
        <f t="shared" si="24"/>
        <v>3.5</v>
      </c>
      <c r="W32" s="34">
        <f t="shared" si="24"/>
        <v>2</v>
      </c>
      <c r="X32" s="34">
        <f t="shared" si="24"/>
        <v>0</v>
      </c>
      <c r="Y32" s="34">
        <f t="shared" si="24"/>
        <v>4.5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18</v>
      </c>
      <c r="AD32" s="34">
        <f t="shared" si="24"/>
        <v>0</v>
      </c>
      <c r="AE32" s="31">
        <f t="shared" si="24"/>
        <v>42.5</v>
      </c>
      <c r="AF32" s="31">
        <f t="shared" si="24"/>
        <v>60.5</v>
      </c>
    </row>
    <row r="33" spans="2:32" ht="23.1" customHeight="1" x14ac:dyDescent="0.25">
      <c r="B33" s="23" t="s">
        <v>60</v>
      </c>
      <c r="C33" s="49">
        <f>'Avg Week Bweya-Kajansi'!C33+'Avg Week Kajansi-Bweya'!C33</f>
        <v>53.285714285714292</v>
      </c>
      <c r="D33" s="49">
        <f>'Avg Week Bweya-Kajansi'!D33+'Avg Week Kajansi-Bweya'!D33</f>
        <v>13.285714285714285</v>
      </c>
      <c r="E33" s="49">
        <f>'Avg Week Bweya-Kajansi'!E33+'Avg Week Kajansi-Bweya'!E33</f>
        <v>5</v>
      </c>
      <c r="F33" s="49">
        <f>'Avg Week Bweya-Kajansi'!F33+'Avg Week Kajansi-Bweya'!F33</f>
        <v>2.4285714285714288</v>
      </c>
      <c r="G33" s="49">
        <f>'Avg Week Bweya-Kajansi'!G33+'Avg Week Kajansi-Bweya'!G33</f>
        <v>0</v>
      </c>
      <c r="H33" s="49">
        <f>'Avg Week Bweya-Kajansi'!H33+'Avg Week Kajansi-Bweya'!H33</f>
        <v>0</v>
      </c>
      <c r="I33" s="49">
        <f>'Avg Week Bweya-Kajansi'!I33+'Avg Week Kajansi-Bweya'!I33</f>
        <v>5.1428571428571423</v>
      </c>
      <c r="J33" s="49">
        <f>'Avg Week Bweya-Kajansi'!J33+'Avg Week Kajansi-Bweya'!J33</f>
        <v>2.8571428571428568</v>
      </c>
      <c r="K33" s="49">
        <f>'Avg Week Bweya-Kajansi'!K33+'Avg Week Kajansi-Bweya'!K33</f>
        <v>0.14285714285714285</v>
      </c>
      <c r="L33" s="49">
        <f>'Avg Week Bweya-Kajansi'!L33+'Avg Week Kajansi-Bweya'!L33</f>
        <v>0</v>
      </c>
      <c r="M33" s="49">
        <f>'Avg Week Bweya-Kajansi'!M33+'Avg Week Kajansi-Bweya'!M33</f>
        <v>48</v>
      </c>
      <c r="N33" s="49">
        <f>'Avg Week Bweya-Kajansi'!N33+'Avg Week Kajansi-Bweya'!N33</f>
        <v>0</v>
      </c>
      <c r="O33" s="15">
        <f t="shared" si="0"/>
        <v>82.142857142857153</v>
      </c>
      <c r="P33" s="15">
        <f t="shared" si="1"/>
        <v>130.14285714285717</v>
      </c>
      <c r="R33" s="1" t="s">
        <v>157</v>
      </c>
      <c r="S33" s="34">
        <f>SUM(C102:C105)</f>
        <v>113</v>
      </c>
      <c r="T33" s="34">
        <f t="shared" ref="T33:AF33" si="25">SUM(D102:D105)</f>
        <v>18</v>
      </c>
      <c r="U33" s="34">
        <f t="shared" si="25"/>
        <v>10.5</v>
      </c>
      <c r="V33" s="34">
        <f t="shared" si="25"/>
        <v>10.5</v>
      </c>
      <c r="W33" s="34">
        <f t="shared" si="25"/>
        <v>2.5</v>
      </c>
      <c r="X33" s="34">
        <f t="shared" si="25"/>
        <v>2.5</v>
      </c>
      <c r="Y33" s="34">
        <f t="shared" si="25"/>
        <v>5.5</v>
      </c>
      <c r="Z33" s="34">
        <f t="shared" si="25"/>
        <v>1.5</v>
      </c>
      <c r="AA33" s="34">
        <f t="shared" si="25"/>
        <v>0.5</v>
      </c>
      <c r="AB33" s="34">
        <f t="shared" si="25"/>
        <v>0</v>
      </c>
      <c r="AC33" s="34">
        <f t="shared" si="25"/>
        <v>84.5</v>
      </c>
      <c r="AD33" s="34">
        <f t="shared" si="25"/>
        <v>0</v>
      </c>
      <c r="AE33" s="31">
        <f t="shared" si="25"/>
        <v>164.5</v>
      </c>
      <c r="AF33" s="31">
        <f t="shared" si="25"/>
        <v>249</v>
      </c>
    </row>
    <row r="34" spans="2:32" ht="23.1" customHeight="1" x14ac:dyDescent="0.25">
      <c r="B34" s="24" t="s">
        <v>61</v>
      </c>
      <c r="C34" s="49">
        <f>'Avg Week Bweya-Kajansi'!C34+'Avg Week Kajansi-Bweya'!C34</f>
        <v>56.571428571428569</v>
      </c>
      <c r="D34" s="49">
        <f>'Avg Week Bweya-Kajansi'!D34+'Avg Week Kajansi-Bweya'!D34</f>
        <v>15.142857142857142</v>
      </c>
      <c r="E34" s="49">
        <f>'Avg Week Bweya-Kajansi'!E34+'Avg Week Kajansi-Bweya'!E34</f>
        <v>8.4285714285714288</v>
      </c>
      <c r="F34" s="49">
        <f>'Avg Week Bweya-Kajansi'!F34+'Avg Week Kajansi-Bweya'!F34</f>
        <v>2.1428571428571428</v>
      </c>
      <c r="G34" s="49">
        <f>'Avg Week Bweya-Kajansi'!G34+'Avg Week Kajansi-Bweya'!G34</f>
        <v>1</v>
      </c>
      <c r="H34" s="49">
        <f>'Avg Week Bweya-Kajansi'!H34+'Avg Week Kajansi-Bweya'!H34</f>
        <v>0.14285714285714285</v>
      </c>
      <c r="I34" s="49">
        <f>'Avg Week Bweya-Kajansi'!I34+'Avg Week Kajansi-Bweya'!I34</f>
        <v>8.5714285714285712</v>
      </c>
      <c r="J34" s="49">
        <f>'Avg Week Bweya-Kajansi'!J34+'Avg Week Kajansi-Bweya'!J34</f>
        <v>1.4285714285714286</v>
      </c>
      <c r="K34" s="49">
        <f>'Avg Week Bweya-Kajansi'!K34+'Avg Week Kajansi-Bweya'!K34</f>
        <v>0</v>
      </c>
      <c r="L34" s="49">
        <f>'Avg Week Bweya-Kajansi'!L34+'Avg Week Kajansi-Bweya'!L34</f>
        <v>0</v>
      </c>
      <c r="M34" s="49">
        <f>'Avg Week Bweya-Kajansi'!M34+'Avg Week Kajansi-Bweya'!M34</f>
        <v>48.714285714285715</v>
      </c>
      <c r="N34" s="49">
        <f>'Avg Week Bweya-Kajansi'!N34+'Avg Week Kajansi-Bweya'!N34</f>
        <v>0</v>
      </c>
      <c r="O34" s="15">
        <f t="shared" si="0"/>
        <v>93.428571428571416</v>
      </c>
      <c r="P34" s="15">
        <f t="shared" si="1"/>
        <v>142.14285714285714</v>
      </c>
      <c r="R34" s="51" t="s">
        <v>90</v>
      </c>
      <c r="S34" s="52">
        <f t="shared" ref="S34:AF34" si="26">MAX(S10:S12)</f>
        <v>226.85714285714283</v>
      </c>
      <c r="T34" s="52">
        <f t="shared" si="26"/>
        <v>44.714285714285715</v>
      </c>
      <c r="U34" s="52">
        <f t="shared" si="26"/>
        <v>27.714285714285715</v>
      </c>
      <c r="V34" s="52">
        <f t="shared" si="26"/>
        <v>16</v>
      </c>
      <c r="W34" s="52">
        <f t="shared" si="26"/>
        <v>1.7142857142857142</v>
      </c>
      <c r="X34" s="52">
        <f t="shared" si="26"/>
        <v>1</v>
      </c>
      <c r="Y34" s="52">
        <f t="shared" si="26"/>
        <v>25.142857142857139</v>
      </c>
      <c r="Z34" s="52">
        <f t="shared" si="26"/>
        <v>6</v>
      </c>
      <c r="AA34" s="52">
        <f t="shared" si="26"/>
        <v>1.5714285714285714</v>
      </c>
      <c r="AB34" s="52">
        <f t="shared" si="26"/>
        <v>0.2857142857142857</v>
      </c>
      <c r="AC34" s="52">
        <f t="shared" si="26"/>
        <v>300.14285714285717</v>
      </c>
      <c r="AD34" s="52">
        <f t="shared" si="26"/>
        <v>0</v>
      </c>
      <c r="AE34" s="40">
        <f t="shared" si="26"/>
        <v>329.57142857142856</v>
      </c>
      <c r="AF34" s="40">
        <f t="shared" si="26"/>
        <v>619.14285714285722</v>
      </c>
    </row>
    <row r="35" spans="2:32" ht="23.1" customHeight="1" x14ac:dyDescent="0.25">
      <c r="B35" s="24" t="s">
        <v>62</v>
      </c>
      <c r="C35" s="49">
        <f>'Avg Week Bweya-Kajansi'!C35+'Avg Week Kajansi-Bweya'!C35</f>
        <v>52.571428571428569</v>
      </c>
      <c r="D35" s="49">
        <f>'Avg Week Bweya-Kajansi'!D35+'Avg Week Kajansi-Bweya'!D35</f>
        <v>14.571428571428571</v>
      </c>
      <c r="E35" s="49">
        <f>'Avg Week Bweya-Kajansi'!E35+'Avg Week Kajansi-Bweya'!E35</f>
        <v>7.8571428571428577</v>
      </c>
      <c r="F35" s="49">
        <f>'Avg Week Bweya-Kajansi'!F35+'Avg Week Kajansi-Bweya'!F35</f>
        <v>2.8571428571428572</v>
      </c>
      <c r="G35" s="49">
        <f>'Avg Week Bweya-Kajansi'!G35+'Avg Week Kajansi-Bweya'!G35</f>
        <v>0.8571428571428571</v>
      </c>
      <c r="H35" s="49">
        <f>'Avg Week Bweya-Kajansi'!H35+'Avg Week Kajansi-Bweya'!H35</f>
        <v>0.42857142857142855</v>
      </c>
      <c r="I35" s="49">
        <f>'Avg Week Bweya-Kajansi'!I35+'Avg Week Kajansi-Bweya'!I35</f>
        <v>7.2857142857142856</v>
      </c>
      <c r="J35" s="49">
        <f>'Avg Week Bweya-Kajansi'!J35+'Avg Week Kajansi-Bweya'!J35</f>
        <v>2.2857142857142856</v>
      </c>
      <c r="K35" s="49">
        <f>'Avg Week Bweya-Kajansi'!K35+'Avg Week Kajansi-Bweya'!K35</f>
        <v>0.2857142857142857</v>
      </c>
      <c r="L35" s="49">
        <f>'Avg Week Bweya-Kajansi'!L35+'Avg Week Kajansi-Bweya'!L35</f>
        <v>0</v>
      </c>
      <c r="M35" s="49">
        <f>'Avg Week Bweya-Kajansi'!M35+'Avg Week Kajansi-Bweya'!M35</f>
        <v>48.142857142857139</v>
      </c>
      <c r="N35" s="49">
        <f>'Avg Week Bweya-Kajansi'!N35+'Avg Week Kajansi-Bweya'!N35</f>
        <v>0</v>
      </c>
      <c r="O35" s="15">
        <f t="shared" si="0"/>
        <v>89.000000000000028</v>
      </c>
      <c r="P35" s="15">
        <f t="shared" si="1"/>
        <v>137.14285714285717</v>
      </c>
      <c r="R35" s="51" t="s">
        <v>91</v>
      </c>
      <c r="S35" s="52">
        <f t="shared" ref="S35:AF35" si="27">MAX(S13:S18)</f>
        <v>272.28571428571433</v>
      </c>
      <c r="T35" s="52">
        <f t="shared" si="27"/>
        <v>109.99999999999999</v>
      </c>
      <c r="U35" s="52">
        <f t="shared" si="27"/>
        <v>36.285714285714285</v>
      </c>
      <c r="V35" s="52">
        <f t="shared" si="27"/>
        <v>11.142857142857144</v>
      </c>
      <c r="W35" s="52">
        <f t="shared" si="27"/>
        <v>2.8571428571428568</v>
      </c>
      <c r="X35" s="52">
        <f t="shared" si="27"/>
        <v>1.1428571428571428</v>
      </c>
      <c r="Y35" s="52">
        <f t="shared" si="27"/>
        <v>33</v>
      </c>
      <c r="Z35" s="52">
        <f t="shared" si="27"/>
        <v>11.857142857142858</v>
      </c>
      <c r="AA35" s="52">
        <f t="shared" si="27"/>
        <v>2.4285714285714284</v>
      </c>
      <c r="AB35" s="52">
        <f t="shared" si="27"/>
        <v>0.5714285714285714</v>
      </c>
      <c r="AC35" s="52">
        <f t="shared" si="27"/>
        <v>254.71428571428572</v>
      </c>
      <c r="AD35" s="52">
        <f t="shared" si="27"/>
        <v>0.14285714285714285</v>
      </c>
      <c r="AE35" s="40">
        <f t="shared" si="27"/>
        <v>428.57142857142856</v>
      </c>
      <c r="AF35" s="40">
        <f t="shared" si="27"/>
        <v>660.85714285714278</v>
      </c>
    </row>
    <row r="36" spans="2:32" ht="23.1" customHeight="1" x14ac:dyDescent="0.25">
      <c r="B36" s="24" t="s">
        <v>63</v>
      </c>
      <c r="C36" s="49">
        <f>'Avg Week Bweya-Kajansi'!C36+'Avg Week Kajansi-Bweya'!C36</f>
        <v>58.714285714285715</v>
      </c>
      <c r="D36" s="49">
        <f>'Avg Week Bweya-Kajansi'!D36+'Avg Week Kajansi-Bweya'!D36</f>
        <v>13.428571428571429</v>
      </c>
      <c r="E36" s="49">
        <f>'Avg Week Bweya-Kajansi'!E36+'Avg Week Kajansi-Bweya'!E36</f>
        <v>7.7142857142857144</v>
      </c>
      <c r="F36" s="49">
        <f>'Avg Week Bweya-Kajansi'!F36+'Avg Week Kajansi-Bweya'!F36</f>
        <v>1.7142857142857144</v>
      </c>
      <c r="G36" s="49">
        <f>'Avg Week Bweya-Kajansi'!G36+'Avg Week Kajansi-Bweya'!G36</f>
        <v>0.42857142857142855</v>
      </c>
      <c r="H36" s="49">
        <f>'Avg Week Bweya-Kajansi'!H36+'Avg Week Kajansi-Bweya'!H36</f>
        <v>0.2857142857142857</v>
      </c>
      <c r="I36" s="49">
        <f>'Avg Week Bweya-Kajansi'!I36+'Avg Week Kajansi-Bweya'!I36</f>
        <v>8.8571428571428577</v>
      </c>
      <c r="J36" s="49">
        <f>'Avg Week Bweya-Kajansi'!J36+'Avg Week Kajansi-Bweya'!J36</f>
        <v>1.8571428571428572</v>
      </c>
      <c r="K36" s="49">
        <f>'Avg Week Bweya-Kajansi'!K36+'Avg Week Kajansi-Bweya'!K36</f>
        <v>0.2857142857142857</v>
      </c>
      <c r="L36" s="49">
        <f>'Avg Week Bweya-Kajansi'!L36+'Avg Week Kajansi-Bweya'!L36</f>
        <v>0</v>
      </c>
      <c r="M36" s="49">
        <f>'Avg Week Bweya-Kajansi'!M36+'Avg Week Kajansi-Bweya'!M36</f>
        <v>62</v>
      </c>
      <c r="N36" s="49">
        <f>'Avg Week Bweya-Kajansi'!N36+'Avg Week Kajansi-Bweya'!N36</f>
        <v>0</v>
      </c>
      <c r="O36" s="15">
        <f t="shared" si="0"/>
        <v>93.285714285714292</v>
      </c>
      <c r="P36" s="15">
        <f t="shared" si="1"/>
        <v>155.28571428571428</v>
      </c>
      <c r="R36" s="51" t="s">
        <v>92</v>
      </c>
      <c r="S36" s="52">
        <f t="shared" ref="S36:AF36" si="28">MAX(S19:S21)</f>
        <v>330.85714285714283</v>
      </c>
      <c r="T36" s="52">
        <f t="shared" si="28"/>
        <v>54.428571428571423</v>
      </c>
      <c r="U36" s="52">
        <f t="shared" si="28"/>
        <v>38</v>
      </c>
      <c r="V36" s="52">
        <f t="shared" si="28"/>
        <v>14.142857142857144</v>
      </c>
      <c r="W36" s="52">
        <f t="shared" si="28"/>
        <v>4.8571428571428577</v>
      </c>
      <c r="X36" s="52">
        <f t="shared" si="28"/>
        <v>2.4285714285714288</v>
      </c>
      <c r="Y36" s="52">
        <f t="shared" si="28"/>
        <v>29.142857142857146</v>
      </c>
      <c r="Z36" s="52">
        <f t="shared" si="28"/>
        <v>11.999999999999998</v>
      </c>
      <c r="AA36" s="52">
        <f t="shared" si="28"/>
        <v>2.7142857142857144</v>
      </c>
      <c r="AB36" s="52">
        <f t="shared" si="28"/>
        <v>0.42857142857142855</v>
      </c>
      <c r="AC36" s="52">
        <f t="shared" si="28"/>
        <v>298.16666666666663</v>
      </c>
      <c r="AD36" s="52">
        <f t="shared" si="28"/>
        <v>0</v>
      </c>
      <c r="AE36" s="40">
        <f t="shared" si="28"/>
        <v>471.85714285714289</v>
      </c>
      <c r="AF36" s="40">
        <f t="shared" si="28"/>
        <v>767.16666666666663</v>
      </c>
    </row>
    <row r="37" spans="2:32" ht="23.1" customHeight="1" x14ac:dyDescent="0.25">
      <c r="B37" s="23" t="s">
        <v>64</v>
      </c>
      <c r="C37" s="49">
        <f>'Avg Week Bweya-Kajansi'!C37+'Avg Week Kajansi-Bweya'!C37</f>
        <v>57.285714285714278</v>
      </c>
      <c r="D37" s="49">
        <f>'Avg Week Bweya-Kajansi'!D37+'Avg Week Kajansi-Bweya'!D37</f>
        <v>14.428571428571427</v>
      </c>
      <c r="E37" s="49">
        <f>'Avg Week Bweya-Kajansi'!E37+'Avg Week Kajansi-Bweya'!E37</f>
        <v>7.5714285714285712</v>
      </c>
      <c r="F37" s="49">
        <f>'Avg Week Bweya-Kajansi'!F37+'Avg Week Kajansi-Bweya'!F37</f>
        <v>2.1428571428571428</v>
      </c>
      <c r="G37" s="49">
        <f>'Avg Week Bweya-Kajansi'!G37+'Avg Week Kajansi-Bweya'!G37</f>
        <v>0.5714285714285714</v>
      </c>
      <c r="H37" s="49">
        <f>'Avg Week Bweya-Kajansi'!H37+'Avg Week Kajansi-Bweya'!H37</f>
        <v>0</v>
      </c>
      <c r="I37" s="49">
        <f>'Avg Week Bweya-Kajansi'!I37+'Avg Week Kajansi-Bweya'!I37</f>
        <v>8.2857142857142847</v>
      </c>
      <c r="J37" s="49">
        <f>'Avg Week Bweya-Kajansi'!J37+'Avg Week Kajansi-Bweya'!J37</f>
        <v>1.7142857142857144</v>
      </c>
      <c r="K37" s="49">
        <f>'Avg Week Bweya-Kajansi'!K37+'Avg Week Kajansi-Bweya'!K37</f>
        <v>0.5714285714285714</v>
      </c>
      <c r="L37" s="49">
        <f>'Avg Week Bweya-Kajansi'!L37+'Avg Week Kajansi-Bweya'!L37</f>
        <v>0</v>
      </c>
      <c r="M37" s="49">
        <f>'Avg Week Bweya-Kajansi'!M37+'Avg Week Kajansi-Bweya'!M37</f>
        <v>53.571428571428569</v>
      </c>
      <c r="N37" s="49">
        <f>'Avg Week Bweya-Kajansi'!N37+'Avg Week Kajansi-Bweya'!N37</f>
        <v>0</v>
      </c>
      <c r="O37" s="15">
        <f t="shared" si="0"/>
        <v>92.571428571428555</v>
      </c>
      <c r="P37" s="15">
        <f t="shared" si="1"/>
        <v>146.14285714285711</v>
      </c>
      <c r="R37" s="37" t="s">
        <v>85</v>
      </c>
      <c r="S37" s="57">
        <f t="shared" ref="S37:AF37" si="29">SUM(S10:S12)</f>
        <v>618.14285714285711</v>
      </c>
      <c r="T37" s="58">
        <f t="shared" si="29"/>
        <v>126.85714285714286</v>
      </c>
      <c r="U37" s="58">
        <f t="shared" si="29"/>
        <v>76.714285714285722</v>
      </c>
      <c r="V37" s="58">
        <f t="shared" si="29"/>
        <v>35.428571428571431</v>
      </c>
      <c r="W37" s="58">
        <f t="shared" si="29"/>
        <v>4.2857142857142856</v>
      </c>
      <c r="X37" s="58">
        <f t="shared" si="29"/>
        <v>2.1428571428571428</v>
      </c>
      <c r="Y37" s="58">
        <f t="shared" si="29"/>
        <v>60.428571428571423</v>
      </c>
      <c r="Z37" s="58">
        <f t="shared" si="29"/>
        <v>15.428571428571427</v>
      </c>
      <c r="AA37" s="58">
        <f t="shared" si="29"/>
        <v>3.2857142857142856</v>
      </c>
      <c r="AB37" s="58">
        <f t="shared" si="29"/>
        <v>0.2857142857142857</v>
      </c>
      <c r="AC37" s="58">
        <f t="shared" si="29"/>
        <v>823.42857142857144</v>
      </c>
      <c r="AD37" s="58">
        <f t="shared" si="29"/>
        <v>0</v>
      </c>
      <c r="AE37" s="59">
        <f t="shared" si="29"/>
        <v>943</v>
      </c>
      <c r="AF37" s="59">
        <f t="shared" si="29"/>
        <v>1766.4285714285716</v>
      </c>
    </row>
    <row r="38" spans="2:32" ht="23.1" customHeight="1" x14ac:dyDescent="0.25">
      <c r="B38" s="24" t="s">
        <v>65</v>
      </c>
      <c r="C38" s="49">
        <f>'Avg Week Bweya-Kajansi'!C38+'Avg Week Kajansi-Bweya'!C38</f>
        <v>60.857142857142861</v>
      </c>
      <c r="D38" s="49">
        <f>'Avg Week Bweya-Kajansi'!D38+'Avg Week Kajansi-Bweya'!D38</f>
        <v>14</v>
      </c>
      <c r="E38" s="49">
        <f>'Avg Week Bweya-Kajansi'!E38+'Avg Week Kajansi-Bweya'!E38</f>
        <v>5.1428571428571423</v>
      </c>
      <c r="F38" s="49">
        <f>'Avg Week Bweya-Kajansi'!F38+'Avg Week Kajansi-Bweya'!F38</f>
        <v>1.8571428571428572</v>
      </c>
      <c r="G38" s="49">
        <f>'Avg Week Bweya-Kajansi'!G38+'Avg Week Kajansi-Bweya'!G38</f>
        <v>0.2857142857142857</v>
      </c>
      <c r="H38" s="49">
        <f>'Avg Week Bweya-Kajansi'!H38+'Avg Week Kajansi-Bweya'!H38</f>
        <v>0.2857142857142857</v>
      </c>
      <c r="I38" s="49">
        <f>'Avg Week Bweya-Kajansi'!I38+'Avg Week Kajansi-Bweya'!I38</f>
        <v>7</v>
      </c>
      <c r="J38" s="49">
        <f>'Avg Week Bweya-Kajansi'!J38+'Avg Week Kajansi-Bweya'!J38</f>
        <v>1</v>
      </c>
      <c r="K38" s="49">
        <f>'Avg Week Bweya-Kajansi'!K38+'Avg Week Kajansi-Bweya'!K38</f>
        <v>0.71428571428571419</v>
      </c>
      <c r="L38" s="49">
        <f>'Avg Week Bweya-Kajansi'!L38+'Avg Week Kajansi-Bweya'!L38</f>
        <v>0.2857142857142857</v>
      </c>
      <c r="M38" s="49">
        <f>'Avg Week Bweya-Kajansi'!M38+'Avg Week Kajansi-Bweya'!M38</f>
        <v>56.857142857142861</v>
      </c>
      <c r="N38" s="49">
        <f>'Avg Week Bweya-Kajansi'!N38+'Avg Week Kajansi-Bweya'!N38</f>
        <v>0</v>
      </c>
      <c r="O38" s="15">
        <f t="shared" si="0"/>
        <v>91.428571428571445</v>
      </c>
      <c r="P38" s="15">
        <f t="shared" si="1"/>
        <v>148.28571428571431</v>
      </c>
      <c r="R38" s="28" t="s">
        <v>86</v>
      </c>
      <c r="S38" s="58">
        <f t="shared" ref="S38:AF38" si="30">SUM(S13:S18)</f>
        <v>1341.1428571428573</v>
      </c>
      <c r="T38" s="58">
        <f t="shared" si="30"/>
        <v>346.85714285714289</v>
      </c>
      <c r="U38" s="58">
        <f t="shared" si="30"/>
        <v>166.85714285714286</v>
      </c>
      <c r="V38" s="58">
        <f t="shared" si="30"/>
        <v>58.571428571428569</v>
      </c>
      <c r="W38" s="58">
        <f t="shared" si="30"/>
        <v>10.428571428571427</v>
      </c>
      <c r="X38" s="58">
        <f t="shared" si="30"/>
        <v>3.7142857142857144</v>
      </c>
      <c r="Y38" s="58">
        <f t="shared" si="30"/>
        <v>159.42857142857142</v>
      </c>
      <c r="Z38" s="58">
        <f t="shared" si="30"/>
        <v>51.285714285714285</v>
      </c>
      <c r="AA38" s="58">
        <f t="shared" si="30"/>
        <v>8.7142857142857117</v>
      </c>
      <c r="AB38" s="58">
        <f t="shared" si="30"/>
        <v>2</v>
      </c>
      <c r="AC38" s="58">
        <f t="shared" si="30"/>
        <v>1387.4285714285716</v>
      </c>
      <c r="AD38" s="58">
        <f t="shared" si="30"/>
        <v>0.14285714285714285</v>
      </c>
      <c r="AE38" s="59">
        <f t="shared" si="30"/>
        <v>2149.1428571428569</v>
      </c>
      <c r="AF38" s="59">
        <f t="shared" si="30"/>
        <v>3536.5714285714289</v>
      </c>
    </row>
    <row r="39" spans="2:32" ht="23.1" customHeight="1" x14ac:dyDescent="0.25">
      <c r="B39" s="24" t="s">
        <v>66</v>
      </c>
      <c r="C39" s="49">
        <f>'Avg Week Bweya-Kajansi'!C39+'Avg Week Kajansi-Bweya'!C39</f>
        <v>57</v>
      </c>
      <c r="D39" s="49">
        <f>'Avg Week Bweya-Kajansi'!D39+'Avg Week Kajansi-Bweya'!D39</f>
        <v>11.714285714285715</v>
      </c>
      <c r="E39" s="49">
        <f>'Avg Week Bweya-Kajansi'!E39+'Avg Week Kajansi-Bweya'!E39</f>
        <v>6.1428571428571423</v>
      </c>
      <c r="F39" s="49">
        <f>'Avg Week Bweya-Kajansi'!F39+'Avg Week Kajansi-Bweya'!F39</f>
        <v>2.2857142857142856</v>
      </c>
      <c r="G39" s="49">
        <f>'Avg Week Bweya-Kajansi'!G39+'Avg Week Kajansi-Bweya'!G39</f>
        <v>0.2857142857142857</v>
      </c>
      <c r="H39" s="49">
        <f>'Avg Week Bweya-Kajansi'!H39+'Avg Week Kajansi-Bweya'!H39</f>
        <v>0.14285714285714285</v>
      </c>
      <c r="I39" s="49">
        <f>'Avg Week Bweya-Kajansi'!I39+'Avg Week Kajansi-Bweya'!I39</f>
        <v>5.7142857142857135</v>
      </c>
      <c r="J39" s="49">
        <f>'Avg Week Bweya-Kajansi'!J39+'Avg Week Kajansi-Bweya'!J39</f>
        <v>2.1428571428571428</v>
      </c>
      <c r="K39" s="49">
        <f>'Avg Week Bweya-Kajansi'!K39+'Avg Week Kajansi-Bweya'!K39</f>
        <v>0.14285714285714285</v>
      </c>
      <c r="L39" s="49">
        <f>'Avg Week Bweya-Kajansi'!L39+'Avg Week Kajansi-Bweya'!L39</f>
        <v>0.14285714285714285</v>
      </c>
      <c r="M39" s="49">
        <f>'Avg Week Bweya-Kajansi'!M39+'Avg Week Kajansi-Bweya'!M39</f>
        <v>59.428571428571431</v>
      </c>
      <c r="N39" s="49">
        <f>'Avg Week Bweya-Kajansi'!N39+'Avg Week Kajansi-Bweya'!N39</f>
        <v>0</v>
      </c>
      <c r="O39" s="15">
        <f t="shared" si="0"/>
        <v>85.714285714285708</v>
      </c>
      <c r="P39" s="15">
        <f t="shared" si="1"/>
        <v>145.14285714285714</v>
      </c>
      <c r="R39" s="29" t="s">
        <v>87</v>
      </c>
      <c r="S39" s="58">
        <f t="shared" ref="S39:AF39" si="31">SUM(S19:S21)</f>
        <v>956.28571428571422</v>
      </c>
      <c r="T39" s="58">
        <f t="shared" si="31"/>
        <v>156</v>
      </c>
      <c r="U39" s="58">
        <f t="shared" si="31"/>
        <v>103.57142857142858</v>
      </c>
      <c r="V39" s="58">
        <f t="shared" si="31"/>
        <v>40.428571428571431</v>
      </c>
      <c r="W39" s="58">
        <f t="shared" si="31"/>
        <v>9.7142857142857153</v>
      </c>
      <c r="X39" s="58">
        <f t="shared" si="31"/>
        <v>3.4285714285714288</v>
      </c>
      <c r="Y39" s="58">
        <f t="shared" si="31"/>
        <v>77.428571428571431</v>
      </c>
      <c r="Z39" s="58">
        <f t="shared" si="31"/>
        <v>30.142857142857139</v>
      </c>
      <c r="AA39" s="58">
        <f t="shared" si="31"/>
        <v>6.1428571428571423</v>
      </c>
      <c r="AB39" s="58">
        <f t="shared" si="31"/>
        <v>1</v>
      </c>
      <c r="AC39" s="58">
        <f t="shared" si="31"/>
        <v>816.30952380952374</v>
      </c>
      <c r="AD39" s="58">
        <f t="shared" si="31"/>
        <v>0</v>
      </c>
      <c r="AE39" s="59">
        <f t="shared" si="31"/>
        <v>1384.1428571428571</v>
      </c>
      <c r="AF39" s="59">
        <f t="shared" si="31"/>
        <v>2200.4523809523807</v>
      </c>
    </row>
    <row r="40" spans="2:32" ht="23.1" customHeight="1" x14ac:dyDescent="0.25">
      <c r="B40" s="24" t="s">
        <v>67</v>
      </c>
      <c r="C40" s="49">
        <f>'Avg Week Bweya-Kajansi'!C40+'Avg Week Kajansi-Bweya'!C40</f>
        <v>58.142857142857139</v>
      </c>
      <c r="D40" s="49">
        <f>'Avg Week Bweya-Kajansi'!D40+'Avg Week Kajansi-Bweya'!D40</f>
        <v>70.714285714285708</v>
      </c>
      <c r="E40" s="49">
        <f>'Avg Week Bweya-Kajansi'!E40+'Avg Week Kajansi-Bweya'!E40</f>
        <v>7.8571428571428577</v>
      </c>
      <c r="F40" s="49">
        <f>'Avg Week Bweya-Kajansi'!F40+'Avg Week Kajansi-Bweya'!F40</f>
        <v>2.1428571428571428</v>
      </c>
      <c r="G40" s="49">
        <f>'Avg Week Bweya-Kajansi'!G40+'Avg Week Kajansi-Bweya'!G40</f>
        <v>1.1428571428571428</v>
      </c>
      <c r="H40" s="49">
        <f>'Avg Week Bweya-Kajansi'!H40+'Avg Week Kajansi-Bweya'!H40</f>
        <v>0</v>
      </c>
      <c r="I40" s="49">
        <f>'Avg Week Bweya-Kajansi'!I40+'Avg Week Kajansi-Bweya'!I40</f>
        <v>7.1428571428571432</v>
      </c>
      <c r="J40" s="49">
        <f>'Avg Week Bweya-Kajansi'!J40+'Avg Week Kajansi-Bweya'!J40</f>
        <v>2.1428571428571428</v>
      </c>
      <c r="K40" s="49">
        <f>'Avg Week Bweya-Kajansi'!K40+'Avg Week Kajansi-Bweya'!K40</f>
        <v>0.42857142857142855</v>
      </c>
      <c r="L40" s="49">
        <f>'Avg Week Bweya-Kajansi'!L40+'Avg Week Kajansi-Bweya'!L40</f>
        <v>0</v>
      </c>
      <c r="M40" s="49">
        <f>'Avg Week Bweya-Kajansi'!M40+'Avg Week Kajansi-Bweya'!M40</f>
        <v>57.571428571428569</v>
      </c>
      <c r="N40" s="49">
        <f>'Avg Week Bweya-Kajansi'!N40+'Avg Week Kajansi-Bweya'!N40</f>
        <v>0</v>
      </c>
      <c r="O40" s="15">
        <f t="shared" si="0"/>
        <v>149.71428571428567</v>
      </c>
      <c r="P40" s="15">
        <f t="shared" si="1"/>
        <v>207.28571428571422</v>
      </c>
      <c r="R40" s="5" t="s">
        <v>17</v>
      </c>
      <c r="S40" s="58">
        <f t="shared" ref="S40:AF40" si="32">SUM(S10:S21)</f>
        <v>2915.5714285714284</v>
      </c>
      <c r="T40" s="58">
        <f t="shared" si="32"/>
        <v>629.71428571428578</v>
      </c>
      <c r="U40" s="58">
        <f t="shared" si="32"/>
        <v>347.14285714285711</v>
      </c>
      <c r="V40" s="58">
        <f t="shared" si="32"/>
        <v>134.42857142857142</v>
      </c>
      <c r="W40" s="58">
        <f t="shared" si="32"/>
        <v>24.428571428571431</v>
      </c>
      <c r="X40" s="58">
        <f t="shared" si="32"/>
        <v>9.2857142857142865</v>
      </c>
      <c r="Y40" s="58">
        <f t="shared" si="32"/>
        <v>297.28571428571428</v>
      </c>
      <c r="Z40" s="58">
        <f t="shared" si="32"/>
        <v>96.857142857142861</v>
      </c>
      <c r="AA40" s="58">
        <f t="shared" si="32"/>
        <v>18.142857142857146</v>
      </c>
      <c r="AB40" s="58">
        <f t="shared" si="32"/>
        <v>3.2857142857142851</v>
      </c>
      <c r="AC40" s="58">
        <f t="shared" si="32"/>
        <v>3027.1666666666665</v>
      </c>
      <c r="AD40" s="58">
        <f t="shared" si="32"/>
        <v>0.14285714285714285</v>
      </c>
      <c r="AE40" s="59">
        <f t="shared" si="32"/>
        <v>4476.2857142857138</v>
      </c>
      <c r="AF40" s="59">
        <f t="shared" si="32"/>
        <v>7503.4523809523816</v>
      </c>
    </row>
    <row r="41" spans="2:32" ht="23.1" customHeight="1" x14ac:dyDescent="0.25">
      <c r="B41" s="23" t="s">
        <v>68</v>
      </c>
      <c r="C41" s="49">
        <f>'Avg Week Bweya-Kajansi'!C41+'Avg Week Kajansi-Bweya'!C41</f>
        <v>64.857142857142861</v>
      </c>
      <c r="D41" s="49">
        <f>'Avg Week Bweya-Kajansi'!D41+'Avg Week Kajansi-Bweya'!D41</f>
        <v>13.571428571428571</v>
      </c>
      <c r="E41" s="49">
        <f>'Avg Week Bweya-Kajansi'!E41+'Avg Week Kajansi-Bweya'!E41</f>
        <v>7.2857142857142856</v>
      </c>
      <c r="F41" s="49">
        <f>'Avg Week Bweya-Kajansi'!F41+'Avg Week Kajansi-Bweya'!F41</f>
        <v>2.7142857142857144</v>
      </c>
      <c r="G41" s="49">
        <f>'Avg Week Bweya-Kajansi'!G41+'Avg Week Kajansi-Bweya'!G41</f>
        <v>0.71428571428571419</v>
      </c>
      <c r="H41" s="49">
        <f>'Avg Week Bweya-Kajansi'!H41+'Avg Week Kajansi-Bweya'!H41</f>
        <v>0.14285714285714285</v>
      </c>
      <c r="I41" s="49">
        <f>'Avg Week Bweya-Kajansi'!I41+'Avg Week Kajansi-Bweya'!I41</f>
        <v>9.571428571428573</v>
      </c>
      <c r="J41" s="49">
        <f>'Avg Week Bweya-Kajansi'!J41+'Avg Week Kajansi-Bweya'!J41</f>
        <v>2.1428571428571428</v>
      </c>
      <c r="K41" s="49">
        <f>'Avg Week Bweya-Kajansi'!K41+'Avg Week Kajansi-Bweya'!K41</f>
        <v>0.5714285714285714</v>
      </c>
      <c r="L41" s="49">
        <f>'Avg Week Bweya-Kajansi'!L41+'Avg Week Kajansi-Bweya'!L41</f>
        <v>0.14285714285714285</v>
      </c>
      <c r="M41" s="49">
        <f>'Avg Week Bweya-Kajansi'!M41+'Avg Week Kajansi-Bweya'!M41</f>
        <v>58.428571428571431</v>
      </c>
      <c r="N41" s="49">
        <f>'Avg Week Bweya-Kajansi'!N41+'Avg Week Kajansi-Bweya'!N41</f>
        <v>0</v>
      </c>
      <c r="O41" s="15">
        <f t="shared" si="0"/>
        <v>101.71428571428569</v>
      </c>
      <c r="P41" s="15">
        <f t="shared" si="1"/>
        <v>160.14285714285711</v>
      </c>
      <c r="R41" s="5" t="s">
        <v>185</v>
      </c>
      <c r="S41" s="58">
        <f>SUM(S10:S33)</f>
        <v>4353.5714285714284</v>
      </c>
      <c r="T41" s="58">
        <f t="shared" ref="T41:AD41" si="33">SUM(T10:T33)</f>
        <v>1034.2142857142858</v>
      </c>
      <c r="U41" s="58">
        <f t="shared" si="33"/>
        <v>505.14285714285711</v>
      </c>
      <c r="V41" s="58">
        <f t="shared" si="33"/>
        <v>221.92857142857142</v>
      </c>
      <c r="W41" s="58">
        <f t="shared" si="33"/>
        <v>41.428571428571431</v>
      </c>
      <c r="X41" s="58">
        <f t="shared" si="33"/>
        <v>16.785714285714285</v>
      </c>
      <c r="Y41" s="58">
        <f t="shared" si="33"/>
        <v>388.78571428571428</v>
      </c>
      <c r="Z41" s="58">
        <f t="shared" si="33"/>
        <v>118.85714285714286</v>
      </c>
      <c r="AA41" s="58">
        <f t="shared" si="33"/>
        <v>27.142857142857146</v>
      </c>
      <c r="AB41" s="58">
        <f t="shared" si="33"/>
        <v>3.7857142857142851</v>
      </c>
      <c r="AC41" s="58">
        <f t="shared" si="33"/>
        <v>4001.6666666666665</v>
      </c>
      <c r="AD41" s="58">
        <f t="shared" si="33"/>
        <v>0.14285714285714285</v>
      </c>
      <c r="AE41" s="59">
        <f>SUM(AE10:AE33)</f>
        <v>6711.7857142857138</v>
      </c>
      <c r="AF41" s="59">
        <f>SUM(AF10:AF33)</f>
        <v>10713.452380952382</v>
      </c>
    </row>
    <row r="42" spans="2:32" ht="23.1" customHeight="1" x14ac:dyDescent="0.25">
      <c r="B42" s="24" t="s">
        <v>69</v>
      </c>
      <c r="C42" s="49">
        <f>'Avg Week Bweya-Kajansi'!C42+'Avg Week Kajansi-Bweya'!C42</f>
        <v>65.714285714285722</v>
      </c>
      <c r="D42" s="49">
        <f>'Avg Week Bweya-Kajansi'!D42+'Avg Week Kajansi-Bweya'!D42</f>
        <v>12</v>
      </c>
      <c r="E42" s="49">
        <f>'Avg Week Bweya-Kajansi'!E42+'Avg Week Kajansi-Bweya'!E42</f>
        <v>6</v>
      </c>
      <c r="F42" s="49">
        <f>'Avg Week Bweya-Kajansi'!F42+'Avg Week Kajansi-Bweya'!F42</f>
        <v>3</v>
      </c>
      <c r="G42" s="49">
        <f>'Avg Week Bweya-Kajansi'!G42+'Avg Week Kajansi-Bweya'!G42</f>
        <v>0</v>
      </c>
      <c r="H42" s="49">
        <f>'Avg Week Bweya-Kajansi'!H42+'Avg Week Kajansi-Bweya'!H42</f>
        <v>0.14285714285714285</v>
      </c>
      <c r="I42" s="49">
        <f>'Avg Week Bweya-Kajansi'!I42+'Avg Week Kajansi-Bweya'!I42</f>
        <v>4.8571428571428577</v>
      </c>
      <c r="J42" s="49">
        <f>'Avg Week Bweya-Kajansi'!J42+'Avg Week Kajansi-Bweya'!J42</f>
        <v>2.5714285714285716</v>
      </c>
      <c r="K42" s="49">
        <f>'Avg Week Bweya-Kajansi'!K42+'Avg Week Kajansi-Bweya'!K42</f>
        <v>0.2857142857142857</v>
      </c>
      <c r="L42" s="49">
        <f>'Avg Week Bweya-Kajansi'!L42+'Avg Week Kajansi-Bweya'!L42</f>
        <v>0.14285714285714285</v>
      </c>
      <c r="M42" s="49">
        <f>'Avg Week Bweya-Kajansi'!M42+'Avg Week Kajansi-Bweya'!M42</f>
        <v>57.714285714285715</v>
      </c>
      <c r="N42" s="49">
        <f>'Avg Week Bweya-Kajansi'!N42+'Avg Week Kajansi-Bweya'!N42</f>
        <v>0</v>
      </c>
      <c r="O42" s="15">
        <f t="shared" si="0"/>
        <v>94.714285714285722</v>
      </c>
      <c r="P42" s="15">
        <f t="shared" si="1"/>
        <v>152.42857142857144</v>
      </c>
      <c r="R42" s="5" t="s">
        <v>160</v>
      </c>
      <c r="S42" s="48">
        <f>S41/S40</f>
        <v>1.4932137782350925</v>
      </c>
      <c r="T42" s="48">
        <f t="shared" ref="T42:AF42" si="34">T41/T40</f>
        <v>1.6423548094373865</v>
      </c>
      <c r="U42" s="48">
        <f t="shared" si="34"/>
        <v>1.4551440329218108</v>
      </c>
      <c r="V42" s="48">
        <f t="shared" si="34"/>
        <v>1.650903294367694</v>
      </c>
      <c r="W42" s="48">
        <f t="shared" si="34"/>
        <v>1.695906432748538</v>
      </c>
      <c r="X42" s="48">
        <f t="shared" si="34"/>
        <v>1.8076923076923075</v>
      </c>
      <c r="Y42" s="48">
        <f t="shared" si="34"/>
        <v>1.3077847188851515</v>
      </c>
      <c r="Z42" s="48">
        <f t="shared" si="34"/>
        <v>1.2271386430678466</v>
      </c>
      <c r="AA42" s="48">
        <f t="shared" si="34"/>
        <v>1.4960629921259843</v>
      </c>
      <c r="AB42" s="48">
        <f t="shared" si="34"/>
        <v>1.1521739130434783</v>
      </c>
      <c r="AC42" s="48">
        <f t="shared" si="34"/>
        <v>1.321918185321808</v>
      </c>
      <c r="AD42" s="48">
        <f t="shared" si="34"/>
        <v>1</v>
      </c>
      <c r="AE42" s="60">
        <f t="shared" si="34"/>
        <v>1.4994095870300632</v>
      </c>
      <c r="AF42" s="60">
        <f t="shared" si="34"/>
        <v>1.4278030747751034</v>
      </c>
    </row>
    <row r="43" spans="2:32" ht="23.1" customHeight="1" x14ac:dyDescent="0.25">
      <c r="B43" s="23" t="s">
        <v>70</v>
      </c>
      <c r="C43" s="49">
        <f>'Avg Week Bweya-Kajansi'!C43+'Avg Week Kajansi-Bweya'!C43</f>
        <v>70.714285714285722</v>
      </c>
      <c r="D43" s="49">
        <f>'Avg Week Bweya-Kajansi'!D43+'Avg Week Kajansi-Bweya'!D43</f>
        <v>9.1428571428571423</v>
      </c>
      <c r="E43" s="49">
        <f>'Avg Week Bweya-Kajansi'!E43+'Avg Week Kajansi-Bweya'!E43</f>
        <v>8.2857142857142865</v>
      </c>
      <c r="F43" s="49">
        <f>'Avg Week Bweya-Kajansi'!F43+'Avg Week Kajansi-Bweya'!F43</f>
        <v>2.2857142857142856</v>
      </c>
      <c r="G43" s="49">
        <f>'Avg Week Bweya-Kajansi'!G43+'Avg Week Kajansi-Bweya'!G43</f>
        <v>0.14285714285714285</v>
      </c>
      <c r="H43" s="49">
        <f>'Avg Week Bweya-Kajansi'!H43+'Avg Week Kajansi-Bweya'!H43</f>
        <v>0</v>
      </c>
      <c r="I43" s="49">
        <f>'Avg Week Bweya-Kajansi'!I43+'Avg Week Kajansi-Bweya'!I43</f>
        <v>6.4285714285714288</v>
      </c>
      <c r="J43" s="49">
        <f>'Avg Week Bweya-Kajansi'!J43+'Avg Week Kajansi-Bweya'!J43</f>
        <v>3.2857142857142856</v>
      </c>
      <c r="K43" s="49">
        <f>'Avg Week Bweya-Kajansi'!K43+'Avg Week Kajansi-Bweya'!K43</f>
        <v>0.2857142857142857</v>
      </c>
      <c r="L43" s="49">
        <f>'Avg Week Bweya-Kajansi'!L43+'Avg Week Kajansi-Bweya'!L43</f>
        <v>0.14285714285714285</v>
      </c>
      <c r="M43" s="49">
        <f>'Avg Week Bweya-Kajansi'!M43+'Avg Week Kajansi-Bweya'!M43</f>
        <v>63</v>
      </c>
      <c r="N43" s="49">
        <f>'Avg Week Bweya-Kajansi'!N43+'Avg Week Kajansi-Bweya'!N43</f>
        <v>0</v>
      </c>
      <c r="O43" s="15">
        <f t="shared" si="0"/>
        <v>100.71428571428574</v>
      </c>
      <c r="P43" s="15">
        <f t="shared" si="1"/>
        <v>163.71428571428572</v>
      </c>
    </row>
    <row r="44" spans="2:32" ht="23.1" customHeight="1" x14ac:dyDescent="0.25">
      <c r="B44" s="25" t="s">
        <v>71</v>
      </c>
      <c r="C44" s="49">
        <f>'Avg Week Bweya-Kajansi'!C44+'Avg Week Kajansi-Bweya'!C44</f>
        <v>58.857142857142861</v>
      </c>
      <c r="D44" s="49">
        <f>'Avg Week Bweya-Kajansi'!D44+'Avg Week Kajansi-Bweya'!D44</f>
        <v>10.571428571428571</v>
      </c>
      <c r="E44" s="49">
        <f>'Avg Week Bweya-Kajansi'!E44+'Avg Week Kajansi-Bweya'!E44</f>
        <v>5.8571428571428568</v>
      </c>
      <c r="F44" s="49">
        <f>'Avg Week Bweya-Kajansi'!F44+'Avg Week Kajansi-Bweya'!F44</f>
        <v>2.5714285714285716</v>
      </c>
      <c r="G44" s="49">
        <f>'Avg Week Bweya-Kajansi'!G44+'Avg Week Kajansi-Bweya'!G44</f>
        <v>0.71428571428571419</v>
      </c>
      <c r="H44" s="49">
        <f>'Avg Week Bweya-Kajansi'!H44+'Avg Week Kajansi-Bweya'!H44</f>
        <v>0</v>
      </c>
      <c r="I44" s="49">
        <f>'Avg Week Bweya-Kajansi'!I44+'Avg Week Kajansi-Bweya'!I44</f>
        <v>5.7142857142857144</v>
      </c>
      <c r="J44" s="49">
        <f>'Avg Week Bweya-Kajansi'!J44+'Avg Week Kajansi-Bweya'!J44</f>
        <v>2.4285714285714284</v>
      </c>
      <c r="K44" s="49">
        <f>'Avg Week Bweya-Kajansi'!K44+'Avg Week Kajansi-Bweya'!K44</f>
        <v>0.2857142857142857</v>
      </c>
      <c r="L44" s="49">
        <f>'Avg Week Bweya-Kajansi'!L44+'Avg Week Kajansi-Bweya'!L44</f>
        <v>0</v>
      </c>
      <c r="M44" s="49">
        <f>'Avg Week Bweya-Kajansi'!M44+'Avg Week Kajansi-Bweya'!M44</f>
        <v>56</v>
      </c>
      <c r="N44" s="49">
        <f>'Avg Week Bweya-Kajansi'!N44+'Avg Week Kajansi-Bweya'!N44</f>
        <v>0</v>
      </c>
      <c r="O44" s="15">
        <f t="shared" si="0"/>
        <v>87</v>
      </c>
      <c r="P44" s="15">
        <f t="shared" si="1"/>
        <v>143</v>
      </c>
    </row>
    <row r="45" spans="2:32" ht="23.1" customHeight="1" x14ac:dyDescent="0.25">
      <c r="B45" s="23" t="s">
        <v>72</v>
      </c>
      <c r="C45" s="49">
        <f>'Avg Week Bweya-Kajansi'!C45+'Avg Week Kajansi-Bweya'!C45</f>
        <v>77</v>
      </c>
      <c r="D45" s="49">
        <f>'Avg Week Bweya-Kajansi'!D45+'Avg Week Kajansi-Bweya'!D45</f>
        <v>12.428571428571427</v>
      </c>
      <c r="E45" s="49">
        <f>'Avg Week Bweya-Kajansi'!E45+'Avg Week Kajansi-Bweya'!E45</f>
        <v>16.142857142857142</v>
      </c>
      <c r="F45" s="49">
        <f>'Avg Week Bweya-Kajansi'!F45+'Avg Week Kajansi-Bweya'!F45</f>
        <v>2.2857142857142856</v>
      </c>
      <c r="G45" s="49">
        <f>'Avg Week Bweya-Kajansi'!G45+'Avg Week Kajansi-Bweya'!G45</f>
        <v>0.42857142857142855</v>
      </c>
      <c r="H45" s="49">
        <f>'Avg Week Bweya-Kajansi'!H45+'Avg Week Kajansi-Bweya'!H45</f>
        <v>0.14285714285714285</v>
      </c>
      <c r="I45" s="49">
        <f>'Avg Week Bweya-Kajansi'!I45+'Avg Week Kajansi-Bweya'!I45</f>
        <v>7.1428571428571432</v>
      </c>
      <c r="J45" s="49">
        <f>'Avg Week Bweya-Kajansi'!J45+'Avg Week Kajansi-Bweya'!J45</f>
        <v>2.714285714285714</v>
      </c>
      <c r="K45" s="49">
        <f>'Avg Week Bweya-Kajansi'!K45+'Avg Week Kajansi-Bweya'!K45</f>
        <v>0.14285714285714285</v>
      </c>
      <c r="L45" s="49">
        <f>'Avg Week Bweya-Kajansi'!L45+'Avg Week Kajansi-Bweya'!L45</f>
        <v>0</v>
      </c>
      <c r="M45" s="49">
        <f>'Avg Week Bweya-Kajansi'!M45+'Avg Week Kajansi-Bweya'!M45</f>
        <v>56.857142857142861</v>
      </c>
      <c r="N45" s="49">
        <f>'Avg Week Bweya-Kajansi'!N45+'Avg Week Kajansi-Bweya'!N45</f>
        <v>0</v>
      </c>
      <c r="O45" s="15">
        <f t="shared" si="0"/>
        <v>118.42857142857142</v>
      </c>
      <c r="P45" s="15">
        <f t="shared" si="1"/>
        <v>175.28571428571428</v>
      </c>
    </row>
    <row r="46" spans="2:32" ht="23.1" customHeight="1" x14ac:dyDescent="0.25">
      <c r="B46" s="24" t="s">
        <v>73</v>
      </c>
      <c r="C46" s="49">
        <f>'Avg Week Bweya-Kajansi'!C46+'Avg Week Kajansi-Bweya'!C46</f>
        <v>73.857142857142861</v>
      </c>
      <c r="D46" s="49">
        <f>'Avg Week Bweya-Kajansi'!D46+'Avg Week Kajansi-Bweya'!D46</f>
        <v>10.857142857142858</v>
      </c>
      <c r="E46" s="49">
        <f>'Avg Week Bweya-Kajansi'!E46+'Avg Week Kajansi-Bweya'!E46</f>
        <v>9</v>
      </c>
      <c r="F46" s="49">
        <f>'Avg Week Bweya-Kajansi'!F46+'Avg Week Kajansi-Bweya'!F46</f>
        <v>2.2857142857142856</v>
      </c>
      <c r="G46" s="49">
        <f>'Avg Week Bweya-Kajansi'!G46+'Avg Week Kajansi-Bweya'!G46</f>
        <v>0.5714285714285714</v>
      </c>
      <c r="H46" s="49">
        <f>'Avg Week Bweya-Kajansi'!H46+'Avg Week Kajansi-Bweya'!H46</f>
        <v>0.14285714285714285</v>
      </c>
      <c r="I46" s="49">
        <f>'Avg Week Bweya-Kajansi'!I46+'Avg Week Kajansi-Bweya'!I46</f>
        <v>6.7142857142857144</v>
      </c>
      <c r="J46" s="49">
        <f>'Avg Week Bweya-Kajansi'!J46+'Avg Week Kajansi-Bweya'!J46</f>
        <v>2.5714285714285712</v>
      </c>
      <c r="K46" s="49">
        <f>'Avg Week Bweya-Kajansi'!K46+'Avg Week Kajansi-Bweya'!K46</f>
        <v>0.14285714285714285</v>
      </c>
      <c r="L46" s="49">
        <f>'Avg Week Bweya-Kajansi'!L46+'Avg Week Kajansi-Bweya'!L46</f>
        <v>0</v>
      </c>
      <c r="M46" s="49">
        <f>'Avg Week Bweya-Kajansi'!M46+'Avg Week Kajansi-Bweya'!M46</f>
        <v>62.142857142857139</v>
      </c>
      <c r="N46" s="49">
        <f>'Avg Week Bweya-Kajansi'!N46+'Avg Week Kajansi-Bweya'!N46</f>
        <v>0</v>
      </c>
      <c r="O46" s="15">
        <f t="shared" si="0"/>
        <v>106.14285714285714</v>
      </c>
      <c r="P46" s="15">
        <f t="shared" si="1"/>
        <v>168.28571428571428</v>
      </c>
      <c r="R46" s="8"/>
      <c r="T46"/>
    </row>
    <row r="47" spans="2:32" ht="23.1" customHeight="1" x14ac:dyDescent="0.25">
      <c r="B47" s="24" t="s">
        <v>74</v>
      </c>
      <c r="C47" s="49">
        <f>'Avg Week Bweya-Kajansi'!C47+'Avg Week Kajansi-Bweya'!C47</f>
        <v>72</v>
      </c>
      <c r="D47" s="49">
        <f>'Avg Week Bweya-Kajansi'!D47+'Avg Week Kajansi-Bweya'!D47</f>
        <v>11.285714285714285</v>
      </c>
      <c r="E47" s="49">
        <f>'Avg Week Bweya-Kajansi'!E47+'Avg Week Kajansi-Bweya'!E47</f>
        <v>8.1428571428571423</v>
      </c>
      <c r="F47" s="49">
        <f>'Avg Week Bweya-Kajansi'!F47+'Avg Week Kajansi-Bweya'!F47</f>
        <v>3.4285714285714284</v>
      </c>
      <c r="G47" s="49">
        <f>'Avg Week Bweya-Kajansi'!G47+'Avg Week Kajansi-Bweya'!G47</f>
        <v>0.5714285714285714</v>
      </c>
      <c r="H47" s="49">
        <f>'Avg Week Bweya-Kajansi'!H47+'Avg Week Kajansi-Bweya'!H47</f>
        <v>0</v>
      </c>
      <c r="I47" s="49">
        <f>'Avg Week Bweya-Kajansi'!I47+'Avg Week Kajansi-Bweya'!I47</f>
        <v>6.1428571428571432</v>
      </c>
      <c r="J47" s="49">
        <f>'Avg Week Bweya-Kajansi'!J47+'Avg Week Kajansi-Bweya'!J47</f>
        <v>2.2857142857142856</v>
      </c>
      <c r="K47" s="49">
        <f>'Avg Week Bweya-Kajansi'!K47+'Avg Week Kajansi-Bweya'!K47</f>
        <v>1</v>
      </c>
      <c r="L47" s="49">
        <f>'Avg Week Bweya-Kajansi'!L47+'Avg Week Kajansi-Bweya'!L47</f>
        <v>0.14285714285714285</v>
      </c>
      <c r="M47" s="49">
        <f>'Avg Week Bweya-Kajansi'!M47+'Avg Week Kajansi-Bweya'!M47</f>
        <v>58.857142857142854</v>
      </c>
      <c r="N47" s="49">
        <f>'Avg Week Bweya-Kajansi'!N47+'Avg Week Kajansi-Bweya'!N47</f>
        <v>0</v>
      </c>
      <c r="O47" s="15">
        <f t="shared" si="0"/>
        <v>104.99999999999999</v>
      </c>
      <c r="P47" s="15">
        <f t="shared" si="1"/>
        <v>163.85714285714283</v>
      </c>
      <c r="R47" s="8"/>
      <c r="T47"/>
    </row>
    <row r="48" spans="2:32" ht="23.1" customHeight="1" x14ac:dyDescent="0.25">
      <c r="B48" s="24" t="s">
        <v>75</v>
      </c>
      <c r="C48" s="49">
        <f>'Avg Week Bweya-Kajansi'!C48+'Avg Week Kajansi-Bweya'!C48</f>
        <v>78.142857142857139</v>
      </c>
      <c r="D48" s="49">
        <f>'Avg Week Bweya-Kajansi'!D48+'Avg Week Kajansi-Bweya'!D48</f>
        <v>14.142857142857142</v>
      </c>
      <c r="E48" s="49">
        <f>'Avg Week Bweya-Kajansi'!E48+'Avg Week Kajansi-Bweya'!E48</f>
        <v>8.1428571428571423</v>
      </c>
      <c r="F48" s="49">
        <f>'Avg Week Bweya-Kajansi'!F48+'Avg Week Kajansi-Bweya'!F48</f>
        <v>2.5714285714285716</v>
      </c>
      <c r="G48" s="49">
        <f>'Avg Week Bweya-Kajansi'!G48+'Avg Week Kajansi-Bweya'!G48</f>
        <v>0.5714285714285714</v>
      </c>
      <c r="H48" s="49">
        <f>'Avg Week Bweya-Kajansi'!H48+'Avg Week Kajansi-Bweya'!H48</f>
        <v>0.14285714285714285</v>
      </c>
      <c r="I48" s="49">
        <f>'Avg Week Bweya-Kajansi'!I48+'Avg Week Kajansi-Bweya'!I48</f>
        <v>6.5714285714285712</v>
      </c>
      <c r="J48" s="49">
        <f>'Avg Week Bweya-Kajansi'!J48+'Avg Week Kajansi-Bweya'!J48</f>
        <v>3.5714285714285712</v>
      </c>
      <c r="K48" s="49">
        <f>'Avg Week Bweya-Kajansi'!K48+'Avg Week Kajansi-Bweya'!K48</f>
        <v>0.42857142857142855</v>
      </c>
      <c r="L48" s="49">
        <f>'Avg Week Bweya-Kajansi'!L48+'Avg Week Kajansi-Bweya'!L48</f>
        <v>0.14285714285714285</v>
      </c>
      <c r="M48" s="49">
        <f>'Avg Week Bweya-Kajansi'!M48+'Avg Week Kajansi-Bweya'!M48</f>
        <v>64</v>
      </c>
      <c r="N48" s="49">
        <f>'Avg Week Bweya-Kajansi'!N48+'Avg Week Kajansi-Bweya'!N48</f>
        <v>0</v>
      </c>
      <c r="O48" s="15">
        <f t="shared" si="0"/>
        <v>114.4285714285714</v>
      </c>
      <c r="P48" s="15">
        <f t="shared" si="1"/>
        <v>178.42857142857139</v>
      </c>
      <c r="R48" s="8"/>
      <c r="T48"/>
    </row>
    <row r="49" spans="2:20" ht="23.1" customHeight="1" x14ac:dyDescent="0.25">
      <c r="B49" s="23" t="s">
        <v>76</v>
      </c>
      <c r="C49" s="49">
        <f>'Avg Week Bweya-Kajansi'!C49+'Avg Week Kajansi-Bweya'!C49</f>
        <v>77</v>
      </c>
      <c r="D49" s="49">
        <f>'Avg Week Bweya-Kajansi'!D49+'Avg Week Kajansi-Bweya'!D49</f>
        <v>14</v>
      </c>
      <c r="E49" s="49">
        <f>'Avg Week Bweya-Kajansi'!E49+'Avg Week Kajansi-Bweya'!E49</f>
        <v>7.4285714285714288</v>
      </c>
      <c r="F49" s="49">
        <f>'Avg Week Bweya-Kajansi'!F49+'Avg Week Kajansi-Bweya'!F49</f>
        <v>4.2857142857142856</v>
      </c>
      <c r="G49" s="49">
        <f>'Avg Week Bweya-Kajansi'!G49+'Avg Week Kajansi-Bweya'!G49</f>
        <v>0.2857142857142857</v>
      </c>
      <c r="H49" s="49">
        <f>'Avg Week Bweya-Kajansi'!H49+'Avg Week Kajansi-Bweya'!H49</f>
        <v>0.14285714285714285</v>
      </c>
      <c r="I49" s="49">
        <f>'Avg Week Bweya-Kajansi'!I49+'Avg Week Kajansi-Bweya'!I49</f>
        <v>9.7142857142857153</v>
      </c>
      <c r="J49" s="49">
        <f>'Avg Week Bweya-Kajansi'!J49+'Avg Week Kajansi-Bweya'!J49</f>
        <v>3.5714285714285712</v>
      </c>
      <c r="K49" s="49">
        <f>'Avg Week Bweya-Kajansi'!K49+'Avg Week Kajansi-Bweya'!K49</f>
        <v>1.1428571428571428</v>
      </c>
      <c r="L49" s="49">
        <f>'Avg Week Bweya-Kajansi'!L49+'Avg Week Kajansi-Bweya'!L49</f>
        <v>0.14285714285714285</v>
      </c>
      <c r="M49" s="49">
        <f>'Avg Week Bweya-Kajansi'!M49+'Avg Week Kajansi-Bweya'!M49</f>
        <v>61.714285714285708</v>
      </c>
      <c r="N49" s="49">
        <f>'Avg Week Bweya-Kajansi'!N49+'Avg Week Kajansi-Bweya'!N49</f>
        <v>0</v>
      </c>
      <c r="O49" s="15">
        <f t="shared" si="0"/>
        <v>117.71428571428571</v>
      </c>
      <c r="P49" s="15">
        <f t="shared" si="1"/>
        <v>179.42857142857142</v>
      </c>
      <c r="R49" s="8"/>
      <c r="T49"/>
    </row>
    <row r="50" spans="2:20" ht="23.1" customHeight="1" x14ac:dyDescent="0.25">
      <c r="B50" s="24" t="s">
        <v>77</v>
      </c>
      <c r="C50" s="49">
        <f>'Avg Week Bweya-Kajansi'!C50+'Avg Week Kajansi-Bweya'!C50</f>
        <v>79.428571428571431</v>
      </c>
      <c r="D50" s="49">
        <f>'Avg Week Bweya-Kajansi'!D50+'Avg Week Kajansi-Bweya'!D50</f>
        <v>15</v>
      </c>
      <c r="E50" s="49">
        <f>'Avg Week Bweya-Kajansi'!E50+'Avg Week Kajansi-Bweya'!E50</f>
        <v>8.4285714285714288</v>
      </c>
      <c r="F50" s="49">
        <f>'Avg Week Bweya-Kajansi'!F50+'Avg Week Kajansi-Bweya'!F50</f>
        <v>3.1428571428571428</v>
      </c>
      <c r="G50" s="49">
        <f>'Avg Week Bweya-Kajansi'!G50+'Avg Week Kajansi-Bweya'!G50</f>
        <v>0.8571428571428571</v>
      </c>
      <c r="H50" s="49">
        <f>'Avg Week Bweya-Kajansi'!H50+'Avg Week Kajansi-Bweya'!H50</f>
        <v>0.2857142857142857</v>
      </c>
      <c r="I50" s="49">
        <f>'Avg Week Bweya-Kajansi'!I50+'Avg Week Kajansi-Bweya'!I50</f>
        <v>5.2857142857142856</v>
      </c>
      <c r="J50" s="49">
        <f>'Avg Week Bweya-Kajansi'!J50+'Avg Week Kajansi-Bweya'!J50</f>
        <v>4</v>
      </c>
      <c r="K50" s="49">
        <f>'Avg Week Bweya-Kajansi'!K50+'Avg Week Kajansi-Bweya'!K50</f>
        <v>0.2857142857142857</v>
      </c>
      <c r="L50" s="49">
        <f>'Avg Week Bweya-Kajansi'!L50+'Avg Week Kajansi-Bweya'!L50</f>
        <v>0</v>
      </c>
      <c r="M50" s="49">
        <f>'Avg Week Bweya-Kajansi'!M50+'Avg Week Kajansi-Bweya'!M50</f>
        <v>64.857142857142861</v>
      </c>
      <c r="N50" s="49">
        <f>'Avg Week Bweya-Kajansi'!N50+'Avg Week Kajansi-Bweya'!N50</f>
        <v>0</v>
      </c>
      <c r="O50" s="15">
        <f t="shared" si="0"/>
        <v>116.71428571428574</v>
      </c>
      <c r="P50" s="15">
        <f t="shared" si="1"/>
        <v>181.57142857142861</v>
      </c>
      <c r="R50" s="8"/>
      <c r="T50"/>
    </row>
    <row r="51" spans="2:20" ht="23.1" customHeight="1" x14ac:dyDescent="0.25">
      <c r="B51" s="24" t="s">
        <v>78</v>
      </c>
      <c r="C51" s="49">
        <f>'Avg Week Bweya-Kajansi'!C51+'Avg Week Kajansi-Bweya'!C51</f>
        <v>84</v>
      </c>
      <c r="D51" s="49">
        <f>'Avg Week Bweya-Kajansi'!D51+'Avg Week Kajansi-Bweya'!D51</f>
        <v>14.142857142857142</v>
      </c>
      <c r="E51" s="49">
        <f>'Avg Week Bweya-Kajansi'!E51+'Avg Week Kajansi-Bweya'!E51</f>
        <v>7.4285714285714288</v>
      </c>
      <c r="F51" s="49">
        <f>'Avg Week Bweya-Kajansi'!F51+'Avg Week Kajansi-Bweya'!F51</f>
        <v>4.5714285714285712</v>
      </c>
      <c r="G51" s="49">
        <f>'Avg Week Bweya-Kajansi'!G51+'Avg Week Kajansi-Bweya'!G51</f>
        <v>1.7142857142857144</v>
      </c>
      <c r="H51" s="49">
        <f>'Avg Week Bweya-Kajansi'!H51+'Avg Week Kajansi-Bweya'!H51</f>
        <v>0.2857142857142857</v>
      </c>
      <c r="I51" s="49">
        <f>'Avg Week Bweya-Kajansi'!I51+'Avg Week Kajansi-Bweya'!I51</f>
        <v>7.8571428571428577</v>
      </c>
      <c r="J51" s="49">
        <f>'Avg Week Bweya-Kajansi'!J51+'Avg Week Kajansi-Bweya'!J51</f>
        <v>2.4285714285714284</v>
      </c>
      <c r="K51" s="49">
        <f>'Avg Week Bweya-Kajansi'!K51+'Avg Week Kajansi-Bweya'!K51</f>
        <v>0.42857142857142855</v>
      </c>
      <c r="L51" s="49">
        <f>'Avg Week Bweya-Kajansi'!L51+'Avg Week Kajansi-Bweya'!L51</f>
        <v>0.14285714285714285</v>
      </c>
      <c r="M51" s="49">
        <f>'Avg Week Bweya-Kajansi'!M51+'Avg Week Kajansi-Bweya'!M51</f>
        <v>69.571428571428569</v>
      </c>
      <c r="N51" s="49">
        <f>'Avg Week Bweya-Kajansi'!N51+'Avg Week Kajansi-Bweya'!N51</f>
        <v>0</v>
      </c>
      <c r="O51" s="15">
        <f t="shared" si="0"/>
        <v>123</v>
      </c>
      <c r="P51" s="15">
        <f t="shared" si="1"/>
        <v>192.57142857142856</v>
      </c>
      <c r="R51" s="8"/>
      <c r="T51"/>
    </row>
    <row r="52" spans="2:20" ht="23.1" customHeight="1" x14ac:dyDescent="0.25">
      <c r="B52" s="24" t="s">
        <v>79</v>
      </c>
      <c r="C52" s="49">
        <f>'Avg Week Bweya-Kajansi'!C52+'Avg Week Kajansi-Bweya'!C52</f>
        <v>79.142857142857139</v>
      </c>
      <c r="D52" s="49">
        <f>'Avg Week Bweya-Kajansi'!D52+'Avg Week Kajansi-Bweya'!D52</f>
        <v>13</v>
      </c>
      <c r="E52" s="49">
        <f>'Avg Week Bweya-Kajansi'!E52+'Avg Week Kajansi-Bweya'!E52</f>
        <v>8.2857142857142847</v>
      </c>
      <c r="F52" s="49">
        <f>'Avg Week Bweya-Kajansi'!F52+'Avg Week Kajansi-Bweya'!F52</f>
        <v>2.5714285714285712</v>
      </c>
      <c r="G52" s="49">
        <f>'Avg Week Bweya-Kajansi'!G52+'Avg Week Kajansi-Bweya'!G52</f>
        <v>1.1428571428571428</v>
      </c>
      <c r="H52" s="49">
        <f>'Avg Week Bweya-Kajansi'!H52+'Avg Week Kajansi-Bweya'!H52</f>
        <v>1.5714285714285716</v>
      </c>
      <c r="I52" s="49">
        <f>'Avg Week Bweya-Kajansi'!I52+'Avg Week Kajansi-Bweya'!I52</f>
        <v>5.4285714285714288</v>
      </c>
      <c r="J52" s="49">
        <f>'Avg Week Bweya-Kajansi'!J52+'Avg Week Kajansi-Bweya'!J52</f>
        <v>2.4285714285714288</v>
      </c>
      <c r="K52" s="49">
        <f>'Avg Week Bweya-Kajansi'!K52+'Avg Week Kajansi-Bweya'!K52</f>
        <v>0.5714285714285714</v>
      </c>
      <c r="L52" s="49">
        <f>'Avg Week Bweya-Kajansi'!L52+'Avg Week Kajansi-Bweya'!L52</f>
        <v>0.14285714285714285</v>
      </c>
      <c r="M52" s="49">
        <f>'Avg Week Bweya-Kajansi'!M52+'Avg Week Kajansi-Bweya'!M52</f>
        <v>66.285714285714292</v>
      </c>
      <c r="N52" s="49">
        <f>'Avg Week Bweya-Kajansi'!N52+'Avg Week Kajansi-Bweya'!N52</f>
        <v>0</v>
      </c>
      <c r="O52" s="15">
        <f t="shared" si="0"/>
        <v>114.28571428571426</v>
      </c>
      <c r="P52" s="15">
        <f t="shared" si="1"/>
        <v>180.57142857142856</v>
      </c>
      <c r="R52" s="8"/>
      <c r="T52"/>
    </row>
    <row r="53" spans="2:20" ht="23.1" customHeight="1" x14ac:dyDescent="0.25">
      <c r="B53" s="23" t="s">
        <v>80</v>
      </c>
      <c r="C53" s="49">
        <f>'Avg Week Bweya-Kajansi'!C53+'Avg Week Kajansi-Bweya'!C53</f>
        <v>81.857142857142861</v>
      </c>
      <c r="D53" s="49">
        <f>'Avg Week Bweya-Kajansi'!D53+'Avg Week Kajansi-Bweya'!D53</f>
        <v>12.285714285714285</v>
      </c>
      <c r="E53" s="49">
        <f>'Avg Week Bweya-Kajansi'!E53+'Avg Week Kajansi-Bweya'!E53</f>
        <v>8.7142857142857153</v>
      </c>
      <c r="F53" s="49">
        <f>'Avg Week Bweya-Kajansi'!F53+'Avg Week Kajansi-Bweya'!F53</f>
        <v>3.4285714285714288</v>
      </c>
      <c r="G53" s="49">
        <f>'Avg Week Bweya-Kajansi'!G53+'Avg Week Kajansi-Bweya'!G53</f>
        <v>1.1428571428571428</v>
      </c>
      <c r="H53" s="49">
        <f>'Avg Week Bweya-Kajansi'!H53+'Avg Week Kajansi-Bweya'!H53</f>
        <v>0.2857142857142857</v>
      </c>
      <c r="I53" s="49">
        <f>'Avg Week Bweya-Kajansi'!I53+'Avg Week Kajansi-Bweya'!I53</f>
        <v>7.1428571428571432</v>
      </c>
      <c r="J53" s="49">
        <f>'Avg Week Bweya-Kajansi'!J53+'Avg Week Kajansi-Bweya'!J53</f>
        <v>2.2857142857142856</v>
      </c>
      <c r="K53" s="49">
        <f>'Avg Week Bweya-Kajansi'!K53+'Avg Week Kajansi-Bweya'!K53</f>
        <v>0.5714285714285714</v>
      </c>
      <c r="L53" s="49">
        <f>'Avg Week Bweya-Kajansi'!L53+'Avg Week Kajansi-Bweya'!L53</f>
        <v>0.14285714285714285</v>
      </c>
      <c r="M53" s="49">
        <f>'Avg Week Bweya-Kajansi'!M53+'Avg Week Kajansi-Bweya'!M53</f>
        <v>70.714285714285708</v>
      </c>
      <c r="N53" s="49">
        <f>'Avg Week Bweya-Kajansi'!N53+'Avg Week Kajansi-Bweya'!N53</f>
        <v>0</v>
      </c>
      <c r="O53" s="15">
        <f t="shared" si="0"/>
        <v>117.85714285714286</v>
      </c>
      <c r="P53" s="15">
        <f t="shared" si="1"/>
        <v>188.57142857142856</v>
      </c>
      <c r="R53" s="8"/>
      <c r="T53"/>
    </row>
    <row r="54" spans="2:20" ht="23.1" customHeight="1" x14ac:dyDescent="0.25">
      <c r="B54" s="23" t="s">
        <v>81</v>
      </c>
      <c r="C54" s="49">
        <f>'Avg Week Bweya-Kajansi'!C54+'Avg Week Kajansi-Bweya'!C54</f>
        <v>76.142857142857139</v>
      </c>
      <c r="D54" s="49">
        <f>'Avg Week Bweya-Kajansi'!D54+'Avg Week Kajansi-Bweya'!D54</f>
        <v>12.714285714285715</v>
      </c>
      <c r="E54" s="49">
        <f>'Avg Week Bweya-Kajansi'!E54+'Avg Week Kajansi-Bweya'!E54</f>
        <v>9.1428571428571423</v>
      </c>
      <c r="F54" s="49">
        <f>'Avg Week Bweya-Kajansi'!F54+'Avg Week Kajansi-Bweya'!F54</f>
        <v>4.4285714285714288</v>
      </c>
      <c r="G54" s="49">
        <f>'Avg Week Bweya-Kajansi'!G54+'Avg Week Kajansi-Bweya'!G54</f>
        <v>0.85714285714285721</v>
      </c>
      <c r="H54" s="49">
        <f>'Avg Week Bweya-Kajansi'!H54+'Avg Week Kajansi-Bweya'!H54</f>
        <v>0.14285714285714285</v>
      </c>
      <c r="I54" s="49">
        <f>'Avg Week Bweya-Kajansi'!I54+'Avg Week Kajansi-Bweya'!I54</f>
        <v>6.2857142857142865</v>
      </c>
      <c r="J54" s="49">
        <f>'Avg Week Bweya-Kajansi'!J54+'Avg Week Kajansi-Bweya'!J54</f>
        <v>1.5714285714285716</v>
      </c>
      <c r="K54" s="49">
        <f>'Avg Week Bweya-Kajansi'!K54+'Avg Week Kajansi-Bweya'!K54</f>
        <v>0.2857142857142857</v>
      </c>
      <c r="L54" s="49">
        <f>'Avg Week Bweya-Kajansi'!L54+'Avg Week Kajansi-Bweya'!L54</f>
        <v>0</v>
      </c>
      <c r="M54" s="49">
        <f>'Avg Week Bweya-Kajansi'!M54+'Avg Week Kajansi-Bweya'!M54</f>
        <v>70.142857142857139</v>
      </c>
      <c r="N54" s="49">
        <f>'Avg Week Bweya-Kajansi'!N54+'Avg Week Kajansi-Bweya'!N54</f>
        <v>0</v>
      </c>
      <c r="O54" s="15">
        <f t="shared" si="0"/>
        <v>111.57142857142858</v>
      </c>
      <c r="P54" s="15">
        <f t="shared" si="1"/>
        <v>181.71428571428572</v>
      </c>
      <c r="R54" s="8"/>
      <c r="T54"/>
    </row>
    <row r="55" spans="2:20" ht="23.1" customHeight="1" x14ac:dyDescent="0.25">
      <c r="B55" s="23" t="s">
        <v>82</v>
      </c>
      <c r="C55" s="49">
        <f>'Avg Week Bweya-Kajansi'!C55+'Avg Week Kajansi-Bweya'!C55</f>
        <v>84</v>
      </c>
      <c r="D55" s="49">
        <f>'Avg Week Bweya-Kajansi'!D55+'Avg Week Kajansi-Bweya'!D55</f>
        <v>12.714285714285715</v>
      </c>
      <c r="E55" s="49">
        <f>'Avg Week Bweya-Kajansi'!E55+'Avg Week Kajansi-Bweya'!E55</f>
        <v>9.8571428571428577</v>
      </c>
      <c r="F55" s="49">
        <f>'Avg Week Bweya-Kajansi'!F55+'Avg Week Kajansi-Bweya'!F55</f>
        <v>4.1428571428571432</v>
      </c>
      <c r="G55" s="49">
        <f>'Avg Week Bweya-Kajansi'!G55+'Avg Week Kajansi-Bweya'!G55</f>
        <v>0.42857142857142855</v>
      </c>
      <c r="H55" s="49">
        <f>'Avg Week Bweya-Kajansi'!H55+'Avg Week Kajansi-Bweya'!H55</f>
        <v>0.14285714285714285</v>
      </c>
      <c r="I55" s="49">
        <f>'Avg Week Bweya-Kajansi'!I55+'Avg Week Kajansi-Bweya'!I55</f>
        <v>4.8571428571428577</v>
      </c>
      <c r="J55" s="49">
        <f>'Avg Week Bweya-Kajansi'!J55+'Avg Week Kajansi-Bweya'!J55</f>
        <v>2</v>
      </c>
      <c r="K55" s="49">
        <f>'Avg Week Bweya-Kajansi'!K55+'Avg Week Kajansi-Bweya'!K55</f>
        <v>0.42857142857142855</v>
      </c>
      <c r="L55" s="49">
        <f>'Avg Week Bweya-Kajansi'!L55+'Avg Week Kajansi-Bweya'!L55</f>
        <v>0</v>
      </c>
      <c r="M55" s="49">
        <f>'Avg Week Bweya-Kajansi'!M55+'Avg Week Kajansi-Bweya'!M55</f>
        <v>75.142857142857139</v>
      </c>
      <c r="N55" s="49">
        <f>'Avg Week Bweya-Kajansi'!N55+'Avg Week Kajansi-Bweya'!N55</f>
        <v>0</v>
      </c>
      <c r="O55" s="15">
        <f t="shared" si="0"/>
        <v>118.57142857142858</v>
      </c>
      <c r="P55" s="15">
        <f t="shared" si="1"/>
        <v>193.71428571428572</v>
      </c>
      <c r="R55" s="8"/>
      <c r="T55"/>
    </row>
    <row r="56" spans="2:20" ht="23.1" customHeight="1" x14ac:dyDescent="0.25">
      <c r="B56" s="23" t="s">
        <v>83</v>
      </c>
      <c r="C56" s="49">
        <f>'Avg Week Bweya-Kajansi'!C56+'Avg Week Kajansi-Bweya'!C56</f>
        <v>92.285714285714278</v>
      </c>
      <c r="D56" s="49">
        <f>'Avg Week Bweya-Kajansi'!D56+'Avg Week Kajansi-Bweya'!D56</f>
        <v>13.428571428571427</v>
      </c>
      <c r="E56" s="49">
        <f>'Avg Week Bweya-Kajansi'!E56+'Avg Week Kajansi-Bweya'!E56</f>
        <v>9.428571428571427</v>
      </c>
      <c r="F56" s="49">
        <f>'Avg Week Bweya-Kajansi'!F56+'Avg Week Kajansi-Bweya'!F56</f>
        <v>2.714285714285714</v>
      </c>
      <c r="G56" s="49">
        <f>'Avg Week Bweya-Kajansi'!G56+'Avg Week Kajansi-Bweya'!G56</f>
        <v>0.2857142857142857</v>
      </c>
      <c r="H56" s="49">
        <f>'Avg Week Bweya-Kajansi'!H56+'Avg Week Kajansi-Bweya'!H56</f>
        <v>0.2857142857142857</v>
      </c>
      <c r="I56" s="49">
        <f>'Avg Week Bweya-Kajansi'!I56+'Avg Week Kajansi-Bweya'!I56</f>
        <v>4.7142857142857144</v>
      </c>
      <c r="J56" s="49">
        <f>'Avg Week Bweya-Kajansi'!J56+'Avg Week Kajansi-Bweya'!J56</f>
        <v>2</v>
      </c>
      <c r="K56" s="49">
        <f>'Avg Week Bweya-Kajansi'!K56+'Avg Week Kajansi-Bweya'!K56</f>
        <v>0.2857142857142857</v>
      </c>
      <c r="L56" s="49">
        <f>'Avg Week Bweya-Kajansi'!L56+'Avg Week Kajansi-Bweya'!L56</f>
        <v>0.14285714285714285</v>
      </c>
      <c r="M56" s="49">
        <f>'Avg Week Bweya-Kajansi'!M56+'Avg Week Kajansi-Bweya'!M56</f>
        <v>79.285714285714278</v>
      </c>
      <c r="N56" s="49">
        <f>'Avg Week Bweya-Kajansi'!N56+'Avg Week Kajansi-Bweya'!N56</f>
        <v>0</v>
      </c>
      <c r="O56" s="15">
        <f t="shared" si="0"/>
        <v>125.57142857142857</v>
      </c>
      <c r="P56" s="15">
        <f t="shared" si="1"/>
        <v>204.85714285714283</v>
      </c>
      <c r="R56" s="8"/>
      <c r="T56"/>
    </row>
    <row r="57" spans="2:20" ht="23.1" customHeight="1" x14ac:dyDescent="0.25">
      <c r="B57" s="23" t="s">
        <v>84</v>
      </c>
      <c r="C57" s="49">
        <f>'Avg Week Bweya-Kajansi'!C57+'Avg Week Kajansi-Bweya'!C57</f>
        <v>78.428571428571431</v>
      </c>
      <c r="D57" s="49">
        <f>'Avg Week Bweya-Kajansi'!D57+'Avg Week Kajansi-Bweya'!D57</f>
        <v>12.428571428571429</v>
      </c>
      <c r="E57" s="49">
        <f>'Avg Week Bweya-Kajansi'!E57+'Avg Week Kajansi-Bweya'!E57</f>
        <v>9.5714285714285712</v>
      </c>
      <c r="F57" s="49">
        <f>'Avg Week Bweya-Kajansi'!F57+'Avg Week Kajansi-Bweya'!F57</f>
        <v>2.8571428571428572</v>
      </c>
      <c r="G57" s="49">
        <f>'Avg Week Bweya-Kajansi'!G57+'Avg Week Kajansi-Bweya'!G57</f>
        <v>1.2857142857142856</v>
      </c>
      <c r="H57" s="49">
        <f>'Avg Week Bweya-Kajansi'!H57+'Avg Week Kajansi-Bweya'!H57</f>
        <v>0</v>
      </c>
      <c r="I57" s="49">
        <f>'Avg Week Bweya-Kajansi'!I57+'Avg Week Kajansi-Bweya'!I57</f>
        <v>6.7142857142857144</v>
      </c>
      <c r="J57" s="49">
        <f>'Avg Week Bweya-Kajansi'!J57+'Avg Week Kajansi-Bweya'!J57</f>
        <v>1.4285714285714284</v>
      </c>
      <c r="K57" s="49">
        <f>'Avg Week Bweya-Kajansi'!K57+'Avg Week Kajansi-Bweya'!K57</f>
        <v>0.5714285714285714</v>
      </c>
      <c r="L57" s="49">
        <f>'Avg Week Bweya-Kajansi'!L57+'Avg Week Kajansi-Bweya'!L57</f>
        <v>0</v>
      </c>
      <c r="M57" s="49">
        <f>'Avg Week Bweya-Kajansi'!M57+'Avg Week Kajansi-Bweya'!M57</f>
        <v>73.595238095238102</v>
      </c>
      <c r="N57" s="49">
        <f>'Avg Week Bweya-Kajansi'!N57+'Avg Week Kajansi-Bweya'!N57</f>
        <v>0</v>
      </c>
      <c r="O57" s="15">
        <f t="shared" si="0"/>
        <v>113.28571428571429</v>
      </c>
      <c r="P57" s="15">
        <f t="shared" si="1"/>
        <v>186.88095238095241</v>
      </c>
      <c r="R57" s="8"/>
      <c r="T57"/>
    </row>
    <row r="58" spans="2:20" ht="23.1" customHeight="1" x14ac:dyDescent="0.25">
      <c r="B58" s="23" t="s">
        <v>99</v>
      </c>
      <c r="C58" s="49">
        <f>'Avg Week Bweya-Kajansi'!C58+'Avg Week Kajansi-Bweya'!C58</f>
        <v>64</v>
      </c>
      <c r="D58" s="49">
        <f>'Avg Week Bweya-Kajansi'!D58+'Avg Week Kajansi-Bweya'!D58</f>
        <v>22.5</v>
      </c>
      <c r="E58" s="49">
        <f>'Avg Week Bweya-Kajansi'!E58+'Avg Week Kajansi-Bweya'!E58</f>
        <v>8</v>
      </c>
      <c r="F58" s="49">
        <f>'Avg Week Bweya-Kajansi'!F58+'Avg Week Kajansi-Bweya'!F58</f>
        <v>1</v>
      </c>
      <c r="G58" s="49">
        <f>'Avg Week Bweya-Kajansi'!G58+'Avg Week Kajansi-Bweya'!G58</f>
        <v>0</v>
      </c>
      <c r="H58" s="49">
        <f>'Avg Week Bweya-Kajansi'!H58+'Avg Week Kajansi-Bweya'!H58</f>
        <v>0.5</v>
      </c>
      <c r="I58" s="49">
        <f>'Avg Week Bweya-Kajansi'!I58+'Avg Week Kajansi-Bweya'!I58</f>
        <v>4.5</v>
      </c>
      <c r="J58" s="49">
        <f>'Avg Week Bweya-Kajansi'!J58+'Avg Week Kajansi-Bweya'!J58</f>
        <v>1.5</v>
      </c>
      <c r="K58" s="49">
        <f>'Avg Week Bweya-Kajansi'!K58+'Avg Week Kajansi-Bweya'!K58</f>
        <v>0</v>
      </c>
      <c r="L58" s="49">
        <f>'Avg Week Bweya-Kajansi'!L58+'Avg Week Kajansi-Bweya'!L58</f>
        <v>0</v>
      </c>
      <c r="M58" s="49">
        <f>'Avg Week Bweya-Kajansi'!M58+'Avg Week Kajansi-Bweya'!M58</f>
        <v>47.5</v>
      </c>
      <c r="N58" s="49">
        <f>'Avg Week Bweya-Kajansi'!N58+'Avg Week Kajansi-Bweya'!N58</f>
        <v>0</v>
      </c>
      <c r="O58" s="15">
        <f t="shared" si="0"/>
        <v>102</v>
      </c>
      <c r="P58" s="15">
        <f t="shared" si="1"/>
        <v>149.5</v>
      </c>
      <c r="R58" s="8"/>
      <c r="T58"/>
    </row>
    <row r="59" spans="2:20" ht="23.1" customHeight="1" x14ac:dyDescent="0.25">
      <c r="B59" s="23" t="s">
        <v>100</v>
      </c>
      <c r="C59" s="49">
        <f>'Avg Week Bweya-Kajansi'!C59+'Avg Week Kajansi-Bweya'!C59</f>
        <v>74</v>
      </c>
      <c r="D59" s="49">
        <f>'Avg Week Bweya-Kajansi'!D59+'Avg Week Kajansi-Bweya'!D59</f>
        <v>22</v>
      </c>
      <c r="E59" s="49">
        <f>'Avg Week Bweya-Kajansi'!E59+'Avg Week Kajansi-Bweya'!E59</f>
        <v>10</v>
      </c>
      <c r="F59" s="49">
        <f>'Avg Week Bweya-Kajansi'!F59+'Avg Week Kajansi-Bweya'!F59</f>
        <v>4</v>
      </c>
      <c r="G59" s="49">
        <f>'Avg Week Bweya-Kajansi'!G59+'Avg Week Kajansi-Bweya'!G59</f>
        <v>0.5</v>
      </c>
      <c r="H59" s="49">
        <f>'Avg Week Bweya-Kajansi'!H59+'Avg Week Kajansi-Bweya'!H59</f>
        <v>0</v>
      </c>
      <c r="I59" s="49">
        <f>'Avg Week Bweya-Kajansi'!I59+'Avg Week Kajansi-Bweya'!I59</f>
        <v>6.5</v>
      </c>
      <c r="J59" s="49">
        <f>'Avg Week Bweya-Kajansi'!J59+'Avg Week Kajansi-Bweya'!J59</f>
        <v>2.5</v>
      </c>
      <c r="K59" s="49">
        <f>'Avg Week Bweya-Kajansi'!K59+'Avg Week Kajansi-Bweya'!K59</f>
        <v>0.5</v>
      </c>
      <c r="L59" s="49">
        <f>'Avg Week Bweya-Kajansi'!L59+'Avg Week Kajansi-Bweya'!L59</f>
        <v>0</v>
      </c>
      <c r="M59" s="49">
        <f>'Avg Week Bweya-Kajansi'!M59+'Avg Week Kajansi-Bweya'!M59</f>
        <v>66</v>
      </c>
      <c r="N59" s="49">
        <f>'Avg Week Bweya-Kajansi'!N59+'Avg Week Kajansi-Bweya'!N59</f>
        <v>0</v>
      </c>
      <c r="O59" s="15">
        <f t="shared" si="0"/>
        <v>120</v>
      </c>
      <c r="P59" s="15">
        <f t="shared" si="1"/>
        <v>186</v>
      </c>
      <c r="R59" s="8"/>
      <c r="T59"/>
    </row>
    <row r="60" spans="2:20" ht="23.1" customHeight="1" x14ac:dyDescent="0.25">
      <c r="B60" s="23" t="s">
        <v>101</v>
      </c>
      <c r="C60" s="49">
        <f>'Avg Week Bweya-Kajansi'!C60+'Avg Week Kajansi-Bweya'!C60</f>
        <v>89.5</v>
      </c>
      <c r="D60" s="49">
        <f>'Avg Week Bweya-Kajansi'!D60+'Avg Week Kajansi-Bweya'!D60</f>
        <v>26</v>
      </c>
      <c r="E60" s="49">
        <f>'Avg Week Bweya-Kajansi'!E60+'Avg Week Kajansi-Bweya'!E60</f>
        <v>13</v>
      </c>
      <c r="F60" s="49">
        <f>'Avg Week Bweya-Kajansi'!F60+'Avg Week Kajansi-Bweya'!F60</f>
        <v>4.5</v>
      </c>
      <c r="G60" s="49">
        <f>'Avg Week Bweya-Kajansi'!G60+'Avg Week Kajansi-Bweya'!G60</f>
        <v>0.5</v>
      </c>
      <c r="H60" s="49">
        <f>'Avg Week Bweya-Kajansi'!H60+'Avg Week Kajansi-Bweya'!H60</f>
        <v>1</v>
      </c>
      <c r="I60" s="49">
        <f>'Avg Week Bweya-Kajansi'!I60+'Avg Week Kajansi-Bweya'!I60</f>
        <v>12</v>
      </c>
      <c r="J60" s="49">
        <f>'Avg Week Bweya-Kajansi'!J60+'Avg Week Kajansi-Bweya'!J60</f>
        <v>0.5</v>
      </c>
      <c r="K60" s="49">
        <f>'Avg Week Bweya-Kajansi'!K60+'Avg Week Kajansi-Bweya'!K60</f>
        <v>1</v>
      </c>
      <c r="L60" s="49">
        <f>'Avg Week Bweya-Kajansi'!L60+'Avg Week Kajansi-Bweya'!L60</f>
        <v>0</v>
      </c>
      <c r="M60" s="49">
        <f>'Avg Week Bweya-Kajansi'!M60+'Avg Week Kajansi-Bweya'!M60</f>
        <v>59.5</v>
      </c>
      <c r="N60" s="49">
        <f>'Avg Week Bweya-Kajansi'!N60+'Avg Week Kajansi-Bweya'!N60</f>
        <v>0</v>
      </c>
      <c r="O60" s="15">
        <f t="shared" si="0"/>
        <v>148</v>
      </c>
      <c r="P60" s="15">
        <f t="shared" si="1"/>
        <v>207.5</v>
      </c>
      <c r="R60" s="8"/>
      <c r="T60"/>
    </row>
    <row r="61" spans="2:20" ht="23.1" customHeight="1" x14ac:dyDescent="0.25">
      <c r="B61" s="23" t="s">
        <v>102</v>
      </c>
      <c r="C61" s="49">
        <f>'Avg Week Bweya-Kajansi'!C61+'Avg Week Kajansi-Bweya'!C61</f>
        <v>75.5</v>
      </c>
      <c r="D61" s="49">
        <f>'Avg Week Bweya-Kajansi'!D61+'Avg Week Kajansi-Bweya'!D61</f>
        <v>15.5</v>
      </c>
      <c r="E61" s="49">
        <f>'Avg Week Bweya-Kajansi'!E61+'Avg Week Kajansi-Bweya'!E61</f>
        <v>8</v>
      </c>
      <c r="F61" s="49">
        <f>'Avg Week Bweya-Kajansi'!F61+'Avg Week Kajansi-Bweya'!F61</f>
        <v>4</v>
      </c>
      <c r="G61" s="49">
        <f>'Avg Week Bweya-Kajansi'!G61+'Avg Week Kajansi-Bweya'!G61</f>
        <v>0.5</v>
      </c>
      <c r="H61" s="49">
        <f>'Avg Week Bweya-Kajansi'!H61+'Avg Week Kajansi-Bweya'!H61</f>
        <v>0</v>
      </c>
      <c r="I61" s="49">
        <f>'Avg Week Bweya-Kajansi'!I61+'Avg Week Kajansi-Bweya'!I61</f>
        <v>5</v>
      </c>
      <c r="J61" s="49">
        <f>'Avg Week Bweya-Kajansi'!J61+'Avg Week Kajansi-Bweya'!J61</f>
        <v>0.5</v>
      </c>
      <c r="K61" s="49">
        <f>'Avg Week Bweya-Kajansi'!K61+'Avg Week Kajansi-Bweya'!K61</f>
        <v>0</v>
      </c>
      <c r="L61" s="49">
        <f>'Avg Week Bweya-Kajansi'!L61+'Avg Week Kajansi-Bweya'!L61</f>
        <v>0</v>
      </c>
      <c r="M61" s="49">
        <f>'Avg Week Bweya-Kajansi'!M61+'Avg Week Kajansi-Bweya'!M61</f>
        <v>72</v>
      </c>
      <c r="N61" s="49">
        <f>'Avg Week Bweya-Kajansi'!N61+'Avg Week Kajansi-Bweya'!N61</f>
        <v>0</v>
      </c>
      <c r="O61" s="15">
        <f t="shared" si="0"/>
        <v>109</v>
      </c>
      <c r="P61" s="15">
        <f t="shared" si="1"/>
        <v>181</v>
      </c>
      <c r="R61" s="8"/>
      <c r="T61"/>
    </row>
    <row r="62" spans="2:20" ht="23.1" customHeight="1" x14ac:dyDescent="0.25">
      <c r="B62" s="23" t="s">
        <v>107</v>
      </c>
      <c r="C62" s="49">
        <f>'Avg Week Bweya-Kajansi'!C62+'Avg Week Kajansi-Bweya'!C62</f>
        <v>81</v>
      </c>
      <c r="D62" s="49">
        <f>'Avg Week Bweya-Kajansi'!D62+'Avg Week Kajansi-Bweya'!D62</f>
        <v>16.5</v>
      </c>
      <c r="E62" s="49">
        <f>'Avg Week Bweya-Kajansi'!E62+'Avg Week Kajansi-Bweya'!E62</f>
        <v>5.5</v>
      </c>
      <c r="F62" s="49">
        <f>'Avg Week Bweya-Kajansi'!F62+'Avg Week Kajansi-Bweya'!F62</f>
        <v>3</v>
      </c>
      <c r="G62" s="49">
        <f>'Avg Week Bweya-Kajansi'!G62+'Avg Week Kajansi-Bweya'!G62</f>
        <v>1</v>
      </c>
      <c r="H62" s="49">
        <f>'Avg Week Bweya-Kajansi'!H62+'Avg Week Kajansi-Bweya'!H62</f>
        <v>0</v>
      </c>
      <c r="I62" s="49">
        <f>'Avg Week Bweya-Kajansi'!I62+'Avg Week Kajansi-Bweya'!I62</f>
        <v>7</v>
      </c>
      <c r="J62" s="49">
        <f>'Avg Week Bweya-Kajansi'!J62+'Avg Week Kajansi-Bweya'!J62</f>
        <v>2.5</v>
      </c>
      <c r="K62" s="49">
        <f>'Avg Week Bweya-Kajansi'!K62+'Avg Week Kajansi-Bweya'!K62</f>
        <v>1.5</v>
      </c>
      <c r="L62" s="49">
        <f>'Avg Week Bweya-Kajansi'!L62+'Avg Week Kajansi-Bweya'!L62</f>
        <v>0</v>
      </c>
      <c r="M62" s="49">
        <f>'Avg Week Bweya-Kajansi'!M62+'Avg Week Kajansi-Bweya'!M62</f>
        <v>65.5</v>
      </c>
      <c r="N62" s="49">
        <f>'Avg Week Bweya-Kajansi'!N62+'Avg Week Kajansi-Bweya'!N62</f>
        <v>0</v>
      </c>
      <c r="O62" s="15">
        <f t="shared" si="0"/>
        <v>118</v>
      </c>
      <c r="P62" s="15">
        <f t="shared" si="1"/>
        <v>183.5</v>
      </c>
      <c r="R62" s="8"/>
      <c r="T62"/>
    </row>
    <row r="63" spans="2:20" ht="23.1" customHeight="1" x14ac:dyDescent="0.25">
      <c r="B63" s="23" t="s">
        <v>108</v>
      </c>
      <c r="C63" s="49">
        <f>'Avg Week Bweya-Kajansi'!C63+'Avg Week Kajansi-Bweya'!C63</f>
        <v>73</v>
      </c>
      <c r="D63" s="49">
        <f>'Avg Week Bweya-Kajansi'!D63+'Avg Week Kajansi-Bweya'!D63</f>
        <v>14</v>
      </c>
      <c r="E63" s="49">
        <f>'Avg Week Bweya-Kajansi'!E63+'Avg Week Kajansi-Bweya'!E63</f>
        <v>12</v>
      </c>
      <c r="F63" s="49">
        <f>'Avg Week Bweya-Kajansi'!F63+'Avg Week Kajansi-Bweya'!F63</f>
        <v>6</v>
      </c>
      <c r="G63" s="49">
        <f>'Avg Week Bweya-Kajansi'!G63+'Avg Week Kajansi-Bweya'!G63</f>
        <v>0.5</v>
      </c>
      <c r="H63" s="49">
        <f>'Avg Week Bweya-Kajansi'!H63+'Avg Week Kajansi-Bweya'!H63</f>
        <v>0</v>
      </c>
      <c r="I63" s="49">
        <f>'Avg Week Bweya-Kajansi'!I63+'Avg Week Kajansi-Bweya'!I63</f>
        <v>5</v>
      </c>
      <c r="J63" s="49">
        <f>'Avg Week Bweya-Kajansi'!J63+'Avg Week Kajansi-Bweya'!J63</f>
        <v>0</v>
      </c>
      <c r="K63" s="49">
        <f>'Avg Week Bweya-Kajansi'!K63+'Avg Week Kajansi-Bweya'!K63</f>
        <v>0.5</v>
      </c>
      <c r="L63" s="49">
        <f>'Avg Week Bweya-Kajansi'!L63+'Avg Week Kajansi-Bweya'!L63</f>
        <v>0</v>
      </c>
      <c r="M63" s="49">
        <f>'Avg Week Bweya-Kajansi'!M63+'Avg Week Kajansi-Bweya'!M63</f>
        <v>61</v>
      </c>
      <c r="N63" s="49">
        <f>'Avg Week Bweya-Kajansi'!N63+'Avg Week Kajansi-Bweya'!N63</f>
        <v>0</v>
      </c>
      <c r="O63" s="15">
        <f t="shared" si="0"/>
        <v>111</v>
      </c>
      <c r="P63" s="15">
        <f t="shared" si="1"/>
        <v>172</v>
      </c>
      <c r="R63" s="8"/>
      <c r="T63"/>
    </row>
    <row r="64" spans="2:20" ht="23.1" customHeight="1" x14ac:dyDescent="0.25">
      <c r="B64" s="23" t="s">
        <v>109</v>
      </c>
      <c r="C64" s="49">
        <f>'Avg Week Bweya-Kajansi'!C64+'Avg Week Kajansi-Bweya'!C64</f>
        <v>52</v>
      </c>
      <c r="D64" s="49">
        <f>'Avg Week Bweya-Kajansi'!D64+'Avg Week Kajansi-Bweya'!D64</f>
        <v>12.5</v>
      </c>
      <c r="E64" s="49">
        <f>'Avg Week Bweya-Kajansi'!E64+'Avg Week Kajansi-Bweya'!E64</f>
        <v>6</v>
      </c>
      <c r="F64" s="49">
        <f>'Avg Week Bweya-Kajansi'!F64+'Avg Week Kajansi-Bweya'!F64</f>
        <v>6</v>
      </c>
      <c r="G64" s="49">
        <f>'Avg Week Bweya-Kajansi'!G64+'Avg Week Kajansi-Bweya'!G64</f>
        <v>1.5</v>
      </c>
      <c r="H64" s="49">
        <f>'Avg Week Bweya-Kajansi'!H64+'Avg Week Kajansi-Bweya'!H64</f>
        <v>0</v>
      </c>
      <c r="I64" s="49">
        <f>'Avg Week Bweya-Kajansi'!I64+'Avg Week Kajansi-Bweya'!I64</f>
        <v>4</v>
      </c>
      <c r="J64" s="49">
        <f>'Avg Week Bweya-Kajansi'!J64+'Avg Week Kajansi-Bweya'!J64</f>
        <v>0.5</v>
      </c>
      <c r="K64" s="49">
        <f>'Avg Week Bweya-Kajansi'!K64+'Avg Week Kajansi-Bweya'!K64</f>
        <v>0</v>
      </c>
      <c r="L64" s="49">
        <f>'Avg Week Bweya-Kajansi'!L64+'Avg Week Kajansi-Bweya'!L64</f>
        <v>0</v>
      </c>
      <c r="M64" s="49">
        <f>'Avg Week Bweya-Kajansi'!M64+'Avg Week Kajansi-Bweya'!M64</f>
        <v>53</v>
      </c>
      <c r="N64" s="49">
        <f>'Avg Week Bweya-Kajansi'!N64+'Avg Week Kajansi-Bweya'!N64</f>
        <v>0</v>
      </c>
      <c r="O64" s="15">
        <f t="shared" si="0"/>
        <v>82.5</v>
      </c>
      <c r="P64" s="15">
        <f t="shared" si="1"/>
        <v>135.5</v>
      </c>
      <c r="R64" s="8"/>
      <c r="T64"/>
    </row>
    <row r="65" spans="2:20" ht="23.1" customHeight="1" x14ac:dyDescent="0.25">
      <c r="B65" s="23" t="s">
        <v>158</v>
      </c>
      <c r="C65" s="49">
        <f>'Avg Week Bweya-Kajansi'!C65+'Avg Week Kajansi-Bweya'!C65</f>
        <v>60.5</v>
      </c>
      <c r="D65" s="49">
        <f>'Avg Week Bweya-Kajansi'!D65+'Avg Week Kajansi-Bweya'!D65</f>
        <v>24</v>
      </c>
      <c r="E65" s="49">
        <f>'Avg Week Bweya-Kajansi'!E65+'Avg Week Kajansi-Bweya'!E65</f>
        <v>7</v>
      </c>
      <c r="F65" s="49">
        <f>'Avg Week Bweya-Kajansi'!F65+'Avg Week Kajansi-Bweya'!F65</f>
        <v>2.5</v>
      </c>
      <c r="G65" s="49">
        <f>'Avg Week Bweya-Kajansi'!G65+'Avg Week Kajansi-Bweya'!G65</f>
        <v>0</v>
      </c>
      <c r="H65" s="49">
        <f>'Avg Week Bweya-Kajansi'!H65+'Avg Week Kajansi-Bweya'!H65</f>
        <v>0</v>
      </c>
      <c r="I65" s="49">
        <f>'Avg Week Bweya-Kajansi'!I65+'Avg Week Kajansi-Bweya'!I65</f>
        <v>1</v>
      </c>
      <c r="J65" s="49">
        <f>'Avg Week Bweya-Kajansi'!J65+'Avg Week Kajansi-Bweya'!J65</f>
        <v>0.5</v>
      </c>
      <c r="K65" s="49">
        <f>'Avg Week Bweya-Kajansi'!K65+'Avg Week Kajansi-Bweya'!K65</f>
        <v>0</v>
      </c>
      <c r="L65" s="49">
        <f>'Avg Week Bweya-Kajansi'!L65+'Avg Week Kajansi-Bweya'!L65</f>
        <v>0</v>
      </c>
      <c r="M65" s="49">
        <f>'Avg Week Bweya-Kajansi'!M65+'Avg Week Kajansi-Bweya'!M65</f>
        <v>65</v>
      </c>
      <c r="N65" s="49">
        <f>'Avg Week Bweya-Kajansi'!N65+'Avg Week Kajansi-Bweya'!N65</f>
        <v>0</v>
      </c>
      <c r="O65" s="15">
        <f t="shared" si="0"/>
        <v>95.5</v>
      </c>
      <c r="P65" s="15">
        <f t="shared" si="1"/>
        <v>160.5</v>
      </c>
      <c r="R65" s="8"/>
      <c r="T65"/>
    </row>
    <row r="66" spans="2:20" ht="23.1" customHeight="1" x14ac:dyDescent="0.25">
      <c r="B66" s="23" t="s">
        <v>103</v>
      </c>
      <c r="C66" s="49">
        <f>'Avg Week Bweya-Kajansi'!C66+'Avg Week Kajansi-Bweya'!C66</f>
        <v>70.5</v>
      </c>
      <c r="D66" s="49">
        <f>'Avg Week Bweya-Kajansi'!D66+'Avg Week Kajansi-Bweya'!D66</f>
        <v>23.5</v>
      </c>
      <c r="E66" s="49">
        <f>'Avg Week Bweya-Kajansi'!E66+'Avg Week Kajansi-Bweya'!E66</f>
        <v>8.5</v>
      </c>
      <c r="F66" s="49">
        <f>'Avg Week Bweya-Kajansi'!F66+'Avg Week Kajansi-Bweya'!F66</f>
        <v>3</v>
      </c>
      <c r="G66" s="49">
        <f>'Avg Week Bweya-Kajansi'!G66+'Avg Week Kajansi-Bweya'!G66</f>
        <v>0</v>
      </c>
      <c r="H66" s="49">
        <f>'Avg Week Bweya-Kajansi'!H66+'Avg Week Kajansi-Bweya'!H66</f>
        <v>0.5</v>
      </c>
      <c r="I66" s="49">
        <f>'Avg Week Bweya-Kajansi'!I66+'Avg Week Kajansi-Bweya'!I66</f>
        <v>3</v>
      </c>
      <c r="J66" s="49">
        <f>'Avg Week Bweya-Kajansi'!J66+'Avg Week Kajansi-Bweya'!J66</f>
        <v>3</v>
      </c>
      <c r="K66" s="49">
        <f>'Avg Week Bweya-Kajansi'!K66+'Avg Week Kajansi-Bweya'!K66</f>
        <v>0.5</v>
      </c>
      <c r="L66" s="49">
        <f>'Avg Week Bweya-Kajansi'!L66+'Avg Week Kajansi-Bweya'!L66</f>
        <v>0</v>
      </c>
      <c r="M66" s="49">
        <f>'Avg Week Bweya-Kajansi'!M66+'Avg Week Kajansi-Bweya'!M66</f>
        <v>38</v>
      </c>
      <c r="N66" s="49">
        <f>'Avg Week Bweya-Kajansi'!N66+'Avg Week Kajansi-Bweya'!N66</f>
        <v>0</v>
      </c>
      <c r="O66" s="15">
        <f t="shared" si="0"/>
        <v>112.5</v>
      </c>
      <c r="P66" s="15">
        <f t="shared" si="1"/>
        <v>150.5</v>
      </c>
      <c r="R66" s="8"/>
      <c r="T66"/>
    </row>
    <row r="67" spans="2:20" ht="23.1" customHeight="1" x14ac:dyDescent="0.25">
      <c r="B67" s="23" t="s">
        <v>104</v>
      </c>
      <c r="C67" s="49">
        <f>'Avg Week Bweya-Kajansi'!C67+'Avg Week Kajansi-Bweya'!C67</f>
        <v>54.5</v>
      </c>
      <c r="D67" s="49">
        <f>'Avg Week Bweya-Kajansi'!D67+'Avg Week Kajansi-Bweya'!D67</f>
        <v>14.5</v>
      </c>
      <c r="E67" s="49">
        <f>'Avg Week Bweya-Kajansi'!E67+'Avg Week Kajansi-Bweya'!E67</f>
        <v>5.5</v>
      </c>
      <c r="F67" s="49">
        <f>'Avg Week Bweya-Kajansi'!F67+'Avg Week Kajansi-Bweya'!F67</f>
        <v>0</v>
      </c>
      <c r="G67" s="49">
        <f>'Avg Week Bweya-Kajansi'!G67+'Avg Week Kajansi-Bweya'!G67</f>
        <v>1</v>
      </c>
      <c r="H67" s="49">
        <f>'Avg Week Bweya-Kajansi'!H67+'Avg Week Kajansi-Bweya'!H67</f>
        <v>0</v>
      </c>
      <c r="I67" s="49">
        <f>'Avg Week Bweya-Kajansi'!I67+'Avg Week Kajansi-Bweya'!I67</f>
        <v>3</v>
      </c>
      <c r="J67" s="49">
        <f>'Avg Week Bweya-Kajansi'!J67+'Avg Week Kajansi-Bweya'!J67</f>
        <v>1</v>
      </c>
      <c r="K67" s="49">
        <f>'Avg Week Bweya-Kajansi'!K67+'Avg Week Kajansi-Bweya'!K67</f>
        <v>0</v>
      </c>
      <c r="L67" s="49">
        <f>'Avg Week Bweya-Kajansi'!L67+'Avg Week Kajansi-Bweya'!L67</f>
        <v>0.5</v>
      </c>
      <c r="M67" s="49">
        <f>'Avg Week Bweya-Kajansi'!M67+'Avg Week Kajansi-Bweya'!M67</f>
        <v>32</v>
      </c>
      <c r="N67" s="49">
        <f>'Avg Week Bweya-Kajansi'!N67+'Avg Week Kajansi-Bweya'!N67</f>
        <v>0</v>
      </c>
      <c r="O67" s="15">
        <f t="shared" si="0"/>
        <v>80</v>
      </c>
      <c r="P67" s="15">
        <f t="shared" si="1"/>
        <v>112</v>
      </c>
      <c r="R67" s="8"/>
      <c r="T67"/>
    </row>
    <row r="68" spans="2:20" ht="23.1" customHeight="1" x14ac:dyDescent="0.25">
      <c r="B68" s="23" t="s">
        <v>105</v>
      </c>
      <c r="C68" s="49">
        <f>'Avg Week Bweya-Kajansi'!C68+'Avg Week Kajansi-Bweya'!C68</f>
        <v>75.5</v>
      </c>
      <c r="D68" s="49">
        <f>'Avg Week Bweya-Kajansi'!D68+'Avg Week Kajansi-Bweya'!D68</f>
        <v>13</v>
      </c>
      <c r="E68" s="49">
        <f>'Avg Week Bweya-Kajansi'!E68+'Avg Week Kajansi-Bweya'!E68</f>
        <v>5</v>
      </c>
      <c r="F68" s="49">
        <f>'Avg Week Bweya-Kajansi'!F68+'Avg Week Kajansi-Bweya'!F68</f>
        <v>3.5</v>
      </c>
      <c r="G68" s="49">
        <f>'Avg Week Bweya-Kajansi'!G68+'Avg Week Kajansi-Bweya'!G68</f>
        <v>1</v>
      </c>
      <c r="H68" s="49">
        <f>'Avg Week Bweya-Kajansi'!H68+'Avg Week Kajansi-Bweya'!H68</f>
        <v>0</v>
      </c>
      <c r="I68" s="49">
        <f>'Avg Week Bweya-Kajansi'!I68+'Avg Week Kajansi-Bweya'!I68</f>
        <v>3.5</v>
      </c>
      <c r="J68" s="49">
        <f>'Avg Week Bweya-Kajansi'!J68+'Avg Week Kajansi-Bweya'!J68</f>
        <v>0.5</v>
      </c>
      <c r="K68" s="49">
        <f>'Avg Week Bweya-Kajansi'!K68+'Avg Week Kajansi-Bweya'!K68</f>
        <v>0.5</v>
      </c>
      <c r="L68" s="49">
        <f>'Avg Week Bweya-Kajansi'!L68+'Avg Week Kajansi-Bweya'!L68</f>
        <v>0</v>
      </c>
      <c r="M68" s="49">
        <f>'Avg Week Bweya-Kajansi'!M68+'Avg Week Kajansi-Bweya'!M68</f>
        <v>31</v>
      </c>
      <c r="N68" s="49">
        <f>'Avg Week Bweya-Kajansi'!N68+'Avg Week Kajansi-Bweya'!N68</f>
        <v>0</v>
      </c>
      <c r="O68" s="15">
        <f t="shared" si="0"/>
        <v>102.5</v>
      </c>
      <c r="P68" s="15">
        <f t="shared" si="1"/>
        <v>133.5</v>
      </c>
      <c r="R68" s="8"/>
      <c r="T68"/>
    </row>
    <row r="69" spans="2:20" ht="23.1" customHeight="1" x14ac:dyDescent="0.25">
      <c r="B69" s="23" t="s">
        <v>106</v>
      </c>
      <c r="C69" s="49">
        <f>'Avg Week Bweya-Kajansi'!C69+'Avg Week Kajansi-Bweya'!C69</f>
        <v>54.5</v>
      </c>
      <c r="D69" s="49">
        <f>'Avg Week Bweya-Kajansi'!D69+'Avg Week Kajansi-Bweya'!D69</f>
        <v>9</v>
      </c>
      <c r="E69" s="49">
        <f>'Avg Week Bweya-Kajansi'!E69+'Avg Week Kajansi-Bweya'!E69</f>
        <v>6.5</v>
      </c>
      <c r="F69" s="49">
        <f>'Avg Week Bweya-Kajansi'!F69+'Avg Week Kajansi-Bweya'!F69</f>
        <v>1</v>
      </c>
      <c r="G69" s="49">
        <f>'Avg Week Bweya-Kajansi'!G69+'Avg Week Kajansi-Bweya'!G69</f>
        <v>0.5</v>
      </c>
      <c r="H69" s="49">
        <f>'Avg Week Bweya-Kajansi'!H69+'Avg Week Kajansi-Bweya'!H69</f>
        <v>0</v>
      </c>
      <c r="I69" s="49">
        <f>'Avg Week Bweya-Kajansi'!I69+'Avg Week Kajansi-Bweya'!I69</f>
        <v>2.5</v>
      </c>
      <c r="J69" s="49">
        <f>'Avg Week Bweya-Kajansi'!J69+'Avg Week Kajansi-Bweya'!J69</f>
        <v>1</v>
      </c>
      <c r="K69" s="49">
        <f>'Avg Week Bweya-Kajansi'!K69+'Avg Week Kajansi-Bweya'!K69</f>
        <v>0.5</v>
      </c>
      <c r="L69" s="49">
        <f>'Avg Week Bweya-Kajansi'!L69+'Avg Week Kajansi-Bweya'!L69</f>
        <v>0</v>
      </c>
      <c r="M69" s="49">
        <f>'Avg Week Bweya-Kajansi'!M69+'Avg Week Kajansi-Bweya'!M69</f>
        <v>22</v>
      </c>
      <c r="N69" s="49">
        <f>'Avg Week Bweya-Kajansi'!N69+'Avg Week Kajansi-Bweya'!N69</f>
        <v>0</v>
      </c>
      <c r="O69" s="15">
        <f t="shared" si="0"/>
        <v>75.5</v>
      </c>
      <c r="P69" s="15">
        <f t="shared" si="1"/>
        <v>97.5</v>
      </c>
      <c r="R69" s="8"/>
      <c r="T69"/>
    </row>
    <row r="70" spans="2:20" ht="23.1" customHeight="1" x14ac:dyDescent="0.25">
      <c r="B70" s="23" t="s">
        <v>110</v>
      </c>
      <c r="C70" s="49">
        <f>'Avg Week Bweya-Kajansi'!C70+'Avg Week Kajansi-Bweya'!C70</f>
        <v>59</v>
      </c>
      <c r="D70" s="49">
        <f>'Avg Week Bweya-Kajansi'!D70+'Avg Week Kajansi-Bweya'!D70</f>
        <v>15</v>
      </c>
      <c r="E70" s="49">
        <f>'Avg Week Bweya-Kajansi'!E70+'Avg Week Kajansi-Bweya'!E70</f>
        <v>5.5</v>
      </c>
      <c r="F70" s="49">
        <f>'Avg Week Bweya-Kajansi'!F70+'Avg Week Kajansi-Bweya'!F70</f>
        <v>5.5</v>
      </c>
      <c r="G70" s="49">
        <f>'Avg Week Bweya-Kajansi'!G70+'Avg Week Kajansi-Bweya'!G70</f>
        <v>0</v>
      </c>
      <c r="H70" s="49">
        <f>'Avg Week Bweya-Kajansi'!H70+'Avg Week Kajansi-Bweya'!H70</f>
        <v>0</v>
      </c>
      <c r="I70" s="49">
        <f>'Avg Week Bweya-Kajansi'!I70+'Avg Week Kajansi-Bweya'!I70</f>
        <v>3.5</v>
      </c>
      <c r="J70" s="49">
        <f>'Avg Week Bweya-Kajansi'!J70+'Avg Week Kajansi-Bweya'!J70</f>
        <v>0</v>
      </c>
      <c r="K70" s="49">
        <f>'Avg Week Bweya-Kajansi'!K70+'Avg Week Kajansi-Bweya'!K70</f>
        <v>0.5</v>
      </c>
      <c r="L70" s="49">
        <f>'Avg Week Bweya-Kajansi'!L70+'Avg Week Kajansi-Bweya'!L70</f>
        <v>0</v>
      </c>
      <c r="M70" s="49">
        <f>'Avg Week Bweya-Kajansi'!M70+'Avg Week Kajansi-Bweya'!M70</f>
        <v>34.5</v>
      </c>
      <c r="N70" s="49">
        <f>'Avg Week Bweya-Kajansi'!N70+'Avg Week Kajansi-Bweya'!N70</f>
        <v>0</v>
      </c>
      <c r="O70" s="15">
        <f t="shared" si="0"/>
        <v>89</v>
      </c>
      <c r="P70" s="15">
        <f t="shared" si="1"/>
        <v>123.5</v>
      </c>
      <c r="R70" s="8"/>
      <c r="T70"/>
    </row>
    <row r="71" spans="2:20" ht="23.1" customHeight="1" x14ac:dyDescent="0.25">
      <c r="B71" s="23" t="s">
        <v>111</v>
      </c>
      <c r="C71" s="49">
        <f>'Avg Week Bweya-Kajansi'!C71+'Avg Week Kajansi-Bweya'!C71</f>
        <v>56</v>
      </c>
      <c r="D71" s="49">
        <f>'Avg Week Bweya-Kajansi'!D71+'Avg Week Kajansi-Bweya'!D71</f>
        <v>14.5</v>
      </c>
      <c r="E71" s="49">
        <f>'Avg Week Bweya-Kajansi'!E71+'Avg Week Kajansi-Bweya'!E71</f>
        <v>5.5</v>
      </c>
      <c r="F71" s="49">
        <f>'Avg Week Bweya-Kajansi'!F71+'Avg Week Kajansi-Bweya'!F71</f>
        <v>5</v>
      </c>
      <c r="G71" s="49">
        <f>'Avg Week Bweya-Kajansi'!G71+'Avg Week Kajansi-Bweya'!G71</f>
        <v>1</v>
      </c>
      <c r="H71" s="49">
        <f>'Avg Week Bweya-Kajansi'!H71+'Avg Week Kajansi-Bweya'!H71</f>
        <v>0</v>
      </c>
      <c r="I71" s="49">
        <f>'Avg Week Bweya-Kajansi'!I71+'Avg Week Kajansi-Bweya'!I71</f>
        <v>2.5</v>
      </c>
      <c r="J71" s="49">
        <f>'Avg Week Bweya-Kajansi'!J71+'Avg Week Kajansi-Bweya'!J71</f>
        <v>0</v>
      </c>
      <c r="K71" s="49">
        <f>'Avg Week Bweya-Kajansi'!K71+'Avg Week Kajansi-Bweya'!K71</f>
        <v>0</v>
      </c>
      <c r="L71" s="49">
        <f>'Avg Week Bweya-Kajansi'!L71+'Avg Week Kajansi-Bweya'!L71</f>
        <v>0</v>
      </c>
      <c r="M71" s="49">
        <f>'Avg Week Bweya-Kajansi'!M71+'Avg Week Kajansi-Bweya'!M71</f>
        <v>18.5</v>
      </c>
      <c r="N71" s="49">
        <f>'Avg Week Bweya-Kajansi'!N71+'Avg Week Kajansi-Bweya'!N71</f>
        <v>0</v>
      </c>
      <c r="O71" s="15">
        <f t="shared" si="0"/>
        <v>84.5</v>
      </c>
      <c r="P71" s="15">
        <f t="shared" si="1"/>
        <v>103</v>
      </c>
      <c r="R71" s="8"/>
      <c r="T71"/>
    </row>
    <row r="72" spans="2:20" ht="23.1" customHeight="1" x14ac:dyDescent="0.25">
      <c r="B72" s="23" t="s">
        <v>112</v>
      </c>
      <c r="C72" s="49">
        <f>'Avg Week Bweya-Kajansi'!C72+'Avg Week Kajansi-Bweya'!C72</f>
        <v>47</v>
      </c>
      <c r="D72" s="49">
        <f>'Avg Week Bweya-Kajansi'!D72+'Avg Week Kajansi-Bweya'!D72</f>
        <v>15</v>
      </c>
      <c r="E72" s="49">
        <f>'Avg Week Bweya-Kajansi'!E72+'Avg Week Kajansi-Bweya'!E72</f>
        <v>3.5</v>
      </c>
      <c r="F72" s="49">
        <f>'Avg Week Bweya-Kajansi'!F72+'Avg Week Kajansi-Bweya'!F72</f>
        <v>1</v>
      </c>
      <c r="G72" s="49">
        <f>'Avg Week Bweya-Kajansi'!G72+'Avg Week Kajansi-Bweya'!G72</f>
        <v>1.5</v>
      </c>
      <c r="H72" s="49">
        <f>'Avg Week Bweya-Kajansi'!H72+'Avg Week Kajansi-Bweya'!H72</f>
        <v>0</v>
      </c>
      <c r="I72" s="49">
        <f>'Avg Week Bweya-Kajansi'!I72+'Avg Week Kajansi-Bweya'!I72</f>
        <v>0</v>
      </c>
      <c r="J72" s="49">
        <f>'Avg Week Bweya-Kajansi'!J72+'Avg Week Kajansi-Bweya'!J72</f>
        <v>1</v>
      </c>
      <c r="K72" s="49">
        <f>'Avg Week Bweya-Kajansi'!K72+'Avg Week Kajansi-Bweya'!K72</f>
        <v>0</v>
      </c>
      <c r="L72" s="49">
        <f>'Avg Week Bweya-Kajansi'!L72+'Avg Week Kajansi-Bweya'!L72</f>
        <v>0</v>
      </c>
      <c r="M72" s="49">
        <f>'Avg Week Bweya-Kajansi'!M72+'Avg Week Kajansi-Bweya'!M72</f>
        <v>22.5</v>
      </c>
      <c r="N72" s="49">
        <f>'Avg Week Bweya-Kajansi'!N72+'Avg Week Kajansi-Bweya'!N72</f>
        <v>0</v>
      </c>
      <c r="O72" s="15">
        <f t="shared" si="0"/>
        <v>69</v>
      </c>
      <c r="P72" s="15">
        <f t="shared" si="1"/>
        <v>91.5</v>
      </c>
      <c r="R72" s="8"/>
      <c r="T72"/>
    </row>
    <row r="73" spans="2:20" ht="23.1" customHeight="1" x14ac:dyDescent="0.25">
      <c r="B73" s="23" t="s">
        <v>113</v>
      </c>
      <c r="C73" s="49">
        <f>'Avg Week Bweya-Kajansi'!C73+'Avg Week Kajansi-Bweya'!C73</f>
        <v>28</v>
      </c>
      <c r="D73" s="49">
        <f>'Avg Week Bweya-Kajansi'!D73+'Avg Week Kajansi-Bweya'!D73</f>
        <v>13.5</v>
      </c>
      <c r="E73" s="49">
        <f>'Avg Week Bweya-Kajansi'!E73+'Avg Week Kajansi-Bweya'!E73</f>
        <v>2.5</v>
      </c>
      <c r="F73" s="49">
        <f>'Avg Week Bweya-Kajansi'!F73+'Avg Week Kajansi-Bweya'!F73</f>
        <v>2</v>
      </c>
      <c r="G73" s="49">
        <f>'Avg Week Bweya-Kajansi'!G73+'Avg Week Kajansi-Bweya'!G73</f>
        <v>0</v>
      </c>
      <c r="H73" s="49">
        <f>'Avg Week Bweya-Kajansi'!H73+'Avg Week Kajansi-Bweya'!H73</f>
        <v>0</v>
      </c>
      <c r="I73" s="49">
        <f>'Avg Week Bweya-Kajansi'!I73+'Avg Week Kajansi-Bweya'!I73</f>
        <v>2.5</v>
      </c>
      <c r="J73" s="49">
        <f>'Avg Week Bweya-Kajansi'!J73+'Avg Week Kajansi-Bweya'!J73</f>
        <v>0</v>
      </c>
      <c r="K73" s="49">
        <f>'Avg Week Bweya-Kajansi'!K73+'Avg Week Kajansi-Bweya'!K73</f>
        <v>0</v>
      </c>
      <c r="L73" s="49">
        <f>'Avg Week Bweya-Kajansi'!L73+'Avg Week Kajansi-Bweya'!L73</f>
        <v>0</v>
      </c>
      <c r="M73" s="49">
        <f>'Avg Week Bweya-Kajansi'!M73+'Avg Week Kajansi-Bweya'!M73</f>
        <v>18</v>
      </c>
      <c r="N73" s="49">
        <f>'Avg Week Bweya-Kajansi'!N73+'Avg Week Kajansi-Bweya'!N73</f>
        <v>0</v>
      </c>
      <c r="O73" s="15">
        <f t="shared" si="0"/>
        <v>48.5</v>
      </c>
      <c r="P73" s="15">
        <f t="shared" si="1"/>
        <v>66.5</v>
      </c>
      <c r="R73" s="8"/>
      <c r="T73"/>
    </row>
    <row r="74" spans="2:20" ht="23.1" customHeight="1" x14ac:dyDescent="0.25">
      <c r="B74" s="23" t="s">
        <v>114</v>
      </c>
      <c r="C74" s="49">
        <f>'Avg Week Bweya-Kajansi'!C74+'Avg Week Kajansi-Bweya'!C74</f>
        <v>29.5</v>
      </c>
      <c r="D74" s="49">
        <f>'Avg Week Bweya-Kajansi'!D74+'Avg Week Kajansi-Bweya'!D74</f>
        <v>17.5</v>
      </c>
      <c r="E74" s="49">
        <f>'Avg Week Bweya-Kajansi'!E74+'Avg Week Kajansi-Bweya'!E74</f>
        <v>3</v>
      </c>
      <c r="F74" s="49">
        <f>'Avg Week Bweya-Kajansi'!F74+'Avg Week Kajansi-Bweya'!F74</f>
        <v>1.5</v>
      </c>
      <c r="G74" s="49">
        <f>'Avg Week Bweya-Kajansi'!G74+'Avg Week Kajansi-Bweya'!G74</f>
        <v>0</v>
      </c>
      <c r="H74" s="49">
        <f>'Avg Week Bweya-Kajansi'!H74+'Avg Week Kajansi-Bweya'!H74</f>
        <v>0.5</v>
      </c>
      <c r="I74" s="49">
        <f>'Avg Week Bweya-Kajansi'!I74+'Avg Week Kajansi-Bweya'!I74</f>
        <v>3.5</v>
      </c>
      <c r="J74" s="49">
        <f>'Avg Week Bweya-Kajansi'!J74+'Avg Week Kajansi-Bweya'!J74</f>
        <v>1</v>
      </c>
      <c r="K74" s="49">
        <f>'Avg Week Bweya-Kajansi'!K74+'Avg Week Kajansi-Bweya'!K74</f>
        <v>0</v>
      </c>
      <c r="L74" s="49">
        <f>'Avg Week Bweya-Kajansi'!L74+'Avg Week Kajansi-Bweya'!L74</f>
        <v>0</v>
      </c>
      <c r="M74" s="49">
        <f>'Avg Week Bweya-Kajansi'!M74+'Avg Week Kajansi-Bweya'!M74</f>
        <v>19</v>
      </c>
      <c r="N74" s="49">
        <f>'Avg Week Bweya-Kajansi'!N74+'Avg Week Kajansi-Bweya'!N74</f>
        <v>0</v>
      </c>
      <c r="O74" s="15">
        <f t="shared" ref="O74:O105" si="35">SUM(C74:L74,N74)</f>
        <v>56.5</v>
      </c>
      <c r="P74" s="15">
        <f t="shared" ref="P74:P105" si="36">SUM(C74:N74)</f>
        <v>75.5</v>
      </c>
      <c r="R74" s="8"/>
      <c r="T74"/>
    </row>
    <row r="75" spans="2:20" ht="23.1" customHeight="1" x14ac:dyDescent="0.25">
      <c r="B75" s="23" t="s">
        <v>115</v>
      </c>
      <c r="C75" s="49">
        <f>'Avg Week Bweya-Kajansi'!C75+'Avg Week Kajansi-Bweya'!C75</f>
        <v>30</v>
      </c>
      <c r="D75" s="49">
        <f>'Avg Week Bweya-Kajansi'!D75+'Avg Week Kajansi-Bweya'!D75</f>
        <v>8</v>
      </c>
      <c r="E75" s="49">
        <f>'Avg Week Bweya-Kajansi'!E75+'Avg Week Kajansi-Bweya'!E75</f>
        <v>3.5</v>
      </c>
      <c r="F75" s="49">
        <f>'Avg Week Bweya-Kajansi'!F75+'Avg Week Kajansi-Bweya'!F75</f>
        <v>3</v>
      </c>
      <c r="G75" s="49">
        <f>'Avg Week Bweya-Kajansi'!G75+'Avg Week Kajansi-Bweya'!G75</f>
        <v>1</v>
      </c>
      <c r="H75" s="49">
        <f>'Avg Week Bweya-Kajansi'!H75+'Avg Week Kajansi-Bweya'!H75</f>
        <v>0.5</v>
      </c>
      <c r="I75" s="49">
        <f>'Avg Week Bweya-Kajansi'!I75+'Avg Week Kajansi-Bweya'!I75</f>
        <v>1</v>
      </c>
      <c r="J75" s="49">
        <f>'Avg Week Bweya-Kajansi'!J75+'Avg Week Kajansi-Bweya'!J75</f>
        <v>0</v>
      </c>
      <c r="K75" s="49">
        <f>'Avg Week Bweya-Kajansi'!K75+'Avg Week Kajansi-Bweya'!K75</f>
        <v>0</v>
      </c>
      <c r="L75" s="49">
        <f>'Avg Week Bweya-Kajansi'!L75+'Avg Week Kajansi-Bweya'!L75</f>
        <v>0</v>
      </c>
      <c r="M75" s="49">
        <f>'Avg Week Bweya-Kajansi'!M75+'Avg Week Kajansi-Bweya'!M75</f>
        <v>13</v>
      </c>
      <c r="N75" s="49">
        <f>'Avg Week Bweya-Kajansi'!N75+'Avg Week Kajansi-Bweya'!N75</f>
        <v>0</v>
      </c>
      <c r="O75" s="15">
        <f t="shared" si="35"/>
        <v>47</v>
      </c>
      <c r="P75" s="15">
        <f t="shared" si="36"/>
        <v>60</v>
      </c>
      <c r="R75" s="8"/>
      <c r="T75"/>
    </row>
    <row r="76" spans="2:20" ht="23.1" customHeight="1" x14ac:dyDescent="0.25">
      <c r="B76" s="23" t="s">
        <v>116</v>
      </c>
      <c r="C76" s="49">
        <f>'Avg Week Bweya-Kajansi'!C76+'Avg Week Kajansi-Bweya'!C76</f>
        <v>29</v>
      </c>
      <c r="D76" s="49">
        <f>'Avg Week Bweya-Kajansi'!D76+'Avg Week Kajansi-Bweya'!D76</f>
        <v>10</v>
      </c>
      <c r="E76" s="49">
        <f>'Avg Week Bweya-Kajansi'!E76+'Avg Week Kajansi-Bweya'!E76</f>
        <v>5</v>
      </c>
      <c r="F76" s="49">
        <f>'Avg Week Bweya-Kajansi'!F76+'Avg Week Kajansi-Bweya'!F76</f>
        <v>3</v>
      </c>
      <c r="G76" s="49">
        <f>'Avg Week Bweya-Kajansi'!G76+'Avg Week Kajansi-Bweya'!G76</f>
        <v>0</v>
      </c>
      <c r="H76" s="49">
        <f>'Avg Week Bweya-Kajansi'!H76+'Avg Week Kajansi-Bweya'!H76</f>
        <v>0.5</v>
      </c>
      <c r="I76" s="49">
        <f>'Avg Week Bweya-Kajansi'!I76+'Avg Week Kajansi-Bweya'!I76</f>
        <v>0.5</v>
      </c>
      <c r="J76" s="49">
        <f>'Avg Week Bweya-Kajansi'!J76+'Avg Week Kajansi-Bweya'!J76</f>
        <v>0</v>
      </c>
      <c r="K76" s="49">
        <f>'Avg Week Bweya-Kajansi'!K76+'Avg Week Kajansi-Bweya'!K76</f>
        <v>0</v>
      </c>
      <c r="L76" s="49">
        <f>'Avg Week Bweya-Kajansi'!L76+'Avg Week Kajansi-Bweya'!L76</f>
        <v>0</v>
      </c>
      <c r="M76" s="49">
        <f>'Avg Week Bweya-Kajansi'!M76+'Avg Week Kajansi-Bweya'!M76</f>
        <v>12</v>
      </c>
      <c r="N76" s="49">
        <f>'Avg Week Bweya-Kajansi'!N76+'Avg Week Kajansi-Bweya'!N76</f>
        <v>0</v>
      </c>
      <c r="O76" s="15">
        <f t="shared" si="35"/>
        <v>48</v>
      </c>
      <c r="P76" s="15">
        <f t="shared" si="36"/>
        <v>60</v>
      </c>
      <c r="R76" s="8"/>
      <c r="T76"/>
    </row>
    <row r="77" spans="2:20" ht="23.1" customHeight="1" x14ac:dyDescent="0.25">
      <c r="B77" s="23" t="s">
        <v>117</v>
      </c>
      <c r="C77" s="49">
        <f>'Avg Week Bweya-Kajansi'!C77+'Avg Week Kajansi-Bweya'!C77</f>
        <v>28.5</v>
      </c>
      <c r="D77" s="49">
        <f>'Avg Week Bweya-Kajansi'!D77+'Avg Week Kajansi-Bweya'!D77</f>
        <v>8.5</v>
      </c>
      <c r="E77" s="49">
        <f>'Avg Week Bweya-Kajansi'!E77+'Avg Week Kajansi-Bweya'!E77</f>
        <v>1</v>
      </c>
      <c r="F77" s="49">
        <f>'Avg Week Bweya-Kajansi'!F77+'Avg Week Kajansi-Bweya'!F77</f>
        <v>1.5</v>
      </c>
      <c r="G77" s="49">
        <f>'Avg Week Bweya-Kajansi'!G77+'Avg Week Kajansi-Bweya'!G77</f>
        <v>0</v>
      </c>
      <c r="H77" s="49">
        <f>'Avg Week Bweya-Kajansi'!H77+'Avg Week Kajansi-Bweya'!H77</f>
        <v>0</v>
      </c>
      <c r="I77" s="49">
        <f>'Avg Week Bweya-Kajansi'!I77+'Avg Week Kajansi-Bweya'!I77</f>
        <v>0</v>
      </c>
      <c r="J77" s="49">
        <f>'Avg Week Bweya-Kajansi'!J77+'Avg Week Kajansi-Bweya'!J77</f>
        <v>0</v>
      </c>
      <c r="K77" s="49">
        <f>'Avg Week Bweya-Kajansi'!K77+'Avg Week Kajansi-Bweya'!K77</f>
        <v>0</v>
      </c>
      <c r="L77" s="49">
        <f>'Avg Week Bweya-Kajansi'!L77+'Avg Week Kajansi-Bweya'!L77</f>
        <v>0</v>
      </c>
      <c r="M77" s="49">
        <f>'Avg Week Bweya-Kajansi'!M77+'Avg Week Kajansi-Bweya'!M77</f>
        <v>17</v>
      </c>
      <c r="N77" s="49">
        <f>'Avg Week Bweya-Kajansi'!N77+'Avg Week Kajansi-Bweya'!N77</f>
        <v>0</v>
      </c>
      <c r="O77" s="15">
        <f t="shared" si="35"/>
        <v>39.5</v>
      </c>
      <c r="P77" s="15">
        <f t="shared" si="36"/>
        <v>56.5</v>
      </c>
      <c r="R77" s="8"/>
      <c r="T77"/>
    </row>
    <row r="78" spans="2:20" ht="23.1" customHeight="1" x14ac:dyDescent="0.25">
      <c r="B78" s="24" t="s">
        <v>118</v>
      </c>
      <c r="C78" s="49">
        <f>'Avg Week Bweya-Kajansi'!C78+'Avg Week Kajansi-Bweya'!C78</f>
        <v>28.5</v>
      </c>
      <c r="D78" s="49">
        <f>'Avg Week Bweya-Kajansi'!D78+'Avg Week Kajansi-Bweya'!D78</f>
        <v>9.5</v>
      </c>
      <c r="E78" s="49">
        <f>'Avg Week Bweya-Kajansi'!E78+'Avg Week Kajansi-Bweya'!E78</f>
        <v>2.5</v>
      </c>
      <c r="F78" s="49">
        <f>'Avg Week Bweya-Kajansi'!F78+'Avg Week Kajansi-Bweya'!F78</f>
        <v>1.5</v>
      </c>
      <c r="G78" s="49">
        <f>'Avg Week Bweya-Kajansi'!G78+'Avg Week Kajansi-Bweya'!G78</f>
        <v>0</v>
      </c>
      <c r="H78" s="49">
        <f>'Avg Week Bweya-Kajansi'!H78+'Avg Week Kajansi-Bweya'!H78</f>
        <v>0</v>
      </c>
      <c r="I78" s="49">
        <f>'Avg Week Bweya-Kajansi'!I78+'Avg Week Kajansi-Bweya'!I78</f>
        <v>1.5</v>
      </c>
      <c r="J78" s="49">
        <f>'Avg Week Bweya-Kajansi'!J78+'Avg Week Kajansi-Bweya'!J78</f>
        <v>0</v>
      </c>
      <c r="K78" s="49">
        <f>'Avg Week Bweya-Kajansi'!K78+'Avg Week Kajansi-Bweya'!K78</f>
        <v>1</v>
      </c>
      <c r="L78" s="49">
        <f>'Avg Week Bweya-Kajansi'!L78+'Avg Week Kajansi-Bweya'!L78</f>
        <v>0</v>
      </c>
      <c r="M78" s="49">
        <f>'Avg Week Bweya-Kajansi'!M78+'Avg Week Kajansi-Bweya'!M78</f>
        <v>13.5</v>
      </c>
      <c r="N78" s="49">
        <f>'Avg Week Bweya-Kajansi'!N78+'Avg Week Kajansi-Bweya'!N78</f>
        <v>0</v>
      </c>
      <c r="O78" s="15">
        <f t="shared" si="35"/>
        <v>44.5</v>
      </c>
      <c r="P78" s="15">
        <f t="shared" si="36"/>
        <v>58</v>
      </c>
      <c r="R78" s="8"/>
      <c r="T78"/>
    </row>
    <row r="79" spans="2:20" ht="23.1" customHeight="1" x14ac:dyDescent="0.25">
      <c r="B79" s="23" t="s">
        <v>119</v>
      </c>
      <c r="C79" s="49">
        <f>'Avg Week Bweya-Kajansi'!C79+'Avg Week Kajansi-Bweya'!C79</f>
        <v>14</v>
      </c>
      <c r="D79" s="49">
        <f>'Avg Week Bweya-Kajansi'!D79+'Avg Week Kajansi-Bweya'!D79</f>
        <v>4.5</v>
      </c>
      <c r="E79" s="49">
        <f>'Avg Week Bweya-Kajansi'!E79+'Avg Week Kajansi-Bweya'!E79</f>
        <v>0.5</v>
      </c>
      <c r="F79" s="49">
        <f>'Avg Week Bweya-Kajansi'!F79+'Avg Week Kajansi-Bweya'!F79</f>
        <v>0</v>
      </c>
      <c r="G79" s="49">
        <f>'Avg Week Bweya-Kajansi'!G79+'Avg Week Kajansi-Bweya'!G79</f>
        <v>0</v>
      </c>
      <c r="H79" s="49">
        <f>'Avg Week Bweya-Kajansi'!H79+'Avg Week Kajansi-Bweya'!H79</f>
        <v>0</v>
      </c>
      <c r="I79" s="49">
        <f>'Avg Week Bweya-Kajansi'!I79+'Avg Week Kajansi-Bweya'!I79</f>
        <v>1</v>
      </c>
      <c r="J79" s="49">
        <f>'Avg Week Bweya-Kajansi'!J79+'Avg Week Kajansi-Bweya'!J79</f>
        <v>0</v>
      </c>
      <c r="K79" s="49">
        <f>'Avg Week Bweya-Kajansi'!K79+'Avg Week Kajansi-Bweya'!K79</f>
        <v>0</v>
      </c>
      <c r="L79" s="49">
        <f>'Avg Week Bweya-Kajansi'!L79+'Avg Week Kajansi-Bweya'!L79</f>
        <v>0</v>
      </c>
      <c r="M79" s="49">
        <f>'Avg Week Bweya-Kajansi'!M79+'Avg Week Kajansi-Bweya'!M79</f>
        <v>8.5</v>
      </c>
      <c r="N79" s="49">
        <f>'Avg Week Bweya-Kajansi'!N79+'Avg Week Kajansi-Bweya'!N79</f>
        <v>0</v>
      </c>
      <c r="O79" s="15">
        <f t="shared" si="35"/>
        <v>20</v>
      </c>
      <c r="P79" s="15">
        <f t="shared" si="36"/>
        <v>28.5</v>
      </c>
      <c r="R79" s="8"/>
      <c r="T79"/>
    </row>
    <row r="80" spans="2:20" ht="23.1" customHeight="1" x14ac:dyDescent="0.25">
      <c r="B80" s="25" t="s">
        <v>120</v>
      </c>
      <c r="C80" s="49">
        <f>'Avg Week Bweya-Kajansi'!C80+'Avg Week Kajansi-Bweya'!C80</f>
        <v>12</v>
      </c>
      <c r="D80" s="49">
        <f>'Avg Week Bweya-Kajansi'!D80+'Avg Week Kajansi-Bweya'!D80</f>
        <v>6</v>
      </c>
      <c r="E80" s="49">
        <f>'Avg Week Bweya-Kajansi'!E80+'Avg Week Kajansi-Bweya'!E80</f>
        <v>1</v>
      </c>
      <c r="F80" s="49">
        <f>'Avg Week Bweya-Kajansi'!F80+'Avg Week Kajansi-Bweya'!F80</f>
        <v>1</v>
      </c>
      <c r="G80" s="49">
        <f>'Avg Week Bweya-Kajansi'!G80+'Avg Week Kajansi-Bweya'!G80</f>
        <v>0</v>
      </c>
      <c r="H80" s="49">
        <f>'Avg Week Bweya-Kajansi'!H80+'Avg Week Kajansi-Bweya'!H80</f>
        <v>0</v>
      </c>
      <c r="I80" s="49">
        <f>'Avg Week Bweya-Kajansi'!I80+'Avg Week Kajansi-Bweya'!I80</f>
        <v>0.5</v>
      </c>
      <c r="J80" s="49">
        <f>'Avg Week Bweya-Kajansi'!J80+'Avg Week Kajansi-Bweya'!J80</f>
        <v>0</v>
      </c>
      <c r="K80" s="49">
        <f>'Avg Week Bweya-Kajansi'!K80+'Avg Week Kajansi-Bweya'!K80</f>
        <v>0.5</v>
      </c>
      <c r="L80" s="49">
        <f>'Avg Week Bweya-Kajansi'!L80+'Avg Week Kajansi-Bweya'!L80</f>
        <v>0</v>
      </c>
      <c r="M80" s="49">
        <f>'Avg Week Bweya-Kajansi'!M80+'Avg Week Kajansi-Bweya'!M80</f>
        <v>4</v>
      </c>
      <c r="N80" s="49">
        <f>'Avg Week Bweya-Kajansi'!N80+'Avg Week Kajansi-Bweya'!N80</f>
        <v>0</v>
      </c>
      <c r="O80" s="15">
        <f t="shared" si="35"/>
        <v>21</v>
      </c>
      <c r="P80" s="15">
        <f t="shared" si="36"/>
        <v>25</v>
      </c>
      <c r="R80" s="8"/>
      <c r="T80"/>
    </row>
    <row r="81" spans="2:20" ht="23.1" customHeight="1" x14ac:dyDescent="0.25">
      <c r="B81" s="23" t="s">
        <v>121</v>
      </c>
      <c r="C81" s="49">
        <f>'Avg Week Bweya-Kajansi'!C81+'Avg Week Kajansi-Bweya'!C81</f>
        <v>11.5</v>
      </c>
      <c r="D81" s="49">
        <f>'Avg Week Bweya-Kajansi'!D81+'Avg Week Kajansi-Bweya'!D81</f>
        <v>3.5</v>
      </c>
      <c r="E81" s="49">
        <f>'Avg Week Bweya-Kajansi'!E81+'Avg Week Kajansi-Bweya'!E81</f>
        <v>2</v>
      </c>
      <c r="F81" s="49">
        <f>'Avg Week Bweya-Kajansi'!F81+'Avg Week Kajansi-Bweya'!F81</f>
        <v>1.5</v>
      </c>
      <c r="G81" s="49">
        <f>'Avg Week Bweya-Kajansi'!G81+'Avg Week Kajansi-Bweya'!G81</f>
        <v>0</v>
      </c>
      <c r="H81" s="49">
        <f>'Avg Week Bweya-Kajansi'!H81+'Avg Week Kajansi-Bweya'!H81</f>
        <v>0</v>
      </c>
      <c r="I81" s="49">
        <f>'Avg Week Bweya-Kajansi'!I81+'Avg Week Kajansi-Bweya'!I81</f>
        <v>1</v>
      </c>
      <c r="J81" s="49">
        <f>'Avg Week Bweya-Kajansi'!J81+'Avg Week Kajansi-Bweya'!J81</f>
        <v>0</v>
      </c>
      <c r="K81" s="49">
        <f>'Avg Week Bweya-Kajansi'!K81+'Avg Week Kajansi-Bweya'!K81</f>
        <v>0</v>
      </c>
      <c r="L81" s="49">
        <f>'Avg Week Bweya-Kajansi'!L81+'Avg Week Kajansi-Bweya'!L81</f>
        <v>0</v>
      </c>
      <c r="M81" s="49">
        <f>'Avg Week Bweya-Kajansi'!M81+'Avg Week Kajansi-Bweya'!M81</f>
        <v>11.5</v>
      </c>
      <c r="N81" s="49">
        <f>'Avg Week Bweya-Kajansi'!N81+'Avg Week Kajansi-Bweya'!N81</f>
        <v>0</v>
      </c>
      <c r="O81" s="15">
        <f t="shared" si="35"/>
        <v>19.5</v>
      </c>
      <c r="P81" s="15">
        <f t="shared" si="36"/>
        <v>31</v>
      </c>
      <c r="R81" s="8"/>
      <c r="T81"/>
    </row>
    <row r="82" spans="2:20" ht="23.1" customHeight="1" x14ac:dyDescent="0.25">
      <c r="B82" s="24" t="s">
        <v>122</v>
      </c>
      <c r="C82" s="49">
        <f>'Avg Week Bweya-Kajansi'!C82+'Avg Week Kajansi-Bweya'!C82</f>
        <v>10.5</v>
      </c>
      <c r="D82" s="49">
        <f>'Avg Week Bweya-Kajansi'!D82+'Avg Week Kajansi-Bweya'!D82</f>
        <v>3.5</v>
      </c>
      <c r="E82" s="49">
        <f>'Avg Week Bweya-Kajansi'!E82+'Avg Week Kajansi-Bweya'!E82</f>
        <v>1</v>
      </c>
      <c r="F82" s="49">
        <f>'Avg Week Bweya-Kajansi'!F82+'Avg Week Kajansi-Bweya'!F82</f>
        <v>1</v>
      </c>
      <c r="G82" s="49">
        <f>'Avg Week Bweya-Kajansi'!G82+'Avg Week Kajansi-Bweya'!G82</f>
        <v>0</v>
      </c>
      <c r="H82" s="49">
        <f>'Avg Week Bweya-Kajansi'!H82+'Avg Week Kajansi-Bweya'!H82</f>
        <v>0</v>
      </c>
      <c r="I82" s="49">
        <f>'Avg Week Bweya-Kajansi'!I82+'Avg Week Kajansi-Bweya'!I82</f>
        <v>0</v>
      </c>
      <c r="J82" s="49">
        <f>'Avg Week Bweya-Kajansi'!J82+'Avg Week Kajansi-Bweya'!J82</f>
        <v>0</v>
      </c>
      <c r="K82" s="49">
        <f>'Avg Week Bweya-Kajansi'!K82+'Avg Week Kajansi-Bweya'!K82</f>
        <v>0</v>
      </c>
      <c r="L82" s="49">
        <f>'Avg Week Bweya-Kajansi'!L82+'Avg Week Kajansi-Bweya'!L82</f>
        <v>0</v>
      </c>
      <c r="M82" s="49">
        <f>'Avg Week Bweya-Kajansi'!M82+'Avg Week Kajansi-Bweya'!M82</f>
        <v>6</v>
      </c>
      <c r="N82" s="49">
        <f>'Avg Week Bweya-Kajansi'!N82+'Avg Week Kajansi-Bweya'!N82</f>
        <v>0</v>
      </c>
      <c r="O82" s="15">
        <f t="shared" si="35"/>
        <v>16</v>
      </c>
      <c r="P82" s="15">
        <f t="shared" si="36"/>
        <v>22</v>
      </c>
      <c r="R82" s="8"/>
      <c r="T82"/>
    </row>
    <row r="83" spans="2:20" ht="23.1" customHeight="1" x14ac:dyDescent="0.25">
      <c r="B83" s="23" t="s">
        <v>123</v>
      </c>
      <c r="C83" s="49">
        <f>'Avg Week Bweya-Kajansi'!C83+'Avg Week Kajansi-Bweya'!C83</f>
        <v>5</v>
      </c>
      <c r="D83" s="49">
        <f>'Avg Week Bweya-Kajansi'!D83+'Avg Week Kajansi-Bweya'!D83</f>
        <v>3.5</v>
      </c>
      <c r="E83" s="49">
        <f>'Avg Week Bweya-Kajansi'!E83+'Avg Week Kajansi-Bweya'!E83</f>
        <v>0.5</v>
      </c>
      <c r="F83" s="49">
        <f>'Avg Week Bweya-Kajansi'!F83+'Avg Week Kajansi-Bweya'!F83</f>
        <v>0</v>
      </c>
      <c r="G83" s="49">
        <f>'Avg Week Bweya-Kajansi'!G83+'Avg Week Kajansi-Bweya'!G83</f>
        <v>0</v>
      </c>
      <c r="H83" s="49">
        <f>'Avg Week Bweya-Kajansi'!H83+'Avg Week Kajansi-Bweya'!H83</f>
        <v>0</v>
      </c>
      <c r="I83" s="49">
        <f>'Avg Week Bweya-Kajansi'!I83+'Avg Week Kajansi-Bweya'!I83</f>
        <v>1.5</v>
      </c>
      <c r="J83" s="49">
        <f>'Avg Week Bweya-Kajansi'!J83+'Avg Week Kajansi-Bweya'!J83</f>
        <v>0.5</v>
      </c>
      <c r="K83" s="49">
        <f>'Avg Week Bweya-Kajansi'!K83+'Avg Week Kajansi-Bweya'!K83</f>
        <v>0</v>
      </c>
      <c r="L83" s="49">
        <f>'Avg Week Bweya-Kajansi'!L83+'Avg Week Kajansi-Bweya'!L83</f>
        <v>0</v>
      </c>
      <c r="M83" s="49">
        <f>'Avg Week Bweya-Kajansi'!M83+'Avg Week Kajansi-Bweya'!M83</f>
        <v>7.5</v>
      </c>
      <c r="N83" s="49">
        <f>'Avg Week Bweya-Kajansi'!N83+'Avg Week Kajansi-Bweya'!N83</f>
        <v>0</v>
      </c>
      <c r="O83" s="15">
        <f t="shared" si="35"/>
        <v>11</v>
      </c>
      <c r="P83" s="15">
        <f t="shared" si="36"/>
        <v>18.5</v>
      </c>
      <c r="R83" s="8"/>
      <c r="T83"/>
    </row>
    <row r="84" spans="2:20" ht="23.1" customHeight="1" x14ac:dyDescent="0.25">
      <c r="B84" s="25" t="s">
        <v>124</v>
      </c>
      <c r="C84" s="49">
        <f>'Avg Week Bweya-Kajansi'!C84+'Avg Week Kajansi-Bweya'!C84</f>
        <v>8</v>
      </c>
      <c r="D84" s="49">
        <f>'Avg Week Bweya-Kajansi'!D84+'Avg Week Kajansi-Bweya'!D84</f>
        <v>4</v>
      </c>
      <c r="E84" s="49">
        <f>'Avg Week Bweya-Kajansi'!E84+'Avg Week Kajansi-Bweya'!E84</f>
        <v>2.5</v>
      </c>
      <c r="F84" s="49">
        <f>'Avg Week Bweya-Kajansi'!F84+'Avg Week Kajansi-Bweya'!F84</f>
        <v>1.5</v>
      </c>
      <c r="G84" s="49">
        <f>'Avg Week Bweya-Kajansi'!G84+'Avg Week Kajansi-Bweya'!G84</f>
        <v>0</v>
      </c>
      <c r="H84" s="49">
        <f>'Avg Week Bweya-Kajansi'!H84+'Avg Week Kajansi-Bweya'!H84</f>
        <v>0</v>
      </c>
      <c r="I84" s="49">
        <f>'Avg Week Bweya-Kajansi'!I84+'Avg Week Kajansi-Bweya'!I84</f>
        <v>0.5</v>
      </c>
      <c r="J84" s="49">
        <f>'Avg Week Bweya-Kajansi'!J84+'Avg Week Kajansi-Bweya'!J84</f>
        <v>0</v>
      </c>
      <c r="K84" s="49">
        <f>'Avg Week Bweya-Kajansi'!K84+'Avg Week Kajansi-Bweya'!K84</f>
        <v>1</v>
      </c>
      <c r="L84" s="49">
        <f>'Avg Week Bweya-Kajansi'!L84+'Avg Week Kajansi-Bweya'!L84</f>
        <v>0</v>
      </c>
      <c r="M84" s="49">
        <f>'Avg Week Bweya-Kajansi'!M84+'Avg Week Kajansi-Bweya'!M84</f>
        <v>7</v>
      </c>
      <c r="N84" s="49">
        <f>'Avg Week Bweya-Kajansi'!N84+'Avg Week Kajansi-Bweya'!N84</f>
        <v>0</v>
      </c>
      <c r="O84" s="15">
        <f t="shared" si="35"/>
        <v>17.5</v>
      </c>
      <c r="P84" s="15">
        <f t="shared" si="36"/>
        <v>24.5</v>
      </c>
      <c r="R84" s="8"/>
      <c r="T84"/>
    </row>
    <row r="85" spans="2:20" ht="23.1" customHeight="1" x14ac:dyDescent="0.25">
      <c r="B85" s="23" t="s">
        <v>125</v>
      </c>
      <c r="C85" s="49">
        <f>'Avg Week Bweya-Kajansi'!C85+'Avg Week Kajansi-Bweya'!C85</f>
        <v>8.5</v>
      </c>
      <c r="D85" s="49">
        <f>'Avg Week Bweya-Kajansi'!D85+'Avg Week Kajansi-Bweya'!D85</f>
        <v>3.5</v>
      </c>
      <c r="E85" s="49">
        <f>'Avg Week Bweya-Kajansi'!E85+'Avg Week Kajansi-Bweya'!E85</f>
        <v>0.5</v>
      </c>
      <c r="F85" s="49">
        <f>'Avg Week Bweya-Kajansi'!F85+'Avg Week Kajansi-Bweya'!F85</f>
        <v>0</v>
      </c>
      <c r="G85" s="49">
        <f>'Avg Week Bweya-Kajansi'!G85+'Avg Week Kajansi-Bweya'!G85</f>
        <v>0</v>
      </c>
      <c r="H85" s="49">
        <f>'Avg Week Bweya-Kajansi'!H85+'Avg Week Kajansi-Bweya'!H85</f>
        <v>0</v>
      </c>
      <c r="I85" s="49">
        <f>'Avg Week Bweya-Kajansi'!I85+'Avg Week Kajansi-Bweya'!I85</f>
        <v>1</v>
      </c>
      <c r="J85" s="49">
        <f>'Avg Week Bweya-Kajansi'!J85+'Avg Week Kajansi-Bweya'!J85</f>
        <v>0</v>
      </c>
      <c r="K85" s="49">
        <f>'Avg Week Bweya-Kajansi'!K85+'Avg Week Kajansi-Bweya'!K85</f>
        <v>0</v>
      </c>
      <c r="L85" s="49">
        <f>'Avg Week Bweya-Kajansi'!L85+'Avg Week Kajansi-Bweya'!L85</f>
        <v>0</v>
      </c>
      <c r="M85" s="49">
        <f>'Avg Week Bweya-Kajansi'!M85+'Avg Week Kajansi-Bweya'!M85</f>
        <v>3.5</v>
      </c>
      <c r="N85" s="49">
        <f>'Avg Week Bweya-Kajansi'!N85+'Avg Week Kajansi-Bweya'!N85</f>
        <v>0</v>
      </c>
      <c r="O85" s="15">
        <f t="shared" si="35"/>
        <v>13.5</v>
      </c>
      <c r="P85" s="15">
        <f t="shared" si="36"/>
        <v>17</v>
      </c>
      <c r="R85" s="8"/>
      <c r="T85"/>
    </row>
    <row r="86" spans="2:20" ht="23.1" customHeight="1" x14ac:dyDescent="0.25">
      <c r="B86" s="24" t="s">
        <v>126</v>
      </c>
      <c r="C86" s="49">
        <f>'Avg Week Bweya-Kajansi'!C86+'Avg Week Kajansi-Bweya'!C86</f>
        <v>9.5</v>
      </c>
      <c r="D86" s="49">
        <f>'Avg Week Bweya-Kajansi'!D86+'Avg Week Kajansi-Bweya'!D86</f>
        <v>6.5</v>
      </c>
      <c r="E86" s="49">
        <f>'Avg Week Bweya-Kajansi'!E86+'Avg Week Kajansi-Bweya'!E86</f>
        <v>1.5</v>
      </c>
      <c r="F86" s="49">
        <f>'Avg Week Bweya-Kajansi'!F86+'Avg Week Kajansi-Bweya'!F86</f>
        <v>0.5</v>
      </c>
      <c r="G86" s="49">
        <f>'Avg Week Bweya-Kajansi'!G86+'Avg Week Kajansi-Bweya'!G86</f>
        <v>0.5</v>
      </c>
      <c r="H86" s="49">
        <f>'Avg Week Bweya-Kajansi'!H86+'Avg Week Kajansi-Bweya'!H86</f>
        <v>0.5</v>
      </c>
      <c r="I86" s="49">
        <f>'Avg Week Bweya-Kajansi'!I86+'Avg Week Kajansi-Bweya'!I86</f>
        <v>0.5</v>
      </c>
      <c r="J86" s="49">
        <f>'Avg Week Bweya-Kajansi'!J86+'Avg Week Kajansi-Bweya'!J86</f>
        <v>0</v>
      </c>
      <c r="K86" s="49">
        <f>'Avg Week Bweya-Kajansi'!K86+'Avg Week Kajansi-Bweya'!K86</f>
        <v>0.5</v>
      </c>
      <c r="L86" s="49">
        <f>'Avg Week Bweya-Kajansi'!L86+'Avg Week Kajansi-Bweya'!L86</f>
        <v>0</v>
      </c>
      <c r="M86" s="49">
        <f>'Avg Week Bweya-Kajansi'!M86+'Avg Week Kajansi-Bweya'!M86</f>
        <v>7</v>
      </c>
      <c r="N86" s="49">
        <f>'Avg Week Bweya-Kajansi'!N86+'Avg Week Kajansi-Bweya'!N86</f>
        <v>0</v>
      </c>
      <c r="O86" s="15">
        <f t="shared" si="35"/>
        <v>20</v>
      </c>
      <c r="P86" s="15">
        <f t="shared" si="36"/>
        <v>27</v>
      </c>
      <c r="R86" s="8"/>
      <c r="T86"/>
    </row>
    <row r="87" spans="2:20" ht="23.1" customHeight="1" x14ac:dyDescent="0.25">
      <c r="B87" s="23" t="s">
        <v>127</v>
      </c>
      <c r="C87" s="49">
        <f>'Avg Week Bweya-Kajansi'!C87+'Avg Week Kajansi-Bweya'!C87</f>
        <v>4.5</v>
      </c>
      <c r="D87" s="49">
        <f>'Avg Week Bweya-Kajansi'!D87+'Avg Week Kajansi-Bweya'!D87</f>
        <v>3.5</v>
      </c>
      <c r="E87" s="49">
        <f>'Avg Week Bweya-Kajansi'!E87+'Avg Week Kajansi-Bweya'!E87</f>
        <v>1</v>
      </c>
      <c r="F87" s="49">
        <f>'Avg Week Bweya-Kajansi'!F87+'Avg Week Kajansi-Bweya'!F87</f>
        <v>0.5</v>
      </c>
      <c r="G87" s="49">
        <f>'Avg Week Bweya-Kajansi'!G87+'Avg Week Kajansi-Bweya'!G87</f>
        <v>0</v>
      </c>
      <c r="H87" s="49">
        <f>'Avg Week Bweya-Kajansi'!H87+'Avg Week Kajansi-Bweya'!H87</f>
        <v>0</v>
      </c>
      <c r="I87" s="49">
        <f>'Avg Week Bweya-Kajansi'!I87+'Avg Week Kajansi-Bweya'!I87</f>
        <v>0.5</v>
      </c>
      <c r="J87" s="49">
        <f>'Avg Week Bweya-Kajansi'!J87+'Avg Week Kajansi-Bweya'!J87</f>
        <v>0</v>
      </c>
      <c r="K87" s="49">
        <f>'Avg Week Bweya-Kajansi'!K87+'Avg Week Kajansi-Bweya'!K87</f>
        <v>0</v>
      </c>
      <c r="L87" s="49">
        <f>'Avg Week Bweya-Kajansi'!L87+'Avg Week Kajansi-Bweya'!L87</f>
        <v>0</v>
      </c>
      <c r="M87" s="49">
        <f>'Avg Week Bweya-Kajansi'!M87+'Avg Week Kajansi-Bweya'!M87</f>
        <v>4.5</v>
      </c>
      <c r="N87" s="49">
        <f>'Avg Week Bweya-Kajansi'!N87+'Avg Week Kajansi-Bweya'!N87</f>
        <v>0</v>
      </c>
      <c r="O87" s="15">
        <f t="shared" si="35"/>
        <v>10</v>
      </c>
      <c r="P87" s="15">
        <f t="shared" si="36"/>
        <v>14.5</v>
      </c>
      <c r="R87" s="8"/>
      <c r="T87"/>
    </row>
    <row r="88" spans="2:20" ht="23.1" customHeight="1" x14ac:dyDescent="0.25">
      <c r="B88" s="25" t="s">
        <v>128</v>
      </c>
      <c r="C88" s="49">
        <f>'Avg Week Bweya-Kajansi'!C88+'Avg Week Kajansi-Bweya'!C88</f>
        <v>11</v>
      </c>
      <c r="D88" s="49">
        <f>'Avg Week Bweya-Kajansi'!D88+'Avg Week Kajansi-Bweya'!D88</f>
        <v>3</v>
      </c>
      <c r="E88" s="49">
        <f>'Avg Week Bweya-Kajansi'!E88+'Avg Week Kajansi-Bweya'!E88</f>
        <v>1</v>
      </c>
      <c r="F88" s="49">
        <f>'Avg Week Bweya-Kajansi'!F88+'Avg Week Kajansi-Bweya'!F88</f>
        <v>2</v>
      </c>
      <c r="G88" s="49">
        <f>'Avg Week Bweya-Kajansi'!G88+'Avg Week Kajansi-Bweya'!G88</f>
        <v>0</v>
      </c>
      <c r="H88" s="49">
        <f>'Avg Week Bweya-Kajansi'!H88+'Avg Week Kajansi-Bweya'!H88</f>
        <v>0.5</v>
      </c>
      <c r="I88" s="49">
        <f>'Avg Week Bweya-Kajansi'!I88+'Avg Week Kajansi-Bweya'!I88</f>
        <v>0</v>
      </c>
      <c r="J88" s="49">
        <f>'Avg Week Bweya-Kajansi'!J88+'Avg Week Kajansi-Bweya'!J88</f>
        <v>0</v>
      </c>
      <c r="K88" s="49">
        <f>'Avg Week Bweya-Kajansi'!K88+'Avg Week Kajansi-Bweya'!K88</f>
        <v>0</v>
      </c>
      <c r="L88" s="49">
        <f>'Avg Week Bweya-Kajansi'!L88+'Avg Week Kajansi-Bweya'!L88</f>
        <v>0</v>
      </c>
      <c r="M88" s="49">
        <f>'Avg Week Bweya-Kajansi'!M88+'Avg Week Kajansi-Bweya'!M88</f>
        <v>4.5</v>
      </c>
      <c r="N88" s="49">
        <f>'Avg Week Bweya-Kajansi'!N88+'Avg Week Kajansi-Bweya'!N88</f>
        <v>0</v>
      </c>
      <c r="O88" s="15">
        <f t="shared" si="35"/>
        <v>17.5</v>
      </c>
      <c r="P88" s="15">
        <f t="shared" si="36"/>
        <v>22</v>
      </c>
      <c r="R88" s="8"/>
      <c r="T88"/>
    </row>
    <row r="89" spans="2:20" ht="23.1" customHeight="1" x14ac:dyDescent="0.25">
      <c r="B89" s="23" t="s">
        <v>129</v>
      </c>
      <c r="C89" s="49">
        <f>'Avg Week Bweya-Kajansi'!C89+'Avg Week Kajansi-Bweya'!C89</f>
        <v>8.5</v>
      </c>
      <c r="D89" s="49">
        <f>'Avg Week Bweya-Kajansi'!D89+'Avg Week Kajansi-Bweya'!D89</f>
        <v>0.5</v>
      </c>
      <c r="E89" s="49">
        <f>'Avg Week Bweya-Kajansi'!E89+'Avg Week Kajansi-Bweya'!E89</f>
        <v>0.5</v>
      </c>
      <c r="F89" s="49">
        <f>'Avg Week Bweya-Kajansi'!F89+'Avg Week Kajansi-Bweya'!F89</f>
        <v>0</v>
      </c>
      <c r="G89" s="49">
        <f>'Avg Week Bweya-Kajansi'!G89+'Avg Week Kajansi-Bweya'!G89</f>
        <v>0</v>
      </c>
      <c r="H89" s="49">
        <f>'Avg Week Bweya-Kajansi'!H89+'Avg Week Kajansi-Bweya'!H89</f>
        <v>0</v>
      </c>
      <c r="I89" s="49">
        <f>'Avg Week Bweya-Kajansi'!I89+'Avg Week Kajansi-Bweya'!I89</f>
        <v>0</v>
      </c>
      <c r="J89" s="49">
        <f>'Avg Week Bweya-Kajansi'!J89+'Avg Week Kajansi-Bweya'!J89</f>
        <v>0</v>
      </c>
      <c r="K89" s="49">
        <f>'Avg Week Bweya-Kajansi'!K89+'Avg Week Kajansi-Bweya'!K89</f>
        <v>0</v>
      </c>
      <c r="L89" s="49">
        <f>'Avg Week Bweya-Kajansi'!L89+'Avg Week Kajansi-Bweya'!L89</f>
        <v>0</v>
      </c>
      <c r="M89" s="49">
        <f>'Avg Week Bweya-Kajansi'!M89+'Avg Week Kajansi-Bweya'!M89</f>
        <v>4</v>
      </c>
      <c r="N89" s="49">
        <f>'Avg Week Bweya-Kajansi'!N89+'Avg Week Kajansi-Bweya'!N89</f>
        <v>0</v>
      </c>
      <c r="O89" s="15">
        <f t="shared" si="35"/>
        <v>9.5</v>
      </c>
      <c r="P89" s="15">
        <f t="shared" si="36"/>
        <v>13.5</v>
      </c>
      <c r="R89" s="8"/>
      <c r="T89"/>
    </row>
    <row r="90" spans="2:20" ht="23.1" customHeight="1" x14ac:dyDescent="0.25">
      <c r="B90" s="24" t="s">
        <v>130</v>
      </c>
      <c r="C90" s="49">
        <f>'Avg Week Bweya-Kajansi'!C90+'Avg Week Kajansi-Bweya'!C90</f>
        <v>3</v>
      </c>
      <c r="D90" s="49">
        <f>'Avg Week Bweya-Kajansi'!D90+'Avg Week Kajansi-Bweya'!D90</f>
        <v>1.5</v>
      </c>
      <c r="E90" s="49">
        <f>'Avg Week Bweya-Kajansi'!E90+'Avg Week Kajansi-Bweya'!E90</f>
        <v>1</v>
      </c>
      <c r="F90" s="49">
        <f>'Avg Week Bweya-Kajansi'!F90+'Avg Week Kajansi-Bweya'!F90</f>
        <v>1</v>
      </c>
      <c r="G90" s="49">
        <f>'Avg Week Bweya-Kajansi'!G90+'Avg Week Kajansi-Bweya'!G90</f>
        <v>0.5</v>
      </c>
      <c r="H90" s="49">
        <f>'Avg Week Bweya-Kajansi'!H90+'Avg Week Kajansi-Bweya'!H90</f>
        <v>0.5</v>
      </c>
      <c r="I90" s="49">
        <f>'Avg Week Bweya-Kajansi'!I90+'Avg Week Kajansi-Bweya'!I90</f>
        <v>0</v>
      </c>
      <c r="J90" s="49">
        <f>'Avg Week Bweya-Kajansi'!J90+'Avg Week Kajansi-Bweya'!J90</f>
        <v>0</v>
      </c>
      <c r="K90" s="49">
        <f>'Avg Week Bweya-Kajansi'!K90+'Avg Week Kajansi-Bweya'!K90</f>
        <v>0</v>
      </c>
      <c r="L90" s="49">
        <f>'Avg Week Bweya-Kajansi'!L90+'Avg Week Kajansi-Bweya'!L90</f>
        <v>0</v>
      </c>
      <c r="M90" s="49">
        <f>'Avg Week Bweya-Kajansi'!M90+'Avg Week Kajansi-Bweya'!M90</f>
        <v>4</v>
      </c>
      <c r="N90" s="49">
        <f>'Avg Week Bweya-Kajansi'!N90+'Avg Week Kajansi-Bweya'!N90</f>
        <v>0</v>
      </c>
      <c r="O90" s="15">
        <f t="shared" si="35"/>
        <v>7.5</v>
      </c>
      <c r="P90" s="15">
        <f t="shared" si="36"/>
        <v>11.5</v>
      </c>
      <c r="R90" s="8"/>
      <c r="T90"/>
    </row>
    <row r="91" spans="2:20" ht="23.1" customHeight="1" x14ac:dyDescent="0.25">
      <c r="B91" s="23" t="s">
        <v>131</v>
      </c>
      <c r="C91" s="49">
        <f>'Avg Week Bweya-Kajansi'!C91+'Avg Week Kajansi-Bweya'!C91</f>
        <v>4.5</v>
      </c>
      <c r="D91" s="49">
        <f>'Avg Week Bweya-Kajansi'!D91+'Avg Week Kajansi-Bweya'!D91</f>
        <v>1.5</v>
      </c>
      <c r="E91" s="49">
        <f>'Avg Week Bweya-Kajansi'!E91+'Avg Week Kajansi-Bweya'!E91</f>
        <v>0.5</v>
      </c>
      <c r="F91" s="49">
        <f>'Avg Week Bweya-Kajansi'!F91+'Avg Week Kajansi-Bweya'!F91</f>
        <v>0.5</v>
      </c>
      <c r="G91" s="49">
        <f>'Avg Week Bweya-Kajansi'!G91+'Avg Week Kajansi-Bweya'!G91</f>
        <v>0</v>
      </c>
      <c r="H91" s="49">
        <f>'Avg Week Bweya-Kajansi'!H91+'Avg Week Kajansi-Bweya'!H91</f>
        <v>0</v>
      </c>
      <c r="I91" s="49">
        <f>'Avg Week Bweya-Kajansi'!I91+'Avg Week Kajansi-Bweya'!I91</f>
        <v>0</v>
      </c>
      <c r="J91" s="49">
        <f>'Avg Week Bweya-Kajansi'!J91+'Avg Week Kajansi-Bweya'!J91</f>
        <v>1</v>
      </c>
      <c r="K91" s="49">
        <f>'Avg Week Bweya-Kajansi'!K91+'Avg Week Kajansi-Bweya'!K91</f>
        <v>0</v>
      </c>
      <c r="L91" s="49">
        <f>'Avg Week Bweya-Kajansi'!L91+'Avg Week Kajansi-Bweya'!L91</f>
        <v>0</v>
      </c>
      <c r="M91" s="49">
        <f>'Avg Week Bweya-Kajansi'!M91+'Avg Week Kajansi-Bweya'!M91</f>
        <v>1</v>
      </c>
      <c r="N91" s="49">
        <f>'Avg Week Bweya-Kajansi'!N91+'Avg Week Kajansi-Bweya'!N91</f>
        <v>0</v>
      </c>
      <c r="O91" s="15">
        <f t="shared" si="35"/>
        <v>8</v>
      </c>
      <c r="P91" s="15">
        <f t="shared" si="36"/>
        <v>9</v>
      </c>
      <c r="R91" s="8"/>
      <c r="T91"/>
    </row>
    <row r="92" spans="2:20" ht="23.1" customHeight="1" x14ac:dyDescent="0.25">
      <c r="B92" s="25" t="s">
        <v>132</v>
      </c>
      <c r="C92" s="49">
        <f>'Avg Week Bweya-Kajansi'!C92+'Avg Week Kajansi-Bweya'!C92</f>
        <v>4</v>
      </c>
      <c r="D92" s="49">
        <f>'Avg Week Bweya-Kajansi'!D92+'Avg Week Kajansi-Bweya'!D92</f>
        <v>2</v>
      </c>
      <c r="E92" s="49">
        <f>'Avg Week Bweya-Kajansi'!E92+'Avg Week Kajansi-Bweya'!E92</f>
        <v>0</v>
      </c>
      <c r="F92" s="49">
        <f>'Avg Week Bweya-Kajansi'!F92+'Avg Week Kajansi-Bweya'!F92</f>
        <v>0.5</v>
      </c>
      <c r="G92" s="49">
        <f>'Avg Week Bweya-Kajansi'!G92+'Avg Week Kajansi-Bweya'!G92</f>
        <v>0</v>
      </c>
      <c r="H92" s="49">
        <f>'Avg Week Bweya-Kajansi'!H92+'Avg Week Kajansi-Bweya'!H92</f>
        <v>0</v>
      </c>
      <c r="I92" s="49">
        <f>'Avg Week Bweya-Kajansi'!I92+'Avg Week Kajansi-Bweya'!I92</f>
        <v>0.5</v>
      </c>
      <c r="J92" s="49">
        <f>'Avg Week Bweya-Kajansi'!J92+'Avg Week Kajansi-Bweya'!J92</f>
        <v>0.5</v>
      </c>
      <c r="K92" s="49">
        <f>'Avg Week Bweya-Kajansi'!K92+'Avg Week Kajansi-Bweya'!K92</f>
        <v>0</v>
      </c>
      <c r="L92" s="49">
        <f>'Avg Week Bweya-Kajansi'!L92+'Avg Week Kajansi-Bweya'!L92</f>
        <v>0</v>
      </c>
      <c r="M92" s="49">
        <f>'Avg Week Bweya-Kajansi'!M92+'Avg Week Kajansi-Bweya'!M92</f>
        <v>3</v>
      </c>
      <c r="N92" s="49">
        <f>'Avg Week Bweya-Kajansi'!N92+'Avg Week Kajansi-Bweya'!N92</f>
        <v>0</v>
      </c>
      <c r="O92" s="15">
        <f t="shared" si="35"/>
        <v>7.5</v>
      </c>
      <c r="P92" s="15">
        <f t="shared" si="36"/>
        <v>10.5</v>
      </c>
      <c r="R92" s="8"/>
      <c r="T92"/>
    </row>
    <row r="93" spans="2:20" ht="23.1" customHeight="1" x14ac:dyDescent="0.25">
      <c r="B93" s="23" t="s">
        <v>133</v>
      </c>
      <c r="C93" s="49">
        <f>'Avg Week Bweya-Kajansi'!C93+'Avg Week Kajansi-Bweya'!C93</f>
        <v>3.5</v>
      </c>
      <c r="D93" s="49">
        <f>'Avg Week Bweya-Kajansi'!D93+'Avg Week Kajansi-Bweya'!D93</f>
        <v>0.5</v>
      </c>
      <c r="E93" s="49">
        <f>'Avg Week Bweya-Kajansi'!E93+'Avg Week Kajansi-Bweya'!E93</f>
        <v>0</v>
      </c>
      <c r="F93" s="49">
        <f>'Avg Week Bweya-Kajansi'!F93+'Avg Week Kajansi-Bweya'!F93</f>
        <v>0.5</v>
      </c>
      <c r="G93" s="49">
        <f>'Avg Week Bweya-Kajansi'!G93+'Avg Week Kajansi-Bweya'!G93</f>
        <v>0.5</v>
      </c>
      <c r="H93" s="49">
        <f>'Avg Week Bweya-Kajansi'!H93+'Avg Week Kajansi-Bweya'!H93</f>
        <v>0</v>
      </c>
      <c r="I93" s="49">
        <f>'Avg Week Bweya-Kajansi'!I93+'Avg Week Kajansi-Bweya'!I93</f>
        <v>0</v>
      </c>
      <c r="J93" s="49">
        <f>'Avg Week Bweya-Kajansi'!J93+'Avg Week Kajansi-Bweya'!J93</f>
        <v>1</v>
      </c>
      <c r="K93" s="49">
        <f>'Avg Week Bweya-Kajansi'!K93+'Avg Week Kajansi-Bweya'!K93</f>
        <v>0</v>
      </c>
      <c r="L93" s="49">
        <f>'Avg Week Bweya-Kajansi'!L93+'Avg Week Kajansi-Bweya'!L93</f>
        <v>0</v>
      </c>
      <c r="M93" s="49">
        <f>'Avg Week Bweya-Kajansi'!M93+'Avg Week Kajansi-Bweya'!M93</f>
        <v>4</v>
      </c>
      <c r="N93" s="49">
        <f>'Avg Week Bweya-Kajansi'!N93+'Avg Week Kajansi-Bweya'!N93</f>
        <v>0</v>
      </c>
      <c r="O93" s="15">
        <f t="shared" si="35"/>
        <v>6</v>
      </c>
      <c r="P93" s="15">
        <f t="shared" si="36"/>
        <v>10</v>
      </c>
      <c r="R93" s="8"/>
      <c r="T93"/>
    </row>
    <row r="94" spans="2:20" ht="23.1" customHeight="1" x14ac:dyDescent="0.25">
      <c r="B94" s="24" t="s">
        <v>134</v>
      </c>
      <c r="C94" s="49">
        <f>'Avg Week Bweya-Kajansi'!C94+'Avg Week Kajansi-Bweya'!C94</f>
        <v>6.5</v>
      </c>
      <c r="D94" s="49">
        <f>'Avg Week Bweya-Kajansi'!D94+'Avg Week Kajansi-Bweya'!D94</f>
        <v>2.5</v>
      </c>
      <c r="E94" s="49">
        <f>'Avg Week Bweya-Kajansi'!E94+'Avg Week Kajansi-Bweya'!E94</f>
        <v>1</v>
      </c>
      <c r="F94" s="49">
        <f>'Avg Week Bweya-Kajansi'!F94+'Avg Week Kajansi-Bweya'!F94</f>
        <v>0</v>
      </c>
      <c r="G94" s="49">
        <f>'Avg Week Bweya-Kajansi'!G94+'Avg Week Kajansi-Bweya'!G94</f>
        <v>0</v>
      </c>
      <c r="H94" s="49">
        <f>'Avg Week Bweya-Kajansi'!H94+'Avg Week Kajansi-Bweya'!H94</f>
        <v>0</v>
      </c>
      <c r="I94" s="49">
        <f>'Avg Week Bweya-Kajansi'!I94+'Avg Week Kajansi-Bweya'!I94</f>
        <v>0.5</v>
      </c>
      <c r="J94" s="49">
        <f>'Avg Week Bweya-Kajansi'!J94+'Avg Week Kajansi-Bweya'!J94</f>
        <v>0</v>
      </c>
      <c r="K94" s="49">
        <f>'Avg Week Bweya-Kajansi'!K94+'Avg Week Kajansi-Bweya'!K94</f>
        <v>0</v>
      </c>
      <c r="L94" s="49">
        <f>'Avg Week Bweya-Kajansi'!L94+'Avg Week Kajansi-Bweya'!L94</f>
        <v>0</v>
      </c>
      <c r="M94" s="49">
        <f>'Avg Week Bweya-Kajansi'!M94+'Avg Week Kajansi-Bweya'!M94</f>
        <v>4.5</v>
      </c>
      <c r="N94" s="49">
        <f>'Avg Week Bweya-Kajansi'!N94+'Avg Week Kajansi-Bweya'!N94</f>
        <v>0</v>
      </c>
      <c r="O94" s="15">
        <f t="shared" si="35"/>
        <v>10.5</v>
      </c>
      <c r="P94" s="15">
        <f t="shared" si="36"/>
        <v>15</v>
      </c>
      <c r="R94" s="8"/>
      <c r="T94"/>
    </row>
    <row r="95" spans="2:20" ht="23.1" customHeight="1" x14ac:dyDescent="0.25">
      <c r="B95" s="23" t="s">
        <v>135</v>
      </c>
      <c r="C95" s="49">
        <f>'Avg Week Bweya-Kajansi'!C95+'Avg Week Kajansi-Bweya'!C95</f>
        <v>5</v>
      </c>
      <c r="D95" s="49">
        <f>'Avg Week Bweya-Kajansi'!D95+'Avg Week Kajansi-Bweya'!D95</f>
        <v>2</v>
      </c>
      <c r="E95" s="49">
        <f>'Avg Week Bweya-Kajansi'!E95+'Avg Week Kajansi-Bweya'!E95</f>
        <v>0.5</v>
      </c>
      <c r="F95" s="49">
        <f>'Avg Week Bweya-Kajansi'!F95+'Avg Week Kajansi-Bweya'!F95</f>
        <v>0</v>
      </c>
      <c r="G95" s="49">
        <f>'Avg Week Bweya-Kajansi'!G95+'Avg Week Kajansi-Bweya'!G95</f>
        <v>0</v>
      </c>
      <c r="H95" s="49">
        <f>'Avg Week Bweya-Kajansi'!H95+'Avg Week Kajansi-Bweya'!H95</f>
        <v>0</v>
      </c>
      <c r="I95" s="49">
        <f>'Avg Week Bweya-Kajansi'!I95+'Avg Week Kajansi-Bweya'!I95</f>
        <v>0</v>
      </c>
      <c r="J95" s="49">
        <f>'Avg Week Bweya-Kajansi'!J95+'Avg Week Kajansi-Bweya'!J95</f>
        <v>0.5</v>
      </c>
      <c r="K95" s="49">
        <f>'Avg Week Bweya-Kajansi'!K95+'Avg Week Kajansi-Bweya'!K95</f>
        <v>0</v>
      </c>
      <c r="L95" s="49">
        <f>'Avg Week Bweya-Kajansi'!L95+'Avg Week Kajansi-Bweya'!L95</f>
        <v>0</v>
      </c>
      <c r="M95" s="49">
        <f>'Avg Week Bweya-Kajansi'!M95+'Avg Week Kajansi-Bweya'!M95</f>
        <v>2</v>
      </c>
      <c r="N95" s="49">
        <f>'Avg Week Bweya-Kajansi'!N95+'Avg Week Kajansi-Bweya'!N95</f>
        <v>0</v>
      </c>
      <c r="O95" s="15">
        <f t="shared" si="35"/>
        <v>8</v>
      </c>
      <c r="P95" s="15">
        <f t="shared" si="36"/>
        <v>10</v>
      </c>
      <c r="R95" s="8"/>
      <c r="T95"/>
    </row>
    <row r="96" spans="2:20" ht="23.1" customHeight="1" x14ac:dyDescent="0.25">
      <c r="B96" s="25" t="s">
        <v>136</v>
      </c>
      <c r="C96" s="49">
        <f>'Avg Week Bweya-Kajansi'!C96+'Avg Week Kajansi-Bweya'!C96</f>
        <v>4.5</v>
      </c>
      <c r="D96" s="49">
        <f>'Avg Week Bweya-Kajansi'!D96+'Avg Week Kajansi-Bweya'!D96</f>
        <v>2.5</v>
      </c>
      <c r="E96" s="49">
        <f>'Avg Week Bweya-Kajansi'!E96+'Avg Week Kajansi-Bweya'!E96</f>
        <v>0.5</v>
      </c>
      <c r="F96" s="49">
        <f>'Avg Week Bweya-Kajansi'!F96+'Avg Week Kajansi-Bweya'!F96</f>
        <v>0</v>
      </c>
      <c r="G96" s="49">
        <f>'Avg Week Bweya-Kajansi'!G96+'Avg Week Kajansi-Bweya'!G96</f>
        <v>0</v>
      </c>
      <c r="H96" s="49">
        <f>'Avg Week Bweya-Kajansi'!H96+'Avg Week Kajansi-Bweya'!H96</f>
        <v>0</v>
      </c>
      <c r="I96" s="49">
        <f>'Avg Week Bweya-Kajansi'!I96+'Avg Week Kajansi-Bweya'!I96</f>
        <v>0.5</v>
      </c>
      <c r="J96" s="49">
        <f>'Avg Week Bweya-Kajansi'!J96+'Avg Week Kajansi-Bweya'!J96</f>
        <v>0</v>
      </c>
      <c r="K96" s="49">
        <f>'Avg Week Bweya-Kajansi'!K96+'Avg Week Kajansi-Bweya'!K96</f>
        <v>0</v>
      </c>
      <c r="L96" s="49">
        <f>'Avg Week Bweya-Kajansi'!L96+'Avg Week Kajansi-Bweya'!L96</f>
        <v>0</v>
      </c>
      <c r="M96" s="49">
        <f>'Avg Week Bweya-Kajansi'!M96+'Avg Week Kajansi-Bweya'!M96</f>
        <v>2.5</v>
      </c>
      <c r="N96" s="49">
        <f>'Avg Week Bweya-Kajansi'!N96+'Avg Week Kajansi-Bweya'!N96</f>
        <v>0</v>
      </c>
      <c r="O96" s="15">
        <f t="shared" si="35"/>
        <v>8</v>
      </c>
      <c r="P96" s="15">
        <f t="shared" si="36"/>
        <v>10.5</v>
      </c>
      <c r="R96" s="8"/>
      <c r="T96"/>
    </row>
    <row r="97" spans="2:20" ht="23.1" customHeight="1" x14ac:dyDescent="0.25">
      <c r="B97" s="23" t="s">
        <v>137</v>
      </c>
      <c r="C97" s="49">
        <f>'Avg Week Bweya-Kajansi'!C97+'Avg Week Kajansi-Bweya'!C97</f>
        <v>7.5</v>
      </c>
      <c r="D97" s="49">
        <f>'Avg Week Bweya-Kajansi'!D97+'Avg Week Kajansi-Bweya'!D97</f>
        <v>3</v>
      </c>
      <c r="E97" s="49">
        <f>'Avg Week Bweya-Kajansi'!E97+'Avg Week Kajansi-Bweya'!E97</f>
        <v>1.5</v>
      </c>
      <c r="F97" s="49">
        <f>'Avg Week Bweya-Kajansi'!F97+'Avg Week Kajansi-Bweya'!F97</f>
        <v>0.5</v>
      </c>
      <c r="G97" s="49">
        <f>'Avg Week Bweya-Kajansi'!G97+'Avg Week Kajansi-Bweya'!G97</f>
        <v>0.5</v>
      </c>
      <c r="H97" s="49">
        <f>'Avg Week Bweya-Kajansi'!H97+'Avg Week Kajansi-Bweya'!H97</f>
        <v>0</v>
      </c>
      <c r="I97" s="49">
        <f>'Avg Week Bweya-Kajansi'!I97+'Avg Week Kajansi-Bweya'!I97</f>
        <v>1.5</v>
      </c>
      <c r="J97" s="49">
        <f>'Avg Week Bweya-Kajansi'!J97+'Avg Week Kajansi-Bweya'!J97</f>
        <v>0</v>
      </c>
      <c r="K97" s="49">
        <f>'Avg Week Bweya-Kajansi'!K97+'Avg Week Kajansi-Bweya'!K97</f>
        <v>0</v>
      </c>
      <c r="L97" s="49">
        <f>'Avg Week Bweya-Kajansi'!L97+'Avg Week Kajansi-Bweya'!L97</f>
        <v>0</v>
      </c>
      <c r="M97" s="49">
        <f>'Avg Week Bweya-Kajansi'!M97+'Avg Week Kajansi-Bweya'!M97</f>
        <v>2.5</v>
      </c>
      <c r="N97" s="49">
        <f>'Avg Week Bweya-Kajansi'!N97+'Avg Week Kajansi-Bweya'!N97</f>
        <v>0</v>
      </c>
      <c r="O97" s="15">
        <f t="shared" si="35"/>
        <v>14.5</v>
      </c>
      <c r="P97" s="15">
        <f t="shared" si="36"/>
        <v>17</v>
      </c>
      <c r="R97" s="8"/>
      <c r="T97"/>
    </row>
    <row r="98" spans="2:20" ht="23.1" customHeight="1" x14ac:dyDescent="0.25">
      <c r="B98" s="24" t="s">
        <v>138</v>
      </c>
      <c r="C98" s="49">
        <f>'Avg Week Bweya-Kajansi'!C98+'Avg Week Kajansi-Bweya'!C98</f>
        <v>4.5</v>
      </c>
      <c r="D98" s="49">
        <f>'Avg Week Bweya-Kajansi'!D98+'Avg Week Kajansi-Bweya'!D98</f>
        <v>0</v>
      </c>
      <c r="E98" s="49">
        <f>'Avg Week Bweya-Kajansi'!E98+'Avg Week Kajansi-Bweya'!E98</f>
        <v>0.5</v>
      </c>
      <c r="F98" s="49">
        <f>'Avg Week Bweya-Kajansi'!F98+'Avg Week Kajansi-Bweya'!F98</f>
        <v>0</v>
      </c>
      <c r="G98" s="49">
        <f>'Avg Week Bweya-Kajansi'!G98+'Avg Week Kajansi-Bweya'!G98</f>
        <v>0</v>
      </c>
      <c r="H98" s="49">
        <f>'Avg Week Bweya-Kajansi'!H98+'Avg Week Kajansi-Bweya'!H98</f>
        <v>0</v>
      </c>
      <c r="I98" s="49">
        <f>'Avg Week Bweya-Kajansi'!I98+'Avg Week Kajansi-Bweya'!I98</f>
        <v>0.5</v>
      </c>
      <c r="J98" s="49">
        <f>'Avg Week Bweya-Kajansi'!J98+'Avg Week Kajansi-Bweya'!J98</f>
        <v>0</v>
      </c>
      <c r="K98" s="49">
        <f>'Avg Week Bweya-Kajansi'!K98+'Avg Week Kajansi-Bweya'!K98</f>
        <v>0</v>
      </c>
      <c r="L98" s="49">
        <f>'Avg Week Bweya-Kajansi'!L98+'Avg Week Kajansi-Bweya'!L98</f>
        <v>0</v>
      </c>
      <c r="M98" s="49">
        <f>'Avg Week Bweya-Kajansi'!M98+'Avg Week Kajansi-Bweya'!M98</f>
        <v>2.5</v>
      </c>
      <c r="N98" s="49">
        <f>'Avg Week Bweya-Kajansi'!N98+'Avg Week Kajansi-Bweya'!N98</f>
        <v>0</v>
      </c>
      <c r="O98" s="15">
        <f t="shared" si="35"/>
        <v>5.5</v>
      </c>
      <c r="P98" s="15">
        <f t="shared" si="36"/>
        <v>8</v>
      </c>
      <c r="R98" s="8"/>
      <c r="T98"/>
    </row>
    <row r="99" spans="2:20" ht="23.1" customHeight="1" x14ac:dyDescent="0.25">
      <c r="B99" s="23" t="s">
        <v>139</v>
      </c>
      <c r="C99" s="49">
        <f>'Avg Week Bweya-Kajansi'!C99+'Avg Week Kajansi-Bweya'!C99</f>
        <v>6</v>
      </c>
      <c r="D99" s="49">
        <f>'Avg Week Bweya-Kajansi'!D99+'Avg Week Kajansi-Bweya'!D99</f>
        <v>1</v>
      </c>
      <c r="E99" s="49">
        <f>'Avg Week Bweya-Kajansi'!E99+'Avg Week Kajansi-Bweya'!E99</f>
        <v>0.5</v>
      </c>
      <c r="F99" s="49">
        <f>'Avg Week Bweya-Kajansi'!F99+'Avg Week Kajansi-Bweya'!F99</f>
        <v>0.5</v>
      </c>
      <c r="G99" s="49">
        <f>'Avg Week Bweya-Kajansi'!G99+'Avg Week Kajansi-Bweya'!G99</f>
        <v>0.5</v>
      </c>
      <c r="H99" s="49">
        <f>'Avg Week Bweya-Kajansi'!H99+'Avg Week Kajansi-Bweya'!H99</f>
        <v>0</v>
      </c>
      <c r="I99" s="49">
        <f>'Avg Week Bweya-Kajansi'!I99+'Avg Week Kajansi-Bweya'!I99</f>
        <v>1</v>
      </c>
      <c r="J99" s="49">
        <f>'Avg Week Bweya-Kajansi'!J99+'Avg Week Kajansi-Bweya'!J99</f>
        <v>0.5</v>
      </c>
      <c r="K99" s="49">
        <f>'Avg Week Bweya-Kajansi'!K99+'Avg Week Kajansi-Bweya'!K99</f>
        <v>0</v>
      </c>
      <c r="L99" s="49">
        <f>'Avg Week Bweya-Kajansi'!L99+'Avg Week Kajansi-Bweya'!L99</f>
        <v>0</v>
      </c>
      <c r="M99" s="49">
        <f>'Avg Week Bweya-Kajansi'!M99+'Avg Week Kajansi-Bweya'!M99</f>
        <v>4.5</v>
      </c>
      <c r="N99" s="49">
        <f>'Avg Week Bweya-Kajansi'!N99+'Avg Week Kajansi-Bweya'!N99</f>
        <v>0</v>
      </c>
      <c r="O99" s="15">
        <f t="shared" si="35"/>
        <v>10</v>
      </c>
      <c r="P99" s="15">
        <f t="shared" si="36"/>
        <v>14.5</v>
      </c>
      <c r="R99" s="8"/>
      <c r="T99"/>
    </row>
    <row r="100" spans="2:20" ht="23.1" customHeight="1" x14ac:dyDescent="0.25">
      <c r="B100" s="25" t="s">
        <v>140</v>
      </c>
      <c r="C100" s="49">
        <f>'Avg Week Bweya-Kajansi'!C100+'Avg Week Kajansi-Bweya'!C100</f>
        <v>5</v>
      </c>
      <c r="D100" s="49">
        <f>'Avg Week Bweya-Kajansi'!D100+'Avg Week Kajansi-Bweya'!D100</f>
        <v>2</v>
      </c>
      <c r="E100" s="49">
        <f>'Avg Week Bweya-Kajansi'!E100+'Avg Week Kajansi-Bweya'!E100</f>
        <v>0.5</v>
      </c>
      <c r="F100" s="49">
        <f>'Avg Week Bweya-Kajansi'!F100+'Avg Week Kajansi-Bweya'!F100</f>
        <v>1.5</v>
      </c>
      <c r="G100" s="49">
        <f>'Avg Week Bweya-Kajansi'!G100+'Avg Week Kajansi-Bweya'!G100</f>
        <v>0.5</v>
      </c>
      <c r="H100" s="49">
        <f>'Avg Week Bweya-Kajansi'!H100+'Avg Week Kajansi-Bweya'!H100</f>
        <v>0</v>
      </c>
      <c r="I100" s="49">
        <f>'Avg Week Bweya-Kajansi'!I100+'Avg Week Kajansi-Bweya'!I100</f>
        <v>1.5</v>
      </c>
      <c r="J100" s="49">
        <f>'Avg Week Bweya-Kajansi'!J100+'Avg Week Kajansi-Bweya'!J100</f>
        <v>0</v>
      </c>
      <c r="K100" s="49">
        <f>'Avg Week Bweya-Kajansi'!K100+'Avg Week Kajansi-Bweya'!K100</f>
        <v>0</v>
      </c>
      <c r="L100" s="49">
        <f>'Avg Week Bweya-Kajansi'!L100+'Avg Week Kajansi-Bweya'!L100</f>
        <v>0</v>
      </c>
      <c r="M100" s="49">
        <f>'Avg Week Bweya-Kajansi'!M100+'Avg Week Kajansi-Bweya'!M100</f>
        <v>4.5</v>
      </c>
      <c r="N100" s="49">
        <f>'Avg Week Bweya-Kajansi'!N100+'Avg Week Kajansi-Bweya'!N100</f>
        <v>0</v>
      </c>
      <c r="O100" s="15">
        <f t="shared" si="35"/>
        <v>11</v>
      </c>
      <c r="P100" s="15">
        <f t="shared" si="36"/>
        <v>15.5</v>
      </c>
      <c r="R100" s="8"/>
      <c r="T100"/>
    </row>
    <row r="101" spans="2:20" ht="23.1" customHeight="1" x14ac:dyDescent="0.25">
      <c r="B101" s="23" t="s">
        <v>141</v>
      </c>
      <c r="C101" s="49">
        <f>'Avg Week Bweya-Kajansi'!C101+'Avg Week Kajansi-Bweya'!C101</f>
        <v>8</v>
      </c>
      <c r="D101" s="49">
        <f>'Avg Week Bweya-Kajansi'!D101+'Avg Week Kajansi-Bweya'!D101</f>
        <v>1.5</v>
      </c>
      <c r="E101" s="49">
        <f>'Avg Week Bweya-Kajansi'!E101+'Avg Week Kajansi-Bweya'!E101</f>
        <v>2</v>
      </c>
      <c r="F101" s="49">
        <f>'Avg Week Bweya-Kajansi'!F101+'Avg Week Kajansi-Bweya'!F101</f>
        <v>1.5</v>
      </c>
      <c r="G101" s="49">
        <f>'Avg Week Bweya-Kajansi'!G101+'Avg Week Kajansi-Bweya'!G101</f>
        <v>1</v>
      </c>
      <c r="H101" s="49">
        <f>'Avg Week Bweya-Kajansi'!H101+'Avg Week Kajansi-Bweya'!H101</f>
        <v>0</v>
      </c>
      <c r="I101" s="49">
        <f>'Avg Week Bweya-Kajansi'!I101+'Avg Week Kajansi-Bweya'!I101</f>
        <v>1.5</v>
      </c>
      <c r="J101" s="49">
        <f>'Avg Week Bweya-Kajansi'!J101+'Avg Week Kajansi-Bweya'!J101</f>
        <v>0.5</v>
      </c>
      <c r="K101" s="49">
        <f>'Avg Week Bweya-Kajansi'!K101+'Avg Week Kajansi-Bweya'!K101</f>
        <v>0</v>
      </c>
      <c r="L101" s="49">
        <f>'Avg Week Bweya-Kajansi'!L101+'Avg Week Kajansi-Bweya'!L101</f>
        <v>0</v>
      </c>
      <c r="M101" s="49">
        <f>'Avg Week Bweya-Kajansi'!M101+'Avg Week Kajansi-Bweya'!M101</f>
        <v>6.5</v>
      </c>
      <c r="N101" s="49">
        <f>'Avg Week Bweya-Kajansi'!N101+'Avg Week Kajansi-Bweya'!N101</f>
        <v>0</v>
      </c>
      <c r="O101" s="15">
        <f t="shared" si="35"/>
        <v>16</v>
      </c>
      <c r="P101" s="15">
        <f t="shared" si="36"/>
        <v>22.5</v>
      </c>
      <c r="R101" s="8"/>
      <c r="T101"/>
    </row>
    <row r="102" spans="2:20" ht="23.1" customHeight="1" x14ac:dyDescent="0.25">
      <c r="B102" s="24" t="s">
        <v>142</v>
      </c>
      <c r="C102" s="49">
        <f>'Avg Week Bweya-Kajansi'!C102+'Avg Week Kajansi-Bweya'!C102</f>
        <v>19.5</v>
      </c>
      <c r="D102" s="49">
        <f>'Avg Week Bweya-Kajansi'!D102+'Avg Week Kajansi-Bweya'!D102</f>
        <v>3</v>
      </c>
      <c r="E102" s="49">
        <f>'Avg Week Bweya-Kajansi'!E102+'Avg Week Kajansi-Bweya'!E102</f>
        <v>2</v>
      </c>
      <c r="F102" s="49">
        <f>'Avg Week Bweya-Kajansi'!F102+'Avg Week Kajansi-Bweya'!F102</f>
        <v>2.5</v>
      </c>
      <c r="G102" s="49">
        <f>'Avg Week Bweya-Kajansi'!G102+'Avg Week Kajansi-Bweya'!G102</f>
        <v>0.5</v>
      </c>
      <c r="H102" s="49">
        <f>'Avg Week Bweya-Kajansi'!H102+'Avg Week Kajansi-Bweya'!H102</f>
        <v>0</v>
      </c>
      <c r="I102" s="49">
        <f>'Avg Week Bweya-Kajansi'!I102+'Avg Week Kajansi-Bweya'!I102</f>
        <v>3</v>
      </c>
      <c r="J102" s="49">
        <f>'Avg Week Bweya-Kajansi'!J102+'Avg Week Kajansi-Bweya'!J102</f>
        <v>0.5</v>
      </c>
      <c r="K102" s="49">
        <f>'Avg Week Bweya-Kajansi'!K102+'Avg Week Kajansi-Bweya'!K102</f>
        <v>0</v>
      </c>
      <c r="L102" s="49">
        <f>'Avg Week Bweya-Kajansi'!L102+'Avg Week Kajansi-Bweya'!L102</f>
        <v>0</v>
      </c>
      <c r="M102" s="49">
        <f>'Avg Week Bweya-Kajansi'!M102+'Avg Week Kajansi-Bweya'!M102</f>
        <v>11</v>
      </c>
      <c r="N102" s="49">
        <f>'Avg Week Bweya-Kajansi'!N102+'Avg Week Kajansi-Bweya'!N102</f>
        <v>0</v>
      </c>
      <c r="O102" s="15">
        <f t="shared" si="35"/>
        <v>31</v>
      </c>
      <c r="P102" s="15">
        <f t="shared" si="36"/>
        <v>42</v>
      </c>
      <c r="R102" s="8"/>
      <c r="T102"/>
    </row>
    <row r="103" spans="2:20" ht="23.1" customHeight="1" x14ac:dyDescent="0.25">
      <c r="B103" s="23" t="s">
        <v>143</v>
      </c>
      <c r="C103" s="49">
        <f>'Avg Week Bweya-Kajansi'!C103+'Avg Week Kajansi-Bweya'!C103</f>
        <v>20.5</v>
      </c>
      <c r="D103" s="49">
        <f>'Avg Week Bweya-Kajansi'!D103+'Avg Week Kajansi-Bweya'!D103</f>
        <v>5</v>
      </c>
      <c r="E103" s="49">
        <f>'Avg Week Bweya-Kajansi'!E103+'Avg Week Kajansi-Bweya'!E103</f>
        <v>1.5</v>
      </c>
      <c r="F103" s="49">
        <f>'Avg Week Bweya-Kajansi'!F103+'Avg Week Kajansi-Bweya'!F103</f>
        <v>2.5</v>
      </c>
      <c r="G103" s="49">
        <f>'Avg Week Bweya-Kajansi'!G103+'Avg Week Kajansi-Bweya'!G103</f>
        <v>0.5</v>
      </c>
      <c r="H103" s="49">
        <f>'Avg Week Bweya-Kajansi'!H103+'Avg Week Kajansi-Bweya'!H103</f>
        <v>0.5</v>
      </c>
      <c r="I103" s="49">
        <f>'Avg Week Bweya-Kajansi'!I103+'Avg Week Kajansi-Bweya'!I103</f>
        <v>0.5</v>
      </c>
      <c r="J103" s="49">
        <f>'Avg Week Bweya-Kajansi'!J103+'Avg Week Kajansi-Bweya'!J103</f>
        <v>0</v>
      </c>
      <c r="K103" s="49">
        <f>'Avg Week Bweya-Kajansi'!K103+'Avg Week Kajansi-Bweya'!K103</f>
        <v>0.5</v>
      </c>
      <c r="L103" s="49">
        <f>'Avg Week Bweya-Kajansi'!L103+'Avg Week Kajansi-Bweya'!L103</f>
        <v>0</v>
      </c>
      <c r="M103" s="49">
        <f>'Avg Week Bweya-Kajansi'!M103+'Avg Week Kajansi-Bweya'!M103</f>
        <v>15.5</v>
      </c>
      <c r="N103" s="49">
        <f>'Avg Week Bweya-Kajansi'!N103+'Avg Week Kajansi-Bweya'!N103</f>
        <v>0</v>
      </c>
      <c r="O103" s="15">
        <f t="shared" si="35"/>
        <v>31.5</v>
      </c>
      <c r="P103" s="15">
        <f t="shared" si="36"/>
        <v>47</v>
      </c>
      <c r="R103" s="8"/>
      <c r="T103"/>
    </row>
    <row r="104" spans="2:20" ht="23.1" customHeight="1" x14ac:dyDescent="0.25">
      <c r="B104" s="25" t="s">
        <v>144</v>
      </c>
      <c r="C104" s="49">
        <f>'Avg Week Bweya-Kajansi'!C104+'Avg Week Kajansi-Bweya'!C104</f>
        <v>32.5</v>
      </c>
      <c r="D104" s="49">
        <f>'Avg Week Bweya-Kajansi'!D104+'Avg Week Kajansi-Bweya'!D104</f>
        <v>5</v>
      </c>
      <c r="E104" s="49">
        <f>'Avg Week Bweya-Kajansi'!E104+'Avg Week Kajansi-Bweya'!E104</f>
        <v>2.5</v>
      </c>
      <c r="F104" s="49">
        <f>'Avg Week Bweya-Kajansi'!F104+'Avg Week Kajansi-Bweya'!F104</f>
        <v>2</v>
      </c>
      <c r="G104" s="49">
        <f>'Avg Week Bweya-Kajansi'!G104+'Avg Week Kajansi-Bweya'!G104</f>
        <v>1</v>
      </c>
      <c r="H104" s="49">
        <f>'Avg Week Bweya-Kajansi'!H104+'Avg Week Kajansi-Bweya'!H104</f>
        <v>1</v>
      </c>
      <c r="I104" s="49">
        <f>'Avg Week Bweya-Kajansi'!I104+'Avg Week Kajansi-Bweya'!I104</f>
        <v>1</v>
      </c>
      <c r="J104" s="49">
        <f>'Avg Week Bweya-Kajansi'!J104+'Avg Week Kajansi-Bweya'!J104</f>
        <v>0</v>
      </c>
      <c r="K104" s="49">
        <f>'Avg Week Bweya-Kajansi'!K104+'Avg Week Kajansi-Bweya'!K104</f>
        <v>0</v>
      </c>
      <c r="L104" s="49">
        <f>'Avg Week Bweya-Kajansi'!L104+'Avg Week Kajansi-Bweya'!L104</f>
        <v>0</v>
      </c>
      <c r="M104" s="49">
        <f>'Avg Week Bweya-Kajansi'!M104+'Avg Week Kajansi-Bweya'!M104</f>
        <v>30.5</v>
      </c>
      <c r="N104" s="49">
        <f>'Avg Week Bweya-Kajansi'!N104+'Avg Week Kajansi-Bweya'!N104</f>
        <v>0</v>
      </c>
      <c r="O104" s="15">
        <f t="shared" si="35"/>
        <v>45</v>
      </c>
      <c r="P104" s="15">
        <f t="shared" si="36"/>
        <v>75.5</v>
      </c>
      <c r="R104" s="8"/>
      <c r="T104"/>
    </row>
    <row r="105" spans="2:20" ht="23.1" customHeight="1" x14ac:dyDescent="0.25">
      <c r="B105" s="23" t="s">
        <v>145</v>
      </c>
      <c r="C105" s="49">
        <f>'Avg Week Bweya-Kajansi'!C105+'Avg Week Kajansi-Bweya'!C105</f>
        <v>40.5</v>
      </c>
      <c r="D105" s="49">
        <f>'Avg Week Bweya-Kajansi'!D105+'Avg Week Kajansi-Bweya'!D105</f>
        <v>5</v>
      </c>
      <c r="E105" s="49">
        <f>'Avg Week Bweya-Kajansi'!E105+'Avg Week Kajansi-Bweya'!E105</f>
        <v>4.5</v>
      </c>
      <c r="F105" s="49">
        <f>'Avg Week Bweya-Kajansi'!F105+'Avg Week Kajansi-Bweya'!F105</f>
        <v>3.5</v>
      </c>
      <c r="G105" s="49">
        <f>'Avg Week Bweya-Kajansi'!G105+'Avg Week Kajansi-Bweya'!G105</f>
        <v>0.5</v>
      </c>
      <c r="H105" s="49">
        <f>'Avg Week Bweya-Kajansi'!H105+'Avg Week Kajansi-Bweya'!H105</f>
        <v>1</v>
      </c>
      <c r="I105" s="49">
        <f>'Avg Week Bweya-Kajansi'!I105+'Avg Week Kajansi-Bweya'!I105</f>
        <v>1</v>
      </c>
      <c r="J105" s="49">
        <f>'Avg Week Bweya-Kajansi'!J105+'Avg Week Kajansi-Bweya'!J105</f>
        <v>1</v>
      </c>
      <c r="K105" s="49">
        <f>'Avg Week Bweya-Kajansi'!K105+'Avg Week Kajansi-Bweya'!K105</f>
        <v>0</v>
      </c>
      <c r="L105" s="49">
        <f>'Avg Week Bweya-Kajansi'!L105+'Avg Week Kajansi-Bweya'!L105</f>
        <v>0</v>
      </c>
      <c r="M105" s="49">
        <f>'Avg Week Bweya-Kajansi'!M105+'Avg Week Kajansi-Bweya'!M105</f>
        <v>27.5</v>
      </c>
      <c r="N105" s="49">
        <f>'Avg Week Bweya-Kajansi'!N105+'Avg Week Kajansi-Bweya'!N105</f>
        <v>0</v>
      </c>
      <c r="O105" s="15">
        <f t="shared" si="35"/>
        <v>57</v>
      </c>
      <c r="P105" s="15">
        <f t="shared" si="36"/>
        <v>84.5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4353.5714285714294</v>
      </c>
      <c r="D106" s="16">
        <f t="shared" ref="D106:P106" si="37">SUM(D10:D105)</f>
        <v>1034.2142857142858</v>
      </c>
      <c r="E106" s="16">
        <f t="shared" si="37"/>
        <v>505.14285714285722</v>
      </c>
      <c r="F106" s="16">
        <f t="shared" si="37"/>
        <v>221.92857142857144</v>
      </c>
      <c r="G106" s="16">
        <f t="shared" si="37"/>
        <v>41.428571428571431</v>
      </c>
      <c r="H106" s="16">
        <f t="shared" si="37"/>
        <v>16.785714285714288</v>
      </c>
      <c r="I106" s="16">
        <f t="shared" si="37"/>
        <v>388.78571428571433</v>
      </c>
      <c r="J106" s="16">
        <f t="shared" si="37"/>
        <v>118.85714285714286</v>
      </c>
      <c r="K106" s="16">
        <f t="shared" si="37"/>
        <v>27.142857142857142</v>
      </c>
      <c r="L106" s="16">
        <f t="shared" si="37"/>
        <v>3.7857142857142847</v>
      </c>
      <c r="M106" s="16">
        <f t="shared" si="37"/>
        <v>4001.6666666666665</v>
      </c>
      <c r="N106" s="16">
        <f t="shared" si="37"/>
        <v>0.14285714285714285</v>
      </c>
      <c r="O106" s="16">
        <f t="shared" si="37"/>
        <v>6711.7857142857147</v>
      </c>
      <c r="P106" s="16">
        <f t="shared" si="37"/>
        <v>10713.452380952382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0.40636493949529412</v>
      </c>
      <c r="D107" s="43">
        <f t="shared" si="38"/>
        <v>9.653417488026847E-2</v>
      </c>
      <c r="E107" s="43">
        <f t="shared" si="38"/>
        <v>4.7150333914860051E-2</v>
      </c>
      <c r="F107" s="43">
        <f t="shared" si="38"/>
        <v>2.0714944495682997E-2</v>
      </c>
      <c r="G107" s="43">
        <f t="shared" si="38"/>
        <v>3.8669674308001731E-3</v>
      </c>
      <c r="H107" s="43">
        <f t="shared" si="38"/>
        <v>1.5667885279966221E-3</v>
      </c>
      <c r="I107" s="43">
        <f t="shared" si="38"/>
        <v>3.6289489182491974E-2</v>
      </c>
      <c r="J107" s="43">
        <f t="shared" si="38"/>
        <v>1.1094196215261186E-2</v>
      </c>
      <c r="K107" s="43">
        <f t="shared" si="38"/>
        <v>2.5335303856966651E-3</v>
      </c>
      <c r="L107" s="43">
        <f t="shared" si="38"/>
        <v>3.5336081695242952E-4</v>
      </c>
      <c r="M107" s="43">
        <f t="shared" si="38"/>
        <v>0.37351794028424429</v>
      </c>
      <c r="N107" s="43">
        <f t="shared" si="38"/>
        <v>1.3334370451035078E-5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0.64864577236204979</v>
      </c>
      <c r="D108" s="44">
        <f t="shared" ref="D108:N108" si="39">D106/$O$106</f>
        <v>0.15408928856489118</v>
      </c>
      <c r="E108" s="44">
        <f t="shared" si="39"/>
        <v>7.5262065662746777E-2</v>
      </c>
      <c r="F108" s="44">
        <f t="shared" si="39"/>
        <v>3.3065503112861175E-2</v>
      </c>
      <c r="G108" s="44">
        <f t="shared" si="39"/>
        <v>6.1725110413451819E-3</v>
      </c>
      <c r="H108" s="44">
        <f t="shared" si="39"/>
        <v>2.5009311977864102E-3</v>
      </c>
      <c r="I108" s="44">
        <f t="shared" si="39"/>
        <v>5.7925823444899702E-2</v>
      </c>
      <c r="J108" s="44">
        <f t="shared" si="39"/>
        <v>1.7708721332411005E-2</v>
      </c>
      <c r="K108" s="44">
        <f t="shared" si="39"/>
        <v>4.044058958122705E-3</v>
      </c>
      <c r="L108" s="44">
        <f t="shared" si="39"/>
        <v>5.6403980205395603E-4</v>
      </c>
      <c r="M108" s="44"/>
      <c r="N108" s="44">
        <f t="shared" si="39"/>
        <v>2.1284520832224762E-5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23.09.19 Bweya- Kajansi</vt:lpstr>
      <vt:lpstr>23.09.19 Kajansi -Bweya</vt:lpstr>
      <vt:lpstr>24.09 Bweya-Kajansi</vt:lpstr>
      <vt:lpstr>24.09 Kajansi-Bweya</vt:lpstr>
      <vt:lpstr>25.09 Bweya-Kajansi</vt:lpstr>
      <vt:lpstr>25.09 Kajansi-Bweya</vt:lpstr>
      <vt:lpstr>26.09 Munyonyo-Kajansi-24h</vt:lpstr>
      <vt:lpstr>26.09 Kajansi-Bweya-24h</vt:lpstr>
      <vt:lpstr>27.09 Munyonyo-Kajansi</vt:lpstr>
      <vt:lpstr>27.09Kasjansi-Munyonyo</vt:lpstr>
      <vt:lpstr>28.09 Kajansi-Bweya-24h</vt:lpstr>
      <vt:lpstr>28.09 Bweya-Kajansi-24h</vt:lpstr>
      <vt:lpstr>29.09 Kajansi-Bweya</vt:lpstr>
      <vt:lpstr>29.09 Bweya-Kajansi</vt:lpstr>
      <vt:lpstr>Avg Week Bweya-Kajansi</vt:lpstr>
      <vt:lpstr>Avg Week Kajansi-Bweya</vt:lpstr>
      <vt:lpstr>Avg Week Bweya-Kajansi-2Dir</vt:lpstr>
      <vt:lpstr>'23.09.19 Bweya- Kajansi'!Print_Area</vt:lpstr>
      <vt:lpstr>'23.09.19 Kajansi -Bweya'!Print_Area</vt:lpstr>
      <vt:lpstr>'24.09 Bweya-Kajansi'!Print_Area</vt:lpstr>
      <vt:lpstr>'24.09 Kajansi-Bweya'!Print_Area</vt:lpstr>
      <vt:lpstr>'25.09 Bweya-Kajansi'!Print_Area</vt:lpstr>
      <vt:lpstr>'25.09 Kajansi-Bweya'!Print_Area</vt:lpstr>
      <vt:lpstr>'26.09 Kajansi-Bweya-24h'!Print_Area</vt:lpstr>
      <vt:lpstr>'26.09 Munyonyo-Kajansi-24h'!Print_Area</vt:lpstr>
      <vt:lpstr>'27.09 Munyonyo-Kajansi'!Print_Area</vt:lpstr>
      <vt:lpstr>'27.09Kasjansi-Munyonyo'!Print_Area</vt:lpstr>
      <vt:lpstr>'28.09 Bweya-Kajansi-24h'!Print_Area</vt:lpstr>
      <vt:lpstr>'28.09 Kajansi-Bweya-24h'!Print_Area</vt:lpstr>
      <vt:lpstr>'29.09 Bweya-Kajansi'!Print_Area</vt:lpstr>
      <vt:lpstr>'29.09 Kajansi-Bweya'!Print_Area</vt:lpstr>
      <vt:lpstr>'Avg Week Bweya-Kajansi'!Print_Area</vt:lpstr>
      <vt:lpstr>'Avg Week Bweya-Kajansi-2Dir'!Print_Area</vt:lpstr>
      <vt:lpstr>'Avg Week Kajansi-Bweya'!Print_Area</vt:lpstr>
      <vt:lpstr>'23.09.19 Bweya- Kajansi'!Print_Titles</vt:lpstr>
      <vt:lpstr>'23.09.19 Kajansi -Bweya'!Print_Titles</vt:lpstr>
      <vt:lpstr>'24.09 Bweya-Kajansi'!Print_Titles</vt:lpstr>
      <vt:lpstr>'24.09 Kajansi-Bweya'!Print_Titles</vt:lpstr>
      <vt:lpstr>'25.09 Bweya-Kajansi'!Print_Titles</vt:lpstr>
      <vt:lpstr>'25.09 Kajansi-Bweya'!Print_Titles</vt:lpstr>
      <vt:lpstr>'26.09 Kajansi-Bweya-24h'!Print_Titles</vt:lpstr>
      <vt:lpstr>'26.09 Munyonyo-Kajansi-24h'!Print_Titles</vt:lpstr>
      <vt:lpstr>'27.09 Munyonyo-Kajansi'!Print_Titles</vt:lpstr>
      <vt:lpstr>'27.09Kasjansi-Munyonyo'!Print_Titles</vt:lpstr>
      <vt:lpstr>'28.09 Bweya-Kajansi-24h'!Print_Titles</vt:lpstr>
      <vt:lpstr>'28.09 Kajansi-Bweya-24h'!Print_Titles</vt:lpstr>
      <vt:lpstr>'29.09 Bweya-Kajansi'!Print_Titles</vt:lpstr>
      <vt:lpstr>'29.09 Kajansi-Bweya'!Print_Titles</vt:lpstr>
      <vt:lpstr>'Avg Week Bweya-Kajansi'!Print_Titles</vt:lpstr>
      <vt:lpstr>'Avg Week Bweya-Kajansi-2Dir'!Print_Titles</vt:lpstr>
      <vt:lpstr>'Avg Week Kajansi-Bweya'!Print_Titles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2020-01-16T11:19:44Z</dcterms:modified>
</cp:coreProperties>
</file>